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8010" tabRatio="797"/>
  </bookViews>
  <sheets>
    <sheet name="Sale Reco" sheetId="11" r:id="rId1"/>
    <sheet name="Purch Reco" sheetId="12" r:id="rId2"/>
    <sheet name="Sale-Account" sheetId="1" r:id="rId3"/>
    <sheet name="Dispatch-GST Report" sheetId="3" r:id="rId4"/>
    <sheet name="Purch-Account" sheetId="2" r:id="rId5"/>
    <sheet name="RM Report-Store" sheetId="4" r:id="rId6"/>
    <sheet name="PE Labels" sheetId="10" r:id="rId7"/>
  </sheets>
  <definedNames>
    <definedName name="_xlnm._FilterDatabase" localSheetId="3" hidden="1">'Dispatch-GST Report'!$B$1:$BB$208</definedName>
    <definedName name="_xlnm._FilterDatabase" localSheetId="6" hidden="1">'PE Labels'!$B$1:$BO$15</definedName>
    <definedName name="_xlnm._FilterDatabase" localSheetId="4" hidden="1">'Purch-Account'!$B$1:$AG$343</definedName>
    <definedName name="_xlnm._FilterDatabase" localSheetId="5" hidden="1">'RM Report-Store'!$B$1:$BO$330</definedName>
    <definedName name="_xlnm._FilterDatabase" localSheetId="2" hidden="1">'Sale-Account'!$B$1:$AG$215</definedName>
  </definedNames>
  <calcPr calcId="152511"/>
  <pivotCaches>
    <pivotCache cacheId="0" r:id="rId8"/>
    <pivotCache cacheId="1" r:id="rId9"/>
    <pivotCache cacheId="9" r:id="rId10"/>
    <pivotCache cacheId="12" r:id="rId11"/>
  </pivotCaches>
</workbook>
</file>

<file path=xl/calcChain.xml><?xml version="1.0" encoding="utf-8"?>
<calcChain xmlns="http://schemas.openxmlformats.org/spreadsheetml/2006/main">
  <c r="M16" i="10" l="1"/>
  <c r="J17" i="11"/>
  <c r="J15" i="11"/>
  <c r="E4" i="11"/>
  <c r="J4" i="11"/>
  <c r="J6" i="11"/>
  <c r="J10" i="11"/>
  <c r="J13" i="11"/>
  <c r="J7" i="11"/>
  <c r="J16" i="11"/>
  <c r="J19" i="11"/>
  <c r="J11" i="11"/>
  <c r="J8" i="11"/>
  <c r="J18" i="11"/>
  <c r="J9" i="11"/>
  <c r="J14" i="11"/>
  <c r="J12" i="11"/>
  <c r="J5" i="11"/>
  <c r="E5" i="11"/>
  <c r="J14" i="12"/>
  <c r="J10" i="12"/>
  <c r="J8" i="12"/>
  <c r="J16" i="12"/>
  <c r="J6" i="12"/>
  <c r="J12" i="12"/>
  <c r="J13" i="12"/>
  <c r="J17" i="12"/>
  <c r="J5" i="12"/>
  <c r="J20" i="12"/>
  <c r="J15" i="12"/>
  <c r="J18" i="12"/>
  <c r="J19" i="12"/>
  <c r="D4" i="12"/>
  <c r="J7" i="12"/>
  <c r="J9" i="12"/>
  <c r="J11" i="12"/>
  <c r="J4" i="12"/>
  <c r="E6" i="11" l="1"/>
</calcChain>
</file>

<file path=xl/comments1.xml><?xml version="1.0" encoding="utf-8"?>
<comments xmlns="http://schemas.openxmlformats.org/spreadsheetml/2006/main">
  <authors>
    <author>Author</author>
  </authors>
  <commentList>
    <comment ref="BO20" authorId="0" shapeId="0">
      <text>
        <r>
          <rPr>
            <b/>
            <sz val="9"/>
            <color indexed="81"/>
            <rFont val="Tahoma"/>
            <family val="2"/>
          </rPr>
          <t>3557 KG</t>
        </r>
      </text>
    </comment>
  </commentList>
</comments>
</file>

<file path=xl/sharedStrings.xml><?xml version="1.0" encoding="utf-8"?>
<sst xmlns="http://schemas.openxmlformats.org/spreadsheetml/2006/main" count="21991" uniqueCount="1344">
  <si>
    <t>Date</t>
  </si>
  <si>
    <t>Particular</t>
  </si>
  <si>
    <t>Voucher Type</t>
  </si>
  <si>
    <t>Voucher No</t>
  </si>
  <si>
    <t>Type</t>
  </si>
  <si>
    <t>Invoice No</t>
  </si>
  <si>
    <t>Invoice Date</t>
  </si>
  <si>
    <t>Main Grp</t>
  </si>
  <si>
    <t>Group Name</t>
  </si>
  <si>
    <t>Sub Grup</t>
  </si>
  <si>
    <t>sales Group Name</t>
  </si>
  <si>
    <t>Item Name</t>
  </si>
  <si>
    <t>Quantity</t>
  </si>
  <si>
    <t>Amount</t>
  </si>
  <si>
    <t>Item Desc</t>
  </si>
  <si>
    <t>Bill Amount</t>
  </si>
  <si>
    <t>CGST Rate</t>
  </si>
  <si>
    <t>CGST Amt</t>
  </si>
  <si>
    <t>SGST Rate</t>
  </si>
  <si>
    <t>SGST Amt</t>
  </si>
  <si>
    <t>IGST Rate</t>
  </si>
  <si>
    <t>IGST Amt</t>
  </si>
  <si>
    <t>Freight GST</t>
  </si>
  <si>
    <t>Total GST</t>
  </si>
  <si>
    <t>TCS</t>
  </si>
  <si>
    <t>GST-IN</t>
  </si>
  <si>
    <t>Unit</t>
  </si>
  <si>
    <t>HSN Code</t>
  </si>
  <si>
    <t>Currencty</t>
  </si>
  <si>
    <t>Exc.Rate</t>
  </si>
  <si>
    <t>Net Wt</t>
  </si>
  <si>
    <t>Country</t>
  </si>
  <si>
    <t>companyname</t>
  </si>
  <si>
    <t>InvNo</t>
  </si>
  <si>
    <t>Invdate</t>
  </si>
  <si>
    <t>Buyername</t>
  </si>
  <si>
    <t>VehicalNo</t>
  </si>
  <si>
    <t>Commodity</t>
  </si>
  <si>
    <t>ItemDesc</t>
  </si>
  <si>
    <t>Rate</t>
  </si>
  <si>
    <t>qty</t>
  </si>
  <si>
    <t>Netwt</t>
  </si>
  <si>
    <t>Grosswt</t>
  </si>
  <si>
    <t>Totalamt</t>
  </si>
  <si>
    <t>Deptt</t>
  </si>
  <si>
    <t>itemdeptt</t>
  </si>
  <si>
    <t>OrderNo</t>
  </si>
  <si>
    <t>Remarks</t>
  </si>
  <si>
    <t>Currency</t>
  </si>
  <si>
    <t>ExRate</t>
  </si>
  <si>
    <t>beingexport</t>
  </si>
  <si>
    <t>CGSTrate</t>
  </si>
  <si>
    <t>CGSTamt</t>
  </si>
  <si>
    <t>SGSTRate</t>
  </si>
  <si>
    <t>SGSTAmt</t>
  </si>
  <si>
    <t>IGSTrate</t>
  </si>
  <si>
    <t>IGSTAmt</t>
  </si>
  <si>
    <t>HSNCode</t>
  </si>
  <si>
    <t>LRNo</t>
  </si>
  <si>
    <t>LRDate</t>
  </si>
  <si>
    <t>FOBValue</t>
  </si>
  <si>
    <t>FOBValueInRS</t>
  </si>
  <si>
    <t>NatureofContract</t>
  </si>
  <si>
    <t>Commercialvalue</t>
  </si>
  <si>
    <t>AdvanceLicNo</t>
  </si>
  <si>
    <t>EPCGNo</t>
  </si>
  <si>
    <t>ADCODE</t>
  </si>
  <si>
    <t>Freight</t>
  </si>
  <si>
    <t>Insurance</t>
  </si>
  <si>
    <t>SpeDuty1</t>
  </si>
  <si>
    <t>SpeDuty2</t>
  </si>
  <si>
    <t>SpeDuty3</t>
  </si>
  <si>
    <t>Otherdec1</t>
  </si>
  <si>
    <t>Otherdec2</t>
  </si>
  <si>
    <t>Otherdec3</t>
  </si>
  <si>
    <t>containerno</t>
  </si>
  <si>
    <t>Destination</t>
  </si>
  <si>
    <t>Itemcode</t>
  </si>
  <si>
    <t>Itemname</t>
  </si>
  <si>
    <t>Deptt1</t>
  </si>
  <si>
    <t>Groupname</t>
  </si>
  <si>
    <t>Subgroupname</t>
  </si>
  <si>
    <t>CompanyName</t>
  </si>
  <si>
    <t>srno</t>
  </si>
  <si>
    <t>PoNO</t>
  </si>
  <si>
    <t>OrderQty</t>
  </si>
  <si>
    <t>Challanqty</t>
  </si>
  <si>
    <t>Recdqty</t>
  </si>
  <si>
    <t>PendingQty</t>
  </si>
  <si>
    <t>Acceptedqty</t>
  </si>
  <si>
    <t>Vehicalno</t>
  </si>
  <si>
    <t>Partyname</t>
  </si>
  <si>
    <t>Suppliername</t>
  </si>
  <si>
    <t>ChallanNo</t>
  </si>
  <si>
    <t>Challan Date</t>
  </si>
  <si>
    <t>category</t>
  </si>
  <si>
    <t>subcategory</t>
  </si>
  <si>
    <t>MRno</t>
  </si>
  <si>
    <t>BillNo</t>
  </si>
  <si>
    <t>Bill Date</t>
  </si>
  <si>
    <t>ItemRemarks</t>
  </si>
  <si>
    <t>Note</t>
  </si>
  <si>
    <t>Transportname</t>
  </si>
  <si>
    <t>Lrnodate</t>
  </si>
  <si>
    <t>Discamt</t>
  </si>
  <si>
    <t>Discamt1</t>
  </si>
  <si>
    <t>ExciseAmount</t>
  </si>
  <si>
    <t>EducessAmount</t>
  </si>
  <si>
    <t>HiEducessamount</t>
  </si>
  <si>
    <t>InwardVatType</t>
  </si>
  <si>
    <t>Vatamount</t>
  </si>
  <si>
    <t>Addvatamount</t>
  </si>
  <si>
    <t>Frieght</t>
  </si>
  <si>
    <t>Pkgfwd</t>
  </si>
  <si>
    <t>Otherchg</t>
  </si>
  <si>
    <t>Spdutyname</t>
  </si>
  <si>
    <t>Spdutyamt</t>
  </si>
  <si>
    <t>Additionalduty</t>
  </si>
  <si>
    <t>Billamount</t>
  </si>
  <si>
    <t>GroupName</t>
  </si>
  <si>
    <t>SubGroupName</t>
  </si>
  <si>
    <t>Deptt Po Indent</t>
  </si>
  <si>
    <t>LoginName</t>
  </si>
  <si>
    <t>servicetax</t>
  </si>
  <si>
    <t>Basic Amount</t>
  </si>
  <si>
    <t>GateInwardNo</t>
  </si>
  <si>
    <t>GateInwardDate</t>
  </si>
  <si>
    <t>VendorGST</t>
  </si>
  <si>
    <t>MRN User</t>
  </si>
  <si>
    <t>POUserName</t>
  </si>
  <si>
    <t>CGSTPer</t>
  </si>
  <si>
    <t>CGSTAmount</t>
  </si>
  <si>
    <t>SGSTPer</t>
  </si>
  <si>
    <t>SGSTAmount</t>
  </si>
  <si>
    <t>IGSTPer</t>
  </si>
  <si>
    <t>IGSTAmount</t>
  </si>
  <si>
    <t>RBIllmount</t>
  </si>
  <si>
    <t>EWayNo</t>
  </si>
  <si>
    <t>EWayDt</t>
  </si>
  <si>
    <t>netwt</t>
  </si>
  <si>
    <t>Purchase Group Name</t>
  </si>
  <si>
    <t>Row Labels</t>
  </si>
  <si>
    <t>(blank)</t>
  </si>
  <si>
    <t>Grand Total</t>
  </si>
  <si>
    <t>Sum of Net Wt</t>
  </si>
  <si>
    <t>Sum of Amount</t>
  </si>
  <si>
    <t>Account</t>
  </si>
  <si>
    <t>Sum of Netwt</t>
  </si>
  <si>
    <t>Dispatch</t>
  </si>
  <si>
    <t>Store</t>
  </si>
  <si>
    <t>Sum of netwt</t>
  </si>
  <si>
    <t>Sum of Basic Amount</t>
  </si>
  <si>
    <t>FIBC Bags</t>
  </si>
  <si>
    <t>FIBC WIP</t>
  </si>
  <si>
    <t>PP Webbing</t>
  </si>
  <si>
    <t>PP UL Fabric</t>
  </si>
  <si>
    <t>PP Lam Fabric</t>
  </si>
  <si>
    <t>PP Yarn</t>
  </si>
  <si>
    <t>PE Film</t>
  </si>
  <si>
    <t>LDPE/LLDPE Bags</t>
  </si>
  <si>
    <t>Ink</t>
  </si>
  <si>
    <t>PP Tapes</t>
  </si>
  <si>
    <t>FIBC Bags-Export</t>
  </si>
  <si>
    <t>FIBC Bags-TP</t>
  </si>
  <si>
    <t>Filler</t>
  </si>
  <si>
    <t>Thinner</t>
  </si>
  <si>
    <t>PP Granules</t>
  </si>
  <si>
    <t>Plastene Polyfilms Limited</t>
  </si>
  <si>
    <t>Kgs</t>
  </si>
  <si>
    <t>SF</t>
  </si>
  <si>
    <t>Yarn All</t>
  </si>
  <si>
    <t>24AAECK6307M1ZF</t>
  </si>
  <si>
    <t>WIP00013</t>
  </si>
  <si>
    <t>LDPE/LLDPE Bags/Liner</t>
  </si>
  <si>
    <t>GJ12X1249</t>
  </si>
  <si>
    <t>Liners</t>
  </si>
  <si>
    <t>24AAACO3087C1ZT</t>
  </si>
  <si>
    <t>WIP00025</t>
  </si>
  <si>
    <t>PP Lam Fabric With UV</t>
  </si>
  <si>
    <t>PP/PE Fabric</t>
  </si>
  <si>
    <t>WIP00032</t>
  </si>
  <si>
    <t>Webbing</t>
  </si>
  <si>
    <t>WIP00023</t>
  </si>
  <si>
    <t>PP UL Fabric With UV</t>
  </si>
  <si>
    <t>KGS</t>
  </si>
  <si>
    <t>24AABCG1282C2Z6</t>
  </si>
  <si>
    <t>WIP00004</t>
  </si>
  <si>
    <t>FIBC Bags With UV Without Liner</t>
  </si>
  <si>
    <t>FG</t>
  </si>
  <si>
    <t>.</t>
  </si>
  <si>
    <t>WIP00003</t>
  </si>
  <si>
    <t>FIBC Bags With UV With Liner</t>
  </si>
  <si>
    <t>RAW05951</t>
  </si>
  <si>
    <t>Tape Stock</t>
  </si>
  <si>
    <t>GJ12BY1595</t>
  </si>
  <si>
    <t>RAW05124</t>
  </si>
  <si>
    <t>LDPE/LLDPE Film</t>
  </si>
  <si>
    <t>Films All (SF)</t>
  </si>
  <si>
    <t>Hcp Plastene Bulkpack Ltd (Unit Iv) - Sales</t>
  </si>
  <si>
    <t>Sales</t>
  </si>
  <si>
    <t>FIBC</t>
  </si>
  <si>
    <t>Rs.</t>
  </si>
  <si>
    <t>India</t>
  </si>
  <si>
    <t>PP WOVEN FABRIC</t>
  </si>
  <si>
    <t>K.P. Woven Pvt Ltd - Unit 3 -Sales</t>
  </si>
  <si>
    <t>Export Sales</t>
  </si>
  <si>
    <t>Sales - Kasez - Mfg - U/B</t>
  </si>
  <si>
    <t>PP WOVEN BIG BAGS</t>
  </si>
  <si>
    <t>24AAECK6307M2ZE</t>
  </si>
  <si>
    <t>$</t>
  </si>
  <si>
    <t>K.P. Woven Pvt Ltd-Sales</t>
  </si>
  <si>
    <t>PP Laminated Fabric</t>
  </si>
  <si>
    <t>Plastene India ltd - Unit 1-Sales</t>
  </si>
  <si>
    <t>LLDPE FILM</t>
  </si>
  <si>
    <t>N.A.</t>
  </si>
  <si>
    <t>Commercial Bag Company</t>
  </si>
  <si>
    <t>Sales - Export - Third Party</t>
  </si>
  <si>
    <t>PP WOVEN BIG BAGS (FIBC)</t>
  </si>
  <si>
    <t>USA</t>
  </si>
  <si>
    <t>Narayandas Murlidhar</t>
  </si>
  <si>
    <t>Sales - Interstate - Manufactured Goods</t>
  </si>
  <si>
    <t>08AAJFN2559G1Z2</t>
  </si>
  <si>
    <t>SALES (FOREX)</t>
  </si>
  <si>
    <t>Sales - Within State - Traded Goods</t>
  </si>
  <si>
    <t>Pcs</t>
  </si>
  <si>
    <t>Yarn</t>
  </si>
  <si>
    <t>HCP Plastene Bulkpack Limited - Sales</t>
  </si>
  <si>
    <t>SMF00147</t>
  </si>
  <si>
    <t>PE Labels (Kgs)</t>
  </si>
  <si>
    <t>Rs</t>
  </si>
  <si>
    <t>KACHCHH</t>
  </si>
  <si>
    <t>PP Woven Fabrics</t>
  </si>
  <si>
    <t>Woven - Fabric</t>
  </si>
  <si>
    <t>PP Laminated Fabrics</t>
  </si>
  <si>
    <t>FIG00001</t>
  </si>
  <si>
    <t>PP WEBBING</t>
  </si>
  <si>
    <t>KUTCH</t>
  </si>
  <si>
    <t>Others</t>
  </si>
  <si>
    <t>Flexible Intermediate Bulk Containers (Attachement Bag).</t>
  </si>
  <si>
    <t>EURO</t>
  </si>
  <si>
    <t>LUT Bond No</t>
  </si>
  <si>
    <t>CIF</t>
  </si>
  <si>
    <t>USD</t>
  </si>
  <si>
    <t>FOB</t>
  </si>
  <si>
    <t>KASEZ</t>
  </si>
  <si>
    <t>-</t>
  </si>
  <si>
    <t>PP Woven Fabrics Laminated/ Coated</t>
  </si>
  <si>
    <t>PALI</t>
  </si>
  <si>
    <t>AHMEDABAD</t>
  </si>
  <si>
    <t>K.P. WOVEN PVT LTD - UNIT 3 -SALES</t>
  </si>
  <si>
    <t>PP YARN</t>
  </si>
  <si>
    <t>GJ12FB2542</t>
  </si>
  <si>
    <t>GANDHINAGAR</t>
  </si>
  <si>
    <t>GJ12X-1249</t>
  </si>
  <si>
    <t>GJ12BU0544</t>
  </si>
  <si>
    <t>LD/LLDPE BAGS</t>
  </si>
  <si>
    <t>PP TAPE</t>
  </si>
  <si>
    <t>UL CUTPCS</t>
  </si>
  <si>
    <t>Woven - Other</t>
  </si>
  <si>
    <t>LD/LLDPE  FILM</t>
  </si>
  <si>
    <t>GJ12FB-2542</t>
  </si>
  <si>
    <t>100 GSM</t>
  </si>
  <si>
    <t>CUT PICES</t>
  </si>
  <si>
    <t>GJ39TB3534</t>
  </si>
  <si>
    <t>U.S.A.</t>
  </si>
  <si>
    <t>LAM CUTPCS</t>
  </si>
  <si>
    <t>OSWAL EXTRUSION LTD- KASEZ-SALES</t>
  </si>
  <si>
    <t>Snf Flopam India Pvt Ltd</t>
  </si>
  <si>
    <t>Oswal Extrusion Ltd- KASEZ-Sales</t>
  </si>
  <si>
    <t>24AAACO7290H4ZB</t>
  </si>
  <si>
    <t>24AAXCS4186P1Z9</t>
  </si>
  <si>
    <t>WIP00017</t>
  </si>
  <si>
    <t>Polyester Yarn Twisted</t>
  </si>
  <si>
    <t>WIP00022</t>
  </si>
  <si>
    <t>Filler Cord</t>
  </si>
  <si>
    <t>GJ09Z0572</t>
  </si>
  <si>
    <t>FILLER CORD</t>
  </si>
  <si>
    <t>Wastage/Scrap</t>
  </si>
  <si>
    <t>HD/PP WASTE</t>
  </si>
  <si>
    <t>PP/HD Wastage/Scrap</t>
  </si>
  <si>
    <t>LD INDOTHENE</t>
  </si>
  <si>
    <t>BLACK GRADE - D</t>
  </si>
  <si>
    <t>Webbing-MW</t>
  </si>
  <si>
    <t>REJECTED BAGS</t>
  </si>
  <si>
    <t>BC-63801/04-11452</t>
  </si>
  <si>
    <t>PO-068423/IBR 1299 D</t>
  </si>
  <si>
    <t>Small Bags</t>
  </si>
  <si>
    <t>PP Bags</t>
  </si>
  <si>
    <t>PP UL Bags With UV</t>
  </si>
  <si>
    <t>4500202507/SAS-4 (BLUE</t>
  </si>
  <si>
    <t>4500202507/SAS-4 (GREEN</t>
  </si>
  <si>
    <t>4500202507/SAS-4 (GREY</t>
  </si>
  <si>
    <t>Webbing blue</t>
  </si>
  <si>
    <t>Shri Bajrangbali Ashok Construction Private Limited</t>
  </si>
  <si>
    <t>20AAMCS4446B1ZQ</t>
  </si>
  <si>
    <t>20BB-2026-PL-013/DSLO160L</t>
  </si>
  <si>
    <t>LAMI CUT PCS BUFFLE PUNCHING</t>
  </si>
  <si>
    <t>PP UL Fabric-Export</t>
  </si>
  <si>
    <t>PP Lam Fabric-Export</t>
  </si>
  <si>
    <t>PP Woven Big Bags</t>
  </si>
  <si>
    <t>PP/HD/LD WASTE</t>
  </si>
  <si>
    <t>Wastage</t>
  </si>
  <si>
    <t>WIP00031</t>
  </si>
  <si>
    <t>Polypropylene Woven Fabrics</t>
  </si>
  <si>
    <t>GJ-39 TB -3534</t>
  </si>
  <si>
    <t>GJ12BV1104</t>
  </si>
  <si>
    <t>WIP00037</t>
  </si>
  <si>
    <t>KASHIDA, EAST SINGHBHUM,</t>
  </si>
  <si>
    <t>GJ-39 TB 3534</t>
  </si>
  <si>
    <t>Flexible Intermediate Bulk Containers (Attachment bag)</t>
  </si>
  <si>
    <t>POLYESTER YARN</t>
  </si>
  <si>
    <t>GJ39T9710</t>
  </si>
  <si>
    <t>PP Fibrillated Tape Twisted 3200 MW</t>
  </si>
  <si>
    <t>Masterbatch</t>
  </si>
  <si>
    <t>RP Granules</t>
  </si>
  <si>
    <t>REPROCESSED GRANULE</t>
  </si>
  <si>
    <t>LDPE Granules</t>
  </si>
  <si>
    <t>GJ39T1656</t>
  </si>
  <si>
    <t>SMF00054</t>
  </si>
  <si>
    <t>WIP00002</t>
  </si>
  <si>
    <t>GJ07Y1324</t>
  </si>
  <si>
    <t>PPL/E/68/26-27</t>
  </si>
  <si>
    <t>PP UL Fabric With UV - BLACK</t>
  </si>
  <si>
    <t>PP Lam Fabric With UV - BLACK</t>
  </si>
  <si>
    <t>Sales - Within State  Manufactured Goods</t>
  </si>
  <si>
    <t>PPL/D/435</t>
  </si>
  <si>
    <t>1130016933/PDBJMBLHS63050120</t>
  </si>
  <si>
    <t>PPL/D/437</t>
  </si>
  <si>
    <t>PPL/D/439</t>
  </si>
  <si>
    <t>PPL/D/440</t>
  </si>
  <si>
    <t>HPC-PO003921-9595140-5</t>
  </si>
  <si>
    <t>HPC-PO003921-9595140-3</t>
  </si>
  <si>
    <t>HPC-PO003921-9090100-7</t>
  </si>
  <si>
    <t>HPC-PO003921-9090120-1</t>
  </si>
  <si>
    <t>HPC-PO003921-9090120-8</t>
  </si>
  <si>
    <t>HPC-PO003921-9090140-9</t>
  </si>
  <si>
    <t>HPC-PO003921-9090160-10</t>
  </si>
  <si>
    <t>HPC-PO003921-909080-6</t>
  </si>
  <si>
    <t>HPC-PO003921-9393145-2</t>
  </si>
  <si>
    <t>HPC-PO003921-9595140-4</t>
  </si>
  <si>
    <t>PPL/D/441</t>
  </si>
  <si>
    <t>E-IO26-00449/003121-00065-00</t>
  </si>
  <si>
    <t>E-IO26-00456/006810-00006-00</t>
  </si>
  <si>
    <t>E-IO26-00537/003125-00029-00</t>
  </si>
  <si>
    <t>E-IO26-00504/006455-00002-00</t>
  </si>
  <si>
    <t>PPL/D/442</t>
  </si>
  <si>
    <t>PP 180 TUBE MW</t>
  </si>
  <si>
    <t>PP 72 FLAT MW 2T Marking</t>
  </si>
  <si>
    <t>PPL/TP/023</t>
  </si>
  <si>
    <t>PPL/TP/024</t>
  </si>
  <si>
    <t>PPL/D/446</t>
  </si>
  <si>
    <t>PO-067344/BB DC 60</t>
  </si>
  <si>
    <t>PO-067344/CA20P</t>
  </si>
  <si>
    <t>PO-067344/CA22</t>
  </si>
  <si>
    <t>PO-067344/KDC 12912</t>
  </si>
  <si>
    <t>PO-067344/CA 1F</t>
  </si>
  <si>
    <t>PO-066770/JF 121010</t>
  </si>
  <si>
    <t>PO-066770/JF SS 101013</t>
  </si>
  <si>
    <t>PPL/D/448</t>
  </si>
  <si>
    <t>CUT PCS BOTTOM 73X73 CM</t>
  </si>
  <si>
    <t>SPOUT---60+8 GSM</t>
  </si>
  <si>
    <t>SPOUT---BLUE---90+12 GSM</t>
  </si>
  <si>
    <t>PPL/E/69/26-27</t>
  </si>
  <si>
    <t>PP Lam Fabric With UV MW</t>
  </si>
  <si>
    <t>PP Lam Fabric With UV Condective</t>
  </si>
  <si>
    <t>PPL/D/444</t>
  </si>
  <si>
    <t xml:space="preserve">BLACK GRADE- D </t>
  </si>
  <si>
    <t>PPL/D/445</t>
  </si>
  <si>
    <t>PPL/D/449</t>
  </si>
  <si>
    <t>MN-44-19062026/BERY</t>
  </si>
  <si>
    <t>MN-44-19062026/BULLY</t>
  </si>
  <si>
    <t>PPL/E/70/26-27</t>
  </si>
  <si>
    <t>PPL/D/450</t>
  </si>
  <si>
    <t>Webbing MW</t>
  </si>
  <si>
    <t>PPL/D/452</t>
  </si>
  <si>
    <t>PP Tapes MW</t>
  </si>
  <si>
    <t>PPL/D/453</t>
  </si>
  <si>
    <t>88/968-D/1/S1</t>
  </si>
  <si>
    <t>PPL/D/455</t>
  </si>
  <si>
    <t>KRZY-94/KK0019 SUGAR KSC_x000D_
CIRCULAR</t>
  </si>
  <si>
    <t>PPL/D/456</t>
  </si>
  <si>
    <t>PPL/D/457</t>
  </si>
  <si>
    <t>PPL/D/462</t>
  </si>
  <si>
    <t xml:space="preserve">CUT PICES </t>
  </si>
  <si>
    <t>PP Lam Fabric CutPcs With UV</t>
  </si>
  <si>
    <t>PPL/E/71/26-27</t>
  </si>
  <si>
    <t>PPL/D/458</t>
  </si>
  <si>
    <t>E-IO26-00474/001038-00033-00</t>
  </si>
  <si>
    <t>PPL/D/459</t>
  </si>
  <si>
    <t>E-IO26-00503/006890-00003-00</t>
  </si>
  <si>
    <t>PPL/D/460</t>
  </si>
  <si>
    <t>PP Lam Fabric With UV black</t>
  </si>
  <si>
    <t>PP Lam Fabric With UV mw</t>
  </si>
  <si>
    <t>PPL/D/467</t>
  </si>
  <si>
    <t>PP Lam Fabric With UV Spout mw</t>
  </si>
  <si>
    <t>PP Lam Fabric With UV  Spout black</t>
  </si>
  <si>
    <t>PPL/D/465</t>
  </si>
  <si>
    <t>OEL260/T-1520 (4) 6-1</t>
  </si>
  <si>
    <t>OEL260/T-4660 (6)</t>
  </si>
  <si>
    <t>OEL260/D1-533 (1)</t>
  </si>
  <si>
    <t>OEL260/D1-620</t>
  </si>
  <si>
    <t>OEL260/D1-621</t>
  </si>
  <si>
    <t>PPL/D/466</t>
  </si>
  <si>
    <t>Ground Cover Fabric</t>
  </si>
  <si>
    <t xml:space="preserve">PP WOVEN FABRIC </t>
  </si>
  <si>
    <t>PPL/D/469</t>
  </si>
  <si>
    <t xml:space="preserve">BLUE COLOUR </t>
  </si>
  <si>
    <t>PPL/D/468</t>
  </si>
  <si>
    <t xml:space="preserve">BLUE </t>
  </si>
  <si>
    <t>PPL/D/470</t>
  </si>
  <si>
    <t xml:space="preserve">100 GSM </t>
  </si>
  <si>
    <t>PPL/E/72/26-27</t>
  </si>
  <si>
    <t>Sales - Direct Export - Mfg - U/B</t>
  </si>
  <si>
    <t>PP JUMBO BAG</t>
  </si>
  <si>
    <t>PPL/D/472</t>
  </si>
  <si>
    <t>2026001113/5477</t>
  </si>
  <si>
    <t>2026001114/5524</t>
  </si>
  <si>
    <t>2026001197/9936</t>
  </si>
  <si>
    <t>2026001233/6965</t>
  </si>
  <si>
    <t>2026001320/6572</t>
  </si>
  <si>
    <t>2026001321/5018</t>
  </si>
  <si>
    <t>2026001322/5477</t>
  </si>
  <si>
    <t>PPL/E/73/26-27</t>
  </si>
  <si>
    <t>PP UL Fabric With UV black</t>
  </si>
  <si>
    <t>PPL/D/471</t>
  </si>
  <si>
    <t>PPL/D/473</t>
  </si>
  <si>
    <t xml:space="preserve">PP Lam Fabric With UV mw_x000D_
</t>
  </si>
  <si>
    <t xml:space="preserve">PP Lam Fabric With UV black_x000D_
</t>
  </si>
  <si>
    <t xml:space="preserve">PP Lam Fabric With UV conductiv_x000D_
</t>
  </si>
  <si>
    <t>PPL/D/477</t>
  </si>
  <si>
    <t>PO-06824/IBR 66 D</t>
  </si>
  <si>
    <t>PO-068424/IBR 1299 D</t>
  </si>
  <si>
    <t>PO-068635/BEST 1299</t>
  </si>
  <si>
    <t>PO-068635/BEST 66</t>
  </si>
  <si>
    <t>PPL/D/478</t>
  </si>
  <si>
    <t>PO-068425/IBR 66 D</t>
  </si>
  <si>
    <t>PO-068636/BEST 1299</t>
  </si>
  <si>
    <t>PO-068636/BEST 66</t>
  </si>
  <si>
    <t>PO-064347/TAL SLG 130</t>
  </si>
  <si>
    <t>PO-065699/CS DC 12980</t>
  </si>
  <si>
    <t>PO-066071/CIM DS 15912</t>
  </si>
  <si>
    <t>PO-068425/IBR 1299 D</t>
  </si>
  <si>
    <t>PO-067042</t>
  </si>
  <si>
    <t>PPL/D/475</t>
  </si>
  <si>
    <t>30036/1367</t>
  </si>
  <si>
    <t>30036/962</t>
  </si>
  <si>
    <t>PPL/D/476</t>
  </si>
  <si>
    <t>PPL/D/474</t>
  </si>
  <si>
    <t>PPL/D/484</t>
  </si>
  <si>
    <t>KRZY-95/KK0019 SUGAR KSC_x000D_
CIRCULAR</t>
  </si>
  <si>
    <t>PPL/D/480</t>
  </si>
  <si>
    <t>PPL/D/483</t>
  </si>
  <si>
    <t>PPL/D/479</t>
  </si>
  <si>
    <t>PPL/D/482</t>
  </si>
  <si>
    <t>PP Lam Fabric With UV-BLACK</t>
  </si>
  <si>
    <t>PPL/D/485</t>
  </si>
  <si>
    <t>OEL438/2634</t>
  </si>
  <si>
    <t>PPL/D/486</t>
  </si>
  <si>
    <t>PPL/D/487</t>
  </si>
  <si>
    <t>PST-26007/SN21E/01</t>
  </si>
  <si>
    <t>PST-26007/SN21E/03</t>
  </si>
  <si>
    <t>PST-26007/SN21U40P/02</t>
  </si>
  <si>
    <t>Raficon Trade Srl</t>
  </si>
  <si>
    <t>PPL/E/74/26-27</t>
  </si>
  <si>
    <t>PP JUMBO BAGS</t>
  </si>
  <si>
    <t>€</t>
  </si>
  <si>
    <t>Romania</t>
  </si>
  <si>
    <t>PPL/D/492</t>
  </si>
  <si>
    <t>BC-63756/04-9215</t>
  </si>
  <si>
    <t>BC-63758/04-12600</t>
  </si>
  <si>
    <t>BC-63850/04-11283</t>
  </si>
  <si>
    <t>BC-63851/04-12211</t>
  </si>
  <si>
    <t>BC-63876/04-11681</t>
  </si>
  <si>
    <t>PPL/D/490</t>
  </si>
  <si>
    <t>PPL/D/491</t>
  </si>
  <si>
    <t>PPL/D/495</t>
  </si>
  <si>
    <t>2026001319 /6965</t>
  </si>
  <si>
    <t>2026001322 /5477</t>
  </si>
  <si>
    <t>2026001324 /2026001526</t>
  </si>
  <si>
    <t>2026001329 /5235</t>
  </si>
  <si>
    <t>2026001330 /8906</t>
  </si>
  <si>
    <t>PPL/D/496</t>
  </si>
  <si>
    <t>PP Lam Fabric With UV MW SPOUT</t>
  </si>
  <si>
    <t>PP UL Fabric CutPcs With UV</t>
  </si>
  <si>
    <t>PPL/D/494</t>
  </si>
  <si>
    <t>20BB-2026-PL-012/SEKAP-BLUE/T2_x000D_
60995</t>
  </si>
  <si>
    <t>20BB-2026-PL-011/RMQ</t>
  </si>
  <si>
    <t>PPL/D/498</t>
  </si>
  <si>
    <t>PPL/D/499</t>
  </si>
  <si>
    <t>PO 10066/4LT-0440</t>
  </si>
  <si>
    <t>Sales - Waste &amp; Scrape</t>
  </si>
  <si>
    <t>PPL/D/501</t>
  </si>
  <si>
    <t xml:space="preserve">LD INDOTHENE </t>
  </si>
  <si>
    <t>PPL/E/78/26-27</t>
  </si>
  <si>
    <t>PPL/E/79/26-27</t>
  </si>
  <si>
    <t>PP WOVEN BIGBAGS</t>
  </si>
  <si>
    <t>PPL/E/76/26-27</t>
  </si>
  <si>
    <t>PPL/D/502</t>
  </si>
  <si>
    <t>PP UL Fabric CutPcs Without UV</t>
  </si>
  <si>
    <t>PPL/D/504</t>
  </si>
  <si>
    <t>Webbing black</t>
  </si>
  <si>
    <t>PPL/D/506</t>
  </si>
  <si>
    <t>PPL/D/508</t>
  </si>
  <si>
    <t>Webbing-Blue</t>
  </si>
  <si>
    <t>PPL/D/511</t>
  </si>
  <si>
    <t>PPL/D/514</t>
  </si>
  <si>
    <t>26.19227/241115050340 -M</t>
  </si>
  <si>
    <t>PPL/D/520</t>
  </si>
  <si>
    <t>KRZY-96/KK0019 SUGAR KSC_x000D_
CIRCULAR</t>
  </si>
  <si>
    <t>PPL/D/517</t>
  </si>
  <si>
    <t>PP UL Fabric With UV mw</t>
  </si>
  <si>
    <t>PPL/D/515</t>
  </si>
  <si>
    <t>PPL/D/519</t>
  </si>
  <si>
    <t>1130017017 /PDBJMBLHS63050109</t>
  </si>
  <si>
    <t>PPL/D/523</t>
  </si>
  <si>
    <t>26.19228/241115050340 -M</t>
  </si>
  <si>
    <t>PPL/D/521</t>
  </si>
  <si>
    <t>PPL/D/522</t>
  </si>
  <si>
    <t>4500205191/IQE-4</t>
  </si>
  <si>
    <t>4500205191/IQE-5</t>
  </si>
  <si>
    <t>4500203737 /ILA-3</t>
  </si>
  <si>
    <t>4500203737 /ILA-2</t>
  </si>
  <si>
    <t>4500202507/SAS-4 (BLUE_x000D_
PRINTING)</t>
  </si>
  <si>
    <t>4500202507/SAS-4 (GREEN_x000D_
PRINTING)</t>
  </si>
  <si>
    <t>4500202507/SAS-4 (GREY_x000D_
PRINTING)</t>
  </si>
  <si>
    <t>4500204647/IR-20</t>
  </si>
  <si>
    <t>4500205191/IQE-6</t>
  </si>
  <si>
    <t>PPL/D/524</t>
  </si>
  <si>
    <t>PO00012244 /B00006</t>
  </si>
  <si>
    <t>PPL/TP/025</t>
  </si>
  <si>
    <t>PPL/D/525</t>
  </si>
  <si>
    <t>PPL/D/526</t>
  </si>
  <si>
    <t>PPL/D/528</t>
  </si>
  <si>
    <t>HPC-PO004047-100100100 -1</t>
  </si>
  <si>
    <t>PPL/E/80/26-27</t>
  </si>
  <si>
    <t>PPL/D/530</t>
  </si>
  <si>
    <t>RP Granules-Black</t>
  </si>
  <si>
    <t>PPL/D/532</t>
  </si>
  <si>
    <t>2026001364/6882</t>
  </si>
  <si>
    <t>2026001323/5477</t>
  </si>
  <si>
    <t>2026001329/5235</t>
  </si>
  <si>
    <t>2026001396/2026001820</t>
  </si>
  <si>
    <t>2026001365/10907</t>
  </si>
  <si>
    <t>2026001366/2019000513</t>
  </si>
  <si>
    <t>2026001367/9936</t>
  </si>
  <si>
    <t>PPL/D/533</t>
  </si>
  <si>
    <t>PPL/D/531</t>
  </si>
  <si>
    <t>PPL/D/534</t>
  </si>
  <si>
    <t>PPL/TP/026</t>
  </si>
  <si>
    <t>PPL/D/540</t>
  </si>
  <si>
    <t>PPL/D/541</t>
  </si>
  <si>
    <t>PPL/D/543</t>
  </si>
  <si>
    <t>PPL/E/81/26-27</t>
  </si>
  <si>
    <t>Sales - Kasez - Trading - U/B</t>
  </si>
  <si>
    <t>06 BALES</t>
  </si>
  <si>
    <t>PPL/E/82/26-27</t>
  </si>
  <si>
    <t>01 BALE</t>
  </si>
  <si>
    <t>02 BALES</t>
  </si>
  <si>
    <t>PPL/D/537</t>
  </si>
  <si>
    <t>PPL/D/538</t>
  </si>
  <si>
    <t>PPL/D/539</t>
  </si>
  <si>
    <t>PPL/TP/027</t>
  </si>
  <si>
    <t>PPL/TP/028</t>
  </si>
  <si>
    <t>PPL/TP/029</t>
  </si>
  <si>
    <t>PPL/D/544</t>
  </si>
  <si>
    <t>PPL/D/546</t>
  </si>
  <si>
    <t>SBB/2026/02</t>
  </si>
  <si>
    <t>PPL/D/549</t>
  </si>
  <si>
    <t>1130017059/PDBJMBLHS63050087</t>
  </si>
  <si>
    <t>PPL/D/550</t>
  </si>
  <si>
    <t>PPL/D/552</t>
  </si>
  <si>
    <t>PPL/D/555</t>
  </si>
  <si>
    <t>PPL/D/556</t>
  </si>
  <si>
    <t>PPL/D/559</t>
  </si>
  <si>
    <t>30131/517R1</t>
  </si>
  <si>
    <t>PPL/D/560</t>
  </si>
  <si>
    <t>PPL/D/561</t>
  </si>
  <si>
    <t>PPL/D/563</t>
  </si>
  <si>
    <t>PP Webbing-Export</t>
  </si>
  <si>
    <t>GJ12BY0550</t>
  </si>
  <si>
    <t>GJ39TA3811</t>
  </si>
  <si>
    <t>GJ30T0414</t>
  </si>
  <si>
    <t>RJ-19 GH 8036</t>
  </si>
  <si>
    <t>BLACK GRADE- D</t>
  </si>
  <si>
    <t>GJ39TA3813</t>
  </si>
  <si>
    <t>GJ-12 BU 0544</t>
  </si>
  <si>
    <t>GJ12BW4332</t>
  </si>
  <si>
    <t>GJ39TA3814</t>
  </si>
  <si>
    <t>KRZY-94/KK0019 SUGAR KSC</t>
  </si>
  <si>
    <t>GJ12BT0082</t>
  </si>
  <si>
    <t>FLEXIBLE INTERMEDIATE BULK CONTAINER</t>
  </si>
  <si>
    <t>GJ39T6056</t>
  </si>
  <si>
    <t>GJ39T9827</t>
  </si>
  <si>
    <t>SMF00275</t>
  </si>
  <si>
    <t>WIP00223</t>
  </si>
  <si>
    <t>GJ-39 T 3534</t>
  </si>
  <si>
    <t>PP Lam Fabric With UV  Spout black</t>
  </si>
  <si>
    <t>BLUE</t>
  </si>
  <si>
    <t>GJ 12 BU 0544</t>
  </si>
  <si>
    <t>BLUE COLOUR</t>
  </si>
  <si>
    <t>GJ12CT9339</t>
  </si>
  <si>
    <t>PP Lam Fabric With UV conductiv</t>
  </si>
  <si>
    <t>GCXU5879127</t>
  </si>
  <si>
    <t>GJ12AZ4187</t>
  </si>
  <si>
    <t>GJ12BT0220</t>
  </si>
  <si>
    <t>PP Woven Sacks With UV Stabilization (2% by Weight)</t>
  </si>
  <si>
    <t>GJ12BU 0544</t>
  </si>
  <si>
    <t>PP FABRILLATED YARN</t>
  </si>
  <si>
    <t>GJ39T9828</t>
  </si>
  <si>
    <t>KRZY-95/KK0019 SUGAR KSC</t>
  </si>
  <si>
    <t>GJ39T9829</t>
  </si>
  <si>
    <t>GJ12BT5713</t>
  </si>
  <si>
    <t>CAIU4836201</t>
  </si>
  <si>
    <t>Constanta</t>
  </si>
  <si>
    <t>GJ12BZ0339</t>
  </si>
  <si>
    <t>GJ12CT7649</t>
  </si>
  <si>
    <t>20BB-2026-PL-012/SEKAP-BLUE/T2</t>
  </si>
  <si>
    <t>GJ39T9831</t>
  </si>
  <si>
    <t>GJ39T9834</t>
  </si>
  <si>
    <t>GJ-08 AU-6285</t>
  </si>
  <si>
    <t>GJ12BW3881</t>
  </si>
  <si>
    <t>KRZY-96/KK0019 SUGAR KSC</t>
  </si>
  <si>
    <t>GJ39T0157</t>
  </si>
  <si>
    <t>REPROCESSED GRANULES</t>
  </si>
  <si>
    <t>RP</t>
  </si>
  <si>
    <t>RJ38GA0318</t>
  </si>
  <si>
    <t>GJ-12X 1249</t>
  </si>
  <si>
    <t>GJ39TB1619</t>
  </si>
  <si>
    <t>Articles Made Of Lldpe</t>
  </si>
  <si>
    <t>GJ12BR8742</t>
  </si>
  <si>
    <t>Aug.2026</t>
  </si>
  <si>
    <t>PPL/26-27/SII01035</t>
  </si>
  <si>
    <t>PPL/RAW/26-27/376</t>
  </si>
  <si>
    <t>Plastene India ltd - Unit 1-Purchase</t>
  </si>
  <si>
    <t>PIL1/D/1243</t>
  </si>
  <si>
    <t>RAW MATERIAL</t>
  </si>
  <si>
    <t>INDIGENOUS</t>
  </si>
  <si>
    <t>RM 381</t>
  </si>
  <si>
    <t>VAT</t>
  </si>
  <si>
    <t>RM</t>
  </si>
  <si>
    <t>erp</t>
  </si>
  <si>
    <t>storeppl</t>
  </si>
  <si>
    <t>PPL/26-27/SII01036</t>
  </si>
  <si>
    <t>RAW05270</t>
  </si>
  <si>
    <t>LDPE Sumitomo L705</t>
  </si>
  <si>
    <t>PPL/RAW/26-27/377</t>
  </si>
  <si>
    <t>PIL1/D/1244</t>
  </si>
  <si>
    <t>RM 382</t>
  </si>
  <si>
    <t>Granules</t>
  </si>
  <si>
    <t>RAW05187</t>
  </si>
  <si>
    <t>PP Granules Others</t>
  </si>
  <si>
    <t>RAW06398</t>
  </si>
  <si>
    <t>LDPE LOTTE LF512</t>
  </si>
  <si>
    <t>PPL/26-27/SII01039</t>
  </si>
  <si>
    <t>PPL/RAW/26-27/378</t>
  </si>
  <si>
    <t>GJ01LT3770</t>
  </si>
  <si>
    <t>Plastene India ltd - Unit 2-Purchase</t>
  </si>
  <si>
    <t>PIL2/D/432</t>
  </si>
  <si>
    <t>RM 383</t>
  </si>
  <si>
    <t>SHREENA ROADWAYS</t>
  </si>
  <si>
    <t>PPL/26-27/SII01040</t>
  </si>
  <si>
    <t>PPL/RAW/26-27/379</t>
  </si>
  <si>
    <t>GJ01LT7680</t>
  </si>
  <si>
    <t>HCP Plastene Bulkpack Limited - Purchase</t>
  </si>
  <si>
    <t>HPBL/D/444</t>
  </si>
  <si>
    <t>RM 384</t>
  </si>
  <si>
    <t>PPL/26-27/SII01041</t>
  </si>
  <si>
    <t>PPL/RAW/26-27/380</t>
  </si>
  <si>
    <t>PIL1/D/1248</t>
  </si>
  <si>
    <t>RM 385</t>
  </si>
  <si>
    <t>PPL/26-27/SII01043</t>
  </si>
  <si>
    <t>PPL/RAW/26-27/381</t>
  </si>
  <si>
    <t>PIL1/D/1252</t>
  </si>
  <si>
    <t>RM 386</t>
  </si>
  <si>
    <t>PPL/26-27/SII01044</t>
  </si>
  <si>
    <t>PPL/RAW/26-27/382</t>
  </si>
  <si>
    <t>GJ12BZ4679</t>
  </si>
  <si>
    <t>K.P. Woven Pvt Ltd-Purchase</t>
  </si>
  <si>
    <t>KPV/D/545</t>
  </si>
  <si>
    <t>RM 387</t>
  </si>
  <si>
    <t>G NAAM LOGISTICS</t>
  </si>
  <si>
    <t>PPL/26-27/SII01045</t>
  </si>
  <si>
    <t>PPL/RAW/26-27/383</t>
  </si>
  <si>
    <t>GJ24X6976</t>
  </si>
  <si>
    <t>HPBL/D/449</t>
  </si>
  <si>
    <t>RM 388</t>
  </si>
  <si>
    <t>PPL/26-27/SII01046</t>
  </si>
  <si>
    <t>PPL/RAW/26-27/384</t>
  </si>
  <si>
    <t>PIL1/D/1259</t>
  </si>
  <si>
    <t>RM 389</t>
  </si>
  <si>
    <t>PPL/26-27/SII01047</t>
  </si>
  <si>
    <t>PPL/RAW/26-27/385</t>
  </si>
  <si>
    <t>KPV/D/547</t>
  </si>
  <si>
    <t>RM 390</t>
  </si>
  <si>
    <t>PPL/26-27/SII01051</t>
  </si>
  <si>
    <t>PPL/RAW/26-27/386</t>
  </si>
  <si>
    <t>GJ12BW5265</t>
  </si>
  <si>
    <t>KPV/D/550</t>
  </si>
  <si>
    <t>RM 391</t>
  </si>
  <si>
    <t>B.R. ROADLINES</t>
  </si>
  <si>
    <t>PPL/26-27/SII01052</t>
  </si>
  <si>
    <t>PPL/RAW/26-27/388</t>
  </si>
  <si>
    <t>PIL1/D/1268</t>
  </si>
  <si>
    <t>RM 392</t>
  </si>
  <si>
    <t>WIP00151</t>
  </si>
  <si>
    <t>PP MF Yarn Twisted 1000 UV NW</t>
  </si>
  <si>
    <t>WIP00191</t>
  </si>
  <si>
    <t>PP MF Yarn Twisted 3000 Denier UV NW</t>
  </si>
  <si>
    <t>PPL/26-27/SII01053</t>
  </si>
  <si>
    <t>RAW06198</t>
  </si>
  <si>
    <t>UV PIL NFG 20LD</t>
  </si>
  <si>
    <t>PPL/RAW/26-27/389</t>
  </si>
  <si>
    <t>GJ06BT5602</t>
  </si>
  <si>
    <t>PIL2/D/441</t>
  </si>
  <si>
    <t>RM 393</t>
  </si>
  <si>
    <t>S.R. ROADWWAYS</t>
  </si>
  <si>
    <t>PPL/26-27/SII01054</t>
  </si>
  <si>
    <t>PPL/RAW/26-27/390</t>
  </si>
  <si>
    <t>GJ12CT8255</t>
  </si>
  <si>
    <t>PIL2/D/442</t>
  </si>
  <si>
    <t>RM 394</t>
  </si>
  <si>
    <t>KUTCH RATNAM ROADLINES</t>
  </si>
  <si>
    <t>PPL/26-27/SII01066</t>
  </si>
  <si>
    <t>PPL/RAW/26-27/391</t>
  </si>
  <si>
    <t>PIL1/D/1282</t>
  </si>
  <si>
    <t>RM 395</t>
  </si>
  <si>
    <t>WIP00236</t>
  </si>
  <si>
    <t>PP Braided Rope MW 6 to 8 GPM</t>
  </si>
  <si>
    <t>PPL/26-27/SII01067</t>
  </si>
  <si>
    <t>PPL/RAW/26-27/392</t>
  </si>
  <si>
    <t>Hcp Plastene Bulkpack Ltd (Unit-Iv) - Purchase</t>
  </si>
  <si>
    <t>HPBL4/D/199</t>
  </si>
  <si>
    <t>RM 396</t>
  </si>
  <si>
    <t>WEBBING 50X40 ORANGE COLOUR 13 BUNDLE</t>
  </si>
  <si>
    <t>PPL/26-27/SII01069</t>
  </si>
  <si>
    <t>PPL/RAW/26-27/393</t>
  </si>
  <si>
    <t>PIL1/D/1289</t>
  </si>
  <si>
    <t>RM 397</t>
  </si>
  <si>
    <t>PPL/26-27/SII01070</t>
  </si>
  <si>
    <t>PPL/RAW/26-27/394</t>
  </si>
  <si>
    <t>PIL2/D/453</t>
  </si>
  <si>
    <t>RM 398</t>
  </si>
  <si>
    <t>S.R. ROADWAYS</t>
  </si>
  <si>
    <t>PPL/26-27/SII01077</t>
  </si>
  <si>
    <t>SMF00052</t>
  </si>
  <si>
    <t>PP Fibrillated Tape Twisted 3200 Blue</t>
  </si>
  <si>
    <t>PPL/RAW/26-27/395</t>
  </si>
  <si>
    <t>GJ18BT4656</t>
  </si>
  <si>
    <t>KPV/D/561</t>
  </si>
  <si>
    <t>RM 399</t>
  </si>
  <si>
    <t>SHREENA  ROADWAYS</t>
  </si>
  <si>
    <t>PPL/26-27/SII01078</t>
  </si>
  <si>
    <t>PPL/RAW/26-27/396</t>
  </si>
  <si>
    <t>HPBL/D/456</t>
  </si>
  <si>
    <t>RM 400</t>
  </si>
  <si>
    <t>PPL/26-27/SII01086</t>
  </si>
  <si>
    <t>PPL/RAW/26-27/398</t>
  </si>
  <si>
    <t>PIL1/D/1296</t>
  </si>
  <si>
    <t>RM 401</t>
  </si>
  <si>
    <t>PPL/26-27/SII01087</t>
  </si>
  <si>
    <t>PPL/RAW/26-27/399</t>
  </si>
  <si>
    <t>PIL1/D/1304</t>
  </si>
  <si>
    <t>RM 402</t>
  </si>
  <si>
    <t>PPL/26-27/SII01091</t>
  </si>
  <si>
    <t>PPL/RAW/26-27/401</t>
  </si>
  <si>
    <t>GJ12BZ3414</t>
  </si>
  <si>
    <t>PIL2/D/468</t>
  </si>
  <si>
    <t>RM 403</t>
  </si>
  <si>
    <t>PPL/26-27/SII01092</t>
  </si>
  <si>
    <t>PPL/RAW/26-27/402</t>
  </si>
  <si>
    <t>PIL1/D/1310</t>
  </si>
  <si>
    <t>RM 404</t>
  </si>
  <si>
    <t>PPL/26-27/SII01093</t>
  </si>
  <si>
    <t>PPL/RAW/26-27/403</t>
  </si>
  <si>
    <t>HPBL4/D/204</t>
  </si>
  <si>
    <t>RM 405</t>
  </si>
  <si>
    <t>PPL/26-27/SII01094</t>
  </si>
  <si>
    <t>PPL/RAW/26-27/404</t>
  </si>
  <si>
    <t>GJ16Z8614</t>
  </si>
  <si>
    <t>PIL2/D/457</t>
  </si>
  <si>
    <t>RM 406</t>
  </si>
  <si>
    <t>PPL/26-27/SII01095</t>
  </si>
  <si>
    <t>PPL/RAW/26-27/405</t>
  </si>
  <si>
    <t>KPV/D/568</t>
  </si>
  <si>
    <t>RM 407</t>
  </si>
  <si>
    <t>PPL/26-27/SII01096</t>
  </si>
  <si>
    <t>PPL/RAW/26-27/406</t>
  </si>
  <si>
    <t>GJ24X5687</t>
  </si>
  <si>
    <t>PIL2/D/467</t>
  </si>
  <si>
    <t>RM 408</t>
  </si>
  <si>
    <t>PPL/26-27/SII01097</t>
  </si>
  <si>
    <t>PPL/RAW/26-27/407</t>
  </si>
  <si>
    <t>GJ08AY4021</t>
  </si>
  <si>
    <t>HPBL/D/467</t>
  </si>
  <si>
    <t>RM 409</t>
  </si>
  <si>
    <t>PPL/26-27/SII01098</t>
  </si>
  <si>
    <t>RAW06013</t>
  </si>
  <si>
    <t>Filler Soltex PTUFF23</t>
  </si>
  <si>
    <t>PPL/RAW/26-27/408</t>
  </si>
  <si>
    <t>GJ02ZZ7923</t>
  </si>
  <si>
    <t>PIL1/D/1311</t>
  </si>
  <si>
    <t>RM 410</t>
  </si>
  <si>
    <t>anil</t>
  </si>
  <si>
    <t>PPL/26-27/SII01099</t>
  </si>
  <si>
    <t>RAW06049</t>
  </si>
  <si>
    <t>PP IOCL 1350EG</t>
  </si>
  <si>
    <t>PPL/RAW/26-27/409</t>
  </si>
  <si>
    <t>PIL1/D/1318</t>
  </si>
  <si>
    <t>RM 411</t>
  </si>
  <si>
    <t>PPL/26-27/SII01100</t>
  </si>
  <si>
    <t>PPL/RAW/26-27/410</t>
  </si>
  <si>
    <t>PIL1/D/1317</t>
  </si>
  <si>
    <t>RM 412</t>
  </si>
  <si>
    <t>PPL/26-27/SII01101</t>
  </si>
  <si>
    <t>PPL/RAW/26-27/411</t>
  </si>
  <si>
    <t>PIL1/D/1316</t>
  </si>
  <si>
    <t>RM 413</t>
  </si>
  <si>
    <t>PPL/26-27/SII01103</t>
  </si>
  <si>
    <t>PPL/RAW/26-27/412</t>
  </si>
  <si>
    <t>GJ15AV6440</t>
  </si>
  <si>
    <t>HPBL/D/472</t>
  </si>
  <si>
    <t>RM 414</t>
  </si>
  <si>
    <t>PPL/26-27/SII01111</t>
  </si>
  <si>
    <t>PPL/RAW/26-27/413</t>
  </si>
  <si>
    <t>PIL1/D/1328</t>
  </si>
  <si>
    <t>RM 415</t>
  </si>
  <si>
    <t>PPL/26-27/SII01113</t>
  </si>
  <si>
    <t>PPL/RAW/26-27/414</t>
  </si>
  <si>
    <t>PIL1/D/1333</t>
  </si>
  <si>
    <t>RM 416</t>
  </si>
  <si>
    <t>PPL/26-27/SII01115</t>
  </si>
  <si>
    <t>PPL/RAW/26-27/415</t>
  </si>
  <si>
    <t>PIL1/D/1336</t>
  </si>
  <si>
    <t>RM 417</t>
  </si>
  <si>
    <t>PPL/26-27/SII01117</t>
  </si>
  <si>
    <t>PPL/RAW/26-27/416</t>
  </si>
  <si>
    <t>PIL1/D/1339</t>
  </si>
  <si>
    <t>RM 418</t>
  </si>
  <si>
    <t>PPL/26-27/SII01118</t>
  </si>
  <si>
    <t>PPL/RAW/26-27/417</t>
  </si>
  <si>
    <t>HPBL/D/478</t>
  </si>
  <si>
    <t>RM 419</t>
  </si>
  <si>
    <t>PPL/26-27/SII01137</t>
  </si>
  <si>
    <t>PPL/RAW/26-27/420</t>
  </si>
  <si>
    <t>PIL1/D/1345</t>
  </si>
  <si>
    <t>RM 420</t>
  </si>
  <si>
    <t>PPL/26-27/SII01138</t>
  </si>
  <si>
    <t>PPL/RAW/26-27/418</t>
  </si>
  <si>
    <t>PIL1/D/1346</t>
  </si>
  <si>
    <t>RM 421</t>
  </si>
  <si>
    <t>PPL/26-27/SII01139</t>
  </si>
  <si>
    <t>PPL/RAW/26-27/419</t>
  </si>
  <si>
    <t>KPV/D/585</t>
  </si>
  <si>
    <t>RM 422</t>
  </si>
  <si>
    <t>PPL/26-27/SII01140</t>
  </si>
  <si>
    <t>PPL/RAW/26-27/421</t>
  </si>
  <si>
    <t>GJ12CT5713</t>
  </si>
  <si>
    <t>PIL2/D/486</t>
  </si>
  <si>
    <t>RM 423</t>
  </si>
  <si>
    <t>PPL/26-27/SII01143</t>
  </si>
  <si>
    <t>PPL/RAW/26-27/422</t>
  </si>
  <si>
    <t>PIL1/D/1353</t>
  </si>
  <si>
    <t>RM 424</t>
  </si>
  <si>
    <t>MUL07658</t>
  </si>
  <si>
    <t>Stretch Film 300mmx29Mic</t>
  </si>
  <si>
    <t>Packing Material</t>
  </si>
  <si>
    <t>Stretch Film</t>
  </si>
  <si>
    <t>13-08-2026</t>
  </si>
  <si>
    <t>PPL/26-27/SII01144</t>
  </si>
  <si>
    <t>PPL/RAW/26-27/423</t>
  </si>
  <si>
    <t>GJ02VV1046</t>
  </si>
  <si>
    <t>PIL2/D/487</t>
  </si>
  <si>
    <t>RM 425</t>
  </si>
  <si>
    <t>PPL/26-27/SII01145</t>
  </si>
  <si>
    <t>RAW05955</t>
  </si>
  <si>
    <t>MB Chandan Shiny Black</t>
  </si>
  <si>
    <t>PPL/RAW/26-27/387</t>
  </si>
  <si>
    <t>GJ39TA5828</t>
  </si>
  <si>
    <t>Simandhar Poly Industries - Unit 2</t>
  </si>
  <si>
    <t>2936/26-27</t>
  </si>
  <si>
    <t>RM 426</t>
  </si>
  <si>
    <t>KUTCH HIGHWAY TRANSPORT CO</t>
  </si>
  <si>
    <t>24ADKFS4569F1ZS</t>
  </si>
  <si>
    <t>rmp2</t>
  </si>
  <si>
    <t>PPL/26-27/SII01151</t>
  </si>
  <si>
    <t>PPL/RAW/26-27/424</t>
  </si>
  <si>
    <t>PIL1/D/1363</t>
  </si>
  <si>
    <t>RM 427</t>
  </si>
  <si>
    <t>14-08-2026</t>
  </si>
  <si>
    <t>PPL/26-27/SII01158</t>
  </si>
  <si>
    <t>PPL/RAW/26-27/425</t>
  </si>
  <si>
    <t>PIL1/D/1371</t>
  </si>
  <si>
    <t>RM 428</t>
  </si>
  <si>
    <t>PPL/26-27/SII01159</t>
  </si>
  <si>
    <t>PPL/RAW/26-27/426</t>
  </si>
  <si>
    <t>HPBL/D/491</t>
  </si>
  <si>
    <t>RM 429</t>
  </si>
  <si>
    <t>PPL/26-27/SII01160</t>
  </si>
  <si>
    <t>PPL/RAW/26-27/427</t>
  </si>
  <si>
    <t>GJ01LT5751</t>
  </si>
  <si>
    <t>KPV/D/598</t>
  </si>
  <si>
    <t>RM 430</t>
  </si>
  <si>
    <t>B.K ROADWAYS</t>
  </si>
  <si>
    <t>PPL/26-27/SII01161</t>
  </si>
  <si>
    <t>PPL/RAW/26-27/428</t>
  </si>
  <si>
    <t>KPV/D/599</t>
  </si>
  <si>
    <t>RM 431</t>
  </si>
  <si>
    <t>PPL/26-27/SII01162</t>
  </si>
  <si>
    <t>PPL/RAW/26-27/429</t>
  </si>
  <si>
    <t>GJ31T5367</t>
  </si>
  <si>
    <t>PIL2/D/490</t>
  </si>
  <si>
    <t>RM 432</t>
  </si>
  <si>
    <t>PPL/26-27/SII01165</t>
  </si>
  <si>
    <t>PPL/RAW/26-27/430</t>
  </si>
  <si>
    <t>PIL1/D/1377</t>
  </si>
  <si>
    <t>RM 433</t>
  </si>
  <si>
    <t>15-08-2026</t>
  </si>
  <si>
    <t>PPL/26-27/SII01168</t>
  </si>
  <si>
    <t>WIP00193</t>
  </si>
  <si>
    <t>PP MF Yarn Twisted 3000 Denier UV Deep Blue</t>
  </si>
  <si>
    <t>PPL/RAW/26-27/431</t>
  </si>
  <si>
    <t>PIL1/D/1385</t>
  </si>
  <si>
    <t>RM 434</t>
  </si>
  <si>
    <t>PPL/26-27/SII01169</t>
  </si>
  <si>
    <t>PPL/RAW/26-27/432</t>
  </si>
  <si>
    <t>GJ24X5012</t>
  </si>
  <si>
    <t>PIL2/D/496</t>
  </si>
  <si>
    <t>RM 435</t>
  </si>
  <si>
    <t>16-08-2026</t>
  </si>
  <si>
    <t>PPL/26-27/SII01175</t>
  </si>
  <si>
    <t>PPL/RAW/26-27/433</t>
  </si>
  <si>
    <t>KPV/D/603</t>
  </si>
  <si>
    <t>RM 436</t>
  </si>
  <si>
    <t>PPL/26-27/SII01176</t>
  </si>
  <si>
    <t>PPL/RAW/26-27/434</t>
  </si>
  <si>
    <t>GJ12BZ6275</t>
  </si>
  <si>
    <t>PIL2/D/499</t>
  </si>
  <si>
    <t>RM 437</t>
  </si>
  <si>
    <t>682162657850/642162661367</t>
  </si>
  <si>
    <t>PPL/26-27/SII01177</t>
  </si>
  <si>
    <t>PPL/RAW/26-27/435</t>
  </si>
  <si>
    <t>GJ39TA3045</t>
  </si>
  <si>
    <t>PIL2/D/500</t>
  </si>
  <si>
    <t>RM 438</t>
  </si>
  <si>
    <t>PPL/26-27/SII01181</t>
  </si>
  <si>
    <t>PPL/RAW/26-27/436</t>
  </si>
  <si>
    <t>PIL1/D/1391</t>
  </si>
  <si>
    <t>RM 439</t>
  </si>
  <si>
    <t>B.K. ROADWAYS</t>
  </si>
  <si>
    <t>17-08-2026</t>
  </si>
  <si>
    <t>PPL/26-27/SII01183</t>
  </si>
  <si>
    <t>PPL/RAW/26-27/437</t>
  </si>
  <si>
    <t>PIL1/D/1397</t>
  </si>
  <si>
    <t>RM 440</t>
  </si>
  <si>
    <t>PPL/26-27/SII01185</t>
  </si>
  <si>
    <t>RAW05075</t>
  </si>
  <si>
    <t>MB Karnavati Polyplast Blue</t>
  </si>
  <si>
    <t>PPL/RAW/26-27/440</t>
  </si>
  <si>
    <t>PIL1/D/1403</t>
  </si>
  <si>
    <t>RM 441</t>
  </si>
  <si>
    <t>RAW05888</t>
  </si>
  <si>
    <t>MB JJ White WE9381PT</t>
  </si>
  <si>
    <t>RAW06279</t>
  </si>
  <si>
    <t>MB Colman Shiny Black ( RD Black-01 )</t>
  </si>
  <si>
    <t>PPL/26-27/SII01186</t>
  </si>
  <si>
    <t>PPL/RAW/26-27/439</t>
  </si>
  <si>
    <t>PIL1/D/1400</t>
  </si>
  <si>
    <t>RM 442</t>
  </si>
  <si>
    <t>18-08-2026</t>
  </si>
  <si>
    <t>PPL/26-27/SII01189</t>
  </si>
  <si>
    <t>PPL/RAW/26-27/441</t>
  </si>
  <si>
    <t>KPV/D/614</t>
  </si>
  <si>
    <t>RM 443</t>
  </si>
  <si>
    <t>PPL/26-27/SII01190</t>
  </si>
  <si>
    <t>PPL/RAW/26-27/442</t>
  </si>
  <si>
    <t>GJ01HT6739</t>
  </si>
  <si>
    <t>HPBL/D/500</t>
  </si>
  <si>
    <t>RM 444</t>
  </si>
  <si>
    <t>PPL/26-27/SII01200</t>
  </si>
  <si>
    <t>PPL/RAW/26-27/443</t>
  </si>
  <si>
    <t>PIL1/D/1415</t>
  </si>
  <si>
    <t>RM 445</t>
  </si>
  <si>
    <t>19-08-2026</t>
  </si>
  <si>
    <t>PPL/26-27/SII01201</t>
  </si>
  <si>
    <t>PPL/RAW/26-27/444</t>
  </si>
  <si>
    <t>PIL1/D/1418</t>
  </si>
  <si>
    <t>RM 446</t>
  </si>
  <si>
    <t>PPL/26-27/SII01202</t>
  </si>
  <si>
    <t>PPL/RAW/26-27/445</t>
  </si>
  <si>
    <t>PIL1/D/1421</t>
  </si>
  <si>
    <t>RM 447</t>
  </si>
  <si>
    <t>PPL/26-27/SII01208</t>
  </si>
  <si>
    <t>PPL/RAW/26-27/446</t>
  </si>
  <si>
    <t>PIL1/D/1424</t>
  </si>
  <si>
    <t>RM 448</t>
  </si>
  <si>
    <t>20-08-2026</t>
  </si>
  <si>
    <t>PPL/26-27/SII01213</t>
  </si>
  <si>
    <t>PPL/RAW/26-27/447</t>
  </si>
  <si>
    <t>GJ12BY6521</t>
  </si>
  <si>
    <t>KPV/D/623</t>
  </si>
  <si>
    <t>RM 449</t>
  </si>
  <si>
    <t>PPL/26-27/SII01214</t>
  </si>
  <si>
    <t>PPL/RAW/26-27/448</t>
  </si>
  <si>
    <t>PIL1/D/1434</t>
  </si>
  <si>
    <t>RM 450</t>
  </si>
  <si>
    <t>BOBBIN 1405 PIPE</t>
  </si>
  <si>
    <t>PPL/26-27/SII01226</t>
  </si>
  <si>
    <t>PPL/RAW/26-27/449</t>
  </si>
  <si>
    <t>PIL1/D/1436</t>
  </si>
  <si>
    <t>RM 451</t>
  </si>
  <si>
    <t>21-08-2026</t>
  </si>
  <si>
    <t>PPL/26-27/SII01227</t>
  </si>
  <si>
    <t>PPL/RAW/26-27/450</t>
  </si>
  <si>
    <t>PIL1/D/1440</t>
  </si>
  <si>
    <t>RM 452</t>
  </si>
  <si>
    <t>PPL/26-27/SII01229</t>
  </si>
  <si>
    <t>PPL/RAW/26-27/451</t>
  </si>
  <si>
    <t>PIL1/D/1443</t>
  </si>
  <si>
    <t>RM 453</t>
  </si>
  <si>
    <t>PPL/26-27/SII01232</t>
  </si>
  <si>
    <t>PPL/RAW/26-27/452</t>
  </si>
  <si>
    <t>PIL1/D/1446</t>
  </si>
  <si>
    <t>RM 454</t>
  </si>
  <si>
    <t>PPL/26-27/SII01233</t>
  </si>
  <si>
    <t>RMC00125</t>
  </si>
  <si>
    <t>Ink Vyankatesh Black VLX 579 Tape Tested</t>
  </si>
  <si>
    <t>PPL/RAW/26-27/400</t>
  </si>
  <si>
    <t>GJ08Y7248</t>
  </si>
  <si>
    <t>Vyankatesh Udyog (I) Pvt Ltd - Purchase</t>
  </si>
  <si>
    <t>1453/26-27</t>
  </si>
  <si>
    <t>RM 455</t>
  </si>
  <si>
    <t>V-Trans ( India ) Ltd.</t>
  </si>
  <si>
    <t>RM Consumables</t>
  </si>
  <si>
    <t>27AAECV8365Q1ZC</t>
  </si>
  <si>
    <t>storegrp</t>
  </si>
  <si>
    <t>RMC00124</t>
  </si>
  <si>
    <t>Ink Vyankatesh White VLX 624 Tape Tested</t>
  </si>
  <si>
    <t>RAW05727</t>
  </si>
  <si>
    <t>Ink Vyankatesh Poly Process Blue VLX 643</t>
  </si>
  <si>
    <t>RAW05734</t>
  </si>
  <si>
    <t>Ink Vyankatesh Poly Warm Red C VLX 607</t>
  </si>
  <si>
    <t>RAW05754</t>
  </si>
  <si>
    <t>Ink Vyankatesh Poly Blue 072C  VLX 505</t>
  </si>
  <si>
    <t>RAW05764</t>
  </si>
  <si>
    <t>Thinner Vyankatesh Thinner</t>
  </si>
  <si>
    <t>RAW05728</t>
  </si>
  <si>
    <t>Ink Vyankatesh Poly Process Yellow VLX 671</t>
  </si>
  <si>
    <t>22-08-2026</t>
  </si>
  <si>
    <t>PPL/26-27/SII01235</t>
  </si>
  <si>
    <t>PPL/RAW/26-27/453</t>
  </si>
  <si>
    <t>HPBL/D/519</t>
  </si>
  <si>
    <t>RM 456</t>
  </si>
  <si>
    <t>PPL/26-27/SII01237</t>
  </si>
  <si>
    <t>PPL/RAW/26-27/454</t>
  </si>
  <si>
    <t>PIL2/D/521</t>
  </si>
  <si>
    <t>RM 457</t>
  </si>
  <si>
    <t>SMF00154</t>
  </si>
  <si>
    <t>PP Conductive Tape 1100 Black</t>
  </si>
  <si>
    <t>PPL/26-27/SII01241</t>
  </si>
  <si>
    <t>PPL/RAW/26-27/456</t>
  </si>
  <si>
    <t>PIL1/D/1451</t>
  </si>
  <si>
    <t>RM 458</t>
  </si>
  <si>
    <t>PPL/26-27/SII01242</t>
  </si>
  <si>
    <t>PPL/RAW/26-27/455</t>
  </si>
  <si>
    <t>GJ33T5999</t>
  </si>
  <si>
    <t>PIL2/D/523</t>
  </si>
  <si>
    <t>RM 459</t>
  </si>
  <si>
    <t>23-08-2026</t>
  </si>
  <si>
    <t>PPL/26-27/SII01252</t>
  </si>
  <si>
    <t>PPL/RAW/26-27/457</t>
  </si>
  <si>
    <t>GJ08AY2968</t>
  </si>
  <si>
    <t>PIL2/D/527</t>
  </si>
  <si>
    <t>RM 460</t>
  </si>
  <si>
    <t>PPL/26-27/SII01253</t>
  </si>
  <si>
    <t>PPL/RAW/26-27/458</t>
  </si>
  <si>
    <t>PIL1/D/1459</t>
  </si>
  <si>
    <t>RM 461</t>
  </si>
  <si>
    <t>PPL/26-27/SII01254</t>
  </si>
  <si>
    <t>PPL/RAW/26-27/459</t>
  </si>
  <si>
    <t>PIL1/D/1464</t>
  </si>
  <si>
    <t>RM 462</t>
  </si>
  <si>
    <t>PPL/26-27/SII01255</t>
  </si>
  <si>
    <t>PPL/RAW/26-27/460</t>
  </si>
  <si>
    <t>GJ39T3060</t>
  </si>
  <si>
    <t>HPBL/D/523</t>
  </si>
  <si>
    <t>RM 463</t>
  </si>
  <si>
    <t>PPL/26-27/SII01257</t>
  </si>
  <si>
    <t>PPL/RAW/26-27/461</t>
  </si>
  <si>
    <t>PIL1/D/1468</t>
  </si>
  <si>
    <t>RM 464</t>
  </si>
  <si>
    <t>WIP00181</t>
  </si>
  <si>
    <t>PP MF Yarn Twisted 2500 Denier UV NW</t>
  </si>
  <si>
    <t>24-08-2026</t>
  </si>
  <si>
    <t>PPL/26-27/SII01261</t>
  </si>
  <si>
    <t>PPL/RAW/26-27/462</t>
  </si>
  <si>
    <t>PIL2/D/529</t>
  </si>
  <si>
    <t>RM 465</t>
  </si>
  <si>
    <t>WEBBING SAMPLE</t>
  </si>
  <si>
    <t>PPL/26-27/SII01262</t>
  </si>
  <si>
    <t>PPL/RAW/26-27/463</t>
  </si>
  <si>
    <t>PIL2/D/528</t>
  </si>
  <si>
    <t>RM 466</t>
  </si>
  <si>
    <t>PPL/26-27/SII01264</t>
  </si>
  <si>
    <t>PPL/RAW/26-27/464</t>
  </si>
  <si>
    <t>GJ06AX2024</t>
  </si>
  <si>
    <t>KPV/D/650</t>
  </si>
  <si>
    <t>RM 467</t>
  </si>
  <si>
    <t>Kutch Ratnam Raodways</t>
  </si>
  <si>
    <t>PPL/26-27/SII01265</t>
  </si>
  <si>
    <t>PPL/RAW/26-27/465</t>
  </si>
  <si>
    <t>PIL1/D/1471</t>
  </si>
  <si>
    <t>RM 468</t>
  </si>
  <si>
    <t>PPL/26-27/SII01266</t>
  </si>
  <si>
    <t>PPL/RAW/26-27/466</t>
  </si>
  <si>
    <t>PIL1/D/1472</t>
  </si>
  <si>
    <t>RM 469</t>
  </si>
  <si>
    <t>PPL/26-27/SII01268</t>
  </si>
  <si>
    <t>RAW06298</t>
  </si>
  <si>
    <t>PP JINNENG HP550J</t>
  </si>
  <si>
    <t>PPL/26-27/IMP/3</t>
  </si>
  <si>
    <t>GJ14Z2305-GJ39TA3718-GJ39TA0541-GJ39TB2440-GJ39TA5410</t>
  </si>
  <si>
    <t>HCP Enterprise Ltd-Purchase</t>
  </si>
  <si>
    <t>HCP/26-27/HSS/35</t>
  </si>
  <si>
    <t>IMPORT/HIGH SEA SALES</t>
  </si>
  <si>
    <t>RMIMP 5</t>
  </si>
  <si>
    <t>JAI AMBE TRANSMOVER PVT LTD</t>
  </si>
  <si>
    <t>3592-3593-3629-3549-3551</t>
  </si>
  <si>
    <t>24AAACC7815N1ZI</t>
  </si>
  <si>
    <t>PPL/26-27/SII01270</t>
  </si>
  <si>
    <t>PPL/RAW/26-27/467</t>
  </si>
  <si>
    <t>PIL1/D/1478</t>
  </si>
  <si>
    <t>RM 470</t>
  </si>
  <si>
    <t>25-08-2026</t>
  </si>
  <si>
    <t>PPL/26-27/SII01280</t>
  </si>
  <si>
    <t>PPL/RAW/26-27/468</t>
  </si>
  <si>
    <t>GJ09X0572</t>
  </si>
  <si>
    <t>PIL1/D/1483</t>
  </si>
  <si>
    <t>RM 471</t>
  </si>
  <si>
    <t>PPL/26-27/SII01285</t>
  </si>
  <si>
    <t>PPL/RAW/26-27/470</t>
  </si>
  <si>
    <t>PIL1/D/1487</t>
  </si>
  <si>
    <t>RM 472</t>
  </si>
  <si>
    <t>26-08-2026</t>
  </si>
  <si>
    <t>PPL/26-27/SII01290</t>
  </si>
  <si>
    <t>PPL/RAW/26-27/471</t>
  </si>
  <si>
    <t>PIL1/D/1496</t>
  </si>
  <si>
    <t>RM 473</t>
  </si>
  <si>
    <t>PPL/26-27/SII01293</t>
  </si>
  <si>
    <t>PPL/RAW/26-27/473</t>
  </si>
  <si>
    <t>GJ12BY8900</t>
  </si>
  <si>
    <t>KPV/D/670</t>
  </si>
  <si>
    <t>RM 474</t>
  </si>
  <si>
    <t>G NAAM  LOGISTICS</t>
  </si>
  <si>
    <t>PPL/26-27/SII01294</t>
  </si>
  <si>
    <t>PPL/RAW/26-27/472</t>
  </si>
  <si>
    <t>PIL1/D/1501</t>
  </si>
  <si>
    <t>RM 475</t>
  </si>
  <si>
    <t>PPL/26-27/SII01295</t>
  </si>
  <si>
    <t>PIL1/D/1503</t>
  </si>
  <si>
    <t>RM 476</t>
  </si>
  <si>
    <t>630 BOBBIN</t>
  </si>
  <si>
    <t>27-08-2026</t>
  </si>
  <si>
    <t>PPL/26-27/SII01296</t>
  </si>
  <si>
    <t>PPL/RAW/26-27/474</t>
  </si>
  <si>
    <t>GJ17XX0310</t>
  </si>
  <si>
    <t>HPBL/D/535</t>
  </si>
  <si>
    <t>RM 477</t>
  </si>
  <si>
    <t>PPL/26-27/SII01297</t>
  </si>
  <si>
    <t>PPL/RAW/26-27/475</t>
  </si>
  <si>
    <t>HPBL/D/534</t>
  </si>
  <si>
    <t>RM 478</t>
  </si>
  <si>
    <t>PPL/26-27/SII01298</t>
  </si>
  <si>
    <t>PPL/RAW/26-27/476</t>
  </si>
  <si>
    <t>KPV/D/678</t>
  </si>
  <si>
    <t>RM 479</t>
  </si>
  <si>
    <t>PPL/26-27/SII01301</t>
  </si>
  <si>
    <t>PPL/RAW/26-27/477</t>
  </si>
  <si>
    <t>PIL1/D/1508</t>
  </si>
  <si>
    <t>RM 480</t>
  </si>
  <si>
    <t>PPL/26-27/SII01302</t>
  </si>
  <si>
    <t>PPL/RAW/26-27/478</t>
  </si>
  <si>
    <t>PIL1/D/1507</t>
  </si>
  <si>
    <t>RM 481</t>
  </si>
  <si>
    <t>PPL/26-27/SII01306</t>
  </si>
  <si>
    <t>PPL/RAW/26-27/479</t>
  </si>
  <si>
    <t>PIL1/D/1514</t>
  </si>
  <si>
    <t>RM 482</t>
  </si>
  <si>
    <t>PPL/26-27/SII01307</t>
  </si>
  <si>
    <t>PPL/RAW/26-27/480</t>
  </si>
  <si>
    <t>HPBL/D/525</t>
  </si>
  <si>
    <t>RM 483</t>
  </si>
  <si>
    <t>28-08-2026</t>
  </si>
  <si>
    <t>PPL/26-27/SII01316</t>
  </si>
  <si>
    <t>PPL/RAW/26-27/481</t>
  </si>
  <si>
    <t>PIL1/D/1519</t>
  </si>
  <si>
    <t>RM 484</t>
  </si>
  <si>
    <t>PPL/26-27/SII01318</t>
  </si>
  <si>
    <t>PPL/RAW/26-27/482</t>
  </si>
  <si>
    <t>PIL1/D/1526</t>
  </si>
  <si>
    <t>RM 485</t>
  </si>
  <si>
    <t>PPL/26-27/SII01319</t>
  </si>
  <si>
    <t>PPL/RAW/26-27/483</t>
  </si>
  <si>
    <t>GJ12BT2409</t>
  </si>
  <si>
    <t>HPBL4/D/243</t>
  </si>
  <si>
    <t>RM 486</t>
  </si>
  <si>
    <t>PP WOVEN FABRIC BLUE COLOUR</t>
  </si>
  <si>
    <t>29-08-2026</t>
  </si>
  <si>
    <t>PPL/26-27/SII01324</t>
  </si>
  <si>
    <t>PPL/RAW/26-27/484</t>
  </si>
  <si>
    <t>PIL1/D/1536</t>
  </si>
  <si>
    <t>RM 487</t>
  </si>
  <si>
    <t>30-08-2026</t>
  </si>
  <si>
    <t>PPL/26-27/SII01325</t>
  </si>
  <si>
    <t>PPL/RAW/26-27/485</t>
  </si>
  <si>
    <t>GJ12BY5178</t>
  </si>
  <si>
    <t>HPBL/D/544</t>
  </si>
  <si>
    <t>RM 488</t>
  </si>
  <si>
    <t>PPL/26-27/SII01327</t>
  </si>
  <si>
    <t>PPL/RAW/26-27/486</t>
  </si>
  <si>
    <t>PIL1/D/1541</t>
  </si>
  <si>
    <t>RM 489</t>
  </si>
  <si>
    <t>31-08-2026</t>
  </si>
  <si>
    <t>PPL/26-27/SII01333</t>
  </si>
  <si>
    <t>PPL/RAW/26-27/488</t>
  </si>
  <si>
    <t>PIL1/D/1548</t>
  </si>
  <si>
    <t>RM 490</t>
  </si>
  <si>
    <t>PPL/26-27/SII01334</t>
  </si>
  <si>
    <t>PPL/RAW/26-27/489</t>
  </si>
  <si>
    <t>PIL1/D/1547</t>
  </si>
  <si>
    <t>RM 491</t>
  </si>
  <si>
    <t>PPL/26-27/SII01335</t>
  </si>
  <si>
    <t>PPL/RAW/26-27/490</t>
  </si>
  <si>
    <t>PIL1/D/1546</t>
  </si>
  <si>
    <t>RM 492</t>
  </si>
  <si>
    <t>PPL/26-27/SII01336</t>
  </si>
  <si>
    <t>PPL/RAW/26-27/487</t>
  </si>
  <si>
    <t>GJ39TB1131</t>
  </si>
  <si>
    <t>PIL2/D/554</t>
  </si>
  <si>
    <t>RM 493</t>
  </si>
  <si>
    <t>Kutch  Ratnam Roadways</t>
  </si>
  <si>
    <t>PPL/26-27/SII01337</t>
  </si>
  <si>
    <t>RAW05127</t>
  </si>
  <si>
    <t>PP Basell 456J</t>
  </si>
  <si>
    <t>PPL/RAW/26-27/491</t>
  </si>
  <si>
    <t>GJ12AT5094</t>
  </si>
  <si>
    <t>PIL1/D/1549</t>
  </si>
  <si>
    <t>RM 494</t>
  </si>
  <si>
    <t>R.M.P.</t>
  </si>
  <si>
    <t>Purchase Withinstate - Raw Material</t>
  </si>
  <si>
    <t>LDPE Granuels</t>
  </si>
  <si>
    <t>Master Batch</t>
  </si>
  <si>
    <t>FILLER CACO3</t>
  </si>
  <si>
    <t>General Purchase</t>
  </si>
  <si>
    <t>Purchase Withinstate- Stores, Spares &amp; Consumable</t>
  </si>
  <si>
    <t>INK</t>
  </si>
  <si>
    <t>IMP-RM</t>
  </si>
  <si>
    <t>Purchase Raw Material - High Seas</t>
  </si>
  <si>
    <t>Purchase Withinstate - Traded Goods</t>
  </si>
  <si>
    <t>PPL/26-27/SII01071</t>
  </si>
  <si>
    <t>PPL/CON/26-27/135</t>
  </si>
  <si>
    <t>Brahmani Labels</t>
  </si>
  <si>
    <t>30-07-2026</t>
  </si>
  <si>
    <t>GENERAL</t>
  </si>
  <si>
    <t>CONSUMABLES</t>
  </si>
  <si>
    <t>GNCN 137</t>
  </si>
  <si>
    <t>POLESY LABEL 9X11" TWO COLOR 5400PCS</t>
  </si>
  <si>
    <t>SHREE SAHJANAND LOGISTICS</t>
  </si>
  <si>
    <t>1/11066</t>
  </si>
  <si>
    <t>Printing &amp; Stationery</t>
  </si>
  <si>
    <t>24CIAPP4681A1ZK</t>
  </si>
  <si>
    <t>PPL/26-27/SII01072</t>
  </si>
  <si>
    <t>PPL/CON/26-27/136</t>
  </si>
  <si>
    <t>GNCN 138</t>
  </si>
  <si>
    <t>POLESY LABEL 9X11" TWO COLOR 12600PCS.</t>
  </si>
  <si>
    <t>POLESY LABEL 9X11" TWO COLOR 8005PCS</t>
  </si>
  <si>
    <t>PPL/26-27/SII01073</t>
  </si>
  <si>
    <t>SMF00149</t>
  </si>
  <si>
    <t>Tyvek Labels</t>
  </si>
  <si>
    <t>PPL/CON/26-27/138</t>
  </si>
  <si>
    <t>Sq Meter</t>
  </si>
  <si>
    <t>Shree Kdk Enterprise</t>
  </si>
  <si>
    <t>26-27/0269</t>
  </si>
  <si>
    <t>GNCN 139</t>
  </si>
  <si>
    <t>TYVEK LABEL PELIGRO LABEL SIZE- 11"X8" 5000PCS 12.80KG</t>
  </si>
  <si>
    <t>H K TRAVELLS</t>
  </si>
  <si>
    <t>FIBC Accessories</t>
  </si>
  <si>
    <t>23AMAPK7277K1ZU</t>
  </si>
  <si>
    <t>TYVEK LABEL SOURTHAN LABEL SIZE- 7" X 10" 7100PCS 14.460KG</t>
  </si>
  <si>
    <t>PPL/26-27/SII01074</t>
  </si>
  <si>
    <t>PPL/CON/26-27/137</t>
  </si>
  <si>
    <t>26-27/0271</t>
  </si>
  <si>
    <t>31-07-2026</t>
  </si>
  <si>
    <t>GNCN 140</t>
  </si>
  <si>
    <t>TYVEK LABEL PELIGRO SIZE- 11" X 8" 9200PCS. 23.360KG</t>
  </si>
  <si>
    <t>HK TRAVELS</t>
  </si>
  <si>
    <t>PPL/26-27/SII01126</t>
  </si>
  <si>
    <t>PPL/CON/26-27/149</t>
  </si>
  <si>
    <t>Brahmani Printers</t>
  </si>
  <si>
    <t>GNCN 150</t>
  </si>
  <si>
    <t>POLESY LABEL 670PCS.</t>
  </si>
  <si>
    <t>Shree Sahajanand Travels</t>
  </si>
  <si>
    <t>1/11612</t>
  </si>
  <si>
    <t>24CSJPP6974M1ZU</t>
  </si>
  <si>
    <t>PPL/26-27/SII01127</t>
  </si>
  <si>
    <t>PPL/CON/26-27/147</t>
  </si>
  <si>
    <t>GNCN 151</t>
  </si>
  <si>
    <t>SADLEIRS SIZE- 9X13" 20000PCS</t>
  </si>
  <si>
    <t>PPL/26-27/SII01128</t>
  </si>
  <si>
    <t>PPL/CON/26-27/148</t>
  </si>
  <si>
    <t>GNCN 152</t>
  </si>
  <si>
    <t>PPL/26-27/SII01171</t>
  </si>
  <si>
    <t>PPL/CON/26-27/164</t>
  </si>
  <si>
    <t>GNCN 161</t>
  </si>
  <si>
    <t>Consumables</t>
  </si>
  <si>
    <t>PPL/26-27/SII01172</t>
  </si>
  <si>
    <t>PPL/CON/26-27/165</t>
  </si>
  <si>
    <t>GNCN 162</t>
  </si>
  <si>
    <t>PPL/26-27/SII01174</t>
  </si>
  <si>
    <t>PPL/CON/26-27/163</t>
  </si>
  <si>
    <t>26-27/0290</t>
  </si>
  <si>
    <t>GNCN 163</t>
  </si>
  <si>
    <t>H.K. TRAVELS</t>
  </si>
  <si>
    <t>PPL/26-27/SII01192</t>
  </si>
  <si>
    <t>PPL/CON/26-27/166</t>
  </si>
  <si>
    <t>Parsva Trading</t>
  </si>
  <si>
    <t>GNCN 165</t>
  </si>
  <si>
    <t>24AMOPG6602J2Z0</t>
  </si>
  <si>
    <t>PPL/26-27/SII01259</t>
  </si>
  <si>
    <t>PPL/CON/26-27/170</t>
  </si>
  <si>
    <t>GNCN 169</t>
  </si>
  <si>
    <t>POLESY LABEL 9X11" TWO COLOR 425PCS</t>
  </si>
  <si>
    <t>Stores/Spares</t>
  </si>
  <si>
    <t>INV CANCELLED</t>
  </si>
  <si>
    <t>Purchase Interstate- Stores, Spares &amp; Consumable</t>
  </si>
  <si>
    <t>pp bags</t>
  </si>
  <si>
    <t>K.P. Woven Pvt Ltd - Unit 3 -Purchase</t>
  </si>
  <si>
    <t>KPW3/E/092</t>
  </si>
  <si>
    <t>Purchase-Import - Third Party</t>
  </si>
  <si>
    <t>KPW3/E/093</t>
  </si>
  <si>
    <t>KPW3/E/100</t>
  </si>
  <si>
    <t>KPW3/E/104</t>
  </si>
  <si>
    <t>KPW3/E/105</t>
  </si>
  <si>
    <t>KPW3/E/106</t>
  </si>
  <si>
    <t>KPW3/E/107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</si>
</sst>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Tahoma"/>
      <family val="2"/>
    </font>
    <font>
      <b/>
      <sz val="9"/>
      <color indexed="81"/>
      <name val="Tahoma"/>
      <family val="2"/>
    </font>
    <font>
      <b/>
      <sz val="9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Fill="1" applyAlignment="1">
      <alignment horizontal="right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0" fillId="0" borderId="0" xfId="0" applyAlignment="1"/>
    <xf numFmtId="0" fontId="2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right" vertical="center"/>
    </xf>
    <xf numFmtId="0" fontId="1" fillId="0" borderId="0" xfId="0" applyFont="1" applyFill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0" applyFont="1" applyAlignment="1">
      <alignment horizontal="right"/>
    </xf>
    <xf numFmtId="1" fontId="0" fillId="0" borderId="0" xfId="0" applyNumberFormat="1"/>
    <xf numFmtId="0" fontId="3" fillId="0" borderId="0" xfId="0" applyFont="1" applyAlignment="1"/>
    <xf numFmtId="0" fontId="0" fillId="0" borderId="0" xfId="0" applyFill="1" applyAlignment="1"/>
    <xf numFmtId="0" fontId="0" fillId="0" borderId="0" xfId="0" applyFill="1" applyAlignment="1">
      <alignment horizontal="center"/>
    </xf>
    <xf numFmtId="2" fontId="0" fillId="0" borderId="0" xfId="0" applyNumberFormat="1"/>
    <xf numFmtId="17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vertical="center"/>
    </xf>
    <xf numFmtId="0" fontId="0" fillId="0" borderId="0" xfId="0" applyNumberFormat="1" applyFont="1"/>
    <xf numFmtId="0" fontId="1" fillId="2" borderId="0" xfId="0" applyFont="1" applyFill="1" applyAlignment="1">
      <alignment horizontal="center"/>
    </xf>
    <xf numFmtId="14" fontId="4" fillId="0" borderId="0" xfId="0" applyNumberFormat="1" applyFont="1"/>
    <xf numFmtId="0" fontId="4" fillId="0" borderId="0" xfId="0" applyFont="1"/>
    <xf numFmtId="14" fontId="4" fillId="0" borderId="0" xfId="0" applyNumberFormat="1" applyFont="1" applyAlignment="1"/>
    <xf numFmtId="0" fontId="4" fillId="0" borderId="0" xfId="0" applyFont="1" applyAlignment="1"/>
    <xf numFmtId="14" fontId="4" fillId="3" borderId="0" xfId="0" applyNumberFormat="1" applyFont="1" applyFill="1"/>
    <xf numFmtId="0" fontId="4" fillId="3" borderId="0" xfId="0" applyFont="1" applyFill="1"/>
    <xf numFmtId="22" fontId="0" fillId="0" borderId="0" xfId="0" applyNumberFormat="1" applyAlignment="1">
      <alignment vertical="center"/>
    </xf>
    <xf numFmtId="4" fontId="0" fillId="0" borderId="0" xfId="0" applyNumberFormat="1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Font="1" applyAlignment="1">
      <alignment vertical="center"/>
    </xf>
    <xf numFmtId="0" fontId="6" fillId="3" borderId="0" xfId="0" applyFont="1" applyFill="1"/>
    <xf numFmtId="4" fontId="0" fillId="0" borderId="0" xfId="0" applyNumberFormat="1" applyFont="1" applyAlignment="1">
      <alignment vertical="center"/>
    </xf>
    <xf numFmtId="0" fontId="4" fillId="0" borderId="0" xfId="0" applyFont="1" applyFill="1"/>
  </cellXfs>
  <cellStyles count="1">
    <cellStyle name="Normal" xfId="0" builtinId="0"/>
  </cellStyles>
  <dxfs count="26"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EBITDA-Monthly\26-27\Aug-2026\QTY%20Reco%20Aug-26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EBITDA-Monthly\26-27\Aug-2026\QTY%20Reco%20Aug-26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EBITDA-Monthly\26-27\Aug-2026\QTY%20Reco%20Aug-26.xlsx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EBITDA-Monthly\26-27\Aug-2026\QTY%20Reco%20Aug-26.xlsx" TargetMode="External"/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hor" refreshedDate="46269.466770601852" createdVersion="5" refreshedVersion="5" minRefreshableVersion="3" recordCount="215">
  <cacheSource type="worksheet">
    <worksheetSource ref="B1:AG234" sheet="Sale-Account" r:id="rId2"/>
  </cacheSource>
  <cacheFields count="32">
    <cacheField name="Date" numFmtId="0">
      <sharedItems containsNonDate="0" containsDate="1" containsString="0" containsBlank="1" minDate="2026-08-01T00:00:00" maxDate="2026-09-01T00:00:00"/>
    </cacheField>
    <cacheField name="Particular" numFmtId="0">
      <sharedItems containsBlank="1"/>
    </cacheField>
    <cacheField name="Voucher Type" numFmtId="0">
      <sharedItems containsBlank="1"/>
    </cacheField>
    <cacheField name="Voucher No" numFmtId="0">
      <sharedItems containsBlank="1" containsMixedTypes="1" containsNumber="1" containsInteger="1" minValue="435" maxValue="563"/>
    </cacheField>
    <cacheField name="Type" numFmtId="0">
      <sharedItems containsBlank="1"/>
    </cacheField>
    <cacheField name="Invoice No" numFmtId="0">
      <sharedItems containsBlank="1"/>
    </cacheField>
    <cacheField name="Invoice Date" numFmtId="0">
      <sharedItems containsNonDate="0" containsDate="1" containsString="0" containsBlank="1" minDate="2026-08-01T00:00:00" maxDate="2026-09-01T00:00:00"/>
    </cacheField>
    <cacheField name="Main Grp" numFmtId="0">
      <sharedItems containsBlank="1"/>
    </cacheField>
    <cacheField name="Group Name" numFmtId="0">
      <sharedItems containsBlank="1"/>
    </cacheField>
    <cacheField name="Sub Grup" numFmtId="0">
      <sharedItems containsBlank="1" count="18">
        <s v="PP Webbing-Export"/>
        <s v="PP UL Fabric-Export"/>
        <s v="PP Lam Fabric-Export"/>
        <s v="FIBC Bags"/>
        <s v="PP UL Fabric"/>
        <s v="PE Film"/>
        <s v="FIBC Bags-TP"/>
        <s v="FIBC WIP"/>
        <s v="PP Lam Fabric"/>
        <s v="FIBC Bags-Export"/>
        <s v="PP Webbing"/>
        <s v="PP Tapes"/>
        <s v="PP Bags"/>
        <s v="PP Yarn"/>
        <s v="Wastage/Scrap"/>
        <s v="LDPE/LLDPE Bags"/>
        <s v="RP Granules"/>
        <m/>
      </sharedItems>
    </cacheField>
    <cacheField name="sales Group Name" numFmtId="0">
      <sharedItems containsBlank="1"/>
    </cacheField>
    <cacheField name="Item Name" numFmtId="0">
      <sharedItems containsBlank="1"/>
    </cacheField>
    <cacheField name="Quantity" numFmtId="0">
      <sharedItems containsString="0" containsBlank="1" containsNumber="1" minValue="2.2999999999999998" maxValue="22263"/>
    </cacheField>
    <cacheField name="Amount" numFmtId="0">
      <sharedItems containsString="0" containsBlank="1" containsNumber="1" minValue="749.8" maxValue="5691981.21"/>
    </cacheField>
    <cacheField name="Item Desc" numFmtId="0">
      <sharedItems containsBlank="1"/>
    </cacheField>
    <cacheField name="Bill Amount" numFmtId="0">
      <sharedItems containsString="0" containsBlank="1" containsNumber="1" minValue="0" maxValue="6710845.8499999996"/>
    </cacheField>
    <cacheField name="CGST Rate" numFmtId="0">
      <sharedItems containsString="0" containsBlank="1" containsNumber="1" minValue="0" maxValue="9"/>
    </cacheField>
    <cacheField name="CGST Amt" numFmtId="0">
      <sharedItems containsString="0" containsBlank="1" containsNumber="1" minValue="0" maxValue="512278.31"/>
    </cacheField>
    <cacheField name="SGST Rate" numFmtId="0">
      <sharedItems containsString="0" containsBlank="1" containsNumber="1" minValue="0" maxValue="9"/>
    </cacheField>
    <cacheField name="SGST Amt" numFmtId="0">
      <sharedItems containsString="0" containsBlank="1" containsNumber="1" minValue="0" maxValue="512278.31"/>
    </cacheField>
    <cacheField name="IGST Rate" numFmtId="0">
      <sharedItems containsString="0" containsBlank="1" containsNumber="1" containsInteger="1" minValue="0" maxValue="18"/>
    </cacheField>
    <cacheField name="IGST Amt" numFmtId="0">
      <sharedItems containsString="0" containsBlank="1" containsNumber="1" minValue="0" maxValue="160520.4"/>
    </cacheField>
    <cacheField name="Freight GST" numFmtId="0">
      <sharedItems containsString="0" containsBlank="1" containsNumber="1" containsInteger="1" minValue="0" maxValue="3960"/>
    </cacheField>
    <cacheField name="Total GST" numFmtId="0">
      <sharedItems containsString="0" containsBlank="1" containsNumber="1" minValue="0" maxValue="1024556.62"/>
    </cacheField>
    <cacheField name="TCS" numFmtId="0">
      <sharedItems containsString="0" containsBlank="1" containsNumber="1" minValue="0" maxValue="938.1"/>
    </cacheField>
    <cacheField name="GST-IN" numFmtId="0">
      <sharedItems containsBlank="1"/>
    </cacheField>
    <cacheField name="Unit" numFmtId="0">
      <sharedItems containsBlank="1"/>
    </cacheField>
    <cacheField name="HSN Code" numFmtId="0">
      <sharedItems containsString="0" containsBlank="1" containsNumber="1" containsInteger="1" minValue="392310" maxValue="63053200"/>
    </cacheField>
    <cacheField name="Currencty" numFmtId="0">
      <sharedItems containsBlank="1"/>
    </cacheField>
    <cacheField name="Exc.Rate" numFmtId="0">
      <sharedItems containsString="0" containsBlank="1" containsNumber="1" minValue="1" maxValue="108.05"/>
    </cacheField>
    <cacheField name="Net Wt" numFmtId="0">
      <sharedItems containsString="0" containsBlank="1" containsNumber="1" minValue="2.2999999999999998" maxValue="22263"/>
    </cacheField>
    <cacheField name="Country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uthor" refreshedDate="46269.466804050928" createdVersion="5" refreshedVersion="5" minRefreshableVersion="3" recordCount="223">
  <cacheSource type="worksheet">
    <worksheetSource ref="B1:BB224" sheet="Dispatch-GST Report" r:id="rId2"/>
  </cacheSource>
  <cacheFields count="53">
    <cacheField name="companyname" numFmtId="0">
      <sharedItems containsBlank="1"/>
    </cacheField>
    <cacheField name="InvNo" numFmtId="0">
      <sharedItems containsBlank="1" containsMixedTypes="1" containsNumber="1" containsInteger="1" minValue="435" maxValue="563"/>
    </cacheField>
    <cacheField name="Invdate" numFmtId="0">
      <sharedItems containsNonDate="0" containsDate="1" containsString="0" containsBlank="1" minDate="2026-08-01T00:00:00" maxDate="2026-09-01T00:00:00"/>
    </cacheField>
    <cacheField name="Buyername" numFmtId="0">
      <sharedItems containsBlank="1"/>
    </cacheField>
    <cacheField name="VehicalNo" numFmtId="0">
      <sharedItems containsBlank="1"/>
    </cacheField>
    <cacheField name="Commodity" numFmtId="0">
      <sharedItems containsBlank="1"/>
    </cacheField>
    <cacheField name="ItemDesc" numFmtId="0">
      <sharedItems containsBlank="1"/>
    </cacheField>
    <cacheField name="Rate" numFmtId="0">
      <sharedItems containsString="0" containsBlank="1" containsNumber="1" minValue="1.1499999999999999" maxValue="650"/>
    </cacheField>
    <cacheField name="qty" numFmtId="0">
      <sharedItems containsString="0" containsBlank="1" containsNumber="1" minValue="2.2999999999999998" maxValue="22263"/>
    </cacheField>
    <cacheField name="Unit" numFmtId="0">
      <sharedItems containsBlank="1"/>
    </cacheField>
    <cacheField name="Amount" numFmtId="0">
      <sharedItems containsString="0" containsBlank="1" containsNumber="1" minValue="749.8" maxValue="5691981.21"/>
    </cacheField>
    <cacheField name="Netwt" numFmtId="0">
      <sharedItems containsString="0" containsBlank="1" containsNumber="1" minValue="2.2999999999999998" maxValue="22263"/>
    </cacheField>
    <cacheField name="Grosswt" numFmtId="0">
      <sharedItems containsString="0" containsBlank="1" containsNumber="1" minValue="2.2999999999999998" maxValue="22263"/>
    </cacheField>
    <cacheField name="Totalamt" numFmtId="0">
      <sharedItems containsString="0" containsBlank="1" containsNumber="1" minValue="0" maxValue="6716537.8300000001"/>
    </cacheField>
    <cacheField name="Deptt" numFmtId="0">
      <sharedItems containsBlank="1"/>
    </cacheField>
    <cacheField name="itemdeptt" numFmtId="0">
      <sharedItems containsBlank="1"/>
    </cacheField>
    <cacheField name="OrderNo" numFmtId="0">
      <sharedItems containsNonDate="0" containsString="0" containsBlank="1"/>
    </cacheField>
    <cacheField name="Remarks" numFmtId="0">
      <sharedItems containsNonDate="0" containsString="0" containsBlank="1"/>
    </cacheField>
    <cacheField name="Currency" numFmtId="0">
      <sharedItems containsBlank="1"/>
    </cacheField>
    <cacheField name="ExRate" numFmtId="0">
      <sharedItems containsString="0" containsBlank="1" containsNumber="1" minValue="1" maxValue="108.05"/>
    </cacheField>
    <cacheField name="beingexport" numFmtId="0">
      <sharedItems containsBlank="1"/>
    </cacheField>
    <cacheField name="CGSTrate" numFmtId="0">
      <sharedItems containsString="0" containsBlank="1" containsNumber="1" minValue="0" maxValue="9"/>
    </cacheField>
    <cacheField name="CGSTamt" numFmtId="0">
      <sharedItems containsString="0" containsBlank="1" containsNumber="1" minValue="0" maxValue="512278.31"/>
    </cacheField>
    <cacheField name="SGSTRate" numFmtId="0">
      <sharedItems containsString="0" containsBlank="1" containsNumber="1" minValue="0" maxValue="9"/>
    </cacheField>
    <cacheField name="SGSTAmt" numFmtId="0">
      <sharedItems containsString="0" containsBlank="1" containsNumber="1" minValue="0" maxValue="512278.31"/>
    </cacheField>
    <cacheField name="IGSTrate" numFmtId="0">
      <sharedItems containsString="0" containsBlank="1" containsNumber="1" containsInteger="1" minValue="0" maxValue="18"/>
    </cacheField>
    <cacheField name="IGSTAmt" numFmtId="0">
      <sharedItems containsString="0" containsBlank="1" containsNumber="1" minValue="0" maxValue="160520.4"/>
    </cacheField>
    <cacheField name="HSNCode" numFmtId="0">
      <sharedItems containsString="0" containsBlank="1" containsNumber="1" containsInteger="1" minValue="392310" maxValue="63053200"/>
    </cacheField>
    <cacheField name="LRNo" numFmtId="0">
      <sharedItems containsBlank="1" containsMixedTypes="1" containsNumber="1" containsInteger="1" minValue="28" maxValue="472"/>
    </cacheField>
    <cacheField name="LRDate" numFmtId="0">
      <sharedItems containsNonDate="0" containsDate="1" containsString="0" containsBlank="1" minDate="2026-08-01T00:00:00" maxDate="2026-09-01T00:00:00"/>
    </cacheField>
    <cacheField name="FOBValue" numFmtId="0">
      <sharedItems containsString="0" containsBlank="1" containsNumber="1" minValue="0" maxValue="43737.599999999999"/>
    </cacheField>
    <cacheField name="FOBValueInRS" numFmtId="0">
      <sharedItems containsString="0" containsBlank="1" containsNumber="1" minValue="0" maxValue="4354415"/>
    </cacheField>
    <cacheField name="NatureofContract" numFmtId="0">
      <sharedItems containsBlank="1"/>
    </cacheField>
    <cacheField name="Commercialvalue" numFmtId="0">
      <sharedItems containsString="0" containsBlank="1" containsNumber="1" minValue="0" maxValue="45437"/>
    </cacheField>
    <cacheField name="AdvanceLicNo" numFmtId="0">
      <sharedItems containsNonDate="0" containsString="0" containsBlank="1"/>
    </cacheField>
    <cacheField name="EPCGNo" numFmtId="0">
      <sharedItems containsNonDate="0" containsString="0" containsBlank="1"/>
    </cacheField>
    <cacheField name="ADCODE" numFmtId="0">
      <sharedItems containsString="0" containsBlank="1" containsNumber="1" containsInteger="1" minValue="6220250" maxValue="6220250"/>
    </cacheField>
    <cacheField name="Freight" numFmtId="0">
      <sharedItems containsString="0" containsBlank="1" containsNumber="1" minValue="0" maxValue="5114.28"/>
    </cacheField>
    <cacheField name="Insurance" numFmtId="0">
      <sharedItems containsString="0" containsBlank="1" containsNumber="1" minValue="0" maxValue="22.72"/>
    </cacheField>
    <cacheField name="SpeDuty1" numFmtId="0">
      <sharedItems containsString="0" containsBlank="1" containsNumber="1" containsInteger="1" minValue="0" maxValue="22000"/>
    </cacheField>
    <cacheField name="SpeDuty2" numFmtId="0">
      <sharedItems containsString="0" containsBlank="1" containsNumber="1" containsInteger="1" minValue="0" maxValue="0"/>
    </cacheField>
    <cacheField name="SpeDuty3" numFmtId="0">
      <sharedItems containsString="0" containsBlank="1" containsNumber="1" containsInteger="1" minValue="0" maxValue="0"/>
    </cacheField>
    <cacheField name="Otherdec1" numFmtId="0">
      <sharedItems containsString="0" containsBlank="1" containsNumber="1" containsInteger="1" minValue="0" maxValue="0"/>
    </cacheField>
    <cacheField name="Otherdec2" numFmtId="0">
      <sharedItems containsString="0" containsBlank="1" containsNumber="1" containsInteger="1" minValue="0" maxValue="0"/>
    </cacheField>
    <cacheField name="Otherdec3" numFmtId="0">
      <sharedItems containsString="0" containsBlank="1" containsNumber="1" containsInteger="1" minValue="0" maxValue="0"/>
    </cacheField>
    <cacheField name="containerno" numFmtId="0">
      <sharedItems containsBlank="1"/>
    </cacheField>
    <cacheField name="Destination" numFmtId="0">
      <sharedItems containsBlank="1"/>
    </cacheField>
    <cacheField name="Country" numFmtId="0">
      <sharedItems containsBlank="1"/>
    </cacheField>
    <cacheField name="Itemcode" numFmtId="0">
      <sharedItems containsBlank="1"/>
    </cacheField>
    <cacheField name="Itemname" numFmtId="0">
      <sharedItems containsBlank="1"/>
    </cacheField>
    <cacheField name="Deptt1" numFmtId="0">
      <sharedItems containsBlank="1"/>
    </cacheField>
    <cacheField name="Groupname" numFmtId="0">
      <sharedItems containsBlank="1"/>
    </cacheField>
    <cacheField name="Subgroupname" numFmtId="0">
      <sharedItems containsBlank="1" count="17">
        <s v="FIBC Bags"/>
        <s v="PP UL Fabric"/>
        <s v="PP Webbing-Export"/>
        <s v="PP UL Fabric-Export"/>
        <s v="PP Lam Fabric-Export"/>
        <s v="PE Film"/>
        <s v="PP Lam Fabric"/>
        <s v="FIBC WIP"/>
        <s v="PP Webbing"/>
        <s v="PP Tapes"/>
        <s v="FIBC Bags-Export"/>
        <s v="PP Bags"/>
        <s v="PP Yarn"/>
        <s v="Wastage/Scrap"/>
        <s v="LDPE/LLDPE Bags"/>
        <s v="RP Granule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Author" refreshedDate="46270.773553240739" createdVersion="5" refreshedVersion="5" minRefreshableVersion="3" recordCount="350">
  <cacheSource type="worksheet">
    <worksheetSource ref="B1:AG360" sheet="Purch-Account" r:id="rId2"/>
  </cacheSource>
  <cacheFields count="32">
    <cacheField name="Date" numFmtId="0">
      <sharedItems containsDate="1" containsBlank="1" containsMixedTypes="1" minDate="2026-01-08T00:00:00" maxDate="2026-12-09T00:00:00"/>
    </cacheField>
    <cacheField name="Particular" numFmtId="0">
      <sharedItems containsBlank="1"/>
    </cacheField>
    <cacheField name="Voucher Type" numFmtId="0">
      <sharedItems containsBlank="1"/>
    </cacheField>
    <cacheField name="Voucher No" numFmtId="0">
      <sharedItems containsBlank="1"/>
    </cacheField>
    <cacheField name="Type" numFmtId="0">
      <sharedItems containsBlank="1"/>
    </cacheField>
    <cacheField name="Invoice No" numFmtId="0">
      <sharedItems containsBlank="1" containsMixedTypes="1" containsNumber="1" containsInteger="1" minValue="23" maxValue="484"/>
    </cacheField>
    <cacheField name="Invoice Date" numFmtId="0">
      <sharedItems containsDate="1" containsBlank="1" containsMixedTypes="1" minDate="2026-01-08T00:00:00" maxDate="2026-12-09T00:00:00"/>
    </cacheField>
    <cacheField name="Main Grp" numFmtId="0">
      <sharedItems containsBlank="1"/>
    </cacheField>
    <cacheField name="Group Name" numFmtId="0">
      <sharedItems containsBlank="1"/>
    </cacheField>
    <cacheField name="Sub Grup" numFmtId="0">
      <sharedItems containsBlank="1" count="19">
        <s v="PP UL Fabric"/>
        <s v="PP Lam Fabric"/>
        <s v="PP Webbing"/>
        <s v="PP Granules"/>
        <s v="LDPE Granules"/>
        <s v="LDPE/LLDPE Bags"/>
        <s v="FIBC WIP"/>
        <s v="PP Bags"/>
        <s v="FIBC Bags"/>
        <s v="PP Yarn"/>
        <s v="Masterbatch"/>
        <s v="PP Tapes"/>
        <s v="Filler"/>
        <s v="PE Film"/>
        <s v="RP Granules"/>
        <s v="Ink"/>
        <s v="Thinner"/>
        <s v="FIBC Bags-TP"/>
        <m/>
      </sharedItems>
    </cacheField>
    <cacheField name="Purchase Group Name" numFmtId="0">
      <sharedItems containsBlank="1"/>
    </cacheField>
    <cacheField name="Item Name" numFmtId="0">
      <sharedItems containsBlank="1"/>
    </cacheField>
    <cacheField name="Quantity" numFmtId="0">
      <sharedItems containsString="0" containsBlank="1" containsNumber="1" minValue="2" maxValue="140000"/>
    </cacheField>
    <cacheField name="Amount" numFmtId="0">
      <sharedItems containsString="0" containsBlank="1" containsNumber="1" minValue="326.8" maxValue="14329000"/>
    </cacheField>
    <cacheField name="Item Desc" numFmtId="0">
      <sharedItems containsBlank="1"/>
    </cacheField>
    <cacheField name="Bill Amount" numFmtId="0">
      <sharedItems containsString="0" containsBlank="1" containsNumber="1" minValue="0" maxValue="14314671"/>
    </cacheField>
    <cacheField name="CGST Rate" numFmtId="0">
      <sharedItems containsString="0" containsBlank="1" containsNumber="1" minValue="0" maxValue="9"/>
    </cacheField>
    <cacheField name="CGST Amt" numFmtId="0">
      <sharedItems containsString="0" containsBlank="1" containsNumber="1" minValue="0" maxValue="331101.65999999997"/>
    </cacheField>
    <cacheField name="SGST Rate" numFmtId="0">
      <sharedItems containsString="0" containsBlank="1" containsNumber="1" minValue="0" maxValue="9"/>
    </cacheField>
    <cacheField name="SGST Amt" numFmtId="0">
      <sharedItems containsString="0" containsBlank="1" containsNumber="1" minValue="0" maxValue="331101.65999999997"/>
    </cacheField>
    <cacheField name="IGST Rate" numFmtId="0">
      <sharedItems containsString="0" containsBlank="1" containsNumber="1" containsInteger="1" minValue="0" maxValue="18"/>
    </cacheField>
    <cacheField name="IGST Amt" numFmtId="0">
      <sharedItems containsString="0" containsBlank="1" containsNumber="1" minValue="0" maxValue="43329.599999999999"/>
    </cacheField>
    <cacheField name="Freight GST" numFmtId="0">
      <sharedItems containsString="0" containsBlank="1" containsNumber="1" minValue="0" maxValue="35"/>
    </cacheField>
    <cacheField name="Total GST" numFmtId="0">
      <sharedItems containsString="0" containsBlank="1" containsNumber="1" minValue="0" maxValue="662203.31999999995"/>
    </cacheField>
    <cacheField name="TCS" numFmtId="0">
      <sharedItems containsString="0" containsBlank="1" containsNumber="1" containsInteger="1" minValue="0" maxValue="0"/>
    </cacheField>
    <cacheField name="GST-IN" numFmtId="0">
      <sharedItems containsBlank="1"/>
    </cacheField>
    <cacheField name="Unit" numFmtId="0">
      <sharedItems containsBlank="1"/>
    </cacheField>
    <cacheField name="HSN Code" numFmtId="0">
      <sharedItems containsString="0" containsBlank="1" containsNumber="1" containsInteger="1" minValue="320649" maxValue="84821011"/>
    </cacheField>
    <cacheField name="Currencty" numFmtId="0">
      <sharedItems containsBlank="1"/>
    </cacheField>
    <cacheField name="Exc.Rate" numFmtId="0">
      <sharedItems containsString="0" containsBlank="1" containsNumber="1" minValue="1" maxValue="95.45"/>
    </cacheField>
    <cacheField name="Net Wt" numFmtId="0">
      <sharedItems containsString="0" containsBlank="1" containsNumber="1" minValue="2" maxValue="140000"/>
    </cacheField>
    <cacheField name="Country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Author" refreshedDate="46270.773603009256" createdVersion="5" refreshedVersion="5" minRefreshableVersion="3" recordCount="372">
  <cacheSource type="worksheet">
    <worksheetSource ref="B1:BO373" sheet="RM Report-Store" r:id="rId2"/>
  </cacheSource>
  <cacheFields count="66">
    <cacheField name="CompanyName" numFmtId="0">
      <sharedItems containsBlank="1"/>
    </cacheField>
    <cacheField name="Date" numFmtId="0">
      <sharedItems containsDate="1" containsBlank="1" containsMixedTypes="1" minDate="2026-01-08T00:00:00" maxDate="2026-12-09T00:00:00"/>
    </cacheField>
    <cacheField name="srno" numFmtId="0">
      <sharedItems containsBlank="1"/>
    </cacheField>
    <cacheField name="Itemcode" numFmtId="0">
      <sharedItems containsBlank="1"/>
    </cacheField>
    <cacheField name="Itemname" numFmtId="0">
      <sharedItems containsBlank="1"/>
    </cacheField>
    <cacheField name="PoNO" numFmtId="0">
      <sharedItems containsBlank="1"/>
    </cacheField>
    <cacheField name="OrderQty" numFmtId="0">
      <sharedItems containsString="0" containsBlank="1" containsNumber="1" minValue="2" maxValue="140000"/>
    </cacheField>
    <cacheField name="Challanqty" numFmtId="0">
      <sharedItems containsString="0" containsBlank="1" containsNumber="1" minValue="2" maxValue="140000"/>
    </cacheField>
    <cacheField name="Unit" numFmtId="0">
      <sharedItems containsBlank="1"/>
    </cacheField>
    <cacheField name="Recdqty" numFmtId="0">
      <sharedItems containsString="0" containsBlank="1" containsNumber="1" minValue="2" maxValue="140000"/>
    </cacheField>
    <cacheField name="PendingQty" numFmtId="0">
      <sharedItems containsString="0" containsBlank="1" containsNumber="1" containsInteger="1" minValue="0" maxValue="0"/>
    </cacheField>
    <cacheField name="Acceptedqty" numFmtId="0">
      <sharedItems containsString="0" containsBlank="1" containsNumber="1" minValue="2" maxValue="140000"/>
    </cacheField>
    <cacheField name="Vehicalno" numFmtId="0">
      <sharedItems containsBlank="1"/>
    </cacheField>
    <cacheField name="Partyname" numFmtId="0">
      <sharedItems containsBlank="1"/>
    </cacheField>
    <cacheField name="Suppliername" numFmtId="0">
      <sharedItems containsBlank="1"/>
    </cacheField>
    <cacheField name="ChallanNo" numFmtId="0">
      <sharedItems containsBlank="1"/>
    </cacheField>
    <cacheField name="Challan Date" numFmtId="0">
      <sharedItems containsDate="1" containsBlank="1" containsMixedTypes="1" minDate="2026-01-08T00:00:00" maxDate="2026-12-09T00:00:00"/>
    </cacheField>
    <cacheField name="category" numFmtId="0">
      <sharedItems containsBlank="1"/>
    </cacheField>
    <cacheField name="subcategory" numFmtId="0">
      <sharedItems containsBlank="1"/>
    </cacheField>
    <cacheField name="MRno" numFmtId="0">
      <sharedItems containsBlank="1"/>
    </cacheField>
    <cacheField name="Rate" numFmtId="0">
      <sharedItems containsString="0" containsBlank="1" containsNumber="1" minValue="40.5" maxValue="441"/>
    </cacheField>
    <cacheField name="Amount" numFmtId="0">
      <sharedItems containsString="0" containsBlank="1" containsNumber="1" minValue="40.5" maxValue="441"/>
    </cacheField>
    <cacheField name="BillNo" numFmtId="0">
      <sharedItems containsBlank="1"/>
    </cacheField>
    <cacheField name="Bill Date" numFmtId="0">
      <sharedItems containsDate="1" containsBlank="1" containsMixedTypes="1" minDate="2026-01-08T00:00:00" maxDate="2026-12-09T00:00:00"/>
    </cacheField>
    <cacheField name="ItemRemarks" numFmtId="0">
      <sharedItems containsBlank="1"/>
    </cacheField>
    <cacheField name="Remarks" numFmtId="0">
      <sharedItems containsBlank="1" containsMixedTypes="1" containsNumber="1" containsInteger="1" minValue="0" maxValue="0"/>
    </cacheField>
    <cacheField name="Note" numFmtId="0">
      <sharedItems containsNonDate="0" containsString="0" containsBlank="1"/>
    </cacheField>
    <cacheField name="Transportname" numFmtId="0">
      <sharedItems containsBlank="1" containsMixedTypes="1" containsNumber="1" containsInteger="1" minValue="0" maxValue="0"/>
    </cacheField>
    <cacheField name="Lrnodate" numFmtId="0">
      <sharedItems containsDate="1" containsBlank="1" containsMixedTypes="1" minDate="1899-12-31T00:00:00" maxDate="1900-01-06T03:59:05"/>
    </cacheField>
    <cacheField name="Discamt" numFmtId="0">
      <sharedItems containsString="0" containsBlank="1" containsNumber="1" containsInteger="1" minValue="0" maxValue="0"/>
    </cacheField>
    <cacheField name="Discamt1" numFmtId="0">
      <sharedItems containsString="0" containsBlank="1" containsNumber="1" containsInteger="1" minValue="0" maxValue="0"/>
    </cacheField>
    <cacheField name="ExciseAmount" numFmtId="0">
      <sharedItems containsString="0" containsBlank="1" containsNumber="1" containsInteger="1" minValue="0" maxValue="0"/>
    </cacheField>
    <cacheField name="EducessAmount" numFmtId="0">
      <sharedItems containsString="0" containsBlank="1" containsNumber="1" containsInteger="1" minValue="0" maxValue="0"/>
    </cacheField>
    <cacheField name="HiEducessamount" numFmtId="0">
      <sharedItems containsString="0" containsBlank="1" containsNumber="1" containsInteger="1" minValue="0" maxValue="0"/>
    </cacheField>
    <cacheField name="InwardVatType" numFmtId="0">
      <sharedItems containsBlank="1"/>
    </cacheField>
    <cacheField name="Vatamount" numFmtId="0">
      <sharedItems containsString="0" containsBlank="1" containsNumber="1" containsInteger="1" minValue="0" maxValue="0"/>
    </cacheField>
    <cacheField name="Addvatamount" numFmtId="0">
      <sharedItems containsString="0" containsBlank="1" containsNumber="1" containsInteger="1" minValue="0" maxValue="0"/>
    </cacheField>
    <cacheField name="Frieght" numFmtId="0">
      <sharedItems containsString="0" containsBlank="1" containsNumber="1" containsInteger="1" minValue="0" maxValue="0"/>
    </cacheField>
    <cacheField name="Pkgfwd" numFmtId="0">
      <sharedItems containsString="0" containsBlank="1" containsNumber="1" containsInteger="1" minValue="0" maxValue="0"/>
    </cacheField>
    <cacheField name="Otherchg" numFmtId="0">
      <sharedItems containsString="0" containsBlank="1" containsNumber="1" containsInteger="1" minValue="0" maxValue="0"/>
    </cacheField>
    <cacheField name="Spdutyname" numFmtId="0">
      <sharedItems containsNonDate="0" containsString="0" containsBlank="1"/>
    </cacheField>
    <cacheField name="Spdutyamt" numFmtId="0">
      <sharedItems containsString="0" containsBlank="1" containsNumber="1" containsInteger="1" minValue="0" maxValue="0"/>
    </cacheField>
    <cacheField name="Additionalduty" numFmtId="0">
      <sharedItems containsString="0" containsBlank="1" containsNumber="1" containsInteger="1" minValue="0" maxValue="0"/>
    </cacheField>
    <cacheField name="Billamount" numFmtId="0">
      <sharedItems containsString="0" containsBlank="1" containsNumber="1" minValue="385.62" maxValue="14329000"/>
    </cacheField>
    <cacheField name="Deptt" numFmtId="0">
      <sharedItems containsBlank="1"/>
    </cacheField>
    <cacheField name="GroupName" numFmtId="0">
      <sharedItems containsBlank="1"/>
    </cacheField>
    <cacheField name="SubGroupName" numFmtId="0">
      <sharedItems containsBlank="1" count="20">
        <s v="PP UL Fabric"/>
        <s v="PP Lam Fabric"/>
        <s v="PP Webbing"/>
        <s v="LDPE Granules"/>
        <s v="PP Granules"/>
        <s v="LDPE/LLDPE Bags"/>
        <s v="FIBC WIP"/>
        <s v="FIBC Bags"/>
        <s v="PP Bags"/>
        <s v="PP Yarn"/>
        <s v="Masterbatch"/>
        <s v="PP Tapes"/>
        <s v="Filler"/>
        <s v="PE Film"/>
        <s v="RP Granules"/>
        <s v="Ink"/>
        <s v="Thinner"/>
        <m/>
        <s v="Polyester Yarn" u="1"/>
        <s v="UV MB" u="1"/>
      </sharedItems>
    </cacheField>
    <cacheField name="Deptt Po Indent" numFmtId="0">
      <sharedItems containsBlank="1"/>
    </cacheField>
    <cacheField name="LoginName" numFmtId="0">
      <sharedItems containsBlank="1"/>
    </cacheField>
    <cacheField name="servicetax" numFmtId="0">
      <sharedItems containsString="0" containsBlank="1" containsNumber="1" containsInteger="1" minValue="0" maxValue="0"/>
    </cacheField>
    <cacheField name="Basic Amount" numFmtId="0">
      <sharedItems containsString="0" containsBlank="1" containsNumber="1" minValue="326.8" maxValue="14329000"/>
    </cacheField>
    <cacheField name="GateInwardNo" numFmtId="0">
      <sharedItems containsString="0" containsBlank="1" containsNumber="1" containsInteger="1" minValue="386" maxValue="641"/>
    </cacheField>
    <cacheField name="GateInwardDate" numFmtId="0">
      <sharedItems containsDate="1" containsBlank="1" containsMixedTypes="1" minDate="2026-01-08T00:00:00" maxDate="2026-12-09T00:00:00"/>
    </cacheField>
    <cacheField name="VendorGST" numFmtId="0">
      <sharedItems containsBlank="1"/>
    </cacheField>
    <cacheField name="MRN User" numFmtId="0">
      <sharedItems containsBlank="1"/>
    </cacheField>
    <cacheField name="POUserName" numFmtId="0">
      <sharedItems containsBlank="1"/>
    </cacheField>
    <cacheField name="CGSTPer" numFmtId="0">
      <sharedItems containsString="0" containsBlank="1" containsNumber="1" minValue="0" maxValue="9"/>
    </cacheField>
    <cacheField name="CGSTAmount" numFmtId="0">
      <sharedItems containsString="0" containsBlank="1" containsNumber="1" minValue="0" maxValue="331101.65999999997"/>
    </cacheField>
    <cacheField name="SGSTPer" numFmtId="0">
      <sharedItems containsString="0" containsBlank="1" containsNumber="1" minValue="0" maxValue="9"/>
    </cacheField>
    <cacheField name="SGSTAmount" numFmtId="0">
      <sharedItems containsString="0" containsBlank="1" containsNumber="1" minValue="0" maxValue="331101.65999999997"/>
    </cacheField>
    <cacheField name="IGSTPer" numFmtId="0">
      <sharedItems containsString="0" containsBlank="1" containsNumber="1" containsInteger="1" minValue="0" maxValue="18"/>
    </cacheField>
    <cacheField name="IGSTAmount" numFmtId="0">
      <sharedItems containsString="0" containsBlank="1" containsNumber="1" minValue="0" maxValue="43329.599999999999"/>
    </cacheField>
    <cacheField name="RBIllmount" numFmtId="0">
      <sharedItems containsString="0" containsBlank="1" containsNumber="1" minValue="0" maxValue="14329000"/>
    </cacheField>
    <cacheField name="EWayNo" numFmtId="0">
      <sharedItems containsBlank="1" containsMixedTypes="1" containsNumber="1" containsInteger="1" minValue="0" maxValue="692172886223"/>
    </cacheField>
    <cacheField name="EWayDt" numFmtId="0">
      <sharedItems containsNonDate="0" containsDate="1" containsString="0" containsBlank="1" minDate="2026-08-01T00:00:00" maxDate="2026-09-01T00:00:00"/>
    </cacheField>
    <cacheField name="netwt" numFmtId="0">
      <sharedItems containsString="0" containsBlank="1" containsNumber="1" minValue="2" maxValue="14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15">
  <r>
    <d v="2026-08-01T00:00:00"/>
    <s v="K.P. Woven Pvt Ltd - Unit 3 -Sales"/>
    <s v="SALES (FOREX)"/>
    <s v="PPL/E/68/26-27"/>
    <s v="Sales - Kasez - Mfg - U/B"/>
    <s v="PPL/E/68/26-27"/>
    <d v="2026-08-01T00:00:00"/>
    <s v="SF"/>
    <s v="Webbing"/>
    <x v="0"/>
    <s v="PP Webbing"/>
    <s v="Webbing"/>
    <n v="507.2"/>
    <n v="74289.584000000003"/>
    <s v="Webbing"/>
    <n v="222817.95"/>
    <m/>
    <n v="0"/>
    <m/>
    <n v="0"/>
    <m/>
    <n v="0"/>
    <n v="0"/>
    <n v="0"/>
    <n v="0"/>
    <s v="24AAECK6307M2ZE"/>
    <s v="KGS"/>
    <n v="39269080"/>
    <s v="Rs."/>
    <n v="1"/>
    <n v="507.2"/>
    <s v="India"/>
  </r>
  <r>
    <d v="2026-08-01T00:00:00"/>
    <s v="K.P. Woven Pvt Ltd - Unit 3 -Sales"/>
    <s v="SALES (FOREX)"/>
    <s v="PPL/E/68/26-27"/>
    <s v="Sales - Kasez - Mfg - U/B"/>
    <s v="PPL/E/68/26-27"/>
    <d v="2026-08-01T00:00:00"/>
    <s v="SF"/>
    <s v="PP/PE Fabric"/>
    <x v="1"/>
    <s v="PP WOVEN FABRIC"/>
    <s v="PP UL Fabric With UV"/>
    <n v="394"/>
    <n v="58891.18"/>
    <s v="PP UL Fabric With UV - BLACK"/>
    <n v="0"/>
    <m/>
    <n v="0"/>
    <m/>
    <n v="0"/>
    <m/>
    <n v="0"/>
    <n v="0"/>
    <n v="0"/>
    <n v="0"/>
    <s v="24AAECK6307M2ZE"/>
    <s v="KGS"/>
    <n v="39269080"/>
    <s v="Rs."/>
    <n v="1"/>
    <n v="394"/>
    <s v="India"/>
  </r>
  <r>
    <d v="2026-08-01T00:00:00"/>
    <s v="K.P. Woven Pvt Ltd - Unit 3 -Sales"/>
    <s v="SALES (FOREX)"/>
    <s v="PPL/E/68/26-27"/>
    <s v="Sales - Kasez - Mfg - U/B"/>
    <s v="PPL/E/68/26-27"/>
    <d v="2026-08-01T00:00:00"/>
    <s v="SF"/>
    <s v="PP/PE Fabric"/>
    <x v="1"/>
    <s v="PP WOVEN FABRIC"/>
    <s v="PP UL Fabric With UV"/>
    <n v="477"/>
    <n v="69866.19"/>
    <s v="PP UL Fabric With UV"/>
    <n v="0"/>
    <m/>
    <n v="0"/>
    <m/>
    <n v="0"/>
    <m/>
    <n v="0"/>
    <n v="0"/>
    <n v="0"/>
    <n v="0"/>
    <s v="24AAECK6307M2ZE"/>
    <s v="KGS"/>
    <n v="39269080"/>
    <s v="Rs."/>
    <n v="1"/>
    <n v="477"/>
    <s v="India"/>
  </r>
  <r>
    <d v="2026-08-01T00:00:00"/>
    <s v="K.P. Woven Pvt Ltd - Unit 3 -Sales"/>
    <s v="SALES (FOREX)"/>
    <s v="PPL/E/68/26-27"/>
    <s v="Sales - Kasez - Mfg - U/B"/>
    <s v="PPL/E/68/26-27"/>
    <d v="2026-08-01T00:00:00"/>
    <s v="SF"/>
    <s v="PP/PE Fabric"/>
    <x v="2"/>
    <s v="PP Laminated Fabric"/>
    <s v="PP Lam Fabric With UV"/>
    <n v="132"/>
    <n v="19994.04"/>
    <s v="PP Lam Fabric With UV - BLACK"/>
    <n v="0"/>
    <m/>
    <n v="0"/>
    <m/>
    <n v="0"/>
    <m/>
    <n v="0"/>
    <n v="0"/>
    <n v="0"/>
    <n v="0"/>
    <s v="24AAECK6307M2ZE"/>
    <s v="KGS"/>
    <n v="39269080"/>
    <s v="Rs."/>
    <n v="1"/>
    <n v="132"/>
    <s v="India"/>
  </r>
  <r>
    <d v="2026-08-01T00:00:00"/>
    <s v="Plastene India ltd - Unit 1-Sales"/>
    <s v="Sales"/>
    <n v="435"/>
    <s v="Sales - Within State  Manufactured Goods"/>
    <s v="PPL/D/435"/>
    <d v="2026-08-01T00:00:00"/>
    <s v="FG"/>
    <s v="FIBC Bags"/>
    <x v="3"/>
    <s v="FIBC"/>
    <s v="FIBC Bags With UV Without Liner"/>
    <n v="1221"/>
    <n v="283860"/>
    <s v="1130016933/PDBJMBLHS63050120"/>
    <n v="334670.94"/>
    <n v="9"/>
    <n v="25547.4"/>
    <n v="9"/>
    <n v="25547.4"/>
    <n v="0"/>
    <n v="0"/>
    <n v="0"/>
    <n v="51094.8"/>
    <n v="0"/>
    <s v="24AAACO3087C1ZT"/>
    <s v="KGS"/>
    <n v="39232999"/>
    <s v="Rs."/>
    <n v="1"/>
    <n v="1221"/>
    <s v="India"/>
  </r>
  <r>
    <d v="2026-08-01T00:00:00"/>
    <s v="Plastene India ltd - Unit 1-Sales"/>
    <s v="Sales"/>
    <n v="437"/>
    <s v="Sales - Within State  Manufactured Goods"/>
    <s v="PPL/D/437"/>
    <d v="2026-08-01T00:00:00"/>
    <s v="SF"/>
    <s v="PP/PE Fabric"/>
    <x v="4"/>
    <s v="PP WOVEN FABRIC"/>
    <s v="PP UL Fabric With UV"/>
    <n v="1070.3"/>
    <n v="165618.22"/>
    <s v="PP UL Fabric With UV"/>
    <n v="195263.88"/>
    <n v="9"/>
    <n v="14905.64"/>
    <n v="9"/>
    <n v="14905.64"/>
    <n v="0"/>
    <n v="0"/>
    <n v="0"/>
    <n v="29811.279999999999"/>
    <n v="0"/>
    <s v="24AAACO3087C1ZT"/>
    <s v="KGS"/>
    <n v="39269080"/>
    <s v="Rs."/>
    <n v="1"/>
    <n v="1070.3"/>
    <s v="India"/>
  </r>
  <r>
    <d v="2026-08-02T00:00:00"/>
    <s v="Plastene India ltd - Unit 1-Sales"/>
    <s v="Sales"/>
    <n v="439"/>
    <s v="Sales - Within State - Traded Goods"/>
    <s v="PPL/D/439"/>
    <d v="2026-08-02T00:00:00"/>
    <s v="SF"/>
    <s v="Films All (SF)"/>
    <x v="5"/>
    <s v="LLDPE FILM"/>
    <s v="LDPE/LLDPE Film"/>
    <n v="2.2999999999999998"/>
    <n v="749.8"/>
    <s v="LDPE/LLDPE Film"/>
    <n v="13191.59"/>
    <n v="9"/>
    <n v="67.48"/>
    <n v="9"/>
    <n v="67.48"/>
    <n v="0"/>
    <n v="0"/>
    <n v="0"/>
    <n v="134.96"/>
    <n v="0"/>
    <s v="24AAACO3087C1ZT"/>
    <s v="KGS"/>
    <n v="39201019"/>
    <s v="Rs."/>
    <n v="1"/>
    <n v="2.2999999999999998"/>
    <s v="India"/>
  </r>
  <r>
    <d v="2026-08-02T00:00:00"/>
    <s v="Plastene India ltd - Unit 1-Sales"/>
    <s v="Sales"/>
    <n v="439"/>
    <s v="Sales - Within State - Traded Goods"/>
    <s v="PPL/D/439"/>
    <d v="2026-08-02T00:00:00"/>
    <s v="SF"/>
    <s v="Films All (SF)"/>
    <x v="5"/>
    <s v="LLDPE FILM"/>
    <s v="LDPE/LLDPE Film"/>
    <n v="36.5"/>
    <n v="10439"/>
    <s v="LDPE/LLDPE Film"/>
    <n v="0"/>
    <n v="9"/>
    <n v="939.51"/>
    <n v="9"/>
    <n v="939.51"/>
    <n v="0"/>
    <n v="0"/>
    <n v="0"/>
    <n v="1879.02"/>
    <n v="0"/>
    <s v="24AAACO3087C1ZT"/>
    <s v="KGS"/>
    <n v="39201019"/>
    <s v="Rs."/>
    <n v="1"/>
    <n v="36.5"/>
    <s v="India"/>
  </r>
  <r>
    <d v="2026-08-02T00:00:00"/>
    <s v="Plastene India ltd - Unit 1-Sales"/>
    <s v="Sales"/>
    <n v="440"/>
    <s v="Sales - Within State  Manufactured Goods"/>
    <s v="PPL/D/440"/>
    <d v="2026-08-02T00:00:00"/>
    <s v="FG"/>
    <s v="FIBC Bags"/>
    <x v="3"/>
    <s v="FIBC"/>
    <s v="FIBC Bags With UV With Liner"/>
    <n v="2722"/>
    <n v="603140.76"/>
    <s v="HPC-PO003921-9595140-5"/>
    <n v="5970696.6399999997"/>
    <n v="9"/>
    <n v="54282.67"/>
    <n v="9"/>
    <n v="54282.67"/>
    <n v="0"/>
    <n v="0"/>
    <n v="0"/>
    <n v="108565.34"/>
    <n v="0"/>
    <s v="24AAACO3087C1ZT"/>
    <s v="KGS"/>
    <n v="39232999"/>
    <s v="Rs."/>
    <n v="1"/>
    <n v="2722"/>
    <s v="India"/>
  </r>
  <r>
    <d v="2026-08-02T00:00:00"/>
    <s v="Plastene India ltd - Unit 1-Sales"/>
    <s v="Sales"/>
    <n v="440"/>
    <s v="Sales - Within State  Manufactured Goods"/>
    <s v="PPL/D/440"/>
    <d v="2026-08-02T00:00:00"/>
    <s v="FG"/>
    <s v="FIBC Bags"/>
    <x v="3"/>
    <s v="FIBC"/>
    <s v="FIBC Bags With UV With Liner"/>
    <n v="2700"/>
    <n v="611010"/>
    <s v="HPC-PO003921-9595140-3"/>
    <n v="0"/>
    <n v="9"/>
    <n v="54990.9"/>
    <n v="9"/>
    <n v="54990.9"/>
    <n v="0"/>
    <n v="0"/>
    <n v="0"/>
    <n v="109981.8"/>
    <n v="0"/>
    <s v="24AAACO3087C1ZT"/>
    <s v="KGS"/>
    <n v="39232999"/>
    <s v="Rs."/>
    <n v="1"/>
    <n v="2700"/>
    <s v="India"/>
  </r>
  <r>
    <d v="2026-08-02T00:00:00"/>
    <s v="Plastene India ltd - Unit 1-Sales"/>
    <s v="Sales"/>
    <n v="440"/>
    <s v="Sales - Within State  Manufactured Goods"/>
    <s v="PPL/D/440"/>
    <d v="2026-08-02T00:00:00"/>
    <s v="FG"/>
    <s v="FIBC Bags"/>
    <x v="3"/>
    <s v="FIBC"/>
    <s v="FIBC Bags With UV Without Liner"/>
    <n v="1295"/>
    <n v="310074.8"/>
    <s v="HPC-PO003921-9090100-7"/>
    <n v="0"/>
    <n v="9"/>
    <n v="27906.73"/>
    <n v="9"/>
    <n v="27906.73"/>
    <n v="0"/>
    <n v="0"/>
    <n v="0"/>
    <n v="55813.46"/>
    <n v="0"/>
    <s v="24AAACO3087C1ZT"/>
    <s v="KGS"/>
    <n v="39232999"/>
    <s v="Rs."/>
    <n v="1"/>
    <n v="1295"/>
    <s v="India"/>
  </r>
  <r>
    <d v="2026-08-02T00:00:00"/>
    <s v="Plastene India ltd - Unit 1-Sales"/>
    <s v="Sales"/>
    <n v="440"/>
    <s v="Sales - Within State  Manufactured Goods"/>
    <s v="PPL/D/440"/>
    <d v="2026-08-02T00:00:00"/>
    <s v="FG"/>
    <s v="FIBC Bags"/>
    <x v="3"/>
    <s v="FIBC"/>
    <s v="FIBC Bags With UV Without Liner"/>
    <n v="420"/>
    <n v="100317"/>
    <s v="HPC-PO003921-9090120-1"/>
    <n v="0"/>
    <n v="9"/>
    <n v="9028.5300000000007"/>
    <n v="9"/>
    <n v="9028.5300000000007"/>
    <n v="0"/>
    <n v="0"/>
    <n v="0"/>
    <n v="18057.060000000001"/>
    <n v="0"/>
    <s v="24AAACO3087C1ZT"/>
    <s v="KGS"/>
    <n v="39232999"/>
    <s v="Rs."/>
    <n v="1"/>
    <n v="420"/>
    <s v="India"/>
  </r>
  <r>
    <d v="2026-08-02T00:00:00"/>
    <s v="Plastene India ltd - Unit 1-Sales"/>
    <s v="Sales"/>
    <n v="440"/>
    <s v="Sales - Within State  Manufactured Goods"/>
    <s v="PPL/D/440"/>
    <d v="2026-08-02T00:00:00"/>
    <s v="FG"/>
    <s v="FIBC Bags"/>
    <x v="3"/>
    <s v="FIBC"/>
    <s v="FIBC Bags With UV Without Liner"/>
    <n v="443"/>
    <n v="103910.08"/>
    <s v="HPC-PO003921-9090120-8"/>
    <n v="0"/>
    <n v="9"/>
    <n v="9351.91"/>
    <n v="9"/>
    <n v="9351.91"/>
    <n v="0"/>
    <n v="0"/>
    <n v="0"/>
    <n v="18703.82"/>
    <n v="0"/>
    <s v="24AAACO3087C1ZT"/>
    <s v="KGS"/>
    <n v="39232999"/>
    <s v="Rs."/>
    <n v="1"/>
    <n v="443"/>
    <s v="India"/>
  </r>
  <r>
    <d v="2026-08-02T00:00:00"/>
    <s v="Plastene India ltd - Unit 1-Sales"/>
    <s v="Sales"/>
    <n v="440"/>
    <s v="Sales - Within State  Manufactured Goods"/>
    <s v="PPL/D/440"/>
    <d v="2026-08-02T00:00:00"/>
    <s v="FG"/>
    <s v="FIBC Bags"/>
    <x v="3"/>
    <s v="FIBC"/>
    <s v="FIBC Bags With UV Without Liner"/>
    <n v="880"/>
    <n v="208120"/>
    <s v="HPC-PO003921-9090140-9"/>
    <n v="0"/>
    <n v="9"/>
    <n v="18730.8"/>
    <n v="9"/>
    <n v="18730.8"/>
    <n v="0"/>
    <n v="0"/>
    <n v="0"/>
    <n v="37461.599999999999"/>
    <n v="0"/>
    <s v="24AAACO3087C1ZT"/>
    <s v="KGS"/>
    <n v="39232999"/>
    <s v="Rs."/>
    <n v="1"/>
    <n v="880"/>
    <s v="India"/>
  </r>
  <r>
    <d v="2026-08-02T00:00:00"/>
    <s v="Plastene India ltd - Unit 1-Sales"/>
    <s v="Sales"/>
    <n v="440"/>
    <s v="Sales - Within State  Manufactured Goods"/>
    <s v="PPL/D/440"/>
    <d v="2026-08-02T00:00:00"/>
    <s v="FG"/>
    <s v="FIBC Bags"/>
    <x v="3"/>
    <s v="FIBC"/>
    <s v="FIBC Bags With UV Without Liner"/>
    <n v="1036"/>
    <n v="232219.4"/>
    <s v="HPC-PO003921-9090160-10"/>
    <n v="0"/>
    <n v="9"/>
    <n v="20899.75"/>
    <n v="9"/>
    <n v="20899.75"/>
    <n v="0"/>
    <n v="0"/>
    <n v="0"/>
    <n v="41799.5"/>
    <n v="0"/>
    <s v="24AAACO3087C1ZT"/>
    <s v="KGS"/>
    <n v="39232999"/>
    <s v="Rs."/>
    <n v="1"/>
    <n v="1036"/>
    <s v="India"/>
  </r>
  <r>
    <d v="2026-08-02T00:00:00"/>
    <s v="Plastene India ltd - Unit 1-Sales"/>
    <s v="Sales"/>
    <n v="440"/>
    <s v="Sales - Within State  Manufactured Goods"/>
    <s v="PPL/D/440"/>
    <d v="2026-08-02T00:00:00"/>
    <s v="FG"/>
    <s v="FIBC Bags"/>
    <x v="3"/>
    <s v="FIBC"/>
    <s v="FIBC Bags With UV Without Liner"/>
    <n v="1315"/>
    <n v="318756"/>
    <s v="HPC-PO003921-909080-6"/>
    <n v="0"/>
    <n v="9"/>
    <n v="28688.04"/>
    <n v="9"/>
    <n v="28688.04"/>
    <n v="0"/>
    <n v="0"/>
    <n v="0"/>
    <n v="57376.08"/>
    <n v="0"/>
    <s v="24AAACO3087C1ZT"/>
    <s v="KGS"/>
    <n v="39232999"/>
    <s v="Rs."/>
    <n v="1"/>
    <n v="1315"/>
    <s v="India"/>
  </r>
  <r>
    <d v="2026-08-02T00:00:00"/>
    <s v="Plastene India ltd - Unit 1-Sales"/>
    <s v="Sales"/>
    <n v="440"/>
    <s v="Sales - Within State  Manufactured Goods"/>
    <s v="PPL/D/440"/>
    <d v="2026-08-02T00:00:00"/>
    <s v="FG"/>
    <s v="FIBC Bags"/>
    <x v="3"/>
    <s v="FIBC"/>
    <s v="FIBC Bags With UV Without Liner"/>
    <n v="5348"/>
    <n v="1397967.2"/>
    <s v="HPC-PO003921-9393145-2"/>
    <n v="0"/>
    <n v="9"/>
    <n v="125817.05"/>
    <n v="9"/>
    <n v="125817.05"/>
    <n v="0"/>
    <n v="0"/>
    <n v="0"/>
    <n v="251634.1"/>
    <n v="0"/>
    <s v="24AAACO3087C1ZT"/>
    <s v="KGS"/>
    <n v="39232999"/>
    <s v="Rs."/>
    <n v="1"/>
    <n v="5348"/>
    <s v="India"/>
  </r>
  <r>
    <d v="2026-08-02T00:00:00"/>
    <s v="Plastene India ltd - Unit 1-Sales"/>
    <s v="Sales"/>
    <n v="440"/>
    <s v="Sales - Within State  Manufactured Goods"/>
    <s v="PPL/D/440"/>
    <d v="2026-08-02T00:00:00"/>
    <s v="FG"/>
    <s v="FIBC Bags"/>
    <x v="3"/>
    <s v="FIBC"/>
    <s v="FIBC Bags With UV Without Liner"/>
    <n v="4612"/>
    <n v="1178688.8400000001"/>
    <s v="HPC-PO003921-9595140-4"/>
    <n v="0"/>
    <n v="9"/>
    <n v="106082"/>
    <n v="9"/>
    <n v="106082"/>
    <n v="0"/>
    <n v="0"/>
    <n v="0"/>
    <n v="212164"/>
    <n v="0"/>
    <s v="24AAACO3087C1ZT"/>
    <s v="KGS"/>
    <n v="39232999"/>
    <s v="Rs."/>
    <n v="1"/>
    <n v="4612"/>
    <s v="India"/>
  </r>
  <r>
    <d v="2026-08-03T00:00:00"/>
    <s v="K.P. Woven Pvt Ltd-Sales"/>
    <s v="Sales"/>
    <n v="441"/>
    <s v="Sales - Within State  Manufactured Goods"/>
    <s v="PPL/D/441"/>
    <d v="2026-08-03T00:00:00"/>
    <s v="FG"/>
    <s v="FIBC Bags"/>
    <x v="3"/>
    <s v="FIBC"/>
    <s v="FIBC Bags With UV Without Liner"/>
    <n v="1485"/>
    <n v="314701.2"/>
    <s v="E-IO26-00449/003121-00065-00"/>
    <n v="6216275.5"/>
    <n v="9"/>
    <n v="28323.11"/>
    <n v="9"/>
    <n v="28323.11"/>
    <n v="0"/>
    <n v="0"/>
    <n v="0"/>
    <n v="56646.22"/>
    <n v="0"/>
    <s v="24AAECK6307M1ZF"/>
    <s v="KGS"/>
    <n v="39232999"/>
    <s v="Rs."/>
    <n v="1"/>
    <n v="1485"/>
    <s v="India"/>
  </r>
  <r>
    <d v="2026-08-03T00:00:00"/>
    <s v="K.P. Woven Pvt Ltd-Sales"/>
    <s v="Sales"/>
    <n v="441"/>
    <s v="Sales - Within State  Manufactured Goods"/>
    <s v="PPL/D/441"/>
    <d v="2026-08-03T00:00:00"/>
    <s v="FG"/>
    <s v="FIBC Bags"/>
    <x v="3"/>
    <s v="FIBC"/>
    <s v="FIBC Bags With UV Without Liner"/>
    <n v="12991"/>
    <n v="3597467.72"/>
    <s v="E-IO26-00456/006810-00006-00"/>
    <n v="0"/>
    <n v="9"/>
    <n v="323772.09000000003"/>
    <n v="9"/>
    <n v="323772.09000000003"/>
    <n v="0"/>
    <n v="0"/>
    <n v="0"/>
    <n v="647544.18000000005"/>
    <n v="0"/>
    <s v="24AAECK6307M1ZF"/>
    <s v="KGS"/>
    <n v="39232999"/>
    <s v="Rs."/>
    <n v="1"/>
    <n v="12991"/>
    <s v="India"/>
  </r>
  <r>
    <d v="2026-08-03T00:00:00"/>
    <s v="K.P. Woven Pvt Ltd-Sales"/>
    <s v="Sales"/>
    <n v="441"/>
    <s v="Sales - Within State  Manufactured Goods"/>
    <s v="PPL/D/441"/>
    <d v="2026-08-03T00:00:00"/>
    <s v="FG"/>
    <s v="FIBC Bags"/>
    <x v="3"/>
    <s v="FIBC"/>
    <s v="FIBC Bags With UV Without Liner"/>
    <n v="826"/>
    <n v="173236.98"/>
    <s v="E-IO26-00537/003125-00029-00"/>
    <n v="0"/>
    <n v="9"/>
    <n v="15591.33"/>
    <n v="9"/>
    <n v="15591.33"/>
    <n v="0"/>
    <n v="0"/>
    <n v="0"/>
    <n v="31182.66"/>
    <n v="0"/>
    <s v="24AAECK6307M1ZF"/>
    <s v="KGS"/>
    <n v="39232999"/>
    <s v="Rs."/>
    <n v="1"/>
    <n v="826"/>
    <s v="India"/>
  </r>
  <r>
    <d v="2026-08-03T00:00:00"/>
    <s v="K.P. Woven Pvt Ltd-Sales"/>
    <s v="Sales"/>
    <n v="441"/>
    <s v="Sales - Within State  Manufactured Goods"/>
    <s v="PPL/D/441"/>
    <d v="2026-08-03T00:00:00"/>
    <s v="FG"/>
    <s v="FIBC Bags"/>
    <x v="3"/>
    <s v="FIBC"/>
    <s v="FIBC Bags With UV Without Liner"/>
    <n v="5309"/>
    <n v="1187092.3999999999"/>
    <s v="E-IO26-00504/006455-00002-00"/>
    <n v="0"/>
    <n v="9"/>
    <n v="106838.32"/>
    <n v="9"/>
    <n v="106838.32"/>
    <n v="0"/>
    <n v="0"/>
    <n v="0"/>
    <n v="213676.64"/>
    <n v="0"/>
    <s v="24AAECK6307M1ZF"/>
    <s v="KGS"/>
    <n v="39232999"/>
    <s v="Rs."/>
    <n v="1"/>
    <n v="5309"/>
    <s v="India"/>
  </r>
  <r>
    <d v="2026-08-03T00:00:00"/>
    <s v="Plastene India ltd - Unit 1-Sales"/>
    <s v="Sales"/>
    <n v="442"/>
    <s v="Sales - Within State  Manufactured Goods"/>
    <s v="PPL/D/442"/>
    <d v="2026-08-03T00:00:00"/>
    <s v="SF"/>
    <s v="PP/PE Fabric"/>
    <x v="4"/>
    <s v="PP WOVEN FABRIC"/>
    <s v="PP UL Fabric With UV"/>
    <n v="658"/>
    <n v="94804.64"/>
    <s v="PP 180 TUBE MW"/>
    <n v="138941.84"/>
    <n v="9"/>
    <n v="8532.42"/>
    <n v="9"/>
    <n v="8532.42"/>
    <n v="0"/>
    <n v="0"/>
    <n v="0"/>
    <n v="17064.84"/>
    <n v="0"/>
    <s v="24AAACO3087C1ZT"/>
    <s v="KGS"/>
    <n v="39269080"/>
    <s v="Rs."/>
    <n v="1"/>
    <n v="658"/>
    <s v="India"/>
  </r>
  <r>
    <d v="2026-08-03T00:00:00"/>
    <s v="Plastene India ltd - Unit 1-Sales"/>
    <s v="Sales"/>
    <n v="442"/>
    <s v="Sales - Within State  Manufactured Goods"/>
    <s v="PPL/D/442"/>
    <d v="2026-08-03T00:00:00"/>
    <s v="SF"/>
    <s v="PP/PE Fabric"/>
    <x v="4"/>
    <s v="PP WOVEN FABRIC"/>
    <s v="PP UL Fabric With UV"/>
    <n v="172.5"/>
    <n v="23042.55"/>
    <s v="PP 72 FLAT MW 2T Marking"/>
    <n v="0"/>
    <n v="9"/>
    <n v="2073.83"/>
    <n v="9"/>
    <n v="2073.83"/>
    <n v="0"/>
    <n v="0"/>
    <n v="0"/>
    <n v="4147.66"/>
    <n v="0"/>
    <s v="24AAACO3087C1ZT"/>
    <s v="KGS"/>
    <n v="39269080"/>
    <s v="Rs."/>
    <n v="1"/>
    <n v="172.5"/>
    <s v="India"/>
  </r>
  <r>
    <d v="2026-08-04T00:00:00"/>
    <s v="Commercial Bag Company"/>
    <s v="Export Sales"/>
    <s v="PPL/TP/023"/>
    <s v="Sales - Export - Third Party"/>
    <s v="PPL/TP/023"/>
    <d v="2026-08-04T00:00:00"/>
    <s v="FG"/>
    <s v="FIBC Bags"/>
    <x v="6"/>
    <s v="FIBC"/>
    <s v="FIBC Bags With UV Without Liner"/>
    <n v="20011"/>
    <n v="4831808.4723411752"/>
    <s v="PP WOVEN BIG BAGS (FIBC)"/>
    <n v="4831808.47"/>
    <n v="0"/>
    <n v="0"/>
    <n v="0"/>
    <n v="0"/>
    <n v="0"/>
    <n v="0"/>
    <n v="0"/>
    <n v="0"/>
    <n v="0"/>
    <s v="N.A."/>
    <s v="KGS"/>
    <n v="63053200"/>
    <s v="$"/>
    <n v="95.45"/>
    <n v="20011"/>
    <s v="USA"/>
  </r>
  <r>
    <d v="2026-08-04T00:00:00"/>
    <s v="Commercial Bag Company"/>
    <s v="Export Sales"/>
    <s v="PPL/TP/024"/>
    <s v="Sales - Export - Third Party"/>
    <s v="PPL/TP/024"/>
    <d v="2026-08-04T00:00:00"/>
    <s v="FG"/>
    <s v="FIBC Bags"/>
    <x v="6"/>
    <s v="FIBC"/>
    <s v="FIBC Bags With UV Without Liner"/>
    <n v="18596"/>
    <n v="4279577.1346642803"/>
    <s v="PP WOVEN BIG BAGS (FIBC)"/>
    <n v="4279577.13"/>
    <n v="0"/>
    <n v="0"/>
    <n v="0"/>
    <n v="0"/>
    <n v="0"/>
    <n v="0"/>
    <n v="0"/>
    <n v="0"/>
    <n v="0"/>
    <s v="N.A."/>
    <s v="KGS"/>
    <n v="63053200"/>
    <s v="$"/>
    <n v="95.45"/>
    <n v="18596"/>
    <s v="USA"/>
  </r>
  <r>
    <d v="2026-08-04T00:00:00"/>
    <s v="HCP Plastene Bulkpack Limited - Sales"/>
    <s v="Sales"/>
    <n v="446"/>
    <s v="Sales - Within State  Manufactured Goods"/>
    <s v="PPL/D/446"/>
    <d v="2026-08-04T00:00:00"/>
    <s v="FG"/>
    <s v="FIBC Bags"/>
    <x v="3"/>
    <s v="FIBC"/>
    <s v="FIBC Bags With UV Without Liner"/>
    <n v="1759"/>
    <n v="348651.39"/>
    <s v="PO-067344/BB DC 60"/>
    <n v="5111578.3099999996"/>
    <n v="9"/>
    <n v="31378.63"/>
    <n v="9"/>
    <n v="31378.63"/>
    <n v="0"/>
    <n v="0"/>
    <n v="0"/>
    <n v="62757.26"/>
    <n v="0"/>
    <s v="24AABCG1282C2Z6"/>
    <s v="KGS"/>
    <n v="63053200"/>
    <s v="Rs."/>
    <n v="1"/>
    <n v="1759"/>
    <s v="India"/>
  </r>
  <r>
    <d v="2026-08-04T00:00:00"/>
    <s v="HCP Plastene Bulkpack Limited - Sales"/>
    <s v="Sales"/>
    <n v="446"/>
    <s v="Sales - Within State  Manufactured Goods"/>
    <s v="PPL/D/446"/>
    <d v="2026-08-04T00:00:00"/>
    <s v="FG"/>
    <s v="FIBC Bags"/>
    <x v="3"/>
    <s v="FIBC"/>
    <s v="FIBC Bags With UV Without Liner"/>
    <n v="8057"/>
    <n v="1749335.84"/>
    <s v="PO-067344/CA20P"/>
    <n v="0"/>
    <n v="9"/>
    <n v="157440.23000000001"/>
    <n v="9"/>
    <n v="157440.23000000001"/>
    <n v="0"/>
    <n v="0"/>
    <n v="0"/>
    <n v="314880.46000000002"/>
    <n v="0"/>
    <s v="24AABCG1282C2Z6"/>
    <s v="KGS"/>
    <n v="63053200"/>
    <s v="Rs."/>
    <n v="1"/>
    <n v="8057"/>
    <s v="India"/>
  </r>
  <r>
    <d v="2026-08-04T00:00:00"/>
    <s v="HCP Plastene Bulkpack Limited - Sales"/>
    <s v="Sales"/>
    <n v="446"/>
    <s v="Sales - Within State  Manufactured Goods"/>
    <s v="PPL/D/446"/>
    <d v="2026-08-04T00:00:00"/>
    <s v="FG"/>
    <s v="FIBC Bags"/>
    <x v="3"/>
    <s v="FIBC"/>
    <s v="FIBC Bags With UV Without Liner"/>
    <n v="1624"/>
    <n v="348364.24"/>
    <s v="PO-067344/CA22"/>
    <n v="0"/>
    <n v="9"/>
    <n v="31352.78"/>
    <n v="9"/>
    <n v="31352.78"/>
    <n v="0"/>
    <n v="0"/>
    <n v="0"/>
    <n v="62705.56"/>
    <n v="0"/>
    <s v="24AABCG1282C2Z6"/>
    <s v="KGS"/>
    <n v="63053200"/>
    <s v="Rs."/>
    <n v="1"/>
    <n v="1624"/>
    <s v="India"/>
  </r>
  <r>
    <d v="2026-08-04T00:00:00"/>
    <s v="HCP Plastene Bulkpack Limited - Sales"/>
    <s v="Sales"/>
    <n v="446"/>
    <s v="Sales - Within State  Manufactured Goods"/>
    <s v="PPL/D/446"/>
    <d v="2026-08-04T00:00:00"/>
    <s v="FG"/>
    <s v="FIBC Bags"/>
    <x v="3"/>
    <s v="FIBC"/>
    <s v="FIBC Bags With UV Without Liner"/>
    <n v="881"/>
    <n v="167654.29999999999"/>
    <s v="PO-067344/KDC 12912"/>
    <n v="0"/>
    <n v="9"/>
    <n v="15088.89"/>
    <n v="9"/>
    <n v="15088.89"/>
    <n v="0"/>
    <n v="0"/>
    <n v="0"/>
    <n v="30177.78"/>
    <n v="0"/>
    <s v="24AABCG1282C2Z6"/>
    <s v="KGS"/>
    <n v="63053200"/>
    <s v="Rs."/>
    <n v="1"/>
    <n v="881"/>
    <s v="India"/>
  </r>
  <r>
    <d v="2026-08-04T00:00:00"/>
    <s v="HCP Plastene Bulkpack Limited - Sales"/>
    <s v="Sales"/>
    <n v="446"/>
    <s v="Sales - Within State  Manufactured Goods"/>
    <s v="PPL/D/446"/>
    <d v="2026-08-04T00:00:00"/>
    <s v="FG"/>
    <s v="FIBC Bags"/>
    <x v="3"/>
    <s v="FIBC"/>
    <s v="FIBC Bags With UV With Liner"/>
    <n v="4168"/>
    <n v="1021576.8"/>
    <s v="PO-067344/CA 1F"/>
    <n v="0"/>
    <n v="9"/>
    <n v="91941.91"/>
    <n v="9"/>
    <n v="91941.91"/>
    <n v="0"/>
    <n v="0"/>
    <n v="0"/>
    <n v="183883.82"/>
    <n v="0"/>
    <s v="24AABCG1282C2Z6"/>
    <s v="KGS"/>
    <n v="63053200"/>
    <s v="Rs."/>
    <n v="1"/>
    <n v="4168"/>
    <s v="India"/>
  </r>
  <r>
    <d v="2026-08-04T00:00:00"/>
    <s v="HCP Plastene Bulkpack Limited - Sales"/>
    <s v="Sales"/>
    <n v="446"/>
    <s v="Sales - Within State  Manufactured Goods"/>
    <s v="PPL/D/446"/>
    <d v="2026-08-04T00:00:00"/>
    <s v="FG"/>
    <s v="FIBC Bags"/>
    <x v="3"/>
    <s v="FIBC"/>
    <s v="FIBC Bags With UV Without Liner"/>
    <n v="1261"/>
    <n v="261304.42"/>
    <s v="PO-066770/JF 121010"/>
    <n v="0"/>
    <n v="9"/>
    <n v="23517.4"/>
    <n v="9"/>
    <n v="23517.4"/>
    <n v="0"/>
    <n v="0"/>
    <n v="0"/>
    <n v="47034.8"/>
    <n v="0"/>
    <s v="24AABCG1282C2Z6"/>
    <s v="KGS"/>
    <n v="63053200"/>
    <s v="Rs."/>
    <n v="1"/>
    <n v="1261"/>
    <s v="India"/>
  </r>
  <r>
    <d v="2026-08-04T00:00:00"/>
    <s v="HCP Plastene Bulkpack Limited - Sales"/>
    <s v="Sales"/>
    <n v="446"/>
    <s v="Sales - Within State  Manufactured Goods"/>
    <s v="PPL/D/446"/>
    <d v="2026-08-04T00:00:00"/>
    <s v="FG"/>
    <s v="FIBC Bags"/>
    <x v="3"/>
    <s v="FIBC"/>
    <s v="FIBC Bags With UV Without Liner"/>
    <n v="2081"/>
    <n v="438633.18"/>
    <s v="PO-066770/JF SS 101013"/>
    <n v="0"/>
    <n v="9"/>
    <n v="39476.99"/>
    <n v="9"/>
    <n v="39476.99"/>
    <n v="0"/>
    <n v="0"/>
    <n v="0"/>
    <n v="78953.98"/>
    <n v="0"/>
    <s v="24AABCG1282C2Z6"/>
    <s v="KGS"/>
    <n v="63053200"/>
    <s v="Rs."/>
    <n v="1"/>
    <n v="2081"/>
    <s v="India"/>
  </r>
  <r>
    <d v="2026-08-04T00:00:00"/>
    <s v="Hcp Plastene Bulkpack Ltd (Unit Iv) - Sales"/>
    <s v="Sales"/>
    <n v="448"/>
    <s v="Sales - Within State  Manufactured Goods"/>
    <s v="PPL/D/448"/>
    <d v="2026-08-04T00:00:00"/>
    <s v="SF"/>
    <s v="Films All (SF)"/>
    <x v="5"/>
    <s v="LLDPE FILM"/>
    <s v="LDPE/LLDPE Film"/>
    <n v="6"/>
    <n v="1620"/>
    <s v="LDPE/LLDPE Film"/>
    <n v="192510.9"/>
    <n v="9"/>
    <n v="145.80000000000001"/>
    <n v="9"/>
    <n v="145.80000000000001"/>
    <n v="0"/>
    <n v="0"/>
    <n v="0"/>
    <n v="291.60000000000002"/>
    <n v="0"/>
    <s v="24AABCG1282C2Z6"/>
    <s v="KGS"/>
    <n v="39201019"/>
    <s v="Rs."/>
    <n v="1"/>
    <n v="6"/>
    <s v="India"/>
  </r>
  <r>
    <d v="2026-08-04T00:00:00"/>
    <s v="Hcp Plastene Bulkpack Ltd (Unit Iv) - Sales"/>
    <s v="Sales"/>
    <n v="448"/>
    <s v="Sales - Within State  Manufactured Goods"/>
    <s v="PPL/D/448"/>
    <d v="2026-08-04T00:00:00"/>
    <s v="FG"/>
    <s v="FIBC WIP"/>
    <x v="7"/>
    <s v="PP WOVEN FABRIC"/>
    <s v="FIBC WIP"/>
    <n v="701"/>
    <n v="93639.58"/>
    <s v="CUT PCS BOTTOM 73X73 CM"/>
    <n v="0"/>
    <n v="9"/>
    <n v="8427.56"/>
    <n v="9"/>
    <n v="8427.56"/>
    <n v="0"/>
    <n v="0"/>
    <n v="0"/>
    <n v="16855.12"/>
    <n v="0"/>
    <s v="24AABCG1282C2Z6"/>
    <s v="KGS"/>
    <n v="39269080"/>
    <s v="Rs."/>
    <n v="1"/>
    <n v="701"/>
    <s v="India"/>
  </r>
  <r>
    <d v="2026-08-04T00:00:00"/>
    <s v="Hcp Plastene Bulkpack Ltd (Unit Iv) - Sales"/>
    <s v="Sales"/>
    <n v="448"/>
    <s v="Sales - Within State  Manufactured Goods"/>
    <s v="PPL/D/448"/>
    <d v="2026-08-04T00:00:00"/>
    <s v="SF"/>
    <s v="PP/PE Fabric"/>
    <x v="8"/>
    <s v="PP Laminated Fabric"/>
    <s v="PP Lam Fabric With UV"/>
    <n v="240"/>
    <n v="33019.199999999997"/>
    <s v="SPOUT---60+8 GSM"/>
    <n v="0"/>
    <n v="9"/>
    <n v="2971.73"/>
    <n v="9"/>
    <n v="2971.73"/>
    <n v="0"/>
    <n v="0"/>
    <n v="0"/>
    <n v="5943.46"/>
    <n v="0"/>
    <s v="24AABCG1282C2Z6"/>
    <s v="KGS"/>
    <n v="39269080"/>
    <s v="Rs."/>
    <n v="1"/>
    <n v="240"/>
    <s v="India"/>
  </r>
  <r>
    <d v="2026-08-04T00:00:00"/>
    <s v="Hcp Plastene Bulkpack Ltd (Unit Iv) - Sales"/>
    <s v="Sales"/>
    <n v="448"/>
    <s v="Sales - Within State  Manufactured Goods"/>
    <s v="PPL/D/448"/>
    <d v="2026-08-04T00:00:00"/>
    <s v="SF"/>
    <s v="PP/PE Fabric"/>
    <x v="8"/>
    <s v="PP Laminated Fabric"/>
    <s v="PP Lam Fabric With UV"/>
    <n v="249"/>
    <n v="35004.42"/>
    <s v="SPOUT---BLUE---90+12 GSM"/>
    <n v="0"/>
    <n v="9"/>
    <n v="3150.4"/>
    <n v="9"/>
    <n v="3150.4"/>
    <n v="0"/>
    <n v="0"/>
    <n v="0"/>
    <n v="6300.8"/>
    <n v="0"/>
    <s v="24AABCG1282C2Z6"/>
    <s v="KGS"/>
    <n v="39269080"/>
    <s v="Rs."/>
    <n v="1"/>
    <n v="249"/>
    <s v="India"/>
  </r>
  <r>
    <d v="2026-08-04T00:00:00"/>
    <s v="K.P. Woven Pvt Ltd - Unit 3 -Sales"/>
    <s v="SALES (FOREX)"/>
    <s v="PPL/E/69/26-27"/>
    <s v="Sales - Kasez - Mfg - U/B"/>
    <s v="PPL/E/69/26-27"/>
    <d v="2026-08-04T00:00:00"/>
    <s v="SF"/>
    <s v="PP/PE Fabric"/>
    <x v="2"/>
    <s v="PP Laminated Fabric"/>
    <s v="PP Lam Fabric With UV"/>
    <n v="3438"/>
    <n v="436385.34"/>
    <s v="PP Lam Fabric With UV MW"/>
    <n v="717952.61"/>
    <m/>
    <n v="0"/>
    <m/>
    <n v="0"/>
    <m/>
    <n v="0"/>
    <n v="0"/>
    <n v="0"/>
    <n v="0"/>
    <s v="24AAECK6307M2ZE"/>
    <s v="KGS"/>
    <n v="39269080"/>
    <s v="Rs."/>
    <n v="1"/>
    <n v="3438"/>
    <s v="India"/>
  </r>
  <r>
    <d v="2026-08-04T00:00:00"/>
    <s v="K.P. Woven Pvt Ltd - Unit 3 -Sales"/>
    <s v="SALES (FOREX)"/>
    <s v="PPL/E/69/26-27"/>
    <s v="Sales - Kasez - Mfg - U/B"/>
    <s v="PPL/E/69/26-27"/>
    <d v="2026-08-04T00:00:00"/>
    <s v="SF"/>
    <s v="PP/PE Fabric"/>
    <x v="2"/>
    <s v="PP Laminated Fabric"/>
    <s v="PP Lam Fabric With UV"/>
    <n v="1858"/>
    <n v="282285.94"/>
    <s v="PP Lam Fabric With UV Condective"/>
    <n v="0"/>
    <m/>
    <n v="0"/>
    <m/>
    <n v="0"/>
    <m/>
    <n v="0"/>
    <n v="0"/>
    <n v="0"/>
    <n v="0"/>
    <s v="24AAECK6307M2ZE"/>
    <s v="KGS"/>
    <n v="39269080"/>
    <s v="Rs."/>
    <n v="1"/>
    <n v="1858"/>
    <s v="India"/>
  </r>
  <r>
    <d v="2026-08-04T00:00:00"/>
    <s v="Narayandas Murlidhar"/>
    <s v="Sales"/>
    <n v="444"/>
    <s v="Sales - Interstate - Manufactured Goods"/>
    <s v="PPL/D/444"/>
    <d v="2026-08-04T00:00:00"/>
    <s v="SF"/>
    <s v="PP/PE Fabric"/>
    <x v="8"/>
    <s v="PP Laminated Fabric"/>
    <s v="PP Lam Fabric With UV"/>
    <n v="10245"/>
    <n v="614700"/>
    <s v="BLACK GRADE- D "/>
    <n v="725346"/>
    <n v="0"/>
    <n v="0"/>
    <n v="0"/>
    <n v="0"/>
    <n v="18"/>
    <n v="110646"/>
    <n v="0"/>
    <n v="110646"/>
    <n v="0"/>
    <s v="08AAJFN2559G1Z2"/>
    <s v="KGS"/>
    <n v="39269080"/>
    <s v="Rs."/>
    <n v="1"/>
    <n v="10245"/>
    <s v="India"/>
  </r>
  <r>
    <d v="2026-08-04T00:00:00"/>
    <s v="Plastene India ltd - Unit 1-Sales"/>
    <s v="Sales"/>
    <n v="445"/>
    <s v="Sales - Within State - Traded Goods"/>
    <s v="PPL/D/445"/>
    <d v="2026-08-04T00:00:00"/>
    <s v="SF"/>
    <s v="Films All (SF)"/>
    <x v="5"/>
    <s v="LLDPE FILM"/>
    <s v="LDPE/LLDPE Film"/>
    <n v="15.6"/>
    <n v="4508.3999999999996"/>
    <s v="LDPE/LLDPE Film"/>
    <n v="5315.41"/>
    <n v="9"/>
    <n v="405.76"/>
    <n v="9"/>
    <n v="405.76"/>
    <n v="0"/>
    <n v="0"/>
    <n v="0"/>
    <n v="811.52"/>
    <n v="0"/>
    <s v="24AAACO3087C1ZT"/>
    <s v="KGS"/>
    <n v="39201019"/>
    <s v="Rs."/>
    <n v="1"/>
    <n v="15.6"/>
    <s v="India"/>
  </r>
  <r>
    <d v="2026-08-05T00:00:00"/>
    <s v="Hcp Plastene Bulkpack Ltd (Unit Iv) - Sales"/>
    <s v="Sales"/>
    <n v="449"/>
    <s v="Sales - Within State  Manufactured Goods"/>
    <s v="PPL/D/449"/>
    <d v="2026-08-05T00:00:00"/>
    <s v="FG"/>
    <s v="FIBC Bags"/>
    <x v="3"/>
    <s v="FIBC"/>
    <s v="FIBC Bags With UV Without Liner"/>
    <n v="2226"/>
    <n v="464989.14"/>
    <s v="MN-44-19062026/BERY"/>
    <n v="1205479.2"/>
    <n v="9"/>
    <n v="41849.019999999997"/>
    <n v="9"/>
    <n v="41849.019999999997"/>
    <n v="0"/>
    <n v="0"/>
    <n v="0"/>
    <n v="83698.039999999994"/>
    <n v="0"/>
    <s v="24AABCG1282C2Z6"/>
    <s v="KGS"/>
    <n v="63053200"/>
    <s v="Rs."/>
    <n v="1"/>
    <n v="2226"/>
    <s v="India"/>
  </r>
  <r>
    <d v="2026-08-05T00:00:00"/>
    <s v="Hcp Plastene Bulkpack Ltd (Unit Iv) - Sales"/>
    <s v="Sales"/>
    <n v="449"/>
    <s v="Sales - Within State  Manufactured Goods"/>
    <s v="PPL/D/449"/>
    <d v="2026-08-05T00:00:00"/>
    <s v="FG"/>
    <s v="FIBC Bags"/>
    <x v="3"/>
    <s v="FIBC"/>
    <s v="FIBC Bags With UV Without Liner"/>
    <n v="2697"/>
    <n v="557469.9"/>
    <s v="MN-44-19062026/BULLY"/>
    <n v="0"/>
    <n v="9"/>
    <n v="50172.29"/>
    <n v="9"/>
    <n v="50172.29"/>
    <n v="0"/>
    <n v="0"/>
    <n v="0"/>
    <n v="100344.58"/>
    <n v="0"/>
    <s v="24AABCG1282C2Z6"/>
    <s v="KGS"/>
    <n v="63053200"/>
    <s v="Rs."/>
    <n v="1"/>
    <n v="2697"/>
    <s v="India"/>
  </r>
  <r>
    <d v="2026-08-05T00:00:00"/>
    <s v="K.P. Woven Pvt Ltd - Unit 3 -Sales"/>
    <s v="Export Sales"/>
    <s v="PPL/E/70/26-27"/>
    <s v="Sales - Kasez - Mfg - U/B"/>
    <s v="PPL/E/70/26-27"/>
    <d v="2026-08-05T00:00:00"/>
    <s v="FG"/>
    <s v="FIBC Bags"/>
    <x v="9"/>
    <s v="FIBC"/>
    <s v="FIBC Bags With UV Without Liner"/>
    <n v="8210"/>
    <n v="1536912"/>
    <s v="PP WOVEN BIG BAGS"/>
    <n v="1535375.09"/>
    <n v="0"/>
    <n v="0"/>
    <n v="0"/>
    <n v="0"/>
    <n v="0"/>
    <n v="0"/>
    <n v="0"/>
    <n v="0"/>
    <n v="0"/>
    <s v="24AAECK6307M2ZE"/>
    <s v="KGS"/>
    <n v="63053200"/>
    <s v="$"/>
    <n v="93.6"/>
    <n v="8210"/>
    <s v="India"/>
  </r>
  <r>
    <d v="2026-08-05T00:00:00"/>
    <s v="Plastene India ltd - Unit 1-Sales"/>
    <s v="Sales"/>
    <n v="450"/>
    <s v="Sales - Within State  Manufactured Goods"/>
    <s v="PPL/D/450"/>
    <d v="2026-08-05T00:00:00"/>
    <s v="SF"/>
    <s v="PP/PE Fabric"/>
    <x v="8"/>
    <s v="PP Laminated Fabric"/>
    <s v="PP Lam Fabric With UV"/>
    <n v="327"/>
    <n v="44988.66"/>
    <s v="PP Lam Fabric With UV MW"/>
    <n v="113080.86"/>
    <n v="0"/>
    <n v="4048.98"/>
    <n v="0"/>
    <n v="4048.98"/>
    <n v="18"/>
    <n v="0"/>
    <n v="0"/>
    <n v="8097.96"/>
    <n v="0"/>
    <s v="24AAACO3087C1ZT"/>
    <s v="KGS"/>
    <n v="392690"/>
    <s v="Rs."/>
    <n v="1"/>
    <n v="327"/>
    <s v="India"/>
  </r>
  <r>
    <d v="2026-08-05T00:00:00"/>
    <s v="Plastene India ltd - Unit 1-Sales"/>
    <s v="Sales"/>
    <n v="450"/>
    <s v="Sales - Within State  Manufactured Goods"/>
    <s v="PPL/D/450"/>
    <d v="2026-08-05T00:00:00"/>
    <s v="SF"/>
    <s v="Webbing"/>
    <x v="10"/>
    <s v="PP Webbing"/>
    <s v="Webbing"/>
    <n v="375.6"/>
    <n v="50923.85"/>
    <s v="Webbing MW"/>
    <n v="0"/>
    <n v="9"/>
    <n v="4583.1499999999996"/>
    <n v="9"/>
    <n v="4583.1499999999996"/>
    <n v="0"/>
    <n v="0"/>
    <n v="0"/>
    <n v="9166.2999999999993"/>
    <n v="0"/>
    <s v="24AAACO3087C1ZT"/>
    <s v="KGS"/>
    <n v="39269080"/>
    <s v="Rs."/>
    <n v="1"/>
    <n v="375.6"/>
    <s v="India"/>
  </r>
  <r>
    <d v="2026-08-05T00:00:00"/>
    <s v="Plastene India ltd - Unit 1-Sales"/>
    <s v="Sales"/>
    <n v="452"/>
    <s v="Sales - Within State  Manufactured Goods"/>
    <s v="PPL/D/452"/>
    <d v="2026-08-05T00:00:00"/>
    <s v="SF"/>
    <s v="Tape Stock"/>
    <x v="11"/>
    <s v="PP TAPE"/>
    <s v="PP Tapes"/>
    <n v="2320.1999999999998"/>
    <n v="266660.59000000003"/>
    <s v="PP Tapes MW"/>
    <n v="314392.83"/>
    <n v="9"/>
    <n v="23999.45"/>
    <n v="9"/>
    <n v="23999.45"/>
    <n v="0"/>
    <n v="0"/>
    <n v="0"/>
    <n v="47998.9"/>
    <n v="0"/>
    <s v="24AAACO3087C1ZT"/>
    <s v="KGS"/>
    <n v="39199090"/>
    <s v="Rs."/>
    <n v="1"/>
    <n v="2320.1999999999998"/>
    <s v="India"/>
  </r>
  <r>
    <d v="2026-08-05T00:00:00"/>
    <s v="Plastene India ltd - Unit 1-Sales"/>
    <s v="Sales"/>
    <n v="453"/>
    <s v="Sales - Within State  Manufactured Goods"/>
    <s v="PPL/D/453"/>
    <d v="2026-08-05T00:00:00"/>
    <s v="FG"/>
    <s v="FIBC Bags"/>
    <x v="3"/>
    <s v="FIBC"/>
    <s v="FIBC Bags With UV Without Liner"/>
    <n v="4058"/>
    <n v="1084175.8600000001"/>
    <s v="88/968-D/1/S1"/>
    <n v="1278243.3400000001"/>
    <n v="9"/>
    <n v="97575.83"/>
    <n v="9"/>
    <n v="97575.83"/>
    <n v="0"/>
    <n v="0"/>
    <n v="0"/>
    <n v="195151.66"/>
    <n v="0"/>
    <s v="24AAACO3087C1ZT"/>
    <s v="KGS"/>
    <n v="63053200"/>
    <s v="Rs."/>
    <n v="1"/>
    <n v="4058"/>
    <s v="India"/>
  </r>
  <r>
    <d v="2026-08-06T00:00:00"/>
    <s v="HCP Plastene Bulkpack Limited - Sales"/>
    <s v="Sales"/>
    <n v="455"/>
    <s v="Sales - Within State  Manufactured Goods"/>
    <s v="PPL/D/455"/>
    <d v="2026-08-06T00:00:00"/>
    <s v="FG"/>
    <s v="FIBC Bags"/>
    <x v="3"/>
    <s v="FIBC"/>
    <s v="FIBC Bags With UV Without Liner"/>
    <n v="19371"/>
    <n v="3897445.2"/>
    <s v="KRZY-94/KK0019 SUGAR KSC_x000d__x000a_CIRCULAR"/>
    <n v="4595087.8899999997"/>
    <n v="9"/>
    <n v="350770.07"/>
    <n v="9"/>
    <n v="350770.07"/>
    <n v="0"/>
    <n v="0"/>
    <n v="0"/>
    <n v="701540.14"/>
    <n v="0"/>
    <s v="24AABCG1282C2Z6"/>
    <s v="KGS"/>
    <n v="63053200"/>
    <s v="Rs."/>
    <n v="1"/>
    <n v="19371"/>
    <s v="India"/>
  </r>
  <r>
    <d v="2026-08-06T00:00:00"/>
    <s v="Plastene India ltd - Unit 1-Sales"/>
    <s v="Sales"/>
    <n v="456"/>
    <s v="Sales - Within State  Manufactured Goods"/>
    <s v="PPL/D/456"/>
    <d v="2026-08-06T00:00:00"/>
    <s v="FG"/>
    <s v="FIBC WIP"/>
    <x v="7"/>
    <s v="PP Laminated Fabric"/>
    <s v="FIBC WIP"/>
    <n v="297"/>
    <n v="33733.26"/>
    <s v="LAMI CUT PCS BUFFLE PUNCHING"/>
    <n v="39771.51"/>
    <n v="9"/>
    <n v="3035.99"/>
    <n v="9"/>
    <n v="3035.99"/>
    <n v="0"/>
    <n v="0"/>
    <n v="0"/>
    <n v="6071.98"/>
    <n v="0"/>
    <s v="24AAACO3087C1ZT"/>
    <s v="KGS"/>
    <n v="39269080"/>
    <s v="Rs."/>
    <n v="1"/>
    <n v="297"/>
    <s v="India"/>
  </r>
  <r>
    <d v="2026-08-06T00:00:00"/>
    <s v="Plastene India ltd - Unit 1-Sales"/>
    <s v="Sales"/>
    <n v="457"/>
    <s v="Sales - Within State - Traded Goods"/>
    <s v="PPL/D/457"/>
    <d v="2026-08-06T00:00:00"/>
    <s v="SF"/>
    <s v="Films All (SF)"/>
    <x v="5"/>
    <s v="LLDPE FILM"/>
    <s v="LDPE/LLDPE Film"/>
    <n v="7.53"/>
    <n v="2085.81"/>
    <s v="LDPE/LLDPE Film"/>
    <n v="2459.16"/>
    <n v="9"/>
    <n v="187.72"/>
    <n v="9"/>
    <n v="187.72"/>
    <n v="0"/>
    <n v="0"/>
    <n v="0"/>
    <n v="375.44"/>
    <n v="0"/>
    <s v="24AAACO3087C1ZT"/>
    <s v="KGS"/>
    <n v="39201019"/>
    <s v="Rs."/>
    <n v="1"/>
    <n v="7.53"/>
    <s v="India"/>
  </r>
  <r>
    <d v="2026-08-07T00:00:00"/>
    <s v="Hcp Plastene Bulkpack Ltd (Unit Iv) - Sales"/>
    <s v="Sales"/>
    <n v="462"/>
    <s v="Sales - Within State  Manufactured Goods"/>
    <s v="PPL/D/462"/>
    <d v="2026-08-07T00:00:00"/>
    <s v="FG"/>
    <s v="FIBC WIP"/>
    <x v="7"/>
    <s v="PP WOVEN FABRIC"/>
    <s v="FIBC WIP"/>
    <n v="158"/>
    <n v="21105.64"/>
    <s v="CUT PICES "/>
    <n v="106798"/>
    <n v="9"/>
    <n v="1899.51"/>
    <n v="9"/>
    <n v="1899.51"/>
    <n v="0"/>
    <n v="0"/>
    <n v="0"/>
    <n v="3799.02"/>
    <n v="0"/>
    <s v="24AABCG1282C2Z6"/>
    <s v="KGS"/>
    <n v="39269080"/>
    <s v="Rs."/>
    <n v="1"/>
    <n v="158"/>
    <s v="India"/>
  </r>
  <r>
    <d v="2026-08-07T00:00:00"/>
    <s v="Hcp Plastene Bulkpack Ltd (Unit Iv) - Sales"/>
    <s v="Sales"/>
    <n v="462"/>
    <s v="Sales - Within State  Manufactured Goods"/>
    <s v="PPL/D/462"/>
    <d v="2026-08-07T00:00:00"/>
    <s v="SF"/>
    <s v="PP/PE Fabric"/>
    <x v="8"/>
    <s v="PP Laminated Fabric"/>
    <s v="PP Lam Fabric With UV"/>
    <n v="505"/>
    <n v="69477.899999999994"/>
    <s v="PP Lam Fabric CutPcs With UV"/>
    <n v="0"/>
    <n v="9"/>
    <n v="6253.01"/>
    <n v="9"/>
    <n v="6253.01"/>
    <n v="0"/>
    <n v="0"/>
    <n v="0"/>
    <n v="12506.02"/>
    <n v="0"/>
    <s v="24AABCG1282C2Z6"/>
    <s v="KGS"/>
    <n v="39269080"/>
    <s v="Rs."/>
    <n v="1"/>
    <n v="505"/>
    <s v="India"/>
  </r>
  <r>
    <d v="2026-08-07T00:00:00"/>
    <s v="K.P. Woven Pvt Ltd - Unit 3 -Sales"/>
    <s v="Export Sales"/>
    <s v="PPL/E/71/26-27"/>
    <s v="Sales - Kasez - Mfg - U/B"/>
    <s v="PPL/E/71/26-27"/>
    <d v="2026-08-07T00:00:00"/>
    <s v="SF"/>
    <s v="PP/PE Fabric"/>
    <x v="1"/>
    <s v="PP WOVEN FABRIC"/>
    <s v="PP UL Fabric With UV"/>
    <n v="280"/>
    <n v="28851.199999999997"/>
    <s v="PP UL Fabric With UV"/>
    <n v="28822.35"/>
    <n v="0"/>
    <n v="0"/>
    <n v="0"/>
    <n v="0"/>
    <n v="0"/>
    <n v="0"/>
    <n v="0"/>
    <n v="0"/>
    <n v="0"/>
    <s v="24AAECK6307M2ZE"/>
    <s v="KGS"/>
    <n v="39269080"/>
    <s v="$"/>
    <n v="89.6"/>
    <n v="280"/>
    <s v="India"/>
  </r>
  <r>
    <d v="2026-08-07T00:00:00"/>
    <s v="K.P. Woven Pvt Ltd-Sales"/>
    <s v="Sales"/>
    <n v="458"/>
    <s v="Sales - Within State  Manufactured Goods"/>
    <s v="PPL/D/458"/>
    <d v="2026-08-07T00:00:00"/>
    <s v="FG"/>
    <s v="FIBC Bags"/>
    <x v="3"/>
    <s v="FIBC"/>
    <s v="FIBC Bags With UV Without Liner"/>
    <n v="22263"/>
    <n v="5691981.21"/>
    <s v="E-IO26-00474/001038-00033-00"/>
    <n v="6710845.8499999996"/>
    <n v="9"/>
    <n v="512278.31"/>
    <n v="9"/>
    <n v="512278.31"/>
    <n v="0"/>
    <n v="0"/>
    <n v="0"/>
    <n v="1024556.62"/>
    <n v="0"/>
    <s v="24AAECK6307M1ZF"/>
    <s v="KGS"/>
    <n v="39232999"/>
    <s v="Rs."/>
    <n v="1"/>
    <n v="22263"/>
    <s v="India"/>
  </r>
  <r>
    <d v="2026-08-07T00:00:00"/>
    <s v="K.P. Woven Pvt Ltd-Sales"/>
    <s v="Sales"/>
    <n v="459"/>
    <s v="Sales - Within State  Manufactured Goods"/>
    <s v="PPL/D/459"/>
    <d v="2026-08-07T00:00:00"/>
    <s v="FG"/>
    <s v="FIBC Bags"/>
    <x v="3"/>
    <s v="FIBC"/>
    <s v="FIBC Bags With UV Without Liner"/>
    <n v="19764"/>
    <n v="4159136.16"/>
    <s v="E-IO26-00503/006890-00003-00"/>
    <n v="4903621.5199999996"/>
    <n v="9"/>
    <n v="374322.25"/>
    <n v="9"/>
    <n v="374322.25"/>
    <n v="0"/>
    <n v="0"/>
    <n v="0"/>
    <n v="748644.5"/>
    <n v="0"/>
    <s v="24AAECK6307M1ZF"/>
    <s v="KGS"/>
    <n v="39232999"/>
    <s v="Rs."/>
    <n v="1"/>
    <n v="19764"/>
    <s v="India"/>
  </r>
  <r>
    <d v="2026-08-07T00:00:00"/>
    <s v="Plastene India ltd - Unit 1-Sales"/>
    <s v="Sales"/>
    <n v="460"/>
    <s v="Sales - Within State  Manufactured Goods"/>
    <s v="PPL/D/460"/>
    <d v="2026-08-07T00:00:00"/>
    <s v="SF"/>
    <s v="PP/PE Fabric"/>
    <x v="8"/>
    <s v="PP Laminated Fabric"/>
    <s v="PP Lam Fabric With UV"/>
    <n v="750"/>
    <n v="97447.5"/>
    <s v="PP Lam Fabric With UV black"/>
    <n v="151106.04"/>
    <n v="9"/>
    <n v="8770.2800000000007"/>
    <n v="9"/>
    <n v="8770.2800000000007"/>
    <n v="0"/>
    <n v="0"/>
    <n v="0"/>
    <n v="17540.560000000001"/>
    <n v="0"/>
    <s v="24AAACO3087C1ZT"/>
    <s v="KGS"/>
    <n v="39269080"/>
    <s v="Rs."/>
    <n v="1"/>
    <n v="750"/>
    <s v="India"/>
  </r>
  <r>
    <d v="2026-08-07T00:00:00"/>
    <s v="Plastene India ltd - Unit 1-Sales"/>
    <s v="Sales"/>
    <n v="460"/>
    <s v="Sales - Within State  Manufactured Goods"/>
    <s v="PPL/D/460"/>
    <d v="2026-08-07T00:00:00"/>
    <s v="SF"/>
    <s v="PP/PE Fabric"/>
    <x v="8"/>
    <s v="PP Laminated Fabric"/>
    <s v="PP Lam Fabric With UV"/>
    <n v="242"/>
    <n v="30717.06"/>
    <s v="PP Lam Fabric With UV mw"/>
    <n v="0"/>
    <n v="9"/>
    <n v="2764.54"/>
    <n v="9"/>
    <n v="2764.54"/>
    <n v="0"/>
    <n v="0"/>
    <n v="0"/>
    <n v="5529.08"/>
    <n v="0"/>
    <s v="24AAACO3087C1ZT"/>
    <s v="KGS"/>
    <n v="39269080"/>
    <s v="Rs."/>
    <n v="1"/>
    <n v="242"/>
    <s v="India"/>
  </r>
  <r>
    <d v="2026-08-08T00:00:00"/>
    <s v="Hcp Plastene Bulkpack Ltd (Unit Iv) - Sales"/>
    <s v="Sales"/>
    <n v="467"/>
    <s v="Sales - Within State  Manufactured Goods"/>
    <s v="PPL/D/467"/>
    <d v="2026-08-08T00:00:00"/>
    <s v="SF"/>
    <s v="PP/PE Fabric"/>
    <x v="8"/>
    <s v="PP Laminated Fabric"/>
    <s v="PP Lam Fabric With UV"/>
    <n v="752"/>
    <n v="103460.16"/>
    <s v="PP Lam Fabric With UV Spout mw"/>
    <n v="202531.02"/>
    <n v="9"/>
    <n v="9311.41"/>
    <n v="9"/>
    <n v="9311.41"/>
    <n v="0"/>
    <n v="0"/>
    <n v="0"/>
    <n v="18622.82"/>
    <n v="0"/>
    <s v="24AABCG1282C2Z6"/>
    <s v="KGS"/>
    <n v="39269080"/>
    <s v="Rs."/>
    <n v="1"/>
    <n v="752"/>
    <s v="India"/>
  </r>
  <r>
    <d v="2026-08-08T00:00:00"/>
    <s v="Hcp Plastene Bulkpack Ltd (Unit Iv) - Sales"/>
    <s v="Sales"/>
    <n v="467"/>
    <s v="Sales - Within State  Manufactured Goods"/>
    <s v="PPL/D/467"/>
    <d v="2026-08-08T00:00:00"/>
    <s v="SF"/>
    <s v="PP/PE Fabric"/>
    <x v="8"/>
    <s v="PP Laminated Fabric"/>
    <s v="PP Lam Fabric With UV"/>
    <n v="486"/>
    <n v="68321.88"/>
    <s v="PP Lam Fabric With UV  Spout black"/>
    <n v="0"/>
    <n v="9"/>
    <n v="6148.97"/>
    <n v="9"/>
    <n v="6148.97"/>
    <n v="0"/>
    <n v="0"/>
    <n v="0"/>
    <n v="12297.94"/>
    <n v="0"/>
    <s v="24AABCG1282C2Z6"/>
    <s v="KGS"/>
    <n v="39269080"/>
    <s v="Rs."/>
    <n v="1"/>
    <n v="486"/>
    <s v="India"/>
  </r>
  <r>
    <d v="2026-08-08T00:00:00"/>
    <s v="K.P. Woven Pvt Ltd-Sales"/>
    <s v="Sales"/>
    <n v="465"/>
    <s v="Sales - Within State  Manufactured Goods"/>
    <s v="PPL/D/465"/>
    <d v="2026-08-08T00:00:00"/>
    <s v="FG"/>
    <s v="FIBC Bags"/>
    <x v="3"/>
    <s v="FIBC"/>
    <s v="FIBC Bags With UV Without Liner"/>
    <n v="6774"/>
    <n v="1577054.94"/>
    <s v="OEL260/T-1520 (4) 6-1"/>
    <n v="4886805.04"/>
    <n v="9"/>
    <n v="141934.94"/>
    <n v="9"/>
    <n v="141934.94"/>
    <n v="0"/>
    <n v="0"/>
    <n v="0"/>
    <n v="283869.88"/>
    <n v="0"/>
    <s v="24AAECK6307M1ZF"/>
    <s v="KGS"/>
    <n v="39232999"/>
    <s v="Rs."/>
    <n v="1"/>
    <n v="6774"/>
    <s v="India"/>
  </r>
  <r>
    <d v="2026-08-08T00:00:00"/>
    <s v="K.P. Woven Pvt Ltd-Sales"/>
    <s v="Sales"/>
    <n v="465"/>
    <s v="Sales - Within State  Manufactured Goods"/>
    <s v="PPL/D/465"/>
    <d v="2026-08-08T00:00:00"/>
    <s v="FG"/>
    <s v="FIBC Bags"/>
    <x v="3"/>
    <s v="FIBC"/>
    <s v="FIBC Bags With UV With Liner"/>
    <n v="3557"/>
    <n v="1159439.72"/>
    <s v="OEL260/T-4660 (6)"/>
    <n v="0"/>
    <n v="9"/>
    <n v="104349.57"/>
    <n v="9"/>
    <n v="104349.57"/>
    <n v="0"/>
    <n v="0"/>
    <n v="0"/>
    <n v="208699.14"/>
    <n v="0"/>
    <s v="24AAECK6307M1ZF"/>
    <s v="KGS"/>
    <n v="39232999"/>
    <s v="Rs."/>
    <n v="1"/>
    <n v="3557"/>
    <s v="India"/>
  </r>
  <r>
    <d v="2026-08-08T00:00:00"/>
    <s v="K.P. Woven Pvt Ltd-Sales"/>
    <s v="Sales"/>
    <n v="465"/>
    <s v="Sales - Within State  Manufactured Goods"/>
    <s v="PPL/D/465"/>
    <d v="2026-08-08T00:00:00"/>
    <s v="FG"/>
    <s v="FIBC Bags"/>
    <x v="3"/>
    <s v="FIBC"/>
    <s v="FIBC Bags With UV With Liner"/>
    <n v="3171"/>
    <n v="790879.11"/>
    <s v="OEL260/D1-533 (1)"/>
    <n v="0"/>
    <n v="9"/>
    <n v="71179.12"/>
    <n v="9"/>
    <n v="71179.12"/>
    <n v="0"/>
    <n v="0"/>
    <n v="0"/>
    <n v="142358.24"/>
    <n v="0"/>
    <s v="24AAECK6307M1ZF"/>
    <s v="KGS"/>
    <n v="39232999"/>
    <s v="Rs."/>
    <n v="1"/>
    <n v="3171"/>
    <s v="India"/>
  </r>
  <r>
    <d v="2026-08-08T00:00:00"/>
    <s v="K.P. Woven Pvt Ltd-Sales"/>
    <s v="Sales"/>
    <n v="465"/>
    <s v="Sales - Within State  Manufactured Goods"/>
    <s v="PPL/D/465"/>
    <d v="2026-08-08T00:00:00"/>
    <s v="FG"/>
    <s v="FIBC Bags"/>
    <x v="3"/>
    <s v="FIBC"/>
    <s v="FIBC Bags With UV With Liner"/>
    <n v="1633"/>
    <n v="410503.54"/>
    <s v="OEL260/D1-620"/>
    <n v="0"/>
    <n v="9"/>
    <n v="36945.32"/>
    <n v="9"/>
    <n v="36945.32"/>
    <n v="0"/>
    <n v="0"/>
    <n v="0"/>
    <n v="73890.64"/>
    <n v="0"/>
    <s v="24AAECK6307M1ZF"/>
    <s v="KGS"/>
    <n v="39232999"/>
    <s v="Rs."/>
    <n v="1"/>
    <n v="1633"/>
    <s v="India"/>
  </r>
  <r>
    <d v="2026-08-08T00:00:00"/>
    <s v="K.P. Woven Pvt Ltd-Sales"/>
    <s v="Sales"/>
    <n v="465"/>
    <s v="Sales - Within State  Manufactured Goods"/>
    <s v="PPL/D/465"/>
    <d v="2026-08-08T00:00:00"/>
    <s v="FG"/>
    <s v="FIBC Bags"/>
    <x v="3"/>
    <s v="FIBC"/>
    <s v="FIBC Bags With UV With Liner"/>
    <n v="807"/>
    <n v="206995.5"/>
    <s v="OEL260/D1-621"/>
    <n v="0"/>
    <n v="9"/>
    <n v="18629.599999999999"/>
    <n v="9"/>
    <n v="18629.599999999999"/>
    <n v="0"/>
    <n v="0"/>
    <n v="0"/>
    <n v="37259.199999999997"/>
    <n v="0"/>
    <s v="24AAECK6307M1ZF"/>
    <s v="KGS"/>
    <n v="39232999"/>
    <s v="Rs."/>
    <n v="1"/>
    <n v="807"/>
    <s v="India"/>
  </r>
  <r>
    <d v="2026-08-08T00:00:00"/>
    <s v="K.P. Woven Pvt Ltd-Sales"/>
    <s v="Sales"/>
    <n v="466"/>
    <s v="Sales - Within State  Manufactured Goods"/>
    <s v="PPL/D/466"/>
    <d v="2026-08-08T00:00:00"/>
    <s v="SF"/>
    <s v="PP/PE Fabric"/>
    <x v="4"/>
    <s v="PP WOVEN FABRIC"/>
    <s v="Ground Cover Fabric"/>
    <n v="2712.4"/>
    <n v="451343.35999999999"/>
    <s v="PP WOVEN FABRIC "/>
    <n v="710867.52"/>
    <n v="9"/>
    <n v="40620.9"/>
    <n v="9"/>
    <n v="40620.9"/>
    <n v="0"/>
    <n v="0"/>
    <n v="0"/>
    <n v="81241.8"/>
    <n v="0"/>
    <s v="24AAECK6307M1ZF"/>
    <s v="KGS"/>
    <n v="39269080"/>
    <s v="Rs."/>
    <n v="1"/>
    <n v="2712.4"/>
    <s v="India"/>
  </r>
  <r>
    <d v="2026-08-08T00:00:00"/>
    <s v="K.P. Woven Pvt Ltd-Sales"/>
    <s v="Sales"/>
    <n v="466"/>
    <s v="Sales - Within State  Manufactured Goods"/>
    <s v="PPL/D/466"/>
    <d v="2026-08-08T00:00:00"/>
    <s v="SF"/>
    <s v="PP/PE Fabric"/>
    <x v="12"/>
    <s v="PP Laminated Fabric"/>
    <s v="PP Lam Fabric CutPcs With UV"/>
    <n v="593"/>
    <n v="151597.72"/>
    <s v="PP Lam Fabric CutPcs With UV"/>
    <n v="0"/>
    <n v="9"/>
    <n v="13643.79"/>
    <n v="9"/>
    <n v="13643.79"/>
    <n v="0"/>
    <n v="0"/>
    <n v="0"/>
    <n v="27287.58"/>
    <n v="0"/>
    <s v="24AAECK6307M1ZF"/>
    <s v="KGS"/>
    <n v="39269080"/>
    <s v="Rs."/>
    <n v="1"/>
    <n v="593"/>
    <s v="India"/>
  </r>
  <r>
    <d v="2026-08-09T00:00:00"/>
    <s v="Hcp Plastene Bulkpack Ltd (Unit Iv) - Sales"/>
    <s v="Sales"/>
    <n v="469"/>
    <s v="Sales - Within State  Manufactured Goods"/>
    <s v="PPL/D/469"/>
    <d v="2026-08-09T00:00:00"/>
    <s v="SF"/>
    <s v="Webbing"/>
    <x v="10"/>
    <s v="PP Webbing"/>
    <s v="Webbing"/>
    <n v="408.8"/>
    <n v="56569.74"/>
    <s v="BLUE COLOUR "/>
    <n v="66695.73"/>
    <n v="9"/>
    <n v="5091.28"/>
    <n v="9"/>
    <n v="5091.28"/>
    <n v="0"/>
    <n v="0"/>
    <n v="0"/>
    <n v="10182.56"/>
    <n v="0"/>
    <s v="24AABCG1282C2Z6"/>
    <s v="KGS"/>
    <n v="39269080"/>
    <s v="Rs."/>
    <n v="1"/>
    <n v="408.8"/>
    <s v="India"/>
  </r>
  <r>
    <d v="2026-08-09T00:00:00"/>
    <s v="Plastene India ltd - Unit 1-Sales"/>
    <s v="Sales"/>
    <n v="468"/>
    <s v="Sales - Within State  Manufactured Goods"/>
    <s v="PPL/D/468"/>
    <d v="2026-08-09T00:00:00"/>
    <s v="SF"/>
    <s v="Webbing"/>
    <x v="10"/>
    <s v="PP Webbing"/>
    <s v="Webbing"/>
    <n v="282.3"/>
    <n v="39064.67"/>
    <s v="BLUE "/>
    <n v="46057.25"/>
    <n v="9"/>
    <n v="3515.82"/>
    <n v="9"/>
    <n v="3515.82"/>
    <n v="0"/>
    <n v="0"/>
    <n v="0"/>
    <n v="7031.64"/>
    <n v="0"/>
    <s v="24AAACO3087C1ZT"/>
    <s v="KGS"/>
    <n v="39269080"/>
    <s v="Rs."/>
    <n v="1"/>
    <n v="282.3"/>
    <s v="India"/>
  </r>
  <r>
    <d v="2026-08-09T00:00:00"/>
    <s v="Plastene India ltd - Unit 1-Sales"/>
    <s v="Sales"/>
    <n v="470"/>
    <s v="Sales - Within State  Manufactured Goods"/>
    <s v="PPL/D/470"/>
    <d v="2026-08-09T00:00:00"/>
    <s v="SF"/>
    <s v="PP/PE Fabric"/>
    <x v="4"/>
    <s v="PP WOVEN FABRIC"/>
    <s v="PP UL Fabric With UV"/>
    <n v="169"/>
    <n v="22575.02"/>
    <s v="100 GSM "/>
    <n v="55005.05"/>
    <n v="9"/>
    <n v="2031.75"/>
    <n v="9"/>
    <n v="2031.75"/>
    <n v="0"/>
    <n v="0"/>
    <n v="0"/>
    <n v="4063.5"/>
    <n v="0"/>
    <s v="24AAACO3087C1ZT"/>
    <s v="KGS"/>
    <n v="39269080"/>
    <s v="Rs."/>
    <n v="1"/>
    <n v="169"/>
    <s v="India"/>
  </r>
  <r>
    <d v="2026-08-09T00:00:00"/>
    <s v="Plastene India ltd - Unit 1-Sales"/>
    <s v="Sales"/>
    <n v="470"/>
    <s v="Sales - Within State  Manufactured Goods"/>
    <s v="PPL/D/470"/>
    <d v="2026-08-09T00:00:00"/>
    <s v="FG"/>
    <s v="FIBC WIP"/>
    <x v="7"/>
    <s v="FIBC"/>
    <s v="FIBC WIP"/>
    <n v="212"/>
    <n v="24078.959999999999"/>
    <s v="CUT PICES "/>
    <n v="0"/>
    <n v="9"/>
    <n v="2167.11"/>
    <n v="9"/>
    <n v="2167.11"/>
    <n v="0"/>
    <n v="0"/>
    <n v="0"/>
    <n v="4334.22"/>
    <n v="0"/>
    <s v="24AAACO3087C1ZT"/>
    <s v="KGS"/>
    <n v="39232999"/>
    <s v="Rs."/>
    <n v="1"/>
    <n v="212"/>
    <s v="India"/>
  </r>
  <r>
    <d v="2026-08-10T00:00:00"/>
    <s v="Commercial Bag Company"/>
    <s v="Export Sales"/>
    <s v="PPL/E/72/26-27"/>
    <s v="Sales - Direct Export - Mfg - U/B"/>
    <s v="PPL/E/72/26-27"/>
    <d v="2026-08-10T00:00:00"/>
    <s v="FG"/>
    <s v="FIBC Bags"/>
    <x v="9"/>
    <s v="FIBC"/>
    <s v="FIBC Bags With UV With Liner"/>
    <n v="19241"/>
    <n v="4124455.6799999997"/>
    <s v="PP JUMBO BAG"/>
    <n v="4124455.68"/>
    <n v="0"/>
    <n v="0"/>
    <n v="0"/>
    <n v="0"/>
    <n v="0"/>
    <n v="0"/>
    <n v="0"/>
    <n v="0"/>
    <n v="0"/>
    <s v="N.A."/>
    <s v="KGS"/>
    <n v="63053200"/>
    <s v="$"/>
    <n v="94.3"/>
    <n v="19241"/>
    <s v="USA"/>
  </r>
  <r>
    <d v="2026-08-10T00:00:00"/>
    <s v="HCP Plastene Bulkpack Limited - Sales"/>
    <s v="Sales"/>
    <n v="472"/>
    <s v="Sales - Within State  Manufactured Goods"/>
    <s v="PPL/D/472"/>
    <d v="2026-08-10T00:00:00"/>
    <s v="FG"/>
    <s v="FIBC Bags"/>
    <x v="3"/>
    <s v="FIBC"/>
    <s v="FIBC Bags With UV Without Liner"/>
    <n v="7031"/>
    <n v="1359654.78"/>
    <s v="2026001113/5477"/>
    <n v="4378275.22"/>
    <n v="9"/>
    <n v="122368.93"/>
    <n v="9"/>
    <n v="122368.93"/>
    <n v="0"/>
    <n v="0"/>
    <n v="0"/>
    <n v="244737.86"/>
    <n v="0"/>
    <s v="24AABCG1282C2Z6"/>
    <s v="KGS"/>
    <n v="39232999"/>
    <s v="Rs."/>
    <n v="1"/>
    <n v="7031"/>
    <s v="India"/>
  </r>
  <r>
    <d v="2026-08-10T00:00:00"/>
    <s v="HCP Plastene Bulkpack Limited - Sales"/>
    <s v="Sales"/>
    <n v="472"/>
    <s v="Sales - Within State  Manufactured Goods"/>
    <s v="PPL/D/472"/>
    <d v="2026-08-10T00:00:00"/>
    <s v="FG"/>
    <s v="FIBC Bags"/>
    <x v="3"/>
    <s v="FIBC"/>
    <s v="FIBC Bags With UV Without Liner"/>
    <n v="1239"/>
    <n v="244219.29"/>
    <s v="2026001114/5524"/>
    <n v="0"/>
    <n v="9"/>
    <n v="21979.74"/>
    <n v="9"/>
    <n v="21979.74"/>
    <n v="0"/>
    <n v="0"/>
    <n v="0"/>
    <n v="43959.48"/>
    <n v="0"/>
    <s v="24AABCG1282C2Z6"/>
    <s v="KGS"/>
    <n v="39232999"/>
    <s v="Rs."/>
    <n v="1"/>
    <n v="1239"/>
    <s v="India"/>
  </r>
  <r>
    <d v="2026-08-10T00:00:00"/>
    <s v="HCP Plastene Bulkpack Limited - Sales"/>
    <s v="Sales"/>
    <n v="472"/>
    <s v="Sales - Within State  Manufactured Goods"/>
    <s v="PPL/D/472"/>
    <d v="2026-08-10T00:00:00"/>
    <s v="FG"/>
    <s v="FIBC Bags"/>
    <x v="3"/>
    <s v="FIBC"/>
    <s v="FIBC Bags With UV Without Liner"/>
    <n v="1700"/>
    <n v="340969"/>
    <s v="2026001197/9936"/>
    <n v="0"/>
    <n v="9"/>
    <n v="30687.21"/>
    <n v="9"/>
    <n v="30687.21"/>
    <n v="0"/>
    <n v="0"/>
    <n v="0"/>
    <n v="61374.42"/>
    <n v="0"/>
    <s v="24AABCG1282C2Z6"/>
    <s v="KGS"/>
    <n v="39232999"/>
    <s v="Rs."/>
    <n v="1"/>
    <n v="1700"/>
    <s v="India"/>
  </r>
  <r>
    <d v="2026-08-10T00:00:00"/>
    <s v="HCP Plastene Bulkpack Limited - Sales"/>
    <s v="Sales"/>
    <n v="472"/>
    <s v="Sales - Within State  Manufactured Goods"/>
    <s v="PPL/D/472"/>
    <d v="2026-08-10T00:00:00"/>
    <s v="FG"/>
    <s v="FIBC Bags"/>
    <x v="3"/>
    <s v="FIBC"/>
    <s v="FIBC Bags With UV Without Liner"/>
    <n v="1251"/>
    <n v="265637.34000000003"/>
    <s v="2026001233/6965"/>
    <n v="0"/>
    <n v="9"/>
    <n v="23907.360000000001"/>
    <n v="9"/>
    <n v="23907.360000000001"/>
    <n v="0"/>
    <n v="0"/>
    <n v="0"/>
    <n v="47814.720000000001"/>
    <n v="0"/>
    <s v="24AABCG1282C2Z6"/>
    <s v="KGS"/>
    <n v="39232999"/>
    <s v="Rs."/>
    <n v="1"/>
    <n v="1251"/>
    <s v="India"/>
  </r>
  <r>
    <d v="2026-08-10T00:00:00"/>
    <s v="HCP Plastene Bulkpack Limited - Sales"/>
    <s v="Sales"/>
    <n v="472"/>
    <s v="Sales - Within State  Manufactured Goods"/>
    <s v="PPL/D/472"/>
    <d v="2026-08-10T00:00:00"/>
    <s v="FG"/>
    <s v="FIBC Bags"/>
    <x v="3"/>
    <s v="FIBC"/>
    <s v="FIBC Bags With UV Without Liner"/>
    <n v="3886"/>
    <n v="773158.56"/>
    <s v="2026001320/6572"/>
    <n v="0"/>
    <n v="9"/>
    <n v="69584.27"/>
    <n v="9"/>
    <n v="69584.27"/>
    <n v="0"/>
    <n v="0"/>
    <n v="0"/>
    <n v="139168.54"/>
    <n v="0"/>
    <s v="24AABCG1282C2Z6"/>
    <s v="KGS"/>
    <n v="39232999"/>
    <s v="Rs."/>
    <n v="1"/>
    <n v="3886"/>
    <s v="India"/>
  </r>
  <r>
    <d v="2026-08-10T00:00:00"/>
    <s v="HCP Plastene Bulkpack Limited - Sales"/>
    <s v="Sales"/>
    <n v="472"/>
    <s v="Sales - Within State  Manufactured Goods"/>
    <s v="PPL/D/472"/>
    <d v="2026-08-10T00:00:00"/>
    <s v="FG"/>
    <s v="FIBC Bags"/>
    <x v="3"/>
    <s v="FIBC"/>
    <s v="FIBC Bags With UV Without Liner"/>
    <n v="3069"/>
    <n v="575038.53"/>
    <s v="2026001321/5018"/>
    <n v="0"/>
    <n v="9"/>
    <n v="51753.47"/>
    <n v="9"/>
    <n v="51753.47"/>
    <n v="0"/>
    <n v="0"/>
    <n v="0"/>
    <n v="103506.94"/>
    <n v="0"/>
    <s v="24AABCG1282C2Z6"/>
    <s v="KGS"/>
    <n v="39232999"/>
    <s v="Rs."/>
    <n v="1"/>
    <n v="3069"/>
    <s v="India"/>
  </r>
  <r>
    <d v="2026-08-10T00:00:00"/>
    <s v="HCP Plastene Bulkpack Limited - Sales"/>
    <s v="Sales"/>
    <n v="472"/>
    <s v="Sales - Within State  Manufactured Goods"/>
    <s v="PPL/D/472"/>
    <d v="2026-08-10T00:00:00"/>
    <s v="FG"/>
    <s v="FIBC Bags"/>
    <x v="3"/>
    <s v="FIBC"/>
    <s v="FIBC Bags With UV Without Liner"/>
    <n v="827"/>
    <n v="154872.29"/>
    <s v="2026001322/5477"/>
    <n v="0"/>
    <n v="9"/>
    <n v="13938.51"/>
    <n v="9"/>
    <n v="13938.51"/>
    <n v="0"/>
    <n v="0"/>
    <n v="0"/>
    <n v="27877.02"/>
    <n v="0"/>
    <s v="24AABCG1282C2Z6"/>
    <s v="KGS"/>
    <n v="39232999"/>
    <s v="Rs."/>
    <n v="1"/>
    <n v="827"/>
    <s v="India"/>
  </r>
  <r>
    <d v="2026-08-10T00:00:00"/>
    <s v="K.P. Woven Pvt Ltd - Unit 3 -Sales"/>
    <s v="SALES (FOREX)"/>
    <s v="PPL/E/73/26-27"/>
    <s v="Sales - Kasez - Mfg - U/B"/>
    <s v="PPL/E/73/26-27"/>
    <d v="2026-08-10T00:00:00"/>
    <s v="SF"/>
    <s v="Webbing"/>
    <x v="0"/>
    <s v="PP Webbing"/>
    <s v="Webbing"/>
    <n v="685"/>
    <n v="94927.3"/>
    <s v="Webbing blue"/>
    <n v="162530.23000000001"/>
    <m/>
    <n v="0"/>
    <m/>
    <n v="0"/>
    <m/>
    <n v="0"/>
    <n v="0"/>
    <n v="0"/>
    <n v="0"/>
    <s v="24AAECK6307M2ZE"/>
    <s v="KGS"/>
    <n v="39269080"/>
    <s v="Rs."/>
    <n v="1"/>
    <n v="685"/>
    <s v="India"/>
  </r>
  <r>
    <d v="2026-08-10T00:00:00"/>
    <s v="K.P. Woven Pvt Ltd - Unit 3 -Sales"/>
    <s v="SALES (FOREX)"/>
    <s v="PPL/E/73/26-27"/>
    <s v="Sales - Kasez - Mfg - U/B"/>
    <s v="PPL/E/73/26-27"/>
    <d v="2026-08-10T00:00:00"/>
    <s v="SF"/>
    <s v="PP/PE Fabric"/>
    <x v="1"/>
    <s v="PP WOVEN FABRIC"/>
    <s v="PP UL Fabric With UV"/>
    <n v="489"/>
    <n v="67765.62"/>
    <s v="PP UL Fabric With UV black"/>
    <n v="0"/>
    <m/>
    <n v="0"/>
    <m/>
    <n v="0"/>
    <m/>
    <n v="0"/>
    <n v="0"/>
    <n v="0"/>
    <n v="0"/>
    <s v="24AAECK6307M2ZE"/>
    <s v="KGS"/>
    <n v="39269080"/>
    <s v="Rs."/>
    <n v="1"/>
    <n v="489"/>
    <s v="India"/>
  </r>
  <r>
    <d v="2026-08-10T00:00:00"/>
    <s v="Plastene India ltd - Unit 1-Sales"/>
    <s v="Sales"/>
    <n v="471"/>
    <s v="Sales - Within State - Traded Goods"/>
    <s v="PPL/D/471"/>
    <d v="2026-08-10T00:00:00"/>
    <s v="SF"/>
    <s v="Films All (SF)"/>
    <x v="5"/>
    <s v="LLDPE FILM"/>
    <s v="LDPE/LLDPE Film"/>
    <n v="30.85"/>
    <n v="9440.1"/>
    <s v="LDPE/LLDPE Film"/>
    <n v="11129.88"/>
    <n v="9"/>
    <n v="849.61"/>
    <n v="9"/>
    <n v="849.61"/>
    <n v="0"/>
    <n v="0"/>
    <n v="0"/>
    <n v="1699.22"/>
    <n v="0"/>
    <s v="24AAACO3087C1ZT"/>
    <s v="KGS"/>
    <n v="39201019"/>
    <s v="Rs."/>
    <n v="1"/>
    <n v="30.85"/>
    <s v="India"/>
  </r>
  <r>
    <d v="2026-08-10T00:00:00"/>
    <s v="Plastene India ltd - Unit 1-Sales"/>
    <s v="Sales"/>
    <n v="473"/>
    <s v="Sales - Within State  Manufactured Goods"/>
    <s v="PPL/D/473"/>
    <d v="2026-08-10T00:00:00"/>
    <s v="SF"/>
    <s v="PP/PE Fabric"/>
    <x v="8"/>
    <s v="PP Laminated Fabric"/>
    <s v="PP Lam Fabric With UV"/>
    <n v="3027"/>
    <n v="410400.66"/>
    <s v="PP Lam Fabric With UV mw_x000d__x000a_"/>
    <n v="896980.5"/>
    <n v="9"/>
    <n v="36936.06"/>
    <n v="9"/>
    <n v="36936.06"/>
    <n v="0"/>
    <n v="0"/>
    <n v="0"/>
    <n v="73872.12"/>
    <n v="0"/>
    <s v="24AAACO3087C1ZT"/>
    <s v="KGS"/>
    <n v="39269080"/>
    <s v="Rs."/>
    <n v="1"/>
    <n v="3027"/>
    <s v="India"/>
  </r>
  <r>
    <d v="2026-08-10T00:00:00"/>
    <s v="Plastene India ltd - Unit 1-Sales"/>
    <s v="Sales"/>
    <n v="473"/>
    <s v="Sales - Within State  Manufactured Goods"/>
    <s v="PPL/D/473"/>
    <d v="2026-08-10T00:00:00"/>
    <s v="SF"/>
    <s v="PP/PE Fabric"/>
    <x v="8"/>
    <s v="PP Laminated Fabric"/>
    <s v="PP Lam Fabric With UV"/>
    <n v="1957"/>
    <n v="273158.06"/>
    <s v="PP Lam Fabric With UV black_x000d__x000a_"/>
    <n v="0"/>
    <n v="9"/>
    <n v="24584.23"/>
    <n v="9"/>
    <n v="24584.23"/>
    <n v="0"/>
    <n v="0"/>
    <n v="0"/>
    <n v="49168.46"/>
    <n v="0"/>
    <s v="24AAACO3087C1ZT"/>
    <s v="KGS"/>
    <n v="39269080"/>
    <s v="Rs."/>
    <n v="1"/>
    <n v="1957"/>
    <s v="India"/>
  </r>
  <r>
    <d v="2026-08-10T00:00:00"/>
    <s v="Plastene India ltd - Unit 1-Sales"/>
    <s v="Sales"/>
    <n v="473"/>
    <s v="Sales - Within State  Manufactured Goods"/>
    <s v="PPL/D/473"/>
    <d v="2026-08-10T00:00:00"/>
    <s v="SF"/>
    <s v="PP/PE Fabric"/>
    <x v="8"/>
    <s v="PP Laminated Fabric"/>
    <s v="PP Lam Fabric With UV"/>
    <n v="481"/>
    <n v="77238.98"/>
    <s v="PP Lam Fabric With UV conductiv_x000d__x000a_"/>
    <n v="0"/>
    <n v="9"/>
    <n v="6951.51"/>
    <n v="9"/>
    <n v="6951.51"/>
    <n v="0"/>
    <n v="0"/>
    <n v="0"/>
    <n v="13903.02"/>
    <n v="0"/>
    <s v="24AAACO3087C1ZT"/>
    <s v="KGS"/>
    <n v="39269080"/>
    <s v="Rs."/>
    <n v="1"/>
    <n v="481"/>
    <s v="India"/>
  </r>
  <r>
    <d v="2026-08-11T00:00:00"/>
    <s v="HCP Plastene Bulkpack Limited - Sales"/>
    <s v="Sales"/>
    <n v="477"/>
    <s v="Sales - Within State  Manufactured Goods"/>
    <s v="PPL/D/477"/>
    <d v="2026-08-11T00:00:00"/>
    <s v="FG"/>
    <s v="FIBC Bags"/>
    <x v="3"/>
    <s v="FIBC"/>
    <s v="FIBC Bags With UV Without Liner"/>
    <n v="1339"/>
    <n v="270143.25"/>
    <s v="PO-06824/IBR 66 D"/>
    <n v="2088561.26"/>
    <n v="9"/>
    <n v="24312.89"/>
    <n v="9"/>
    <n v="24312.89"/>
    <n v="0"/>
    <n v="0"/>
    <n v="0"/>
    <n v="48625.78"/>
    <n v="0"/>
    <s v="24AABCG1282C2Z6"/>
    <s v="KGS"/>
    <n v="39232999"/>
    <s v="Rs."/>
    <n v="1"/>
    <n v="1339"/>
    <s v="India"/>
  </r>
  <r>
    <d v="2026-08-11T00:00:00"/>
    <s v="HCP Plastene Bulkpack Limited - Sales"/>
    <s v="Sales"/>
    <n v="477"/>
    <s v="Sales - Within State  Manufactured Goods"/>
    <s v="PPL/D/477"/>
    <d v="2026-08-11T00:00:00"/>
    <s v="FG"/>
    <s v="FIBC Bags"/>
    <x v="3"/>
    <s v="FIBC"/>
    <s v="FIBC Bags With UV Without Liner"/>
    <n v="2224"/>
    <n v="436126.4"/>
    <s v="PO-068424/IBR 1299 D"/>
    <n v="0"/>
    <n v="9"/>
    <n v="39251.379999999997"/>
    <n v="9"/>
    <n v="39251.379999999997"/>
    <n v="0"/>
    <n v="0"/>
    <n v="0"/>
    <n v="78502.759999999995"/>
    <n v="0"/>
    <s v="24AABCG1282C2Z6"/>
    <s v="KGS"/>
    <n v="39232999"/>
    <s v="Rs."/>
    <n v="1"/>
    <n v="2224"/>
    <s v="India"/>
  </r>
  <r>
    <d v="2026-08-11T00:00:00"/>
    <s v="HCP Plastene Bulkpack Limited - Sales"/>
    <s v="Sales"/>
    <n v="477"/>
    <s v="Sales - Within State  Manufactured Goods"/>
    <s v="PPL/D/477"/>
    <d v="2026-08-11T00:00:00"/>
    <s v="FG"/>
    <s v="FIBC Bags"/>
    <x v="3"/>
    <s v="FIBC"/>
    <s v="FIBC Bags With UV Without Liner"/>
    <n v="2592"/>
    <n v="514667.52000000002"/>
    <s v="PO-068635/BEST 1299"/>
    <n v="0"/>
    <n v="9"/>
    <n v="46320.08"/>
    <n v="9"/>
    <n v="46320.08"/>
    <n v="0"/>
    <n v="0"/>
    <n v="0"/>
    <n v="92640.16"/>
    <n v="0"/>
    <s v="24AABCG1282C2Z6"/>
    <s v="KGS"/>
    <n v="39232999"/>
    <s v="Rs."/>
    <n v="1"/>
    <n v="2592"/>
    <s v="India"/>
  </r>
  <r>
    <d v="2026-08-11T00:00:00"/>
    <s v="HCP Plastene Bulkpack Limited - Sales"/>
    <s v="Sales"/>
    <n v="477"/>
    <s v="Sales - Within State  Manufactured Goods"/>
    <s v="PPL/D/477"/>
    <d v="2026-08-11T00:00:00"/>
    <s v="FG"/>
    <s v="FIBC Bags"/>
    <x v="3"/>
    <s v="FIBC"/>
    <s v="FIBC Bags With UV Without Liner"/>
    <n v="2612"/>
    <n v="550531.24"/>
    <s v="PO-068635/BEST 66"/>
    <n v="0"/>
    <n v="9"/>
    <n v="49547.81"/>
    <n v="9"/>
    <n v="49547.81"/>
    <n v="0"/>
    <n v="0"/>
    <n v="0"/>
    <n v="99095.62"/>
    <n v="0"/>
    <s v="24AABCG1282C2Z6"/>
    <s v="KGS"/>
    <n v="39232999"/>
    <s v="Rs."/>
    <n v="1"/>
    <n v="2612"/>
    <s v="India"/>
  </r>
  <r>
    <d v="2026-08-11T00:00:00"/>
    <s v="HCP Plastene Bulkpack Limited - Sales"/>
    <s v="Sales"/>
    <n v="478"/>
    <s v="Sales - Within State  Manufactured Goods"/>
    <s v="PPL/D/478"/>
    <d v="2026-08-11T00:00:00"/>
    <s v="FG"/>
    <s v="FIBC Bags"/>
    <x v="3"/>
    <s v="FIBC"/>
    <s v="FIBC Bags With UV Without Liner"/>
    <n v="456"/>
    <n v="89873.04"/>
    <s v="PO-068425/IBR 66 D"/>
    <n v="5840932.7599999998"/>
    <n v="9"/>
    <n v="8088.57"/>
    <n v="9"/>
    <n v="8088.57"/>
    <n v="0"/>
    <n v="0"/>
    <n v="0"/>
    <n v="16177.14"/>
    <n v="0"/>
    <s v="24AABCG1282C2Z6"/>
    <s v="KGS"/>
    <n v="39232999"/>
    <s v="Rs."/>
    <n v="1"/>
    <n v="456"/>
    <s v="India"/>
  </r>
  <r>
    <d v="2026-08-11T00:00:00"/>
    <s v="HCP Plastene Bulkpack Limited - Sales"/>
    <s v="Sales"/>
    <n v="478"/>
    <s v="Sales - Within State  Manufactured Goods"/>
    <s v="PPL/D/478"/>
    <d v="2026-08-11T00:00:00"/>
    <s v="FG"/>
    <s v="FIBC Bags"/>
    <x v="3"/>
    <s v="FIBC"/>
    <s v="FIBC Bags With UV Without Liner"/>
    <n v="4712"/>
    <n v="944284.8"/>
    <s v="PO-068636/BEST 1299"/>
    <n v="0"/>
    <n v="9"/>
    <n v="84985.63"/>
    <n v="9"/>
    <n v="84985.63"/>
    <n v="0"/>
    <n v="0"/>
    <n v="0"/>
    <n v="169971.26"/>
    <n v="0"/>
    <s v="24AABCG1282C2Z6"/>
    <s v="KGS"/>
    <n v="39232999"/>
    <s v="Rs."/>
    <n v="1"/>
    <n v="4712"/>
    <s v="India"/>
  </r>
  <r>
    <d v="2026-08-11T00:00:00"/>
    <s v="HCP Plastene Bulkpack Limited - Sales"/>
    <s v="Sales"/>
    <n v="478"/>
    <s v="Sales - Within State  Manufactured Goods"/>
    <s v="PPL/D/478"/>
    <d v="2026-08-11T00:00:00"/>
    <s v="FG"/>
    <s v="FIBC Bags"/>
    <x v="3"/>
    <s v="FIBC"/>
    <s v="FIBC Bags With UV Without Liner"/>
    <n v="2158"/>
    <n v="459092.92"/>
    <s v="PO-068636/BEST 66"/>
    <n v="0"/>
    <n v="9"/>
    <n v="41318.36"/>
    <n v="9"/>
    <n v="41318.36"/>
    <n v="0"/>
    <n v="0"/>
    <n v="0"/>
    <n v="82636.72"/>
    <n v="0"/>
    <s v="24AABCG1282C2Z6"/>
    <s v="KGS"/>
    <n v="39232999"/>
    <s v="Rs."/>
    <n v="1"/>
    <n v="2158"/>
    <s v="India"/>
  </r>
  <r>
    <d v="2026-08-11T00:00:00"/>
    <s v="HCP Plastene Bulkpack Limited - Sales"/>
    <s v="Sales"/>
    <n v="478"/>
    <s v="Sales - Within State  Manufactured Goods"/>
    <s v="PPL/D/478"/>
    <d v="2026-08-11T00:00:00"/>
    <s v="FG"/>
    <s v="FIBC Bags"/>
    <x v="3"/>
    <s v="FIBC"/>
    <s v="FIBC Bags With UV Without Liner"/>
    <n v="3846.6"/>
    <n v="1324307.45"/>
    <s v="PO-064347/TAL SLG 130"/>
    <n v="0"/>
    <n v="9"/>
    <n v="119187.67"/>
    <n v="9"/>
    <n v="119187.67"/>
    <n v="0"/>
    <n v="0"/>
    <n v="0"/>
    <n v="238375.34"/>
    <n v="0"/>
    <s v="24AABCG1282C2Z6"/>
    <s v="KGS"/>
    <n v="39232999"/>
    <s v="Rs."/>
    <n v="1"/>
    <n v="3846.6"/>
    <s v="India"/>
  </r>
  <r>
    <d v="2026-08-11T00:00:00"/>
    <s v="HCP Plastene Bulkpack Limited - Sales"/>
    <s v="Sales"/>
    <n v="478"/>
    <s v="Sales - Within State  Manufactured Goods"/>
    <s v="PPL/D/478"/>
    <d v="2026-08-11T00:00:00"/>
    <s v="FG"/>
    <s v="FIBC Bags"/>
    <x v="3"/>
    <s v="FIBC"/>
    <s v="FIBC Bags With UV Without Liner"/>
    <n v="870"/>
    <n v="203580"/>
    <s v="PO-065699/CS DC 12980"/>
    <n v="0"/>
    <n v="9"/>
    <n v="18322.2"/>
    <n v="9"/>
    <n v="18322.2"/>
    <n v="0"/>
    <n v="0"/>
    <n v="0"/>
    <n v="36644.400000000001"/>
    <n v="0"/>
    <s v="24AABCG1282C2Z6"/>
    <s v="KGS"/>
    <n v="39232999"/>
    <s v="Rs."/>
    <n v="1"/>
    <n v="870"/>
    <s v="India"/>
  </r>
  <r>
    <d v="2026-08-11T00:00:00"/>
    <s v="HCP Plastene Bulkpack Limited - Sales"/>
    <s v="Sales"/>
    <n v="478"/>
    <s v="Sales - Within State  Manufactured Goods"/>
    <s v="PPL/D/478"/>
    <d v="2026-08-11T00:00:00"/>
    <s v="FG"/>
    <s v="FIBC Bags"/>
    <x v="3"/>
    <s v="FIBC"/>
    <s v="FIBC Bags With UV Without Liner"/>
    <n v="2576"/>
    <n v="580140.96"/>
    <s v="PO-066071/CIM DS 15912"/>
    <n v="0"/>
    <n v="9"/>
    <n v="52212.69"/>
    <n v="9"/>
    <n v="52212.69"/>
    <n v="0"/>
    <n v="0"/>
    <n v="0"/>
    <n v="104425.38"/>
    <n v="0"/>
    <s v="24AABCG1282C2Z6"/>
    <s v="KGS"/>
    <n v="39232999"/>
    <s v="Rs."/>
    <n v="1"/>
    <n v="2576"/>
    <s v="India"/>
  </r>
  <r>
    <d v="2026-08-11T00:00:00"/>
    <s v="HCP Plastene Bulkpack Limited - Sales"/>
    <s v="Sales"/>
    <n v="478"/>
    <s v="Sales - Within State  Manufactured Goods"/>
    <s v="PPL/D/478"/>
    <d v="2026-08-11T00:00:00"/>
    <s v="FG"/>
    <s v="FIBC Bags"/>
    <x v="3"/>
    <s v="FIBC"/>
    <s v="FIBC Bags With UV Without Liner"/>
    <n v="1314"/>
    <n v="262051.02"/>
    <s v="PO-068423/IBR 1299 D"/>
    <n v="0"/>
    <n v="9"/>
    <n v="23584.59"/>
    <n v="9"/>
    <n v="23584.59"/>
    <n v="0"/>
    <n v="0"/>
    <n v="0"/>
    <n v="47169.18"/>
    <n v="0"/>
    <s v="24AABCG1282C2Z6"/>
    <s v="KGS"/>
    <n v="39232999"/>
    <s v="Rs."/>
    <n v="1"/>
    <n v="1314"/>
    <s v="India"/>
  </r>
  <r>
    <d v="2026-08-11T00:00:00"/>
    <s v="HCP Plastene Bulkpack Limited - Sales"/>
    <s v="Sales"/>
    <n v="478"/>
    <s v="Sales - Within State  Manufactured Goods"/>
    <s v="PPL/D/478"/>
    <d v="2026-08-11T00:00:00"/>
    <s v="FG"/>
    <s v="FIBC Bags"/>
    <x v="3"/>
    <s v="FIBC"/>
    <s v="FIBC Bags With UV Without Liner"/>
    <n v="2644"/>
    <n v="523802.84"/>
    <s v="PO-068425/IBR 1299 D"/>
    <n v="0"/>
    <n v="9"/>
    <n v="47142.26"/>
    <n v="9"/>
    <n v="47142.26"/>
    <n v="0"/>
    <n v="0"/>
    <n v="0"/>
    <n v="94284.52"/>
    <n v="0"/>
    <s v="24AABCG1282C2Z6"/>
    <s v="KGS"/>
    <n v="39232999"/>
    <s v="Rs."/>
    <n v="1"/>
    <n v="2644"/>
    <s v="India"/>
  </r>
  <r>
    <d v="2026-08-11T00:00:00"/>
    <s v="HCP Plastene Bulkpack Limited - Sales"/>
    <s v="Sales"/>
    <n v="478"/>
    <s v="Sales - Within State  Manufactured Goods"/>
    <s v="PPL/D/478"/>
    <d v="2026-08-11T00:00:00"/>
    <s v="FG"/>
    <s v="Small Bags"/>
    <x v="12"/>
    <s v="FIBC"/>
    <s v="PP UL Bags With UV"/>
    <n v="2458.1999999999998"/>
    <n v="567008.41"/>
    <s v="PO-067042"/>
    <n v="0"/>
    <n v="9"/>
    <n v="51030.76"/>
    <n v="9"/>
    <n v="51030.76"/>
    <n v="0"/>
    <n v="0"/>
    <n v="0"/>
    <n v="102061.52"/>
    <n v="0"/>
    <s v="24AABCG1282C2Z6"/>
    <s v="KGS"/>
    <n v="39232999"/>
    <s v="Rs."/>
    <n v="1"/>
    <n v="2458.1999999999998"/>
    <s v="India"/>
  </r>
  <r>
    <d v="2026-08-11T00:00:00"/>
    <s v="Hcp Plastene Bulkpack Ltd (Unit Iv) - Sales"/>
    <s v="Sales"/>
    <n v="475"/>
    <s v="Sales - Within State  Manufactured Goods"/>
    <s v="PPL/D/475"/>
    <d v="2026-08-11T00:00:00"/>
    <s v="FG"/>
    <s v="FIBC Bags"/>
    <x v="3"/>
    <s v="FIBC"/>
    <s v="FIBC Bags With UV Without Liner"/>
    <n v="1595"/>
    <n v="286924.55"/>
    <s v="30036/1367"/>
    <n v="975064.39"/>
    <n v="9"/>
    <n v="25823.21"/>
    <n v="9"/>
    <n v="25823.21"/>
    <n v="0"/>
    <n v="0"/>
    <n v="0"/>
    <n v="51646.42"/>
    <n v="0"/>
    <s v="24AABCG1282C2Z6"/>
    <s v="KGS"/>
    <n v="39232999"/>
    <s v="Rs."/>
    <n v="1"/>
    <n v="1595"/>
    <s v="India"/>
  </r>
  <r>
    <d v="2026-08-11T00:00:00"/>
    <s v="Hcp Plastene Bulkpack Ltd (Unit Iv) - Sales"/>
    <s v="Sales"/>
    <n v="475"/>
    <s v="Sales - Within State  Manufactured Goods"/>
    <s v="PPL/D/475"/>
    <d v="2026-08-11T00:00:00"/>
    <s v="FG"/>
    <s v="FIBC Bags"/>
    <x v="3"/>
    <s v="FIBC"/>
    <s v="FIBC Bags With UV Without Liner"/>
    <n v="3043"/>
    <n v="540102.06999999995"/>
    <s v="30036/962"/>
    <n v="0"/>
    <n v="9"/>
    <n v="48609.19"/>
    <n v="9"/>
    <n v="48609.19"/>
    <n v="0"/>
    <n v="0"/>
    <n v="0"/>
    <n v="97218.38"/>
    <n v="0"/>
    <s v="24AABCG1282C2Z6"/>
    <s v="KGS"/>
    <n v="39232999"/>
    <s v="Rs."/>
    <n v="1"/>
    <n v="3043"/>
    <s v="India"/>
  </r>
  <r>
    <d v="2026-08-11T00:00:00"/>
    <s v="Hcp Plastene Bulkpack Ltd (Unit Iv) - Sales"/>
    <s v="Sales"/>
    <n v="476"/>
    <s v="Sales - Within State  Manufactured Goods"/>
    <s v="PPL/D/476"/>
    <d v="2026-08-11T00:00:00"/>
    <s v="FG"/>
    <s v="FIBC WIP"/>
    <x v="7"/>
    <s v="PP WOVEN FABRIC"/>
    <s v="FIBC WIP"/>
    <n v="187"/>
    <n v="24979.46"/>
    <s v="UL CUTPCS"/>
    <n v="29450.78"/>
    <n v="9"/>
    <n v="2248.15"/>
    <n v="9"/>
    <n v="2248.15"/>
    <n v="0"/>
    <n v="0"/>
    <n v="0"/>
    <n v="4496.3"/>
    <n v="0"/>
    <s v="24AABCG1282C2Z6"/>
    <s v="KGS"/>
    <n v="39269080"/>
    <s v="Rs."/>
    <n v="1"/>
    <n v="187"/>
    <s v="India"/>
  </r>
  <r>
    <d v="2026-08-11T00:00:00"/>
    <s v="Plastene India ltd - Unit 1-Sales"/>
    <s v="Sales"/>
    <n v="474"/>
    <s v="Sales - Within State - Traded Goods"/>
    <s v="PPL/D/474"/>
    <d v="2026-08-11T00:00:00"/>
    <s v="SF"/>
    <s v="Films All (SF)"/>
    <x v="5"/>
    <s v="LLDPE FILM"/>
    <s v="LDPE/LLDPE Film"/>
    <n v="4.3499999999999996"/>
    <n v="1065.75"/>
    <s v="LDPE/LLDPE Film"/>
    <n v="1256.52"/>
    <n v="9"/>
    <n v="95.92"/>
    <n v="9"/>
    <n v="95.92"/>
    <n v="0"/>
    <n v="0"/>
    <n v="0"/>
    <n v="191.84"/>
    <n v="0"/>
    <s v="24AAACO3087C1ZT"/>
    <s v="KGS"/>
    <n v="39201019"/>
    <s v="Rs."/>
    <n v="1"/>
    <n v="4.3499999999999996"/>
    <s v="India"/>
  </r>
  <r>
    <d v="2026-08-12T00:00:00"/>
    <s v="HCP Plastene Bulkpack Limited - Sales"/>
    <s v="Sales"/>
    <n v="484"/>
    <s v="Sales - Within State - Traded Goods"/>
    <s v="PPL/D/484"/>
    <d v="2026-08-12T00:00:00"/>
    <s v="FG"/>
    <s v="FIBC Bags"/>
    <x v="3"/>
    <s v="FIBC"/>
    <s v="FIBC Bags With UV Without Liner"/>
    <n v="19598"/>
    <n v="3871976.86"/>
    <s v="KRZY-95/KK0019 SUGAR KSC_x000d__x000a_CIRCULAR"/>
    <n v="4565060.72"/>
    <n v="9"/>
    <n v="348477.92"/>
    <n v="9"/>
    <n v="348477.92"/>
    <n v="0"/>
    <n v="0"/>
    <n v="0"/>
    <n v="696955.84"/>
    <n v="0"/>
    <s v="24AABCG1282C2Z6"/>
    <s v="KGS"/>
    <n v="39232999"/>
    <s v="Rs."/>
    <n v="1"/>
    <n v="19598"/>
    <s v="India"/>
  </r>
  <r>
    <d v="2026-08-12T00:00:00"/>
    <s v="Hcp Plastene Bulkpack Ltd (Unit Iv) - Sales"/>
    <s v="Sales"/>
    <n v="480"/>
    <s v="Sales - Within State - Traded Goods"/>
    <s v="PPL/D/480"/>
    <d v="2026-08-12T00:00:00"/>
    <s v="SF"/>
    <s v="Films All (SF)"/>
    <x v="5"/>
    <s v="LLDPE FILM"/>
    <s v="LDPE/LLDPE Film"/>
    <n v="50"/>
    <n v="12950"/>
    <s v="LDPE/LLDPE Film"/>
    <n v="15268.05"/>
    <n v="9"/>
    <n v="1165.5"/>
    <n v="9"/>
    <n v="1165.5"/>
    <n v="0"/>
    <n v="0"/>
    <n v="0"/>
    <n v="2331"/>
    <n v="0"/>
    <s v="24AABCG1282C2Z6"/>
    <s v="KGS"/>
    <n v="39201019"/>
    <s v="Rs."/>
    <n v="1"/>
    <n v="50"/>
    <s v="India"/>
  </r>
  <r>
    <d v="2026-08-12T00:00:00"/>
    <s v="Hcp Plastene Bulkpack Ltd (Unit Iv) - Sales"/>
    <s v="Sales"/>
    <n v="483"/>
    <s v="Sales - Within State - Traded Goods"/>
    <s v="PPL/D/483"/>
    <d v="2026-08-12T00:00:00"/>
    <s v="SF"/>
    <s v="Yarn All"/>
    <x v="13"/>
    <s v="Yarn"/>
    <s v="PP Fibrillated Tape Twisted 3200 MW"/>
    <n v="382.7"/>
    <n v="59854.28"/>
    <s v="PP Fibrillated Tape Twisted 3200 MW"/>
    <n v="62787.15"/>
    <n v="2.5"/>
    <n v="1496.36"/>
    <n v="2.5"/>
    <n v="1496.36"/>
    <n v="0"/>
    <n v="0"/>
    <n v="0"/>
    <n v="2992.72"/>
    <n v="0"/>
    <s v="24AABCG1282C2Z6"/>
    <s v="KGS"/>
    <n v="54026930"/>
    <s v="Rs."/>
    <n v="1"/>
    <n v="382.7"/>
    <s v="India"/>
  </r>
  <r>
    <d v="2026-08-12T00:00:00"/>
    <s v="Plastene India ltd - Unit 1-Sales"/>
    <s v="Sales"/>
    <n v="479"/>
    <s v="Sales - Within State  Manufactured Goods"/>
    <s v="PPL/D/479"/>
    <d v="2026-08-12T00:00:00"/>
    <s v="SF"/>
    <s v="Webbing"/>
    <x v="10"/>
    <s v="PP Webbing"/>
    <s v="Webbing"/>
    <n v="267.7"/>
    <n v="36294.769999999997"/>
    <s v="Webbing-MW"/>
    <n v="42791.54"/>
    <n v="9"/>
    <n v="3266.53"/>
    <n v="9"/>
    <n v="3266.53"/>
    <n v="0"/>
    <n v="0"/>
    <n v="0"/>
    <n v="6533.06"/>
    <n v="0"/>
    <s v="24AAACO3087C1ZT"/>
    <s v="KGS"/>
    <n v="39269080"/>
    <s v="Rs."/>
    <n v="1"/>
    <n v="267.7"/>
    <s v="India"/>
  </r>
  <r>
    <d v="2026-08-12T00:00:00"/>
    <s v="Plastene India ltd - Unit 1-Sales"/>
    <s v="Sales"/>
    <n v="482"/>
    <s v="Sales - Within State  Manufactured Goods"/>
    <s v="PPL/D/482"/>
    <d v="2026-08-12T00:00:00"/>
    <s v="SF"/>
    <s v="PP/PE Fabric"/>
    <x v="8"/>
    <s v="PP Laminated Fabric"/>
    <s v="PP Lam Fabric With UV"/>
    <n v="256"/>
    <n v="35476.480000000003"/>
    <s v="PP Lam Fabric With UV-BLACK"/>
    <n v="125119.3"/>
    <n v="9"/>
    <n v="3192.88"/>
    <n v="9"/>
    <n v="3192.88"/>
    <n v="0"/>
    <n v="0"/>
    <n v="0"/>
    <n v="6385.76"/>
    <n v="0"/>
    <s v="24AAACO3087C1ZT"/>
    <s v="KGS"/>
    <n v="39269080"/>
    <s v="Rs."/>
    <n v="1"/>
    <n v="256"/>
    <s v="India"/>
  </r>
  <r>
    <d v="2026-08-12T00:00:00"/>
    <s v="Plastene India ltd - Unit 1-Sales"/>
    <s v="Sales"/>
    <n v="482"/>
    <s v="Sales - Within State  Manufactured Goods"/>
    <s v="PPL/D/482"/>
    <d v="2026-08-12T00:00:00"/>
    <s v="FG"/>
    <s v="FIBC WIP"/>
    <x v="7"/>
    <s v="PP Laminated Fabric"/>
    <s v="FIBC WIP"/>
    <n v="304"/>
    <n v="34528.32"/>
    <s v="LAM CUTPCS"/>
    <n v="0"/>
    <n v="9"/>
    <n v="3107.55"/>
    <n v="9"/>
    <n v="3107.55"/>
    <n v="0"/>
    <n v="0"/>
    <n v="0"/>
    <n v="6215.1"/>
    <n v="0"/>
    <s v="24AAACO3087C1ZT"/>
    <s v="KGS"/>
    <n v="39269080"/>
    <s v="Rs."/>
    <n v="1"/>
    <n v="304"/>
    <s v="India"/>
  </r>
  <r>
    <d v="2026-08-12T00:00:00"/>
    <s v="Plastene India ltd - Unit 1-Sales"/>
    <s v="Sales"/>
    <n v="482"/>
    <s v="Sales - Within State  Manufactured Goods"/>
    <s v="PPL/D/482"/>
    <d v="2026-08-12T00:00:00"/>
    <s v="FG"/>
    <s v="FIBC WIP"/>
    <x v="7"/>
    <s v="FIBC"/>
    <s v="FIBC WIP"/>
    <n v="318"/>
    <n v="36118.44"/>
    <s v="REJECTED BAGS"/>
    <n v="0"/>
    <n v="9"/>
    <n v="3250.66"/>
    <n v="9"/>
    <n v="3250.66"/>
    <n v="0"/>
    <n v="0"/>
    <n v="0"/>
    <n v="6501.32"/>
    <n v="0"/>
    <s v="24AAACO3087C1ZT"/>
    <s v="KGS"/>
    <n v="39232999"/>
    <s v="Rs."/>
    <n v="1"/>
    <n v="318"/>
    <s v="India"/>
  </r>
  <r>
    <d v="2026-08-13T00:00:00"/>
    <s v="Hcp Plastene Bulkpack Ltd (Unit Iv) - Sales"/>
    <s v="Sales"/>
    <n v="485"/>
    <s v="Sales - Within State  Manufactured Goods"/>
    <s v="PPL/D/485"/>
    <d v="2026-08-13T00:00:00"/>
    <s v="FG"/>
    <s v="FIBC Bags"/>
    <x v="3"/>
    <s v="FIBC"/>
    <s v="FIBC Bags With UV Without Liner"/>
    <n v="156"/>
    <n v="53972.88"/>
    <s v="OEL438/2634"/>
    <n v="63634.03"/>
    <n v="9"/>
    <n v="4857.5600000000004"/>
    <n v="9"/>
    <n v="4857.5600000000004"/>
    <n v="0"/>
    <n v="0"/>
    <n v="0"/>
    <n v="9715.1200000000008"/>
    <n v="0"/>
    <s v="24AABCG1282C2Z6"/>
    <s v="KGS"/>
    <n v="39232999"/>
    <s v="Rs."/>
    <n v="1"/>
    <n v="156"/>
    <s v="India"/>
  </r>
  <r>
    <d v="2026-08-13T00:00:00"/>
    <s v="Hcp Plastene Bulkpack Ltd (Unit Iv) - Sales"/>
    <s v="Sales"/>
    <n v="486"/>
    <s v="Sales - Within State - Traded Goods"/>
    <s v="PPL/D/486"/>
    <d v="2026-08-13T00:00:00"/>
    <s v="SF"/>
    <s v="Films All (SF)"/>
    <x v="5"/>
    <s v="LLDPE FILM"/>
    <s v="LDPE/LLDPE Film"/>
    <n v="15"/>
    <n v="3600"/>
    <s v="LDPE/LLDPE Film"/>
    <n v="4244.3999999999996"/>
    <n v="9"/>
    <n v="324"/>
    <n v="9"/>
    <n v="324"/>
    <n v="0"/>
    <n v="0"/>
    <n v="0"/>
    <n v="648"/>
    <n v="0"/>
    <s v="24AABCG1282C2Z6"/>
    <s v="KGS"/>
    <n v="39201019"/>
    <s v="Rs."/>
    <n v="1"/>
    <n v="15"/>
    <s v="India"/>
  </r>
  <r>
    <d v="2026-08-13T00:00:00"/>
    <s v="Plastene India ltd - Unit 1-Sales"/>
    <s v="Sales"/>
    <n v="487"/>
    <s v="Sales - Within State  Manufactured Goods"/>
    <s v="PPL/D/487"/>
    <d v="2026-08-13T00:00:00"/>
    <s v="FG"/>
    <s v="FIBC Bags"/>
    <x v="3"/>
    <s v="FIBC"/>
    <s v="FIBC Bags With UV Without Liner"/>
    <n v="9970"/>
    <n v="1709655.6"/>
    <s v="PST-26007/SN21E/01"/>
    <n v="4233776.9400000004"/>
    <n v="9"/>
    <n v="153869"/>
    <n v="9"/>
    <n v="153869"/>
    <n v="0"/>
    <n v="0"/>
    <n v="0"/>
    <n v="307738"/>
    <n v="0"/>
    <s v="24AAACO3087C1ZT"/>
    <s v="KGS"/>
    <n v="39232999"/>
    <s v="Rs."/>
    <n v="1"/>
    <n v="9970"/>
    <s v="India"/>
  </r>
  <r>
    <d v="2026-08-13T00:00:00"/>
    <s v="Plastene India ltd - Unit 1-Sales"/>
    <s v="Sales"/>
    <n v="487"/>
    <s v="Sales - Within State  Manufactured Goods"/>
    <s v="PPL/D/487"/>
    <d v="2026-08-13T00:00:00"/>
    <s v="FG"/>
    <s v="FIBC Bags"/>
    <x v="3"/>
    <s v="FIBC"/>
    <s v="FIBC Bags With UV Without Liner"/>
    <n v="2988"/>
    <n v="489464.28"/>
    <s v="PST-26007/SN21E/03"/>
    <n v="0"/>
    <n v="9"/>
    <n v="44051.79"/>
    <n v="9"/>
    <n v="44051.79"/>
    <n v="0"/>
    <n v="0"/>
    <n v="0"/>
    <n v="88103.58"/>
    <n v="0"/>
    <s v="24AAACO3087C1ZT"/>
    <s v="KGS"/>
    <n v="39232999"/>
    <s v="Rs."/>
    <n v="1"/>
    <n v="2988"/>
    <s v="India"/>
  </r>
  <r>
    <d v="2026-08-13T00:00:00"/>
    <s v="Plastene India ltd - Unit 1-Sales"/>
    <s v="Sales"/>
    <n v="487"/>
    <s v="Sales - Within State  Manufactured Goods"/>
    <s v="PPL/D/487"/>
    <d v="2026-08-13T00:00:00"/>
    <s v="FG"/>
    <s v="FIBC Bags"/>
    <x v="3"/>
    <s v="FIBC"/>
    <s v="FIBC Bags With UV Without Liner"/>
    <n v="8059"/>
    <n v="1391869.89"/>
    <s v="PST-26007/SN21U40P/02"/>
    <n v="0"/>
    <n v="9"/>
    <n v="125268.29"/>
    <n v="9"/>
    <n v="125268.29"/>
    <n v="0"/>
    <n v="0"/>
    <n v="0"/>
    <n v="250536.58"/>
    <n v="0"/>
    <s v="24AAACO3087C1ZT"/>
    <s v="KGS"/>
    <n v="39232999"/>
    <s v="Rs."/>
    <n v="1"/>
    <n v="8059"/>
    <s v="India"/>
  </r>
  <r>
    <d v="2026-08-13T00:00:00"/>
    <s v="Raficon Trade Srl"/>
    <s v="Export Sales"/>
    <s v="PPL/E/74/26-27"/>
    <s v="Sales - Direct Export - Mfg - U/B"/>
    <s v="PPL/E/74/26-27"/>
    <d v="2026-08-13T00:00:00"/>
    <s v="FG"/>
    <s v="FIBC Bags"/>
    <x v="9"/>
    <s v="FIBC"/>
    <s v="FIBC Bags With UV Without Liner"/>
    <n v="19487"/>
    <n v="4354415"/>
    <s v="PP JUMBO BAGS"/>
    <n v="4909467.8499999996"/>
    <n v="0"/>
    <n v="0"/>
    <n v="0"/>
    <n v="0"/>
    <n v="0"/>
    <n v="0"/>
    <n v="0"/>
    <n v="0"/>
    <n v="0"/>
    <s v="N.A."/>
    <s v="KGS"/>
    <n v="63053200"/>
    <s v="€"/>
    <n v="108.05"/>
    <n v="19487"/>
    <s v="Romania"/>
  </r>
  <r>
    <d v="2026-08-14T00:00:00"/>
    <s v="K.P. Woven Pvt Ltd-Sales"/>
    <s v="Sales"/>
    <n v="492"/>
    <s v="Sales - Within State  Manufactured Goods"/>
    <s v="PPL/D/492"/>
    <d v="2026-08-14T00:00:00"/>
    <s v="FG"/>
    <s v="FIBC Bags"/>
    <x v="3"/>
    <s v="FIBC"/>
    <s v="FIBC Bags With UV Without Liner"/>
    <n v="1393.3"/>
    <n v="333932.21000000002"/>
    <s v="BC-63756/04-9215"/>
    <n v="5423757.9699999997"/>
    <n v="9"/>
    <n v="30053.9"/>
    <n v="9"/>
    <n v="30053.9"/>
    <n v="0"/>
    <n v="0"/>
    <n v="0"/>
    <n v="60107.8"/>
    <n v="0"/>
    <s v="24AAECK6307M1ZF"/>
    <s v="KGS"/>
    <n v="39232999"/>
    <s v="Rs."/>
    <n v="1"/>
    <n v="1393.3"/>
    <s v="India"/>
  </r>
  <r>
    <d v="2026-08-14T00:00:00"/>
    <s v="K.P. Woven Pvt Ltd-Sales"/>
    <s v="Sales"/>
    <n v="492"/>
    <s v="Sales - Within State  Manufactured Goods"/>
    <s v="PPL/D/492"/>
    <d v="2026-08-14T00:00:00"/>
    <s v="FG"/>
    <s v="FIBC Bags"/>
    <x v="3"/>
    <s v="FIBC"/>
    <s v="FIBC Bags With UV Without Liner"/>
    <n v="1282.0999999999999"/>
    <n v="331858.76"/>
    <s v="BC-63758/04-12600"/>
    <n v="0"/>
    <n v="9"/>
    <n v="29867.29"/>
    <n v="9"/>
    <n v="29867.29"/>
    <n v="0"/>
    <n v="0"/>
    <n v="0"/>
    <n v="59734.58"/>
    <n v="0"/>
    <s v="24AAECK6307M1ZF"/>
    <s v="KGS"/>
    <n v="39232999"/>
    <s v="Rs."/>
    <n v="1"/>
    <n v="1282.0999999999999"/>
    <s v="India"/>
  </r>
  <r>
    <d v="2026-08-14T00:00:00"/>
    <s v="K.P. Woven Pvt Ltd-Sales"/>
    <s v="Sales"/>
    <n v="492"/>
    <s v="Sales - Within State  Manufactured Goods"/>
    <s v="PPL/D/492"/>
    <d v="2026-08-14T00:00:00"/>
    <s v="FG"/>
    <s v="FIBC Bags"/>
    <x v="3"/>
    <s v="FIBC"/>
    <s v="FIBC Bags With UV Without Liner"/>
    <n v="2407.3000000000002"/>
    <n v="620866.74"/>
    <s v="BC-63801/04-11452"/>
    <n v="0"/>
    <n v="9"/>
    <n v="55878.01"/>
    <n v="9"/>
    <n v="55878.01"/>
    <n v="0"/>
    <n v="0"/>
    <n v="0"/>
    <n v="111756.02"/>
    <n v="0"/>
    <s v="24AAECK6307M1ZF"/>
    <s v="KGS"/>
    <n v="39232999"/>
    <s v="Rs."/>
    <n v="1"/>
    <n v="2407.3000000000002"/>
    <s v="India"/>
  </r>
  <r>
    <d v="2026-08-14T00:00:00"/>
    <s v="K.P. Woven Pvt Ltd-Sales"/>
    <s v="Sales"/>
    <n v="492"/>
    <s v="Sales - Within State  Manufactured Goods"/>
    <s v="PPL/D/492"/>
    <d v="2026-08-14T00:00:00"/>
    <s v="FG"/>
    <s v="FIBC Bags"/>
    <x v="3"/>
    <s v="FIBC"/>
    <s v="FIBC Bags With UV Without Liner"/>
    <n v="6563"/>
    <n v="1442941.18"/>
    <s v="BC-63850/04-11283"/>
    <n v="0"/>
    <n v="9"/>
    <n v="129864.71"/>
    <n v="9"/>
    <n v="129864.71"/>
    <n v="0"/>
    <n v="0"/>
    <n v="0"/>
    <n v="259729.42"/>
    <n v="0"/>
    <s v="24AAECK6307M1ZF"/>
    <s v="KGS"/>
    <n v="39232999"/>
    <s v="Rs."/>
    <n v="1"/>
    <n v="6563"/>
    <s v="India"/>
  </r>
  <r>
    <d v="2026-08-14T00:00:00"/>
    <s v="K.P. Woven Pvt Ltd-Sales"/>
    <s v="Sales"/>
    <n v="492"/>
    <s v="Sales - Within State  Manufactured Goods"/>
    <s v="PPL/D/492"/>
    <d v="2026-08-14T00:00:00"/>
    <s v="FG"/>
    <s v="FIBC Bags"/>
    <x v="3"/>
    <s v="FIBC"/>
    <s v="FIBC Bags With UV Without Liner"/>
    <n v="5840"/>
    <n v="1481841.6"/>
    <s v="BC-63851/04-12211"/>
    <n v="0"/>
    <n v="9"/>
    <n v="133365.74"/>
    <n v="9"/>
    <n v="133365.74"/>
    <n v="0"/>
    <n v="0"/>
    <n v="0"/>
    <n v="266731.48"/>
    <n v="0"/>
    <s v="24AAECK6307M1ZF"/>
    <s v="KGS"/>
    <n v="39232999"/>
    <s v="Rs."/>
    <n v="1"/>
    <n v="5840"/>
    <s v="India"/>
  </r>
  <r>
    <d v="2026-08-14T00:00:00"/>
    <s v="K.P. Woven Pvt Ltd-Sales"/>
    <s v="Sales"/>
    <n v="492"/>
    <s v="Sales - Within State  Manufactured Goods"/>
    <s v="PPL/D/492"/>
    <d v="2026-08-14T00:00:00"/>
    <s v="FG"/>
    <s v="FIBC Bags"/>
    <x v="3"/>
    <s v="FIBC"/>
    <s v="FIBC Bags With UV Without Liner"/>
    <n v="1609"/>
    <n v="388863.12"/>
    <s v="BC-63876/04-11681"/>
    <n v="0"/>
    <n v="9"/>
    <n v="34997.68"/>
    <n v="9"/>
    <n v="34997.68"/>
    <n v="0"/>
    <n v="0"/>
    <n v="0"/>
    <n v="69995.360000000001"/>
    <n v="0"/>
    <s v="24AAECK6307M1ZF"/>
    <s v="KGS"/>
    <n v="39232999"/>
    <s v="Rs."/>
    <n v="1"/>
    <n v="1609"/>
    <s v="India"/>
  </r>
  <r>
    <d v="2026-08-14T00:00:00"/>
    <s v="Plastene India ltd - Unit 1-Sales"/>
    <s v="Sales"/>
    <n v="490"/>
    <s v="Sales - Within State  Manufactured Goods"/>
    <s v="PPL/D/490"/>
    <d v="2026-08-14T00:00:00"/>
    <s v="SF"/>
    <s v="PP/PE Fabric"/>
    <x v="8"/>
    <s v="PP Laminated Fabric"/>
    <s v="PP Lam Fabric With UV"/>
    <n v="1222"/>
    <n v="165678.76"/>
    <s v="PP Lam Fabric With UV"/>
    <n v="195335.26"/>
    <n v="9"/>
    <n v="14911.09"/>
    <n v="9"/>
    <n v="14911.09"/>
    <n v="0"/>
    <n v="0"/>
    <n v="0"/>
    <n v="29822.18"/>
    <n v="0"/>
    <s v="24AAACO3087C1ZT"/>
    <s v="KGS"/>
    <n v="39269080"/>
    <s v="Rs."/>
    <n v="1"/>
    <n v="1222"/>
    <s v="India"/>
  </r>
  <r>
    <d v="2026-08-14T00:00:00"/>
    <s v="Plastene India ltd - Unit 1-Sales"/>
    <s v="Sales"/>
    <n v="491"/>
    <s v="Sales - Within State - Traded Goods"/>
    <s v="PPL/D/491"/>
    <d v="2026-08-14T00:00:00"/>
    <s v="SF"/>
    <s v="Films All (SF)"/>
    <x v="5"/>
    <s v="LLDPE FILM"/>
    <s v="LDPE/LLDPE Film"/>
    <n v="16.100000000000001"/>
    <n v="4347"/>
    <s v="LDPE/LLDPE Film"/>
    <n v="5125.1099999999997"/>
    <n v="9"/>
    <n v="391.23"/>
    <n v="9"/>
    <n v="391.23"/>
    <n v="0"/>
    <n v="0"/>
    <n v="0"/>
    <n v="782.46"/>
    <n v="0"/>
    <s v="24AAACO3087C1ZT"/>
    <s v="KGS"/>
    <n v="39201019"/>
    <s v="Rs."/>
    <n v="1"/>
    <n v="16.100000000000001"/>
    <s v="India"/>
  </r>
  <r>
    <d v="2026-08-16T00:00:00"/>
    <s v="HCP Plastene Bulkpack Limited - Sales"/>
    <s v="Sales"/>
    <n v="495"/>
    <s v="Sales - Within State  Manufactured Goods"/>
    <s v="PPL/D/495"/>
    <d v="2026-08-16T00:00:00"/>
    <s v="FG"/>
    <s v="FIBC Bags"/>
    <x v="3"/>
    <s v="FIBC"/>
    <s v="FIBC Bags With UV Without Liner"/>
    <n v="1282"/>
    <n v="263104.86"/>
    <s v="2026001319 /6965"/>
    <n v="4352300.47"/>
    <n v="9"/>
    <n v="23679.439999999999"/>
    <n v="9"/>
    <n v="23679.439999999999"/>
    <n v="0"/>
    <n v="0"/>
    <n v="0"/>
    <n v="47358.879999999997"/>
    <n v="0"/>
    <s v="24AABCG1282C2Z6"/>
    <s v="KGS"/>
    <n v="39232999"/>
    <s v="Rs."/>
    <n v="1"/>
    <n v="1282"/>
    <s v="India"/>
  </r>
  <r>
    <d v="2026-08-16T00:00:00"/>
    <s v="HCP Plastene Bulkpack Limited - Sales"/>
    <s v="Sales"/>
    <n v="495"/>
    <s v="Sales - Within State  Manufactured Goods"/>
    <s v="PPL/D/495"/>
    <d v="2026-08-16T00:00:00"/>
    <s v="FG"/>
    <s v="FIBC Bags"/>
    <x v="3"/>
    <s v="FIBC"/>
    <s v="FIBC Bags With UV Without Liner"/>
    <n v="6205"/>
    <n v="1161513.95"/>
    <s v="2026001322 /5477"/>
    <n v="0"/>
    <n v="9"/>
    <n v="104536.26"/>
    <n v="9"/>
    <n v="104536.26"/>
    <n v="0"/>
    <n v="0"/>
    <n v="0"/>
    <n v="209072.52"/>
    <n v="0"/>
    <s v="24AABCG1282C2Z6"/>
    <s v="KGS"/>
    <n v="39232999"/>
    <s v="Rs."/>
    <n v="1"/>
    <n v="6205"/>
    <s v="India"/>
  </r>
  <r>
    <d v="2026-08-16T00:00:00"/>
    <s v="HCP Plastene Bulkpack Limited - Sales"/>
    <s v="Sales"/>
    <n v="495"/>
    <s v="Sales - Within State  Manufactured Goods"/>
    <s v="PPL/D/495"/>
    <d v="2026-08-16T00:00:00"/>
    <s v="FG"/>
    <s v="FIBC Bags"/>
    <x v="3"/>
    <s v="FIBC"/>
    <s v="FIBC Bags With UV Without Liner"/>
    <n v="4558"/>
    <n v="880924.66"/>
    <s v="2026001324 /2026001526"/>
    <n v="0"/>
    <n v="9"/>
    <n v="79283.22"/>
    <n v="9"/>
    <n v="79283.22"/>
    <n v="0"/>
    <n v="0"/>
    <n v="0"/>
    <n v="158566.44"/>
    <n v="0"/>
    <s v="24AABCG1282C2Z6"/>
    <s v="KGS"/>
    <n v="39232999"/>
    <s v="Rs."/>
    <n v="1"/>
    <n v="4558"/>
    <s v="India"/>
  </r>
  <r>
    <d v="2026-08-16T00:00:00"/>
    <s v="HCP Plastene Bulkpack Limited - Sales"/>
    <s v="Sales"/>
    <n v="495"/>
    <s v="Sales - Within State  Manufactured Goods"/>
    <s v="PPL/D/495"/>
    <d v="2026-08-16T00:00:00"/>
    <s v="FG"/>
    <s v="FIBC Bags"/>
    <x v="3"/>
    <s v="FIBC"/>
    <s v="FIBC Bags With UV Without Liner"/>
    <n v="4066"/>
    <n v="789169.94"/>
    <s v="2026001329 /5235"/>
    <n v="0"/>
    <n v="9"/>
    <n v="71025.289999999994"/>
    <n v="9"/>
    <n v="71025.289999999994"/>
    <n v="0"/>
    <n v="0"/>
    <n v="0"/>
    <n v="142050.57999999999"/>
    <n v="0"/>
    <s v="24AABCG1282C2Z6"/>
    <s v="KGS"/>
    <n v="39232999"/>
    <s v="Rs."/>
    <n v="1"/>
    <n v="4066"/>
    <s v="India"/>
  </r>
  <r>
    <d v="2026-08-16T00:00:00"/>
    <s v="HCP Plastene Bulkpack Limited - Sales"/>
    <s v="Sales"/>
    <n v="495"/>
    <s v="Sales - Within State  Manufactured Goods"/>
    <s v="PPL/D/495"/>
    <d v="2026-08-16T00:00:00"/>
    <s v="FG"/>
    <s v="FIBC Bags"/>
    <x v="3"/>
    <s v="FIBC"/>
    <s v="FIBC Bags With UV Without Liner"/>
    <n v="2906"/>
    <n v="596805.22"/>
    <s v="2026001330 /8906"/>
    <n v="0"/>
    <n v="9"/>
    <n v="53712.47"/>
    <n v="9"/>
    <n v="53712.47"/>
    <n v="0"/>
    <n v="0"/>
    <n v="0"/>
    <n v="107424.94"/>
    <n v="0"/>
    <s v="24AABCG1282C2Z6"/>
    <s v="KGS"/>
    <n v="39232999"/>
    <s v="Rs."/>
    <n v="1"/>
    <n v="2906"/>
    <s v="India"/>
  </r>
  <r>
    <d v="2026-08-16T00:00:00"/>
    <s v="Hcp Plastene Bulkpack Ltd (Unit Iv) - Sales"/>
    <s v="Sales"/>
    <n v="496"/>
    <s v="Sales - Within State  Manufactured Goods"/>
    <s v="PPL/D/496"/>
    <d v="2026-08-16T00:00:00"/>
    <s v="SF"/>
    <s v="PP/PE Fabric"/>
    <x v="8"/>
    <s v="PP Laminated Fabric"/>
    <s v="PP Lam Fabric With UV"/>
    <n v="457"/>
    <n v="63331.06"/>
    <s v="PP Lam Fabric With UV black"/>
    <n v="271587.93"/>
    <n v="9"/>
    <n v="5699.8"/>
    <n v="9"/>
    <n v="5699.8"/>
    <n v="0"/>
    <n v="0"/>
    <n v="0"/>
    <n v="11399.6"/>
    <n v="0"/>
    <s v="24AABCG1282C2Z6"/>
    <s v="KGS"/>
    <n v="39269080"/>
    <s v="Rs."/>
    <n v="1"/>
    <n v="457"/>
    <s v="India"/>
  </r>
  <r>
    <d v="2026-08-16T00:00:00"/>
    <s v="Hcp Plastene Bulkpack Ltd (Unit Iv) - Sales"/>
    <s v="Sales"/>
    <n v="496"/>
    <s v="Sales - Within State  Manufactured Goods"/>
    <s v="PPL/D/496"/>
    <d v="2026-08-16T00:00:00"/>
    <s v="SF"/>
    <s v="PP/PE Fabric"/>
    <x v="8"/>
    <s v="PP Laminated Fabric"/>
    <s v="PP Lam Fabric With UV"/>
    <n v="680"/>
    <n v="93554.4"/>
    <s v="PP Lam Fabric With UV MW SPOUT"/>
    <n v="0"/>
    <n v="9"/>
    <n v="8419.9"/>
    <n v="9"/>
    <n v="8419.9"/>
    <n v="0"/>
    <n v="0"/>
    <n v="0"/>
    <n v="16839.8"/>
    <n v="0"/>
    <s v="24AABCG1282C2Z6"/>
    <s v="KGS"/>
    <n v="39269080"/>
    <s v="Rs."/>
    <n v="1"/>
    <n v="680"/>
    <s v="India"/>
  </r>
  <r>
    <d v="2026-08-16T00:00:00"/>
    <s v="Hcp Plastene Bulkpack Ltd (Unit Iv) - Sales"/>
    <s v="Sales"/>
    <n v="496"/>
    <s v="Sales - Within State  Manufactured Goods"/>
    <s v="PPL/D/496"/>
    <d v="2026-08-16T00:00:00"/>
    <s v="FG"/>
    <s v="FIBC WIP"/>
    <x v="7"/>
    <s v="PP WOVEN FABRIC"/>
    <s v="FIBC WIP"/>
    <n v="550"/>
    <n v="73469"/>
    <s v="PP UL Fabric CutPcs With UV"/>
    <n v="0"/>
    <n v="9"/>
    <n v="6612.21"/>
    <n v="9"/>
    <n v="6612.21"/>
    <n v="0"/>
    <n v="0"/>
    <n v="0"/>
    <n v="13224.42"/>
    <n v="0"/>
    <s v="24AABCG1282C2Z6"/>
    <s v="KGS"/>
    <n v="39269080"/>
    <s v="Rs."/>
    <n v="1"/>
    <n v="550"/>
    <s v="India"/>
  </r>
  <r>
    <d v="2026-08-16T00:00:00"/>
    <s v="Plastene India ltd - Unit 1-Sales"/>
    <s v="Sales"/>
    <n v="494"/>
    <s v="Sales - Within State  Manufactured Goods"/>
    <s v="PPL/D/494"/>
    <d v="2026-08-16T00:00:00"/>
    <s v="FG"/>
    <s v="FIBC Bags"/>
    <x v="3"/>
    <s v="FIBC"/>
    <s v="FIBC Bags With UV With Liner"/>
    <n v="16414.900000000001"/>
    <n v="3707633.46"/>
    <s v="20BB-2026-PL-012/SEKAP-BLUE/T2_x000d__x000a_60995"/>
    <n v="5266601.37"/>
    <n v="9"/>
    <n v="333687.01"/>
    <n v="9"/>
    <n v="333687.01"/>
    <n v="0"/>
    <n v="0"/>
    <n v="0"/>
    <n v="667374.02"/>
    <n v="0"/>
    <s v="24AAACO3087C1ZT"/>
    <s v="KGS"/>
    <n v="39232999"/>
    <s v="Rs."/>
    <n v="1"/>
    <n v="16414.900000000001"/>
    <s v="India"/>
  </r>
  <r>
    <d v="2026-08-16T00:00:00"/>
    <s v="Plastene India ltd - Unit 1-Sales"/>
    <s v="Sales"/>
    <n v="494"/>
    <s v="Sales - Within State  Manufactured Goods"/>
    <s v="PPL/D/494"/>
    <d v="2026-08-16T00:00:00"/>
    <s v="FG"/>
    <s v="FIBC Bags"/>
    <x v="3"/>
    <s v="FIBC"/>
    <s v="FIBC Bags With UV With Liner"/>
    <n v="771"/>
    <n v="173968.44"/>
    <s v="20BB-2026-PL-013/DSLO160L"/>
    <n v="0"/>
    <n v="9"/>
    <n v="15657.16"/>
    <n v="9"/>
    <n v="15657.16"/>
    <n v="0"/>
    <n v="0"/>
    <n v="0"/>
    <n v="31314.32"/>
    <n v="0"/>
    <s v="24AAACO3087C1ZT"/>
    <s v="KGS"/>
    <n v="39232999"/>
    <s v="Rs."/>
    <n v="1"/>
    <n v="771"/>
    <s v="India"/>
  </r>
  <r>
    <d v="2026-08-16T00:00:00"/>
    <s v="Plastene India ltd - Unit 1-Sales"/>
    <s v="Sales"/>
    <n v="494"/>
    <s v="Sales - Within State  Manufactured Goods"/>
    <s v="PPL/D/494"/>
    <d v="2026-08-16T00:00:00"/>
    <s v="FG"/>
    <s v="FIBC Bags"/>
    <x v="3"/>
    <s v="FIBC"/>
    <s v="FIBC Bags With UV Without Liner"/>
    <n v="2584"/>
    <n v="585405.19999999995"/>
    <s v="20BB-2026-PL-011/RMQ"/>
    <n v="0"/>
    <n v="9"/>
    <n v="52686.47"/>
    <n v="9"/>
    <n v="52686.47"/>
    <n v="0"/>
    <n v="0"/>
    <n v="0"/>
    <n v="105372.94"/>
    <n v="0"/>
    <s v="24AAACO3087C1ZT"/>
    <s v="KGS"/>
    <n v="39232999"/>
    <s v="Rs."/>
    <n v="1"/>
    <n v="2584"/>
    <s v="India"/>
  </r>
  <r>
    <d v="2026-08-16T00:00:00"/>
    <s v="Plastene India ltd - Unit 1-Sales"/>
    <s v="Sales"/>
    <n v="498"/>
    <s v="Sales - Within State - Traded Goods"/>
    <s v="PPL/D/498"/>
    <d v="2026-08-16T00:00:00"/>
    <s v="SF"/>
    <s v="Films All (SF)"/>
    <x v="5"/>
    <s v="LLDPE FILM"/>
    <s v="LDPE/LLDPE Film"/>
    <n v="4"/>
    <n v="988"/>
    <s v="LDPE/LLDPE Film"/>
    <n v="1164.8499999999999"/>
    <n v="9"/>
    <n v="88.92"/>
    <n v="9"/>
    <n v="88.92"/>
    <n v="0"/>
    <n v="0"/>
    <n v="0"/>
    <n v="177.84"/>
    <n v="0"/>
    <s v="24AAACO3087C1ZT"/>
    <s v="KGS"/>
    <n v="39201019"/>
    <s v="Rs."/>
    <n v="1"/>
    <n v="4"/>
    <s v="India"/>
  </r>
  <r>
    <d v="2026-08-17T00:00:00"/>
    <s v="Hcp Plastene Bulkpack Ltd (Unit Iv) - Sales"/>
    <s v="Sales"/>
    <n v="499"/>
    <s v="Sales - Within State  Manufactured Goods"/>
    <s v="PPL/D/499"/>
    <d v="2026-08-17T00:00:00"/>
    <s v="FG"/>
    <s v="FIBC Bags"/>
    <x v="3"/>
    <s v="FIBC"/>
    <s v="FIBC Bags With UV Without Liner"/>
    <n v="9169"/>
    <n v="1900825.39"/>
    <s v="PO 10066/4LT-0440"/>
    <n v="2241073.14"/>
    <n v="9"/>
    <n v="171074.29"/>
    <n v="9"/>
    <n v="171074.29"/>
    <n v="0"/>
    <n v="0"/>
    <n v="0"/>
    <n v="342148.58"/>
    <n v="0"/>
    <s v="24AABCG1282C2Z6"/>
    <s v="KGS"/>
    <n v="39232999"/>
    <s v="Rs."/>
    <n v="1"/>
    <n v="9169"/>
    <s v="India"/>
  </r>
  <r>
    <d v="2026-08-17T00:00:00"/>
    <s v="Plastene India ltd - Unit 1-Sales"/>
    <s v="Sales"/>
    <n v="501"/>
    <s v="Sales - Waste &amp; Scrape"/>
    <s v="PPL/D/501"/>
    <d v="2026-08-17T00:00:00"/>
    <s v="SF"/>
    <s v="Wastage/Scrap"/>
    <x v="14"/>
    <s v="HD/PP WASTE"/>
    <s v="PP/HD Wastage/Scrap"/>
    <n v="1590"/>
    <n v="39750"/>
    <s v="LD INDOTHENE "/>
    <n v="47843.1"/>
    <n v="9"/>
    <n v="3577.5"/>
    <n v="9"/>
    <n v="3577.5"/>
    <n v="0"/>
    <n v="0"/>
    <n v="0"/>
    <n v="7155"/>
    <n v="938.1"/>
    <s v="24AAACO3087C1ZT"/>
    <s v="KGS"/>
    <n v="39159029"/>
    <s v="Rs."/>
    <n v="1"/>
    <n v="1590"/>
    <s v="India"/>
  </r>
  <r>
    <d v="2026-08-18T00:00:00"/>
    <s v="K.P. Woven Pvt Ltd - Unit 3 -Sales"/>
    <s v="Export Sales"/>
    <s v="PPL/E/78/26-27"/>
    <s v="Sales - Kasez - Mfg - U/B"/>
    <s v="PPL/E/78/26-27"/>
    <d v="2026-08-18T00:00:00"/>
    <s v="FG"/>
    <s v="FIBC Bags"/>
    <x v="9"/>
    <s v="FIBC"/>
    <s v="FIBC Bags With UV Without Liner"/>
    <n v="9358"/>
    <n v="1751817.5999999999"/>
    <s v="PP WOVEN BIG BAGS"/>
    <n v="1750065.78"/>
    <n v="0"/>
    <n v="0"/>
    <n v="0"/>
    <n v="0"/>
    <n v="0"/>
    <n v="0"/>
    <n v="0"/>
    <n v="0"/>
    <n v="0"/>
    <s v="24AAECK6307M2ZE"/>
    <s v="KGS"/>
    <n v="63053200"/>
    <s v="$"/>
    <n v="93.6"/>
    <n v="9358"/>
    <s v="India"/>
  </r>
  <r>
    <d v="2026-08-18T00:00:00"/>
    <s v="K.P. Woven Pvt Ltd - Unit 3 -Sales"/>
    <s v="Export Sales"/>
    <s v="PPL/E/79/26-27"/>
    <s v="Sales - Kasez - Mfg - U/B"/>
    <s v="PPL/E/79/26-27"/>
    <d v="2026-08-18T00:00:00"/>
    <s v="FG"/>
    <s v="FIBC Bags"/>
    <x v="9"/>
    <s v="FIBC"/>
    <s v="FIBC Bags With UV With Liner"/>
    <n v="4676"/>
    <n v="875347.2"/>
    <s v="PP WOVEN BIGBAGS"/>
    <n v="1167894.94"/>
    <n v="0"/>
    <n v="0"/>
    <n v="0"/>
    <n v="0"/>
    <n v="0"/>
    <n v="0"/>
    <n v="0"/>
    <n v="0"/>
    <n v="0"/>
    <s v="24AAECK6307M2ZE"/>
    <s v="KGS"/>
    <n v="63053200"/>
    <s v="$"/>
    <n v="93.6"/>
    <n v="4676"/>
    <s v="India"/>
  </r>
  <r>
    <d v="2026-08-18T00:00:00"/>
    <s v="K.P. Woven Pvt Ltd - Unit 3 -Sales"/>
    <s v="Export Sales"/>
    <s v="PPL/E/79/26-27"/>
    <s v="Sales - Kasez - Mfg - U/B"/>
    <s v="PPL/E/79/26-27"/>
    <d v="2026-08-18T00:00:00"/>
    <s v="FG"/>
    <s v="FIBC Bags"/>
    <x v="9"/>
    <s v="FIBC"/>
    <s v="FIBC Bags With UV Without Liner"/>
    <n v="1569"/>
    <n v="293716.8"/>
    <s v="PP WOVEN BIGBAGS"/>
    <n v="0"/>
    <n v="0"/>
    <n v="0"/>
    <n v="0"/>
    <n v="0"/>
    <n v="0"/>
    <n v="0"/>
    <n v="0"/>
    <n v="0"/>
    <n v="0"/>
    <s v="24AAECK6307M2ZE"/>
    <s v="KGS"/>
    <n v="63053200"/>
    <s v="$"/>
    <n v="93.6"/>
    <n v="1569"/>
    <s v="India"/>
  </r>
  <r>
    <d v="2026-08-18T00:00:00"/>
    <s v="Oswal Extrusion Ltd- KASEZ-Sales"/>
    <s v="SALES (FOREX)"/>
    <s v="PPL/E/76/26-27"/>
    <s v="Sales - Kasez - Mfg - U/B"/>
    <s v="PPL/E/76/26-27"/>
    <d v="2026-08-18T00:00:00"/>
    <s v="SF"/>
    <s v="Yarn All"/>
    <x v="13"/>
    <s v="FILLER CORD"/>
    <s v="Filler Cord"/>
    <n v="760"/>
    <n v="130720"/>
    <s v="Filler Cord"/>
    <n v="130589.28"/>
    <m/>
    <n v="0"/>
    <m/>
    <n v="0"/>
    <m/>
    <n v="0"/>
    <n v="0"/>
    <n v="0"/>
    <n v="0"/>
    <s v="24AAACO7290H4ZB"/>
    <s v="KGS"/>
    <n v="540263"/>
    <s v="Rs."/>
    <n v="1"/>
    <n v="760"/>
    <s v="India"/>
  </r>
  <r>
    <d v="2026-08-18T00:00:00"/>
    <s v="Plastene India ltd - Unit 1-Sales"/>
    <s v="Sales"/>
    <n v="502"/>
    <s v="Sales - Within State  Manufactured Goods"/>
    <s v="PPL/D/502"/>
    <d v="2026-08-18T00:00:00"/>
    <s v="FG"/>
    <s v="FIBC WIP"/>
    <x v="7"/>
    <s v="PP WOVEN FABRIC"/>
    <s v="FIBC WIP"/>
    <n v="232"/>
    <n v="26350.560000000001"/>
    <s v="PP UL Fabric CutPcs Without UV"/>
    <n v="31067.31"/>
    <n v="9"/>
    <n v="2371.5500000000002"/>
    <n v="9"/>
    <n v="2371.5500000000002"/>
    <n v="0"/>
    <n v="0"/>
    <n v="0"/>
    <n v="4743.1000000000004"/>
    <n v="0"/>
    <s v="24AAACO3087C1ZT"/>
    <s v="KGS"/>
    <n v="39269080"/>
    <s v="Rs."/>
    <n v="1"/>
    <n v="232"/>
    <s v="India"/>
  </r>
  <r>
    <d v="2026-08-18T00:00:00"/>
    <s v="Plastene India ltd - Unit 1-Sales"/>
    <s v="Sales"/>
    <n v="504"/>
    <s v="Sales - Within State  Manufactured Goods"/>
    <s v="PPL/D/504"/>
    <d v="2026-08-18T00:00:00"/>
    <s v="SF"/>
    <s v="Films All (SF)"/>
    <x v="5"/>
    <s v="LLDPE FILM"/>
    <s v="LDPE/LLDPE Film"/>
    <n v="9.8000000000000007"/>
    <n v="2548"/>
    <s v="LDPE/LLDPE Film"/>
    <n v="6925.35"/>
    <n v="9"/>
    <n v="229.32"/>
    <n v="9"/>
    <n v="229.32"/>
    <n v="0"/>
    <n v="0"/>
    <n v="0"/>
    <n v="458.64"/>
    <n v="0"/>
    <s v="24AAACO3087C1ZT"/>
    <s v="KGS"/>
    <n v="39201019"/>
    <s v="Rs."/>
    <n v="1"/>
    <n v="9.8000000000000007"/>
    <s v="India"/>
  </r>
  <r>
    <d v="2026-08-18T00:00:00"/>
    <s v="Plastene India ltd - Unit 1-Sales"/>
    <s v="Sales"/>
    <n v="504"/>
    <s v="Sales - Within State  Manufactured Goods"/>
    <s v="PPL/D/504"/>
    <d v="2026-08-18T00:00:00"/>
    <s v="SF"/>
    <s v="Webbing"/>
    <x v="10"/>
    <s v="PP Webbing"/>
    <s v="Webbing"/>
    <n v="24"/>
    <n v="3325.92"/>
    <s v="Webbing black"/>
    <n v="0"/>
    <n v="9"/>
    <n v="299.33"/>
    <n v="9"/>
    <n v="299.33"/>
    <n v="0"/>
    <n v="0"/>
    <n v="0"/>
    <n v="598.66"/>
    <n v="0"/>
    <s v="24AAACO3087C1ZT"/>
    <s v="KGS"/>
    <n v="39269080"/>
    <s v="Rs."/>
    <n v="1"/>
    <n v="24"/>
    <s v="India"/>
  </r>
  <r>
    <d v="2026-08-18T00:00:00"/>
    <s v="Plastene India ltd - Unit 1-Sales"/>
    <s v="Sales"/>
    <n v="506"/>
    <s v="Sales - Within State  Manufactured Goods"/>
    <s v="PPL/D/506"/>
    <d v="2026-08-18T00:00:00"/>
    <s v="SF"/>
    <s v="PP/PE Fabric"/>
    <x v="8"/>
    <s v="PP Laminated Fabric"/>
    <s v="PP Lam Fabric With UV"/>
    <n v="2330"/>
    <n v="315901.40000000002"/>
    <s v="PP Lam Fabric With UV MW"/>
    <n v="372447.76"/>
    <n v="9"/>
    <n v="28431.13"/>
    <n v="9"/>
    <n v="28431.13"/>
    <n v="0"/>
    <n v="0"/>
    <n v="0"/>
    <n v="56862.26"/>
    <n v="0"/>
    <s v="24AAACO3087C1ZT"/>
    <s v="KGS"/>
    <n v="39269080"/>
    <s v="Rs."/>
    <n v="1"/>
    <n v="2330"/>
    <s v="India"/>
  </r>
  <r>
    <d v="2026-08-18T00:00:00"/>
    <s v="Plastene India ltd - Unit 1-Sales"/>
    <s v="Sales"/>
    <n v="508"/>
    <s v="Sales - Within State  Manufactured Goods"/>
    <s v="PPL/D/508"/>
    <d v="2026-08-18T00:00:00"/>
    <s v="SF"/>
    <s v="Webbing"/>
    <x v="10"/>
    <s v="PP Webbing"/>
    <s v="Webbing"/>
    <n v="360.4"/>
    <n v="49944.23"/>
    <s v="Webbing-Blue"/>
    <n v="58884.25"/>
    <n v="9"/>
    <n v="4494.9799999999996"/>
    <n v="9"/>
    <n v="4494.9799999999996"/>
    <n v="0"/>
    <n v="0"/>
    <n v="0"/>
    <n v="8989.9599999999991"/>
    <n v="0"/>
    <s v="24AAACO3087C1ZT"/>
    <s v="KGS"/>
    <n v="39269080"/>
    <s v="Rs."/>
    <n v="1"/>
    <n v="360.4"/>
    <s v="India"/>
  </r>
  <r>
    <d v="2026-08-18T00:00:00"/>
    <s v="Plastene India ltd - Unit 1-Sales"/>
    <s v="Sales"/>
    <n v="511"/>
    <s v="Sales - Within State  Manufactured Goods"/>
    <s v="PPL/D/511"/>
    <d v="2026-08-18T00:00:00"/>
    <s v="SF"/>
    <s v="Yarn All"/>
    <x v="13"/>
    <s v="Yarn"/>
    <s v="Polyester Yarn Twisted"/>
    <n v="115.5"/>
    <n v="20351.099999999999"/>
    <s v="Polyester Yarn Twisted"/>
    <n v="21348.31"/>
    <n v="2.5"/>
    <n v="508.78"/>
    <n v="2.5"/>
    <n v="508.78"/>
    <n v="0"/>
    <n v="0"/>
    <n v="0"/>
    <n v="1017.56"/>
    <n v="0"/>
    <s v="24AAACO3087C1ZT"/>
    <s v="KGS"/>
    <n v="54026930"/>
    <s v="Rs."/>
    <n v="1"/>
    <n v="115.5"/>
    <s v="India"/>
  </r>
  <r>
    <d v="2026-08-19T00:00:00"/>
    <s v="HCP Plastene Bulkpack Limited - Sales"/>
    <s v="Sales"/>
    <n v="514"/>
    <s v="Sales - Within State  Manufactured Goods"/>
    <s v="PPL/D/514"/>
    <d v="2026-08-19T00:00:00"/>
    <s v="FG"/>
    <s v="FIBC Bags"/>
    <x v="3"/>
    <s v="FIBC"/>
    <s v="FIBC Bags With UV Without Liner"/>
    <n v="17921"/>
    <n v="5123613.9000000004"/>
    <s v="26.19227/241115050340 -M"/>
    <n v="6040740.79"/>
    <n v="9"/>
    <n v="461125.25"/>
    <n v="9"/>
    <n v="461125.25"/>
    <n v="0"/>
    <n v="0"/>
    <n v="0"/>
    <n v="922250.5"/>
    <n v="0"/>
    <s v="24AABCG1282C2Z6"/>
    <s v="KGS"/>
    <n v="39232999"/>
    <s v="Rs."/>
    <n v="1"/>
    <n v="17921"/>
    <s v="India"/>
  </r>
  <r>
    <d v="2026-08-19T00:00:00"/>
    <s v="HCP Plastene Bulkpack Limited - Sales"/>
    <s v="Sales"/>
    <n v="520"/>
    <s v="Sales - Within State  Manufactured Goods"/>
    <s v="PPL/D/520"/>
    <d v="2026-08-19T00:00:00"/>
    <s v="FG"/>
    <s v="FIBC Bags"/>
    <x v="3"/>
    <s v="FIBC"/>
    <s v="FIBC Bags With UV Without Liner"/>
    <n v="19619"/>
    <n v="3871613.46"/>
    <s v="KRZY-96/KK0019 SUGAR KSC_x000d__x000a_CIRCULAR"/>
    <n v="4564632.2699999996"/>
    <n v="9"/>
    <n v="348445.21"/>
    <n v="9"/>
    <n v="348445.21"/>
    <n v="0"/>
    <n v="0"/>
    <n v="0"/>
    <n v="696890.42"/>
    <n v="0"/>
    <s v="24AABCG1282C2Z6"/>
    <s v="KGS"/>
    <n v="39232999"/>
    <s v="Rs."/>
    <n v="1"/>
    <n v="19619"/>
    <s v="India"/>
  </r>
  <r>
    <d v="2026-08-19T00:00:00"/>
    <s v="Hcp Plastene Bulkpack Ltd (Unit Iv) - Sales"/>
    <s v="Sales"/>
    <n v="517"/>
    <s v="Sales - Within State  Manufactured Goods"/>
    <s v="PPL/D/517"/>
    <d v="2026-08-19T00:00:00"/>
    <s v="SF"/>
    <s v="PP/PE Fabric"/>
    <x v="4"/>
    <s v="PP WOVEN FABRIC"/>
    <s v="PP UL Fabric With UV"/>
    <n v="947.3"/>
    <n v="126540.33"/>
    <s v="PP UL Fabric With UV mw"/>
    <n v="168119.89"/>
    <n v="9"/>
    <n v="11388.63"/>
    <n v="9"/>
    <n v="11388.63"/>
    <n v="0"/>
    <n v="0"/>
    <n v="0"/>
    <n v="22777.26"/>
    <n v="0"/>
    <s v="24AABCG1282C2Z6"/>
    <s v="KGS"/>
    <n v="39269080"/>
    <s v="Rs."/>
    <n v="1"/>
    <n v="947.3"/>
    <s v="India"/>
  </r>
  <r>
    <d v="2026-08-19T00:00:00"/>
    <s v="Hcp Plastene Bulkpack Ltd (Unit Iv) - Sales"/>
    <s v="Sales"/>
    <n v="517"/>
    <s v="Sales - Within State  Manufactured Goods"/>
    <s v="PPL/D/517"/>
    <d v="2026-08-19T00:00:00"/>
    <s v="SF"/>
    <s v="Films All (SF)"/>
    <x v="5"/>
    <s v="LLDPE FILM"/>
    <s v="LDPE/LLDPE Film"/>
    <n v="65"/>
    <n v="16055"/>
    <s v="LDPE/LLDPE Film"/>
    <n v="0"/>
    <n v="9"/>
    <n v="1444.95"/>
    <n v="9"/>
    <n v="1444.95"/>
    <n v="0"/>
    <n v="0"/>
    <n v="0"/>
    <n v="2889.9"/>
    <n v="0"/>
    <s v="24AABCG1282C2Z6"/>
    <s v="KGS"/>
    <n v="39201019"/>
    <s v="Rs."/>
    <n v="1"/>
    <n v="65"/>
    <s v="India"/>
  </r>
  <r>
    <d v="2026-08-19T00:00:00"/>
    <s v="Plastene India ltd - Unit 1-Sales"/>
    <s v="Sales"/>
    <n v="515"/>
    <s v="Sales - Within State  Manufactured Goods"/>
    <s v="PPL/D/515"/>
    <d v="2026-08-19T00:00:00"/>
    <s v="SF"/>
    <s v="PP/PE Fabric"/>
    <x v="4"/>
    <s v="PP WOVEN FABRIC"/>
    <s v="PP UL Fabric With UV"/>
    <n v="1507"/>
    <n v="204319.06"/>
    <s v="PP UL Fabric With UV"/>
    <n v="240892.18"/>
    <n v="9"/>
    <n v="18388.72"/>
    <n v="9"/>
    <n v="18388.72"/>
    <n v="0"/>
    <n v="0"/>
    <n v="0"/>
    <n v="36777.440000000002"/>
    <n v="0"/>
    <s v="24AAACO3087C1ZT"/>
    <s v="KGS"/>
    <n v="39269080"/>
    <s v="Rs."/>
    <n v="1"/>
    <n v="1507"/>
    <s v="India"/>
  </r>
  <r>
    <d v="2026-08-19T00:00:00"/>
    <s v="Plastene India ltd - Unit 1-Sales"/>
    <s v="Sales"/>
    <n v="519"/>
    <s v="Sales - Within State  Manufactured Goods"/>
    <s v="PPL/D/519"/>
    <d v="2026-08-19T00:00:00"/>
    <s v="FG"/>
    <s v="FIBC Bags"/>
    <x v="3"/>
    <s v="FIBC"/>
    <s v="FIBC Bags With UV Without Liner"/>
    <n v="3596"/>
    <n v="700800"/>
    <s v="1130017017 /PDBJMBLHS63050109"/>
    <n v="826243.2"/>
    <n v="9"/>
    <n v="63072"/>
    <n v="9"/>
    <n v="63072"/>
    <n v="0"/>
    <n v="0"/>
    <n v="0"/>
    <n v="126144"/>
    <n v="0"/>
    <s v="24AAACO3087C1ZT"/>
    <s v="KGS"/>
    <n v="39232999"/>
    <s v="Rs."/>
    <n v="1"/>
    <n v="3596"/>
    <s v="India"/>
  </r>
  <r>
    <d v="2026-08-20T00:00:00"/>
    <s v="HCP Plastene Bulkpack Limited - Sales"/>
    <s v="Sales"/>
    <n v="523"/>
    <s v="Sales - Within State  Manufactured Goods"/>
    <s v="PPL/D/523"/>
    <d v="2026-08-20T00:00:00"/>
    <s v="FG"/>
    <s v="FIBC Bags"/>
    <x v="3"/>
    <s v="FIBC"/>
    <s v="FIBC Bags With UV Without Liner"/>
    <n v="18051"/>
    <n v="5121249.21"/>
    <s v="26.19228/241115050340 -M"/>
    <n v="6037952.8200000003"/>
    <n v="9"/>
    <n v="460912.43"/>
    <n v="9"/>
    <n v="460912.43"/>
    <n v="0"/>
    <n v="0"/>
    <n v="0"/>
    <n v="921824.86"/>
    <n v="0"/>
    <s v="24AABCG1282C2Z6"/>
    <s v="KGS"/>
    <n v="39232999"/>
    <s v="Rs."/>
    <n v="1"/>
    <n v="18051"/>
    <s v="India"/>
  </r>
  <r>
    <d v="2026-08-20T00:00:00"/>
    <s v="Plastene India ltd - Unit 1-Sales"/>
    <s v="Sales"/>
    <n v="521"/>
    <s v="Sales - Within State  Manufactured Goods"/>
    <s v="PPL/D/521"/>
    <d v="2026-08-20T00:00:00"/>
    <s v="SF"/>
    <s v="Yarn All"/>
    <x v="13"/>
    <s v="Yarn"/>
    <s v="Polyester Yarn Twisted"/>
    <n v="252.6"/>
    <n v="44487.91"/>
    <s v="Polyester Yarn Twisted"/>
    <n v="46667.82"/>
    <n v="2.5"/>
    <n v="1112.2"/>
    <n v="2.5"/>
    <n v="1112.2"/>
    <n v="0"/>
    <n v="0"/>
    <n v="0"/>
    <n v="2224.4"/>
    <n v="0"/>
    <s v="24AAACO3087C1ZT"/>
    <s v="KGS"/>
    <n v="54026930"/>
    <s v="Rs."/>
    <n v="1"/>
    <n v="252.6"/>
    <s v="India"/>
  </r>
  <r>
    <d v="2026-08-20T00:00:00"/>
    <s v="Plastene India ltd - Unit 1-Sales"/>
    <s v="Sales"/>
    <n v="522"/>
    <s v="Sales - Within State  Manufactured Goods"/>
    <s v="PPL/D/522"/>
    <d v="2026-08-20T00:00:00"/>
    <s v="FG"/>
    <s v="FIBC Bags"/>
    <x v="3"/>
    <s v="FIBC"/>
    <s v="FIBC Bags With UV With Liner"/>
    <n v="1981"/>
    <n v="442396.92"/>
    <s v="4500205191/IQE-4"/>
    <n v="5498225.0899999999"/>
    <n v="9"/>
    <n v="39815.72"/>
    <n v="9"/>
    <n v="39815.72"/>
    <n v="0"/>
    <n v="0"/>
    <n v="0"/>
    <n v="79631.44"/>
    <n v="0"/>
    <s v="24AAACO3087C1ZT"/>
    <s v="KGS"/>
    <n v="39232999"/>
    <s v="Rs."/>
    <n v="1"/>
    <n v="1981"/>
    <s v="India"/>
  </r>
  <r>
    <d v="2026-08-20T00:00:00"/>
    <s v="Plastene India ltd - Unit 1-Sales"/>
    <s v="Sales"/>
    <n v="522"/>
    <s v="Sales - Within State  Manufactured Goods"/>
    <s v="PPL/D/522"/>
    <d v="2026-08-20T00:00:00"/>
    <s v="FG"/>
    <s v="FIBC Bags"/>
    <x v="3"/>
    <s v="FIBC"/>
    <s v="FIBC Bags With UV With Liner"/>
    <n v="1987"/>
    <n v="449399.79"/>
    <s v="4500205191/IQE-5"/>
    <n v="0"/>
    <n v="9"/>
    <n v="40445.980000000003"/>
    <n v="9"/>
    <n v="40445.980000000003"/>
    <n v="0"/>
    <n v="0"/>
    <n v="0"/>
    <n v="80891.960000000006"/>
    <n v="0"/>
    <s v="24AAACO3087C1ZT"/>
    <s v="KGS"/>
    <n v="39232999"/>
    <s v="Rs."/>
    <n v="1"/>
    <n v="1987"/>
    <s v="India"/>
  </r>
  <r>
    <d v="2026-08-20T00:00:00"/>
    <s v="Plastene India ltd - Unit 1-Sales"/>
    <s v="Sales"/>
    <n v="522"/>
    <s v="Sales - Within State  Manufactured Goods"/>
    <s v="PPL/D/522"/>
    <d v="2026-08-20T00:00:00"/>
    <s v="FG"/>
    <s v="FIBC Bags"/>
    <x v="3"/>
    <s v="FIBC"/>
    <s v="FIBC Bags With UV With Liner"/>
    <n v="415"/>
    <n v="109883.7"/>
    <s v="4500203737 /ILA-3"/>
    <n v="0"/>
    <n v="9"/>
    <n v="9889.5300000000007"/>
    <n v="9"/>
    <n v="9889.5300000000007"/>
    <n v="0"/>
    <n v="0"/>
    <n v="0"/>
    <n v="19779.060000000001"/>
    <n v="0"/>
    <s v="24AAACO3087C1ZT"/>
    <s v="KGS"/>
    <n v="39232999"/>
    <s v="Rs."/>
    <n v="1"/>
    <n v="415"/>
    <s v="India"/>
  </r>
  <r>
    <d v="2026-08-20T00:00:00"/>
    <s v="Plastene India ltd - Unit 1-Sales"/>
    <s v="Sales"/>
    <n v="522"/>
    <s v="Sales - Within State  Manufactured Goods"/>
    <s v="PPL/D/522"/>
    <d v="2026-08-20T00:00:00"/>
    <s v="FG"/>
    <s v="FIBC Bags"/>
    <x v="3"/>
    <s v="FIBC"/>
    <s v="FIBC Bags With UV Without Liner"/>
    <n v="410"/>
    <n v="100577.1"/>
    <s v="4500203737 /ILA-2"/>
    <n v="0"/>
    <n v="9"/>
    <n v="9051.94"/>
    <n v="9"/>
    <n v="9051.94"/>
    <n v="0"/>
    <n v="0"/>
    <n v="0"/>
    <n v="18103.88"/>
    <n v="0"/>
    <s v="24AAACO3087C1ZT"/>
    <s v="KGS"/>
    <n v="39232999"/>
    <s v="Rs."/>
    <n v="1"/>
    <n v="410"/>
    <s v="India"/>
  </r>
  <r>
    <d v="2026-08-20T00:00:00"/>
    <s v="Plastene India ltd - Unit 1-Sales"/>
    <s v="Sales"/>
    <n v="522"/>
    <s v="Sales - Within State  Manufactured Goods"/>
    <s v="PPL/D/522"/>
    <d v="2026-08-20T00:00:00"/>
    <s v="FG"/>
    <s v="FIBC Bags"/>
    <x v="3"/>
    <s v="FIBC"/>
    <s v="FIBC Bags With UV Without Liner"/>
    <n v="845"/>
    <n v="204185.8"/>
    <s v="4500202507/SAS-4 (BLUE_x000d__x000a_PRINTING)"/>
    <n v="0"/>
    <n v="9"/>
    <n v="18376.72"/>
    <n v="9"/>
    <n v="18376.72"/>
    <n v="0"/>
    <n v="0"/>
    <n v="0"/>
    <n v="36753.440000000002"/>
    <n v="0"/>
    <s v="24AAACO3087C1ZT"/>
    <s v="KGS"/>
    <n v="39232999"/>
    <s v="Rs."/>
    <n v="1"/>
    <n v="845"/>
    <s v="India"/>
  </r>
  <r>
    <d v="2026-08-20T00:00:00"/>
    <s v="Plastene India ltd - Unit 1-Sales"/>
    <s v="Sales"/>
    <n v="522"/>
    <s v="Sales - Within State  Manufactured Goods"/>
    <s v="PPL/D/522"/>
    <d v="2026-08-20T00:00:00"/>
    <s v="FG"/>
    <s v="FIBC Bags"/>
    <x v="3"/>
    <s v="FIBC"/>
    <s v="FIBC Bags With UV Without Liner"/>
    <n v="5478"/>
    <n v="1327100.28"/>
    <s v="4500202507/SAS-4 (GREEN_x000d__x000a_PRINTING)"/>
    <n v="0"/>
    <n v="9"/>
    <n v="119439.03"/>
    <n v="9"/>
    <n v="119439.03"/>
    <n v="0"/>
    <n v="0"/>
    <n v="0"/>
    <n v="238878.06"/>
    <n v="0"/>
    <s v="24AAACO3087C1ZT"/>
    <s v="KGS"/>
    <n v="39232999"/>
    <s v="Rs."/>
    <n v="1"/>
    <n v="5478"/>
    <s v="India"/>
  </r>
  <r>
    <d v="2026-08-20T00:00:00"/>
    <s v="Plastene India ltd - Unit 1-Sales"/>
    <s v="Sales"/>
    <n v="522"/>
    <s v="Sales - Within State  Manufactured Goods"/>
    <s v="PPL/D/522"/>
    <d v="2026-08-20T00:00:00"/>
    <s v="FG"/>
    <s v="FIBC Bags"/>
    <x v="3"/>
    <s v="FIBC"/>
    <s v="FIBC Bags With UV Without Liner"/>
    <n v="4293"/>
    <n v="1021390.56"/>
    <s v="4500202507/SAS-4 (GREY_x000d__x000a_PRINTING)"/>
    <n v="0"/>
    <n v="9"/>
    <n v="91925.15"/>
    <n v="9"/>
    <n v="91925.15"/>
    <n v="0"/>
    <n v="0"/>
    <n v="0"/>
    <n v="183850.3"/>
    <n v="0"/>
    <s v="24AAACO3087C1ZT"/>
    <s v="KGS"/>
    <n v="39232999"/>
    <s v="Rs."/>
    <n v="1"/>
    <n v="4293"/>
    <s v="India"/>
  </r>
  <r>
    <d v="2026-08-20T00:00:00"/>
    <s v="Plastene India ltd - Unit 1-Sales"/>
    <s v="Sales"/>
    <n v="522"/>
    <s v="Sales - Within State  Manufactured Goods"/>
    <s v="PPL/D/522"/>
    <d v="2026-08-20T00:00:00"/>
    <s v="FG"/>
    <s v="FIBC Bags"/>
    <x v="3"/>
    <s v="FIBC"/>
    <s v="FIBC Bags With UV Without Liner"/>
    <n v="2489"/>
    <n v="542104.19999999995"/>
    <s v="4500204647/IR-20"/>
    <n v="0"/>
    <n v="9"/>
    <n v="48789.38"/>
    <n v="9"/>
    <n v="48789.38"/>
    <n v="0"/>
    <n v="0"/>
    <n v="0"/>
    <n v="97578.76"/>
    <n v="0"/>
    <s v="24AAACO3087C1ZT"/>
    <s v="KGS"/>
    <n v="39232999"/>
    <s v="Rs."/>
    <n v="1"/>
    <n v="2489"/>
    <s v="India"/>
  </r>
  <r>
    <d v="2026-08-20T00:00:00"/>
    <s v="Plastene India ltd - Unit 1-Sales"/>
    <s v="Sales"/>
    <n v="522"/>
    <s v="Sales - Within State  Manufactured Goods"/>
    <s v="PPL/D/522"/>
    <d v="2026-08-20T00:00:00"/>
    <s v="FG"/>
    <s v="FIBC Bags"/>
    <x v="3"/>
    <s v="FIBC"/>
    <s v="FIBC Bags With UV Without Liner"/>
    <n v="2029"/>
    <n v="466426.52"/>
    <s v="4500205191/IQE-6"/>
    <n v="0"/>
    <n v="9"/>
    <n v="41978.39"/>
    <n v="9"/>
    <n v="41978.39"/>
    <n v="0"/>
    <n v="0"/>
    <n v="0"/>
    <n v="83956.78"/>
    <n v="0"/>
    <s v="24AAACO3087C1ZT"/>
    <s v="KGS"/>
    <n v="39232999"/>
    <s v="Rs."/>
    <n v="1"/>
    <n v="2029"/>
    <s v="India"/>
  </r>
  <r>
    <d v="2026-08-20T00:00:00"/>
    <s v="Snf Flopam India Pvt Ltd"/>
    <s v="Sales"/>
    <n v="524"/>
    <s v="Sales - Within State  Manufactured Goods"/>
    <s v="PPL/D/524"/>
    <d v="2026-08-20T00:00:00"/>
    <s v="FG"/>
    <s v="FIBC Bags"/>
    <x v="3"/>
    <s v="FIBC"/>
    <s v="FIBC Bags With UV With Liner"/>
    <n v="9536"/>
    <n v="2036000"/>
    <s v="PO00012244 /B00006"/>
    <n v="2400444"/>
    <n v="9"/>
    <n v="183240"/>
    <n v="9"/>
    <n v="183240"/>
    <n v="0"/>
    <n v="0"/>
    <n v="0"/>
    <n v="366480"/>
    <n v="0"/>
    <s v="24AAXCS4186P1Z9"/>
    <s v="KGS"/>
    <n v="39232999"/>
    <s v="Rs."/>
    <n v="1"/>
    <n v="9536"/>
    <s v="India"/>
  </r>
  <r>
    <d v="2026-08-21T00:00:00"/>
    <s v="Commercial Bag Company"/>
    <s v="Export Sales"/>
    <s v="PPL/TP/025"/>
    <s v="Sales - Export - Third Party"/>
    <s v="PPL/TP/025"/>
    <d v="2026-08-21T00:00:00"/>
    <s v="FG"/>
    <s v="FIBC Bags"/>
    <x v="6"/>
    <s v="FIBC"/>
    <s v="FIBC Bags With UV Without Liner"/>
    <n v="17831"/>
    <n v="5633395.2675924003"/>
    <s v="PP WOVEN BIG BAGS (FIBC)"/>
    <n v="5633395.2699999996"/>
    <n v="0"/>
    <n v="0"/>
    <n v="0"/>
    <n v="0"/>
    <n v="0"/>
    <n v="0"/>
    <n v="0"/>
    <n v="0"/>
    <n v="0"/>
    <s v="N.A."/>
    <s v="KGS"/>
    <n v="63053200"/>
    <s v="$"/>
    <n v="94.8"/>
    <n v="17831"/>
    <s v="USA"/>
  </r>
  <r>
    <d v="2026-08-21T00:00:00"/>
    <s v="Plastene India ltd - Unit 1-Sales"/>
    <s v="Sales"/>
    <n v="525"/>
    <s v="Sales - Within State  Manufactured Goods"/>
    <s v="PPL/D/525"/>
    <d v="2026-08-21T00:00:00"/>
    <s v="SF"/>
    <s v="Liners"/>
    <x v="15"/>
    <s v="LDPE/LLDPE Bags"/>
    <s v="LDPE/LLDPE Bags/Liner"/>
    <n v="162"/>
    <n v="35764.74"/>
    <s v="LDPE/LLDPE Bags/Liner"/>
    <n v="173934.87"/>
    <n v="9"/>
    <n v="3218.83"/>
    <n v="9"/>
    <n v="3218.83"/>
    <n v="0"/>
    <n v="0"/>
    <n v="0"/>
    <n v="6437.66"/>
    <n v="0"/>
    <s v="24AAACO3087C1ZT"/>
    <s v="KGS"/>
    <n v="392310"/>
    <s v="Rs."/>
    <n v="1"/>
    <n v="162"/>
    <s v="India"/>
  </r>
  <r>
    <d v="2026-08-21T00:00:00"/>
    <s v="Plastene India ltd - Unit 1-Sales"/>
    <s v="Sales"/>
    <n v="525"/>
    <s v="Sales - Within State  Manufactured Goods"/>
    <s v="PPL/D/525"/>
    <d v="2026-08-21T00:00:00"/>
    <s v="FG"/>
    <s v="FIBC WIP"/>
    <x v="7"/>
    <s v="PP WOVEN FABRIC"/>
    <s v="FIBC WIP"/>
    <n v="984"/>
    <n v="111762.72"/>
    <s v="PP UL Fabric CutPcs Without UV"/>
    <n v="0"/>
    <n v="9"/>
    <n v="10058.64"/>
    <n v="9"/>
    <n v="10058.64"/>
    <n v="0"/>
    <n v="0"/>
    <n v="0"/>
    <n v="20117.28"/>
    <n v="0"/>
    <s v="24AAACO3087C1ZT"/>
    <s v="KGS"/>
    <n v="39269080"/>
    <s v="Rs."/>
    <n v="1"/>
    <n v="984"/>
    <s v="India"/>
  </r>
  <r>
    <d v="2026-08-21T00:00:00"/>
    <s v="Plastene India ltd - Unit 1-Sales"/>
    <s v="Sales"/>
    <n v="526"/>
    <s v="Sales - Within State  Manufactured Goods"/>
    <s v="PPL/D/526"/>
    <d v="2026-08-21T00:00:00"/>
    <s v="SF"/>
    <s v="PP/PE Fabric"/>
    <x v="4"/>
    <s v="PP WOVEN FABRIC"/>
    <s v="PP UL Fabric With UV"/>
    <n v="188"/>
    <n v="25113.040000000001"/>
    <s v="PP UL Fabric With UV"/>
    <n v="29608.27"/>
    <n v="9"/>
    <n v="2260.17"/>
    <n v="9"/>
    <n v="2260.17"/>
    <n v="0"/>
    <n v="0"/>
    <n v="0"/>
    <n v="4520.34"/>
    <n v="0"/>
    <s v="24AAACO3087C1ZT"/>
    <s v="KGS"/>
    <n v="39269080"/>
    <s v="Rs."/>
    <n v="1"/>
    <n v="188"/>
    <s v="India"/>
  </r>
  <r>
    <d v="2026-08-21T00:00:00"/>
    <s v="Plastene India ltd - Unit 1-Sales"/>
    <s v="Sales"/>
    <n v="528"/>
    <s v="Sales - Within State  Manufactured Goods"/>
    <s v="PPL/D/528"/>
    <d v="2026-08-21T00:00:00"/>
    <s v="FG"/>
    <s v="FIBC Bags"/>
    <x v="3"/>
    <s v="FIBC"/>
    <s v="FIBC Bags With UV Without Liner"/>
    <n v="898"/>
    <n v="204519.5"/>
    <s v="HPC-PO004047-100100100 -1"/>
    <n v="241128.5"/>
    <n v="9"/>
    <n v="18406.759999999998"/>
    <n v="9"/>
    <n v="18406.759999999998"/>
    <n v="0"/>
    <n v="0"/>
    <n v="0"/>
    <n v="36813.519999999997"/>
    <n v="0"/>
    <s v="24AAACO3087C1ZT"/>
    <s v="KGS"/>
    <n v="39232999"/>
    <s v="Rs."/>
    <n v="1"/>
    <n v="898"/>
    <s v="India"/>
  </r>
  <r>
    <d v="2026-08-22T00:00:00"/>
    <s v="Oswal Extrusion Ltd- KASEZ-Sales"/>
    <s v="SALES (FOREX)"/>
    <s v="PPL/E/80/26-27"/>
    <s v="Sales - Kasez - Mfg - U/B"/>
    <s v="PPL/E/80/26-27"/>
    <d v="2026-08-22T00:00:00"/>
    <s v="SF"/>
    <s v="Yarn All"/>
    <x v="13"/>
    <s v="Yarn"/>
    <s v="Polyester Yarn Twisted"/>
    <n v="1161.1300000000001"/>
    <n v="205520.01"/>
    <s v="Polyester Yarn Twisted"/>
    <n v="1373852.22"/>
    <m/>
    <n v="0"/>
    <m/>
    <n v="0"/>
    <m/>
    <n v="0"/>
    <n v="0"/>
    <n v="0"/>
    <n v="0"/>
    <s v="24AAACO7290H4ZB"/>
    <s v="KGS"/>
    <n v="54026930"/>
    <s v="Rs."/>
    <n v="1"/>
    <n v="1161.1300000000001"/>
    <s v="India"/>
  </r>
  <r>
    <d v="2026-08-22T00:00:00"/>
    <s v="Oswal Extrusion Ltd- KASEZ-Sales"/>
    <s v="SALES (FOREX)"/>
    <s v="PPL/E/80/26-27"/>
    <s v="Sales - Kasez - Mfg - U/B"/>
    <s v="PPL/E/80/26-27"/>
    <d v="2026-08-22T00:00:00"/>
    <s v="SF"/>
    <s v="Yarn All"/>
    <x v="13"/>
    <s v="FILLER CORD"/>
    <s v="Filler Cord"/>
    <n v="6727.28"/>
    <n v="1163819.44"/>
    <s v="Filler Cord"/>
    <n v="0"/>
    <m/>
    <n v="0"/>
    <m/>
    <n v="0"/>
    <m/>
    <n v="0"/>
    <n v="0"/>
    <n v="0"/>
    <n v="0"/>
    <s v="24AAACO7290H4ZB"/>
    <s v="KGS"/>
    <n v="540263"/>
    <s v="Rs."/>
    <n v="1"/>
    <n v="6727.28"/>
    <s v="India"/>
  </r>
  <r>
    <d v="2026-08-22T00:00:00"/>
    <s v="Oswal Extrusion Ltd- KASEZ-Sales"/>
    <s v="SALES (FOREX)"/>
    <s v="PPL/E/80/26-27"/>
    <s v="Sales - Kasez - Mfg - U/B"/>
    <s v="PPL/E/80/26-27"/>
    <d v="2026-08-22T00:00:00"/>
    <s v="SF"/>
    <s v="Liners"/>
    <x v="15"/>
    <s v="LDPE/LLDPE Bags"/>
    <s v="PE Labels (Kgs)"/>
    <n v="23"/>
    <n v="5888"/>
    <s v="PE Labels (Kgs)"/>
    <n v="0"/>
    <m/>
    <n v="0"/>
    <m/>
    <n v="0"/>
    <m/>
    <n v="0"/>
    <n v="0"/>
    <n v="0"/>
    <n v="0"/>
    <s v="24AAACO7290H4ZB"/>
    <s v="KGS"/>
    <n v="392310"/>
    <s v="Rs."/>
    <n v="1"/>
    <n v="23"/>
    <s v="India"/>
  </r>
  <r>
    <d v="2026-08-22T00:00:00"/>
    <s v="Plastene India ltd - Unit 1-Sales"/>
    <s v="Sales"/>
    <n v="530"/>
    <s v="Sales - Within State - Traded Goods"/>
    <s v="PPL/D/530"/>
    <d v="2026-08-22T00:00:00"/>
    <s v="SF"/>
    <s v="RP Granules"/>
    <x v="16"/>
    <s v="REPROCESSED GRANULE"/>
    <s v="RP Granules"/>
    <n v="2500"/>
    <n v="165000"/>
    <s v="RP Granules-Black"/>
    <n v="194535"/>
    <n v="9"/>
    <n v="14850"/>
    <n v="9"/>
    <n v="14850"/>
    <n v="0"/>
    <n v="0"/>
    <n v="0"/>
    <n v="29700"/>
    <n v="0"/>
    <s v="24AAACO3087C1ZT"/>
    <s v="KGS"/>
    <n v="39029000"/>
    <s v="Rs."/>
    <n v="1"/>
    <n v="2500"/>
    <s v="India"/>
  </r>
  <r>
    <d v="2026-08-24T00:00:00"/>
    <s v="HCP Plastene Bulkpack Limited - Sales"/>
    <s v="Sales"/>
    <n v="532"/>
    <s v="Sales - Within State  Manufactured Goods"/>
    <s v="PPL/D/532"/>
    <d v="2026-08-24T00:00:00"/>
    <s v="FG"/>
    <s v="FIBC Bags"/>
    <x v="3"/>
    <s v="FIBC"/>
    <s v="FIBC Bags With UV Without Liner"/>
    <n v="1705"/>
    <n v="329576.5"/>
    <s v="2026001364/6882"/>
    <n v="4466882.6900000004"/>
    <n v="9"/>
    <n v="29661.88"/>
    <n v="9"/>
    <n v="29661.88"/>
    <n v="0"/>
    <n v="0"/>
    <n v="0"/>
    <n v="59323.76"/>
    <n v="0"/>
    <s v="24AABCG1282C2Z6"/>
    <s v="KGS"/>
    <n v="39232999"/>
    <s v="Rs."/>
    <n v="1"/>
    <n v="1705"/>
    <s v="India"/>
  </r>
  <r>
    <d v="2026-08-24T00:00:00"/>
    <s v="HCP Plastene Bulkpack Limited - Sales"/>
    <s v="Sales"/>
    <n v="532"/>
    <s v="Sales - Within State  Manufactured Goods"/>
    <s v="PPL/D/532"/>
    <d v="2026-08-24T00:00:00"/>
    <s v="FG"/>
    <s v="FIBC Bags"/>
    <x v="3"/>
    <s v="FIBC"/>
    <s v="FIBC Bags With UV Without Liner"/>
    <n v="6617"/>
    <n v="1246179.6100000001"/>
    <s v="2026001323/5477"/>
    <n v="0"/>
    <n v="9"/>
    <n v="112156.16"/>
    <n v="9"/>
    <n v="112156.16"/>
    <n v="0"/>
    <n v="0"/>
    <n v="0"/>
    <n v="224312.32000000001"/>
    <n v="0"/>
    <s v="24AABCG1282C2Z6"/>
    <s v="KGS"/>
    <n v="39232999"/>
    <s v="Rs."/>
    <n v="1"/>
    <n v="6617"/>
    <s v="India"/>
  </r>
  <r>
    <d v="2026-08-24T00:00:00"/>
    <s v="HCP Plastene Bulkpack Limited - Sales"/>
    <s v="Sales"/>
    <n v="532"/>
    <s v="Sales - Within State  Manufactured Goods"/>
    <s v="PPL/D/532"/>
    <d v="2026-08-24T00:00:00"/>
    <s v="FG"/>
    <s v="FIBC Bags"/>
    <x v="3"/>
    <s v="FIBC"/>
    <s v="FIBC Bags With UV Without Liner"/>
    <n v="1004"/>
    <n v="198661.48"/>
    <s v="2026001329/5235"/>
    <n v="0"/>
    <n v="9"/>
    <n v="17879.53"/>
    <n v="9"/>
    <n v="17879.53"/>
    <n v="0"/>
    <n v="0"/>
    <n v="0"/>
    <n v="35759.06"/>
    <n v="0"/>
    <s v="24AABCG1282C2Z6"/>
    <s v="KGS"/>
    <n v="39232999"/>
    <s v="Rs."/>
    <n v="1"/>
    <n v="1004"/>
    <s v="India"/>
  </r>
  <r>
    <d v="2026-08-24T00:00:00"/>
    <s v="HCP Plastene Bulkpack Limited - Sales"/>
    <s v="Sales"/>
    <n v="532"/>
    <s v="Sales - Within State  Manufactured Goods"/>
    <s v="PPL/D/532"/>
    <d v="2026-08-24T00:00:00"/>
    <s v="FG"/>
    <s v="FIBC Bags"/>
    <x v="3"/>
    <s v="FIBC"/>
    <s v="FIBC Bags With UV With Liner"/>
    <n v="2971"/>
    <n v="747147.08"/>
    <s v="2026001396/2026001820"/>
    <n v="0"/>
    <n v="9"/>
    <n v="67243.240000000005"/>
    <n v="9"/>
    <n v="67243.240000000005"/>
    <n v="0"/>
    <n v="0"/>
    <n v="0"/>
    <n v="134486.48000000001"/>
    <n v="0"/>
    <s v="24AABCG1282C2Z6"/>
    <s v="KGS"/>
    <n v="39232999"/>
    <s v="Rs."/>
    <n v="1"/>
    <n v="2971"/>
    <s v="India"/>
  </r>
  <r>
    <d v="2026-08-24T00:00:00"/>
    <s v="HCP Plastene Bulkpack Limited - Sales"/>
    <s v="Sales"/>
    <n v="532"/>
    <s v="Sales - Within State  Manufactured Goods"/>
    <s v="PPL/D/532"/>
    <d v="2026-08-24T00:00:00"/>
    <s v="FG"/>
    <s v="FIBC Bags"/>
    <x v="3"/>
    <s v="FIBC"/>
    <s v="FIBC Bags With UV Without Liner"/>
    <n v="1326"/>
    <n v="248611.74"/>
    <s v="2026001365/10907"/>
    <n v="0"/>
    <n v="9"/>
    <n v="22375.06"/>
    <n v="9"/>
    <n v="22375.06"/>
    <n v="0"/>
    <n v="0"/>
    <n v="0"/>
    <n v="44750.12"/>
    <n v="0"/>
    <s v="24AABCG1282C2Z6"/>
    <s v="KGS"/>
    <n v="39232999"/>
    <s v="Rs."/>
    <n v="1"/>
    <n v="1326"/>
    <s v="India"/>
  </r>
  <r>
    <d v="2026-08-24T00:00:00"/>
    <s v="HCP Plastene Bulkpack Limited - Sales"/>
    <s v="Sales"/>
    <n v="532"/>
    <s v="Sales - Within State  Manufactured Goods"/>
    <s v="PPL/D/532"/>
    <d v="2026-08-24T00:00:00"/>
    <s v="FG"/>
    <s v="FIBC Bags"/>
    <x v="3"/>
    <s v="FIBC"/>
    <s v="FIBC Bags With UV Without Liner"/>
    <n v="3692"/>
    <n v="684422.96"/>
    <s v="2026001366/2019000513"/>
    <n v="0"/>
    <n v="9"/>
    <n v="61598.07"/>
    <n v="9"/>
    <n v="61598.07"/>
    <n v="0"/>
    <n v="0"/>
    <n v="0"/>
    <n v="123196.14"/>
    <n v="0"/>
    <s v="24AABCG1282C2Z6"/>
    <s v="KGS"/>
    <n v="39232999"/>
    <s v="Rs."/>
    <n v="1"/>
    <n v="3692"/>
    <s v="India"/>
  </r>
  <r>
    <d v="2026-08-24T00:00:00"/>
    <s v="HCP Plastene Bulkpack Limited - Sales"/>
    <s v="Sales"/>
    <n v="532"/>
    <s v="Sales - Within State  Manufactured Goods"/>
    <s v="PPL/D/532"/>
    <d v="2026-08-24T00:00:00"/>
    <s v="FG"/>
    <s v="FIBC Bags"/>
    <x v="3"/>
    <s v="FIBC"/>
    <s v="FIBC Bags With UV Without Liner"/>
    <n v="1770"/>
    <n v="334105.2"/>
    <s v="2026001367/9936"/>
    <n v="0"/>
    <n v="9"/>
    <n v="30069.47"/>
    <n v="9"/>
    <n v="30069.47"/>
    <n v="0"/>
    <n v="0"/>
    <n v="0"/>
    <n v="60138.94"/>
    <n v="0"/>
    <s v="24AABCG1282C2Z6"/>
    <s v="KGS"/>
    <n v="39232999"/>
    <s v="Rs."/>
    <n v="1"/>
    <n v="1770"/>
    <s v="India"/>
  </r>
  <r>
    <d v="2026-08-24T00:00:00"/>
    <s v="Narayandas Murlidhar"/>
    <s v="Sales"/>
    <n v="533"/>
    <s v="Sales - Interstate - Manufactured Goods"/>
    <s v="PPL/D/533"/>
    <d v="2026-08-24T00:00:00"/>
    <s v="SF"/>
    <s v="PP/PE Fabric"/>
    <x v="8"/>
    <s v="PP Laminated Fabric"/>
    <s v="PP Lam Fabric With UV"/>
    <n v="14863"/>
    <n v="891780"/>
    <s v="BLACK GRADE - D"/>
    <n v="1051408.6200000001"/>
    <n v="0"/>
    <n v="0"/>
    <n v="0"/>
    <n v="0"/>
    <n v="18"/>
    <n v="160520.4"/>
    <n v="0"/>
    <n v="160520.4"/>
    <n v="0"/>
    <s v="08AAJFN2559G1Z2"/>
    <s v="KGS"/>
    <n v="39269080"/>
    <s v="Rs."/>
    <n v="1"/>
    <n v="14863"/>
    <s v="India"/>
  </r>
  <r>
    <d v="2026-08-24T00:00:00"/>
    <s v="Plastene India ltd - Unit 1-Sales"/>
    <s v="Sales"/>
    <n v="531"/>
    <s v="Sales - Within State - Traded Goods"/>
    <s v="PPL/D/531"/>
    <d v="2026-08-24T00:00:00"/>
    <s v="SF"/>
    <s v="Webbing"/>
    <x v="10"/>
    <s v="PP Webbing"/>
    <s v="Webbing"/>
    <n v="97.2"/>
    <n v="13469.98"/>
    <s v="Webbing-Blue"/>
    <n v="23597.67"/>
    <n v="9"/>
    <n v="1212.3"/>
    <n v="9"/>
    <n v="1212.3"/>
    <n v="0"/>
    <n v="0"/>
    <n v="0"/>
    <n v="2424.6"/>
    <n v="0"/>
    <s v="24AAACO3087C1ZT"/>
    <s v="KGS"/>
    <n v="39269080"/>
    <s v="Rs."/>
    <n v="1"/>
    <n v="97.2"/>
    <s v="India"/>
  </r>
  <r>
    <d v="2026-08-24T00:00:00"/>
    <s v="Plastene India ltd - Unit 1-Sales"/>
    <s v="Sales"/>
    <n v="531"/>
    <s v="Sales - Within State - Traded Goods"/>
    <s v="PPL/D/531"/>
    <d v="2026-08-24T00:00:00"/>
    <s v="SF"/>
    <s v="Films All (SF)"/>
    <x v="5"/>
    <s v="LLDPE FILM"/>
    <s v="LDPE/LLDPE Film"/>
    <n v="23.8"/>
    <n v="6545"/>
    <s v="LDPE/LLDPE Film"/>
    <n v="0"/>
    <n v="9"/>
    <n v="589.04999999999995"/>
    <n v="9"/>
    <n v="589.04999999999995"/>
    <n v="0"/>
    <n v="0"/>
    <n v="0"/>
    <n v="1178.0999999999999"/>
    <n v="0"/>
    <s v="24AAACO3087C1ZT"/>
    <s v="KGS"/>
    <n v="39201019"/>
    <s v="Rs."/>
    <n v="1"/>
    <n v="23.8"/>
    <s v="India"/>
  </r>
  <r>
    <d v="2026-08-25T00:00:00"/>
    <s v="Plastene India ltd - Unit 1-Sales"/>
    <s v="Sales"/>
    <n v="534"/>
    <s v="Sales - Within State  Manufactured Goods"/>
    <s v="PPL/D/534"/>
    <d v="2026-08-25T00:00:00"/>
    <s v="SF"/>
    <s v="PP/PE Fabric"/>
    <x v="4"/>
    <s v="PP WOVEN FABRIC"/>
    <s v="PP UL Fabric With UV"/>
    <n v="690"/>
    <n v="92170.2"/>
    <s v="PP UL Fabric With UV"/>
    <n v="189713.44"/>
    <n v="9"/>
    <n v="8295.32"/>
    <n v="9"/>
    <n v="8295.32"/>
    <n v="0"/>
    <n v="0"/>
    <n v="0"/>
    <n v="16590.64"/>
    <n v="0"/>
    <s v="24AAACO3087C1ZT"/>
    <s v="KGS"/>
    <n v="39269080"/>
    <s v="Rs."/>
    <n v="1"/>
    <n v="690"/>
    <s v="India"/>
  </r>
  <r>
    <d v="2026-08-25T00:00:00"/>
    <s v="Plastene India ltd - Unit 1-Sales"/>
    <s v="Sales"/>
    <n v="534"/>
    <s v="Sales - Within State  Manufactured Goods"/>
    <s v="PPL/D/534"/>
    <d v="2026-08-25T00:00:00"/>
    <s v="SF"/>
    <s v="PP/PE Fabric"/>
    <x v="4"/>
    <s v="PP WOVEN FABRIC"/>
    <s v="PP UL Fabric With UV"/>
    <n v="514.6"/>
    <n v="68740.27"/>
    <s v="PP UL Fabric With UV"/>
    <n v="0"/>
    <n v="9"/>
    <n v="6186.62"/>
    <n v="9"/>
    <n v="6186.62"/>
    <n v="0"/>
    <n v="0"/>
    <n v="0"/>
    <n v="12373.24"/>
    <n v="0"/>
    <s v="24AAACO3087C1ZT"/>
    <s v="KGS"/>
    <n v="39269080"/>
    <s v="Rs."/>
    <n v="1"/>
    <n v="514.6"/>
    <s v="India"/>
  </r>
  <r>
    <d v="2026-08-26T00:00:00"/>
    <s v="Commercial Bag Company"/>
    <s v="Export Sales"/>
    <s v="PPL/TP/026"/>
    <s v="Sales - Export - Third Party"/>
    <s v="PPL/TP/026"/>
    <d v="2026-08-26T00:00:00"/>
    <s v="FG"/>
    <s v="FIBC Bags"/>
    <x v="6"/>
    <s v="FIBC"/>
    <s v="FIBC Bags With UV Without Liner"/>
    <n v="19631"/>
    <n v="4723997.8391959202"/>
    <s v="PP WOVEN BIG BAGS (FIBC)"/>
    <n v="4723997.84"/>
    <n v="0"/>
    <n v="0"/>
    <n v="0"/>
    <n v="0"/>
    <n v="0"/>
    <n v="0"/>
    <n v="0"/>
    <n v="0"/>
    <n v="0"/>
    <s v="N.A."/>
    <s v="KGS"/>
    <n v="63053200"/>
    <s v="$"/>
    <n v="94.8"/>
    <n v="19631"/>
    <s v="USA"/>
  </r>
  <r>
    <d v="2026-08-26T00:00:00"/>
    <s v="Hcp Plastene Bulkpack Ltd (Unit Iv) - Sales"/>
    <s v="Sales"/>
    <n v="540"/>
    <s v="Sales - Within State  Manufactured Goods"/>
    <s v="PPL/D/540"/>
    <d v="2026-08-26T00:00:00"/>
    <s v="SF"/>
    <s v="PP/PE Fabric"/>
    <x v="8"/>
    <s v="PP Laminated Fabric"/>
    <s v="PP Lam Fabric With UV"/>
    <n v="346"/>
    <n v="47602.68"/>
    <s v="PP Lam Fabric With UV"/>
    <n v="89106.58"/>
    <n v="9"/>
    <n v="4284.24"/>
    <n v="9"/>
    <n v="4284.24"/>
    <n v="0"/>
    <n v="0"/>
    <n v="0"/>
    <n v="8568.48"/>
    <n v="0"/>
    <s v="24AABCG1282C2Z6"/>
    <s v="KGS"/>
    <n v="39269080"/>
    <s v="Rs."/>
    <n v="1"/>
    <n v="346"/>
    <s v="India"/>
  </r>
  <r>
    <d v="2026-08-26T00:00:00"/>
    <s v="Hcp Plastene Bulkpack Ltd (Unit Iv) - Sales"/>
    <s v="Sales"/>
    <n v="540"/>
    <s v="Sales - Within State  Manufactured Goods"/>
    <s v="PPL/D/540"/>
    <d v="2026-08-26T00:00:00"/>
    <s v="SF"/>
    <s v="PP/PE Fabric"/>
    <x v="8"/>
    <s v="PP Laminated Fabric"/>
    <s v="PP Lam Fabric With UV"/>
    <n v="199"/>
    <n v="27975.42"/>
    <s v="PP Lam Fabric With UV"/>
    <n v="0"/>
    <n v="9"/>
    <n v="2517.79"/>
    <n v="9"/>
    <n v="2517.79"/>
    <n v="0"/>
    <n v="0"/>
    <n v="0"/>
    <n v="5035.58"/>
    <n v="0"/>
    <s v="24AABCG1282C2Z6"/>
    <s v="KGS"/>
    <n v="39269080"/>
    <s v="Rs."/>
    <n v="1"/>
    <n v="199"/>
    <s v="India"/>
  </r>
  <r>
    <d v="2026-08-26T00:00:00"/>
    <s v="Hcp Plastene Bulkpack Ltd (Unit Iv) - Sales"/>
    <s v="Sales"/>
    <n v="541"/>
    <s v="Sales - Within State  Manufactured Goods"/>
    <s v="PPL/D/541"/>
    <d v="2026-08-26T00:00:00"/>
    <s v="SF"/>
    <s v="PP/PE Fabric"/>
    <x v="4"/>
    <s v="PP Laminated Fabric"/>
    <s v="PP Lam Fabric With UV"/>
    <n v="533.70000000000005"/>
    <n v="72359.05"/>
    <s v="PP Lam Fabric With UV"/>
    <n v="85311.31"/>
    <n v="9"/>
    <n v="6512.31"/>
    <n v="9"/>
    <n v="6512.31"/>
    <n v="0"/>
    <n v="0"/>
    <n v="0"/>
    <n v="13024.62"/>
    <n v="0"/>
    <s v="24AABCG1282C2Z6"/>
    <s v="KGS"/>
    <n v="39269080"/>
    <s v="Rs."/>
    <n v="1"/>
    <n v="533.70000000000005"/>
    <s v="India"/>
  </r>
  <r>
    <d v="2026-08-26T00:00:00"/>
    <s v="Hcp Plastene Bulkpack Ltd (Unit Iv) - Sales"/>
    <s v="Sales"/>
    <n v="543"/>
    <s v="Sales - Within State - Traded Goods"/>
    <s v="PPL/D/543"/>
    <d v="2026-08-26T00:00:00"/>
    <s v="SF"/>
    <s v="Films All (SF)"/>
    <x v="5"/>
    <s v="LLDPE FILM"/>
    <s v="LDPE/LLDPE Film"/>
    <n v="35.5"/>
    <n v="9230"/>
    <s v="LDPE/LLDPE Film"/>
    <n v="10882.17"/>
    <n v="9"/>
    <n v="830.7"/>
    <n v="9"/>
    <n v="830.7"/>
    <n v="0"/>
    <n v="0"/>
    <n v="0"/>
    <n v="1661.4"/>
    <n v="0"/>
    <s v="24AABCG1282C2Z6"/>
    <s v="KGS"/>
    <n v="39201019"/>
    <s v="Rs."/>
    <n v="1"/>
    <n v="35.5"/>
    <s v="India"/>
  </r>
  <r>
    <d v="2026-08-26T00:00:00"/>
    <s v="K.P. Woven Pvt Ltd - Unit 3 -Sales"/>
    <s v="Export Sales"/>
    <s v="PPL/E/81/26-27"/>
    <s v="Sales - Kasez - Trading - U/B"/>
    <s v="PPL/E/81/26-27"/>
    <d v="2026-08-26T00:00:00"/>
    <s v="FG"/>
    <s v="FIBC Bags"/>
    <x v="9"/>
    <s v="FIBC"/>
    <s v="FIBC Bags With UV With Liner"/>
    <n v="2486.9499999999998"/>
    <n v="460085.74999999994"/>
    <s v="06 BALES"/>
    <n v="459625.66"/>
    <n v="0"/>
    <n v="0"/>
    <n v="0"/>
    <n v="0"/>
    <n v="0"/>
    <n v="0"/>
    <n v="0"/>
    <n v="0"/>
    <n v="0"/>
    <s v="24AAECK6307M2ZE"/>
    <s v="KGS"/>
    <n v="63053200"/>
    <s v="$"/>
    <n v="92.5"/>
    <n v="2486.9499999999998"/>
    <s v="India"/>
  </r>
  <r>
    <d v="2026-08-26T00:00:00"/>
    <s v="K.P. Woven Pvt Ltd - Unit 3 -Sales"/>
    <s v="Export Sales"/>
    <s v="PPL/E/82/26-27"/>
    <s v="Sales - Kasez - Mfg - U/B"/>
    <s v="PPL/E/82/26-27"/>
    <d v="2026-08-26T00:00:00"/>
    <s v="FG"/>
    <s v="FIBC Bags"/>
    <x v="9"/>
    <s v="FIBC"/>
    <s v="FIBC Bags With UV With Liner"/>
    <n v="216.05"/>
    <n v="40747.03"/>
    <s v="01 BALE"/>
    <n v="238161.43"/>
    <n v="0"/>
    <n v="0"/>
    <n v="0"/>
    <n v="0"/>
    <n v="0"/>
    <n v="0"/>
    <n v="0"/>
    <n v="0"/>
    <n v="0"/>
    <s v="24AAECK6307M2ZE"/>
    <s v="KGS"/>
    <n v="63053200"/>
    <s v="$"/>
    <n v="94.3"/>
    <n v="216.05"/>
    <s v="India"/>
  </r>
  <r>
    <d v="2026-08-26T00:00:00"/>
    <s v="K.P. Woven Pvt Ltd - Unit 3 -Sales"/>
    <s v="Export Sales"/>
    <s v="PPL/E/82/26-27"/>
    <s v="Sales - Kasez - Mfg - U/B"/>
    <s v="PPL/E/82/26-27"/>
    <d v="2026-08-26T00:00:00"/>
    <s v="FG"/>
    <s v="FIBC Bags"/>
    <x v="9"/>
    <s v="FIBC"/>
    <s v="FIBC Bags With UV Without Liner"/>
    <n v="1048"/>
    <n v="197652.8"/>
    <s v="02 BALES"/>
    <n v="0"/>
    <n v="0"/>
    <n v="0"/>
    <n v="0"/>
    <n v="0"/>
    <n v="0"/>
    <n v="0"/>
    <n v="0"/>
    <n v="0"/>
    <n v="0"/>
    <s v="24AAECK6307M2ZE"/>
    <s v="KGS"/>
    <n v="63053200"/>
    <s v="$"/>
    <n v="94.3"/>
    <n v="1048"/>
    <s v="India"/>
  </r>
  <r>
    <d v="2026-08-26T00:00:00"/>
    <s v="Plastene India ltd - Unit 1-Sales"/>
    <s v="Sales"/>
    <n v="537"/>
    <s v="Sales - Within State  Manufactured Goods"/>
    <s v="PPL/D/537"/>
    <d v="2026-08-26T00:00:00"/>
    <s v="SF"/>
    <s v="PP/PE Fabric"/>
    <x v="4"/>
    <s v="PP WOVEN FABRIC"/>
    <s v="PP UL Fabric With UV"/>
    <n v="535"/>
    <n v="71465.3"/>
    <s v="PP UL Fabric With UV"/>
    <n v="84257.59"/>
    <n v="9"/>
    <n v="6431.88"/>
    <n v="9"/>
    <n v="6431.88"/>
    <n v="0"/>
    <n v="0"/>
    <n v="0"/>
    <n v="12863.76"/>
    <n v="0"/>
    <s v="24AAACO3087C1ZT"/>
    <s v="KGS"/>
    <n v="39269080"/>
    <s v="Rs."/>
    <n v="1"/>
    <n v="535"/>
    <s v="India"/>
  </r>
  <r>
    <d v="2026-08-26T00:00:00"/>
    <s v="Plastene India ltd - Unit 1-Sales"/>
    <s v="Sales"/>
    <n v="538"/>
    <s v="Sales - Within State  Manufactured Goods"/>
    <s v="PPL/D/538"/>
    <d v="2026-08-26T00:00:00"/>
    <s v="SF"/>
    <s v="Tape Stock"/>
    <x v="11"/>
    <s v="PP TAPE"/>
    <s v="PP Tapes"/>
    <n v="1775"/>
    <n v="219354.5"/>
    <s v="PP Tapes"/>
    <n v="258618.95"/>
    <n v="9"/>
    <n v="19741.900000000001"/>
    <n v="9"/>
    <n v="19741.900000000001"/>
    <n v="0"/>
    <n v="0"/>
    <n v="0"/>
    <n v="39483.800000000003"/>
    <n v="0"/>
    <s v="24AAACO3087C1ZT"/>
    <s v="KGS"/>
    <n v="39199090"/>
    <s v="Rs."/>
    <n v="1"/>
    <n v="1775"/>
    <s v="India"/>
  </r>
  <r>
    <d v="2026-08-26T00:00:00"/>
    <s v="Plastene India ltd - Unit 1-Sales"/>
    <s v="Sales"/>
    <n v="539"/>
    <s v="Sales - Within State  Manufactured Goods"/>
    <s v="PPL/D/539"/>
    <d v="2026-08-26T00:00:00"/>
    <s v="SF"/>
    <s v="Yarn All"/>
    <x v="13"/>
    <s v="Yarn"/>
    <s v="Polyester Yarn Twisted"/>
    <n v="228.9"/>
    <n v="40515.300000000003"/>
    <s v="Polyester Yarn Twisted"/>
    <n v="42500.54"/>
    <n v="2.5"/>
    <n v="1012.88"/>
    <n v="2.5"/>
    <n v="1012.88"/>
    <n v="0"/>
    <n v="0"/>
    <n v="0"/>
    <n v="2025.76"/>
    <n v="0"/>
    <s v="24AAACO3087C1ZT"/>
    <s v="KGS"/>
    <n v="54026930"/>
    <s v="Rs."/>
    <n v="1"/>
    <n v="228.9"/>
    <s v="India"/>
  </r>
  <r>
    <d v="2026-08-27T00:00:00"/>
    <s v="Commercial Bag Company"/>
    <s v="Export Sales"/>
    <s v="PPL/TP/027"/>
    <s v="Sales - Export - Third Party"/>
    <s v="PPL/TP/027"/>
    <d v="2026-08-27T00:00:00"/>
    <s v="FG"/>
    <s v="FIBC Bags"/>
    <x v="6"/>
    <s v="FIBC"/>
    <s v="FIBC Bags With UV Without Liner"/>
    <n v="19582"/>
    <n v="4723997.8080067197"/>
    <s v="PP WOVEN BIG BAGS (FIBC)"/>
    <n v="4723997.8099999996"/>
    <n v="0"/>
    <n v="0"/>
    <n v="0"/>
    <n v="0"/>
    <n v="0"/>
    <n v="0"/>
    <n v="0"/>
    <n v="0"/>
    <n v="0"/>
    <s v="N.A."/>
    <s v="KGS"/>
    <n v="63053200"/>
    <s v="$"/>
    <n v="94.8"/>
    <n v="19582"/>
    <s v="USA"/>
  </r>
  <r>
    <d v="2026-08-27T00:00:00"/>
    <s v="Commercial Bag Company"/>
    <s v="Export Sales"/>
    <s v="PPL/TP/028"/>
    <s v="Sales - Export - Third Party"/>
    <s v="PPL/TP/028"/>
    <d v="2026-08-27T00:00:00"/>
    <s v="FG"/>
    <s v="FIBC Bags"/>
    <x v="6"/>
    <s v="FIBC"/>
    <s v="FIBC Bags With UV Without Liner"/>
    <n v="19717"/>
    <n v="4912877.2872825358"/>
    <s v="PP WOVEN BIG BAGS (FIBC)"/>
    <n v="4912877.29"/>
    <n v="0"/>
    <n v="0"/>
    <n v="0"/>
    <n v="0"/>
    <n v="0"/>
    <n v="0"/>
    <n v="0"/>
    <n v="0"/>
    <n v="0"/>
    <s v="N.A."/>
    <s v="KGS"/>
    <n v="63053200"/>
    <s v="$"/>
    <n v="94.8"/>
    <n v="19717"/>
    <s v="USA"/>
  </r>
  <r>
    <d v="2026-08-27T00:00:00"/>
    <s v="Commercial Bag Company"/>
    <s v="Export Sales"/>
    <s v="PPL/TP/029"/>
    <s v="Sales - Export - Third Party"/>
    <s v="PPL/TP/029"/>
    <d v="2026-08-27T00:00:00"/>
    <s v="FG"/>
    <s v="FIBC Bags"/>
    <x v="6"/>
    <s v="FIBC"/>
    <s v="FIBC Bags With UV Without Liner"/>
    <n v="18813"/>
    <n v="4457652.4714669203"/>
    <s v="PP WOVEN BIG BAGS (FIBC)"/>
    <n v="4457652.47"/>
    <n v="0"/>
    <n v="0"/>
    <n v="0"/>
    <n v="0"/>
    <n v="0"/>
    <n v="0"/>
    <n v="0"/>
    <n v="0"/>
    <n v="0"/>
    <s v="N.A."/>
    <s v="KGS"/>
    <n v="63053200"/>
    <s v="$"/>
    <n v="94.8"/>
    <n v="18813"/>
    <s v="USA"/>
  </r>
  <r>
    <d v="2026-08-27T00:00:00"/>
    <s v="Plastene India ltd - Unit 1-Sales"/>
    <s v="Sales"/>
    <n v="544"/>
    <s v="Sales - Within State  Manufactured Goods"/>
    <s v="PPL/D/544"/>
    <d v="2026-08-27T00:00:00"/>
    <s v="SF"/>
    <s v="PP/PE Fabric"/>
    <x v="4"/>
    <s v="PP WOVEN FABRIC"/>
    <s v="PP UL Fabric With UV"/>
    <n v="330.6"/>
    <n v="44161.55"/>
    <s v="PP UL Fabric With UV"/>
    <n v="52066.47"/>
    <n v="9"/>
    <n v="3974.54"/>
    <n v="9"/>
    <n v="3974.54"/>
    <n v="0"/>
    <n v="0"/>
    <n v="0"/>
    <n v="7949.08"/>
    <n v="0"/>
    <s v="24AAACO3087C1ZT"/>
    <s v="KGS"/>
    <n v="39269080"/>
    <s v="Rs."/>
    <n v="1"/>
    <n v="330.6"/>
    <s v="India"/>
  </r>
  <r>
    <d v="2026-08-27T00:00:00"/>
    <s v="Shri Bajrangbali Ashok Construction Private Limited"/>
    <s v="Sales"/>
    <n v="546"/>
    <s v="Sales - Interstate - Manufactured Goods"/>
    <s v="PPL/D/546"/>
    <d v="2026-08-27T00:00:00"/>
    <s v="FG"/>
    <s v="FIBC Bags"/>
    <x v="3"/>
    <s v="FIBC"/>
    <s v="FIBC Bags With UV With Liner"/>
    <n v="1386"/>
    <n v="325000"/>
    <s v="SBB/2026/02"/>
    <n v="409460"/>
    <n v="0"/>
    <n v="0"/>
    <n v="0"/>
    <n v="0"/>
    <n v="18"/>
    <n v="58500"/>
    <n v="3960"/>
    <n v="62460"/>
    <n v="0"/>
    <s v="20AAMCS4446B1ZQ"/>
    <s v="KGS"/>
    <n v="39232999"/>
    <s v="Rs."/>
    <n v="1"/>
    <n v="1386"/>
    <s v="India"/>
  </r>
  <r>
    <d v="2026-08-28T00:00:00"/>
    <s v="Plastene India ltd - Unit 1-Sales"/>
    <s v="Sales"/>
    <n v="549"/>
    <s v="Sales - Within State  Manufactured Goods"/>
    <s v="PPL/D/549"/>
    <d v="2026-08-28T00:00:00"/>
    <s v="FG"/>
    <s v="FIBC Bags"/>
    <x v="3"/>
    <s v="FIBC"/>
    <s v="FIBC Bags With UV Without Liner"/>
    <n v="1493"/>
    <n v="292000"/>
    <s v="1130017059/PDBJMBLHS63050087"/>
    <n v="344268"/>
    <n v="9"/>
    <n v="26280"/>
    <n v="9"/>
    <n v="26280"/>
    <n v="0"/>
    <n v="0"/>
    <n v="0"/>
    <n v="52560"/>
    <n v="0"/>
    <s v="24AAACO3087C1ZT"/>
    <s v="KGS"/>
    <n v="39232999"/>
    <s v="Rs."/>
    <n v="1"/>
    <n v="1493"/>
    <s v="India"/>
  </r>
  <r>
    <d v="2026-08-28T00:00:00"/>
    <s v="Plastene India ltd - Unit 1-Sales"/>
    <s v="Sales"/>
    <n v="550"/>
    <s v="Sales - Within State  Manufactured Goods"/>
    <s v="PPL/D/550"/>
    <d v="2026-08-28T00:00:00"/>
    <s v="SF"/>
    <s v="PP/PE Fabric"/>
    <x v="4"/>
    <s v="PP WOVEN FABRIC"/>
    <s v="PP UL Fabric With UV"/>
    <n v="629"/>
    <n v="84021.82"/>
    <s v="PP UL Fabric With UV"/>
    <n v="99061.72"/>
    <n v="9"/>
    <n v="7561.96"/>
    <n v="9"/>
    <n v="7561.96"/>
    <n v="0"/>
    <n v="0"/>
    <n v="0"/>
    <n v="15123.92"/>
    <n v="0"/>
    <s v="24AAACO3087C1ZT"/>
    <s v="KGS"/>
    <n v="39269080"/>
    <s v="Rs."/>
    <n v="1"/>
    <n v="629"/>
    <s v="India"/>
  </r>
  <r>
    <d v="2026-08-29T00:00:00"/>
    <s v="Hcp Plastene Bulkpack Ltd (Unit Iv) - Sales"/>
    <s v="Sales"/>
    <n v="552"/>
    <s v="Sales - Within State  Manufactured Goods"/>
    <s v="PPL/D/552"/>
    <d v="2026-08-29T00:00:00"/>
    <s v="SF"/>
    <s v="PP/PE Fabric"/>
    <x v="4"/>
    <s v="PP WOVEN FABRIC"/>
    <s v="PP UL Fabric With UV"/>
    <n v="788.3"/>
    <n v="105301.11"/>
    <s v="PP UL Fabric With UV"/>
    <n v="163241.85"/>
    <n v="9"/>
    <n v="9477.1"/>
    <n v="9"/>
    <n v="9477.1"/>
    <n v="0"/>
    <n v="0"/>
    <n v="0"/>
    <n v="18954.2"/>
    <n v="0"/>
    <s v="24AABCG1282C2Z6"/>
    <s v="KGS"/>
    <n v="39269080"/>
    <s v="Rs."/>
    <n v="1"/>
    <n v="788.3"/>
    <s v="India"/>
  </r>
  <r>
    <d v="2026-08-29T00:00:00"/>
    <s v="Hcp Plastene Bulkpack Ltd (Unit Iv) - Sales"/>
    <s v="Sales"/>
    <n v="552"/>
    <s v="Sales - Within State  Manufactured Goods"/>
    <s v="PPL/D/552"/>
    <d v="2026-08-29T00:00:00"/>
    <s v="SF"/>
    <s v="PP/PE Fabric"/>
    <x v="8"/>
    <s v="PP Laminated Fabric"/>
    <s v="PP Lam Fabric With UV"/>
    <n v="241"/>
    <n v="33156.78"/>
    <s v="PP Lam Fabric With UV"/>
    <n v="0"/>
    <n v="9"/>
    <n v="2984.11"/>
    <n v="9"/>
    <n v="2984.11"/>
    <n v="0"/>
    <n v="0"/>
    <n v="0"/>
    <n v="5968.22"/>
    <n v="0"/>
    <s v="24AABCG1282C2Z6"/>
    <s v="KGS"/>
    <n v="39269080"/>
    <s v="Rs."/>
    <n v="1"/>
    <n v="241"/>
    <s v="India"/>
  </r>
  <r>
    <d v="2026-08-30T00:00:00"/>
    <s v="Plastene India ltd - Unit 1-Sales"/>
    <s v="Sales"/>
    <n v="555"/>
    <s v="Sales - Within State  Manufactured Goods"/>
    <s v="PPL/D/555"/>
    <d v="2026-08-30T00:00:00"/>
    <s v="SF"/>
    <s v="PP/PE Fabric"/>
    <x v="4"/>
    <s v="PP WOVEN FABRIC"/>
    <s v="PP UL Fabric With UV"/>
    <n v="1176.7"/>
    <n v="157183.59"/>
    <s v="PP UL Fabric With UV"/>
    <n v="215690.73"/>
    <n v="9"/>
    <n v="14146.52"/>
    <n v="9"/>
    <n v="14146.52"/>
    <n v="0"/>
    <n v="0"/>
    <n v="0"/>
    <n v="28293.040000000001"/>
    <n v="0"/>
    <s v="24AAACO3087C1ZT"/>
    <s v="KGS"/>
    <n v="39269080"/>
    <s v="Rs."/>
    <n v="1"/>
    <n v="1176.7"/>
    <s v="India"/>
  </r>
  <r>
    <d v="2026-08-30T00:00:00"/>
    <s v="Plastene India ltd - Unit 1-Sales"/>
    <s v="Sales"/>
    <n v="555"/>
    <s v="Sales - Within State  Manufactured Goods"/>
    <s v="PPL/D/555"/>
    <d v="2026-08-30T00:00:00"/>
    <s v="SF"/>
    <s v="PP/PE Fabric"/>
    <x v="8"/>
    <s v="PP Laminated Fabric"/>
    <s v="PP Lam Fabric With UV"/>
    <n v="190"/>
    <n v="25760.2"/>
    <s v="PP Lam Fabric With UV"/>
    <n v="0"/>
    <n v="9"/>
    <n v="2318.42"/>
    <n v="9"/>
    <n v="2318.42"/>
    <n v="0"/>
    <n v="0"/>
    <n v="0"/>
    <n v="4636.84"/>
    <n v="0"/>
    <s v="24AAACO3087C1ZT"/>
    <s v="KGS"/>
    <n v="39269080"/>
    <s v="Rs."/>
    <n v="1"/>
    <n v="190"/>
    <s v="India"/>
  </r>
  <r>
    <d v="2026-08-30T00:00:00"/>
    <s v="Plastene India ltd - Unit 1-Sales"/>
    <s v="Sales"/>
    <n v="556"/>
    <s v="Sales - Within State - Traded Goods"/>
    <s v="PPL/D/556"/>
    <d v="2026-08-30T00:00:00"/>
    <s v="SF"/>
    <s v="Liners"/>
    <x v="15"/>
    <s v="LLDPE FILM"/>
    <s v="LDPE/LLDPE Bags/Liner"/>
    <n v="28.5"/>
    <n v="4517.25"/>
    <s v="LDPE/LLDPE Bags/Liner"/>
    <n v="5325.83"/>
    <n v="9"/>
    <n v="406.55"/>
    <n v="9"/>
    <n v="406.55"/>
    <n v="0"/>
    <n v="0"/>
    <n v="0"/>
    <n v="813.1"/>
    <n v="0"/>
    <s v="24AAACO3087C1ZT"/>
    <s v="KGS"/>
    <n v="39232100"/>
    <s v="Rs."/>
    <n v="1"/>
    <n v="28.5"/>
    <s v="India"/>
  </r>
  <r>
    <d v="2026-08-31T00:00:00"/>
    <s v="Hcp Plastene Bulkpack Ltd (Unit Iv) - Sales"/>
    <s v="Sales"/>
    <n v="559"/>
    <s v="Sales - Within State  Manufactured Goods"/>
    <s v="PPL/D/559"/>
    <d v="2026-08-31T00:00:00"/>
    <s v="FG"/>
    <s v="FIBC Bags"/>
    <x v="3"/>
    <s v="FIBC"/>
    <s v="FIBC Bags With UV Without Liner"/>
    <n v="1153"/>
    <n v="230369.4"/>
    <s v="30131/517R1"/>
    <n v="271605.53000000003"/>
    <n v="9"/>
    <n v="20733.25"/>
    <n v="9"/>
    <n v="20733.25"/>
    <n v="0"/>
    <n v="0"/>
    <n v="0"/>
    <n v="41466.5"/>
    <n v="0"/>
    <s v="24AABCG1282C2Z6"/>
    <s v="KGS"/>
    <n v="39232999"/>
    <s v="Rs."/>
    <n v="1"/>
    <n v="1153"/>
    <s v="India"/>
  </r>
  <r>
    <d v="2026-08-31T00:00:00"/>
    <s v="Hcp Plastene Bulkpack Ltd (Unit Iv) - Sales"/>
    <s v="Sales"/>
    <n v="560"/>
    <s v="Sales - Within State - Traded Goods"/>
    <s v="PPL/D/560"/>
    <d v="2026-08-31T00:00:00"/>
    <s v="SF"/>
    <s v="Films All (SF)"/>
    <x v="5"/>
    <s v="LLDPE FILM"/>
    <s v="LDPE/LLDPE Film"/>
    <n v="23.4"/>
    <n v="5756.4"/>
    <s v="LDPE/LLDPE Film"/>
    <n v="6786.8"/>
    <n v="9"/>
    <n v="518.08000000000004"/>
    <n v="9"/>
    <n v="518.08000000000004"/>
    <n v="0"/>
    <n v="0"/>
    <n v="0"/>
    <n v="1036.1600000000001"/>
    <n v="0"/>
    <s v="24AABCG1282C2Z6"/>
    <s v="KGS"/>
    <n v="39201019"/>
    <s v="Rs."/>
    <n v="1"/>
    <n v="23.4"/>
    <s v="India"/>
  </r>
  <r>
    <d v="2026-08-31T00:00:00"/>
    <s v="Hcp Plastene Bulkpack Ltd (Unit Iv) - Sales"/>
    <s v="Sales"/>
    <n v="561"/>
    <s v="Sales - Within State  Manufactured Goods"/>
    <s v="PPL/D/561"/>
    <d v="2026-08-31T00:00:00"/>
    <s v="SF"/>
    <s v="PP/PE Fabric"/>
    <x v="4"/>
    <s v="PP WOVEN FABRIC"/>
    <s v="PP UL Fabric With UV"/>
    <n v="510"/>
    <n v="68125.8"/>
    <s v="PP UL Fabric With UV"/>
    <n v="80320.31"/>
    <n v="9"/>
    <n v="6131.32"/>
    <n v="9"/>
    <n v="6131.32"/>
    <n v="0"/>
    <n v="0"/>
    <n v="0"/>
    <n v="12262.64"/>
    <n v="0"/>
    <s v="24AABCG1282C2Z6"/>
    <s v="KGS"/>
    <n v="39269080"/>
    <s v="Rs."/>
    <n v="1"/>
    <n v="510"/>
    <s v="India"/>
  </r>
  <r>
    <d v="2026-08-31T00:00:00"/>
    <s v="Plastene India ltd - Unit 1-Sales"/>
    <s v="Sales"/>
    <n v="563"/>
    <s v="Sales - Within State  Manufactured Goods"/>
    <s v="PPL/D/563"/>
    <d v="2026-08-31T00:00:00"/>
    <s v="SF"/>
    <s v="Webbing"/>
    <x v="10"/>
    <s v="PP Webbing"/>
    <s v="Webbing"/>
    <n v="2138"/>
    <n v="289870.03999999998"/>
    <s v="Webbing-MW"/>
    <n v="382074.41"/>
    <n v="9"/>
    <n v="26088.3"/>
    <n v="9"/>
    <n v="26088.3"/>
    <n v="0"/>
    <n v="0"/>
    <n v="0"/>
    <n v="52176.6"/>
    <n v="0"/>
    <s v="24AAACO3087C1ZT"/>
    <s v="KGS"/>
    <n v="39269080"/>
    <s v="Rs."/>
    <n v="1"/>
    <n v="2138"/>
    <s v="India"/>
  </r>
  <r>
    <d v="2026-08-31T00:00:00"/>
    <s v="Plastene India ltd - Unit 1-Sales"/>
    <s v="Sales"/>
    <n v="563"/>
    <s v="Sales - Within State  Manufactured Goods"/>
    <s v="PPL/D/563"/>
    <d v="2026-08-31T00:00:00"/>
    <s v="SF"/>
    <s v="PP/PE Fabric"/>
    <x v="4"/>
    <s v="PP WOVEN FABRIC"/>
    <s v="PP UL Fabric With UV"/>
    <n v="256"/>
    <n v="34196.480000000003"/>
    <s v="PP UL Fabric With UV"/>
    <n v="0"/>
    <n v="9"/>
    <n v="3077.68"/>
    <n v="9"/>
    <n v="3077.68"/>
    <n v="0"/>
    <n v="0"/>
    <n v="0"/>
    <n v="6155.36"/>
    <n v="0"/>
    <s v="24AAACO3087C1ZT"/>
    <s v="KGS"/>
    <n v="39269080"/>
    <s v="Rs."/>
    <n v="1"/>
    <n v="256"/>
    <s v="India"/>
  </r>
  <r>
    <m/>
    <m/>
    <m/>
    <m/>
    <m/>
    <m/>
    <m/>
    <m/>
    <m/>
    <x v="17"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23">
  <r>
    <s v="Plastene Polyfilms Limited"/>
    <n v="435"/>
    <d v="2026-08-01T00:00:00"/>
    <s v="Plastene India ltd - Unit 1-Sales"/>
    <s v="GJ39TB3534"/>
    <s v="Flexible Intermediate Bulk Containers (Attachment bag)"/>
    <s v="1130016933/PDBJMBLHS63050120"/>
    <n v="498"/>
    <n v="570"/>
    <s v="Pcs"/>
    <n v="283860"/>
    <n v="1221"/>
    <n v="1221"/>
    <n v="334954.8"/>
    <s v="FIBC"/>
    <s v="FIBC"/>
    <m/>
    <m/>
    <s v="Rs"/>
    <n v="1"/>
    <m/>
    <n v="9"/>
    <n v="25547.4"/>
    <n v="9"/>
    <n v="25547.4"/>
    <n v="0"/>
    <n v="0"/>
    <n v="39232999"/>
    <s v="."/>
    <d v="2026-08-01T00:00:00"/>
    <n v="0"/>
    <n v="0"/>
    <m/>
    <n v="0"/>
    <m/>
    <m/>
    <m/>
    <n v="0"/>
    <n v="0"/>
    <n v="0"/>
    <n v="0"/>
    <n v="0"/>
    <n v="0"/>
    <n v="0"/>
    <n v="0"/>
    <m/>
    <s v="KUTCH"/>
    <s v="India"/>
    <s v="WIP00004"/>
    <s v="FIBC Bags With UV Without Liner"/>
    <s v="FG"/>
    <s v="FIBC Bags"/>
    <x v="0"/>
  </r>
  <r>
    <s v="Plastene Polyfilms Limited"/>
    <n v="437"/>
    <d v="2026-08-01T00:00:00"/>
    <s v="Plastene India ltd - Unit 1-Sales"/>
    <s v="GJ12X1249"/>
    <s v="PP Woven Fabrics"/>
    <s v="PP UL Fabric With UV"/>
    <n v="154.74"/>
    <n v="1070.3"/>
    <s v="Kgs"/>
    <n v="165618.22"/>
    <n v="1070.3"/>
    <n v="1120.3"/>
    <n v="195429.5"/>
    <s v="Woven - Fabric"/>
    <s v="Woven - Fabric"/>
    <m/>
    <m/>
    <s v="Rs"/>
    <n v="1"/>
    <m/>
    <n v="9"/>
    <n v="14905.64"/>
    <n v="9"/>
    <n v="14905.64"/>
    <n v="0"/>
    <n v="0"/>
    <n v="39269080"/>
    <s v="."/>
    <d v="2026-08-01T00:00:00"/>
    <n v="0"/>
    <n v="0"/>
    <m/>
    <n v="0"/>
    <m/>
    <m/>
    <m/>
    <n v="0"/>
    <n v="0"/>
    <n v="0"/>
    <n v="0"/>
    <n v="0"/>
    <n v="0"/>
    <n v="0"/>
    <n v="0"/>
    <m/>
    <s v="KUTCH"/>
    <s v="India"/>
    <s v="WIP00023"/>
    <s v="PP UL Fabric With UV"/>
    <s v="SF"/>
    <s v="PP/PE Fabric"/>
    <x v="1"/>
  </r>
  <r>
    <s v="Plastene Polyfilms Limited"/>
    <s v="PPL/E/68/26-27"/>
    <d v="2026-08-01T00:00:00"/>
    <s v="K.P. WOVEN PVT LTD - UNIT 3 -SALES"/>
    <s v="GJ12BY0550"/>
    <s v="PP WEBBING"/>
    <s v="Webbing"/>
    <n v="146.47"/>
    <n v="507.2"/>
    <s v="Kgs"/>
    <n v="74289.584000000003"/>
    <n v="507.2"/>
    <n v="507.2"/>
    <n v="223041"/>
    <s v="Woven - Fabric"/>
    <s v="Webbing"/>
    <m/>
    <m/>
    <s v="Rs"/>
    <n v="1"/>
    <s v="LUT Bond No"/>
    <n v="0"/>
    <n v="0"/>
    <n v="0"/>
    <n v="0"/>
    <n v="18"/>
    <n v="13372.13"/>
    <n v="39269080"/>
    <s v="."/>
    <d v="2026-08-01T00:00:00"/>
    <n v="0"/>
    <n v="0"/>
    <m/>
    <n v="0"/>
    <m/>
    <m/>
    <m/>
    <n v="0"/>
    <n v="0"/>
    <n v="0"/>
    <n v="0"/>
    <n v="0"/>
    <n v="0"/>
    <n v="0"/>
    <n v="0"/>
    <m/>
    <s v="KASEZ"/>
    <s v="India"/>
    <s v="WIP00032"/>
    <s v="Webbing"/>
    <s v="SF"/>
    <s v="Webbing"/>
    <x v="2"/>
  </r>
  <r>
    <s v="Plastene Polyfilms Limited"/>
    <s v="PPL/E/68/26-27"/>
    <d v="2026-08-01T00:00:00"/>
    <s v="K.P. WOVEN PVT LTD - UNIT 3 -SALES"/>
    <s v="GJ12BY0550"/>
    <s v="PP Woven Fabrics"/>
    <s v="PP UL Fabric With UV - BLACK"/>
    <n v="149.47"/>
    <n v="394"/>
    <s v="Kgs"/>
    <n v="58891.18"/>
    <n v="394"/>
    <n v="394"/>
    <n v="0"/>
    <s v="Woven - Fabric"/>
    <s v="Woven - Fabric"/>
    <m/>
    <m/>
    <s v="Rs"/>
    <n v="1"/>
    <s v="LUT Bond No"/>
    <n v="0"/>
    <n v="0"/>
    <n v="0"/>
    <n v="0"/>
    <n v="18"/>
    <n v="10600.41"/>
    <n v="39269080"/>
    <s v="."/>
    <d v="2026-08-01T00:00:00"/>
    <n v="0"/>
    <n v="0"/>
    <m/>
    <n v="0"/>
    <m/>
    <m/>
    <m/>
    <n v="0"/>
    <n v="0"/>
    <n v="0"/>
    <n v="0"/>
    <n v="0"/>
    <n v="0"/>
    <n v="0"/>
    <n v="0"/>
    <m/>
    <s v="KASEZ"/>
    <s v="India"/>
    <s v="WIP00023"/>
    <s v="PP UL Fabric With UV"/>
    <s v="SF"/>
    <s v="PP/PE Fabric"/>
    <x v="3"/>
  </r>
  <r>
    <s v="Plastene Polyfilms Limited"/>
    <s v="PPL/E/68/26-27"/>
    <d v="2026-08-01T00:00:00"/>
    <s v="K.P. WOVEN PVT LTD - UNIT 3 -SALES"/>
    <s v="GJ12BY0550"/>
    <s v="PP Woven Fabrics"/>
    <s v="PP UL Fabric With UV"/>
    <n v="146.47"/>
    <n v="477"/>
    <s v="Kgs"/>
    <n v="69866.19"/>
    <n v="477"/>
    <n v="477"/>
    <n v="0"/>
    <s v="Woven - Fabric"/>
    <s v="Woven - Fabric"/>
    <m/>
    <m/>
    <s v="Rs"/>
    <n v="1"/>
    <s v="LUT Bond No"/>
    <n v="0"/>
    <n v="0"/>
    <n v="0"/>
    <n v="0"/>
    <n v="18"/>
    <n v="12575.91"/>
    <n v="39269080"/>
    <s v="."/>
    <d v="2026-08-01T00:00:00"/>
    <n v="0"/>
    <n v="0"/>
    <m/>
    <n v="0"/>
    <m/>
    <m/>
    <m/>
    <n v="0"/>
    <n v="0"/>
    <n v="0"/>
    <n v="0"/>
    <n v="0"/>
    <n v="0"/>
    <n v="0"/>
    <n v="0"/>
    <m/>
    <s v="KASEZ"/>
    <s v="India"/>
    <s v="WIP00023"/>
    <s v="PP UL Fabric With UV"/>
    <s v="SF"/>
    <s v="PP/PE Fabric"/>
    <x v="3"/>
  </r>
  <r>
    <s v="Plastene Polyfilms Limited"/>
    <s v="PPL/E/68/26-27"/>
    <d v="2026-08-01T00:00:00"/>
    <s v="K.P. WOVEN PVT LTD - UNIT 3 -SALES"/>
    <s v="GJ12BY0550"/>
    <s v="PP Woven Fabrics Laminated/ Coated"/>
    <s v="PP Lam Fabric With UV - BLACK"/>
    <n v="151.47"/>
    <n v="132"/>
    <s v="Kgs"/>
    <n v="19994.04"/>
    <n v="132"/>
    <n v="132"/>
    <n v="0"/>
    <s v="Woven - Fabric"/>
    <s v="Woven - Fabric"/>
    <m/>
    <m/>
    <s v="Rs"/>
    <n v="1"/>
    <s v="LUT Bond No"/>
    <n v="0"/>
    <n v="0"/>
    <n v="0"/>
    <n v="0"/>
    <n v="18"/>
    <n v="3598.93"/>
    <n v="39269080"/>
    <s v="."/>
    <d v="2026-08-01T00:00:00"/>
    <n v="0"/>
    <n v="0"/>
    <m/>
    <n v="0"/>
    <m/>
    <m/>
    <m/>
    <n v="0"/>
    <n v="0"/>
    <n v="0"/>
    <n v="0"/>
    <n v="0"/>
    <n v="0"/>
    <n v="0"/>
    <n v="0"/>
    <m/>
    <s v="KASEZ"/>
    <s v="India"/>
    <s v="WIP00025"/>
    <s v="PP Lam Fabric With UV"/>
    <s v="SF"/>
    <s v="PP/PE Fabric"/>
    <x v="4"/>
  </r>
  <r>
    <s v="Plastene Polyfilms Limited"/>
    <n v="439"/>
    <d v="2026-08-02T00:00:00"/>
    <s v="Plastene India ltd - Unit 1-Sales"/>
    <s v="GJ12FB2542"/>
    <s v="LD/LLDPE  FILM"/>
    <s v="LDPE/LLDPE Film"/>
    <n v="326"/>
    <n v="2.2999999999999998"/>
    <s v="Kgs"/>
    <n v="749.8"/>
    <n v="2.2999999999999998"/>
    <n v="2.2999999999999998"/>
    <n v="13202.78"/>
    <s v="Others"/>
    <s v="Others"/>
    <m/>
    <m/>
    <s v="Rs"/>
    <n v="1"/>
    <m/>
    <n v="9"/>
    <n v="67.48"/>
    <n v="9"/>
    <n v="67.48"/>
    <n v="0"/>
    <n v="0"/>
    <n v="39201019"/>
    <s v="."/>
    <d v="2026-08-02T00:00:00"/>
    <n v="0"/>
    <n v="0"/>
    <m/>
    <n v="0"/>
    <m/>
    <m/>
    <m/>
    <n v="0"/>
    <n v="0"/>
    <n v="0"/>
    <n v="0"/>
    <n v="0"/>
    <n v="0"/>
    <n v="0"/>
    <n v="0"/>
    <m/>
    <s v="KUTCH"/>
    <s v="India"/>
    <s v="RAW05124"/>
    <s v="LDPE/LLDPE Film"/>
    <s v="SF"/>
    <s v="Films All (SF)"/>
    <x v="5"/>
  </r>
  <r>
    <s v="Plastene Polyfilms Limited"/>
    <n v="439"/>
    <d v="2026-08-02T00:00:00"/>
    <s v="Plastene India ltd - Unit 1-Sales"/>
    <s v="GJ12FB2542"/>
    <s v="LD/LLDPE  FILM"/>
    <s v="LDPE/LLDPE Film"/>
    <n v="286"/>
    <n v="36.5"/>
    <s v="Kgs"/>
    <n v="10439"/>
    <n v="36.5"/>
    <n v="36.5"/>
    <n v="0"/>
    <s v="Others"/>
    <s v="Others"/>
    <m/>
    <m/>
    <s v="Rs"/>
    <n v="1"/>
    <m/>
    <n v="9"/>
    <n v="939.51"/>
    <n v="9"/>
    <n v="939.51"/>
    <n v="0"/>
    <n v="0"/>
    <n v="39201019"/>
    <s v="."/>
    <d v="2026-08-02T00:00:00"/>
    <n v="0"/>
    <n v="0"/>
    <m/>
    <n v="0"/>
    <m/>
    <m/>
    <m/>
    <n v="0"/>
    <n v="0"/>
    <n v="0"/>
    <n v="0"/>
    <n v="0"/>
    <n v="0"/>
    <n v="0"/>
    <n v="0"/>
    <m/>
    <s v="KUTCH"/>
    <s v="India"/>
    <s v="RAW05124"/>
    <s v="LDPE/LLDPE Film"/>
    <s v="SF"/>
    <s v="Films All (SF)"/>
    <x v="5"/>
  </r>
  <r>
    <s v="Plastene Polyfilms Limited"/>
    <n v="440"/>
    <d v="2026-08-02T00:00:00"/>
    <s v="Plastene India ltd - Unit 1-Sales"/>
    <s v="GJ39TA3811"/>
    <s v="Flexible Intermediate Bulk Containers (Attachment bag)"/>
    <s v="HPC-PO003921-9595140-3"/>
    <n v="226.3"/>
    <n v="2700"/>
    <s v="Kgs"/>
    <n v="611010"/>
    <n v="2700"/>
    <n v="2790"/>
    <n v="5975760.8399999999"/>
    <s v="FIBC"/>
    <s v="FIBC"/>
    <m/>
    <m/>
    <s v="Rs"/>
    <n v="1"/>
    <m/>
    <n v="9"/>
    <n v="54990.9"/>
    <n v="9"/>
    <n v="54990.9"/>
    <n v="0"/>
    <n v="0"/>
    <n v="39232999"/>
    <s v="."/>
    <d v="2026-08-02T00:00:00"/>
    <n v="0"/>
    <n v="0"/>
    <m/>
    <n v="0"/>
    <m/>
    <m/>
    <m/>
    <n v="0"/>
    <n v="0"/>
    <n v="0"/>
    <n v="0"/>
    <n v="0"/>
    <n v="0"/>
    <n v="0"/>
    <n v="0"/>
    <m/>
    <s v="KUTCH"/>
    <s v="India"/>
    <s v="WIP00003"/>
    <s v="FIBC Bags With UV With Liner"/>
    <s v="FG"/>
    <s v="FIBC Bags"/>
    <x v="0"/>
  </r>
  <r>
    <s v="Plastene Polyfilms Limited"/>
    <n v="440"/>
    <d v="2026-08-02T00:00:00"/>
    <s v="Plastene India ltd - Unit 1-Sales"/>
    <s v="GJ39TA3811"/>
    <s v="Flexible Intermediate Bulk Containers (Attachment bag)"/>
    <s v="HPC-PO003921-9595140-5"/>
    <n v="221.58"/>
    <n v="2722"/>
    <s v="Kgs"/>
    <n v="603140.76"/>
    <n v="2722"/>
    <n v="2812"/>
    <n v="0"/>
    <s v="FIBC"/>
    <s v="FIBC"/>
    <m/>
    <m/>
    <s v="Rs"/>
    <n v="1"/>
    <m/>
    <n v="9"/>
    <n v="54282.67"/>
    <n v="9"/>
    <n v="54282.67"/>
    <n v="0"/>
    <n v="0"/>
    <n v="39232999"/>
    <s v="."/>
    <d v="2026-08-02T00:00:00"/>
    <n v="0"/>
    <n v="0"/>
    <m/>
    <n v="0"/>
    <m/>
    <m/>
    <m/>
    <n v="0"/>
    <n v="0"/>
    <n v="0"/>
    <n v="0"/>
    <n v="0"/>
    <n v="0"/>
    <n v="0"/>
    <n v="0"/>
    <m/>
    <s v="KUTCH"/>
    <s v="India"/>
    <s v="WIP00003"/>
    <s v="FIBC Bags With UV With Liner"/>
    <s v="FG"/>
    <s v="FIBC Bags"/>
    <x v="0"/>
  </r>
  <r>
    <s v="Plastene Polyfilms Limited"/>
    <n v="440"/>
    <d v="2026-08-02T00:00:00"/>
    <s v="Plastene India ltd - Unit 1-Sales"/>
    <s v="GJ39TA3811"/>
    <s v="Flexible Intermediate Bulk Containers (Attachment bag)"/>
    <s v="HPC-PO003921-9090100-7"/>
    <n v="239.44"/>
    <n v="1295"/>
    <s v="Kgs"/>
    <n v="310074.8"/>
    <n v="1295"/>
    <n v="1340"/>
    <n v="0"/>
    <s v="FIBC"/>
    <s v="FIBC"/>
    <m/>
    <m/>
    <s v="Rs"/>
    <n v="1"/>
    <m/>
    <n v="9"/>
    <n v="27906.73"/>
    <n v="9"/>
    <n v="27906.73"/>
    <n v="0"/>
    <n v="0"/>
    <n v="39232999"/>
    <s v="."/>
    <d v="2026-08-02T00:00:00"/>
    <n v="0"/>
    <n v="0"/>
    <m/>
    <n v="0"/>
    <m/>
    <m/>
    <m/>
    <n v="0"/>
    <n v="0"/>
    <n v="0"/>
    <n v="0"/>
    <n v="0"/>
    <n v="0"/>
    <n v="0"/>
    <n v="0"/>
    <m/>
    <s v="KUTCH"/>
    <s v="India"/>
    <s v="WIP00004"/>
    <s v="FIBC Bags With UV Without Liner"/>
    <s v="FG"/>
    <s v="FIBC Bags"/>
    <x v="0"/>
  </r>
  <r>
    <s v="Plastene Polyfilms Limited"/>
    <n v="440"/>
    <d v="2026-08-02T00:00:00"/>
    <s v="Plastene India ltd - Unit 1-Sales"/>
    <s v="GJ39TA3811"/>
    <s v="Flexible Intermediate Bulk Containers (Attachment bag)"/>
    <s v="HPC-PO003921-9090120-1"/>
    <n v="238.85"/>
    <n v="420"/>
    <s v="Kgs"/>
    <n v="100317"/>
    <n v="420"/>
    <n v="435"/>
    <n v="0"/>
    <s v="FIBC"/>
    <s v="FIBC"/>
    <m/>
    <m/>
    <s v="Rs"/>
    <n v="1"/>
    <m/>
    <n v="9"/>
    <n v="9028.5300000000007"/>
    <n v="9"/>
    <n v="9028.5300000000007"/>
    <n v="0"/>
    <n v="0"/>
    <n v="39232999"/>
    <s v="."/>
    <d v="2026-08-02T00:00:00"/>
    <n v="0"/>
    <n v="0"/>
    <m/>
    <n v="0"/>
    <m/>
    <m/>
    <m/>
    <n v="0"/>
    <n v="0"/>
    <n v="0"/>
    <n v="0"/>
    <n v="0"/>
    <n v="0"/>
    <n v="0"/>
    <n v="0"/>
    <m/>
    <s v="KUTCH"/>
    <s v="India"/>
    <s v="WIP00004"/>
    <s v="FIBC Bags With UV Without Liner"/>
    <s v="FG"/>
    <s v="FIBC Bags"/>
    <x v="0"/>
  </r>
  <r>
    <s v="Plastene Polyfilms Limited"/>
    <n v="440"/>
    <d v="2026-08-02T00:00:00"/>
    <s v="Plastene India ltd - Unit 1-Sales"/>
    <s v="GJ39TA3811"/>
    <s v="Flexible Intermediate Bulk Containers (Attachment bag)"/>
    <s v="HPC-PO003921-9090120-8"/>
    <n v="234.56"/>
    <n v="443"/>
    <s v="Kgs"/>
    <n v="103910.08"/>
    <n v="443"/>
    <n v="458"/>
    <n v="0"/>
    <s v="FIBC"/>
    <s v="FIBC"/>
    <m/>
    <m/>
    <s v="Rs"/>
    <n v="1"/>
    <m/>
    <n v="9"/>
    <n v="9351.91"/>
    <n v="9"/>
    <n v="9351.91"/>
    <n v="0"/>
    <n v="0"/>
    <n v="39232999"/>
    <s v="."/>
    <d v="2026-08-02T00:00:00"/>
    <n v="0"/>
    <n v="0"/>
    <m/>
    <n v="0"/>
    <m/>
    <m/>
    <m/>
    <n v="0"/>
    <n v="0"/>
    <n v="0"/>
    <n v="0"/>
    <n v="0"/>
    <n v="0"/>
    <n v="0"/>
    <n v="0"/>
    <m/>
    <s v="KUTCH"/>
    <s v="India"/>
    <s v="WIP00004"/>
    <s v="FIBC Bags With UV Without Liner"/>
    <s v="FG"/>
    <s v="FIBC Bags"/>
    <x v="0"/>
  </r>
  <r>
    <s v="Plastene Polyfilms Limited"/>
    <n v="440"/>
    <d v="2026-08-02T00:00:00"/>
    <s v="Plastene India ltd - Unit 1-Sales"/>
    <s v="GJ39TA3811"/>
    <s v="Flexible Intermediate Bulk Containers (Attachment bag)"/>
    <s v="HPC-PO003921-9090140-9"/>
    <n v="236.5"/>
    <n v="880"/>
    <s v="Kgs"/>
    <n v="208120"/>
    <n v="880"/>
    <n v="910"/>
    <n v="0"/>
    <s v="FIBC"/>
    <s v="FIBC"/>
    <m/>
    <m/>
    <s v="Rs"/>
    <n v="1"/>
    <m/>
    <n v="9"/>
    <n v="18730.8"/>
    <n v="9"/>
    <n v="18730.8"/>
    <n v="0"/>
    <n v="0"/>
    <n v="39232999"/>
    <s v="."/>
    <d v="2026-08-02T00:00:00"/>
    <n v="0"/>
    <n v="0"/>
    <m/>
    <n v="0"/>
    <m/>
    <m/>
    <m/>
    <n v="0"/>
    <n v="0"/>
    <n v="0"/>
    <n v="0"/>
    <n v="0"/>
    <n v="0"/>
    <n v="0"/>
    <n v="0"/>
    <m/>
    <s v="KUTCH"/>
    <s v="India"/>
    <s v="WIP00004"/>
    <s v="FIBC Bags With UV Without Liner"/>
    <s v="FG"/>
    <s v="FIBC Bags"/>
    <x v="0"/>
  </r>
  <r>
    <s v="Plastene Polyfilms Limited"/>
    <n v="440"/>
    <d v="2026-08-02T00:00:00"/>
    <s v="Plastene India ltd - Unit 1-Sales"/>
    <s v="GJ39TA3811"/>
    <s v="Flexible Intermediate Bulk Containers (Attachment bag)"/>
    <s v="HPC-PO003921-9090160-10"/>
    <n v="224.15"/>
    <n v="1036"/>
    <s v="Kgs"/>
    <n v="232219.4"/>
    <n v="1036"/>
    <n v="1066"/>
    <n v="0"/>
    <s v="FIBC"/>
    <s v="FIBC"/>
    <m/>
    <m/>
    <s v="Rs"/>
    <n v="1"/>
    <m/>
    <n v="9"/>
    <n v="20899.75"/>
    <n v="9"/>
    <n v="20899.75"/>
    <n v="0"/>
    <n v="0"/>
    <n v="39232999"/>
    <s v="."/>
    <d v="2026-08-02T00:00:00"/>
    <n v="0"/>
    <n v="0"/>
    <m/>
    <n v="0"/>
    <m/>
    <m/>
    <m/>
    <n v="0"/>
    <n v="0"/>
    <n v="0"/>
    <n v="0"/>
    <n v="0"/>
    <n v="0"/>
    <n v="0"/>
    <n v="0"/>
    <m/>
    <s v="KUTCH"/>
    <s v="India"/>
    <s v="WIP00004"/>
    <s v="FIBC Bags With UV Without Liner"/>
    <s v="FG"/>
    <s v="FIBC Bags"/>
    <x v="0"/>
  </r>
  <r>
    <s v="Plastene Polyfilms Limited"/>
    <n v="440"/>
    <d v="2026-08-02T00:00:00"/>
    <s v="Plastene India ltd - Unit 1-Sales"/>
    <s v="GJ39TA3811"/>
    <s v="Flexible Intermediate Bulk Containers (Attachment bag)"/>
    <s v="HPC-PO003921-909080-6"/>
    <n v="242.4"/>
    <n v="1315"/>
    <s v="Kgs"/>
    <n v="318756"/>
    <n v="1315"/>
    <n v="1360"/>
    <n v="0"/>
    <s v="FIBC"/>
    <s v="FIBC"/>
    <m/>
    <m/>
    <s v="Rs"/>
    <n v="1"/>
    <m/>
    <n v="9"/>
    <n v="28688.04"/>
    <n v="9"/>
    <n v="28688.04"/>
    <n v="0"/>
    <n v="0"/>
    <n v="39232999"/>
    <s v="."/>
    <d v="2026-08-02T00:00:00"/>
    <n v="0"/>
    <n v="0"/>
    <m/>
    <n v="0"/>
    <m/>
    <m/>
    <m/>
    <n v="0"/>
    <n v="0"/>
    <n v="0"/>
    <n v="0"/>
    <n v="0"/>
    <n v="0"/>
    <n v="0"/>
    <n v="0"/>
    <m/>
    <s v="KUTCH"/>
    <s v="India"/>
    <s v="WIP00004"/>
    <s v="FIBC Bags With UV Without Liner"/>
    <s v="FG"/>
    <s v="FIBC Bags"/>
    <x v="0"/>
  </r>
  <r>
    <s v="Plastene Polyfilms Limited"/>
    <n v="440"/>
    <d v="2026-08-02T00:00:00"/>
    <s v="Plastene India ltd - Unit 1-Sales"/>
    <s v="GJ39TA3811"/>
    <s v="Flexible Intermediate Bulk Containers (Attachment bag)"/>
    <s v="HPC-PO003921-9393145-2"/>
    <n v="261.39999999999998"/>
    <n v="5348"/>
    <s v="Kgs"/>
    <n v="1397967.2"/>
    <n v="5348"/>
    <n v="5543"/>
    <n v="0"/>
    <s v="FIBC"/>
    <s v="FIBC"/>
    <m/>
    <m/>
    <s v="Rs"/>
    <n v="1"/>
    <m/>
    <n v="9"/>
    <n v="125817.05"/>
    <n v="9"/>
    <n v="125817.05"/>
    <n v="0"/>
    <n v="0"/>
    <n v="39232999"/>
    <s v="."/>
    <d v="2026-08-02T00:00:00"/>
    <n v="0"/>
    <n v="0"/>
    <m/>
    <n v="0"/>
    <m/>
    <m/>
    <m/>
    <n v="0"/>
    <n v="0"/>
    <n v="0"/>
    <n v="0"/>
    <n v="0"/>
    <n v="0"/>
    <n v="0"/>
    <n v="0"/>
    <m/>
    <s v="KUTCH"/>
    <s v="India"/>
    <s v="WIP00004"/>
    <s v="FIBC Bags With UV Without Liner"/>
    <s v="FG"/>
    <s v="FIBC Bags"/>
    <x v="0"/>
  </r>
  <r>
    <s v="Plastene Polyfilms Limited"/>
    <n v="440"/>
    <d v="2026-08-02T00:00:00"/>
    <s v="Plastene India ltd - Unit 1-Sales"/>
    <s v="GJ39TA3811"/>
    <s v="Flexible Intermediate Bulk Containers (Attachment bag)"/>
    <s v="HPC-PO003921-9595140-4"/>
    <n v="255.57"/>
    <n v="4612"/>
    <s v="Kgs"/>
    <n v="1178688.8400000001"/>
    <n v="4612"/>
    <n v="4777"/>
    <n v="0"/>
    <s v="FIBC"/>
    <s v="FIBC"/>
    <m/>
    <m/>
    <s v="Rs"/>
    <n v="1"/>
    <m/>
    <n v="9"/>
    <n v="106082"/>
    <n v="9"/>
    <n v="106082"/>
    <n v="0"/>
    <n v="0"/>
    <n v="39232999"/>
    <s v="."/>
    <d v="2026-08-02T00:00:00"/>
    <n v="0"/>
    <n v="0"/>
    <m/>
    <n v="0"/>
    <m/>
    <m/>
    <m/>
    <n v="0"/>
    <n v="0"/>
    <n v="0"/>
    <n v="0"/>
    <n v="0"/>
    <n v="0"/>
    <n v="0"/>
    <n v="0"/>
    <m/>
    <s v="KUTCH"/>
    <s v="India"/>
    <s v="WIP00004"/>
    <s v="FIBC Bags With UV Without Liner"/>
    <s v="FG"/>
    <s v="FIBC Bags"/>
    <x v="0"/>
  </r>
  <r>
    <s v="Plastene Polyfilms Limited"/>
    <n v="441"/>
    <d v="2026-08-03T00:00:00"/>
    <s v="K.P. Woven Pvt Ltd-Sales"/>
    <s v="GJ30T0414"/>
    <s v="Flexible Intermediate Bulk Containers (Attachment bag)"/>
    <s v="E-IO26-00449/003121-00065-00"/>
    <n v="211.92"/>
    <n v="1485"/>
    <s v="Kgs"/>
    <n v="314701.2"/>
    <n v="1485"/>
    <n v="1485"/>
    <n v="6221548"/>
    <s v="FIBC"/>
    <s v="FIBC"/>
    <m/>
    <m/>
    <s v="Rs"/>
    <n v="1"/>
    <m/>
    <n v="9"/>
    <n v="28323.11"/>
    <n v="9"/>
    <n v="28323.11"/>
    <n v="0"/>
    <n v="0"/>
    <n v="39232999"/>
    <s v="."/>
    <d v="2026-08-03T00:00:00"/>
    <n v="0"/>
    <n v="0"/>
    <m/>
    <n v="0"/>
    <m/>
    <m/>
    <m/>
    <n v="0"/>
    <n v="0"/>
    <n v="0"/>
    <n v="0"/>
    <n v="0"/>
    <n v="0"/>
    <n v="0"/>
    <n v="0"/>
    <m/>
    <s v="AHMEDABAD"/>
    <s v="India"/>
    <s v="WIP00004"/>
    <s v="FIBC Bags With UV Without Liner"/>
    <s v="FG"/>
    <s v="FIBC Bags"/>
    <x v="0"/>
  </r>
  <r>
    <s v="Plastene Polyfilms Limited"/>
    <n v="441"/>
    <d v="2026-08-03T00:00:00"/>
    <s v="K.P. Woven Pvt Ltd-Sales"/>
    <s v="GJ30T0414"/>
    <s v="Flexible Intermediate Bulk Containers (Attachment bag)"/>
    <s v="E-IO26-00456/006810-00006-00"/>
    <n v="276.92"/>
    <n v="12991"/>
    <s v="Kgs"/>
    <n v="3597467.72"/>
    <n v="12991"/>
    <n v="12991"/>
    <n v="0"/>
    <s v="FIBC"/>
    <s v="FIBC"/>
    <m/>
    <m/>
    <s v="Rs"/>
    <n v="1"/>
    <m/>
    <n v="9"/>
    <n v="323772.09000000003"/>
    <n v="9"/>
    <n v="323772.09000000003"/>
    <n v="0"/>
    <n v="0"/>
    <n v="39232999"/>
    <s v="."/>
    <d v="2026-08-03T00:00:00"/>
    <n v="0"/>
    <n v="0"/>
    <m/>
    <n v="0"/>
    <m/>
    <m/>
    <m/>
    <n v="0"/>
    <n v="0"/>
    <n v="0"/>
    <n v="0"/>
    <n v="0"/>
    <n v="0"/>
    <n v="0"/>
    <n v="0"/>
    <m/>
    <s v="AHMEDABAD"/>
    <s v="India"/>
    <s v="WIP00004"/>
    <s v="FIBC Bags With UV Without Liner"/>
    <s v="FG"/>
    <s v="FIBC Bags"/>
    <x v="0"/>
  </r>
  <r>
    <s v="Plastene Polyfilms Limited"/>
    <n v="441"/>
    <d v="2026-08-03T00:00:00"/>
    <s v="K.P. Woven Pvt Ltd-Sales"/>
    <s v="GJ30T0414"/>
    <s v="Flexible Intermediate Bulk Containers (Attachment bag)"/>
    <s v="E-IO26-00504/006455-00002-00"/>
    <n v="223.6"/>
    <n v="5309"/>
    <s v="Kgs"/>
    <n v="1187092.3999999999"/>
    <n v="5309"/>
    <n v="5309"/>
    <n v="0"/>
    <s v="FIBC"/>
    <s v="FIBC"/>
    <m/>
    <m/>
    <s v="Rs"/>
    <n v="1"/>
    <m/>
    <n v="9"/>
    <n v="106838.32"/>
    <n v="9"/>
    <n v="106838.32"/>
    <n v="0"/>
    <n v="0"/>
    <n v="39232999"/>
    <s v="."/>
    <d v="2026-08-03T00:00:00"/>
    <n v="0"/>
    <n v="0"/>
    <m/>
    <n v="0"/>
    <m/>
    <m/>
    <m/>
    <n v="0"/>
    <n v="0"/>
    <n v="0"/>
    <n v="0"/>
    <n v="0"/>
    <n v="0"/>
    <n v="0"/>
    <n v="0"/>
    <m/>
    <s v="AHMEDABAD"/>
    <s v="India"/>
    <s v="WIP00004"/>
    <s v="FIBC Bags With UV Without Liner"/>
    <s v="FG"/>
    <s v="FIBC Bags"/>
    <x v="0"/>
  </r>
  <r>
    <s v="Plastene Polyfilms Limited"/>
    <n v="441"/>
    <d v="2026-08-03T00:00:00"/>
    <s v="K.P. Woven Pvt Ltd-Sales"/>
    <s v="GJ30T0414"/>
    <s v="Flexible Intermediate Bulk Containers (Attachment bag)"/>
    <s v="E-IO26-00537/003125-00029-00"/>
    <n v="209.73"/>
    <n v="826"/>
    <s v="Kgs"/>
    <n v="173236.98"/>
    <n v="826"/>
    <n v="826"/>
    <n v="0"/>
    <s v="FIBC"/>
    <s v="FIBC"/>
    <m/>
    <m/>
    <s v="Rs"/>
    <n v="1"/>
    <m/>
    <n v="9"/>
    <n v="15591.33"/>
    <n v="9"/>
    <n v="15591.33"/>
    <n v="0"/>
    <n v="0"/>
    <n v="39232999"/>
    <s v="."/>
    <d v="2026-08-03T00:00:00"/>
    <n v="0"/>
    <n v="0"/>
    <m/>
    <n v="0"/>
    <m/>
    <m/>
    <m/>
    <n v="0"/>
    <n v="0"/>
    <n v="0"/>
    <n v="0"/>
    <n v="0"/>
    <n v="0"/>
    <n v="0"/>
    <n v="0"/>
    <m/>
    <s v="AHMEDABAD"/>
    <s v="India"/>
    <s v="WIP00004"/>
    <s v="FIBC Bags With UV Without Liner"/>
    <s v="FG"/>
    <s v="FIBC Bags"/>
    <x v="0"/>
  </r>
  <r>
    <s v="Plastene Polyfilms Limited"/>
    <n v="442"/>
    <d v="2026-08-03T00:00:00"/>
    <s v="Plastene India ltd - Unit 1-Sales"/>
    <s v="GJ12X1249"/>
    <s v="PP Woven Fabrics"/>
    <s v="PP 180 TUBE MW"/>
    <n v="144.08000000000001"/>
    <n v="658"/>
    <s v="Kgs"/>
    <n v="94804.64"/>
    <n v="658"/>
    <n v="658"/>
    <n v="139059.69"/>
    <s v="Woven - Fabric"/>
    <s v="Woven - Fabric"/>
    <m/>
    <m/>
    <s v="Rs"/>
    <n v="1"/>
    <m/>
    <n v="9"/>
    <n v="8532.42"/>
    <n v="9"/>
    <n v="8532.42"/>
    <n v="0"/>
    <n v="0"/>
    <n v="39269080"/>
    <s v="."/>
    <d v="2026-08-03T00:00:00"/>
    <n v="0"/>
    <n v="0"/>
    <m/>
    <n v="0"/>
    <m/>
    <m/>
    <m/>
    <n v="0"/>
    <n v="0"/>
    <n v="0"/>
    <n v="0"/>
    <n v="0"/>
    <n v="0"/>
    <n v="0"/>
    <n v="0"/>
    <m/>
    <s v="KUTCH"/>
    <s v="India"/>
    <s v="WIP00023"/>
    <s v="PP UL Fabric With UV"/>
    <s v="SF"/>
    <s v="PP/PE Fabric"/>
    <x v="1"/>
  </r>
  <r>
    <s v="Plastene Polyfilms Limited"/>
    <n v="442"/>
    <d v="2026-08-03T00:00:00"/>
    <s v="Plastene India ltd - Unit 1-Sales"/>
    <s v="GJ12X1249"/>
    <s v="PP Woven Fabrics"/>
    <s v="PP 72 FLAT MW 2T Marking"/>
    <n v="133.58000000000001"/>
    <n v="172.5"/>
    <s v="Kgs"/>
    <n v="23042.55"/>
    <n v="172.5"/>
    <n v="172.5"/>
    <n v="0"/>
    <s v="Woven - Fabric"/>
    <s v="Woven - Fabric"/>
    <m/>
    <m/>
    <s v="Rs"/>
    <n v="1"/>
    <m/>
    <n v="9"/>
    <n v="2073.83"/>
    <n v="9"/>
    <n v="2073.83"/>
    <n v="0"/>
    <n v="0"/>
    <n v="39269080"/>
    <s v="."/>
    <d v="2026-08-03T00:00:00"/>
    <n v="0"/>
    <n v="0"/>
    <m/>
    <n v="0"/>
    <m/>
    <m/>
    <m/>
    <n v="0"/>
    <n v="0"/>
    <n v="0"/>
    <n v="0"/>
    <n v="0"/>
    <n v="0"/>
    <n v="0"/>
    <n v="0"/>
    <m/>
    <s v="KUTCH"/>
    <s v="India"/>
    <s v="WIP00023"/>
    <s v="PP UL Fabric With UV"/>
    <s v="SF"/>
    <s v="PP/PE Fabric"/>
    <x v="1"/>
  </r>
  <r>
    <s v="Plastene Polyfilms Limited"/>
    <n v="444"/>
    <d v="2026-08-04T00:00:00"/>
    <s v="Narayandas Murlidhar"/>
    <s v="RJ-19 GH 8036"/>
    <s v="PP Woven Fabrics Laminated/ Coated"/>
    <s v="BLACK GRADE- D"/>
    <n v="60"/>
    <n v="10245"/>
    <s v="Kgs"/>
    <n v="614700"/>
    <n v="10245"/>
    <n v="10245"/>
    <n v="725346"/>
    <s v="Woven - Fabric"/>
    <s v="Woven - Fabric"/>
    <m/>
    <m/>
    <s v="Rs"/>
    <n v="1"/>
    <m/>
    <n v="0"/>
    <n v="0"/>
    <n v="0"/>
    <n v="0"/>
    <n v="18"/>
    <n v="110646"/>
    <n v="39269080"/>
    <n v="456"/>
    <d v="2026-08-04T00:00:00"/>
    <n v="0"/>
    <n v="0"/>
    <m/>
    <n v="0"/>
    <m/>
    <m/>
    <m/>
    <n v="0"/>
    <n v="0"/>
    <n v="0"/>
    <n v="0"/>
    <n v="0"/>
    <n v="0"/>
    <n v="0"/>
    <n v="0"/>
    <m/>
    <s v="PALI"/>
    <s v="India"/>
    <s v="WIP00025"/>
    <s v="PP Lam Fabric With UV"/>
    <s v="SF"/>
    <s v="PP/PE Fabric"/>
    <x v="6"/>
  </r>
  <r>
    <s v="Plastene Polyfilms Limited"/>
    <n v="445"/>
    <d v="2026-08-04T00:00:00"/>
    <s v="Plastene India ltd - Unit 1-Sales"/>
    <s v="GJ12FB2542"/>
    <s v="LD/LLDPE  FILM"/>
    <s v="LDPE/LLDPE Film"/>
    <n v="289"/>
    <n v="15.6"/>
    <s v="Kgs"/>
    <n v="4508.3999999999996"/>
    <n v="15.6"/>
    <n v="15.6"/>
    <n v="5319.92"/>
    <s v="Others"/>
    <s v="Others"/>
    <m/>
    <m/>
    <s v="Rs"/>
    <n v="1"/>
    <m/>
    <n v="9"/>
    <n v="405.76"/>
    <n v="9"/>
    <n v="405.76"/>
    <n v="0"/>
    <n v="0"/>
    <n v="39201019"/>
    <s v="."/>
    <d v="2026-08-04T00:00:00"/>
    <n v="0"/>
    <n v="0"/>
    <m/>
    <n v="0"/>
    <m/>
    <m/>
    <m/>
    <n v="0"/>
    <n v="0"/>
    <n v="0"/>
    <n v="0"/>
    <n v="0"/>
    <n v="0"/>
    <n v="0"/>
    <n v="0"/>
    <m/>
    <s v="KUTCH"/>
    <s v="India"/>
    <s v="RAW05124"/>
    <s v="LDPE/LLDPE Film"/>
    <s v="SF"/>
    <s v="Films All (SF)"/>
    <x v="5"/>
  </r>
  <r>
    <s v="Plastene Polyfilms Limited"/>
    <n v="446"/>
    <d v="2026-08-04T00:00:00"/>
    <s v="HCP Plastene Bulkpack Limited - Sales"/>
    <s v="GJ39TA3813"/>
    <s v="Flexible Intermediate Bulk Containers (Attachment bag)"/>
    <s v="PO-067344/CA 1F"/>
    <n v="245.1"/>
    <n v="4168"/>
    <s v="Kgs"/>
    <n v="1021576.8"/>
    <n v="4168"/>
    <n v="4168"/>
    <n v="5115913.83"/>
    <s v="FIBC"/>
    <s v="FIBC"/>
    <m/>
    <m/>
    <s v="Rs"/>
    <n v="1"/>
    <m/>
    <n v="9"/>
    <n v="91941.91"/>
    <n v="9"/>
    <n v="91941.91"/>
    <n v="0"/>
    <n v="0"/>
    <n v="63053200"/>
    <s v="."/>
    <d v="2026-08-04T00:00:00"/>
    <n v="0"/>
    <n v="0"/>
    <m/>
    <n v="0"/>
    <m/>
    <m/>
    <m/>
    <n v="0"/>
    <n v="0"/>
    <n v="0"/>
    <n v="0"/>
    <n v="0"/>
    <n v="0"/>
    <n v="0"/>
    <n v="0"/>
    <m/>
    <s v="GANDHINAGAR"/>
    <s v="India"/>
    <s v="WIP00003"/>
    <s v="FIBC Bags With UV With Liner"/>
    <s v="FG"/>
    <s v="FIBC Bags"/>
    <x v="0"/>
  </r>
  <r>
    <s v="Plastene Polyfilms Limited"/>
    <n v="446"/>
    <d v="2026-08-04T00:00:00"/>
    <s v="HCP Plastene Bulkpack Limited - Sales"/>
    <s v="GJ39TA3813"/>
    <s v="Flexible Intermediate Bulk Containers (Attachment bag)"/>
    <s v="PO-066770/JF 121010"/>
    <n v="207.22"/>
    <n v="1261"/>
    <s v="Kgs"/>
    <n v="261304.42"/>
    <n v="1261"/>
    <n v="1261"/>
    <n v="0"/>
    <s v="FIBC"/>
    <s v="FIBC"/>
    <m/>
    <m/>
    <s v="Rs"/>
    <n v="1"/>
    <m/>
    <n v="9"/>
    <n v="23517.4"/>
    <n v="9"/>
    <n v="23517.4"/>
    <n v="0"/>
    <n v="0"/>
    <n v="63053200"/>
    <s v="."/>
    <d v="2026-08-04T00:00:00"/>
    <n v="0"/>
    <n v="0"/>
    <m/>
    <n v="0"/>
    <m/>
    <m/>
    <m/>
    <n v="0"/>
    <n v="0"/>
    <n v="0"/>
    <n v="0"/>
    <n v="0"/>
    <n v="0"/>
    <n v="0"/>
    <n v="0"/>
    <m/>
    <s v="GANDHINAGAR"/>
    <s v="India"/>
    <s v="WIP00004"/>
    <s v="FIBC Bags With UV Without Liner"/>
    <s v="FG"/>
    <s v="FIBC Bags"/>
    <x v="0"/>
  </r>
  <r>
    <s v="Plastene Polyfilms Limited"/>
    <n v="446"/>
    <d v="2026-08-04T00:00:00"/>
    <s v="HCP Plastene Bulkpack Limited - Sales"/>
    <s v="GJ39TA3813"/>
    <s v="Flexible Intermediate Bulk Containers (Attachment bag)"/>
    <s v="PO-066770/JF SS 101013"/>
    <n v="210.78"/>
    <n v="2081"/>
    <s v="Kgs"/>
    <n v="438633.18"/>
    <n v="2081"/>
    <n v="2081"/>
    <n v="0"/>
    <s v="FIBC"/>
    <s v="FIBC"/>
    <m/>
    <m/>
    <s v="Rs"/>
    <n v="1"/>
    <m/>
    <n v="9"/>
    <n v="39476.99"/>
    <n v="9"/>
    <n v="39476.99"/>
    <n v="0"/>
    <n v="0"/>
    <n v="63053200"/>
    <s v="."/>
    <d v="2026-08-04T00:00:00"/>
    <n v="0"/>
    <n v="0"/>
    <m/>
    <n v="0"/>
    <m/>
    <m/>
    <m/>
    <n v="0"/>
    <n v="0"/>
    <n v="0"/>
    <n v="0"/>
    <n v="0"/>
    <n v="0"/>
    <n v="0"/>
    <n v="0"/>
    <m/>
    <s v="GANDHINAGAR"/>
    <s v="India"/>
    <s v="WIP00004"/>
    <s v="FIBC Bags With UV Without Liner"/>
    <s v="FG"/>
    <s v="FIBC Bags"/>
    <x v="0"/>
  </r>
  <r>
    <s v="Plastene Polyfilms Limited"/>
    <n v="446"/>
    <d v="2026-08-04T00:00:00"/>
    <s v="HCP Plastene Bulkpack Limited - Sales"/>
    <s v="GJ39TA3813"/>
    <s v="Flexible Intermediate Bulk Containers (Attachment bag)"/>
    <s v="PO-067344/BB DC 60"/>
    <n v="198.21"/>
    <n v="1759"/>
    <s v="Kgs"/>
    <n v="348651.39"/>
    <n v="1759"/>
    <n v="1759"/>
    <n v="0"/>
    <s v="FIBC"/>
    <s v="FIBC"/>
    <m/>
    <m/>
    <s v="Rs"/>
    <n v="1"/>
    <m/>
    <n v="9"/>
    <n v="31378.63"/>
    <n v="9"/>
    <n v="31378.63"/>
    <n v="0"/>
    <n v="0"/>
    <n v="63053200"/>
    <s v="."/>
    <d v="2026-08-04T00:00:00"/>
    <n v="0"/>
    <n v="0"/>
    <m/>
    <n v="0"/>
    <m/>
    <m/>
    <m/>
    <n v="0"/>
    <n v="0"/>
    <n v="0"/>
    <n v="0"/>
    <n v="0"/>
    <n v="0"/>
    <n v="0"/>
    <n v="0"/>
    <m/>
    <s v="GANDHINAGAR"/>
    <s v="India"/>
    <s v="WIP00004"/>
    <s v="FIBC Bags With UV Without Liner"/>
    <s v="FG"/>
    <s v="FIBC Bags"/>
    <x v="0"/>
  </r>
  <r>
    <s v="Plastene Polyfilms Limited"/>
    <n v="446"/>
    <d v="2026-08-04T00:00:00"/>
    <s v="HCP Plastene Bulkpack Limited - Sales"/>
    <s v="GJ39TA3813"/>
    <s v="Flexible Intermediate Bulk Containers (Attachment bag)"/>
    <s v="PO-067344/CA20P"/>
    <n v="217.12"/>
    <n v="8057"/>
    <s v="Kgs"/>
    <n v="1749335.84"/>
    <n v="8057"/>
    <n v="8057"/>
    <n v="0"/>
    <s v="FIBC"/>
    <s v="FIBC"/>
    <m/>
    <m/>
    <s v="Rs"/>
    <n v="1"/>
    <m/>
    <n v="9"/>
    <n v="157440.23000000001"/>
    <n v="9"/>
    <n v="157440.23000000001"/>
    <n v="0"/>
    <n v="0"/>
    <n v="63053200"/>
    <s v="."/>
    <d v="2026-08-04T00:00:00"/>
    <n v="0"/>
    <n v="0"/>
    <m/>
    <n v="0"/>
    <m/>
    <m/>
    <m/>
    <n v="0"/>
    <n v="0"/>
    <n v="0"/>
    <n v="0"/>
    <n v="0"/>
    <n v="0"/>
    <n v="0"/>
    <n v="0"/>
    <m/>
    <s v="GANDHINAGAR"/>
    <s v="India"/>
    <s v="WIP00004"/>
    <s v="FIBC Bags With UV Without Liner"/>
    <s v="FG"/>
    <s v="FIBC Bags"/>
    <x v="0"/>
  </r>
  <r>
    <s v="Plastene Polyfilms Limited"/>
    <n v="446"/>
    <d v="2026-08-04T00:00:00"/>
    <s v="HCP Plastene Bulkpack Limited - Sales"/>
    <s v="GJ39TA3813"/>
    <s v="Flexible Intermediate Bulk Containers (Attachment bag)"/>
    <s v="PO-067344/CA22"/>
    <n v="214.51"/>
    <n v="1624"/>
    <s v="Kgs"/>
    <n v="348364.24"/>
    <n v="1624"/>
    <n v="1624"/>
    <n v="0"/>
    <s v="FIBC"/>
    <s v="FIBC"/>
    <m/>
    <m/>
    <s v="Rs"/>
    <n v="1"/>
    <m/>
    <n v="9"/>
    <n v="31352.78"/>
    <n v="9"/>
    <n v="31352.78"/>
    <n v="0"/>
    <n v="0"/>
    <n v="63053200"/>
    <s v="."/>
    <d v="2026-08-04T00:00:00"/>
    <n v="0"/>
    <n v="0"/>
    <m/>
    <n v="0"/>
    <m/>
    <m/>
    <m/>
    <n v="0"/>
    <n v="0"/>
    <n v="0"/>
    <n v="0"/>
    <n v="0"/>
    <n v="0"/>
    <n v="0"/>
    <n v="0"/>
    <m/>
    <s v="GANDHINAGAR"/>
    <s v="India"/>
    <s v="WIP00004"/>
    <s v="FIBC Bags With UV Without Liner"/>
    <s v="FG"/>
    <s v="FIBC Bags"/>
    <x v="0"/>
  </r>
  <r>
    <s v="Plastene Polyfilms Limited"/>
    <n v="446"/>
    <d v="2026-08-04T00:00:00"/>
    <s v="HCP Plastene Bulkpack Limited - Sales"/>
    <s v="GJ39TA3813"/>
    <s v="Flexible Intermediate Bulk Containers (Attachment bag)"/>
    <s v="PO-067344/KDC 12912"/>
    <n v="190.3"/>
    <n v="881"/>
    <s v="Kgs"/>
    <n v="167654.29999999999"/>
    <n v="881"/>
    <n v="881"/>
    <n v="0"/>
    <s v="FIBC"/>
    <s v="FIBC"/>
    <m/>
    <m/>
    <s v="Rs"/>
    <n v="1"/>
    <m/>
    <n v="9"/>
    <n v="15088.89"/>
    <n v="9"/>
    <n v="15088.89"/>
    <n v="0"/>
    <n v="0"/>
    <n v="63053200"/>
    <s v="."/>
    <d v="2026-08-04T00:00:00"/>
    <n v="0"/>
    <n v="0"/>
    <m/>
    <n v="0"/>
    <m/>
    <m/>
    <m/>
    <n v="0"/>
    <n v="0"/>
    <n v="0"/>
    <n v="0"/>
    <n v="0"/>
    <n v="0"/>
    <n v="0"/>
    <n v="0"/>
    <m/>
    <s v="GANDHINAGAR"/>
    <s v="India"/>
    <s v="WIP00004"/>
    <s v="FIBC Bags With UV Without Liner"/>
    <s v="FG"/>
    <s v="FIBC Bags"/>
    <x v="0"/>
  </r>
  <r>
    <s v="Plastene Polyfilms Limited"/>
    <n v="448"/>
    <d v="2026-08-04T00:00:00"/>
    <s v="Hcp Plastene Bulkpack Ltd (Unit Iv) - Sales"/>
    <s v="GJ-12 BU 0544"/>
    <s v="LD/LLDPE  FILM"/>
    <s v="LDPE/LLDPE Film"/>
    <n v="270"/>
    <n v="6"/>
    <s v="Kgs"/>
    <n v="1620"/>
    <n v="6"/>
    <n v="6"/>
    <n v="192674.18"/>
    <s v="Woven - Fabric"/>
    <s v="Others"/>
    <m/>
    <m/>
    <s v="Rs"/>
    <n v="1"/>
    <m/>
    <n v="9"/>
    <n v="145.80000000000001"/>
    <n v="9"/>
    <n v="145.80000000000001"/>
    <n v="0"/>
    <n v="0"/>
    <n v="39201019"/>
    <s v="."/>
    <d v="2026-08-04T00:00:00"/>
    <n v="0"/>
    <n v="0"/>
    <m/>
    <n v="0"/>
    <m/>
    <m/>
    <m/>
    <n v="0"/>
    <n v="0"/>
    <n v="0"/>
    <n v="0"/>
    <n v="0"/>
    <n v="0"/>
    <n v="0"/>
    <n v="0"/>
    <m/>
    <s v="KACHCHH"/>
    <s v="India"/>
    <s v="RAW05124"/>
    <s v="LDPE/LLDPE Film"/>
    <s v="SF"/>
    <s v="Films All (SF)"/>
    <x v="5"/>
  </r>
  <r>
    <s v="Plastene Polyfilms Limited"/>
    <n v="448"/>
    <d v="2026-08-04T00:00:00"/>
    <s v="Hcp Plastene Bulkpack Ltd (Unit Iv) - Sales"/>
    <s v="GJ-12 BU 0544"/>
    <s v="PP Woven Fabrics Laminated/ Coated"/>
    <s v="SPOUT---60+8 GSM"/>
    <n v="137.58000000000001"/>
    <n v="240"/>
    <s v="Kgs"/>
    <n v="33019.199999999997"/>
    <n v="240"/>
    <n v="245"/>
    <n v="0"/>
    <s v="Woven - Fabric"/>
    <s v="Woven - Fabric"/>
    <m/>
    <m/>
    <s v="Rs"/>
    <n v="1"/>
    <m/>
    <n v="9"/>
    <n v="2971.73"/>
    <n v="9"/>
    <n v="2971.73"/>
    <n v="0"/>
    <n v="0"/>
    <n v="39269080"/>
    <s v="."/>
    <d v="2026-08-04T00:00:00"/>
    <n v="0"/>
    <n v="0"/>
    <m/>
    <n v="0"/>
    <m/>
    <m/>
    <m/>
    <n v="0"/>
    <n v="0"/>
    <n v="0"/>
    <n v="0"/>
    <n v="0"/>
    <n v="0"/>
    <n v="0"/>
    <n v="0"/>
    <m/>
    <s v="KACHCHH"/>
    <s v="India"/>
    <s v="WIP00025"/>
    <s v="PP Lam Fabric With UV"/>
    <s v="SF"/>
    <s v="PP/PE Fabric"/>
    <x v="6"/>
  </r>
  <r>
    <s v="Plastene Polyfilms Limited"/>
    <n v="448"/>
    <d v="2026-08-04T00:00:00"/>
    <s v="Hcp Plastene Bulkpack Ltd (Unit Iv) - Sales"/>
    <s v="GJ-12 BU 0544"/>
    <s v="PP Woven Fabrics Laminated/ Coated"/>
    <s v="SPOUT---BLUE---90+12 GSM"/>
    <n v="140.58000000000001"/>
    <n v="249"/>
    <s v="Kgs"/>
    <n v="35004.42"/>
    <n v="249"/>
    <n v="252"/>
    <n v="0"/>
    <s v="Woven - Fabric"/>
    <s v="Woven - Fabric"/>
    <m/>
    <m/>
    <s v="Rs"/>
    <n v="1"/>
    <m/>
    <n v="9"/>
    <n v="3150.4"/>
    <n v="9"/>
    <n v="3150.4"/>
    <n v="0"/>
    <n v="0"/>
    <n v="39269080"/>
    <s v="."/>
    <d v="2026-08-04T00:00:00"/>
    <n v="0"/>
    <n v="0"/>
    <m/>
    <n v="0"/>
    <m/>
    <m/>
    <m/>
    <n v="0"/>
    <n v="0"/>
    <n v="0"/>
    <n v="0"/>
    <n v="0"/>
    <n v="0"/>
    <n v="0"/>
    <n v="0"/>
    <m/>
    <s v="KACHCHH"/>
    <s v="India"/>
    <s v="WIP00025"/>
    <s v="PP Lam Fabric With UV"/>
    <s v="SF"/>
    <s v="PP/PE Fabric"/>
    <x v="6"/>
  </r>
  <r>
    <s v="Plastene Polyfilms Limited"/>
    <n v="448"/>
    <d v="2026-08-04T00:00:00"/>
    <s v="Hcp Plastene Bulkpack Ltd (Unit Iv) - Sales"/>
    <s v="GJ-12 BU 0544"/>
    <s v="PP Woven Fabrics"/>
    <s v="CUT PCS BOTTOM 73X73 CM"/>
    <n v="133.58000000000001"/>
    <n v="701"/>
    <s v="Kgs"/>
    <n v="93639.58"/>
    <n v="701"/>
    <n v="701"/>
    <n v="0"/>
    <s v="Woven - Fabric"/>
    <s v="Woven - Fabric"/>
    <m/>
    <m/>
    <s v="Rs"/>
    <n v="1"/>
    <m/>
    <n v="9"/>
    <n v="8427.56"/>
    <n v="9"/>
    <n v="8427.56"/>
    <n v="0"/>
    <n v="0"/>
    <n v="39269080"/>
    <s v="."/>
    <d v="2026-08-04T00:00:00"/>
    <n v="0"/>
    <n v="0"/>
    <m/>
    <n v="0"/>
    <m/>
    <m/>
    <m/>
    <n v="0"/>
    <n v="0"/>
    <n v="0"/>
    <n v="0"/>
    <n v="0"/>
    <n v="0"/>
    <n v="0"/>
    <n v="0"/>
    <m/>
    <s v="KACHCHH"/>
    <s v="India"/>
    <s v="FIG00001"/>
    <s v="FIBC WIP"/>
    <s v="FG"/>
    <s v="FIBC WIP"/>
    <x v="7"/>
  </r>
  <r>
    <s v="Plastene Polyfilms Limited"/>
    <s v="PPL/E/69/26-27"/>
    <d v="2026-08-04T00:00:00"/>
    <s v="K.P. WOVEN PVT LTD - UNIT 3 -SALES"/>
    <s v="GJ07Y1324"/>
    <s v="PP Woven Fabrics Laminated/ Coated"/>
    <s v="PP Lam Fabric With UV MW"/>
    <n v="126.93"/>
    <n v="3438"/>
    <s v="Kgs"/>
    <n v="436385.34"/>
    <n v="3438"/>
    <n v="3543"/>
    <n v="718671.28"/>
    <s v="Woven - Fabric"/>
    <s v="Woven - Fabric"/>
    <m/>
    <m/>
    <s v="Rs"/>
    <n v="1"/>
    <s v="LUT Bond No"/>
    <n v="0"/>
    <n v="0"/>
    <n v="0"/>
    <n v="0"/>
    <n v="18"/>
    <n v="78549.36"/>
    <n v="39269080"/>
    <s v="."/>
    <d v="2026-08-04T00:00:00"/>
    <n v="0"/>
    <n v="0"/>
    <m/>
    <n v="0"/>
    <m/>
    <m/>
    <m/>
    <n v="0"/>
    <n v="0"/>
    <n v="0"/>
    <n v="0"/>
    <n v="0"/>
    <n v="0"/>
    <n v="0"/>
    <n v="0"/>
    <m/>
    <s v="KASEZ"/>
    <s v="India"/>
    <s v="WIP00025"/>
    <s v="PP Lam Fabric With UV"/>
    <s v="SF"/>
    <s v="PP/PE Fabric"/>
    <x v="4"/>
  </r>
  <r>
    <s v="Plastene Polyfilms Limited"/>
    <s v="PPL/E/69/26-27"/>
    <d v="2026-08-04T00:00:00"/>
    <s v="K.P. WOVEN PVT LTD - UNIT 3 -SALES"/>
    <s v="GJ07Y1324"/>
    <s v="PP Woven Fabrics Laminated/ Coated"/>
    <s v="PP Lam Fabric With UV Condective"/>
    <n v="151.93"/>
    <n v="1858"/>
    <s v="Kgs"/>
    <n v="282285.94"/>
    <n v="1858"/>
    <n v="1918"/>
    <n v="0"/>
    <s v="Woven - Fabric"/>
    <s v="Woven - Fabric"/>
    <m/>
    <m/>
    <s v="Rs"/>
    <n v="1"/>
    <s v="LUT Bond No"/>
    <n v="0"/>
    <n v="0"/>
    <n v="0"/>
    <n v="0"/>
    <n v="18"/>
    <n v="50811.47"/>
    <n v="39269080"/>
    <s v="."/>
    <d v="2026-08-04T00:00:00"/>
    <n v="0"/>
    <n v="0"/>
    <m/>
    <n v="0"/>
    <m/>
    <m/>
    <m/>
    <n v="0"/>
    <n v="0"/>
    <n v="0"/>
    <n v="0"/>
    <n v="0"/>
    <n v="0"/>
    <n v="0"/>
    <n v="0"/>
    <m/>
    <s v="KASEZ"/>
    <s v="India"/>
    <s v="WIP00025"/>
    <s v="PP Lam Fabric With UV"/>
    <s v="SF"/>
    <s v="PP/PE Fabric"/>
    <x v="4"/>
  </r>
  <r>
    <s v="Plastene Polyfilms Limited"/>
    <n v="449"/>
    <d v="2026-08-05T00:00:00"/>
    <s v="Hcp Plastene Bulkpack Ltd (Unit Iv) - Sales"/>
    <s v="GJ12X1249"/>
    <s v="Flexible Intermediate Bulk Containers (Attachment bag)"/>
    <s v="MN-44-19062026/BERY"/>
    <n v="208.89"/>
    <n v="2226"/>
    <s v="Kgs"/>
    <n v="464989.14"/>
    <n v="2226"/>
    <n v="2226"/>
    <n v="1206501.6599999999"/>
    <s v="FIBC"/>
    <s v="FIBC"/>
    <m/>
    <m/>
    <s v="Rs"/>
    <n v="1"/>
    <m/>
    <n v="9"/>
    <n v="41849.019999999997"/>
    <n v="9"/>
    <n v="41849.019999999997"/>
    <n v="0"/>
    <n v="0"/>
    <n v="63053200"/>
    <s v="."/>
    <d v="2026-08-05T00:00:00"/>
    <n v="0"/>
    <n v="0"/>
    <m/>
    <n v="0"/>
    <m/>
    <m/>
    <m/>
    <n v="0"/>
    <n v="0"/>
    <n v="0"/>
    <n v="0"/>
    <n v="0"/>
    <n v="0"/>
    <n v="0"/>
    <n v="0"/>
    <m/>
    <s v="KACHCHH"/>
    <s v="India"/>
    <s v="WIP00004"/>
    <s v="FIBC Bags With UV Without Liner"/>
    <s v="FG"/>
    <s v="FIBC Bags"/>
    <x v="0"/>
  </r>
  <r>
    <s v="Plastene Polyfilms Limited"/>
    <n v="449"/>
    <d v="2026-08-05T00:00:00"/>
    <s v="Hcp Plastene Bulkpack Ltd (Unit Iv) - Sales"/>
    <s v="GJ12X1249"/>
    <s v="Flexible Intermediate Bulk Containers (Attachment bag)"/>
    <s v="MN-44-19062026/BULLY"/>
    <n v="206.7"/>
    <n v="2697"/>
    <s v="Kgs"/>
    <n v="557469.9"/>
    <n v="2697"/>
    <n v="2697"/>
    <n v="0"/>
    <s v="FIBC"/>
    <s v="FIBC"/>
    <m/>
    <m/>
    <s v="Rs"/>
    <n v="1"/>
    <m/>
    <n v="9"/>
    <n v="50172.29"/>
    <n v="9"/>
    <n v="50172.29"/>
    <n v="0"/>
    <n v="0"/>
    <n v="63053200"/>
    <s v="."/>
    <d v="2026-08-05T00:00:00"/>
    <n v="0"/>
    <n v="0"/>
    <m/>
    <n v="0"/>
    <m/>
    <m/>
    <m/>
    <n v="0"/>
    <n v="0"/>
    <n v="0"/>
    <n v="0"/>
    <n v="0"/>
    <n v="0"/>
    <n v="0"/>
    <n v="0"/>
    <m/>
    <s v="KACHCHH"/>
    <s v="India"/>
    <s v="WIP00004"/>
    <s v="FIBC Bags With UV Without Liner"/>
    <s v="FG"/>
    <s v="FIBC Bags"/>
    <x v="0"/>
  </r>
  <r>
    <s v="Plastene Polyfilms Limited"/>
    <n v="450"/>
    <d v="2026-08-05T00:00:00"/>
    <s v="Plastene India ltd - Unit 1-Sales"/>
    <s v="GJ12X1249"/>
    <s v="PP Woven Fabrics"/>
    <s v="PP Lam Fabric With UV MW"/>
    <n v="137.58000000000001"/>
    <n v="327"/>
    <s v="Kgs"/>
    <n v="44988.66"/>
    <n v="327"/>
    <n v="327"/>
    <n v="113176.77"/>
    <s v="Woven - Fabric"/>
    <s v="Woven - Fabric"/>
    <m/>
    <m/>
    <s v="Rs"/>
    <n v="1"/>
    <m/>
    <n v="9"/>
    <n v="4048.98"/>
    <n v="9"/>
    <n v="4048.98"/>
    <n v="0"/>
    <n v="0"/>
    <n v="39269080"/>
    <s v="."/>
    <d v="2026-08-05T00:00:00"/>
    <n v="0"/>
    <n v="0"/>
    <m/>
    <n v="0"/>
    <m/>
    <m/>
    <m/>
    <n v="0"/>
    <n v="0"/>
    <n v="0"/>
    <n v="0"/>
    <n v="0"/>
    <n v="0"/>
    <n v="0"/>
    <n v="0"/>
    <m/>
    <s v="KUTCH"/>
    <s v="India"/>
    <s v="WIP00025"/>
    <s v="PP Lam Fabric With UV"/>
    <s v="SF"/>
    <s v="PP/PE Fabric"/>
    <x v="6"/>
  </r>
  <r>
    <s v="Plastene Polyfilms Limited"/>
    <n v="450"/>
    <d v="2026-08-05T00:00:00"/>
    <s v="Plastene India ltd - Unit 1-Sales"/>
    <s v="GJ12X1249"/>
    <s v="PP WEBBING"/>
    <s v="Webbing MW"/>
    <n v="135.58000000000001"/>
    <n v="375.6"/>
    <s v="Kgs"/>
    <n v="50923.85"/>
    <n v="375.6"/>
    <n v="375.6"/>
    <n v="0"/>
    <s v="Woven - Fabric"/>
    <s v="Webbing"/>
    <m/>
    <m/>
    <s v="Rs"/>
    <n v="1"/>
    <m/>
    <n v="9"/>
    <n v="4583.1499999999996"/>
    <n v="9"/>
    <n v="4583.1499999999996"/>
    <n v="0"/>
    <n v="0"/>
    <n v="39269080"/>
    <s v="."/>
    <d v="2026-08-05T00:00:00"/>
    <n v="0"/>
    <n v="0"/>
    <m/>
    <n v="0"/>
    <m/>
    <m/>
    <m/>
    <n v="0"/>
    <n v="0"/>
    <n v="0"/>
    <n v="0"/>
    <n v="0"/>
    <n v="0"/>
    <n v="0"/>
    <n v="0"/>
    <m/>
    <s v="KUTCH"/>
    <s v="India"/>
    <s v="WIP00032"/>
    <s v="Webbing"/>
    <s v="SF"/>
    <s v="Webbing"/>
    <x v="8"/>
  </r>
  <r>
    <s v="Plastene Polyfilms Limited"/>
    <n v="452"/>
    <d v="2026-08-05T00:00:00"/>
    <s v="Plastene India ltd - Unit 1-Sales"/>
    <s v="GJ12BY1595"/>
    <s v="PP TAPE"/>
    <s v="PP Tapes MW"/>
    <n v="114.93"/>
    <n v="2320.1999999999998"/>
    <s v="Kgs"/>
    <n v="266660.59000000003"/>
    <n v="2320.1999999999998"/>
    <n v="2320.1999999999998"/>
    <n v="314659.49"/>
    <s v="Others"/>
    <s v="Woven - Other"/>
    <m/>
    <m/>
    <s v="Rs"/>
    <n v="1"/>
    <m/>
    <n v="9"/>
    <n v="23999.45"/>
    <n v="9"/>
    <n v="23999.45"/>
    <n v="0"/>
    <n v="0"/>
    <n v="39199090"/>
    <s v="."/>
    <d v="2026-08-05T00:00:00"/>
    <n v="0"/>
    <n v="0"/>
    <m/>
    <n v="0"/>
    <m/>
    <m/>
    <m/>
    <n v="0"/>
    <n v="0"/>
    <n v="0"/>
    <n v="0"/>
    <n v="0"/>
    <n v="0"/>
    <n v="0"/>
    <n v="0"/>
    <m/>
    <s v="KUTCH"/>
    <s v="India"/>
    <s v="RAW05951"/>
    <s v="PP Tapes"/>
    <s v="SF"/>
    <s v="Tape Stock"/>
    <x v="9"/>
  </r>
  <r>
    <s v="Plastene Polyfilms Limited"/>
    <n v="453"/>
    <d v="2026-08-05T00:00:00"/>
    <s v="Plastene India ltd - Unit 1-Sales"/>
    <s v="GJ12BW4332"/>
    <s v="Flexible Intermediate Bulk Containers (Attachment bag)"/>
    <s v="88/968-D/1/S1"/>
    <n v="267.17"/>
    <n v="4058"/>
    <s v="Kgs"/>
    <n v="1084175.8600000001"/>
    <n v="4058"/>
    <n v="4058"/>
    <n v="1279327.52"/>
    <s v="FIBC"/>
    <s v="FIBC"/>
    <m/>
    <m/>
    <s v="Rs"/>
    <n v="1"/>
    <m/>
    <n v="9"/>
    <n v="97575.83"/>
    <n v="9"/>
    <n v="97575.83"/>
    <n v="0"/>
    <n v="0"/>
    <n v="63053200"/>
    <s v="."/>
    <d v="2026-08-05T00:00:00"/>
    <n v="0"/>
    <n v="0"/>
    <m/>
    <n v="0"/>
    <m/>
    <m/>
    <m/>
    <n v="0"/>
    <n v="0"/>
    <n v="0"/>
    <n v="0"/>
    <n v="0"/>
    <n v="0"/>
    <n v="0"/>
    <n v="0"/>
    <m/>
    <s v="KUTCH"/>
    <s v="India"/>
    <s v="WIP00004"/>
    <s v="FIBC Bags With UV Without Liner"/>
    <s v="FG"/>
    <s v="FIBC Bags"/>
    <x v="0"/>
  </r>
  <r>
    <s v="Plastene Polyfilms Limited"/>
    <s v="PPL/E/70/26-27"/>
    <d v="2026-08-05T00:00:00"/>
    <s v="K.P. WOVEN PVT LTD - UNIT 3 -SALES"/>
    <s v="GJ12BY1595"/>
    <s v="Flexible Intermediate Bulk Containers (Attachment bag)"/>
    <s v="PP WOVEN BIG BAGS"/>
    <n v="2"/>
    <n v="8210"/>
    <s v="Kgs"/>
    <n v="1536912"/>
    <n v="8210"/>
    <n v="8210"/>
    <n v="1536912"/>
    <s v="FIBC"/>
    <s v="FIBC"/>
    <m/>
    <m/>
    <s v="USD"/>
    <n v="93.6"/>
    <s v="LUT Bond No"/>
    <m/>
    <m/>
    <m/>
    <m/>
    <n v="18"/>
    <n v="2955.6"/>
    <n v="63053200"/>
    <n v="28"/>
    <d v="2026-08-05T00:00:00"/>
    <n v="16420"/>
    <n v="1536912"/>
    <s v="FOB"/>
    <n v="16420"/>
    <m/>
    <m/>
    <n v="6220250"/>
    <n v="0"/>
    <n v="0"/>
    <n v="0"/>
    <n v="0"/>
    <n v="0"/>
    <n v="0"/>
    <n v="0"/>
    <n v="0"/>
    <m/>
    <s v="KASEZ"/>
    <s v="India"/>
    <s v="WIP00004"/>
    <s v="FIBC Bags With UV Without Liner"/>
    <s v="FG"/>
    <s v="FIBC Bags"/>
    <x v="10"/>
  </r>
  <r>
    <s v="Plastene Polyfilms Limited"/>
    <n v="455"/>
    <d v="2026-08-06T00:00:00"/>
    <s v="HCP Plastene Bulkpack Limited - Sales"/>
    <s v="GJ39TA3814"/>
    <s v="Flexible Intermediate Bulk Containers (Attachment bag)"/>
    <s v="KRZY-94/KK0019 SUGAR KSC"/>
    <n v="201.2"/>
    <n v="19371"/>
    <s v="Kgs"/>
    <n v="3897445.2"/>
    <n v="19371"/>
    <n v="19371"/>
    <n v="4598985.34"/>
    <s v="FIBC"/>
    <s v="FIBC"/>
    <m/>
    <m/>
    <s v="Rs"/>
    <n v="1"/>
    <m/>
    <n v="9"/>
    <n v="350770.07"/>
    <n v="9"/>
    <n v="350770.07"/>
    <n v="0"/>
    <n v="0"/>
    <n v="63053200"/>
    <s v="."/>
    <d v="2026-08-06T00:00:00"/>
    <n v="0"/>
    <n v="0"/>
    <m/>
    <n v="0"/>
    <m/>
    <m/>
    <m/>
    <n v="0"/>
    <n v="0"/>
    <n v="0"/>
    <n v="0"/>
    <n v="0"/>
    <n v="0"/>
    <n v="0"/>
    <n v="0"/>
    <m/>
    <s v="GANDHINAGAR"/>
    <s v="India"/>
    <s v="WIP00004"/>
    <s v="FIBC Bags With UV Without Liner"/>
    <s v="FG"/>
    <s v="FIBC Bags"/>
    <x v="0"/>
  </r>
  <r>
    <s v="Plastene Polyfilms Limited"/>
    <n v="456"/>
    <d v="2026-08-06T00:00:00"/>
    <s v="Plastene India ltd - Unit 1-Sales"/>
    <s v="GJ12X1249"/>
    <s v="PP Woven Fabrics Laminated/ Coated"/>
    <s v="LAMI CUT PCS BUFFLE PUNCHING"/>
    <n v="113.58"/>
    <n v="297"/>
    <s v="Kgs"/>
    <n v="33733.26"/>
    <n v="297"/>
    <n v="297"/>
    <n v="39805.24"/>
    <s v="FIBC"/>
    <s v="Woven - Fabric"/>
    <m/>
    <m/>
    <s v="Rs"/>
    <n v="1"/>
    <m/>
    <n v="9"/>
    <n v="3035.99"/>
    <n v="9"/>
    <n v="3035.99"/>
    <n v="0"/>
    <n v="0"/>
    <n v="39269080"/>
    <s v="."/>
    <d v="2026-08-06T00:00:00"/>
    <n v="0"/>
    <n v="0"/>
    <m/>
    <n v="0"/>
    <m/>
    <m/>
    <m/>
    <n v="0"/>
    <n v="0"/>
    <n v="0"/>
    <n v="0"/>
    <n v="0"/>
    <n v="0"/>
    <n v="0"/>
    <n v="0"/>
    <m/>
    <s v="KUTCH"/>
    <s v="India"/>
    <s v="FIG00001"/>
    <s v="FIBC WIP"/>
    <s v="FG"/>
    <s v="FIBC WIP"/>
    <x v="7"/>
  </r>
  <r>
    <s v="Plastene Polyfilms Limited"/>
    <n v="457"/>
    <d v="2026-08-06T00:00:00"/>
    <s v="Plastene India ltd - Unit 1-Sales"/>
    <s v="GJ12FB2542"/>
    <s v="LD/LLDPE  FILM"/>
    <s v="LDPE/LLDPE Film"/>
    <n v="277"/>
    <n v="7.53"/>
    <s v="Kgs"/>
    <n v="2085.81"/>
    <n v="7.53"/>
    <n v="7.53"/>
    <n v="2461.25"/>
    <s v="Others"/>
    <s v="Others"/>
    <m/>
    <m/>
    <s v="Rs"/>
    <n v="1"/>
    <m/>
    <n v="9"/>
    <n v="187.72"/>
    <n v="9"/>
    <n v="187.72"/>
    <n v="0"/>
    <n v="0"/>
    <n v="39201019"/>
    <s v="."/>
    <d v="2026-08-06T00:00:00"/>
    <n v="0"/>
    <n v="0"/>
    <m/>
    <n v="0"/>
    <m/>
    <m/>
    <m/>
    <n v="0"/>
    <n v="0"/>
    <n v="0"/>
    <n v="0"/>
    <n v="0"/>
    <n v="0"/>
    <n v="0"/>
    <n v="0"/>
    <m/>
    <s v="KUTCH"/>
    <s v="India"/>
    <s v="RAW05124"/>
    <s v="LDPE/LLDPE Film"/>
    <s v="SF"/>
    <s v="Films All (SF)"/>
    <x v="5"/>
  </r>
  <r>
    <s v="Plastene Polyfilms Limited"/>
    <n v="458"/>
    <d v="2026-08-07T00:00:00"/>
    <s v="K.P. Woven Pvt Ltd-Sales"/>
    <s v="GJ12BT0082"/>
    <s v="FLEXIBLE INTERMEDIATE BULK CONTAINER"/>
    <s v="E-IO26-00474/001038-00033-00"/>
    <n v="255.67"/>
    <n v="22263"/>
    <s v="Kgs"/>
    <n v="5691981.21"/>
    <n v="22263"/>
    <n v="22263"/>
    <n v="6716537.8300000001"/>
    <s v="FIBC"/>
    <s v="FIBC"/>
    <m/>
    <m/>
    <s v="Rs"/>
    <n v="1"/>
    <m/>
    <n v="9"/>
    <n v="512278.31"/>
    <n v="9"/>
    <n v="512278.31"/>
    <n v="0"/>
    <n v="0"/>
    <n v="39232999"/>
    <s v="."/>
    <d v="2026-08-07T00:00:00"/>
    <n v="0"/>
    <n v="0"/>
    <m/>
    <n v="0"/>
    <m/>
    <m/>
    <m/>
    <n v="0"/>
    <n v="0"/>
    <n v="0"/>
    <n v="0"/>
    <n v="0"/>
    <n v="0"/>
    <n v="0"/>
    <n v="0"/>
    <m/>
    <s v="AHMEDABAD"/>
    <s v="India"/>
    <s v="WIP00004"/>
    <s v="FIBC Bags With UV Without Liner"/>
    <s v="FG"/>
    <s v="FIBC Bags"/>
    <x v="0"/>
  </r>
  <r>
    <s v="Plastene Polyfilms Limited"/>
    <n v="459"/>
    <d v="2026-08-07T00:00:00"/>
    <s v="K.P. Woven Pvt Ltd-Sales"/>
    <s v="GJ39TA3811"/>
    <s v="FLEXIBLE INTERMEDIATE BULK CONTAINER"/>
    <s v="E-IO26-00503/006890-00003-00"/>
    <n v="210.44"/>
    <n v="19764"/>
    <s v="Kgs"/>
    <n v="4159136.16"/>
    <n v="19764"/>
    <n v="19764"/>
    <n v="4907780.66"/>
    <s v="FIBC"/>
    <s v="FIBC"/>
    <m/>
    <m/>
    <s v="Rs"/>
    <n v="1"/>
    <m/>
    <n v="9"/>
    <n v="374322.25"/>
    <n v="9"/>
    <n v="374322.25"/>
    <n v="0"/>
    <n v="0"/>
    <n v="39232999"/>
    <s v="."/>
    <d v="2026-08-07T00:00:00"/>
    <n v="0"/>
    <n v="0"/>
    <m/>
    <n v="0"/>
    <m/>
    <m/>
    <m/>
    <n v="0"/>
    <n v="0"/>
    <n v="0"/>
    <n v="0"/>
    <n v="0"/>
    <n v="0"/>
    <n v="0"/>
    <n v="0"/>
    <m/>
    <s v="AHMEDABAD"/>
    <s v="India"/>
    <s v="WIP00004"/>
    <s v="FIBC Bags With UV Without Liner"/>
    <s v="FG"/>
    <s v="FIBC Bags"/>
    <x v="0"/>
  </r>
  <r>
    <s v="Plastene Polyfilms Limited"/>
    <n v="460"/>
    <d v="2026-08-07T00:00:00"/>
    <s v="Plastene India ltd - Unit 1-Sales"/>
    <s v="GJ39T6056"/>
    <s v="PP Woven Fabrics Laminated/ Coated"/>
    <s v="PP Lam Fabric With UV black"/>
    <n v="129.93"/>
    <n v="750"/>
    <s v="Kgs"/>
    <n v="97447.5"/>
    <n v="750"/>
    <n v="750"/>
    <n v="151234.20000000001"/>
    <s v="Woven - Fabric"/>
    <s v="Woven - Fabric"/>
    <m/>
    <m/>
    <s v="Rs"/>
    <n v="1"/>
    <m/>
    <n v="9"/>
    <n v="8770.2800000000007"/>
    <n v="9"/>
    <n v="8770.2800000000007"/>
    <n v="0"/>
    <n v="0"/>
    <n v="39269080"/>
    <s v="."/>
    <d v="2026-08-07T00:00:00"/>
    <n v="0"/>
    <n v="0"/>
    <m/>
    <n v="0"/>
    <m/>
    <m/>
    <m/>
    <n v="0"/>
    <n v="0"/>
    <n v="0"/>
    <n v="0"/>
    <n v="0"/>
    <n v="0"/>
    <n v="0"/>
    <n v="0"/>
    <m/>
    <s v="KUTCH"/>
    <s v="India"/>
    <s v="WIP00025"/>
    <s v="PP Lam Fabric With UV"/>
    <s v="SF"/>
    <s v="PP/PE Fabric"/>
    <x v="6"/>
  </r>
  <r>
    <s v="Plastene Polyfilms Limited"/>
    <n v="460"/>
    <d v="2026-08-07T00:00:00"/>
    <s v="Plastene India ltd - Unit 1-Sales"/>
    <s v="GJ39T6056"/>
    <s v="PP Woven Fabrics Laminated/ Coated"/>
    <s v="PP Lam Fabric With UV mw"/>
    <n v="126.93"/>
    <n v="242"/>
    <s v="Kgs"/>
    <n v="30717.06"/>
    <n v="242"/>
    <n v="242"/>
    <n v="0"/>
    <s v="Woven - Fabric"/>
    <s v="Woven - Fabric"/>
    <m/>
    <m/>
    <s v="Rs"/>
    <n v="1"/>
    <m/>
    <n v="9"/>
    <n v="2764.54"/>
    <n v="9"/>
    <n v="2764.54"/>
    <n v="0"/>
    <n v="0"/>
    <n v="39269080"/>
    <s v="."/>
    <d v="2026-08-07T00:00:00"/>
    <n v="0"/>
    <n v="0"/>
    <m/>
    <n v="0"/>
    <m/>
    <m/>
    <m/>
    <n v="0"/>
    <n v="0"/>
    <n v="0"/>
    <n v="0"/>
    <n v="0"/>
    <n v="0"/>
    <n v="0"/>
    <n v="0"/>
    <m/>
    <s v="KUTCH"/>
    <s v="India"/>
    <s v="WIP00025"/>
    <s v="PP Lam Fabric With UV"/>
    <s v="SF"/>
    <s v="PP/PE Fabric"/>
    <x v="6"/>
  </r>
  <r>
    <s v="Plastene Polyfilms Limited"/>
    <n v="462"/>
    <d v="2026-08-07T00:00:00"/>
    <s v="Hcp Plastene Bulkpack Ltd (Unit Iv) - Sales"/>
    <s v="GJ12BU0544"/>
    <s v="PP Woven Fabrics Laminated/ Coated"/>
    <s v="PP Lam Fabric CutPcs With UV"/>
    <n v="137.58000000000001"/>
    <n v="505"/>
    <s v="Kgs"/>
    <n v="69477.899999999994"/>
    <n v="505"/>
    <n v="515"/>
    <n v="106888.58"/>
    <s v="Woven - Fabric"/>
    <s v="Woven - Fabric"/>
    <m/>
    <m/>
    <s v="Rs"/>
    <n v="1"/>
    <m/>
    <n v="9"/>
    <n v="6253.01"/>
    <n v="9"/>
    <n v="6253.01"/>
    <n v="0"/>
    <n v="0"/>
    <n v="39269080"/>
    <s v="-"/>
    <d v="2026-08-07T00:00:00"/>
    <n v="0"/>
    <n v="0"/>
    <m/>
    <n v="0"/>
    <m/>
    <m/>
    <m/>
    <n v="0"/>
    <n v="0"/>
    <n v="0"/>
    <n v="0"/>
    <n v="0"/>
    <n v="0"/>
    <n v="0"/>
    <n v="0"/>
    <m/>
    <s v="KACHCHH"/>
    <s v="India"/>
    <s v="WIP00025"/>
    <s v="PP Lam Fabric With UV"/>
    <s v="SF"/>
    <s v="PP/PE Fabric"/>
    <x v="6"/>
  </r>
  <r>
    <s v="Plastene Polyfilms Limited"/>
    <n v="462"/>
    <d v="2026-08-07T00:00:00"/>
    <s v="Hcp Plastene Bulkpack Ltd (Unit Iv) - Sales"/>
    <s v="GJ12BU0544"/>
    <s v="PP Woven Fabrics"/>
    <s v="CUT PICES"/>
    <n v="133.58000000000001"/>
    <n v="158"/>
    <s v="Kgs"/>
    <n v="21105.64"/>
    <n v="158"/>
    <n v="158"/>
    <n v="0"/>
    <s v="Woven - Fabric"/>
    <s v="Woven - Fabric"/>
    <m/>
    <m/>
    <s v="Rs"/>
    <n v="1"/>
    <m/>
    <n v="9"/>
    <n v="1899.51"/>
    <n v="9"/>
    <n v="1899.51"/>
    <n v="0"/>
    <n v="0"/>
    <n v="39269080"/>
    <s v="-"/>
    <d v="2026-08-07T00:00:00"/>
    <n v="0"/>
    <n v="0"/>
    <m/>
    <n v="0"/>
    <m/>
    <m/>
    <m/>
    <n v="0"/>
    <n v="0"/>
    <n v="0"/>
    <n v="0"/>
    <n v="0"/>
    <n v="0"/>
    <n v="0"/>
    <n v="0"/>
    <m/>
    <s v="KACHCHH"/>
    <s v="India"/>
    <s v="FIG00001"/>
    <s v="FIBC WIP"/>
    <s v="FG"/>
    <s v="FIBC WIP"/>
    <x v="7"/>
  </r>
  <r>
    <s v="Plastene Polyfilms Limited"/>
    <s v="PPL/E/71/26-27"/>
    <d v="2026-08-07T00:00:00"/>
    <s v="K.P. WOVEN PVT LTD - UNIT 3 -SALES"/>
    <s v="GJ39T6056"/>
    <s v="Polypropylene Woven Fabrics"/>
    <s v="PP UL Fabric With UV"/>
    <n v="1.1499999999999999"/>
    <n v="280"/>
    <s v="Kgs"/>
    <n v="28851.199999999899"/>
    <n v="280"/>
    <n v="290"/>
    <n v="28851.199999999899"/>
    <s v="Woven - Fabric"/>
    <s v="Woven - Fabric"/>
    <m/>
    <m/>
    <s v="USD"/>
    <n v="89.6"/>
    <s v="LUT Bond No"/>
    <m/>
    <m/>
    <m/>
    <m/>
    <n v="18"/>
    <n v="57.96"/>
    <n v="39269080"/>
    <s v="."/>
    <d v="2026-08-07T00:00:00"/>
    <n v="322"/>
    <n v="28851.199999999899"/>
    <s v="FOB"/>
    <n v="322"/>
    <m/>
    <m/>
    <n v="6220250"/>
    <n v="0"/>
    <n v="0"/>
    <n v="0"/>
    <n v="0"/>
    <n v="0"/>
    <n v="0"/>
    <n v="0"/>
    <n v="0"/>
    <m/>
    <s v="KASEZ"/>
    <s v="India"/>
    <s v="WIP00023"/>
    <s v="PP UL Fabric With UV"/>
    <s v="SF"/>
    <s v="PP/PE Fabric"/>
    <x v="3"/>
  </r>
  <r>
    <s v="Plastene Polyfilms Limited"/>
    <n v="465"/>
    <d v="2026-08-08T00:00:00"/>
    <s v="K.P. Woven Pvt Ltd-Sales"/>
    <s v="GJ39T9827"/>
    <s v="FLEXIBLE INTERMEDIATE BULK CONTAINER"/>
    <s v="OEL260/D1-533 (1)"/>
    <n v="249.41"/>
    <n v="3171"/>
    <s v="Kgs"/>
    <n v="790879.11"/>
    <n v="3171"/>
    <n v="3171"/>
    <n v="4890949.91"/>
    <s v="FIBC"/>
    <s v="FIBC"/>
    <m/>
    <m/>
    <s v="Rs"/>
    <n v="1"/>
    <m/>
    <n v="9"/>
    <n v="71179.12"/>
    <n v="9"/>
    <n v="71179.12"/>
    <n v="0"/>
    <n v="0"/>
    <n v="39232999"/>
    <s v="."/>
    <d v="2026-08-08T00:00:00"/>
    <n v="0"/>
    <n v="0"/>
    <m/>
    <n v="0"/>
    <m/>
    <m/>
    <m/>
    <n v="0"/>
    <n v="0"/>
    <n v="0"/>
    <n v="0"/>
    <n v="0"/>
    <n v="0"/>
    <n v="0"/>
    <n v="0"/>
    <m/>
    <s v="AHMEDABAD"/>
    <s v="India"/>
    <s v="WIP00003"/>
    <s v="FIBC Bags With UV With Liner"/>
    <s v="FG"/>
    <s v="FIBC Bags"/>
    <x v="0"/>
  </r>
  <r>
    <s v="Plastene Polyfilms Limited"/>
    <n v="465"/>
    <d v="2026-08-08T00:00:00"/>
    <s v="K.P. Woven Pvt Ltd-Sales"/>
    <s v="GJ39T9827"/>
    <s v="FLEXIBLE INTERMEDIATE BULK CONTAINER"/>
    <s v="OEL260/D1-620"/>
    <n v="251.38"/>
    <n v="1633"/>
    <s v="Kgs"/>
    <n v="410503.54"/>
    <n v="1633"/>
    <n v="1633"/>
    <n v="0"/>
    <s v="FIBC"/>
    <s v="FIBC"/>
    <m/>
    <m/>
    <s v="Rs"/>
    <n v="1"/>
    <m/>
    <n v="9"/>
    <n v="36945.32"/>
    <n v="9"/>
    <n v="36945.32"/>
    <n v="0"/>
    <n v="0"/>
    <n v="39232999"/>
    <s v="."/>
    <d v="2026-08-08T00:00:00"/>
    <n v="0"/>
    <n v="0"/>
    <m/>
    <n v="0"/>
    <m/>
    <m/>
    <m/>
    <n v="0"/>
    <n v="0"/>
    <n v="0"/>
    <n v="0"/>
    <n v="0"/>
    <n v="0"/>
    <n v="0"/>
    <n v="0"/>
    <m/>
    <s v="AHMEDABAD"/>
    <s v="India"/>
    <s v="WIP00003"/>
    <s v="FIBC Bags With UV With Liner"/>
    <s v="FG"/>
    <s v="FIBC Bags"/>
    <x v="0"/>
  </r>
  <r>
    <s v="Plastene Polyfilms Limited"/>
    <n v="465"/>
    <d v="2026-08-08T00:00:00"/>
    <s v="K.P. Woven Pvt Ltd-Sales"/>
    <s v="GJ39T9827"/>
    <s v="FLEXIBLE INTERMEDIATE BULK CONTAINER"/>
    <s v="OEL260/D1-621"/>
    <n v="256.5"/>
    <n v="807"/>
    <s v="Kgs"/>
    <n v="206995.5"/>
    <n v="807"/>
    <n v="807"/>
    <n v="0"/>
    <s v="FIBC"/>
    <s v="FIBC"/>
    <m/>
    <m/>
    <s v="Rs"/>
    <n v="1"/>
    <m/>
    <n v="9"/>
    <n v="18629.599999999999"/>
    <n v="9"/>
    <n v="18629.599999999999"/>
    <n v="0"/>
    <n v="0"/>
    <n v="39232999"/>
    <s v="."/>
    <d v="2026-08-08T00:00:00"/>
    <n v="0"/>
    <n v="0"/>
    <m/>
    <n v="0"/>
    <m/>
    <m/>
    <m/>
    <n v="0"/>
    <n v="0"/>
    <n v="0"/>
    <n v="0"/>
    <n v="0"/>
    <n v="0"/>
    <n v="0"/>
    <n v="0"/>
    <m/>
    <s v="AHMEDABAD"/>
    <s v="India"/>
    <s v="WIP00003"/>
    <s v="FIBC Bags With UV With Liner"/>
    <s v="FG"/>
    <s v="FIBC Bags"/>
    <x v="0"/>
  </r>
  <r>
    <s v="Plastene Polyfilms Limited"/>
    <n v="465"/>
    <d v="2026-08-08T00:00:00"/>
    <s v="K.P. Woven Pvt Ltd-Sales"/>
    <s v="GJ39T9827"/>
    <s v="FLEXIBLE INTERMEDIATE BULK CONTAINER"/>
    <s v="OEL260/T-4660 (6)"/>
    <n v="325.95999999999998"/>
    <n v="3557"/>
    <s v="Kgs"/>
    <n v="1159439.72"/>
    <n v="3557"/>
    <n v="3557"/>
    <n v="0"/>
    <s v="FIBC"/>
    <s v="FIBC"/>
    <m/>
    <m/>
    <s v="Rs"/>
    <n v="1"/>
    <m/>
    <n v="9"/>
    <n v="104349.57"/>
    <n v="9"/>
    <n v="104349.57"/>
    <n v="0"/>
    <n v="0"/>
    <n v="39232999"/>
    <s v="."/>
    <d v="2026-08-08T00:00:00"/>
    <n v="0"/>
    <n v="0"/>
    <m/>
    <n v="0"/>
    <m/>
    <m/>
    <m/>
    <n v="0"/>
    <n v="0"/>
    <n v="0"/>
    <n v="0"/>
    <n v="0"/>
    <n v="0"/>
    <n v="0"/>
    <n v="0"/>
    <m/>
    <s v="AHMEDABAD"/>
    <s v="India"/>
    <s v="WIP00003"/>
    <s v="FIBC Bags With UV With Liner"/>
    <s v="FG"/>
    <s v="FIBC Bags"/>
    <x v="0"/>
  </r>
  <r>
    <s v="Plastene Polyfilms Limited"/>
    <n v="465"/>
    <d v="2026-08-08T00:00:00"/>
    <s v="K.P. Woven Pvt Ltd-Sales"/>
    <s v="GJ39T9827"/>
    <s v="FLEXIBLE INTERMEDIATE BULK CONTAINER"/>
    <s v="OEL260/T-1520 (4) 6-1"/>
    <n v="232.81"/>
    <n v="6774"/>
    <s v="Kgs"/>
    <n v="1577054.94"/>
    <n v="6774"/>
    <n v="6774"/>
    <n v="0"/>
    <s v="FIBC"/>
    <s v="FIBC"/>
    <m/>
    <m/>
    <s v="Rs"/>
    <n v="1"/>
    <m/>
    <n v="9"/>
    <n v="141934.94"/>
    <n v="9"/>
    <n v="141934.94"/>
    <n v="0"/>
    <n v="0"/>
    <n v="39232999"/>
    <s v="."/>
    <d v="2026-08-08T00:00:00"/>
    <n v="0"/>
    <n v="0"/>
    <m/>
    <n v="0"/>
    <m/>
    <m/>
    <m/>
    <n v="0"/>
    <n v="0"/>
    <n v="0"/>
    <n v="0"/>
    <n v="0"/>
    <n v="0"/>
    <n v="0"/>
    <n v="0"/>
    <m/>
    <s v="AHMEDABAD"/>
    <s v="India"/>
    <s v="WIP00004"/>
    <s v="FIBC Bags With UV Without Liner"/>
    <s v="FG"/>
    <s v="FIBC Bags"/>
    <x v="0"/>
  </r>
  <r>
    <s v="Plastene Polyfilms Limited"/>
    <n v="466"/>
    <d v="2026-08-08T00:00:00"/>
    <s v="K.P. Woven Pvt Ltd-Sales"/>
    <s v="GJ39T9827"/>
    <s v="PP Woven Fabrics"/>
    <s v="Ground Cover Fabric"/>
    <n v="166.4"/>
    <n v="2712.4"/>
    <s v="Kgs"/>
    <n v="451343.35999999999"/>
    <n v="2712.4"/>
    <n v="2712.4"/>
    <n v="711470.46"/>
    <s v="Woven - Fabric"/>
    <s v="Woven - Fabric"/>
    <m/>
    <m/>
    <s v="Rs"/>
    <n v="1"/>
    <m/>
    <n v="9"/>
    <n v="40620.9"/>
    <n v="9"/>
    <n v="40620.9"/>
    <n v="0"/>
    <n v="0"/>
    <n v="39269080"/>
    <s v="."/>
    <d v="2026-08-08T00:00:00"/>
    <n v="0"/>
    <n v="0"/>
    <m/>
    <n v="0"/>
    <m/>
    <m/>
    <m/>
    <n v="0"/>
    <n v="0"/>
    <n v="0"/>
    <n v="0"/>
    <n v="0"/>
    <n v="0"/>
    <n v="0"/>
    <n v="0"/>
    <m/>
    <s v="AHMEDABAD"/>
    <s v="India"/>
    <s v="SMF00275"/>
    <s v="Ground Cover Fabric"/>
    <s v="SF"/>
    <s v="PP/PE Fabric"/>
    <x v="1"/>
  </r>
  <r>
    <s v="Plastene Polyfilms Limited"/>
    <n v="466"/>
    <d v="2026-08-08T00:00:00"/>
    <s v="K.P. Woven Pvt Ltd-Sales"/>
    <s v="GJ39T9827"/>
    <s v="PP Woven Fabrics Laminated/ Coated"/>
    <s v="PP Lam Fabric CutPcs With UV"/>
    <n v="255.6454"/>
    <n v="593"/>
    <s v="Kgs"/>
    <n v="151597.72"/>
    <n v="593"/>
    <n v="593"/>
    <n v="0"/>
    <s v="Woven - Fabric"/>
    <s v="Woven - Fabric"/>
    <m/>
    <m/>
    <s v="Rs"/>
    <n v="1"/>
    <m/>
    <n v="9"/>
    <n v="13643.79"/>
    <n v="9"/>
    <n v="13643.79"/>
    <n v="0"/>
    <n v="0"/>
    <n v="39269080"/>
    <s v="."/>
    <d v="2026-08-08T00:00:00"/>
    <n v="0"/>
    <n v="0"/>
    <m/>
    <n v="0"/>
    <m/>
    <m/>
    <m/>
    <n v="0"/>
    <n v="0"/>
    <n v="0"/>
    <n v="0"/>
    <n v="0"/>
    <n v="0"/>
    <n v="0"/>
    <n v="0"/>
    <m/>
    <s v="AHMEDABAD"/>
    <s v="India"/>
    <s v="WIP00223"/>
    <s v="PP Lam Fabric CutPcs With UV"/>
    <s v="SF"/>
    <s v="PP/PE Fabric"/>
    <x v="11"/>
  </r>
  <r>
    <s v="Plastene Polyfilms Limited"/>
    <n v="467"/>
    <d v="2026-08-08T00:00:00"/>
    <s v="Hcp Plastene Bulkpack Ltd (Unit Iv) - Sales"/>
    <s v="GJ-39 T 3534"/>
    <s v="PP Woven Fabrics Laminated/ Coated"/>
    <s v="PP Lam Fabric With UV Spout mw"/>
    <n v="137.58000000000001"/>
    <n v="752"/>
    <s v="Kgs"/>
    <n v="103460.16"/>
    <n v="752"/>
    <n v="752"/>
    <n v="202702.8"/>
    <s v="Woven - Fabric"/>
    <s v="Woven - Fabric"/>
    <m/>
    <m/>
    <s v="Rs"/>
    <n v="1"/>
    <m/>
    <n v="9"/>
    <n v="9311.41"/>
    <n v="9"/>
    <n v="9311.41"/>
    <n v="0"/>
    <n v="0"/>
    <n v="39269080"/>
    <s v="-"/>
    <d v="2026-08-08T00:00:00"/>
    <n v="0"/>
    <n v="0"/>
    <m/>
    <n v="0"/>
    <m/>
    <m/>
    <m/>
    <n v="0"/>
    <n v="0"/>
    <n v="0"/>
    <n v="0"/>
    <n v="0"/>
    <n v="0"/>
    <n v="0"/>
    <n v="0"/>
    <m/>
    <s v="KACHCHH"/>
    <s v="India"/>
    <s v="WIP00025"/>
    <s v="PP Lam Fabric With UV"/>
    <s v="SF"/>
    <s v="PP/PE Fabric"/>
    <x v="6"/>
  </r>
  <r>
    <s v="Plastene Polyfilms Limited"/>
    <n v="467"/>
    <d v="2026-08-08T00:00:00"/>
    <s v="Hcp Plastene Bulkpack Ltd (Unit Iv) - Sales"/>
    <s v="GJ-39 T 3534"/>
    <s v="PP Laminated Fabrics"/>
    <s v="PP Lam Fabric With UV  Spout black"/>
    <n v="140.58000000000001"/>
    <n v="486"/>
    <s v="Kgs"/>
    <n v="68321.88"/>
    <n v="486"/>
    <n v="486"/>
    <n v="0"/>
    <s v="Woven - Fabric"/>
    <s v="Woven - Fabric"/>
    <m/>
    <m/>
    <s v="Rs"/>
    <n v="1"/>
    <m/>
    <n v="9"/>
    <n v="6148.97"/>
    <n v="9"/>
    <n v="6148.97"/>
    <n v="0"/>
    <n v="0"/>
    <n v="39269080"/>
    <s v="-"/>
    <d v="2026-08-08T00:00:00"/>
    <n v="0"/>
    <n v="0"/>
    <m/>
    <n v="0"/>
    <m/>
    <m/>
    <m/>
    <n v="0"/>
    <n v="0"/>
    <n v="0"/>
    <n v="0"/>
    <n v="0"/>
    <n v="0"/>
    <n v="0"/>
    <n v="0"/>
    <m/>
    <s v="KACHCHH"/>
    <s v="India"/>
    <s v="WIP00025"/>
    <s v="PP Lam Fabric With UV"/>
    <s v="SF"/>
    <s v="PP/PE Fabric"/>
    <x v="6"/>
  </r>
  <r>
    <s v="Plastene Polyfilms Limited"/>
    <n v="468"/>
    <d v="2026-08-09T00:00:00"/>
    <s v="Plastene India ltd - Unit 1-Sales"/>
    <s v="GJ12FB-2542"/>
    <s v="PP WEBBING"/>
    <s v="BLUE"/>
    <n v="138.38"/>
    <n v="282.3"/>
    <s v="Kgs"/>
    <n v="39064.67"/>
    <n v="282.3"/>
    <n v="282.3"/>
    <n v="46096.31"/>
    <s v="Webbing"/>
    <s v="Webbing"/>
    <m/>
    <m/>
    <s v="Rs"/>
    <n v="1"/>
    <m/>
    <n v="9"/>
    <n v="3515.82"/>
    <n v="9"/>
    <n v="3515.82"/>
    <n v="0"/>
    <n v="0"/>
    <n v="39269080"/>
    <s v="-"/>
    <d v="2026-08-09T00:00:00"/>
    <n v="0"/>
    <n v="0"/>
    <m/>
    <n v="0"/>
    <m/>
    <m/>
    <m/>
    <n v="0"/>
    <n v="0"/>
    <n v="0"/>
    <n v="0"/>
    <n v="0"/>
    <n v="0"/>
    <n v="0"/>
    <n v="0"/>
    <m/>
    <s v="KUTCH"/>
    <s v="India"/>
    <s v="WIP00032"/>
    <s v="Webbing"/>
    <s v="SF"/>
    <s v="Webbing"/>
    <x v="8"/>
  </r>
  <r>
    <s v="Plastene Polyfilms Limited"/>
    <n v="469"/>
    <d v="2026-08-09T00:00:00"/>
    <s v="Hcp Plastene Bulkpack Ltd (Unit Iv) - Sales"/>
    <s v="GJ 12 BU 0544"/>
    <s v="PP WEBBING"/>
    <s v="BLUE COLOUR"/>
    <n v="138.38"/>
    <n v="408.8"/>
    <s v="Kgs"/>
    <n v="56569.74"/>
    <n v="408.8"/>
    <n v="408.8"/>
    <n v="66752.3"/>
    <s v="Webbing"/>
    <s v="Webbing"/>
    <m/>
    <m/>
    <s v="Rs"/>
    <n v="1"/>
    <m/>
    <n v="9"/>
    <n v="5091.28"/>
    <n v="9"/>
    <n v="5091.28"/>
    <n v="0"/>
    <n v="0"/>
    <n v="39269080"/>
    <s v="-"/>
    <d v="2026-08-09T00:00:00"/>
    <n v="0"/>
    <n v="0"/>
    <m/>
    <n v="0"/>
    <m/>
    <m/>
    <m/>
    <n v="0"/>
    <n v="0"/>
    <n v="0"/>
    <n v="0"/>
    <n v="0"/>
    <n v="0"/>
    <n v="0"/>
    <n v="0"/>
    <m/>
    <s v="KACHCHH"/>
    <s v="India"/>
    <s v="WIP00032"/>
    <s v="Webbing"/>
    <s v="SF"/>
    <s v="Webbing"/>
    <x v="8"/>
  </r>
  <r>
    <s v="Plastene Polyfilms Limited"/>
    <n v="470"/>
    <d v="2026-08-09T00:00:00"/>
    <s v="Plastene India ltd - Unit 1-Sales"/>
    <s v="GJ12X-1249"/>
    <s v="PP Woven Big Bags"/>
    <s v="CUT PICES"/>
    <n v="113.58"/>
    <n v="212"/>
    <s v="Kgs"/>
    <n v="24078.959999999999"/>
    <n v="212"/>
    <n v="212"/>
    <n v="55051.7"/>
    <s v="Woven - Fabric"/>
    <s v="FIBC"/>
    <m/>
    <m/>
    <s v="Rs"/>
    <n v="1"/>
    <m/>
    <n v="9"/>
    <n v="2167.11"/>
    <n v="9"/>
    <n v="2167.11"/>
    <n v="0"/>
    <n v="0"/>
    <n v="39232999"/>
    <s v="-"/>
    <d v="2026-08-09T00:00:00"/>
    <n v="0"/>
    <n v="0"/>
    <m/>
    <n v="0"/>
    <m/>
    <m/>
    <m/>
    <n v="0"/>
    <n v="0"/>
    <n v="0"/>
    <n v="0"/>
    <n v="0"/>
    <n v="0"/>
    <n v="0"/>
    <n v="0"/>
    <m/>
    <s v="KUTCH"/>
    <s v="India"/>
    <s v="FIG00001"/>
    <s v="FIBC WIP"/>
    <s v="FG"/>
    <s v="FIBC WIP"/>
    <x v="7"/>
  </r>
  <r>
    <s v="Plastene Polyfilms Limited"/>
    <n v="470"/>
    <d v="2026-08-09T00:00:00"/>
    <s v="Plastene India ltd - Unit 1-Sales"/>
    <s v="GJ12X-1249"/>
    <s v="PP Woven Fabrics"/>
    <s v="100 GSM"/>
    <n v="133.58000000000001"/>
    <n v="169"/>
    <s v="Kgs"/>
    <n v="22575.02"/>
    <n v="169"/>
    <n v="169"/>
    <n v="0"/>
    <s v="Woven - Fabric"/>
    <s v="Woven - Fabric"/>
    <m/>
    <m/>
    <s v="Rs"/>
    <n v="1"/>
    <m/>
    <n v="9"/>
    <n v="2031.75"/>
    <n v="9"/>
    <n v="2031.75"/>
    <n v="0"/>
    <n v="0"/>
    <n v="39269080"/>
    <s v="-"/>
    <d v="2026-08-09T00:00:00"/>
    <n v="0"/>
    <n v="0"/>
    <m/>
    <n v="0"/>
    <m/>
    <m/>
    <m/>
    <n v="0"/>
    <n v="0"/>
    <n v="0"/>
    <n v="0"/>
    <n v="0"/>
    <n v="0"/>
    <n v="0"/>
    <n v="0"/>
    <m/>
    <s v="KUTCH"/>
    <s v="India"/>
    <s v="WIP00023"/>
    <s v="PP UL Fabric With UV"/>
    <s v="SF"/>
    <s v="PP/PE Fabric"/>
    <x v="1"/>
  </r>
  <r>
    <s v="Plastene Polyfilms Limited"/>
    <n v="471"/>
    <d v="2026-08-10T00:00:00"/>
    <s v="Plastene India ltd - Unit 1-Sales"/>
    <s v="GJ12FB2542"/>
    <s v="LD/LLDPE  FILM"/>
    <s v="LDPE/LLDPE Film"/>
    <n v="306"/>
    <n v="30.85"/>
    <s v="Kgs"/>
    <n v="9440.1"/>
    <n v="30.85"/>
    <n v="30.85"/>
    <n v="11139.32"/>
    <s v="Others"/>
    <s v="Others"/>
    <m/>
    <m/>
    <s v="Rs"/>
    <n v="1"/>
    <m/>
    <n v="9"/>
    <n v="849.61"/>
    <n v="9"/>
    <n v="849.61"/>
    <n v="0"/>
    <n v="0"/>
    <n v="39201019"/>
    <s v="."/>
    <d v="2026-08-10T00:00:00"/>
    <n v="0"/>
    <n v="0"/>
    <m/>
    <n v="0"/>
    <m/>
    <m/>
    <m/>
    <n v="0"/>
    <n v="0"/>
    <n v="0"/>
    <n v="0"/>
    <n v="0"/>
    <n v="0"/>
    <n v="0"/>
    <n v="0"/>
    <m/>
    <s v="KUTCH"/>
    <s v="India"/>
    <s v="RAW05124"/>
    <s v="LDPE/LLDPE Film"/>
    <s v="SF"/>
    <s v="Films All (SF)"/>
    <x v="5"/>
  </r>
  <r>
    <s v="Plastene Polyfilms Limited"/>
    <n v="472"/>
    <d v="2026-08-10T00:00:00"/>
    <s v="HCP Plastene Bulkpack Limited - Sales"/>
    <s v="GJ12CT9339"/>
    <s v="FLEXIBLE INTERMEDIATE BULK CONTAINER"/>
    <s v="2026001113/5477"/>
    <n v="193.38"/>
    <n v="7031"/>
    <s v="Kgs"/>
    <n v="1359654.78"/>
    <n v="7031"/>
    <n v="7031"/>
    <n v="4381988.7699999996"/>
    <s v="FIBC"/>
    <s v="FIBC"/>
    <m/>
    <m/>
    <s v="Rs"/>
    <n v="1"/>
    <m/>
    <n v="9"/>
    <n v="122368.93"/>
    <n v="9"/>
    <n v="122368.93"/>
    <n v="0"/>
    <n v="0"/>
    <n v="39232999"/>
    <s v="."/>
    <d v="2026-08-10T00:00:00"/>
    <n v="0"/>
    <n v="0"/>
    <m/>
    <n v="0"/>
    <m/>
    <m/>
    <m/>
    <n v="0"/>
    <n v="0"/>
    <n v="0"/>
    <n v="0"/>
    <n v="0"/>
    <n v="0"/>
    <n v="0"/>
    <n v="0"/>
    <m/>
    <s v="GANDHINAGAR"/>
    <s v="India"/>
    <s v="WIP00004"/>
    <s v="FIBC Bags With UV Without Liner"/>
    <s v="FG"/>
    <s v="FIBC Bags"/>
    <x v="0"/>
  </r>
  <r>
    <s v="Plastene Polyfilms Limited"/>
    <n v="472"/>
    <d v="2026-08-10T00:00:00"/>
    <s v="HCP Plastene Bulkpack Limited - Sales"/>
    <s v="GJ12CT9339"/>
    <s v="FLEXIBLE INTERMEDIATE BULK CONTAINER"/>
    <s v="2026001114/5524"/>
    <n v="197.11"/>
    <n v="1239"/>
    <s v="Kgs"/>
    <n v="244219.29"/>
    <n v="1239"/>
    <n v="1239"/>
    <n v="0"/>
    <s v="FIBC"/>
    <s v="FIBC"/>
    <m/>
    <m/>
    <s v="Rs"/>
    <n v="1"/>
    <m/>
    <n v="9"/>
    <n v="21979.74"/>
    <n v="9"/>
    <n v="21979.74"/>
    <n v="0"/>
    <n v="0"/>
    <n v="39232999"/>
    <s v="."/>
    <d v="2026-08-10T00:00:00"/>
    <n v="0"/>
    <n v="0"/>
    <m/>
    <n v="0"/>
    <m/>
    <m/>
    <m/>
    <n v="0"/>
    <n v="0"/>
    <n v="0"/>
    <n v="0"/>
    <n v="0"/>
    <n v="0"/>
    <n v="0"/>
    <n v="0"/>
    <m/>
    <s v="GANDHINAGAR"/>
    <s v="India"/>
    <s v="WIP00004"/>
    <s v="FIBC Bags With UV Without Liner"/>
    <s v="FG"/>
    <s v="FIBC Bags"/>
    <x v="0"/>
  </r>
  <r>
    <s v="Plastene Polyfilms Limited"/>
    <n v="472"/>
    <d v="2026-08-10T00:00:00"/>
    <s v="HCP Plastene Bulkpack Limited - Sales"/>
    <s v="GJ12CT9339"/>
    <s v="FLEXIBLE INTERMEDIATE BULK CONTAINER"/>
    <s v="2026001197/9936"/>
    <n v="200.57"/>
    <n v="1700"/>
    <s v="Kgs"/>
    <n v="340969"/>
    <n v="1700"/>
    <n v="1700"/>
    <n v="0"/>
    <s v="FIBC"/>
    <s v="FIBC"/>
    <m/>
    <m/>
    <s v="Rs"/>
    <n v="1"/>
    <m/>
    <n v="9"/>
    <n v="30687.21"/>
    <n v="9"/>
    <n v="30687.21"/>
    <n v="0"/>
    <n v="0"/>
    <n v="39232999"/>
    <s v="."/>
    <d v="2026-08-10T00:00:00"/>
    <n v="0"/>
    <n v="0"/>
    <m/>
    <n v="0"/>
    <m/>
    <m/>
    <m/>
    <n v="0"/>
    <n v="0"/>
    <n v="0"/>
    <n v="0"/>
    <n v="0"/>
    <n v="0"/>
    <n v="0"/>
    <n v="0"/>
    <m/>
    <s v="GANDHINAGAR"/>
    <s v="India"/>
    <s v="WIP00004"/>
    <s v="FIBC Bags With UV Without Liner"/>
    <s v="FG"/>
    <s v="FIBC Bags"/>
    <x v="0"/>
  </r>
  <r>
    <s v="Plastene Polyfilms Limited"/>
    <n v="472"/>
    <d v="2026-08-10T00:00:00"/>
    <s v="HCP Plastene Bulkpack Limited - Sales"/>
    <s v="GJ12CT9339"/>
    <s v="FLEXIBLE INTERMEDIATE BULK CONTAINER"/>
    <s v="2026001233/6965"/>
    <n v="212.34"/>
    <n v="1251"/>
    <s v="Kgs"/>
    <n v="265637.34000000003"/>
    <n v="1251"/>
    <n v="1251"/>
    <n v="0"/>
    <s v="FIBC"/>
    <s v="FIBC"/>
    <m/>
    <m/>
    <s v="Rs"/>
    <n v="1"/>
    <m/>
    <n v="9"/>
    <n v="23907.360000000001"/>
    <n v="9"/>
    <n v="23907.360000000001"/>
    <n v="0"/>
    <n v="0"/>
    <n v="39232999"/>
    <s v="."/>
    <d v="2026-08-10T00:00:00"/>
    <n v="0"/>
    <n v="0"/>
    <m/>
    <n v="0"/>
    <m/>
    <m/>
    <m/>
    <n v="0"/>
    <n v="0"/>
    <n v="0"/>
    <n v="0"/>
    <n v="0"/>
    <n v="0"/>
    <n v="0"/>
    <n v="0"/>
    <m/>
    <s v="GANDHINAGAR"/>
    <s v="India"/>
    <s v="WIP00004"/>
    <s v="FIBC Bags With UV Without Liner"/>
    <s v="FG"/>
    <s v="FIBC Bags"/>
    <x v="0"/>
  </r>
  <r>
    <s v="Plastene Polyfilms Limited"/>
    <n v="472"/>
    <d v="2026-08-10T00:00:00"/>
    <s v="HCP Plastene Bulkpack Limited - Sales"/>
    <s v="GJ12CT9339"/>
    <s v="FLEXIBLE INTERMEDIATE BULK CONTAINER"/>
    <s v="2026001320/6572"/>
    <n v="198.96"/>
    <n v="3886"/>
    <s v="Kgs"/>
    <n v="773158.56"/>
    <n v="3886"/>
    <n v="3886"/>
    <n v="0"/>
    <s v="FIBC"/>
    <s v="FIBC"/>
    <m/>
    <m/>
    <s v="Rs"/>
    <n v="1"/>
    <m/>
    <n v="9"/>
    <n v="69584.27"/>
    <n v="9"/>
    <n v="69584.27"/>
    <n v="0"/>
    <n v="0"/>
    <n v="39232999"/>
    <s v="."/>
    <d v="2026-08-10T00:00:00"/>
    <n v="0"/>
    <n v="0"/>
    <m/>
    <n v="0"/>
    <m/>
    <m/>
    <m/>
    <n v="0"/>
    <n v="0"/>
    <n v="0"/>
    <n v="0"/>
    <n v="0"/>
    <n v="0"/>
    <n v="0"/>
    <n v="0"/>
    <m/>
    <s v="GANDHINAGAR"/>
    <s v="India"/>
    <s v="WIP00004"/>
    <s v="FIBC Bags With UV Without Liner"/>
    <s v="FG"/>
    <s v="FIBC Bags"/>
    <x v="0"/>
  </r>
  <r>
    <s v="Plastene Polyfilms Limited"/>
    <n v="472"/>
    <d v="2026-08-10T00:00:00"/>
    <s v="HCP Plastene Bulkpack Limited - Sales"/>
    <s v="GJ12CT9339"/>
    <s v="FLEXIBLE INTERMEDIATE BULK CONTAINER"/>
    <s v="2026001321/5018"/>
    <n v="187.37"/>
    <n v="3069"/>
    <s v="Kgs"/>
    <n v="575038.53"/>
    <n v="3069"/>
    <n v="3069"/>
    <n v="0"/>
    <s v="FIBC"/>
    <s v="FIBC"/>
    <m/>
    <m/>
    <s v="Rs"/>
    <n v="1"/>
    <m/>
    <n v="9"/>
    <n v="51753.47"/>
    <n v="9"/>
    <n v="51753.47"/>
    <n v="0"/>
    <n v="0"/>
    <n v="39232999"/>
    <s v="."/>
    <d v="2026-08-10T00:00:00"/>
    <n v="0"/>
    <n v="0"/>
    <m/>
    <n v="0"/>
    <m/>
    <m/>
    <m/>
    <n v="0"/>
    <n v="0"/>
    <n v="0"/>
    <n v="0"/>
    <n v="0"/>
    <n v="0"/>
    <n v="0"/>
    <n v="0"/>
    <m/>
    <s v="GANDHINAGAR"/>
    <s v="India"/>
    <s v="WIP00004"/>
    <s v="FIBC Bags With UV Without Liner"/>
    <s v="FG"/>
    <s v="FIBC Bags"/>
    <x v="0"/>
  </r>
  <r>
    <s v="Plastene Polyfilms Limited"/>
    <n v="472"/>
    <d v="2026-08-10T00:00:00"/>
    <s v="HCP Plastene Bulkpack Limited - Sales"/>
    <s v="GJ12CT9339"/>
    <s v="FLEXIBLE INTERMEDIATE BULK CONTAINER"/>
    <s v="2026001322/5477"/>
    <n v="187.27"/>
    <n v="827"/>
    <s v="Kgs"/>
    <n v="154872.29"/>
    <n v="827"/>
    <n v="827"/>
    <n v="0"/>
    <s v="FIBC"/>
    <s v="FIBC"/>
    <m/>
    <m/>
    <s v="Rs"/>
    <n v="1"/>
    <m/>
    <n v="9"/>
    <n v="13938.51"/>
    <n v="9"/>
    <n v="13938.51"/>
    <n v="0"/>
    <n v="0"/>
    <n v="39232999"/>
    <s v="."/>
    <d v="2026-08-10T00:00:00"/>
    <n v="0"/>
    <n v="0"/>
    <m/>
    <n v="0"/>
    <m/>
    <m/>
    <m/>
    <n v="0"/>
    <n v="0"/>
    <n v="0"/>
    <n v="0"/>
    <n v="0"/>
    <n v="0"/>
    <n v="0"/>
    <n v="0"/>
    <m/>
    <s v="GANDHINAGAR"/>
    <s v="India"/>
    <s v="WIP00004"/>
    <s v="FIBC Bags With UV Without Liner"/>
    <s v="FG"/>
    <s v="FIBC Bags"/>
    <x v="0"/>
  </r>
  <r>
    <s v="Plastene Polyfilms Limited"/>
    <n v="473"/>
    <d v="2026-08-10T00:00:00"/>
    <s v="Plastene India ltd - Unit 1-Sales"/>
    <s v="GJ12BY1595"/>
    <s v="PP Laminated Fabrics"/>
    <s v="PP Lam Fabric With UV mw"/>
    <n v="135.58000000000001"/>
    <n v="3027"/>
    <s v="Kgs"/>
    <n v="410400.66"/>
    <n v="3027"/>
    <n v="3027"/>
    <n v="897741.3"/>
    <s v="Woven - Fabric"/>
    <s v="Woven - Fabric"/>
    <m/>
    <m/>
    <s v="Rs"/>
    <n v="1"/>
    <m/>
    <n v="9"/>
    <n v="36936.06"/>
    <n v="9"/>
    <n v="36936.06"/>
    <n v="0"/>
    <n v="0"/>
    <n v="39269080"/>
    <s v="."/>
    <d v="2026-08-10T00:00:00"/>
    <n v="0"/>
    <n v="0"/>
    <m/>
    <n v="0"/>
    <m/>
    <m/>
    <m/>
    <n v="0"/>
    <n v="0"/>
    <n v="0"/>
    <n v="0"/>
    <n v="0"/>
    <n v="0"/>
    <n v="0"/>
    <n v="0"/>
    <m/>
    <s v="KUTCH"/>
    <s v="India"/>
    <s v="WIP00025"/>
    <s v="PP Lam Fabric With UV"/>
    <s v="SF"/>
    <s v="PP/PE Fabric"/>
    <x v="6"/>
  </r>
  <r>
    <s v="Plastene Polyfilms Limited"/>
    <n v="473"/>
    <d v="2026-08-10T00:00:00"/>
    <s v="Plastene India ltd - Unit 1-Sales"/>
    <s v="GJ12BY1595"/>
    <s v="PP Laminated Fabrics"/>
    <s v="PP Lam Fabric With UV black"/>
    <n v="139.58000000000001"/>
    <n v="1957"/>
    <s v="Kgs"/>
    <n v="273158.06"/>
    <n v="1957"/>
    <n v="1957"/>
    <n v="0"/>
    <s v="Woven - Fabric"/>
    <s v="Woven - Fabric"/>
    <m/>
    <m/>
    <s v="Rs"/>
    <n v="1"/>
    <m/>
    <n v="9"/>
    <n v="24584.23"/>
    <n v="9"/>
    <n v="24584.23"/>
    <n v="0"/>
    <n v="0"/>
    <n v="39269080"/>
    <s v="."/>
    <d v="2026-08-10T00:00:00"/>
    <n v="0"/>
    <n v="0"/>
    <m/>
    <n v="0"/>
    <m/>
    <m/>
    <m/>
    <n v="0"/>
    <n v="0"/>
    <n v="0"/>
    <n v="0"/>
    <n v="0"/>
    <n v="0"/>
    <n v="0"/>
    <n v="0"/>
    <m/>
    <s v="KUTCH"/>
    <s v="India"/>
    <s v="WIP00025"/>
    <s v="PP Lam Fabric With UV"/>
    <s v="SF"/>
    <s v="PP/PE Fabric"/>
    <x v="6"/>
  </r>
  <r>
    <s v="Plastene Polyfilms Limited"/>
    <n v="473"/>
    <d v="2026-08-10T00:00:00"/>
    <s v="Plastene India ltd - Unit 1-Sales"/>
    <s v="GJ12BY1595"/>
    <s v="PP Laminated Fabrics"/>
    <s v="PP Lam Fabric With UV conductiv"/>
    <n v="160.58000000000001"/>
    <n v="481"/>
    <s v="Kgs"/>
    <n v="77238.98"/>
    <n v="481"/>
    <n v="481"/>
    <n v="0"/>
    <s v="Woven - Fabric"/>
    <s v="Woven - Fabric"/>
    <m/>
    <m/>
    <s v="Rs"/>
    <n v="1"/>
    <m/>
    <n v="9"/>
    <n v="6951.51"/>
    <n v="9"/>
    <n v="6951.51"/>
    <n v="0"/>
    <n v="0"/>
    <n v="39269080"/>
    <s v="."/>
    <d v="2026-08-10T00:00:00"/>
    <n v="0"/>
    <n v="0"/>
    <m/>
    <n v="0"/>
    <m/>
    <m/>
    <m/>
    <n v="0"/>
    <n v="0"/>
    <n v="0"/>
    <n v="0"/>
    <n v="0"/>
    <n v="0"/>
    <n v="0"/>
    <n v="0"/>
    <m/>
    <s v="KUTCH"/>
    <s v="India"/>
    <s v="WIP00025"/>
    <s v="PP Lam Fabric With UV"/>
    <s v="SF"/>
    <s v="PP/PE Fabric"/>
    <x v="6"/>
  </r>
  <r>
    <s v="Plastene Polyfilms Limited"/>
    <s v="PPL/E/72/26-27"/>
    <d v="2026-08-10T00:00:00"/>
    <s v="Commercial Bag Company"/>
    <s v="GJ12BV1104"/>
    <s v="Flexible Intermediate Bulk Containers (Attachement Bag)."/>
    <s v="PP JUMBO BAG"/>
    <n v="5.36"/>
    <n v="8160"/>
    <s v="Pcs"/>
    <n v="4124455.6799999899"/>
    <n v="19241"/>
    <n v="19817"/>
    <n v="4124455.6799999899"/>
    <s v="FIBC"/>
    <s v="FIBC"/>
    <m/>
    <m/>
    <s v="USD"/>
    <n v="94.3"/>
    <s v="LUT Bond No"/>
    <m/>
    <m/>
    <m/>
    <m/>
    <n v="18"/>
    <n v="7872.77"/>
    <n v="63053200"/>
    <s v="."/>
    <d v="2026-08-10T00:00:00"/>
    <n v="43737.599999999999"/>
    <n v="4124455.6799999899"/>
    <s v="FOB"/>
    <n v="43737.599999999999"/>
    <m/>
    <m/>
    <n v="6220250"/>
    <n v="0"/>
    <n v="0"/>
    <n v="0"/>
    <n v="0"/>
    <n v="0"/>
    <n v="0"/>
    <n v="0"/>
    <n v="0"/>
    <s v="GCXU5879127"/>
    <s v="U.S.A."/>
    <s v="USA"/>
    <s v="WIP00003"/>
    <s v="FIBC Bags With UV With Liner"/>
    <s v="FG"/>
    <s v="FIBC Bags"/>
    <x v="10"/>
  </r>
  <r>
    <s v="Plastene Polyfilms Limited"/>
    <s v="PPL/E/73/26-27"/>
    <d v="2026-08-10T00:00:00"/>
    <s v="K.P. WOVEN PVT LTD - UNIT 3 -SALES"/>
    <s v="GJ12BY1595"/>
    <s v="PP Woven Fabrics"/>
    <s v="PP UL Fabric With UV black"/>
    <n v="138.58000000000001"/>
    <n v="489"/>
    <s v="Kgs"/>
    <n v="67765.62"/>
    <n v="489"/>
    <n v="512"/>
    <n v="162693"/>
    <s v="Woven - Fabric"/>
    <s v="Woven - Fabric"/>
    <m/>
    <m/>
    <s v="Rs"/>
    <n v="1"/>
    <s v="LUT Bond No"/>
    <n v="0"/>
    <n v="0"/>
    <n v="0"/>
    <n v="0"/>
    <n v="18"/>
    <n v="12197.81"/>
    <n v="39269080"/>
    <s v="."/>
    <d v="2026-08-10T00:00:00"/>
    <n v="0"/>
    <n v="0"/>
    <m/>
    <n v="0"/>
    <m/>
    <m/>
    <m/>
    <n v="0"/>
    <n v="0"/>
    <n v="0"/>
    <n v="0"/>
    <n v="0"/>
    <n v="0"/>
    <n v="0"/>
    <n v="0"/>
    <m/>
    <s v="KASEZ"/>
    <s v="India"/>
    <s v="WIP00023"/>
    <s v="PP UL Fabric With UV"/>
    <s v="SF"/>
    <s v="PP/PE Fabric"/>
    <x v="3"/>
  </r>
  <r>
    <s v="Plastene Polyfilms Limited"/>
    <s v="PPL/E/73/26-27"/>
    <d v="2026-08-10T00:00:00"/>
    <s v="K.P. WOVEN PVT LTD - UNIT 3 -SALES"/>
    <s v="GJ12BY1595"/>
    <s v="PP WEBBING"/>
    <s v="Webbing blue"/>
    <n v="138.58000000000001"/>
    <n v="685"/>
    <s v="Kgs"/>
    <n v="94927.3"/>
    <n v="685"/>
    <n v="685"/>
    <n v="0"/>
    <s v="Woven - Fabric"/>
    <s v="Webbing"/>
    <m/>
    <m/>
    <s v="Rs"/>
    <n v="1"/>
    <s v="LUT Bond No"/>
    <n v="0"/>
    <n v="0"/>
    <n v="0"/>
    <n v="0"/>
    <n v="18"/>
    <n v="17086.91"/>
    <n v="39269080"/>
    <s v="."/>
    <d v="2026-08-10T00:00:00"/>
    <n v="0"/>
    <n v="0"/>
    <m/>
    <n v="0"/>
    <m/>
    <m/>
    <m/>
    <n v="0"/>
    <n v="0"/>
    <n v="0"/>
    <n v="0"/>
    <n v="0"/>
    <n v="0"/>
    <n v="0"/>
    <n v="0"/>
    <m/>
    <s v="KASEZ"/>
    <s v="India"/>
    <s v="WIP00032"/>
    <s v="Webbing"/>
    <s v="SF"/>
    <s v="Webbing"/>
    <x v="2"/>
  </r>
  <r>
    <s v="Plastene Polyfilms Limited"/>
    <n v="474"/>
    <d v="2026-08-11T00:00:00"/>
    <s v="Plastene India ltd - Unit 1-Sales"/>
    <s v="GJ12FB2542"/>
    <s v="LD/LLDPE  FILM"/>
    <s v="LDPE/LLDPE Film"/>
    <n v="245"/>
    <n v="4.3499999999999996"/>
    <s v="Kgs"/>
    <n v="1065.75"/>
    <n v="4.3499999999999996"/>
    <n v="4.3499999999999996"/>
    <n v="1257.5899999999999"/>
    <s v="Others"/>
    <s v="Others"/>
    <m/>
    <m/>
    <s v="Rs"/>
    <n v="1"/>
    <m/>
    <n v="9"/>
    <n v="95.92"/>
    <n v="9"/>
    <n v="95.92"/>
    <n v="0"/>
    <n v="0"/>
    <n v="39201019"/>
    <s v="."/>
    <d v="2026-08-11T00:00:00"/>
    <n v="0"/>
    <n v="0"/>
    <m/>
    <n v="0"/>
    <m/>
    <m/>
    <m/>
    <n v="0"/>
    <n v="0"/>
    <n v="0"/>
    <n v="0"/>
    <n v="0"/>
    <n v="0"/>
    <n v="0"/>
    <n v="0"/>
    <m/>
    <s v="KUTCH"/>
    <s v="India"/>
    <s v="RAW05124"/>
    <s v="LDPE/LLDPE Film"/>
    <s v="SF"/>
    <s v="Films All (SF)"/>
    <x v="5"/>
  </r>
  <r>
    <s v="Plastene Polyfilms Limited"/>
    <n v="475"/>
    <d v="2026-08-11T00:00:00"/>
    <s v="Hcp Plastene Bulkpack Ltd (Unit Iv) - Sales"/>
    <s v="GJ12X1249"/>
    <s v="FLEXIBLE INTERMEDIATE BULK CONTAINER"/>
    <s v="30036/1367"/>
    <n v="179.89"/>
    <n v="1595"/>
    <s v="Kgs"/>
    <n v="286924.55"/>
    <n v="1595"/>
    <n v="1595"/>
    <n v="975891.42"/>
    <s v="FIBC"/>
    <s v="FIBC"/>
    <m/>
    <m/>
    <s v="Rs"/>
    <n v="1"/>
    <m/>
    <n v="9"/>
    <n v="25823.21"/>
    <n v="9"/>
    <n v="25823.21"/>
    <n v="0"/>
    <n v="0"/>
    <n v="39232999"/>
    <s v="."/>
    <d v="2026-08-11T00:00:00"/>
    <n v="0"/>
    <n v="0"/>
    <m/>
    <n v="0"/>
    <m/>
    <m/>
    <m/>
    <n v="0"/>
    <n v="0"/>
    <n v="0"/>
    <n v="0"/>
    <n v="0"/>
    <n v="0"/>
    <n v="0"/>
    <n v="0"/>
    <m/>
    <s v="KACHCHH"/>
    <s v="India"/>
    <s v="WIP00004"/>
    <s v="FIBC Bags With UV Without Liner"/>
    <s v="FG"/>
    <s v="FIBC Bags"/>
    <x v="0"/>
  </r>
  <r>
    <s v="Plastene Polyfilms Limited"/>
    <n v="475"/>
    <d v="2026-08-11T00:00:00"/>
    <s v="Hcp Plastene Bulkpack Ltd (Unit Iv) - Sales"/>
    <s v="GJ12X1249"/>
    <s v="FLEXIBLE INTERMEDIATE BULK CONTAINER"/>
    <s v="30036/962"/>
    <n v="177.49"/>
    <n v="3043"/>
    <s v="Kgs"/>
    <n v="540102.06999999995"/>
    <n v="3043"/>
    <n v="3043"/>
    <n v="0"/>
    <s v="FIBC"/>
    <s v="FIBC"/>
    <m/>
    <m/>
    <s v="Rs"/>
    <n v="1"/>
    <m/>
    <n v="9"/>
    <n v="48609.19"/>
    <n v="9"/>
    <n v="48609.19"/>
    <n v="0"/>
    <n v="0"/>
    <n v="39232999"/>
    <s v="."/>
    <d v="2026-08-11T00:00:00"/>
    <n v="0"/>
    <n v="0"/>
    <m/>
    <n v="0"/>
    <m/>
    <m/>
    <m/>
    <n v="0"/>
    <n v="0"/>
    <n v="0"/>
    <n v="0"/>
    <n v="0"/>
    <n v="0"/>
    <n v="0"/>
    <n v="0"/>
    <m/>
    <s v="KACHCHH"/>
    <s v="India"/>
    <s v="WIP00004"/>
    <s v="FIBC Bags With UV Without Liner"/>
    <s v="FG"/>
    <s v="FIBC Bags"/>
    <x v="0"/>
  </r>
  <r>
    <s v="Plastene Polyfilms Limited"/>
    <n v="476"/>
    <d v="2026-08-11T00:00:00"/>
    <s v="Hcp Plastene Bulkpack Ltd (Unit Iv) - Sales"/>
    <s v="GJ12X1249"/>
    <s v="PP Woven Fabrics"/>
    <s v="UL CUTPCS"/>
    <n v="133.58000000000001"/>
    <n v="187"/>
    <s v="Kgs"/>
    <n v="24979.46"/>
    <n v="187"/>
    <n v="187"/>
    <n v="29475.759999999998"/>
    <s v="FIBC"/>
    <s v="Woven - Fabric"/>
    <m/>
    <m/>
    <s v="Rs"/>
    <n v="1"/>
    <m/>
    <n v="9"/>
    <n v="2248.15"/>
    <n v="9"/>
    <n v="2248.15"/>
    <n v="0"/>
    <n v="0"/>
    <n v="39269080"/>
    <s v="."/>
    <d v="2026-08-11T00:00:00"/>
    <n v="0"/>
    <n v="0"/>
    <m/>
    <n v="0"/>
    <m/>
    <m/>
    <m/>
    <n v="0"/>
    <n v="0"/>
    <n v="0"/>
    <n v="0"/>
    <n v="0"/>
    <n v="0"/>
    <n v="0"/>
    <n v="0"/>
    <m/>
    <s v="KACHCHH"/>
    <s v="India"/>
    <s v="FIG00001"/>
    <s v="FIBC WIP"/>
    <s v="FG"/>
    <s v="FIBC WIP"/>
    <x v="7"/>
  </r>
  <r>
    <s v="Plastene Polyfilms Limited"/>
    <n v="477"/>
    <d v="2026-08-11T00:00:00"/>
    <s v="HCP Plastene Bulkpack Limited - Sales"/>
    <s v="GJ12AZ4187"/>
    <s v="FLEXIBLE INTERMEDIATE BULK CONTAINER"/>
    <s v="PO-06824/IBR 66 D"/>
    <n v="201.75"/>
    <n v="1339"/>
    <s v="Kgs"/>
    <n v="270143.25"/>
    <n v="1339"/>
    <n v="1339"/>
    <n v="2090332.73"/>
    <s v="FIBC"/>
    <s v="FIBC"/>
    <m/>
    <m/>
    <s v="Rs"/>
    <n v="1"/>
    <m/>
    <n v="9"/>
    <n v="24312.89"/>
    <n v="9"/>
    <n v="24312.89"/>
    <n v="0"/>
    <n v="0"/>
    <n v="39232999"/>
    <s v="."/>
    <d v="2026-08-11T00:00:00"/>
    <n v="0"/>
    <n v="0"/>
    <m/>
    <n v="0"/>
    <m/>
    <m/>
    <m/>
    <n v="0"/>
    <n v="0"/>
    <n v="0"/>
    <n v="0"/>
    <n v="0"/>
    <n v="0"/>
    <n v="0"/>
    <n v="0"/>
    <m/>
    <s v="GANDHINAGAR"/>
    <s v="India"/>
    <s v="WIP00004"/>
    <s v="FIBC Bags With UV Without Liner"/>
    <s v="FG"/>
    <s v="FIBC Bags"/>
    <x v="0"/>
  </r>
  <r>
    <s v="Plastene Polyfilms Limited"/>
    <n v="477"/>
    <d v="2026-08-11T00:00:00"/>
    <s v="HCP Plastene Bulkpack Limited - Sales"/>
    <s v="GJ12AZ4187"/>
    <s v="FLEXIBLE INTERMEDIATE BULK CONTAINER"/>
    <s v="PO-068424/IBR 1299 D"/>
    <n v="196.1"/>
    <n v="2224"/>
    <s v="Kgs"/>
    <n v="436126.4"/>
    <n v="2224"/>
    <n v="2224"/>
    <n v="0"/>
    <s v="FIBC"/>
    <s v="FIBC"/>
    <m/>
    <m/>
    <s v="Rs"/>
    <n v="1"/>
    <m/>
    <n v="9"/>
    <n v="39251.379999999997"/>
    <n v="9"/>
    <n v="39251.379999999997"/>
    <n v="0"/>
    <n v="0"/>
    <n v="39232999"/>
    <s v="."/>
    <d v="2026-08-11T00:00:00"/>
    <n v="0"/>
    <n v="0"/>
    <m/>
    <n v="0"/>
    <m/>
    <m/>
    <m/>
    <n v="0"/>
    <n v="0"/>
    <n v="0"/>
    <n v="0"/>
    <n v="0"/>
    <n v="0"/>
    <n v="0"/>
    <n v="0"/>
    <m/>
    <s v="GANDHINAGAR"/>
    <s v="India"/>
    <s v="WIP00004"/>
    <s v="FIBC Bags With UV Without Liner"/>
    <s v="FG"/>
    <s v="FIBC Bags"/>
    <x v="0"/>
  </r>
  <r>
    <s v="Plastene Polyfilms Limited"/>
    <n v="477"/>
    <d v="2026-08-11T00:00:00"/>
    <s v="HCP Plastene Bulkpack Limited - Sales"/>
    <s v="GJ12AZ4187"/>
    <s v="FLEXIBLE INTERMEDIATE BULK CONTAINER"/>
    <s v="PO-068635/BEST 1299"/>
    <n v="198.56"/>
    <n v="2592"/>
    <s v="Kgs"/>
    <n v="514667.52000000002"/>
    <n v="2592"/>
    <n v="2592"/>
    <n v="0"/>
    <s v="FIBC"/>
    <s v="FIBC"/>
    <m/>
    <m/>
    <s v="Rs"/>
    <n v="1"/>
    <m/>
    <n v="9"/>
    <n v="46320.08"/>
    <n v="9"/>
    <n v="46320.08"/>
    <n v="0"/>
    <n v="0"/>
    <n v="39232999"/>
    <s v="."/>
    <d v="2026-08-11T00:00:00"/>
    <n v="0"/>
    <n v="0"/>
    <m/>
    <n v="0"/>
    <m/>
    <m/>
    <m/>
    <n v="0"/>
    <n v="0"/>
    <n v="0"/>
    <n v="0"/>
    <n v="0"/>
    <n v="0"/>
    <n v="0"/>
    <n v="0"/>
    <m/>
    <s v="GANDHINAGAR"/>
    <s v="India"/>
    <s v="WIP00004"/>
    <s v="FIBC Bags With UV Without Liner"/>
    <s v="FG"/>
    <s v="FIBC Bags"/>
    <x v="0"/>
  </r>
  <r>
    <s v="Plastene Polyfilms Limited"/>
    <n v="477"/>
    <d v="2026-08-11T00:00:00"/>
    <s v="HCP Plastene Bulkpack Limited - Sales"/>
    <s v="GJ12AZ4187"/>
    <s v="FLEXIBLE INTERMEDIATE BULK CONTAINER"/>
    <s v="PO-068635/BEST 66"/>
    <n v="210.77"/>
    <n v="2612"/>
    <s v="Kgs"/>
    <n v="550531.24"/>
    <n v="2612"/>
    <n v="2612"/>
    <n v="0"/>
    <s v="FIBC"/>
    <s v="FIBC"/>
    <m/>
    <m/>
    <s v="Rs"/>
    <n v="1"/>
    <m/>
    <n v="9"/>
    <n v="49547.81"/>
    <n v="9"/>
    <n v="49547.81"/>
    <n v="0"/>
    <n v="0"/>
    <n v="39232999"/>
    <s v="."/>
    <d v="2026-08-11T00:00:00"/>
    <n v="0"/>
    <n v="0"/>
    <m/>
    <n v="0"/>
    <m/>
    <m/>
    <m/>
    <n v="0"/>
    <n v="0"/>
    <n v="0"/>
    <n v="0"/>
    <n v="0"/>
    <n v="0"/>
    <n v="0"/>
    <n v="0"/>
    <m/>
    <s v="GANDHINAGAR"/>
    <s v="India"/>
    <s v="WIP00004"/>
    <s v="FIBC Bags With UV Without Liner"/>
    <s v="FG"/>
    <s v="FIBC Bags"/>
    <x v="0"/>
  </r>
  <r>
    <s v="Plastene Polyfilms Limited"/>
    <n v="478"/>
    <d v="2026-08-11T00:00:00"/>
    <s v="HCP Plastene Bulkpack Limited - Sales"/>
    <s v="GJ12BT0220"/>
    <s v="FLEXIBLE INTERMEDIATE BULK CONTAINER"/>
    <s v="PO-064347/TAL SLG 130"/>
    <n v="344.28"/>
    <n v="3846.6"/>
    <s v="Kgs"/>
    <n v="1324307.45"/>
    <n v="3846.6"/>
    <n v="3846.6"/>
    <n v="5845886.9000000004"/>
    <s v="FIBC"/>
    <s v="FIBC"/>
    <m/>
    <m/>
    <s v="Rs"/>
    <n v="1"/>
    <m/>
    <n v="9"/>
    <n v="119187.67"/>
    <n v="9"/>
    <n v="119187.67"/>
    <n v="0"/>
    <n v="0"/>
    <n v="39232999"/>
    <s v="."/>
    <d v="2026-08-11T00:00:00"/>
    <n v="0"/>
    <n v="0"/>
    <m/>
    <n v="0"/>
    <m/>
    <m/>
    <m/>
    <n v="0"/>
    <n v="0"/>
    <n v="0"/>
    <n v="0"/>
    <n v="0"/>
    <n v="0"/>
    <n v="0"/>
    <n v="0"/>
    <m/>
    <s v="GANDHINAGAR"/>
    <s v="India"/>
    <s v="WIP00004"/>
    <s v="FIBC Bags With UV Without Liner"/>
    <s v="FG"/>
    <s v="FIBC Bags"/>
    <x v="0"/>
  </r>
  <r>
    <s v="Plastene Polyfilms Limited"/>
    <n v="478"/>
    <d v="2026-08-11T00:00:00"/>
    <s v="HCP Plastene Bulkpack Limited - Sales"/>
    <s v="GJ12BT0220"/>
    <s v="FLEXIBLE INTERMEDIATE BULK CONTAINER"/>
    <s v="PO-065699/CS DC 12980"/>
    <n v="234"/>
    <n v="870"/>
    <s v="Kgs"/>
    <n v="203580"/>
    <n v="870"/>
    <n v="870"/>
    <n v="0"/>
    <s v="FIBC"/>
    <s v="FIBC"/>
    <m/>
    <m/>
    <s v="Rs"/>
    <n v="1"/>
    <m/>
    <n v="9"/>
    <n v="18322.2"/>
    <n v="9"/>
    <n v="18322.2"/>
    <n v="0"/>
    <n v="0"/>
    <n v="39232999"/>
    <s v="."/>
    <d v="2026-08-11T00:00:00"/>
    <n v="0"/>
    <n v="0"/>
    <m/>
    <n v="0"/>
    <m/>
    <m/>
    <m/>
    <n v="0"/>
    <n v="0"/>
    <n v="0"/>
    <n v="0"/>
    <n v="0"/>
    <n v="0"/>
    <n v="0"/>
    <n v="0"/>
    <m/>
    <s v="GANDHINAGAR"/>
    <s v="India"/>
    <s v="WIP00004"/>
    <s v="FIBC Bags With UV Without Liner"/>
    <s v="FG"/>
    <s v="FIBC Bags"/>
    <x v="0"/>
  </r>
  <r>
    <s v="Plastene Polyfilms Limited"/>
    <n v="478"/>
    <d v="2026-08-11T00:00:00"/>
    <s v="HCP Plastene Bulkpack Limited - Sales"/>
    <s v="GJ12BT0220"/>
    <s v="FLEXIBLE INTERMEDIATE BULK CONTAINER"/>
    <s v="PO-066071/CIM DS 15912"/>
    <n v="225.21"/>
    <n v="2576"/>
    <s v="Kgs"/>
    <n v="580140.96"/>
    <n v="2576"/>
    <n v="2576"/>
    <n v="0"/>
    <s v="FIBC"/>
    <s v="FIBC"/>
    <m/>
    <m/>
    <s v="Rs"/>
    <n v="1"/>
    <m/>
    <n v="9"/>
    <n v="52212.69"/>
    <n v="9"/>
    <n v="52212.69"/>
    <n v="0"/>
    <n v="0"/>
    <n v="39232999"/>
    <s v="."/>
    <d v="2026-08-11T00:00:00"/>
    <n v="0"/>
    <n v="0"/>
    <m/>
    <n v="0"/>
    <m/>
    <m/>
    <m/>
    <n v="0"/>
    <n v="0"/>
    <n v="0"/>
    <n v="0"/>
    <n v="0"/>
    <n v="0"/>
    <n v="0"/>
    <n v="0"/>
    <m/>
    <s v="GANDHINAGAR"/>
    <s v="India"/>
    <s v="WIP00004"/>
    <s v="FIBC Bags With UV Without Liner"/>
    <s v="FG"/>
    <s v="FIBC Bags"/>
    <x v="0"/>
  </r>
  <r>
    <s v="Plastene Polyfilms Limited"/>
    <n v="478"/>
    <d v="2026-08-11T00:00:00"/>
    <s v="HCP Plastene Bulkpack Limited - Sales"/>
    <s v="GJ12BT0220"/>
    <s v="FLEXIBLE INTERMEDIATE BULK CONTAINER"/>
    <s v="PO-068423/IBR 1299 D"/>
    <n v="199.43"/>
    <n v="1314"/>
    <s v="Kgs"/>
    <n v="262051.02"/>
    <n v="1314"/>
    <n v="1314"/>
    <n v="0"/>
    <s v="FIBC"/>
    <s v="FIBC"/>
    <m/>
    <m/>
    <s v="Rs"/>
    <n v="1"/>
    <m/>
    <n v="9"/>
    <n v="23584.59"/>
    <n v="9"/>
    <n v="23584.59"/>
    <n v="0"/>
    <n v="0"/>
    <n v="39232999"/>
    <s v="."/>
    <d v="2026-08-11T00:00:00"/>
    <n v="0"/>
    <n v="0"/>
    <m/>
    <n v="0"/>
    <m/>
    <m/>
    <m/>
    <n v="0"/>
    <n v="0"/>
    <n v="0"/>
    <n v="0"/>
    <n v="0"/>
    <n v="0"/>
    <n v="0"/>
    <n v="0"/>
    <m/>
    <s v="GANDHINAGAR"/>
    <s v="India"/>
    <s v="WIP00004"/>
    <s v="FIBC Bags With UV Without Liner"/>
    <s v="FG"/>
    <s v="FIBC Bags"/>
    <x v="0"/>
  </r>
  <r>
    <s v="Plastene Polyfilms Limited"/>
    <n v="478"/>
    <d v="2026-08-11T00:00:00"/>
    <s v="HCP Plastene Bulkpack Limited - Sales"/>
    <s v="GJ12BT0220"/>
    <s v="FLEXIBLE INTERMEDIATE BULK CONTAINER"/>
    <s v="PO-068425/IBR 1299 D"/>
    <n v="198.11"/>
    <n v="2644"/>
    <s v="Kgs"/>
    <n v="523802.84"/>
    <n v="2644"/>
    <n v="2644"/>
    <n v="0"/>
    <s v="FIBC"/>
    <s v="FIBC"/>
    <m/>
    <m/>
    <s v="Rs"/>
    <n v="1"/>
    <m/>
    <n v="9"/>
    <n v="47142.26"/>
    <n v="9"/>
    <n v="47142.26"/>
    <n v="0"/>
    <n v="0"/>
    <n v="39232999"/>
    <s v="."/>
    <d v="2026-08-11T00:00:00"/>
    <n v="0"/>
    <n v="0"/>
    <m/>
    <n v="0"/>
    <m/>
    <m/>
    <m/>
    <n v="0"/>
    <n v="0"/>
    <n v="0"/>
    <n v="0"/>
    <n v="0"/>
    <n v="0"/>
    <n v="0"/>
    <n v="0"/>
    <m/>
    <s v="GANDHINAGAR"/>
    <s v="India"/>
    <s v="WIP00004"/>
    <s v="FIBC Bags With UV Without Liner"/>
    <s v="FG"/>
    <s v="FIBC Bags"/>
    <x v="0"/>
  </r>
  <r>
    <s v="Plastene Polyfilms Limited"/>
    <n v="478"/>
    <d v="2026-08-11T00:00:00"/>
    <s v="HCP Plastene Bulkpack Limited - Sales"/>
    <s v="GJ12BT0220"/>
    <s v="FLEXIBLE INTERMEDIATE BULK CONTAINER"/>
    <s v="PO-068425/IBR 66 D"/>
    <n v="197.09"/>
    <n v="456"/>
    <s v="Kgs"/>
    <n v="89873.04"/>
    <n v="456"/>
    <n v="456"/>
    <n v="0"/>
    <s v="FIBC"/>
    <s v="FIBC"/>
    <m/>
    <m/>
    <s v="Rs"/>
    <n v="1"/>
    <m/>
    <n v="9"/>
    <n v="8088.57"/>
    <n v="9"/>
    <n v="8088.57"/>
    <n v="0"/>
    <n v="0"/>
    <n v="39232999"/>
    <s v="."/>
    <d v="2026-08-11T00:00:00"/>
    <n v="0"/>
    <n v="0"/>
    <m/>
    <n v="0"/>
    <m/>
    <m/>
    <m/>
    <n v="0"/>
    <n v="0"/>
    <n v="0"/>
    <n v="0"/>
    <n v="0"/>
    <n v="0"/>
    <n v="0"/>
    <n v="0"/>
    <m/>
    <s v="GANDHINAGAR"/>
    <s v="India"/>
    <s v="WIP00004"/>
    <s v="FIBC Bags With UV Without Liner"/>
    <s v="FG"/>
    <s v="FIBC Bags"/>
    <x v="0"/>
  </r>
  <r>
    <s v="Plastene Polyfilms Limited"/>
    <n v="478"/>
    <d v="2026-08-11T00:00:00"/>
    <s v="HCP Plastene Bulkpack Limited - Sales"/>
    <s v="GJ12BT0220"/>
    <s v="FLEXIBLE INTERMEDIATE BULK CONTAINER"/>
    <s v="PO-068636/BEST 1299"/>
    <n v="200.4"/>
    <n v="4712"/>
    <s v="Kgs"/>
    <n v="944284.8"/>
    <n v="4712"/>
    <n v="4712"/>
    <n v="0"/>
    <s v="FIBC"/>
    <s v="FIBC"/>
    <m/>
    <m/>
    <s v="Rs"/>
    <n v="1"/>
    <m/>
    <n v="9"/>
    <n v="84985.63"/>
    <n v="9"/>
    <n v="84985.63"/>
    <n v="0"/>
    <n v="0"/>
    <n v="39232999"/>
    <s v="."/>
    <d v="2026-08-11T00:00:00"/>
    <n v="0"/>
    <n v="0"/>
    <m/>
    <n v="0"/>
    <m/>
    <m/>
    <m/>
    <n v="0"/>
    <n v="0"/>
    <n v="0"/>
    <n v="0"/>
    <n v="0"/>
    <n v="0"/>
    <n v="0"/>
    <n v="0"/>
    <m/>
    <s v="GANDHINAGAR"/>
    <s v="India"/>
    <s v="WIP00004"/>
    <s v="FIBC Bags With UV Without Liner"/>
    <s v="FG"/>
    <s v="FIBC Bags"/>
    <x v="0"/>
  </r>
  <r>
    <s v="Plastene Polyfilms Limited"/>
    <n v="478"/>
    <d v="2026-08-11T00:00:00"/>
    <s v="HCP Plastene Bulkpack Limited - Sales"/>
    <s v="GJ12BT0220"/>
    <s v="FLEXIBLE INTERMEDIATE BULK CONTAINER"/>
    <s v="PO-068636/BEST 66"/>
    <n v="212.74"/>
    <n v="2158"/>
    <s v="Kgs"/>
    <n v="459092.92"/>
    <n v="2158"/>
    <n v="2158"/>
    <n v="0"/>
    <s v="FIBC"/>
    <s v="FIBC"/>
    <m/>
    <m/>
    <s v="Rs"/>
    <n v="1"/>
    <m/>
    <n v="9"/>
    <n v="41318.36"/>
    <n v="9"/>
    <n v="41318.36"/>
    <n v="0"/>
    <n v="0"/>
    <n v="39232999"/>
    <s v="."/>
    <d v="2026-08-11T00:00:00"/>
    <n v="0"/>
    <n v="0"/>
    <m/>
    <n v="0"/>
    <m/>
    <m/>
    <m/>
    <n v="0"/>
    <n v="0"/>
    <n v="0"/>
    <n v="0"/>
    <n v="0"/>
    <n v="0"/>
    <n v="0"/>
    <n v="0"/>
    <m/>
    <s v="GANDHINAGAR"/>
    <s v="India"/>
    <s v="WIP00004"/>
    <s v="FIBC Bags With UV Without Liner"/>
    <s v="FG"/>
    <s v="FIBC Bags"/>
    <x v="0"/>
  </r>
  <r>
    <s v="Plastene Polyfilms Limited"/>
    <n v="478"/>
    <d v="2026-08-11T00:00:00"/>
    <s v="HCP Plastene Bulkpack Limited - Sales"/>
    <s v="GJ12BT0220"/>
    <s v="PP Woven Sacks With UV Stabilization (2% by Weight)"/>
    <s v="PO-067042"/>
    <n v="230.66"/>
    <n v="2458.1999999999998"/>
    <s v="Kgs"/>
    <n v="567008.41"/>
    <n v="2458.1999999999998"/>
    <n v="2458.1999999999998"/>
    <n v="0"/>
    <s v="FIBC"/>
    <s v="FIBC"/>
    <m/>
    <m/>
    <s v="Rs"/>
    <n v="1"/>
    <m/>
    <n v="9"/>
    <n v="51030.76"/>
    <n v="9"/>
    <n v="51030.76"/>
    <n v="0"/>
    <n v="0"/>
    <n v="39232999"/>
    <s v="."/>
    <d v="2026-08-11T00:00:00"/>
    <n v="0"/>
    <n v="0"/>
    <m/>
    <n v="0"/>
    <m/>
    <m/>
    <m/>
    <n v="0"/>
    <n v="0"/>
    <n v="0"/>
    <n v="0"/>
    <n v="0"/>
    <n v="0"/>
    <n v="0"/>
    <n v="0"/>
    <m/>
    <s v="GANDHINAGAR"/>
    <s v="India"/>
    <s v="WIP00037"/>
    <s v="PP UL Bags With UV"/>
    <s v="FG"/>
    <s v="Small Bags"/>
    <x v="11"/>
  </r>
  <r>
    <s v="Plastene Polyfilms Limited"/>
    <n v="479"/>
    <d v="2026-08-12T00:00:00"/>
    <s v="Plastene India ltd - Unit 1-Sales"/>
    <s v="GJ12FB2542"/>
    <s v="PP WEBBING"/>
    <s v="Webbing-MW"/>
    <n v="135.58000000000001"/>
    <n v="267.7"/>
    <s v="Kgs"/>
    <n v="36294.769999999997"/>
    <n v="267.7"/>
    <n v="267.7"/>
    <n v="42827.83"/>
    <s v="Webbing"/>
    <s v="Webbing"/>
    <m/>
    <m/>
    <s v="Rs"/>
    <n v="1"/>
    <m/>
    <n v="9"/>
    <n v="3266.53"/>
    <n v="9"/>
    <n v="3266.53"/>
    <n v="0"/>
    <n v="0"/>
    <n v="39269080"/>
    <s v="."/>
    <d v="2026-08-12T00:00:00"/>
    <n v="0"/>
    <n v="0"/>
    <m/>
    <n v="0"/>
    <m/>
    <m/>
    <m/>
    <n v="0"/>
    <n v="0"/>
    <n v="0"/>
    <n v="0"/>
    <n v="0"/>
    <n v="0"/>
    <n v="0"/>
    <n v="0"/>
    <m/>
    <s v="KUTCH"/>
    <s v="India"/>
    <s v="WIP00032"/>
    <s v="Webbing"/>
    <s v="SF"/>
    <s v="Webbing"/>
    <x v="8"/>
  </r>
  <r>
    <s v="Plastene Polyfilms Limited"/>
    <n v="480"/>
    <d v="2026-08-12T00:00:00"/>
    <s v="Hcp Plastene Bulkpack Ltd (Unit Iv) - Sales"/>
    <s v="GJ12FB2542"/>
    <s v="LD/LLDPE  FILM"/>
    <s v="LDPE/LLDPE Film"/>
    <n v="259"/>
    <n v="50"/>
    <s v="Kgs"/>
    <n v="12950"/>
    <n v="50"/>
    <n v="50"/>
    <n v="15281"/>
    <s v="Others"/>
    <s v="Others"/>
    <m/>
    <m/>
    <s v="Rs"/>
    <n v="1"/>
    <m/>
    <n v="9"/>
    <n v="1165.5"/>
    <n v="9"/>
    <n v="1165.5"/>
    <n v="0"/>
    <n v="0"/>
    <n v="39201019"/>
    <s v="."/>
    <d v="2026-08-12T00:00:00"/>
    <n v="0"/>
    <n v="0"/>
    <m/>
    <n v="0"/>
    <m/>
    <m/>
    <m/>
    <n v="0"/>
    <n v="0"/>
    <n v="0"/>
    <n v="0"/>
    <n v="0"/>
    <n v="0"/>
    <n v="0"/>
    <n v="0"/>
    <m/>
    <s v="KACHCHH"/>
    <s v="India"/>
    <s v="RAW05124"/>
    <s v="LDPE/LLDPE Film"/>
    <s v="SF"/>
    <s v="Films All (SF)"/>
    <x v="5"/>
  </r>
  <r>
    <s v="Plastene Polyfilms Limited"/>
    <n v="482"/>
    <d v="2026-08-12T00:00:00"/>
    <s v="Plastene India ltd - Unit 1-Sales"/>
    <s v="GJ12X1249"/>
    <s v="PP Laminated Fabrics"/>
    <s v="PP Lam Fabric With UV-BLACK"/>
    <n v="138.58000000000001"/>
    <n v="256"/>
    <s v="Kgs"/>
    <n v="35476.480000000003"/>
    <n v="256"/>
    <n v="266"/>
    <n v="125225.42"/>
    <s v="Woven - Fabric"/>
    <s v="Woven - Fabric"/>
    <m/>
    <m/>
    <s v="Rs"/>
    <n v="1"/>
    <m/>
    <n v="9"/>
    <n v="3192.88"/>
    <n v="9"/>
    <n v="3192.88"/>
    <n v="0"/>
    <n v="0"/>
    <n v="39269080"/>
    <s v="."/>
    <d v="2026-08-12T00:00:00"/>
    <n v="0"/>
    <n v="0"/>
    <m/>
    <n v="0"/>
    <m/>
    <m/>
    <m/>
    <n v="0"/>
    <n v="0"/>
    <n v="0"/>
    <n v="0"/>
    <n v="0"/>
    <n v="0"/>
    <n v="0"/>
    <n v="0"/>
    <m/>
    <s v="KUTCH"/>
    <s v="India"/>
    <s v="WIP00025"/>
    <s v="PP Lam Fabric With UV"/>
    <s v="SF"/>
    <s v="PP/PE Fabric"/>
    <x v="6"/>
  </r>
  <r>
    <s v="Plastene Polyfilms Limited"/>
    <n v="482"/>
    <d v="2026-08-12T00:00:00"/>
    <s v="Plastene India ltd - Unit 1-Sales"/>
    <s v="GJ12X1249"/>
    <s v="PP Laminated Fabrics"/>
    <s v="LAM CUTPCS"/>
    <n v="113.58"/>
    <n v="304"/>
    <s v="Kgs"/>
    <n v="34528.32"/>
    <n v="304"/>
    <n v="304"/>
    <n v="0"/>
    <s v="Woven - Fabric"/>
    <s v="Woven - Fabric"/>
    <m/>
    <m/>
    <s v="Rs"/>
    <n v="1"/>
    <m/>
    <n v="9"/>
    <n v="3107.55"/>
    <n v="9"/>
    <n v="3107.55"/>
    <n v="0"/>
    <n v="0"/>
    <n v="39269080"/>
    <s v="."/>
    <d v="2026-08-12T00:00:00"/>
    <n v="0"/>
    <n v="0"/>
    <m/>
    <n v="0"/>
    <m/>
    <m/>
    <m/>
    <n v="0"/>
    <n v="0"/>
    <n v="0"/>
    <n v="0"/>
    <n v="0"/>
    <n v="0"/>
    <n v="0"/>
    <n v="0"/>
    <m/>
    <s v="KUTCH"/>
    <s v="India"/>
    <s v="FIG00001"/>
    <s v="FIBC WIP"/>
    <s v="FG"/>
    <s v="FIBC WIP"/>
    <x v="7"/>
  </r>
  <r>
    <s v="Plastene Polyfilms Limited"/>
    <n v="482"/>
    <d v="2026-08-12T00:00:00"/>
    <s v="Plastene India ltd - Unit 1-Sales"/>
    <s v="GJ12X1249"/>
    <s v="PP Woven Big Bags"/>
    <s v="REJECTED BAGS"/>
    <n v="113.58"/>
    <n v="318"/>
    <s v="Kgs"/>
    <n v="36118.44"/>
    <n v="318"/>
    <n v="318"/>
    <n v="0"/>
    <s v="Woven - Fabric"/>
    <s v="Woven - Fabric"/>
    <m/>
    <m/>
    <s v="Rs"/>
    <n v="1"/>
    <m/>
    <n v="9"/>
    <n v="3250.66"/>
    <n v="9"/>
    <n v="3250.66"/>
    <n v="0"/>
    <n v="0"/>
    <n v="39232999"/>
    <s v="."/>
    <d v="2026-08-12T00:00:00"/>
    <n v="0"/>
    <n v="0"/>
    <m/>
    <n v="0"/>
    <m/>
    <m/>
    <m/>
    <n v="0"/>
    <n v="0"/>
    <n v="0"/>
    <n v="0"/>
    <n v="0"/>
    <n v="0"/>
    <n v="0"/>
    <n v="0"/>
    <m/>
    <s v="KUTCH"/>
    <s v="India"/>
    <s v="FIG00001"/>
    <s v="FIBC WIP"/>
    <s v="FG"/>
    <s v="FIBC WIP"/>
    <x v="7"/>
  </r>
  <r>
    <s v="Plastene Polyfilms Limited"/>
    <n v="483"/>
    <d v="2026-08-12T00:00:00"/>
    <s v="Hcp Plastene Bulkpack Ltd (Unit Iv) - Sales"/>
    <s v="GJ12BU 0544"/>
    <s v="PP FABRILLATED YARN"/>
    <s v="PP Fibrillated Tape Twisted 3200 MW"/>
    <n v="156.4"/>
    <n v="382.7"/>
    <s v="Kgs"/>
    <n v="59854.28"/>
    <n v="382.7"/>
    <n v="382.7"/>
    <n v="62847"/>
    <s v="PP YARN"/>
    <s v="PP YARN"/>
    <m/>
    <m/>
    <s v="Rs"/>
    <n v="1"/>
    <m/>
    <n v="2.5"/>
    <n v="1496.36"/>
    <n v="2.5"/>
    <n v="1496.36"/>
    <n v="0"/>
    <n v="0"/>
    <n v="54026930"/>
    <s v="."/>
    <d v="2026-08-12T00:00:00"/>
    <n v="0"/>
    <n v="0"/>
    <m/>
    <n v="0"/>
    <m/>
    <m/>
    <m/>
    <n v="0"/>
    <n v="0"/>
    <n v="0"/>
    <n v="0"/>
    <n v="0"/>
    <n v="0"/>
    <n v="0"/>
    <n v="0"/>
    <m/>
    <s v="KACHCHH"/>
    <s v="India"/>
    <s v="SMF00054"/>
    <s v="PP Fibrillated Tape Twisted 3200 MW"/>
    <s v="SF"/>
    <s v="Yarn All"/>
    <x v="12"/>
  </r>
  <r>
    <s v="Plastene Polyfilms Limited"/>
    <n v="484"/>
    <d v="2026-08-12T00:00:00"/>
    <s v="HCP Plastene Bulkpack Limited - Sales"/>
    <s v="GJ39T9828"/>
    <s v="FLEXIBLE INTERMEDIATE BULK CONTAINER"/>
    <s v="KRZY-95/KK0019 SUGAR KSC"/>
    <n v="197.57"/>
    <n v="19598"/>
    <s v="Kgs"/>
    <n v="3871976.86"/>
    <n v="19598"/>
    <n v="19598"/>
    <n v="4568932.7"/>
    <s v="FIBC"/>
    <s v="FIBC"/>
    <m/>
    <m/>
    <s v="Rs"/>
    <n v="1"/>
    <m/>
    <n v="9"/>
    <n v="348477.92"/>
    <n v="9"/>
    <n v="348477.92"/>
    <n v="0"/>
    <n v="0"/>
    <n v="39232999"/>
    <s v="."/>
    <d v="2026-08-12T00:00:00"/>
    <n v="0"/>
    <n v="0"/>
    <m/>
    <n v="0"/>
    <m/>
    <m/>
    <m/>
    <n v="0"/>
    <n v="0"/>
    <n v="0"/>
    <n v="0"/>
    <n v="0"/>
    <n v="0"/>
    <n v="0"/>
    <n v="0"/>
    <m/>
    <s v="GANDHINAGAR"/>
    <s v="India"/>
    <s v="WIP00004"/>
    <s v="FIBC Bags With UV Without Liner"/>
    <s v="FG"/>
    <s v="FIBC Bags"/>
    <x v="0"/>
  </r>
  <r>
    <s v="Plastene Polyfilms Limited"/>
    <n v="485"/>
    <d v="2026-08-13T00:00:00"/>
    <s v="Hcp Plastene Bulkpack Ltd (Unit Iv) - Sales"/>
    <s v="GJ12BU 0544"/>
    <s v="FLEXIBLE INTERMEDIATE BULK CONTAINER"/>
    <s v="OEL438/2634"/>
    <n v="345.98"/>
    <n v="156"/>
    <s v="Kgs"/>
    <n v="53972.88"/>
    <n v="156"/>
    <n v="156"/>
    <n v="63688"/>
    <s v="FIBC"/>
    <s v="FIBC"/>
    <m/>
    <m/>
    <s v="Rs"/>
    <n v="1"/>
    <m/>
    <n v="9"/>
    <n v="4857.5600000000004"/>
    <n v="9"/>
    <n v="4857.5600000000004"/>
    <n v="0"/>
    <n v="0"/>
    <n v="39232999"/>
    <s v="."/>
    <d v="2026-08-13T00:00:00"/>
    <n v="0"/>
    <n v="0"/>
    <m/>
    <n v="0"/>
    <m/>
    <m/>
    <m/>
    <n v="0"/>
    <n v="0"/>
    <n v="0"/>
    <n v="0"/>
    <n v="0"/>
    <n v="0"/>
    <n v="0"/>
    <n v="0"/>
    <m/>
    <s v="KACHCHH"/>
    <s v="India"/>
    <s v="WIP00004"/>
    <s v="FIBC Bags With UV Without Liner"/>
    <s v="FG"/>
    <s v="FIBC Bags"/>
    <x v="0"/>
  </r>
  <r>
    <s v="Plastene Polyfilms Limited"/>
    <n v="486"/>
    <d v="2026-08-13T00:00:00"/>
    <s v="Hcp Plastene Bulkpack Ltd (Unit Iv) - Sales"/>
    <s v="GJ12BU0544"/>
    <s v="LD/LLDPE  FILM"/>
    <s v="LDPE/LLDPE Film"/>
    <n v="240"/>
    <n v="15"/>
    <s v="Kgs"/>
    <n v="3600"/>
    <n v="15"/>
    <n v="15"/>
    <n v="4248"/>
    <s v="Others"/>
    <s v="Others"/>
    <m/>
    <m/>
    <s v="Rs"/>
    <n v="1"/>
    <m/>
    <n v="9"/>
    <n v="324"/>
    <n v="9"/>
    <n v="324"/>
    <n v="0"/>
    <n v="0"/>
    <n v="39201019"/>
    <s v="."/>
    <d v="2026-08-13T00:00:00"/>
    <n v="0"/>
    <n v="0"/>
    <m/>
    <n v="0"/>
    <m/>
    <m/>
    <m/>
    <n v="0"/>
    <n v="0"/>
    <n v="0"/>
    <n v="0"/>
    <n v="0"/>
    <n v="0"/>
    <n v="0"/>
    <n v="0"/>
    <m/>
    <s v="KACHCHH"/>
    <s v="India"/>
    <s v="RAW05124"/>
    <s v="LDPE/LLDPE Film"/>
    <s v="SF"/>
    <s v="Films All (SF)"/>
    <x v="5"/>
  </r>
  <r>
    <s v="Plastene Polyfilms Limited"/>
    <n v="487"/>
    <d v="2026-08-13T00:00:00"/>
    <s v="Plastene India ltd - Unit 1-Sales"/>
    <s v="GJ39T9829"/>
    <s v="FLEXIBLE INTERMEDIATE BULK CONTAINER"/>
    <s v="PST-26007/SN21E/01"/>
    <n v="171.48"/>
    <n v="9970"/>
    <s v="Kgs"/>
    <n v="1709655.6"/>
    <n v="9970"/>
    <n v="9970"/>
    <n v="4237367.93"/>
    <s v="FIBC"/>
    <s v="FIBC"/>
    <m/>
    <m/>
    <s v="Rs"/>
    <n v="1"/>
    <m/>
    <n v="9"/>
    <n v="153869"/>
    <n v="9"/>
    <n v="153869"/>
    <n v="0"/>
    <n v="0"/>
    <n v="39232999"/>
    <s v="."/>
    <d v="2026-08-13T00:00:00"/>
    <n v="0"/>
    <n v="0"/>
    <m/>
    <n v="0"/>
    <m/>
    <m/>
    <m/>
    <n v="0"/>
    <n v="0"/>
    <n v="0"/>
    <n v="0"/>
    <n v="0"/>
    <n v="0"/>
    <n v="0"/>
    <n v="0"/>
    <m/>
    <s v="KUTCH"/>
    <s v="India"/>
    <s v="WIP00004"/>
    <s v="FIBC Bags With UV Without Liner"/>
    <s v="FG"/>
    <s v="FIBC Bags"/>
    <x v="0"/>
  </r>
  <r>
    <s v="Plastene Polyfilms Limited"/>
    <n v="487"/>
    <d v="2026-08-13T00:00:00"/>
    <s v="Plastene India ltd - Unit 1-Sales"/>
    <s v="GJ39T9829"/>
    <s v="FLEXIBLE INTERMEDIATE BULK CONTAINER"/>
    <s v="PST-26007/SN21E/03"/>
    <n v="163.81"/>
    <n v="2988"/>
    <s v="Kgs"/>
    <n v="489464.28"/>
    <n v="2988"/>
    <n v="2988"/>
    <n v="0"/>
    <s v="FIBC"/>
    <s v="FIBC"/>
    <m/>
    <m/>
    <s v="Rs"/>
    <n v="1"/>
    <m/>
    <n v="9"/>
    <n v="44051.79"/>
    <n v="9"/>
    <n v="44051.79"/>
    <n v="0"/>
    <n v="0"/>
    <n v="39232999"/>
    <s v="."/>
    <d v="2026-08-13T00:00:00"/>
    <n v="0"/>
    <n v="0"/>
    <m/>
    <n v="0"/>
    <m/>
    <m/>
    <m/>
    <n v="0"/>
    <n v="0"/>
    <n v="0"/>
    <n v="0"/>
    <n v="0"/>
    <n v="0"/>
    <n v="0"/>
    <n v="0"/>
    <m/>
    <s v="KUTCH"/>
    <s v="India"/>
    <s v="WIP00004"/>
    <s v="FIBC Bags With UV Without Liner"/>
    <s v="FG"/>
    <s v="FIBC Bags"/>
    <x v="0"/>
  </r>
  <r>
    <s v="Plastene Polyfilms Limited"/>
    <n v="487"/>
    <d v="2026-08-13T00:00:00"/>
    <s v="Plastene India ltd - Unit 1-Sales"/>
    <s v="GJ39T9829"/>
    <s v="FLEXIBLE INTERMEDIATE BULK CONTAINER"/>
    <s v="PST-26007/SN21U40P/02"/>
    <n v="172.71"/>
    <n v="8059"/>
    <s v="Kgs"/>
    <n v="1391869.89"/>
    <n v="8059"/>
    <n v="8059"/>
    <n v="0"/>
    <s v="FIBC"/>
    <s v="FIBC"/>
    <m/>
    <m/>
    <s v="Rs"/>
    <n v="1"/>
    <m/>
    <n v="9"/>
    <n v="125268.29"/>
    <n v="9"/>
    <n v="125268.29"/>
    <n v="0"/>
    <n v="0"/>
    <n v="39232999"/>
    <s v="."/>
    <d v="2026-08-13T00:00:00"/>
    <n v="0"/>
    <n v="0"/>
    <m/>
    <n v="0"/>
    <m/>
    <m/>
    <m/>
    <n v="0"/>
    <n v="0"/>
    <n v="0"/>
    <n v="0"/>
    <n v="0"/>
    <n v="0"/>
    <n v="0"/>
    <n v="0"/>
    <m/>
    <s v="KUTCH"/>
    <s v="India"/>
    <s v="WIP00004"/>
    <s v="FIBC Bags With UV Without Liner"/>
    <s v="FG"/>
    <s v="FIBC Bags"/>
    <x v="0"/>
  </r>
  <r>
    <s v="Plastene Polyfilms Limited"/>
    <s v="PPL/E/74/26-27"/>
    <d v="2026-08-13T00:00:00"/>
    <s v="Raficon Trade Srl"/>
    <s v="GJ12BT5713"/>
    <s v="Flexible Intermediate Bulk Containers (Attachement Bag)."/>
    <s v="PP JUMBO BAGS"/>
    <n v="4.5895959499999996"/>
    <n v="9900"/>
    <s v="Pcs"/>
    <n v="4354415"/>
    <n v="19487"/>
    <n v="20159"/>
    <n v="4909467.8499999996"/>
    <s v="FIBC"/>
    <s v="FIBC"/>
    <m/>
    <m/>
    <s v="EURO"/>
    <n v="108.05"/>
    <s v="LUT Bond No"/>
    <m/>
    <m/>
    <m/>
    <m/>
    <n v="18"/>
    <n v="8178.66"/>
    <n v="63053200"/>
    <m/>
    <d v="2026-08-13T00:00:00"/>
    <n v="40300"/>
    <n v="4354415"/>
    <s v="CIF"/>
    <n v="45437"/>
    <m/>
    <m/>
    <n v="6220250"/>
    <n v="5114.28"/>
    <n v="22.72"/>
    <n v="0"/>
    <n v="0"/>
    <n v="0"/>
    <n v="0"/>
    <n v="0"/>
    <n v="0"/>
    <s v="CAIU4836201"/>
    <s v="Constanta"/>
    <s v="Romania"/>
    <s v="WIP00004"/>
    <s v="FIBC Bags With UV Without Liner"/>
    <s v="FG"/>
    <s v="FIBC Bags"/>
    <x v="10"/>
  </r>
  <r>
    <s v="Plastene Polyfilms Limited"/>
    <n v="490"/>
    <d v="2026-08-14T00:00:00"/>
    <s v="Plastene India ltd - Unit 1-Sales"/>
    <s v="GJ12BZ0339"/>
    <s v="PP Woven Fabrics Laminated/ Coated"/>
    <s v="PP Lam Fabric With UV"/>
    <n v="135.58000000000001"/>
    <n v="1222"/>
    <s v="Kgs"/>
    <n v="165678.76"/>
    <n v="1222"/>
    <n v="1222"/>
    <n v="195500.94"/>
    <s v="Woven - Fabric"/>
    <s v="Woven - Fabric"/>
    <m/>
    <m/>
    <s v="Rs"/>
    <n v="1"/>
    <m/>
    <n v="9"/>
    <n v="14911.09"/>
    <n v="9"/>
    <n v="14911.09"/>
    <n v="0"/>
    <n v="0"/>
    <n v="39269080"/>
    <s v="."/>
    <d v="2026-08-14T00:00:00"/>
    <n v="0"/>
    <n v="0"/>
    <m/>
    <n v="0"/>
    <m/>
    <m/>
    <m/>
    <n v="0"/>
    <n v="0"/>
    <n v="0"/>
    <n v="0"/>
    <n v="0"/>
    <n v="0"/>
    <n v="0"/>
    <n v="0"/>
    <m/>
    <s v="KUTCH"/>
    <s v="India"/>
    <s v="WIP00025"/>
    <s v="PP Lam Fabric With UV"/>
    <s v="SF"/>
    <s v="PP/PE Fabric"/>
    <x v="6"/>
  </r>
  <r>
    <s v="Plastene Polyfilms Limited"/>
    <n v="491"/>
    <d v="2026-08-14T00:00:00"/>
    <s v="Plastene India ltd - Unit 1-Sales"/>
    <s v="GJ12FB2542"/>
    <s v="LD/LLDPE  FILM"/>
    <s v="LDPE/LLDPE Film"/>
    <n v="270"/>
    <n v="16.100000000000001"/>
    <s v="Kgs"/>
    <n v="4347"/>
    <n v="16.100000000000001"/>
    <n v="16.100000000000001"/>
    <n v="5129.46"/>
    <s v="Others"/>
    <s v="Others"/>
    <m/>
    <m/>
    <s v="Rs"/>
    <n v="1"/>
    <m/>
    <n v="9"/>
    <n v="391.23"/>
    <n v="9"/>
    <n v="391.23"/>
    <n v="0"/>
    <n v="0"/>
    <n v="39201019"/>
    <s v="."/>
    <d v="2026-08-14T00:00:00"/>
    <n v="0"/>
    <n v="0"/>
    <m/>
    <n v="0"/>
    <m/>
    <m/>
    <m/>
    <n v="0"/>
    <n v="0"/>
    <n v="0"/>
    <n v="0"/>
    <n v="0"/>
    <n v="0"/>
    <n v="0"/>
    <n v="0"/>
    <m/>
    <s v="KUTCH"/>
    <s v="India"/>
    <s v="RAW05124"/>
    <s v="LDPE/LLDPE Film"/>
    <s v="SF"/>
    <s v="Films All (SF)"/>
    <x v="5"/>
  </r>
  <r>
    <s v="Plastene Polyfilms Limited"/>
    <n v="492"/>
    <d v="2026-08-14T00:00:00"/>
    <s v="K.P. Woven Pvt Ltd-Sales"/>
    <s v="GJ12BT0220"/>
    <s v="FLEXIBLE INTERMEDIATE BULK CONTAINER"/>
    <s v="BC-63876/04-11681"/>
    <n v="241.68"/>
    <n v="1609"/>
    <s v="Kgs"/>
    <n v="388863.12"/>
    <n v="1609"/>
    <n v="1609"/>
    <n v="5428358.2699999996"/>
    <s v="FIBC"/>
    <s v="FIBC"/>
    <m/>
    <m/>
    <s v="Rs"/>
    <n v="1"/>
    <m/>
    <n v="9"/>
    <n v="34997.68"/>
    <n v="9"/>
    <n v="34997.68"/>
    <n v="0"/>
    <n v="0"/>
    <n v="39232999"/>
    <s v="."/>
    <d v="2026-08-14T00:00:00"/>
    <n v="0"/>
    <n v="0"/>
    <m/>
    <n v="0"/>
    <m/>
    <m/>
    <m/>
    <n v="0"/>
    <n v="0"/>
    <n v="0"/>
    <n v="0"/>
    <n v="0"/>
    <n v="0"/>
    <n v="0"/>
    <n v="0"/>
    <m/>
    <s v="AHMEDABAD"/>
    <s v="India"/>
    <s v="WIP00004"/>
    <s v="FIBC Bags With UV Without Liner"/>
    <s v="FG"/>
    <s v="FIBC Bags"/>
    <x v="0"/>
  </r>
  <r>
    <s v="Plastene Polyfilms Limited"/>
    <n v="492"/>
    <d v="2026-08-14T00:00:00"/>
    <s v="K.P. Woven Pvt Ltd-Sales"/>
    <s v="GJ12BT0220"/>
    <s v="FLEXIBLE INTERMEDIATE BULK CONTAINER"/>
    <s v="BC-63756/04-9215"/>
    <n v="239.67"/>
    <n v="1393.3"/>
    <s v="Kgs"/>
    <n v="333932.21000000002"/>
    <n v="1393.3"/>
    <n v="1393.3"/>
    <n v="0"/>
    <s v="FIBC"/>
    <s v="FIBC"/>
    <m/>
    <m/>
    <s v="Rs"/>
    <n v="1"/>
    <m/>
    <n v="9"/>
    <n v="30053.9"/>
    <n v="9"/>
    <n v="30053.9"/>
    <n v="0"/>
    <n v="0"/>
    <n v="39232999"/>
    <s v="."/>
    <d v="2026-08-14T00:00:00"/>
    <n v="0"/>
    <n v="0"/>
    <m/>
    <n v="0"/>
    <m/>
    <m/>
    <m/>
    <n v="0"/>
    <n v="0"/>
    <n v="0"/>
    <n v="0"/>
    <n v="0"/>
    <n v="0"/>
    <n v="0"/>
    <n v="0"/>
    <m/>
    <s v="AHMEDABAD"/>
    <s v="India"/>
    <s v="WIP00004"/>
    <s v="FIBC Bags With UV Without Liner"/>
    <s v="FG"/>
    <s v="FIBC Bags"/>
    <x v="0"/>
  </r>
  <r>
    <s v="Plastene Polyfilms Limited"/>
    <n v="492"/>
    <d v="2026-08-14T00:00:00"/>
    <s v="K.P. Woven Pvt Ltd-Sales"/>
    <s v="GJ12BT0220"/>
    <s v="FLEXIBLE INTERMEDIATE BULK CONTAINER"/>
    <s v="BC-63758/04-12600"/>
    <n v="258.83999999999997"/>
    <n v="1282.0999999999999"/>
    <s v="Kgs"/>
    <n v="331858.76"/>
    <n v="1282.0999999999999"/>
    <n v="1282.0999999999999"/>
    <n v="0"/>
    <s v="FIBC"/>
    <s v="FIBC"/>
    <m/>
    <m/>
    <s v="Rs"/>
    <n v="1"/>
    <m/>
    <n v="9"/>
    <n v="29867.29"/>
    <n v="9"/>
    <n v="29867.29"/>
    <n v="0"/>
    <n v="0"/>
    <n v="39232999"/>
    <s v="."/>
    <d v="2026-08-14T00:00:00"/>
    <n v="0"/>
    <n v="0"/>
    <m/>
    <n v="0"/>
    <m/>
    <m/>
    <m/>
    <n v="0"/>
    <n v="0"/>
    <n v="0"/>
    <n v="0"/>
    <n v="0"/>
    <n v="0"/>
    <n v="0"/>
    <n v="0"/>
    <m/>
    <s v="AHMEDABAD"/>
    <s v="India"/>
    <s v="WIP00004"/>
    <s v="FIBC Bags With UV Without Liner"/>
    <s v="FG"/>
    <s v="FIBC Bags"/>
    <x v="0"/>
  </r>
  <r>
    <s v="Plastene Polyfilms Limited"/>
    <n v="492"/>
    <d v="2026-08-14T00:00:00"/>
    <s v="K.P. Woven Pvt Ltd-Sales"/>
    <s v="GJ12BT0220"/>
    <s v="FLEXIBLE INTERMEDIATE BULK CONTAINER"/>
    <s v="BC-63801/04-11452"/>
    <n v="257.91000000000003"/>
    <n v="2407.3000000000002"/>
    <s v="Kgs"/>
    <n v="620866.74"/>
    <n v="2407.3000000000002"/>
    <n v="2407.3000000000002"/>
    <n v="0"/>
    <s v="FIBC"/>
    <s v="FIBC"/>
    <m/>
    <m/>
    <s v="Rs"/>
    <n v="1"/>
    <m/>
    <n v="9"/>
    <n v="55878.01"/>
    <n v="9"/>
    <n v="55878.01"/>
    <n v="0"/>
    <n v="0"/>
    <n v="39232999"/>
    <s v="."/>
    <d v="2026-08-14T00:00:00"/>
    <n v="0"/>
    <n v="0"/>
    <m/>
    <n v="0"/>
    <m/>
    <m/>
    <m/>
    <n v="0"/>
    <n v="0"/>
    <n v="0"/>
    <n v="0"/>
    <n v="0"/>
    <n v="0"/>
    <n v="0"/>
    <n v="0"/>
    <m/>
    <s v="AHMEDABAD"/>
    <s v="India"/>
    <s v="WIP00004"/>
    <s v="FIBC Bags With UV Without Liner"/>
    <s v="FG"/>
    <s v="FIBC Bags"/>
    <x v="0"/>
  </r>
  <r>
    <s v="Plastene Polyfilms Limited"/>
    <n v="492"/>
    <d v="2026-08-14T00:00:00"/>
    <s v="K.P. Woven Pvt Ltd-Sales"/>
    <s v="GJ12BT0220"/>
    <s v="FLEXIBLE INTERMEDIATE BULK CONTAINER"/>
    <s v="BC-63850/04-11283"/>
    <n v="219.86"/>
    <n v="6563"/>
    <s v="Kgs"/>
    <n v="1442941.18"/>
    <n v="6563"/>
    <n v="6563"/>
    <n v="0"/>
    <s v="FIBC"/>
    <s v="FIBC"/>
    <m/>
    <m/>
    <s v="Rs"/>
    <n v="1"/>
    <m/>
    <n v="9"/>
    <n v="129864.71"/>
    <n v="9"/>
    <n v="129864.71"/>
    <n v="0"/>
    <n v="0"/>
    <n v="39232999"/>
    <s v="."/>
    <d v="2026-08-14T00:00:00"/>
    <n v="0"/>
    <n v="0"/>
    <m/>
    <n v="0"/>
    <m/>
    <m/>
    <m/>
    <n v="0"/>
    <n v="0"/>
    <n v="0"/>
    <n v="0"/>
    <n v="0"/>
    <n v="0"/>
    <n v="0"/>
    <n v="0"/>
    <m/>
    <s v="AHMEDABAD"/>
    <s v="India"/>
    <s v="WIP00004"/>
    <s v="FIBC Bags With UV Without Liner"/>
    <s v="FG"/>
    <s v="FIBC Bags"/>
    <x v="0"/>
  </r>
  <r>
    <s v="Plastene Polyfilms Limited"/>
    <n v="492"/>
    <d v="2026-08-14T00:00:00"/>
    <s v="K.P. Woven Pvt Ltd-Sales"/>
    <s v="GJ12BT0220"/>
    <s v="FLEXIBLE INTERMEDIATE BULK CONTAINER"/>
    <s v="BC-63851/04-12211"/>
    <n v="253.74"/>
    <n v="5840"/>
    <s v="Kgs"/>
    <n v="1481841.6"/>
    <n v="5840"/>
    <n v="5840"/>
    <n v="0"/>
    <s v="FIBC"/>
    <s v="FIBC"/>
    <m/>
    <m/>
    <s v="Rs"/>
    <n v="1"/>
    <m/>
    <n v="9"/>
    <n v="133365.74"/>
    <n v="9"/>
    <n v="133365.74"/>
    <n v="0"/>
    <n v="0"/>
    <n v="39232999"/>
    <s v="."/>
    <d v="2026-08-14T00:00:00"/>
    <n v="0"/>
    <n v="0"/>
    <m/>
    <n v="0"/>
    <m/>
    <m/>
    <m/>
    <n v="0"/>
    <n v="0"/>
    <n v="0"/>
    <n v="0"/>
    <n v="0"/>
    <n v="0"/>
    <n v="0"/>
    <n v="0"/>
    <m/>
    <s v="AHMEDABAD"/>
    <s v="India"/>
    <s v="WIP00004"/>
    <s v="FIBC Bags With UV Without Liner"/>
    <s v="FG"/>
    <s v="FIBC Bags"/>
    <x v="0"/>
  </r>
  <r>
    <s v="Plastene Polyfilms Limited"/>
    <n v="494"/>
    <d v="2026-08-16T00:00:00"/>
    <s v="Plastene India ltd - Unit 1-Sales"/>
    <s v="GJ12CT7649"/>
    <s v="FLEXIBLE INTERMEDIATE BULK CONTAINER"/>
    <s v="20BB-2026-PL-013/DSLO160L"/>
    <n v="225.64"/>
    <n v="771"/>
    <s v="Kgs"/>
    <n v="173968.44"/>
    <n v="771"/>
    <n v="771"/>
    <n v="5271068.38"/>
    <s v="FIBC"/>
    <s v="FIBC"/>
    <m/>
    <m/>
    <s v="Rs"/>
    <n v="1"/>
    <m/>
    <n v="9"/>
    <n v="15657.16"/>
    <n v="9"/>
    <n v="15657.16"/>
    <n v="0"/>
    <n v="0"/>
    <n v="39232999"/>
    <s v="."/>
    <d v="2026-08-16T00:00:00"/>
    <n v="0"/>
    <n v="0"/>
    <m/>
    <n v="0"/>
    <m/>
    <m/>
    <m/>
    <n v="0"/>
    <n v="0"/>
    <n v="0"/>
    <n v="0"/>
    <n v="0"/>
    <n v="0"/>
    <n v="0"/>
    <n v="0"/>
    <m/>
    <s v="KUTCH"/>
    <s v="India"/>
    <s v="WIP00003"/>
    <s v="FIBC Bags With UV With Liner"/>
    <s v="FG"/>
    <s v="FIBC Bags"/>
    <x v="0"/>
  </r>
  <r>
    <s v="Plastene Polyfilms Limited"/>
    <n v="494"/>
    <d v="2026-08-16T00:00:00"/>
    <s v="Plastene India ltd - Unit 1-Sales"/>
    <s v="GJ12CT7649"/>
    <s v="FLEXIBLE INTERMEDIATE BULK CONTAINER"/>
    <s v="20BB-2026-PL-011/RMQ"/>
    <n v="226.55"/>
    <n v="2584"/>
    <s v="Kgs"/>
    <n v="585405.19999999995"/>
    <n v="2584"/>
    <n v="2584"/>
    <n v="0"/>
    <s v="FIBC"/>
    <s v="FIBC"/>
    <m/>
    <m/>
    <s v="Rs"/>
    <n v="1"/>
    <m/>
    <n v="9"/>
    <n v="52686.47"/>
    <n v="9"/>
    <n v="52686.47"/>
    <n v="0"/>
    <n v="0"/>
    <n v="39232999"/>
    <s v="."/>
    <d v="2026-08-16T00:00:00"/>
    <n v="0"/>
    <n v="0"/>
    <m/>
    <n v="0"/>
    <m/>
    <m/>
    <m/>
    <n v="0"/>
    <n v="0"/>
    <n v="0"/>
    <n v="0"/>
    <n v="0"/>
    <n v="0"/>
    <n v="0"/>
    <n v="0"/>
    <m/>
    <s v="KUTCH"/>
    <s v="India"/>
    <s v="WIP00004"/>
    <s v="FIBC Bags With UV Without Liner"/>
    <s v="FG"/>
    <s v="FIBC Bags"/>
    <x v="0"/>
  </r>
  <r>
    <s v="Plastene Polyfilms Limited"/>
    <n v="494"/>
    <d v="2026-08-16T00:00:00"/>
    <s v="Plastene India ltd - Unit 1-Sales"/>
    <s v="GJ12CT7649"/>
    <s v="FLEXIBLE INTERMEDIATE BULK CONTAINER"/>
    <s v="20BB-2026-PL-012/SEKAP-BLUE/T2"/>
    <n v="225.87"/>
    <n v="16414.900000000001"/>
    <s v="Kgs"/>
    <n v="3707633.46"/>
    <n v="16414.900000000001"/>
    <n v="16414.900000000001"/>
    <n v="0"/>
    <s v="FIBC"/>
    <s v="FIBC"/>
    <m/>
    <m/>
    <s v="Rs"/>
    <n v="1"/>
    <m/>
    <n v="9"/>
    <n v="333687.01"/>
    <n v="9"/>
    <n v="333687.01"/>
    <n v="0"/>
    <n v="0"/>
    <n v="39232999"/>
    <s v="."/>
    <d v="2026-08-16T00:00:00"/>
    <n v="0"/>
    <n v="0"/>
    <m/>
    <n v="0"/>
    <m/>
    <m/>
    <m/>
    <n v="0"/>
    <n v="0"/>
    <n v="0"/>
    <n v="0"/>
    <n v="0"/>
    <n v="0"/>
    <n v="0"/>
    <n v="0"/>
    <m/>
    <s v="KUTCH"/>
    <s v="India"/>
    <s v="WIP00003"/>
    <s v="FIBC Bags With UV With Liner"/>
    <s v="FG"/>
    <s v="FIBC Bags"/>
    <x v="0"/>
  </r>
  <r>
    <s v="Plastene Polyfilms Limited"/>
    <n v="495"/>
    <d v="2026-08-16T00:00:00"/>
    <s v="HCP Plastene Bulkpack Limited - Sales"/>
    <s v="GJ39T9831"/>
    <s v="FLEXIBLE INTERMEDIATE BULK CONTAINER"/>
    <s v="2026001329 /5235"/>
    <n v="194.09"/>
    <n v="4066"/>
    <s v="Kgs"/>
    <n v="789169.94"/>
    <n v="4066"/>
    <n v="4066"/>
    <n v="4355991.99"/>
    <s v="FIBC"/>
    <s v="FIBC"/>
    <m/>
    <m/>
    <s v="Rs"/>
    <n v="1"/>
    <m/>
    <n v="9"/>
    <n v="71025.289999999994"/>
    <n v="9"/>
    <n v="71025.289999999994"/>
    <n v="0"/>
    <n v="0"/>
    <n v="39232999"/>
    <s v="."/>
    <d v="2026-08-16T00:00:00"/>
    <n v="0"/>
    <n v="0"/>
    <m/>
    <n v="0"/>
    <m/>
    <m/>
    <m/>
    <n v="0"/>
    <n v="0"/>
    <n v="0"/>
    <n v="0"/>
    <n v="0"/>
    <n v="0"/>
    <n v="0"/>
    <n v="0"/>
    <m/>
    <s v="GANDHINAGAR"/>
    <s v="India"/>
    <s v="WIP00004"/>
    <s v="FIBC Bags With UV Without Liner"/>
    <s v="FG"/>
    <s v="FIBC Bags"/>
    <x v="0"/>
  </r>
  <r>
    <s v="Plastene Polyfilms Limited"/>
    <n v="495"/>
    <d v="2026-08-16T00:00:00"/>
    <s v="HCP Plastene Bulkpack Limited - Sales"/>
    <s v="GJ39T9831"/>
    <s v="FLEXIBLE INTERMEDIATE BULK CONTAINER"/>
    <s v="2026001330 /8906"/>
    <n v="205.37"/>
    <n v="2906"/>
    <s v="Kgs"/>
    <n v="596805.22"/>
    <n v="2906"/>
    <n v="2906"/>
    <n v="0"/>
    <s v="FIBC"/>
    <s v="FIBC"/>
    <m/>
    <m/>
    <s v="Rs"/>
    <n v="1"/>
    <m/>
    <n v="9"/>
    <n v="53712.47"/>
    <n v="9"/>
    <n v="53712.47"/>
    <n v="0"/>
    <n v="0"/>
    <n v="39232999"/>
    <s v="."/>
    <d v="2026-08-16T00:00:00"/>
    <n v="0"/>
    <n v="0"/>
    <m/>
    <n v="0"/>
    <m/>
    <m/>
    <m/>
    <n v="0"/>
    <n v="0"/>
    <n v="0"/>
    <n v="0"/>
    <n v="0"/>
    <n v="0"/>
    <n v="0"/>
    <n v="0"/>
    <m/>
    <s v="GANDHINAGAR"/>
    <s v="India"/>
    <s v="WIP00004"/>
    <s v="FIBC Bags With UV Without Liner"/>
    <s v="FG"/>
    <s v="FIBC Bags"/>
    <x v="0"/>
  </r>
  <r>
    <s v="Plastene Polyfilms Limited"/>
    <n v="495"/>
    <d v="2026-08-16T00:00:00"/>
    <s v="HCP Plastene Bulkpack Limited - Sales"/>
    <s v="GJ39T9831"/>
    <s v="FLEXIBLE INTERMEDIATE BULK CONTAINER"/>
    <s v="2026001319 /6965"/>
    <n v="205.23"/>
    <n v="1282"/>
    <s v="Kgs"/>
    <n v="263104.86"/>
    <n v="1282"/>
    <n v="1282"/>
    <n v="0"/>
    <s v="FIBC"/>
    <s v="FIBC"/>
    <m/>
    <m/>
    <s v="Rs"/>
    <n v="1"/>
    <m/>
    <n v="9"/>
    <n v="23679.439999999999"/>
    <n v="9"/>
    <n v="23679.439999999999"/>
    <n v="0"/>
    <n v="0"/>
    <n v="39232999"/>
    <s v="."/>
    <d v="2026-08-16T00:00:00"/>
    <n v="0"/>
    <n v="0"/>
    <m/>
    <n v="0"/>
    <m/>
    <m/>
    <m/>
    <n v="0"/>
    <n v="0"/>
    <n v="0"/>
    <n v="0"/>
    <n v="0"/>
    <n v="0"/>
    <n v="0"/>
    <n v="0"/>
    <m/>
    <s v="GANDHINAGAR"/>
    <s v="India"/>
    <s v="WIP00004"/>
    <s v="FIBC Bags With UV Without Liner"/>
    <s v="FG"/>
    <s v="FIBC Bags"/>
    <x v="0"/>
  </r>
  <r>
    <s v="Plastene Polyfilms Limited"/>
    <n v="495"/>
    <d v="2026-08-16T00:00:00"/>
    <s v="HCP Plastene Bulkpack Limited - Sales"/>
    <s v="GJ39T9831"/>
    <s v="FLEXIBLE INTERMEDIATE BULK CONTAINER"/>
    <s v="2026001322 /5477"/>
    <n v="187.19"/>
    <n v="6205"/>
    <s v="Kgs"/>
    <n v="1161513.95"/>
    <n v="6205"/>
    <n v="6205"/>
    <n v="0"/>
    <s v="FIBC"/>
    <s v="FIBC"/>
    <m/>
    <m/>
    <s v="Rs"/>
    <n v="1"/>
    <m/>
    <n v="9"/>
    <n v="104536.26"/>
    <n v="9"/>
    <n v="104536.26"/>
    <n v="0"/>
    <n v="0"/>
    <n v="39232999"/>
    <s v="."/>
    <d v="2026-08-16T00:00:00"/>
    <n v="0"/>
    <n v="0"/>
    <m/>
    <n v="0"/>
    <m/>
    <m/>
    <m/>
    <n v="0"/>
    <n v="0"/>
    <n v="0"/>
    <n v="0"/>
    <n v="0"/>
    <n v="0"/>
    <n v="0"/>
    <n v="0"/>
    <m/>
    <s v="GANDHINAGAR"/>
    <s v="India"/>
    <s v="WIP00004"/>
    <s v="FIBC Bags With UV Without Liner"/>
    <s v="FG"/>
    <s v="FIBC Bags"/>
    <x v="0"/>
  </r>
  <r>
    <s v="Plastene Polyfilms Limited"/>
    <n v="495"/>
    <d v="2026-08-16T00:00:00"/>
    <s v="HCP Plastene Bulkpack Limited - Sales"/>
    <s v="GJ39T9831"/>
    <s v="FLEXIBLE INTERMEDIATE BULK CONTAINER"/>
    <s v="2026001324 /2026001526"/>
    <n v="193.27"/>
    <n v="4558"/>
    <s v="Kgs"/>
    <n v="880924.66"/>
    <n v="4558"/>
    <n v="4558"/>
    <n v="0"/>
    <s v="FIBC"/>
    <s v="FIBC"/>
    <m/>
    <m/>
    <s v="Rs"/>
    <n v="1"/>
    <m/>
    <n v="9"/>
    <n v="79283.22"/>
    <n v="9"/>
    <n v="79283.22"/>
    <n v="0"/>
    <n v="0"/>
    <n v="39232999"/>
    <s v="."/>
    <d v="2026-08-16T00:00:00"/>
    <n v="0"/>
    <n v="0"/>
    <m/>
    <n v="0"/>
    <m/>
    <m/>
    <m/>
    <n v="0"/>
    <n v="0"/>
    <n v="0"/>
    <n v="0"/>
    <n v="0"/>
    <n v="0"/>
    <n v="0"/>
    <n v="0"/>
    <m/>
    <s v="GANDHINAGAR"/>
    <s v="India"/>
    <s v="WIP00004"/>
    <s v="FIBC Bags With UV Without Liner"/>
    <s v="FG"/>
    <s v="FIBC Bags"/>
    <x v="0"/>
  </r>
  <r>
    <s v="Plastene Polyfilms Limited"/>
    <n v="496"/>
    <d v="2026-08-16T00:00:00"/>
    <s v="Hcp Plastene Bulkpack Ltd (Unit Iv) - Sales"/>
    <s v="GJ39TB3534"/>
    <s v="PP Woven Fabrics"/>
    <s v="PP UL Fabric CutPcs With UV"/>
    <n v="133.58000000000001"/>
    <n v="550"/>
    <s v="Kgs"/>
    <n v="73469"/>
    <n v="550"/>
    <n v="550"/>
    <n v="271818.28000000003"/>
    <s v="Woven - Fabric"/>
    <s v="Woven - Fabric"/>
    <m/>
    <m/>
    <s v="Rs"/>
    <n v="1"/>
    <m/>
    <n v="9"/>
    <n v="6612.21"/>
    <n v="9"/>
    <n v="6612.21"/>
    <n v="0"/>
    <n v="0"/>
    <n v="39269080"/>
    <s v="."/>
    <d v="2026-08-16T00:00:00"/>
    <n v="0"/>
    <n v="0"/>
    <m/>
    <n v="0"/>
    <m/>
    <m/>
    <m/>
    <n v="0"/>
    <n v="0"/>
    <n v="0"/>
    <n v="0"/>
    <n v="0"/>
    <n v="0"/>
    <n v="0"/>
    <n v="0"/>
    <m/>
    <s v="KACHCHH"/>
    <s v="India"/>
    <s v="FIG00001"/>
    <s v="FIBC WIP"/>
    <s v="FG"/>
    <s v="FIBC WIP"/>
    <x v="7"/>
  </r>
  <r>
    <s v="Plastene Polyfilms Limited"/>
    <n v="496"/>
    <d v="2026-08-16T00:00:00"/>
    <s v="Hcp Plastene Bulkpack Ltd (Unit Iv) - Sales"/>
    <s v="GJ39TB3534"/>
    <s v="PP Laminated Fabrics"/>
    <s v="PP Lam Fabric With UV black"/>
    <n v="138.58000000000001"/>
    <n v="457"/>
    <s v="Kgs"/>
    <n v="63331.06"/>
    <n v="457"/>
    <n v="457"/>
    <n v="0"/>
    <s v="Woven - Fabric"/>
    <s v="Woven - Fabric"/>
    <m/>
    <m/>
    <s v="Rs"/>
    <n v="1"/>
    <m/>
    <n v="9"/>
    <n v="5699.8"/>
    <n v="9"/>
    <n v="5699.8"/>
    <n v="0"/>
    <n v="0"/>
    <n v="39269080"/>
    <s v="."/>
    <d v="2026-08-16T00:00:00"/>
    <n v="0"/>
    <n v="0"/>
    <m/>
    <n v="0"/>
    <m/>
    <m/>
    <m/>
    <n v="0"/>
    <n v="0"/>
    <n v="0"/>
    <n v="0"/>
    <n v="0"/>
    <n v="0"/>
    <n v="0"/>
    <n v="0"/>
    <m/>
    <s v="KACHCHH"/>
    <s v="India"/>
    <s v="WIP00025"/>
    <s v="PP Lam Fabric With UV"/>
    <s v="SF"/>
    <s v="PP/PE Fabric"/>
    <x v="6"/>
  </r>
  <r>
    <s v="Plastene Polyfilms Limited"/>
    <n v="496"/>
    <d v="2026-08-16T00:00:00"/>
    <s v="Hcp Plastene Bulkpack Ltd (Unit Iv) - Sales"/>
    <s v="GJ39TB3534"/>
    <s v="PP Laminated Fabrics"/>
    <s v="PP Lam Fabric With UV MW SPOUT"/>
    <n v="137.58000000000001"/>
    <n v="680"/>
    <s v="Kgs"/>
    <n v="93554.4"/>
    <n v="680"/>
    <n v="680"/>
    <n v="0"/>
    <s v="Woven - Fabric"/>
    <s v="Woven - Fabric"/>
    <m/>
    <m/>
    <s v="Rs"/>
    <n v="1"/>
    <m/>
    <n v="9"/>
    <n v="8419.9"/>
    <n v="9"/>
    <n v="8419.9"/>
    <n v="0"/>
    <n v="0"/>
    <n v="39269080"/>
    <s v="."/>
    <d v="2026-08-16T00:00:00"/>
    <n v="0"/>
    <n v="0"/>
    <m/>
    <n v="0"/>
    <m/>
    <m/>
    <m/>
    <n v="0"/>
    <n v="0"/>
    <n v="0"/>
    <n v="0"/>
    <n v="0"/>
    <n v="0"/>
    <n v="0"/>
    <n v="0"/>
    <m/>
    <s v="KACHCHH"/>
    <s v="India"/>
    <s v="WIP00025"/>
    <s v="PP Lam Fabric With UV"/>
    <s v="SF"/>
    <s v="PP/PE Fabric"/>
    <x v="6"/>
  </r>
  <r>
    <s v="Plastene Polyfilms Limited"/>
    <n v="498"/>
    <d v="2026-08-16T00:00:00"/>
    <s v="Plastene India ltd - Unit 1-Sales"/>
    <s v="GJ12FB2542"/>
    <s v="LD/LLDPE  FILM"/>
    <s v="LDPE/LLDPE Film"/>
    <n v="247"/>
    <n v="4"/>
    <s v="Kgs"/>
    <n v="988"/>
    <n v="4"/>
    <n v="4"/>
    <n v="1165.8399999999999"/>
    <s v="Others"/>
    <s v="Others"/>
    <m/>
    <m/>
    <s v="Rs"/>
    <n v="1"/>
    <m/>
    <n v="9"/>
    <n v="88.92"/>
    <n v="9"/>
    <n v="88.92"/>
    <n v="0"/>
    <n v="0"/>
    <n v="39201019"/>
    <s v="."/>
    <d v="2026-08-16T00:00:00"/>
    <n v="0"/>
    <n v="0"/>
    <m/>
    <n v="0"/>
    <m/>
    <m/>
    <m/>
    <n v="0"/>
    <n v="0"/>
    <n v="0"/>
    <n v="0"/>
    <n v="0"/>
    <n v="0"/>
    <n v="0"/>
    <n v="0"/>
    <m/>
    <s v="KUTCH"/>
    <s v="India"/>
    <s v="RAW05124"/>
    <s v="LDPE/LLDPE Film"/>
    <s v="SF"/>
    <s v="Films All (SF)"/>
    <x v="5"/>
  </r>
  <r>
    <s v="Plastene Polyfilms Limited"/>
    <n v="499"/>
    <d v="2026-08-17T00:00:00"/>
    <s v="Hcp Plastene Bulkpack Ltd (Unit Iv) - Sales"/>
    <s v="GJ39T9834"/>
    <s v="FLEXIBLE INTERMEDIATE BULK CONTAINER"/>
    <s v="PO 10066/4LT-0440"/>
    <n v="207.31"/>
    <n v="9169"/>
    <s v="Kgs"/>
    <n v="1900825.39"/>
    <n v="9169"/>
    <n v="9169"/>
    <n v="2242973.9700000002"/>
    <s v="FIBC"/>
    <s v="FIBC"/>
    <m/>
    <m/>
    <s v="Rs"/>
    <n v="1"/>
    <m/>
    <n v="9"/>
    <n v="171074.29"/>
    <n v="9"/>
    <n v="171074.29"/>
    <n v="0"/>
    <n v="0"/>
    <n v="39232999"/>
    <s v="."/>
    <d v="2026-08-17T00:00:00"/>
    <n v="0"/>
    <n v="0"/>
    <m/>
    <n v="0"/>
    <m/>
    <m/>
    <m/>
    <n v="0"/>
    <n v="0"/>
    <n v="0"/>
    <n v="0"/>
    <n v="0"/>
    <n v="0"/>
    <n v="0"/>
    <n v="0"/>
    <m/>
    <s v="KACHCHH"/>
    <s v="India"/>
    <s v="WIP00004"/>
    <s v="FIBC Bags With UV Without Liner"/>
    <s v="FG"/>
    <s v="FIBC Bags"/>
    <x v="0"/>
  </r>
  <r>
    <s v="Plastene Polyfilms Limited"/>
    <n v="501"/>
    <d v="2026-08-17T00:00:00"/>
    <s v="Plastene India ltd - Unit 1-Sales"/>
    <s v="GJ-08 AU-6285"/>
    <s v="PP/HD/LD WASTE"/>
    <s v="LD INDOTHENE"/>
    <n v="25"/>
    <n v="1590"/>
    <s v="Kgs"/>
    <n v="39750"/>
    <n v="1590"/>
    <n v="1590"/>
    <n v="47843.1"/>
    <s v="Wastage"/>
    <s v="Wastage"/>
    <m/>
    <m/>
    <s v="Rs"/>
    <n v="1"/>
    <m/>
    <n v="9"/>
    <n v="3577.5"/>
    <n v="9"/>
    <n v="3577.5"/>
    <n v="0"/>
    <n v="0"/>
    <n v="39159029"/>
    <s v="."/>
    <d v="2026-08-17T00:00:00"/>
    <n v="0"/>
    <n v="0"/>
    <m/>
    <n v="0"/>
    <m/>
    <m/>
    <m/>
    <n v="0"/>
    <n v="0"/>
    <n v="0"/>
    <n v="0"/>
    <n v="0"/>
    <n v="0"/>
    <n v="0"/>
    <n v="0"/>
    <m/>
    <s v="KUTCH"/>
    <s v="India"/>
    <s v="WIP00031"/>
    <s v="PP/HD Wastage/Scrap"/>
    <s v="SF"/>
    <s v="Wastage/Scrap"/>
    <x v="13"/>
  </r>
  <r>
    <s v="Plastene Polyfilms Limited"/>
    <n v="502"/>
    <d v="2026-08-18T00:00:00"/>
    <s v="Plastene India ltd - Unit 1-Sales"/>
    <s v="GJ12FB2542"/>
    <s v="PP Woven Fabrics"/>
    <s v="PP UL Fabric CutPcs Without UV"/>
    <n v="113.58"/>
    <n v="232"/>
    <s v="Kgs"/>
    <n v="26350.560000000001"/>
    <n v="232"/>
    <n v="232"/>
    <n v="31093.66"/>
    <s v="Others"/>
    <s v="Woven - Fabric"/>
    <m/>
    <m/>
    <s v="Rs"/>
    <n v="1"/>
    <m/>
    <n v="9"/>
    <n v="2371.5500000000002"/>
    <n v="9"/>
    <n v="2371.5500000000002"/>
    <n v="0"/>
    <n v="0"/>
    <n v="39269080"/>
    <s v="."/>
    <d v="2026-08-18T00:00:00"/>
    <n v="0"/>
    <n v="0"/>
    <m/>
    <n v="0"/>
    <m/>
    <m/>
    <m/>
    <n v="0"/>
    <n v="0"/>
    <n v="0"/>
    <n v="0"/>
    <n v="0"/>
    <n v="0"/>
    <n v="0"/>
    <n v="0"/>
    <m/>
    <s v="KUTCH"/>
    <s v="India"/>
    <s v="FIG00001"/>
    <s v="FIBC WIP"/>
    <s v="FG"/>
    <s v="FIBC WIP"/>
    <x v="7"/>
  </r>
  <r>
    <s v="Plastene Polyfilms Limited"/>
    <n v="504"/>
    <d v="2026-08-18T00:00:00"/>
    <s v="Plastene India ltd - Unit 1-Sales"/>
    <s v="GJ12FB2542"/>
    <s v="PP WEBBING"/>
    <s v="Webbing black"/>
    <n v="138.58000000000001"/>
    <n v="24"/>
    <s v="Kgs"/>
    <n v="3325.92"/>
    <n v="24"/>
    <n v="24"/>
    <n v="6931.22"/>
    <s v="Others"/>
    <s v="Webbing"/>
    <m/>
    <m/>
    <s v="Rs"/>
    <n v="1"/>
    <m/>
    <n v="9"/>
    <n v="299.33"/>
    <n v="9"/>
    <n v="299.33"/>
    <n v="0"/>
    <n v="0"/>
    <n v="39269080"/>
    <s v="."/>
    <d v="2026-08-18T00:00:00"/>
    <n v="0"/>
    <n v="0"/>
    <m/>
    <n v="0"/>
    <m/>
    <m/>
    <m/>
    <n v="0"/>
    <n v="0"/>
    <n v="0"/>
    <n v="0"/>
    <n v="0"/>
    <n v="0"/>
    <n v="0"/>
    <n v="0"/>
    <m/>
    <s v="KUTCH"/>
    <s v="India"/>
    <s v="WIP00032"/>
    <s v="Webbing"/>
    <s v="SF"/>
    <s v="Webbing"/>
    <x v="8"/>
  </r>
  <r>
    <s v="Plastene Polyfilms Limited"/>
    <n v="504"/>
    <d v="2026-08-18T00:00:00"/>
    <s v="Plastene India ltd - Unit 1-Sales"/>
    <s v="GJ12FB2542"/>
    <s v="LD/LLDPE  FILM"/>
    <s v="LDPE/LLDPE Film"/>
    <n v="260"/>
    <n v="9.8000000000000007"/>
    <s v="Kgs"/>
    <n v="2548"/>
    <n v="9.8000000000000007"/>
    <n v="9.8000000000000007"/>
    <n v="0"/>
    <s v="Others"/>
    <s v="LDPE/LLDPE Film"/>
    <m/>
    <m/>
    <s v="Rs"/>
    <n v="1"/>
    <m/>
    <n v="9"/>
    <n v="229.32"/>
    <n v="9"/>
    <n v="229.32"/>
    <n v="0"/>
    <n v="0"/>
    <n v="39201019"/>
    <s v="."/>
    <d v="2026-08-18T00:00:00"/>
    <n v="0"/>
    <n v="0"/>
    <m/>
    <n v="0"/>
    <m/>
    <m/>
    <m/>
    <n v="0"/>
    <n v="0"/>
    <n v="0"/>
    <n v="0"/>
    <n v="0"/>
    <n v="0"/>
    <n v="0"/>
    <n v="0"/>
    <m/>
    <s v="KUTCH"/>
    <s v="India"/>
    <s v="RAW05124"/>
    <s v="LDPE/LLDPE Film"/>
    <s v="SF"/>
    <s v="Films All (SF)"/>
    <x v="5"/>
  </r>
  <r>
    <s v="Plastene Polyfilms Limited"/>
    <n v="506"/>
    <d v="2026-08-18T00:00:00"/>
    <s v="Plastene India ltd - Unit 1-Sales"/>
    <s v="GJ07Y1324"/>
    <s v="PP Laminated Fabrics"/>
    <s v="PP Lam Fabric With UV MW"/>
    <n v="135.58000000000001"/>
    <n v="2330"/>
    <s v="Kgs"/>
    <n v="315901.40000000002"/>
    <n v="2330"/>
    <n v="2330"/>
    <n v="372763.66"/>
    <s v="Woven - Fabric"/>
    <s v="Woven - Fabric"/>
    <m/>
    <m/>
    <s v="Rs"/>
    <n v="1"/>
    <m/>
    <n v="9"/>
    <n v="28431.13"/>
    <n v="9"/>
    <n v="28431.13"/>
    <n v="0"/>
    <n v="0"/>
    <n v="39269080"/>
    <s v="."/>
    <d v="2026-08-18T00:00:00"/>
    <n v="0"/>
    <n v="0"/>
    <m/>
    <n v="0"/>
    <m/>
    <m/>
    <m/>
    <n v="0"/>
    <n v="0"/>
    <n v="0"/>
    <n v="0"/>
    <n v="0"/>
    <n v="0"/>
    <n v="0"/>
    <n v="0"/>
    <m/>
    <s v="KUTCH"/>
    <s v="India"/>
    <s v="WIP00025"/>
    <s v="PP Lam Fabric With UV"/>
    <s v="SF"/>
    <s v="PP/PE Fabric"/>
    <x v="6"/>
  </r>
  <r>
    <s v="Plastene Polyfilms Limited"/>
    <n v="508"/>
    <d v="2026-08-18T00:00:00"/>
    <s v="Plastene India ltd - Unit 1-Sales"/>
    <s v="GJ12X1249"/>
    <s v="PP WEBBING"/>
    <s v="Webbing-Blue"/>
    <n v="138.58000000000001"/>
    <n v="360.4"/>
    <s v="Kgs"/>
    <n v="49944.23"/>
    <n v="360.4"/>
    <n v="360.4"/>
    <n v="58934.19"/>
    <s v="Webbing"/>
    <s v="Webbing"/>
    <m/>
    <m/>
    <s v="Rs"/>
    <n v="1"/>
    <m/>
    <n v="9"/>
    <n v="4494.9799999999996"/>
    <n v="9"/>
    <n v="4494.9799999999996"/>
    <n v="0"/>
    <n v="0"/>
    <n v="39269080"/>
    <s v="."/>
    <d v="2026-08-18T00:00:00"/>
    <n v="0"/>
    <n v="0"/>
    <m/>
    <n v="0"/>
    <m/>
    <m/>
    <m/>
    <n v="0"/>
    <n v="0"/>
    <n v="0"/>
    <n v="0"/>
    <n v="0"/>
    <n v="0"/>
    <n v="0"/>
    <n v="0"/>
    <m/>
    <s v="KUTCH"/>
    <s v="India"/>
    <s v="WIP00032"/>
    <s v="Webbing"/>
    <s v="SF"/>
    <s v="Webbing"/>
    <x v="8"/>
  </r>
  <r>
    <s v="Plastene Polyfilms Limited"/>
    <n v="511"/>
    <d v="2026-08-18T00:00:00"/>
    <s v="Plastene India ltd - Unit 1-Sales"/>
    <s v="GJ12FB2542"/>
    <s v="POLYESTER YARN"/>
    <s v="Polyester Yarn Twisted"/>
    <n v="176.2"/>
    <n v="115.5"/>
    <s v="Kgs"/>
    <n v="20351.099999999999"/>
    <n v="115.5"/>
    <n v="115.5"/>
    <n v="21368.66"/>
    <s v="PP YARN"/>
    <s v="Others"/>
    <m/>
    <m/>
    <s v="Rs"/>
    <n v="1"/>
    <m/>
    <n v="2.5"/>
    <n v="508.78"/>
    <n v="2.5"/>
    <n v="508.78"/>
    <n v="0"/>
    <n v="0"/>
    <n v="54026930"/>
    <s v="."/>
    <d v="2026-08-18T00:00:00"/>
    <n v="0"/>
    <n v="0"/>
    <m/>
    <n v="0"/>
    <m/>
    <m/>
    <m/>
    <n v="0"/>
    <n v="0"/>
    <n v="0"/>
    <n v="0"/>
    <n v="0"/>
    <n v="0"/>
    <n v="0"/>
    <n v="0"/>
    <m/>
    <s v="KUTCH"/>
    <s v="India"/>
    <s v="WIP00017"/>
    <s v="Polyester Yarn Twisted"/>
    <s v="SF"/>
    <s v="Yarn All"/>
    <x v="12"/>
  </r>
  <r>
    <s v="Plastene Polyfilms Limited"/>
    <s v="PPL/E/76/26-27"/>
    <d v="2026-08-18T00:00:00"/>
    <s v="OSWAL EXTRUSION LTD- KASEZ-SALES"/>
    <s v="GJ07Y1324"/>
    <s v="FILLER CORD"/>
    <s v="Filler Cord"/>
    <n v="172"/>
    <n v="760"/>
    <s v="Kgs"/>
    <n v="130720"/>
    <n v="760"/>
    <n v="760"/>
    <n v="130720"/>
    <s v="Others"/>
    <s v="PP YARN"/>
    <m/>
    <m/>
    <s v="Rs"/>
    <n v="1"/>
    <s v="LUT Bond No"/>
    <n v="0"/>
    <n v="0"/>
    <n v="0"/>
    <n v="0"/>
    <n v="5"/>
    <n v="6536"/>
    <n v="540263"/>
    <s v="."/>
    <d v="2026-08-18T00:00:00"/>
    <n v="0"/>
    <n v="0"/>
    <m/>
    <n v="0"/>
    <m/>
    <m/>
    <m/>
    <n v="0"/>
    <n v="0"/>
    <n v="0"/>
    <n v="0"/>
    <n v="0"/>
    <n v="0"/>
    <n v="0"/>
    <n v="0"/>
    <m/>
    <s v="KASEZ"/>
    <s v="India"/>
    <s v="WIP00022"/>
    <s v="Filler Cord"/>
    <s v="SF"/>
    <s v="Yarn All"/>
    <x v="12"/>
  </r>
  <r>
    <s v="Plastene Polyfilms Limited"/>
    <s v="PPL/E/78/26-27"/>
    <d v="2026-08-18T00:00:00"/>
    <s v="K.P. WOVEN PVT LTD - UNIT 3 -SALES"/>
    <s v="GJ09Z0572"/>
    <s v="Flexible Intermediate Bulk Containers (Attachment bag)"/>
    <s v="PP WOVEN BIG BAGS"/>
    <n v="2"/>
    <n v="9358"/>
    <s v="Kgs"/>
    <n v="1751817.5999999901"/>
    <n v="9358"/>
    <n v="9358"/>
    <n v="1751817.5999999901"/>
    <s v="FIBC"/>
    <s v="FIBC"/>
    <m/>
    <m/>
    <s v="USD"/>
    <n v="93.6"/>
    <s v="LUT Bond No"/>
    <m/>
    <m/>
    <m/>
    <m/>
    <n v="18"/>
    <n v="3368.88"/>
    <n v="63053200"/>
    <n v="31"/>
    <d v="2026-08-18T00:00:00"/>
    <n v="18716"/>
    <n v="1751817.5999999901"/>
    <s v="FOB"/>
    <n v="18716"/>
    <m/>
    <m/>
    <n v="6220250"/>
    <n v="0"/>
    <n v="0"/>
    <n v="0"/>
    <n v="0"/>
    <n v="0"/>
    <n v="0"/>
    <n v="0"/>
    <n v="0"/>
    <m/>
    <s v="KASEZ"/>
    <s v="India"/>
    <s v="WIP00004"/>
    <s v="FIBC Bags With UV Without Liner"/>
    <s v="FG"/>
    <s v="FIBC Bags"/>
    <x v="10"/>
  </r>
  <r>
    <s v="Plastene Polyfilms Limited"/>
    <s v="PPL/E/79/26-27"/>
    <d v="2026-08-18T00:00:00"/>
    <s v="K.P. WOVEN PVT LTD - UNIT 3 -SALES"/>
    <s v="GJ09Z0572"/>
    <s v="Flexible Intermediate Bulk Containers (Attachment bag)"/>
    <s v="PP WOVEN BIGBAGS"/>
    <n v="2"/>
    <n v="4676"/>
    <s v="Kgs"/>
    <n v="875347.2"/>
    <n v="4676"/>
    <n v="6246"/>
    <n v="875347.2"/>
    <s v="FIBC"/>
    <s v="FIBC"/>
    <m/>
    <m/>
    <s v="USD"/>
    <n v="93.6"/>
    <s v="LUT Bond No"/>
    <m/>
    <m/>
    <m/>
    <m/>
    <n v="18"/>
    <n v="1683.36"/>
    <n v="63053200"/>
    <n v="32"/>
    <d v="2026-08-18T00:00:00"/>
    <n v="12490"/>
    <n v="1169064"/>
    <s v="FOB"/>
    <n v="12490"/>
    <m/>
    <m/>
    <n v="6220250"/>
    <n v="0"/>
    <n v="0"/>
    <n v="0"/>
    <n v="0"/>
    <n v="0"/>
    <n v="0"/>
    <n v="0"/>
    <n v="0"/>
    <m/>
    <s v="KASEZ"/>
    <s v="India"/>
    <s v="WIP00003"/>
    <s v="FIBC Bags With UV With Liner"/>
    <s v="FG"/>
    <s v="FIBC Bags"/>
    <x v="10"/>
  </r>
  <r>
    <s v="Plastene Polyfilms Limited"/>
    <s v="PPL/E/79/26-27"/>
    <d v="2026-08-18T00:00:00"/>
    <s v="K.P. WOVEN PVT LTD - UNIT 3 -SALES"/>
    <s v="GJ09Z0572"/>
    <s v="Flexible Intermediate Bulk Containers (Attachment bag)"/>
    <s v="PP WOVEN BIGBAGS"/>
    <n v="2"/>
    <n v="1569"/>
    <s v="Kgs"/>
    <n v="293716.8"/>
    <n v="1569"/>
    <n v="6246"/>
    <n v="0"/>
    <s v="FIBC"/>
    <s v="FIBC"/>
    <m/>
    <m/>
    <s v="USD"/>
    <n v="93.6"/>
    <s v="LUT Bond No"/>
    <m/>
    <m/>
    <m/>
    <m/>
    <n v="18"/>
    <n v="564.84"/>
    <n v="63053200"/>
    <n v="32"/>
    <d v="2026-08-18T00:00:00"/>
    <n v="0"/>
    <n v="0"/>
    <s v="FOB"/>
    <n v="12490"/>
    <m/>
    <m/>
    <n v="6220250"/>
    <n v="0"/>
    <n v="0"/>
    <n v="0"/>
    <n v="0"/>
    <n v="0"/>
    <n v="0"/>
    <n v="0"/>
    <n v="0"/>
    <m/>
    <s v="KASEZ"/>
    <s v="India"/>
    <s v="WIP00004"/>
    <s v="FIBC Bags With UV Without Liner"/>
    <s v="FG"/>
    <s v="FIBC Bags"/>
    <x v="10"/>
  </r>
  <r>
    <s v="Plastene Polyfilms Limited"/>
    <n v="514"/>
    <d v="2026-08-19T00:00:00"/>
    <s v="HCP Plastene Bulkpack Limited - Sales"/>
    <s v="GJ12BT0082"/>
    <s v="FLEXIBLE INTERMEDIATE BULK CONTAINER"/>
    <s v="26.19227/241115050340 -M"/>
    <n v="285.89999999999998"/>
    <n v="17921"/>
    <s v="Kgs"/>
    <n v="5123613.9000000004"/>
    <n v="17921"/>
    <n v="17921"/>
    <n v="6045864.4000000004"/>
    <s v="FIBC"/>
    <s v="FIBC"/>
    <m/>
    <m/>
    <s v="Rs"/>
    <n v="1"/>
    <m/>
    <n v="9"/>
    <n v="461125.25"/>
    <n v="9"/>
    <n v="461125.25"/>
    <n v="0"/>
    <n v="0"/>
    <n v="39232999"/>
    <s v="."/>
    <d v="2026-08-19T00:00:00"/>
    <n v="0"/>
    <n v="0"/>
    <m/>
    <n v="0"/>
    <m/>
    <m/>
    <m/>
    <n v="0"/>
    <n v="0"/>
    <n v="0"/>
    <n v="0"/>
    <n v="0"/>
    <n v="0"/>
    <n v="0"/>
    <n v="0"/>
    <m/>
    <s v="GANDHINAGAR"/>
    <s v="India"/>
    <s v="WIP00004"/>
    <s v="FIBC Bags With UV Without Liner"/>
    <s v="FG"/>
    <s v="FIBC Bags"/>
    <x v="0"/>
  </r>
  <r>
    <s v="Plastene Polyfilms Limited"/>
    <n v="515"/>
    <d v="2026-08-19T00:00:00"/>
    <s v="Plastene India ltd - Unit 1-Sales"/>
    <s v="GJ12X1249"/>
    <s v="PP Woven Fabrics"/>
    <s v="PP UL Fabric With UV"/>
    <n v="135.58000000000001"/>
    <n v="1507"/>
    <s v="Kgs"/>
    <n v="204319.06"/>
    <n v="1507"/>
    <n v="1534"/>
    <n v="241096.5"/>
    <s v="Woven - Fabric"/>
    <s v="Woven - Fabric"/>
    <m/>
    <m/>
    <s v="Rs"/>
    <n v="1"/>
    <m/>
    <n v="9"/>
    <n v="18388.72"/>
    <n v="9"/>
    <n v="18388.72"/>
    <n v="0"/>
    <n v="0"/>
    <n v="39269080"/>
    <s v="."/>
    <d v="2026-08-19T00:00:00"/>
    <n v="0"/>
    <n v="0"/>
    <m/>
    <n v="0"/>
    <m/>
    <m/>
    <m/>
    <n v="0"/>
    <n v="0"/>
    <n v="0"/>
    <n v="0"/>
    <n v="0"/>
    <n v="0"/>
    <n v="0"/>
    <n v="0"/>
    <m/>
    <s v="KUTCH"/>
    <s v="India"/>
    <s v="WIP00023"/>
    <s v="PP UL Fabric With UV"/>
    <s v="SF"/>
    <s v="PP/PE Fabric"/>
    <x v="1"/>
  </r>
  <r>
    <s v="Plastene Polyfilms Limited"/>
    <n v="517"/>
    <d v="2026-08-19T00:00:00"/>
    <s v="Hcp Plastene Bulkpack Ltd (Unit Iv) - Sales"/>
    <s v="GJ39TB3534"/>
    <s v="LD/LLDPE  FILM"/>
    <s v="LDPE/LLDPE Film"/>
    <n v="247"/>
    <n v="65"/>
    <s v="Kgs"/>
    <n v="16055"/>
    <n v="65"/>
    <n v="65"/>
    <n v="168262.49"/>
    <s v="FIBC"/>
    <s v="Others"/>
    <m/>
    <m/>
    <s v="Rs"/>
    <n v="1"/>
    <m/>
    <n v="9"/>
    <n v="1444.95"/>
    <n v="9"/>
    <n v="1444.95"/>
    <n v="0"/>
    <n v="0"/>
    <n v="39201019"/>
    <s v="."/>
    <d v="2026-08-19T00:00:00"/>
    <n v="0"/>
    <n v="0"/>
    <m/>
    <n v="0"/>
    <m/>
    <m/>
    <m/>
    <n v="0"/>
    <n v="0"/>
    <n v="0"/>
    <n v="0"/>
    <n v="0"/>
    <n v="0"/>
    <n v="0"/>
    <n v="0"/>
    <m/>
    <s v="KACHCHH"/>
    <s v="India"/>
    <s v="RAW05124"/>
    <s v="LDPE/LLDPE Film"/>
    <s v="SF"/>
    <s v="Films All (SF)"/>
    <x v="5"/>
  </r>
  <r>
    <s v="Plastene Polyfilms Limited"/>
    <n v="517"/>
    <d v="2026-08-19T00:00:00"/>
    <s v="Hcp Plastene Bulkpack Ltd (Unit Iv) - Sales"/>
    <s v="GJ39TB3534"/>
    <s v="PP Woven Fabrics"/>
    <s v="PP UL Fabric With UV mw"/>
    <n v="133.58000000000001"/>
    <n v="947.3"/>
    <s v="Kgs"/>
    <n v="126540.33"/>
    <n v="947.3"/>
    <n v="947.3"/>
    <n v="0"/>
    <s v="FIBC"/>
    <s v="Woven - Fabric"/>
    <m/>
    <m/>
    <s v="Rs"/>
    <n v="1"/>
    <m/>
    <n v="9"/>
    <n v="11388.63"/>
    <n v="9"/>
    <n v="11388.63"/>
    <n v="0"/>
    <n v="0"/>
    <n v="39269080"/>
    <s v="."/>
    <d v="2026-08-19T00:00:00"/>
    <n v="0"/>
    <n v="0"/>
    <m/>
    <n v="0"/>
    <m/>
    <m/>
    <m/>
    <n v="0"/>
    <n v="0"/>
    <n v="0"/>
    <n v="0"/>
    <n v="0"/>
    <n v="0"/>
    <n v="0"/>
    <n v="0"/>
    <m/>
    <s v="KACHCHH"/>
    <s v="India"/>
    <s v="WIP00023"/>
    <s v="PP UL Fabric With UV"/>
    <s v="SF"/>
    <s v="PP/PE Fabric"/>
    <x v="1"/>
  </r>
  <r>
    <s v="Plastene Polyfilms Limited"/>
    <n v="519"/>
    <d v="2026-08-19T00:00:00"/>
    <s v="Plastene India ltd - Unit 1-Sales"/>
    <s v="GJ12BW3881"/>
    <s v="FLEXIBLE INTERMEDIATE BULK CONTAINER"/>
    <s v="1130017017 /PDBJMBLHS63050109"/>
    <n v="584"/>
    <n v="1200"/>
    <s v="Pcs"/>
    <n v="700800"/>
    <n v="3596"/>
    <n v="3596"/>
    <n v="826944"/>
    <s v="FIBC"/>
    <s v="FIBC"/>
    <m/>
    <m/>
    <s v="Rs"/>
    <n v="1"/>
    <m/>
    <n v="9"/>
    <n v="63072"/>
    <n v="9"/>
    <n v="63072"/>
    <n v="0"/>
    <n v="0"/>
    <n v="39232999"/>
    <s v="."/>
    <d v="2026-08-19T00:00:00"/>
    <n v="0"/>
    <n v="0"/>
    <m/>
    <n v="0"/>
    <m/>
    <m/>
    <m/>
    <n v="0"/>
    <n v="0"/>
    <n v="0"/>
    <n v="0"/>
    <n v="0"/>
    <n v="0"/>
    <n v="0"/>
    <n v="0"/>
    <m/>
    <s v="KUTCH"/>
    <s v="India"/>
    <s v="WIP00004"/>
    <s v="FIBC Bags With UV Without Liner"/>
    <s v="FG"/>
    <s v="FIBC Bags"/>
    <x v="0"/>
  </r>
  <r>
    <s v="Plastene Polyfilms Limited"/>
    <n v="520"/>
    <d v="2026-08-19T00:00:00"/>
    <s v="HCP Plastene Bulkpack Limited - Sales"/>
    <s v="GJ39TA3811"/>
    <s v="FLEXIBLE INTERMEDIATE BULK CONTAINER"/>
    <s v="KRZY-96/KK0019 SUGAR KSC"/>
    <n v="197.34"/>
    <n v="19619"/>
    <s v="Kgs"/>
    <n v="3871613.46"/>
    <n v="19619"/>
    <n v="19619"/>
    <n v="4568503.88"/>
    <s v="FIBC"/>
    <s v="FIBC"/>
    <m/>
    <m/>
    <s v="Rs"/>
    <n v="1"/>
    <m/>
    <n v="9"/>
    <n v="348445.21"/>
    <n v="9"/>
    <n v="348445.21"/>
    <n v="0"/>
    <n v="0"/>
    <n v="39232999"/>
    <s v="."/>
    <d v="2026-08-19T00:00:00"/>
    <n v="0"/>
    <n v="0"/>
    <m/>
    <n v="0"/>
    <m/>
    <m/>
    <m/>
    <n v="0"/>
    <n v="0"/>
    <n v="0"/>
    <n v="0"/>
    <n v="0"/>
    <n v="0"/>
    <n v="0"/>
    <n v="0"/>
    <m/>
    <s v="GANDHINAGAR"/>
    <s v="India"/>
    <s v="WIP00004"/>
    <s v="FIBC Bags With UV Without Liner"/>
    <s v="FG"/>
    <s v="FIBC Bags"/>
    <x v="0"/>
  </r>
  <r>
    <s v="Plastene Polyfilms Limited"/>
    <n v="521"/>
    <d v="2026-08-20T00:00:00"/>
    <s v="Plastene India ltd - Unit 1-Sales"/>
    <s v="GJ12FB-2542"/>
    <s v="POLYESTER YARN"/>
    <s v="Polyester Yarn Twisted"/>
    <n v="176.12"/>
    <n v="252.6"/>
    <s v="Kgs"/>
    <n v="44487.91"/>
    <n v="252.6"/>
    <n v="252.6"/>
    <n v="46712.31"/>
    <s v="PP YARN"/>
    <s v="Others"/>
    <m/>
    <m/>
    <s v="Rs"/>
    <n v="1"/>
    <m/>
    <n v="2.5"/>
    <n v="1112.2"/>
    <n v="2.5"/>
    <n v="1112.2"/>
    <n v="0"/>
    <n v="0"/>
    <n v="54026930"/>
    <s v="-"/>
    <d v="2026-08-20T00:00:00"/>
    <n v="0"/>
    <n v="0"/>
    <m/>
    <n v="0"/>
    <m/>
    <m/>
    <m/>
    <n v="0"/>
    <n v="0"/>
    <n v="0"/>
    <n v="0"/>
    <n v="0"/>
    <n v="0"/>
    <n v="0"/>
    <n v="0"/>
    <m/>
    <s v="KUTCH"/>
    <s v="India"/>
    <s v="WIP00017"/>
    <s v="Polyester Yarn Twisted"/>
    <s v="SF"/>
    <s v="Yarn All"/>
    <x v="12"/>
  </r>
  <r>
    <s v="Plastene Polyfilms Limited"/>
    <n v="522"/>
    <d v="2026-08-20T00:00:00"/>
    <s v="Plastene India ltd - Unit 1-Sales"/>
    <s v="GJ39T9829"/>
    <s v="FLEXIBLE INTERMEDIATE BULK CONTAINER"/>
    <s v="4500205191/IQE-6"/>
    <n v="229.88"/>
    <n v="2029"/>
    <s v="Kgs"/>
    <n v="466426.52"/>
    <n v="2029"/>
    <n v="2029"/>
    <n v="5502888.5499999998"/>
    <s v="FIBC"/>
    <s v="FIBC"/>
    <m/>
    <m/>
    <s v="Rs"/>
    <n v="1"/>
    <m/>
    <n v="9"/>
    <n v="41978.39"/>
    <n v="9"/>
    <n v="41978.39"/>
    <n v="0"/>
    <n v="0"/>
    <n v="39232999"/>
    <s v="."/>
    <d v="2026-08-20T00:00:00"/>
    <n v="0"/>
    <n v="0"/>
    <m/>
    <n v="0"/>
    <m/>
    <m/>
    <m/>
    <n v="0"/>
    <n v="0"/>
    <n v="0"/>
    <n v="0"/>
    <n v="0"/>
    <n v="0"/>
    <n v="0"/>
    <n v="0"/>
    <m/>
    <s v="KUTCH"/>
    <s v="India"/>
    <s v="WIP00004"/>
    <s v="FIBC Bags With UV Without Liner"/>
    <s v="FG"/>
    <s v="FIBC Bags"/>
    <x v="0"/>
  </r>
  <r>
    <s v="Plastene Polyfilms Limited"/>
    <n v="522"/>
    <d v="2026-08-20T00:00:00"/>
    <s v="Plastene India ltd - Unit 1-Sales"/>
    <s v="GJ39T9829"/>
    <s v="FLEXIBLE INTERMEDIATE BULK CONTAINER"/>
    <s v="4500203737 /ILA-3"/>
    <n v="264.77999999999997"/>
    <n v="415"/>
    <s v="Kgs"/>
    <n v="109883.7"/>
    <n v="415"/>
    <n v="415"/>
    <n v="0"/>
    <s v="FIBC"/>
    <s v="FIBC"/>
    <m/>
    <m/>
    <s v="Rs"/>
    <n v="1"/>
    <m/>
    <n v="9"/>
    <n v="9889.5300000000007"/>
    <n v="9"/>
    <n v="9889.5300000000007"/>
    <n v="0"/>
    <n v="0"/>
    <n v="39232999"/>
    <s v="."/>
    <d v="2026-08-20T00:00:00"/>
    <n v="0"/>
    <n v="0"/>
    <m/>
    <n v="0"/>
    <m/>
    <m/>
    <m/>
    <n v="0"/>
    <n v="0"/>
    <n v="0"/>
    <n v="0"/>
    <n v="0"/>
    <n v="0"/>
    <n v="0"/>
    <n v="0"/>
    <m/>
    <s v="KUTCH"/>
    <s v="India"/>
    <s v="WIP00003"/>
    <s v="FIBC Bags With UV With Liner"/>
    <s v="FG"/>
    <s v="FIBC Bags"/>
    <x v="0"/>
  </r>
  <r>
    <s v="Plastene Polyfilms Limited"/>
    <n v="522"/>
    <d v="2026-08-20T00:00:00"/>
    <s v="Plastene India ltd - Unit 1-Sales"/>
    <s v="GJ39T9829"/>
    <s v="FLEXIBLE INTERMEDIATE BULK CONTAINER"/>
    <s v="4500203737 /ILA-2"/>
    <n v="245.31"/>
    <n v="410"/>
    <s v="Kgs"/>
    <n v="100577.1"/>
    <n v="410"/>
    <n v="410"/>
    <n v="0"/>
    <s v="FIBC"/>
    <s v="FIBC"/>
    <m/>
    <m/>
    <s v="Rs"/>
    <n v="1"/>
    <m/>
    <n v="9"/>
    <n v="9051.94"/>
    <n v="9"/>
    <n v="9051.94"/>
    <n v="0"/>
    <n v="0"/>
    <n v="39232999"/>
    <s v="."/>
    <d v="2026-08-20T00:00:00"/>
    <n v="0"/>
    <n v="0"/>
    <m/>
    <n v="0"/>
    <m/>
    <m/>
    <m/>
    <n v="0"/>
    <n v="0"/>
    <n v="0"/>
    <n v="0"/>
    <n v="0"/>
    <n v="0"/>
    <n v="0"/>
    <n v="0"/>
    <m/>
    <s v="KUTCH"/>
    <s v="India"/>
    <s v="WIP00004"/>
    <s v="FIBC Bags With UV Without Liner"/>
    <s v="FG"/>
    <s v="FIBC Bags"/>
    <x v="0"/>
  </r>
  <r>
    <s v="Plastene Polyfilms Limited"/>
    <n v="522"/>
    <d v="2026-08-20T00:00:00"/>
    <s v="Plastene India ltd - Unit 1-Sales"/>
    <s v="GJ39T9829"/>
    <s v="FLEXIBLE INTERMEDIATE BULK CONTAINER"/>
    <s v="4500205191/IQE-4"/>
    <n v="223.32"/>
    <n v="1981"/>
    <s v="Kgs"/>
    <n v="442396.92"/>
    <n v="1981"/>
    <n v="1981"/>
    <n v="0"/>
    <s v="FIBC"/>
    <s v="FIBC"/>
    <m/>
    <m/>
    <s v="Rs"/>
    <n v="1"/>
    <m/>
    <n v="9"/>
    <n v="39815.72"/>
    <n v="9"/>
    <n v="39815.72"/>
    <n v="0"/>
    <n v="0"/>
    <n v="39232999"/>
    <s v="."/>
    <d v="2026-08-20T00:00:00"/>
    <n v="0"/>
    <n v="0"/>
    <m/>
    <n v="0"/>
    <m/>
    <m/>
    <m/>
    <n v="0"/>
    <n v="0"/>
    <n v="0"/>
    <n v="0"/>
    <n v="0"/>
    <n v="0"/>
    <n v="0"/>
    <n v="0"/>
    <m/>
    <s v="KUTCH"/>
    <s v="India"/>
    <s v="WIP00003"/>
    <s v="FIBC Bags With UV With Liner"/>
    <s v="FG"/>
    <s v="FIBC Bags"/>
    <x v="0"/>
  </r>
  <r>
    <s v="Plastene Polyfilms Limited"/>
    <n v="522"/>
    <d v="2026-08-20T00:00:00"/>
    <s v="Plastene India ltd - Unit 1-Sales"/>
    <s v="GJ39T9829"/>
    <s v="FLEXIBLE INTERMEDIATE BULK CONTAINER"/>
    <s v="4500205191/IQE-5"/>
    <n v="226.17"/>
    <n v="1987"/>
    <s v="Kgs"/>
    <n v="449399.79"/>
    <n v="1987"/>
    <n v="1987"/>
    <n v="0"/>
    <s v="FIBC"/>
    <s v="FIBC"/>
    <m/>
    <m/>
    <s v="Rs"/>
    <n v="1"/>
    <m/>
    <n v="9"/>
    <n v="40445.980000000003"/>
    <n v="9"/>
    <n v="40445.980000000003"/>
    <n v="0"/>
    <n v="0"/>
    <n v="39232999"/>
    <s v="."/>
    <d v="2026-08-20T00:00:00"/>
    <n v="0"/>
    <n v="0"/>
    <m/>
    <n v="0"/>
    <m/>
    <m/>
    <m/>
    <n v="0"/>
    <n v="0"/>
    <n v="0"/>
    <n v="0"/>
    <n v="0"/>
    <n v="0"/>
    <n v="0"/>
    <n v="0"/>
    <m/>
    <s v="KUTCH"/>
    <s v="India"/>
    <s v="WIP00003"/>
    <s v="FIBC Bags With UV With Liner"/>
    <s v="FG"/>
    <s v="FIBC Bags"/>
    <x v="0"/>
  </r>
  <r>
    <s v="Plastene Polyfilms Limited"/>
    <n v="522"/>
    <d v="2026-08-20T00:00:00"/>
    <s v="Plastene India ltd - Unit 1-Sales"/>
    <s v="GJ39T9829"/>
    <s v="FLEXIBLE INTERMEDIATE BULK CONTAINER"/>
    <s v="4500202507/SAS-4 (BLUE"/>
    <n v="241.64"/>
    <n v="845"/>
    <s v="Kgs"/>
    <n v="204185.8"/>
    <n v="845"/>
    <n v="845"/>
    <n v="0"/>
    <s v="FIBC"/>
    <s v="FIBC"/>
    <m/>
    <m/>
    <s v="Rs"/>
    <n v="1"/>
    <m/>
    <n v="9"/>
    <n v="18376.72"/>
    <n v="9"/>
    <n v="18376.72"/>
    <n v="0"/>
    <n v="0"/>
    <n v="39232999"/>
    <s v="."/>
    <d v="2026-08-20T00:00:00"/>
    <n v="0"/>
    <n v="0"/>
    <m/>
    <n v="0"/>
    <m/>
    <m/>
    <m/>
    <n v="0"/>
    <n v="0"/>
    <n v="0"/>
    <n v="0"/>
    <n v="0"/>
    <n v="0"/>
    <n v="0"/>
    <n v="0"/>
    <m/>
    <s v="KUTCH"/>
    <s v="India"/>
    <s v="WIP00004"/>
    <s v="FIBC Bags With UV Without Liner"/>
    <s v="FG"/>
    <s v="FIBC Bags"/>
    <x v="0"/>
  </r>
  <r>
    <s v="Plastene Polyfilms Limited"/>
    <n v="522"/>
    <d v="2026-08-20T00:00:00"/>
    <s v="Plastene India ltd - Unit 1-Sales"/>
    <s v="GJ39T9829"/>
    <s v="FLEXIBLE INTERMEDIATE BULK CONTAINER"/>
    <s v="4500202507/SAS-4 (GREEN"/>
    <n v="242.26"/>
    <n v="5478"/>
    <s v="Kgs"/>
    <n v="1327100.28"/>
    <n v="5478"/>
    <n v="5478"/>
    <n v="0"/>
    <s v="FIBC"/>
    <s v="FIBC"/>
    <m/>
    <m/>
    <s v="Rs"/>
    <n v="1"/>
    <m/>
    <n v="9"/>
    <n v="119439.03"/>
    <n v="9"/>
    <n v="119439.03"/>
    <n v="0"/>
    <n v="0"/>
    <n v="39232999"/>
    <s v="."/>
    <d v="2026-08-20T00:00:00"/>
    <n v="0"/>
    <n v="0"/>
    <m/>
    <n v="0"/>
    <m/>
    <m/>
    <m/>
    <n v="0"/>
    <n v="0"/>
    <n v="0"/>
    <n v="0"/>
    <n v="0"/>
    <n v="0"/>
    <n v="0"/>
    <n v="0"/>
    <m/>
    <s v="KUTCH"/>
    <s v="India"/>
    <s v="WIP00004"/>
    <s v="FIBC Bags With UV Without Liner"/>
    <s v="FG"/>
    <s v="FIBC Bags"/>
    <x v="0"/>
  </r>
  <r>
    <s v="Plastene Polyfilms Limited"/>
    <n v="522"/>
    <d v="2026-08-20T00:00:00"/>
    <s v="Plastene India ltd - Unit 1-Sales"/>
    <s v="GJ39T9829"/>
    <s v="FLEXIBLE INTERMEDIATE BULK CONTAINER"/>
    <s v="4500202507/SAS-4 (GREY"/>
    <n v="237.92"/>
    <n v="4293"/>
    <s v="Kgs"/>
    <n v="1021390.56"/>
    <n v="4293"/>
    <n v="4293"/>
    <n v="0"/>
    <s v="FIBC"/>
    <s v="FIBC"/>
    <m/>
    <m/>
    <s v="Rs"/>
    <n v="1"/>
    <m/>
    <n v="9"/>
    <n v="91925.15"/>
    <n v="9"/>
    <n v="91925.15"/>
    <n v="0"/>
    <n v="0"/>
    <n v="39232999"/>
    <s v="."/>
    <d v="2026-08-20T00:00:00"/>
    <n v="0"/>
    <n v="0"/>
    <m/>
    <n v="0"/>
    <m/>
    <m/>
    <m/>
    <n v="0"/>
    <n v="0"/>
    <n v="0"/>
    <n v="0"/>
    <n v="0"/>
    <n v="0"/>
    <n v="0"/>
    <n v="0"/>
    <m/>
    <s v="KUTCH"/>
    <s v="India"/>
    <s v="WIP00004"/>
    <s v="FIBC Bags With UV Without Liner"/>
    <s v="FG"/>
    <s v="FIBC Bags"/>
    <x v="0"/>
  </r>
  <r>
    <s v="Plastene Polyfilms Limited"/>
    <n v="522"/>
    <d v="2026-08-20T00:00:00"/>
    <s v="Plastene India ltd - Unit 1-Sales"/>
    <s v="GJ39T9829"/>
    <s v="FLEXIBLE INTERMEDIATE BULK CONTAINER"/>
    <s v="4500204647/IR-20"/>
    <n v="217.8"/>
    <n v="2489"/>
    <s v="Kgs"/>
    <n v="542104.19999999995"/>
    <n v="2489"/>
    <n v="2489"/>
    <n v="0"/>
    <s v="FIBC"/>
    <s v="FIBC"/>
    <m/>
    <m/>
    <s v="Rs"/>
    <n v="1"/>
    <m/>
    <n v="9"/>
    <n v="48789.38"/>
    <n v="9"/>
    <n v="48789.38"/>
    <n v="0"/>
    <n v="0"/>
    <n v="39232999"/>
    <s v="."/>
    <d v="2026-08-20T00:00:00"/>
    <n v="0"/>
    <n v="0"/>
    <m/>
    <n v="0"/>
    <m/>
    <m/>
    <m/>
    <n v="0"/>
    <n v="0"/>
    <n v="0"/>
    <n v="0"/>
    <n v="0"/>
    <n v="0"/>
    <n v="0"/>
    <n v="0"/>
    <m/>
    <s v="KUTCH"/>
    <s v="India"/>
    <s v="WIP00004"/>
    <s v="FIBC Bags With UV Without Liner"/>
    <s v="FG"/>
    <s v="FIBC Bags"/>
    <x v="0"/>
  </r>
  <r>
    <s v="Plastene Polyfilms Limited"/>
    <n v="523"/>
    <d v="2026-08-20T00:00:00"/>
    <s v="HCP Plastene Bulkpack Limited - Sales"/>
    <s v="GJ39T0157"/>
    <s v="FLEXIBLE INTERMEDIATE BULK CONTAINER"/>
    <s v="26.19228/241115050340 -M"/>
    <n v="283.70999999999998"/>
    <n v="18051"/>
    <s v="Kgs"/>
    <n v="5121249.21"/>
    <n v="18051"/>
    <n v="18051"/>
    <n v="6043074.0700000003"/>
    <s v="FIBC"/>
    <s v="FIBC"/>
    <m/>
    <m/>
    <s v="Rs"/>
    <n v="1"/>
    <m/>
    <n v="9"/>
    <n v="460912.43"/>
    <n v="9"/>
    <n v="460912.43"/>
    <n v="0"/>
    <n v="0"/>
    <n v="39232999"/>
    <s v="."/>
    <d v="2026-08-20T00:00:00"/>
    <n v="0"/>
    <n v="0"/>
    <m/>
    <n v="0"/>
    <m/>
    <m/>
    <m/>
    <n v="0"/>
    <n v="0"/>
    <n v="0"/>
    <n v="0"/>
    <n v="0"/>
    <n v="0"/>
    <n v="0"/>
    <n v="0"/>
    <m/>
    <s v="GANDHINAGAR"/>
    <s v="India"/>
    <s v="WIP00004"/>
    <s v="FIBC Bags With UV Without Liner"/>
    <s v="FG"/>
    <s v="FIBC Bags"/>
    <x v="0"/>
  </r>
  <r>
    <s v="Plastene Polyfilms Limited"/>
    <n v="524"/>
    <d v="2026-08-20T00:00:00"/>
    <s v="Snf Flopam India Pvt Ltd"/>
    <s v="GJ09Z0572"/>
    <s v="FLEXIBLE INTERMEDIATE BULK CONTAINER"/>
    <s v="PO00012244 /B00006"/>
    <n v="509"/>
    <n v="4000"/>
    <s v="Pcs"/>
    <n v="2036000"/>
    <n v="9536"/>
    <n v="9536"/>
    <n v="2402480"/>
    <s v="FIBC"/>
    <s v="FIBC"/>
    <m/>
    <m/>
    <s v="Rs"/>
    <n v="1"/>
    <m/>
    <n v="9"/>
    <n v="183240"/>
    <n v="9"/>
    <n v="183240"/>
    <n v="0"/>
    <n v="0"/>
    <n v="39232999"/>
    <s v="."/>
    <d v="2026-08-20T00:00:00"/>
    <n v="0"/>
    <n v="0"/>
    <m/>
    <n v="0"/>
    <m/>
    <m/>
    <m/>
    <n v="0"/>
    <n v="0"/>
    <n v="0"/>
    <n v="0"/>
    <n v="0"/>
    <n v="0"/>
    <n v="0"/>
    <n v="0"/>
    <m/>
    <s v="KUTCH"/>
    <s v="India"/>
    <s v="WIP00003"/>
    <s v="FIBC Bags With UV With Liner"/>
    <s v="FG"/>
    <s v="FIBC Bags"/>
    <x v="0"/>
  </r>
  <r>
    <s v="Plastene Polyfilms Limited"/>
    <n v="525"/>
    <d v="2026-08-21T00:00:00"/>
    <s v="Plastene India ltd - Unit 1-Sales"/>
    <s v="GJ12X1249"/>
    <s v="PP Woven Fabrics"/>
    <s v="PP UL Fabric CutPcs Without UV"/>
    <n v="113.58"/>
    <n v="984"/>
    <s v="Kgs"/>
    <n v="111762.72"/>
    <n v="984"/>
    <n v="984"/>
    <n v="174082.4"/>
    <s v="Others"/>
    <s v="Woven - Fabric"/>
    <m/>
    <m/>
    <s v="Rs"/>
    <n v="1"/>
    <m/>
    <n v="9"/>
    <n v="10058.64"/>
    <n v="9"/>
    <n v="10058.64"/>
    <n v="0"/>
    <n v="0"/>
    <n v="39269080"/>
    <s v="."/>
    <d v="2026-08-21T00:00:00"/>
    <n v="0"/>
    <n v="0"/>
    <m/>
    <n v="0"/>
    <m/>
    <m/>
    <m/>
    <n v="0"/>
    <n v="0"/>
    <n v="0"/>
    <n v="0"/>
    <n v="0"/>
    <n v="0"/>
    <n v="0"/>
    <n v="0"/>
    <m/>
    <s v="KUTCH"/>
    <s v="India"/>
    <s v="FIG00001"/>
    <s v="FIBC WIP"/>
    <s v="FG"/>
    <s v="FIBC WIP"/>
    <x v="7"/>
  </r>
  <r>
    <s v="Plastene Polyfilms Limited"/>
    <n v="525"/>
    <d v="2026-08-21T00:00:00"/>
    <s v="Plastene India ltd - Unit 1-Sales"/>
    <s v="GJ12X1249"/>
    <s v="LD/LLDPE BAGS"/>
    <s v="LDPE/LLDPE Bags/Liner"/>
    <n v="220.77"/>
    <n v="162"/>
    <s v="Kgs"/>
    <n v="35764.74"/>
    <n v="162"/>
    <n v="162"/>
    <n v="0"/>
    <s v="Others"/>
    <s v="Others"/>
    <m/>
    <m/>
    <s v="Rs"/>
    <n v="1"/>
    <m/>
    <n v="9"/>
    <n v="3218.83"/>
    <n v="9"/>
    <n v="3218.83"/>
    <n v="0"/>
    <n v="0"/>
    <n v="392310"/>
    <s v="."/>
    <d v="2026-08-21T00:00:00"/>
    <n v="0"/>
    <n v="0"/>
    <m/>
    <n v="0"/>
    <m/>
    <m/>
    <m/>
    <n v="0"/>
    <n v="0"/>
    <n v="0"/>
    <n v="0"/>
    <n v="0"/>
    <n v="0"/>
    <n v="0"/>
    <n v="0"/>
    <m/>
    <s v="KUTCH"/>
    <s v="India"/>
    <s v="WIP00013"/>
    <s v="LDPE/LLDPE Bags/Liner"/>
    <s v="SF"/>
    <s v="Liners"/>
    <x v="14"/>
  </r>
  <r>
    <s v="Plastene Polyfilms Limited"/>
    <n v="526"/>
    <d v="2026-08-21T00:00:00"/>
    <s v="Plastene India ltd - Unit 1-Sales"/>
    <s v="GJ12X1249"/>
    <s v="PP Woven Fabrics"/>
    <s v="PP UL Fabric With UV"/>
    <n v="133.58000000000001"/>
    <n v="188"/>
    <s v="Kgs"/>
    <n v="25113.040000000001"/>
    <n v="188"/>
    <n v="188"/>
    <n v="29633.38"/>
    <s v="Woven - Fabric"/>
    <s v="Woven - Fabric"/>
    <m/>
    <m/>
    <s v="Rs"/>
    <n v="1"/>
    <m/>
    <n v="9"/>
    <n v="2260.17"/>
    <n v="9"/>
    <n v="2260.17"/>
    <n v="0"/>
    <n v="0"/>
    <n v="39269080"/>
    <s v="."/>
    <d v="2026-08-21T00:00:00"/>
    <n v="0"/>
    <n v="0"/>
    <m/>
    <n v="0"/>
    <m/>
    <m/>
    <m/>
    <n v="0"/>
    <n v="0"/>
    <n v="0"/>
    <n v="0"/>
    <n v="0"/>
    <n v="0"/>
    <n v="0"/>
    <n v="0"/>
    <m/>
    <s v="KUTCH"/>
    <s v="India"/>
    <s v="WIP00023"/>
    <s v="PP UL Fabric With UV"/>
    <s v="SF"/>
    <s v="PP/PE Fabric"/>
    <x v="1"/>
  </r>
  <r>
    <s v="Plastene Polyfilms Limited"/>
    <n v="528"/>
    <d v="2026-08-21T00:00:00"/>
    <s v="Plastene India ltd - Unit 1-Sales"/>
    <s v="GJ12X1249"/>
    <s v="FLEXIBLE INTERMEDIATE BULK CONTAINER"/>
    <s v="HPC-PO004047-100100100 -1"/>
    <n v="227.75"/>
    <n v="898"/>
    <s v="Kgs"/>
    <n v="204519.5"/>
    <n v="898"/>
    <n v="898"/>
    <n v="241333.02"/>
    <s v="FIBC"/>
    <s v="FIBC"/>
    <m/>
    <m/>
    <s v="Rs"/>
    <n v="1"/>
    <m/>
    <n v="9"/>
    <n v="18406.759999999998"/>
    <n v="9"/>
    <n v="18406.759999999998"/>
    <n v="0"/>
    <n v="0"/>
    <n v="39232999"/>
    <s v="."/>
    <d v="2026-08-21T00:00:00"/>
    <n v="0"/>
    <n v="0"/>
    <m/>
    <n v="0"/>
    <m/>
    <m/>
    <m/>
    <n v="0"/>
    <n v="0"/>
    <n v="0"/>
    <n v="0"/>
    <n v="0"/>
    <n v="0"/>
    <n v="0"/>
    <n v="0"/>
    <m/>
    <s v="KUTCH"/>
    <s v="India"/>
    <s v="WIP00004"/>
    <s v="FIBC Bags With UV Without Liner"/>
    <s v="FG"/>
    <s v="FIBC Bags"/>
    <x v="0"/>
  </r>
  <r>
    <s v="Plastene Polyfilms Limited"/>
    <n v="530"/>
    <d v="2026-08-22T00:00:00"/>
    <s v="Plastene India ltd - Unit 1-Sales"/>
    <s v="GJ12X1249"/>
    <s v="REPROCESSED GRANULES"/>
    <s v="RP Granules-Black"/>
    <n v="66"/>
    <n v="2500"/>
    <s v="Kgs"/>
    <n v="165000"/>
    <n v="2500"/>
    <n v="2500"/>
    <n v="194700"/>
    <s v="RP"/>
    <s v="RP"/>
    <m/>
    <m/>
    <s v="Rs"/>
    <n v="1"/>
    <m/>
    <n v="9"/>
    <n v="14850"/>
    <n v="9"/>
    <n v="14850"/>
    <n v="0"/>
    <n v="0"/>
    <n v="39029000"/>
    <s v="."/>
    <d v="2026-08-22T00:00:00"/>
    <n v="0"/>
    <n v="0"/>
    <m/>
    <n v="0"/>
    <m/>
    <m/>
    <m/>
    <n v="0"/>
    <n v="0"/>
    <n v="0"/>
    <n v="0"/>
    <n v="0"/>
    <n v="0"/>
    <n v="0"/>
    <n v="0"/>
    <m/>
    <s v="KUTCH"/>
    <s v="India"/>
    <s v="WIP00002"/>
    <s v="RP Granules"/>
    <s v="SF"/>
    <s v="RP Granules"/>
    <x v="15"/>
  </r>
  <r>
    <s v="Plastene Polyfilms Limited"/>
    <s v="PPL/E/80/26-27"/>
    <d v="2026-08-22T00:00:00"/>
    <s v="OSWAL EXTRUSION LTD- KASEZ-SALES"/>
    <s v="GJ09Z0572"/>
    <s v="LD/LLDPE BAGS"/>
    <s v="PE Labels (Kgs)"/>
    <n v="256"/>
    <n v="23"/>
    <s v="Kgs"/>
    <n v="5888"/>
    <n v="23"/>
    <n v="23"/>
    <n v="1375227.45"/>
    <s v="Others"/>
    <s v="Others"/>
    <m/>
    <m/>
    <s v="Rs"/>
    <n v="1"/>
    <s v="LUT Bond No"/>
    <n v="0"/>
    <n v="0"/>
    <n v="0"/>
    <n v="0"/>
    <n v="18"/>
    <n v="1059.8399999999999"/>
    <n v="392310"/>
    <s v="."/>
    <d v="2026-08-22T00:00:00"/>
    <n v="0"/>
    <n v="0"/>
    <m/>
    <n v="0"/>
    <m/>
    <m/>
    <m/>
    <n v="0"/>
    <n v="0"/>
    <n v="0"/>
    <n v="0"/>
    <n v="0"/>
    <n v="0"/>
    <n v="0"/>
    <n v="0"/>
    <m/>
    <s v="KASEZ"/>
    <s v="India"/>
    <s v="SMF00147"/>
    <s v="PE Labels (Kgs)"/>
    <s v="SF"/>
    <s v="Liners"/>
    <x v="14"/>
  </r>
  <r>
    <s v="Plastene Polyfilms Limited"/>
    <s v="PPL/E/80/26-27"/>
    <d v="2026-08-22T00:00:00"/>
    <s v="OSWAL EXTRUSION LTD- KASEZ-SALES"/>
    <s v="GJ09Z0572"/>
    <s v="POLYESTER YARN"/>
    <s v="Polyester Yarn Twisted"/>
    <n v="177"/>
    <n v="1161.1300000000001"/>
    <s v="Kgs"/>
    <n v="205520.01"/>
    <n v="1161.1300000000001"/>
    <n v="1161.1300000000001"/>
    <n v="0"/>
    <s v="Others"/>
    <s v="PP YARN"/>
    <m/>
    <m/>
    <s v="Rs"/>
    <n v="1"/>
    <s v="LUT Bond No"/>
    <n v="0"/>
    <n v="0"/>
    <n v="0"/>
    <n v="0"/>
    <n v="5"/>
    <n v="10276"/>
    <n v="54026930"/>
    <s v="."/>
    <d v="2026-08-22T00:00:00"/>
    <n v="0"/>
    <n v="0"/>
    <m/>
    <n v="0"/>
    <m/>
    <m/>
    <m/>
    <n v="0"/>
    <n v="0"/>
    <n v="0"/>
    <n v="0"/>
    <n v="0"/>
    <n v="0"/>
    <n v="0"/>
    <n v="0"/>
    <m/>
    <s v="KASEZ"/>
    <s v="India"/>
    <s v="WIP00017"/>
    <s v="Polyester Yarn Twisted"/>
    <s v="SF"/>
    <s v="Yarn All"/>
    <x v="12"/>
  </r>
  <r>
    <s v="Plastene Polyfilms Limited"/>
    <s v="PPL/E/80/26-27"/>
    <d v="2026-08-22T00:00:00"/>
    <s v="OSWAL EXTRUSION LTD- KASEZ-SALES"/>
    <s v="GJ09Z0572"/>
    <s v="FILLER CORD"/>
    <s v="Filler Cord"/>
    <n v="173"/>
    <n v="6727.28"/>
    <s v="Kgs"/>
    <n v="1163819.44"/>
    <n v="6727.28"/>
    <n v="6727.28"/>
    <n v="0"/>
    <s v="Others"/>
    <s v="PP YARN"/>
    <m/>
    <m/>
    <s v="Rs"/>
    <n v="1"/>
    <s v="LUT Bond No"/>
    <n v="0"/>
    <n v="0"/>
    <n v="0"/>
    <n v="0"/>
    <n v="5"/>
    <n v="58190.97"/>
    <n v="540263"/>
    <s v="."/>
    <d v="2026-08-22T00:00:00"/>
    <n v="0"/>
    <n v="0"/>
    <m/>
    <n v="0"/>
    <m/>
    <m/>
    <m/>
    <n v="0"/>
    <n v="0"/>
    <n v="0"/>
    <n v="0"/>
    <n v="0"/>
    <n v="0"/>
    <n v="0"/>
    <n v="0"/>
    <m/>
    <s v="KASEZ"/>
    <s v="India"/>
    <s v="WIP00022"/>
    <s v="Filler Cord"/>
    <s v="SF"/>
    <s v="Yarn All"/>
    <x v="12"/>
  </r>
  <r>
    <s v="Plastene Polyfilms Limited"/>
    <n v="531"/>
    <d v="2026-08-24T00:00:00"/>
    <s v="Plastene India ltd - Unit 1-Sales"/>
    <s v="GJ12FB2542"/>
    <s v="PP WEBBING"/>
    <s v="Webbing-Blue"/>
    <n v="138.58000000000001"/>
    <n v="97.2"/>
    <s v="Kgs"/>
    <n v="13469.98"/>
    <n v="97.2"/>
    <n v="97.2"/>
    <n v="23617.68"/>
    <s v="Webbing"/>
    <s v="Webbing"/>
    <m/>
    <m/>
    <s v="Rs"/>
    <n v="1"/>
    <m/>
    <n v="9"/>
    <n v="1212.3"/>
    <n v="9"/>
    <n v="1212.3"/>
    <n v="0"/>
    <n v="0"/>
    <n v="39269080"/>
    <s v="."/>
    <d v="2026-08-24T00:00:00"/>
    <n v="0"/>
    <n v="0"/>
    <m/>
    <n v="0"/>
    <m/>
    <m/>
    <m/>
    <n v="0"/>
    <n v="0"/>
    <n v="0"/>
    <n v="0"/>
    <n v="0"/>
    <n v="0"/>
    <n v="0"/>
    <n v="0"/>
    <m/>
    <s v="KUTCH"/>
    <s v="India"/>
    <s v="WIP00032"/>
    <s v="Webbing"/>
    <s v="SF"/>
    <s v="Webbing"/>
    <x v="8"/>
  </r>
  <r>
    <s v="Plastene Polyfilms Limited"/>
    <n v="531"/>
    <d v="2026-08-24T00:00:00"/>
    <s v="Plastene India ltd - Unit 1-Sales"/>
    <s v="GJ12FB2542"/>
    <s v="LD/LLDPE  FILM"/>
    <s v="LDPE/LLDPE Film"/>
    <n v="275"/>
    <n v="23.8"/>
    <s v="Kgs"/>
    <n v="6545"/>
    <n v="23.8"/>
    <n v="23.8"/>
    <n v="0"/>
    <s v="Webbing"/>
    <s v="Others"/>
    <m/>
    <m/>
    <s v="Rs"/>
    <n v="1"/>
    <m/>
    <n v="9"/>
    <n v="589.04999999999995"/>
    <n v="9"/>
    <n v="589.04999999999995"/>
    <n v="0"/>
    <n v="0"/>
    <n v="39201019"/>
    <s v="."/>
    <d v="2026-08-24T00:00:00"/>
    <n v="0"/>
    <n v="0"/>
    <m/>
    <n v="0"/>
    <m/>
    <m/>
    <m/>
    <n v="0"/>
    <n v="0"/>
    <n v="0"/>
    <n v="0"/>
    <n v="0"/>
    <n v="0"/>
    <n v="0"/>
    <n v="0"/>
    <m/>
    <s v="KUTCH"/>
    <s v="India"/>
    <s v="RAW05124"/>
    <s v="LDPE/LLDPE Film"/>
    <s v="SF"/>
    <s v="Films All (SF)"/>
    <x v="5"/>
  </r>
  <r>
    <s v="Plastene Polyfilms Limited"/>
    <n v="532"/>
    <d v="2026-08-24T00:00:00"/>
    <s v="HCP Plastene Bulkpack Limited - Sales"/>
    <s v="GJ12BT5713"/>
    <s v="FLEXIBLE INTERMEDIATE BULK CONTAINER"/>
    <s v="2026001396/2026001820"/>
    <n v="251.48"/>
    <n v="2971"/>
    <s v="Kgs"/>
    <n v="747147.08"/>
    <n v="2971"/>
    <n v="2971"/>
    <n v="4470671.3899999997"/>
    <s v="FIBC"/>
    <s v="FIBC"/>
    <m/>
    <m/>
    <s v="Rs"/>
    <n v="1"/>
    <m/>
    <n v="9"/>
    <n v="67243.240000000005"/>
    <n v="9"/>
    <n v="67243.240000000005"/>
    <n v="0"/>
    <n v="0"/>
    <n v="39232999"/>
    <s v="."/>
    <d v="2026-08-24T00:00:00"/>
    <n v="0"/>
    <n v="0"/>
    <m/>
    <n v="0"/>
    <m/>
    <m/>
    <m/>
    <n v="0"/>
    <n v="0"/>
    <n v="0"/>
    <n v="0"/>
    <n v="0"/>
    <n v="0"/>
    <n v="0"/>
    <n v="0"/>
    <m/>
    <s v="GANDHINAGAR"/>
    <s v="India"/>
    <s v="WIP00003"/>
    <s v="FIBC Bags With UV With Liner"/>
    <s v="FG"/>
    <s v="FIBC Bags"/>
    <x v="0"/>
  </r>
  <r>
    <s v="Plastene Polyfilms Limited"/>
    <n v="532"/>
    <d v="2026-08-24T00:00:00"/>
    <s v="HCP Plastene Bulkpack Limited - Sales"/>
    <s v="GJ12BT5713"/>
    <s v="FLEXIBLE INTERMEDIATE BULK CONTAINER"/>
    <s v="2026001323/5477"/>
    <n v="188.33"/>
    <n v="6617"/>
    <s v="Kgs"/>
    <n v="1246179.6100000001"/>
    <n v="6617"/>
    <n v="6617"/>
    <n v="0"/>
    <s v="FIBC"/>
    <s v="FIBC"/>
    <m/>
    <m/>
    <s v="Rs"/>
    <n v="1"/>
    <m/>
    <n v="9"/>
    <n v="112156.16"/>
    <n v="9"/>
    <n v="112156.16"/>
    <n v="0"/>
    <n v="0"/>
    <n v="39232999"/>
    <s v="."/>
    <d v="2026-08-24T00:00:00"/>
    <n v="0"/>
    <n v="0"/>
    <m/>
    <n v="0"/>
    <m/>
    <m/>
    <m/>
    <n v="0"/>
    <n v="0"/>
    <n v="0"/>
    <n v="0"/>
    <n v="0"/>
    <n v="0"/>
    <n v="0"/>
    <n v="0"/>
    <m/>
    <s v="GANDHINAGAR"/>
    <s v="India"/>
    <s v="WIP00004"/>
    <s v="FIBC Bags With UV Without Liner"/>
    <s v="FG"/>
    <s v="FIBC Bags"/>
    <x v="0"/>
  </r>
  <r>
    <s v="Plastene Polyfilms Limited"/>
    <n v="532"/>
    <d v="2026-08-24T00:00:00"/>
    <s v="HCP Plastene Bulkpack Limited - Sales"/>
    <s v="GJ12BT5713"/>
    <s v="FLEXIBLE INTERMEDIATE BULK CONTAINER"/>
    <s v="2026001329/5235"/>
    <n v="197.87"/>
    <n v="1004"/>
    <s v="Kgs"/>
    <n v="198661.48"/>
    <n v="1004"/>
    <n v="1004"/>
    <n v="0"/>
    <s v="FIBC"/>
    <s v="FIBC"/>
    <m/>
    <m/>
    <s v="Rs"/>
    <n v="1"/>
    <m/>
    <n v="9"/>
    <n v="17879.53"/>
    <n v="9"/>
    <n v="17879.53"/>
    <n v="0"/>
    <n v="0"/>
    <n v="39232999"/>
    <s v="."/>
    <d v="2026-08-24T00:00:00"/>
    <n v="0"/>
    <n v="0"/>
    <m/>
    <n v="0"/>
    <m/>
    <m/>
    <m/>
    <n v="0"/>
    <n v="0"/>
    <n v="0"/>
    <n v="0"/>
    <n v="0"/>
    <n v="0"/>
    <n v="0"/>
    <n v="0"/>
    <m/>
    <s v="GANDHINAGAR"/>
    <s v="India"/>
    <s v="WIP00004"/>
    <s v="FIBC Bags With UV Without Liner"/>
    <s v="FG"/>
    <s v="FIBC Bags"/>
    <x v="0"/>
  </r>
  <r>
    <s v="Plastene Polyfilms Limited"/>
    <n v="532"/>
    <d v="2026-08-24T00:00:00"/>
    <s v="HCP Plastene Bulkpack Limited - Sales"/>
    <s v="GJ12BT5713"/>
    <s v="FLEXIBLE INTERMEDIATE BULK CONTAINER"/>
    <s v="2026001364/6882"/>
    <n v="193.3"/>
    <n v="1705"/>
    <s v="Kgs"/>
    <n v="329576.5"/>
    <n v="1705"/>
    <n v="1705"/>
    <n v="0"/>
    <s v="FIBC"/>
    <s v="FIBC"/>
    <m/>
    <m/>
    <s v="Rs"/>
    <n v="1"/>
    <m/>
    <n v="9"/>
    <n v="29661.88"/>
    <n v="9"/>
    <n v="29661.88"/>
    <n v="0"/>
    <n v="0"/>
    <n v="39232999"/>
    <s v="."/>
    <d v="2026-08-24T00:00:00"/>
    <n v="0"/>
    <n v="0"/>
    <m/>
    <n v="0"/>
    <m/>
    <m/>
    <m/>
    <n v="0"/>
    <n v="0"/>
    <n v="0"/>
    <n v="0"/>
    <n v="0"/>
    <n v="0"/>
    <n v="0"/>
    <n v="0"/>
    <m/>
    <s v="GANDHINAGAR"/>
    <s v="India"/>
    <s v="WIP00004"/>
    <s v="FIBC Bags With UV Without Liner"/>
    <s v="FG"/>
    <s v="FIBC Bags"/>
    <x v="0"/>
  </r>
  <r>
    <s v="Plastene Polyfilms Limited"/>
    <n v="532"/>
    <d v="2026-08-24T00:00:00"/>
    <s v="HCP Plastene Bulkpack Limited - Sales"/>
    <s v="GJ12BT5713"/>
    <s v="FLEXIBLE INTERMEDIATE BULK CONTAINER"/>
    <s v="2026001365/10907"/>
    <n v="187.49"/>
    <n v="1326"/>
    <s v="Kgs"/>
    <n v="248611.74"/>
    <n v="1326"/>
    <n v="1326"/>
    <n v="0"/>
    <s v="FIBC"/>
    <s v="FIBC"/>
    <m/>
    <m/>
    <s v="Rs"/>
    <n v="1"/>
    <m/>
    <n v="9"/>
    <n v="22375.06"/>
    <n v="9"/>
    <n v="22375.06"/>
    <n v="0"/>
    <n v="0"/>
    <n v="39232999"/>
    <s v="."/>
    <d v="2026-08-24T00:00:00"/>
    <n v="0"/>
    <n v="0"/>
    <m/>
    <n v="0"/>
    <m/>
    <m/>
    <m/>
    <n v="0"/>
    <n v="0"/>
    <n v="0"/>
    <n v="0"/>
    <n v="0"/>
    <n v="0"/>
    <n v="0"/>
    <n v="0"/>
    <m/>
    <s v="GANDHINAGAR"/>
    <s v="India"/>
    <s v="WIP00004"/>
    <s v="FIBC Bags With UV Without Liner"/>
    <s v="FG"/>
    <s v="FIBC Bags"/>
    <x v="0"/>
  </r>
  <r>
    <s v="Plastene Polyfilms Limited"/>
    <n v="532"/>
    <d v="2026-08-24T00:00:00"/>
    <s v="HCP Plastene Bulkpack Limited - Sales"/>
    <s v="GJ12BT5713"/>
    <s v="FLEXIBLE INTERMEDIATE BULK CONTAINER"/>
    <s v="2026001366/2019000513"/>
    <n v="185.38"/>
    <n v="3692"/>
    <s v="Kgs"/>
    <n v="684422.96"/>
    <n v="3692"/>
    <n v="3692"/>
    <n v="0"/>
    <s v="FIBC"/>
    <s v="FIBC"/>
    <m/>
    <m/>
    <s v="Rs"/>
    <n v="1"/>
    <m/>
    <n v="9"/>
    <n v="61598.07"/>
    <n v="9"/>
    <n v="61598.07"/>
    <n v="0"/>
    <n v="0"/>
    <n v="39232999"/>
    <s v="."/>
    <d v="2026-08-24T00:00:00"/>
    <n v="0"/>
    <n v="0"/>
    <m/>
    <n v="0"/>
    <m/>
    <m/>
    <m/>
    <n v="0"/>
    <n v="0"/>
    <n v="0"/>
    <n v="0"/>
    <n v="0"/>
    <n v="0"/>
    <n v="0"/>
    <n v="0"/>
    <m/>
    <s v="GANDHINAGAR"/>
    <s v="India"/>
    <s v="WIP00004"/>
    <s v="FIBC Bags With UV Without Liner"/>
    <s v="FG"/>
    <s v="FIBC Bags"/>
    <x v="0"/>
  </r>
  <r>
    <s v="Plastene Polyfilms Limited"/>
    <n v="532"/>
    <d v="2026-08-24T00:00:00"/>
    <s v="HCP Plastene Bulkpack Limited - Sales"/>
    <s v="GJ12BT5713"/>
    <s v="FLEXIBLE INTERMEDIATE BULK CONTAINER"/>
    <s v="2026001367/9936"/>
    <n v="188.76"/>
    <n v="1770"/>
    <s v="Kgs"/>
    <n v="334105.2"/>
    <n v="1770"/>
    <n v="1770"/>
    <n v="0"/>
    <s v="FIBC"/>
    <s v="FIBC"/>
    <m/>
    <m/>
    <s v="Rs"/>
    <n v="1"/>
    <m/>
    <n v="9"/>
    <n v="30069.47"/>
    <n v="9"/>
    <n v="30069.47"/>
    <n v="0"/>
    <n v="0"/>
    <n v="39232999"/>
    <s v="."/>
    <d v="2026-08-24T00:00:00"/>
    <n v="0"/>
    <n v="0"/>
    <m/>
    <n v="0"/>
    <m/>
    <m/>
    <m/>
    <n v="0"/>
    <n v="0"/>
    <n v="0"/>
    <n v="0"/>
    <n v="0"/>
    <n v="0"/>
    <n v="0"/>
    <n v="0"/>
    <m/>
    <s v="GANDHINAGAR"/>
    <s v="India"/>
    <s v="WIP00004"/>
    <s v="FIBC Bags With UV Without Liner"/>
    <s v="FG"/>
    <s v="FIBC Bags"/>
    <x v="0"/>
  </r>
  <r>
    <s v="Plastene Polyfilms Limited"/>
    <n v="533"/>
    <d v="2026-08-24T00:00:00"/>
    <s v="Narayandas Murlidhar"/>
    <s v="RJ38GA0318"/>
    <s v="PP Laminated Fabrics"/>
    <s v="BLACK GRADE - D"/>
    <n v="60"/>
    <n v="14863"/>
    <s v="Kgs"/>
    <n v="891780"/>
    <n v="14863"/>
    <n v="14863"/>
    <n v="1052300.3999999999"/>
    <s v="Woven - Fabric"/>
    <s v="Woven - Fabric"/>
    <m/>
    <m/>
    <s v="Rs"/>
    <n v="1"/>
    <m/>
    <n v="0"/>
    <n v="0"/>
    <n v="0"/>
    <n v="0"/>
    <n v="18"/>
    <n v="160520.4"/>
    <n v="39269080"/>
    <n v="472"/>
    <d v="2026-08-24T00:00:00"/>
    <n v="0"/>
    <n v="0"/>
    <m/>
    <n v="0"/>
    <m/>
    <m/>
    <m/>
    <n v="0"/>
    <n v="0"/>
    <n v="0"/>
    <n v="0"/>
    <n v="0"/>
    <n v="0"/>
    <n v="0"/>
    <n v="0"/>
    <m/>
    <s v="PALI"/>
    <s v="India"/>
    <s v="WIP00025"/>
    <s v="PP Lam Fabric With UV"/>
    <s v="SF"/>
    <s v="PP/PE Fabric"/>
    <x v="6"/>
  </r>
  <r>
    <s v="Plastene Polyfilms Limited"/>
    <n v="534"/>
    <d v="2026-08-25T00:00:00"/>
    <s v="Plastene India ltd - Unit 1-Sales"/>
    <s v="GJ12X1249"/>
    <s v="PP Woven Fabrics"/>
    <s v="PP UL Fabric With UV"/>
    <n v="133.58000000000001"/>
    <n v="690"/>
    <s v="Kgs"/>
    <n v="92170.2"/>
    <n v="690"/>
    <n v="720"/>
    <n v="189874.35"/>
    <s v="Woven - Fabric"/>
    <s v="Woven - Fabric"/>
    <m/>
    <m/>
    <s v="Rs"/>
    <n v="1"/>
    <m/>
    <n v="9"/>
    <n v="8295.32"/>
    <n v="9"/>
    <n v="8295.32"/>
    <n v="0"/>
    <n v="0"/>
    <n v="39269080"/>
    <s v="."/>
    <d v="2026-08-25T00:00:00"/>
    <n v="0"/>
    <n v="0"/>
    <m/>
    <n v="0"/>
    <m/>
    <m/>
    <m/>
    <n v="0"/>
    <n v="0"/>
    <n v="0"/>
    <n v="0"/>
    <n v="0"/>
    <n v="0"/>
    <n v="0"/>
    <n v="0"/>
    <m/>
    <s v="KUTCH"/>
    <s v="India"/>
    <s v="WIP00023"/>
    <s v="PP UL Fabric With UV"/>
    <s v="SF"/>
    <s v="PP/PE Fabric"/>
    <x v="1"/>
  </r>
  <r>
    <s v="Plastene Polyfilms Limited"/>
    <n v="534"/>
    <d v="2026-08-25T00:00:00"/>
    <s v="Plastene India ltd - Unit 1-Sales"/>
    <s v="GJ12X1249"/>
    <s v="PP Woven Fabrics"/>
    <s v="PP UL Fabric With UV"/>
    <n v="133.58000000000001"/>
    <n v="514.6"/>
    <s v="Kgs"/>
    <n v="68740.27"/>
    <n v="514.6"/>
    <n v="536.6"/>
    <n v="0"/>
    <s v="Woven - Fabric"/>
    <s v="Woven - Fabric"/>
    <m/>
    <m/>
    <s v="Rs"/>
    <n v="1"/>
    <m/>
    <n v="9"/>
    <n v="6186.62"/>
    <n v="9"/>
    <n v="6186.62"/>
    <n v="0"/>
    <n v="0"/>
    <n v="39269080"/>
    <s v="."/>
    <d v="2026-08-25T00:00:00"/>
    <n v="0"/>
    <n v="0"/>
    <m/>
    <n v="0"/>
    <m/>
    <m/>
    <m/>
    <n v="0"/>
    <n v="0"/>
    <n v="0"/>
    <n v="0"/>
    <n v="0"/>
    <n v="0"/>
    <n v="0"/>
    <n v="0"/>
    <m/>
    <s v="KUTCH"/>
    <s v="India"/>
    <s v="WIP00023"/>
    <s v="PP UL Fabric With UV"/>
    <s v="SF"/>
    <s v="PP/PE Fabric"/>
    <x v="1"/>
  </r>
  <r>
    <s v="Plastene Polyfilms Limited"/>
    <n v="537"/>
    <d v="2026-08-26T00:00:00"/>
    <s v="Plastene India ltd - Unit 1-Sales"/>
    <s v="GJ12X1249"/>
    <s v="PP Woven Fabrics"/>
    <s v="PP UL Fabric With UV"/>
    <n v="133.58000000000001"/>
    <n v="535"/>
    <s v="Kgs"/>
    <n v="71465.3"/>
    <n v="535"/>
    <n v="559"/>
    <n v="84329.06"/>
    <s v="Woven - Fabric"/>
    <s v="Woven - Fabric"/>
    <m/>
    <m/>
    <s v="Rs"/>
    <n v="1"/>
    <m/>
    <n v="9"/>
    <n v="6431.88"/>
    <n v="9"/>
    <n v="6431.88"/>
    <n v="0"/>
    <n v="0"/>
    <n v="39269080"/>
    <s v="."/>
    <d v="2026-08-26T00:00:00"/>
    <n v="0"/>
    <n v="0"/>
    <m/>
    <n v="0"/>
    <m/>
    <m/>
    <m/>
    <n v="0"/>
    <n v="0"/>
    <n v="0"/>
    <n v="0"/>
    <n v="0"/>
    <n v="0"/>
    <n v="0"/>
    <n v="0"/>
    <m/>
    <s v="KUTCH"/>
    <s v="India"/>
    <s v="WIP00023"/>
    <s v="PP UL Fabric With UV"/>
    <s v="SF"/>
    <s v="PP/PE Fabric"/>
    <x v="1"/>
  </r>
  <r>
    <s v="Plastene Polyfilms Limited"/>
    <n v="538"/>
    <d v="2026-08-26T00:00:00"/>
    <s v="Plastene India ltd - Unit 1-Sales"/>
    <s v="GJ12BY1595"/>
    <s v="PP TAPE"/>
    <s v="PP Tapes"/>
    <n v="123.58"/>
    <n v="1775"/>
    <s v="Kgs"/>
    <n v="219354.5"/>
    <n v="1775"/>
    <n v="1775"/>
    <n v="258838.3"/>
    <s v="Others"/>
    <s v="Woven - Other"/>
    <m/>
    <m/>
    <s v="Rs"/>
    <n v="1"/>
    <m/>
    <n v="9"/>
    <n v="19741.900000000001"/>
    <n v="9"/>
    <n v="19741.900000000001"/>
    <n v="0"/>
    <n v="0"/>
    <n v="39199090"/>
    <s v="."/>
    <d v="2026-08-26T00:00:00"/>
    <n v="0"/>
    <n v="0"/>
    <m/>
    <n v="0"/>
    <m/>
    <m/>
    <m/>
    <n v="0"/>
    <n v="0"/>
    <n v="0"/>
    <n v="0"/>
    <n v="0"/>
    <n v="0"/>
    <n v="0"/>
    <n v="0"/>
    <m/>
    <s v="KUTCH"/>
    <s v="India"/>
    <s v="RAW05951"/>
    <s v="PP Tapes"/>
    <s v="SF"/>
    <s v="Tape Stock"/>
    <x v="9"/>
  </r>
  <r>
    <s v="Plastene Polyfilms Limited"/>
    <n v="539"/>
    <d v="2026-08-26T00:00:00"/>
    <s v="Plastene India ltd - Unit 1-Sales"/>
    <s v="GJ39T1656"/>
    <s v="POLYESTER YARN"/>
    <s v="Polyester Yarn Twisted"/>
    <n v="177"/>
    <n v="228.9"/>
    <s v="Kgs"/>
    <n v="40515.300000000003"/>
    <n v="228.9"/>
    <n v="228.9"/>
    <n v="42541.06"/>
    <s v="Others"/>
    <s v="Others"/>
    <m/>
    <m/>
    <s v="Rs"/>
    <n v="1"/>
    <m/>
    <n v="2.5"/>
    <n v="1012.88"/>
    <n v="2.5"/>
    <n v="1012.88"/>
    <n v="0"/>
    <n v="0"/>
    <n v="54026930"/>
    <s v="."/>
    <d v="2026-08-26T00:00:00"/>
    <n v="0"/>
    <n v="0"/>
    <m/>
    <n v="0"/>
    <m/>
    <m/>
    <m/>
    <n v="0"/>
    <n v="0"/>
    <n v="0"/>
    <n v="0"/>
    <n v="0"/>
    <n v="0"/>
    <n v="0"/>
    <n v="0"/>
    <m/>
    <s v="KUTCH"/>
    <s v="India"/>
    <s v="WIP00017"/>
    <s v="Polyester Yarn Twisted"/>
    <s v="SF"/>
    <s v="Yarn All"/>
    <x v="12"/>
  </r>
  <r>
    <s v="Plastene Polyfilms Limited"/>
    <n v="540"/>
    <d v="2026-08-26T00:00:00"/>
    <s v="Hcp Plastene Bulkpack Ltd (Unit Iv) - Sales"/>
    <s v="GJ-39 TB -3534"/>
    <s v="PP Laminated Fabrics"/>
    <s v="PP Lam Fabric With UV"/>
    <n v="137.58000000000001"/>
    <n v="346"/>
    <s v="Kgs"/>
    <n v="47602.68"/>
    <n v="346"/>
    <n v="350"/>
    <n v="89182.16"/>
    <s v="Woven - Fabric"/>
    <s v="Woven - Fabric"/>
    <m/>
    <m/>
    <s v="Rs"/>
    <n v="1"/>
    <m/>
    <n v="9"/>
    <n v="4284.24"/>
    <n v="9"/>
    <n v="4284.24"/>
    <n v="0"/>
    <n v="0"/>
    <n v="39269080"/>
    <s v="."/>
    <d v="2026-08-26T00:00:00"/>
    <n v="0"/>
    <n v="0"/>
    <m/>
    <n v="0"/>
    <m/>
    <m/>
    <m/>
    <n v="0"/>
    <n v="0"/>
    <n v="0"/>
    <n v="0"/>
    <n v="0"/>
    <n v="0"/>
    <n v="0"/>
    <n v="0"/>
    <m/>
    <s v="KACHCHH"/>
    <s v="India"/>
    <s v="WIP00025"/>
    <s v="PP Lam Fabric With UV"/>
    <s v="SF"/>
    <s v="PP/PE Fabric"/>
    <x v="6"/>
  </r>
  <r>
    <s v="Plastene Polyfilms Limited"/>
    <n v="540"/>
    <d v="2026-08-26T00:00:00"/>
    <s v="Hcp Plastene Bulkpack Ltd (Unit Iv) - Sales"/>
    <s v="GJ-39 TB -3534"/>
    <s v="PP Laminated Fabrics"/>
    <s v="PP Lam Fabric With UV"/>
    <n v="140.58000000000001"/>
    <n v="199"/>
    <s v="Kgs"/>
    <n v="27975.42"/>
    <n v="199"/>
    <n v="209"/>
    <n v="0"/>
    <s v="Woven - Fabric"/>
    <s v="Woven - Fabric"/>
    <m/>
    <m/>
    <s v="Rs"/>
    <n v="1"/>
    <m/>
    <n v="9"/>
    <n v="2517.79"/>
    <n v="9"/>
    <n v="2517.79"/>
    <n v="0"/>
    <n v="0"/>
    <n v="39269080"/>
    <s v="."/>
    <d v="2026-08-26T00:00:00"/>
    <n v="0"/>
    <n v="0"/>
    <m/>
    <n v="0"/>
    <m/>
    <m/>
    <m/>
    <n v="0"/>
    <n v="0"/>
    <n v="0"/>
    <n v="0"/>
    <n v="0"/>
    <n v="0"/>
    <n v="0"/>
    <n v="0"/>
    <m/>
    <s v="KACHCHH"/>
    <s v="India"/>
    <s v="WIP00025"/>
    <s v="PP Lam Fabric With UV"/>
    <s v="SF"/>
    <s v="PP/PE Fabric"/>
    <x v="6"/>
  </r>
  <r>
    <s v="Plastene Polyfilms Limited"/>
    <n v="541"/>
    <d v="2026-08-26T00:00:00"/>
    <s v="Hcp Plastene Bulkpack Ltd (Unit Iv) - Sales"/>
    <s v="GJ-39 TB -3534"/>
    <s v="PP Laminated Fabrics"/>
    <s v="PP UL Fabric With UV"/>
    <n v="135.58000000000001"/>
    <n v="533.70000000000005"/>
    <s v="Kgs"/>
    <n v="72359.05"/>
    <n v="533.70000000000005"/>
    <n v="547.70000000000005"/>
    <n v="85383.67"/>
    <s v="Woven - Fabric"/>
    <s v="Woven - Fabric"/>
    <m/>
    <m/>
    <s v="Rs"/>
    <n v="1"/>
    <m/>
    <n v="9"/>
    <n v="6512.31"/>
    <n v="9"/>
    <n v="6512.31"/>
    <n v="0"/>
    <n v="0"/>
    <n v="39269080"/>
    <s v="."/>
    <d v="2026-08-26T00:00:00"/>
    <n v="0"/>
    <n v="0"/>
    <m/>
    <n v="0"/>
    <m/>
    <m/>
    <m/>
    <n v="0"/>
    <n v="0"/>
    <n v="0"/>
    <n v="0"/>
    <n v="0"/>
    <n v="0"/>
    <n v="0"/>
    <n v="0"/>
    <m/>
    <s v="KACHCHH"/>
    <s v="India"/>
    <s v="WIP00025"/>
    <s v="PP Lam Fabric With UV"/>
    <s v="SF"/>
    <s v="PP/PE Fabric"/>
    <x v="1"/>
  </r>
  <r>
    <s v="Plastene Polyfilms Limited"/>
    <n v="543"/>
    <d v="2026-08-26T00:00:00"/>
    <s v="Hcp Plastene Bulkpack Ltd (Unit Iv) - Sales"/>
    <s v="GJ39TB3534"/>
    <s v="LD/LLDPE  FILM"/>
    <s v="LDPE/LLDPE Film"/>
    <n v="260"/>
    <n v="35.5"/>
    <s v="Kgs"/>
    <n v="9230"/>
    <n v="35.5"/>
    <n v="35.5"/>
    <n v="10891.4"/>
    <s v="Others"/>
    <s v="Others"/>
    <m/>
    <m/>
    <s v="Rs"/>
    <n v="1"/>
    <m/>
    <n v="9"/>
    <n v="830.7"/>
    <n v="9"/>
    <n v="830.7"/>
    <n v="0"/>
    <n v="0"/>
    <n v="39201019"/>
    <s v="."/>
    <d v="2026-08-26T00:00:00"/>
    <n v="0"/>
    <n v="0"/>
    <m/>
    <n v="0"/>
    <m/>
    <m/>
    <m/>
    <n v="0"/>
    <n v="0"/>
    <n v="0"/>
    <n v="0"/>
    <n v="0"/>
    <n v="0"/>
    <n v="0"/>
    <n v="0"/>
    <m/>
    <s v="KACHCHH"/>
    <s v="India"/>
    <s v="RAW05124"/>
    <s v="LDPE/LLDPE Film"/>
    <s v="SF"/>
    <s v="Films All (SF)"/>
    <x v="5"/>
  </r>
  <r>
    <s v="Plastene Polyfilms Limited"/>
    <s v="PPL/E/81/26-27"/>
    <d v="2026-08-26T00:00:00"/>
    <s v="K.P. WOVEN PVT LTD - UNIT 3 -SALES"/>
    <s v="GJ12BY1595"/>
    <s v="Flexible Intermediate Bulk Containers (Attachment bag)"/>
    <s v="06 BALES"/>
    <n v="2"/>
    <n v="2486.9499999999998"/>
    <s v="Kgs"/>
    <n v="460085.74999999901"/>
    <n v="2486.9499999999998"/>
    <n v="2486.9499999999998"/>
    <n v="460085.74999999901"/>
    <s v="FIBC"/>
    <s v="FIBC"/>
    <m/>
    <m/>
    <s v="USD"/>
    <n v="92.5"/>
    <s v="LUT Bond No"/>
    <m/>
    <m/>
    <m/>
    <m/>
    <n v="18"/>
    <n v="895.3"/>
    <n v="63053200"/>
    <n v="34"/>
    <d v="2026-08-26T00:00:00"/>
    <n v="4973.8999999999996"/>
    <n v="460085.74999999901"/>
    <s v="FOB"/>
    <n v="4973.8999999999996"/>
    <m/>
    <m/>
    <n v="6220250"/>
    <n v="0"/>
    <n v="0"/>
    <n v="0"/>
    <n v="0"/>
    <n v="0"/>
    <n v="0"/>
    <n v="0"/>
    <n v="0"/>
    <m/>
    <s v="KASEZ"/>
    <s v="India"/>
    <s v="WIP00003"/>
    <s v="FIBC Bags With UV With Liner"/>
    <s v="FG"/>
    <s v="FIBC Bags"/>
    <x v="10"/>
  </r>
  <r>
    <s v="Plastene Polyfilms Limited"/>
    <s v="PPL/E/82/26-27"/>
    <d v="2026-08-26T00:00:00"/>
    <s v="K.P. WOVEN PVT LTD - UNIT 3 -SALES"/>
    <s v="GJ12BY1595"/>
    <s v="Flexible Intermediate Bulk Containers (Attachment bag)"/>
    <s v="02 BALES"/>
    <n v="2"/>
    <n v="1048"/>
    <s v="Kgs"/>
    <n v="197652.8"/>
    <n v="1048"/>
    <n v="1264.05"/>
    <n v="197652.8"/>
    <s v="FIBC"/>
    <s v="FIBC"/>
    <m/>
    <m/>
    <s v="USD"/>
    <n v="94.3"/>
    <s v="LUT Bond No"/>
    <m/>
    <m/>
    <m/>
    <m/>
    <n v="18"/>
    <n v="377.28"/>
    <n v="63053200"/>
    <n v="34"/>
    <d v="2026-08-26T00:00:00"/>
    <n v="2528.1"/>
    <n v="238399.83"/>
    <s v="FOB"/>
    <n v="2528.1"/>
    <m/>
    <m/>
    <n v="6220250"/>
    <n v="0"/>
    <n v="0"/>
    <n v="0"/>
    <n v="0"/>
    <n v="0"/>
    <n v="0"/>
    <n v="0"/>
    <n v="0"/>
    <m/>
    <s v="KASEZ"/>
    <s v="India"/>
    <s v="WIP00004"/>
    <s v="FIBC Bags With UV Without Liner"/>
    <s v="FG"/>
    <s v="FIBC Bags"/>
    <x v="10"/>
  </r>
  <r>
    <s v="Plastene Polyfilms Limited"/>
    <s v="PPL/E/82/26-27"/>
    <d v="2026-08-26T00:00:00"/>
    <s v="K.P. WOVEN PVT LTD - UNIT 3 -SALES"/>
    <s v="GJ12BY1595"/>
    <s v="Flexible Intermediate Bulk Containers (Attachment bag)"/>
    <s v="01 BALE"/>
    <n v="2"/>
    <n v="216.05"/>
    <s v="Kgs"/>
    <n v="40747.03"/>
    <n v="216.05"/>
    <n v="1264.05"/>
    <n v="0"/>
    <s v="FIBC"/>
    <s v="FIBC"/>
    <m/>
    <m/>
    <s v="USD"/>
    <n v="94.3"/>
    <s v="LUT Bond No"/>
    <m/>
    <m/>
    <m/>
    <m/>
    <n v="18"/>
    <n v="77.78"/>
    <n v="63053200"/>
    <n v="34"/>
    <d v="2026-08-26T00:00:00"/>
    <n v="0"/>
    <n v="0"/>
    <s v="FOB"/>
    <n v="2528.1"/>
    <m/>
    <m/>
    <n v="6220250"/>
    <n v="0"/>
    <n v="0"/>
    <n v="0"/>
    <n v="0"/>
    <n v="0"/>
    <n v="0"/>
    <n v="0"/>
    <n v="0"/>
    <m/>
    <s v="KASEZ"/>
    <s v="India"/>
    <s v="WIP00003"/>
    <s v="FIBC Bags With UV With Liner"/>
    <s v="FG"/>
    <s v="FIBC Bags"/>
    <x v="10"/>
  </r>
  <r>
    <s v="Plastene Polyfilms Limited"/>
    <n v="544"/>
    <d v="2026-08-27T00:00:00"/>
    <s v="Plastene India ltd - Unit 1-Sales"/>
    <s v="GJ-12X 1249"/>
    <s v="PP Woven Fabrics"/>
    <s v="PP UL Fabric With UV"/>
    <n v="133.58000000000001"/>
    <n v="330.6"/>
    <s v="Kgs"/>
    <n v="44161.55"/>
    <n v="330.6"/>
    <n v="347.6"/>
    <n v="52110.63"/>
    <s v="Woven - Fabric"/>
    <s v="Woven - Fabric"/>
    <m/>
    <m/>
    <s v="Rs"/>
    <n v="1"/>
    <m/>
    <n v="9"/>
    <n v="3974.54"/>
    <n v="9"/>
    <n v="3974.54"/>
    <n v="0"/>
    <n v="0"/>
    <n v="39269080"/>
    <s v="."/>
    <d v="2026-08-27T00:00:00"/>
    <n v="0"/>
    <n v="0"/>
    <m/>
    <n v="0"/>
    <m/>
    <m/>
    <m/>
    <n v="0"/>
    <n v="0"/>
    <n v="0"/>
    <n v="0"/>
    <n v="0"/>
    <n v="0"/>
    <n v="0"/>
    <n v="0"/>
    <m/>
    <s v="KUTCH"/>
    <s v="India"/>
    <s v="WIP00023"/>
    <s v="PP UL Fabric With UV"/>
    <s v="SF"/>
    <s v="PP/PE Fabric"/>
    <x v="1"/>
  </r>
  <r>
    <s v="Plastene Polyfilms Limited"/>
    <n v="546"/>
    <d v="2026-08-27T00:00:00"/>
    <s v="Shri Bajrangbali Ashok Construction Private Limited"/>
    <s v="GJ39TB1619"/>
    <s v="FLEXIBLE INTERMEDIATE BULK CONTAINER"/>
    <s v="SBB/2026/02"/>
    <n v="650"/>
    <n v="500"/>
    <s v="Pcs"/>
    <n v="325000"/>
    <n v="1386"/>
    <n v="1386"/>
    <n v="409460"/>
    <s v="FIBC"/>
    <s v="FIBC"/>
    <m/>
    <m/>
    <s v="Rs"/>
    <n v="1"/>
    <m/>
    <n v="0"/>
    <n v="0"/>
    <n v="0"/>
    <n v="0"/>
    <n v="18"/>
    <n v="58500"/>
    <n v="39232999"/>
    <n v="104"/>
    <d v="2026-08-27T00:00:00"/>
    <n v="0"/>
    <n v="0"/>
    <m/>
    <n v="0"/>
    <m/>
    <m/>
    <m/>
    <n v="0"/>
    <n v="0"/>
    <n v="22000"/>
    <n v="0"/>
    <n v="0"/>
    <n v="0"/>
    <n v="0"/>
    <n v="0"/>
    <m/>
    <s v="KASHIDA, EAST SINGHBHUM,"/>
    <s v="India"/>
    <s v="WIP00003"/>
    <s v="FIBC Bags With UV With Liner"/>
    <s v="FG"/>
    <s v="FIBC Bags"/>
    <x v="0"/>
  </r>
  <r>
    <s v="Plastene Polyfilms Limited"/>
    <n v="549"/>
    <d v="2026-08-28T00:00:00"/>
    <s v="Plastene India ltd - Unit 1-Sales"/>
    <s v="GJ39T9710"/>
    <s v="FLEXIBLE INTERMEDIATE BULK CONTAINER"/>
    <s v="1130017059/PDBJMBLHS63050087"/>
    <n v="584"/>
    <n v="500"/>
    <s v="Pcs"/>
    <n v="292000"/>
    <n v="1493"/>
    <n v="1493"/>
    <n v="344560"/>
    <s v="FIBC"/>
    <s v="FIBC"/>
    <m/>
    <m/>
    <s v="Rs"/>
    <n v="1"/>
    <m/>
    <n v="9"/>
    <n v="26280"/>
    <n v="9"/>
    <n v="26280"/>
    <n v="0"/>
    <n v="0"/>
    <n v="39232999"/>
    <s v="."/>
    <d v="2026-08-28T00:00:00"/>
    <n v="0"/>
    <n v="0"/>
    <m/>
    <n v="0"/>
    <m/>
    <m/>
    <m/>
    <n v="0"/>
    <n v="0"/>
    <n v="0"/>
    <n v="0"/>
    <n v="0"/>
    <n v="0"/>
    <n v="0"/>
    <n v="0"/>
    <m/>
    <s v="KUTCH"/>
    <s v="India"/>
    <s v="WIP00004"/>
    <s v="FIBC Bags With UV Without Liner"/>
    <s v="FG"/>
    <s v="FIBC Bags"/>
    <x v="0"/>
  </r>
  <r>
    <s v="Plastene Polyfilms Limited"/>
    <n v="550"/>
    <d v="2026-08-28T00:00:00"/>
    <s v="Plastene India ltd - Unit 1-Sales"/>
    <s v="GJ12X1249"/>
    <s v="PP Woven Fabrics"/>
    <s v="PP UL Fabric With UV"/>
    <n v="133.58000000000001"/>
    <n v="629"/>
    <s v="Kgs"/>
    <n v="84021.82"/>
    <n v="629"/>
    <n v="629"/>
    <n v="99145.74"/>
    <s v="Woven - Fabric"/>
    <s v="Woven - Fabric"/>
    <m/>
    <m/>
    <s v="Rs"/>
    <n v="1"/>
    <m/>
    <n v="9"/>
    <n v="7561.96"/>
    <n v="9"/>
    <n v="7561.96"/>
    <n v="0"/>
    <n v="0"/>
    <n v="39269080"/>
    <s v="."/>
    <d v="2026-08-28T00:00:00"/>
    <n v="0"/>
    <n v="0"/>
    <m/>
    <n v="0"/>
    <m/>
    <m/>
    <m/>
    <n v="0"/>
    <n v="0"/>
    <n v="0"/>
    <n v="0"/>
    <n v="0"/>
    <n v="0"/>
    <n v="0"/>
    <n v="0"/>
    <m/>
    <s v="KUTCH"/>
    <s v="India"/>
    <s v="WIP00023"/>
    <s v="PP UL Fabric With UV"/>
    <s v="SF"/>
    <s v="PP/PE Fabric"/>
    <x v="1"/>
  </r>
  <r>
    <s v="Plastene Polyfilms Limited"/>
    <n v="552"/>
    <d v="2026-08-29T00:00:00"/>
    <s v="Hcp Plastene Bulkpack Ltd (Unit Iv) - Sales"/>
    <s v="GJ-39 TB 3534"/>
    <s v="PP Woven Fabrics"/>
    <s v="PP UL Fabric With UV"/>
    <n v="133.58000000000001"/>
    <n v="788.3"/>
    <s v="Kgs"/>
    <n v="105301.11"/>
    <n v="788.3"/>
    <n v="807.3"/>
    <n v="163380.31"/>
    <s v="Woven - Fabric"/>
    <s v="Woven - Fabric"/>
    <m/>
    <m/>
    <s v="Rs"/>
    <n v="1"/>
    <m/>
    <n v="9"/>
    <n v="9477.1"/>
    <n v="9"/>
    <n v="9477.1"/>
    <n v="0"/>
    <n v="0"/>
    <n v="39269080"/>
    <s v="."/>
    <d v="2026-08-29T00:00:00"/>
    <n v="0"/>
    <n v="0"/>
    <m/>
    <n v="0"/>
    <m/>
    <m/>
    <m/>
    <n v="0"/>
    <n v="0"/>
    <n v="0"/>
    <n v="0"/>
    <n v="0"/>
    <n v="0"/>
    <n v="0"/>
    <n v="0"/>
    <m/>
    <s v="KACHCHH"/>
    <s v="India"/>
    <s v="WIP00023"/>
    <s v="PP UL Fabric With UV"/>
    <s v="SF"/>
    <s v="PP/PE Fabric"/>
    <x v="1"/>
  </r>
  <r>
    <s v="Plastene Polyfilms Limited"/>
    <n v="552"/>
    <d v="2026-08-29T00:00:00"/>
    <s v="Hcp Plastene Bulkpack Ltd (Unit Iv) - Sales"/>
    <s v="GJ-39 TB 3534"/>
    <s v="PP Laminated Fabrics"/>
    <s v="PP Lam Fabric With UV"/>
    <n v="137.58000000000001"/>
    <n v="241"/>
    <s v="Kgs"/>
    <n v="33156.78"/>
    <n v="241"/>
    <n v="251"/>
    <n v="0"/>
    <s v="Woven - Fabric"/>
    <s v="Woven - Fabric"/>
    <m/>
    <m/>
    <s v="Rs"/>
    <n v="1"/>
    <m/>
    <n v="9"/>
    <n v="2984.11"/>
    <n v="9"/>
    <n v="2984.11"/>
    <n v="0"/>
    <n v="0"/>
    <n v="39269080"/>
    <s v="."/>
    <d v="2026-08-29T00:00:00"/>
    <n v="0"/>
    <n v="0"/>
    <m/>
    <n v="0"/>
    <m/>
    <m/>
    <m/>
    <n v="0"/>
    <n v="0"/>
    <n v="0"/>
    <n v="0"/>
    <n v="0"/>
    <n v="0"/>
    <n v="0"/>
    <n v="0"/>
    <m/>
    <s v="KACHCHH"/>
    <s v="India"/>
    <s v="WIP00025"/>
    <s v="PP Lam Fabric With UV"/>
    <s v="SF"/>
    <s v="PP/PE Fabric"/>
    <x v="6"/>
  </r>
  <r>
    <s v="Plastene Polyfilms Limited"/>
    <n v="555"/>
    <d v="2026-08-30T00:00:00"/>
    <s v="Plastene India ltd - Unit 1-Sales"/>
    <s v="GJ12X1249"/>
    <s v="PP Woven Fabrics"/>
    <s v="PP UL Fabric With UV"/>
    <n v="133.58000000000001"/>
    <n v="1176.7"/>
    <s v="Kgs"/>
    <n v="157183.59"/>
    <n v="1176.7"/>
    <n v="1176.7"/>
    <n v="215873.67"/>
    <s v="Woven - Fabric"/>
    <s v="Woven - Fabric"/>
    <m/>
    <m/>
    <s v="Rs"/>
    <n v="1"/>
    <m/>
    <n v="9"/>
    <n v="14146.52"/>
    <n v="9"/>
    <n v="14146.52"/>
    <n v="0"/>
    <n v="0"/>
    <n v="39269080"/>
    <s v="."/>
    <d v="2026-08-30T00:00:00"/>
    <n v="0"/>
    <n v="0"/>
    <m/>
    <n v="0"/>
    <m/>
    <m/>
    <m/>
    <n v="0"/>
    <n v="0"/>
    <n v="0"/>
    <n v="0"/>
    <n v="0"/>
    <n v="0"/>
    <n v="0"/>
    <n v="0"/>
    <m/>
    <s v="KUTCH"/>
    <s v="India"/>
    <s v="WIP00023"/>
    <s v="PP UL Fabric With UV"/>
    <s v="SF"/>
    <s v="PP/PE Fabric"/>
    <x v="1"/>
  </r>
  <r>
    <s v="Plastene Polyfilms Limited"/>
    <n v="555"/>
    <d v="2026-08-30T00:00:00"/>
    <s v="Plastene India ltd - Unit 1-Sales"/>
    <s v="GJ12X1249"/>
    <s v="PP Laminated Fabrics"/>
    <s v="PP Lam Fabric With UV"/>
    <n v="135.58000000000001"/>
    <n v="190"/>
    <s v="Kgs"/>
    <n v="25760.2"/>
    <n v="190"/>
    <n v="190"/>
    <n v="0"/>
    <s v="Woven - Fabric"/>
    <s v="Woven - Fabric"/>
    <m/>
    <m/>
    <s v="Rs"/>
    <n v="1"/>
    <m/>
    <n v="9"/>
    <n v="2318.42"/>
    <n v="9"/>
    <n v="2318.42"/>
    <n v="0"/>
    <n v="0"/>
    <n v="39269080"/>
    <s v="."/>
    <d v="2026-08-30T00:00:00"/>
    <n v="0"/>
    <n v="0"/>
    <m/>
    <n v="0"/>
    <m/>
    <m/>
    <m/>
    <n v="0"/>
    <n v="0"/>
    <n v="0"/>
    <n v="0"/>
    <n v="0"/>
    <n v="0"/>
    <n v="0"/>
    <n v="0"/>
    <m/>
    <s v="KUTCH"/>
    <s v="India"/>
    <s v="WIP00025"/>
    <s v="PP Lam Fabric With UV"/>
    <s v="SF"/>
    <s v="PP/PE Fabric"/>
    <x v="6"/>
  </r>
  <r>
    <s v="Plastene Polyfilms Limited"/>
    <n v="556"/>
    <d v="2026-08-30T00:00:00"/>
    <s v="Plastene India ltd - Unit 1-Sales"/>
    <s v="GJ12FB2542"/>
    <s v="Articles Made Of Lldpe"/>
    <s v="LDPE/LLDPE Bags/Liner"/>
    <n v="158.5"/>
    <n v="28.5"/>
    <s v="Kgs"/>
    <n v="4517.25"/>
    <n v="28.5"/>
    <n v="28.5"/>
    <n v="5330.35"/>
    <s v="Others"/>
    <s v="Woven - Fabric"/>
    <m/>
    <m/>
    <s v="Rs"/>
    <n v="1"/>
    <m/>
    <n v="9"/>
    <n v="406.55"/>
    <n v="9"/>
    <n v="406.55"/>
    <n v="0"/>
    <n v="0"/>
    <n v="39232100"/>
    <s v="."/>
    <d v="2026-08-30T00:00:00"/>
    <n v="0"/>
    <n v="0"/>
    <m/>
    <n v="0"/>
    <m/>
    <m/>
    <m/>
    <n v="0"/>
    <n v="0"/>
    <n v="0"/>
    <n v="0"/>
    <n v="0"/>
    <n v="0"/>
    <n v="0"/>
    <n v="0"/>
    <m/>
    <s v="KUTCH"/>
    <s v="India"/>
    <s v="WIP00013"/>
    <s v="LDPE/LLDPE Bags/Liner"/>
    <s v="SF"/>
    <s v="Liners"/>
    <x v="14"/>
  </r>
  <r>
    <s v="Plastene Polyfilms Limited"/>
    <n v="559"/>
    <d v="2026-08-31T00:00:00"/>
    <s v="Hcp Plastene Bulkpack Ltd (Unit Iv) - Sales"/>
    <s v="GJ12BR8742"/>
    <s v="FLEXIBLE INTERMEDIATE BULK CONTAINER"/>
    <s v="30131/517R1"/>
    <n v="199.8"/>
    <n v="1153"/>
    <s v="Kgs"/>
    <n v="230369.4"/>
    <n v="1153"/>
    <n v="1153"/>
    <n v="271835.90000000002"/>
    <s v="FIBC"/>
    <s v="FIBC"/>
    <m/>
    <m/>
    <s v="Rs"/>
    <n v="1"/>
    <m/>
    <n v="9"/>
    <n v="20733.25"/>
    <n v="9"/>
    <n v="20733.25"/>
    <n v="0"/>
    <n v="0"/>
    <n v="39232999"/>
    <s v="."/>
    <d v="2026-08-31T00:00:00"/>
    <n v="0"/>
    <n v="0"/>
    <m/>
    <n v="0"/>
    <m/>
    <m/>
    <m/>
    <n v="0"/>
    <n v="0"/>
    <n v="0"/>
    <n v="0"/>
    <n v="0"/>
    <n v="0"/>
    <n v="0"/>
    <n v="0"/>
    <m/>
    <s v="KACHCHH"/>
    <s v="India"/>
    <s v="WIP00004"/>
    <s v="FIBC Bags With UV Without Liner"/>
    <s v="FG"/>
    <s v="FIBC Bags"/>
    <x v="0"/>
  </r>
  <r>
    <s v="Plastene Polyfilms Limited"/>
    <n v="560"/>
    <d v="2026-08-31T00:00:00"/>
    <s v="Hcp Plastene Bulkpack Ltd (Unit Iv) - Sales"/>
    <s v="GJ12BR8742"/>
    <s v="LD/LLDPE  FILM"/>
    <s v="LDPE/LLDPE Film"/>
    <n v="246"/>
    <n v="23.4"/>
    <s v="Kgs"/>
    <n v="5756.4"/>
    <n v="23.4"/>
    <n v="23.4"/>
    <n v="6792.56"/>
    <s v="FIBC"/>
    <s v="Others"/>
    <m/>
    <m/>
    <s v="Rs"/>
    <n v="1"/>
    <m/>
    <n v="9"/>
    <n v="518.08000000000004"/>
    <n v="9"/>
    <n v="518.08000000000004"/>
    <n v="0"/>
    <n v="0"/>
    <n v="39201019"/>
    <s v="."/>
    <d v="2026-08-31T00:00:00"/>
    <n v="0"/>
    <n v="0"/>
    <m/>
    <n v="0"/>
    <m/>
    <m/>
    <m/>
    <n v="0"/>
    <n v="0"/>
    <n v="0"/>
    <n v="0"/>
    <n v="0"/>
    <n v="0"/>
    <n v="0"/>
    <n v="0"/>
    <m/>
    <s v="KACHCHH"/>
    <s v="India"/>
    <s v="RAW05124"/>
    <s v="LDPE/LLDPE Film"/>
    <s v="SF"/>
    <s v="Films All (SF)"/>
    <x v="5"/>
  </r>
  <r>
    <s v="Plastene Polyfilms Limited"/>
    <n v="561"/>
    <d v="2026-08-31T00:00:00"/>
    <s v="Hcp Plastene Bulkpack Ltd (Unit Iv) - Sales"/>
    <s v="GJ39TB3534"/>
    <s v="PP Woven Fabrics"/>
    <s v="PP UL Fabric With UV"/>
    <n v="133.58000000000001"/>
    <n v="510"/>
    <s v="Kgs"/>
    <n v="68125.8"/>
    <n v="510"/>
    <n v="510"/>
    <n v="80388.44"/>
    <s v="Woven - Fabric"/>
    <s v="Woven - Fabric"/>
    <m/>
    <m/>
    <s v="Rs"/>
    <n v="1"/>
    <m/>
    <n v="9"/>
    <n v="6131.32"/>
    <n v="9"/>
    <n v="6131.32"/>
    <n v="0"/>
    <n v="0"/>
    <n v="39269080"/>
    <s v="."/>
    <d v="2026-08-31T00:00:00"/>
    <n v="0"/>
    <n v="0"/>
    <m/>
    <n v="0"/>
    <m/>
    <m/>
    <m/>
    <n v="0"/>
    <n v="0"/>
    <n v="0"/>
    <n v="0"/>
    <n v="0"/>
    <n v="0"/>
    <n v="0"/>
    <n v="0"/>
    <m/>
    <s v="KACHCHH"/>
    <s v="India"/>
    <s v="WIP00023"/>
    <s v="PP UL Fabric With UV"/>
    <s v="SF"/>
    <s v="PP/PE Fabric"/>
    <x v="1"/>
  </r>
  <r>
    <s v="Plastene Polyfilms Limited"/>
    <n v="563"/>
    <d v="2026-08-31T00:00:00"/>
    <s v="Plastene India ltd - Unit 1-Sales"/>
    <s v="GJ12X1249"/>
    <s v="PP WEBBING"/>
    <s v="Webbing-MW"/>
    <n v="135.58000000000001"/>
    <n v="2138"/>
    <s v="Kgs"/>
    <n v="289870.03999999998"/>
    <n v="2138"/>
    <n v="2138"/>
    <n v="382398.48"/>
    <s v="Webbing"/>
    <s v="Webbing"/>
    <m/>
    <m/>
    <s v="Rs"/>
    <n v="1"/>
    <m/>
    <n v="9"/>
    <n v="26088.3"/>
    <n v="9"/>
    <n v="26088.3"/>
    <n v="0"/>
    <n v="0"/>
    <n v="39269080"/>
    <s v="."/>
    <d v="2026-08-31T00:00:00"/>
    <n v="0"/>
    <n v="0"/>
    <m/>
    <n v="0"/>
    <m/>
    <m/>
    <m/>
    <n v="0"/>
    <n v="0"/>
    <n v="0"/>
    <n v="0"/>
    <n v="0"/>
    <n v="0"/>
    <n v="0"/>
    <n v="0"/>
    <m/>
    <s v="KUTCH"/>
    <s v="India"/>
    <s v="WIP00032"/>
    <s v="Webbing"/>
    <s v="SF"/>
    <s v="Webbing"/>
    <x v="8"/>
  </r>
  <r>
    <s v="Plastene Polyfilms Limited"/>
    <n v="563"/>
    <d v="2026-08-31T00:00:00"/>
    <s v="Plastene India ltd - Unit 1-Sales"/>
    <s v="GJ12X1249"/>
    <s v="PP Woven Fabrics"/>
    <s v="PP UL Fabric With UV"/>
    <n v="133.58000000000001"/>
    <n v="256"/>
    <s v="Kgs"/>
    <n v="34196.480000000003"/>
    <n v="256"/>
    <n v="267"/>
    <n v="0"/>
    <s v="Webbing"/>
    <s v="Woven - Fabric"/>
    <m/>
    <m/>
    <s v="Rs"/>
    <n v="1"/>
    <m/>
    <n v="9"/>
    <n v="3077.68"/>
    <n v="9"/>
    <n v="3077.68"/>
    <n v="0"/>
    <n v="0"/>
    <n v="39269080"/>
    <s v="."/>
    <d v="2026-08-31T00:00:00"/>
    <n v="0"/>
    <n v="0"/>
    <m/>
    <n v="0"/>
    <m/>
    <m/>
    <m/>
    <n v="0"/>
    <n v="0"/>
    <n v="0"/>
    <n v="0"/>
    <n v="0"/>
    <n v="0"/>
    <n v="0"/>
    <n v="0"/>
    <m/>
    <s v="KUTCH"/>
    <s v="India"/>
    <s v="WIP00023"/>
    <s v="PP UL Fabric With UV"/>
    <s v="SF"/>
    <s v="PP/PE Fabric"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6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6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6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6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6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6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6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6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6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6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6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6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6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6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6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6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350">
  <r>
    <d v="2026-01-08T00:00:00"/>
    <s v="Plastene India ltd - Unit 1-Purchase"/>
    <s v="R.M.P."/>
    <s v="RM 381"/>
    <s v="Purchase Withinstate - Raw Material"/>
    <s v="PIL1/D/1243"/>
    <d v="2026-01-08T00:00:00"/>
    <s v="SF"/>
    <s v="PP/PE Fabric"/>
    <x v="0"/>
    <s v="PP WOVEN FABRIC"/>
    <s v="PP UL Fabric With UV"/>
    <n v="513"/>
    <n v="72374.039999999994"/>
    <s v="PP UL Fabric With UV"/>
    <n v="637244.65"/>
    <n v="9"/>
    <n v="6513.66"/>
    <n v="9"/>
    <n v="6513.66"/>
    <n v="0"/>
    <n v="0"/>
    <n v="0"/>
    <n v="13027.32"/>
    <n v="0"/>
    <s v="24AAACO3087C1ZT"/>
    <s v="Kgs"/>
    <n v="39269080"/>
    <s v="Rs."/>
    <n v="1"/>
    <n v="513"/>
    <s v="India"/>
  </r>
  <r>
    <d v="2026-01-08T00:00:00"/>
    <s v="Plastene India ltd - Unit 1-Purchase"/>
    <s v="R.M.P."/>
    <s v="RM 381"/>
    <s v="Purchase Withinstate - Raw Material"/>
    <s v="PIL1/D/1243"/>
    <d v="2026-01-08T00:00:00"/>
    <s v="SF"/>
    <s v="PP/PE Fabric"/>
    <x v="0"/>
    <s v="PP WOVEN FABRIC"/>
    <s v="PP UL Fabric With UV"/>
    <n v="658"/>
    <n v="94804.64"/>
    <s v="PP UL Fabric With UV"/>
    <n v="0"/>
    <n v="9"/>
    <n v="8532.42"/>
    <n v="9"/>
    <n v="8532.42"/>
    <n v="0"/>
    <n v="0"/>
    <n v="0"/>
    <n v="17064.84"/>
    <n v="0"/>
    <s v="24AAACO3087C1ZT"/>
    <s v="Kgs"/>
    <n v="39269080"/>
    <s v="Rs."/>
    <n v="1"/>
    <n v="658"/>
    <s v="India"/>
  </r>
  <r>
    <d v="2026-01-08T00:00:00"/>
    <s v="Plastene India ltd - Unit 1-Purchase"/>
    <s v="R.M.P."/>
    <s v="RM 381"/>
    <s v="Purchase Withinstate - Raw Material"/>
    <s v="PIL1/D/1243"/>
    <d v="2026-01-08T00:00:00"/>
    <s v="SF"/>
    <s v="PP/PE Fabric"/>
    <x v="1"/>
    <s v="PP Laminated Fabric"/>
    <s v="PP Lam Fabric With UV"/>
    <n v="2229"/>
    <n v="325612.32"/>
    <s v="PP Lam Fabric With UV"/>
    <n v="0"/>
    <n v="9"/>
    <n v="29305.11"/>
    <n v="9"/>
    <n v="29305.11"/>
    <n v="0"/>
    <n v="0"/>
    <n v="0"/>
    <n v="58610.22"/>
    <n v="0"/>
    <s v="24AAACO3087C1ZT"/>
    <s v="Kgs"/>
    <n v="63053300"/>
    <s v="Rs."/>
    <n v="1"/>
    <n v="2229"/>
    <s v="India"/>
  </r>
  <r>
    <d v="2026-01-08T00:00:00"/>
    <s v="Plastene India ltd - Unit 1-Purchase"/>
    <s v="R.M.P."/>
    <s v="RM 381"/>
    <s v="Purchase Withinstate - Raw Material"/>
    <s v="PIL1/D/1243"/>
    <d v="2026-01-08T00:00:00"/>
    <s v="SF"/>
    <s v="Webbing"/>
    <x v="2"/>
    <s v="PP Webbing"/>
    <s v="Webbing"/>
    <n v="331.1"/>
    <n v="47704.89"/>
    <s v="Webbing"/>
    <n v="0"/>
    <n v="9"/>
    <n v="4293.4399999999996"/>
    <n v="9"/>
    <n v="4293.4399999999996"/>
    <n v="0"/>
    <n v="0"/>
    <n v="0"/>
    <n v="8586.8799999999992"/>
    <n v="0"/>
    <s v="24AAACO3087C1ZT"/>
    <s v="Kgs"/>
    <n v="3926908"/>
    <s v="Rs."/>
    <n v="1"/>
    <n v="331.1"/>
    <s v="India"/>
  </r>
  <r>
    <d v="2026-01-08T00:00:00"/>
    <s v="Plastene India ltd - Unit 1-Purchase"/>
    <s v="R.M.P."/>
    <s v="RM 382"/>
    <s v="Purchase Withinstate - Raw Material"/>
    <s v="PIL1/D/1244"/>
    <d v="2026-01-08T00:00:00"/>
    <s v="RM"/>
    <s v="Granules"/>
    <x v="3"/>
    <s v="PP Granules"/>
    <s v="PP Granules Others"/>
    <n v="1375"/>
    <n v="163735"/>
    <s v="PP Granules Others"/>
    <n v="617616.18999999994"/>
    <n v="9"/>
    <n v="14736.15"/>
    <n v="9"/>
    <n v="14736.15"/>
    <n v="0"/>
    <n v="0"/>
    <n v="0"/>
    <n v="29472.3"/>
    <n v="0"/>
    <s v="24AAACO3087C1ZT"/>
    <s v="Kgs"/>
    <n v="39021000"/>
    <s v="Rs."/>
    <n v="1"/>
    <n v="1375"/>
    <s v="India"/>
  </r>
  <r>
    <d v="2026-01-08T00:00:00"/>
    <s v="Plastene India ltd - Unit 1-Purchase"/>
    <s v="R.M.P."/>
    <s v="RM 382"/>
    <s v="Purchase Withinstate - Raw Material"/>
    <s v="PIL1/D/1244"/>
    <d v="2026-01-08T00:00:00"/>
    <s v="RM"/>
    <s v="Granules"/>
    <x v="4"/>
    <s v="LDPE Granuels"/>
    <s v="LDPE Sumitomo L705"/>
    <n v="1375"/>
    <n v="151250"/>
    <s v="LDPE Sumitomo L705"/>
    <n v="0"/>
    <n v="9"/>
    <n v="13612.5"/>
    <n v="9"/>
    <n v="13612.5"/>
    <n v="0"/>
    <n v="0"/>
    <n v="0"/>
    <n v="27225"/>
    <n v="0"/>
    <s v="24AAACO3087C1ZT"/>
    <s v="Kgs"/>
    <n v="39011020"/>
    <s v="Rs."/>
    <n v="1"/>
    <n v="1375"/>
    <s v="India"/>
  </r>
  <r>
    <d v="2026-01-08T00:00:00"/>
    <s v="Plastene India ltd - Unit 1-Purchase"/>
    <s v="R.M.P."/>
    <s v="RM 382"/>
    <s v="Purchase Withinstate - Raw Material"/>
    <s v="PIL1/D/1244"/>
    <d v="2026-01-08T00:00:00"/>
    <s v="RM"/>
    <s v="Granules"/>
    <x v="4"/>
    <s v="LDPE Granuels"/>
    <s v="LDPE LOTTE LF512"/>
    <n v="1375"/>
    <n v="208862.5"/>
    <s v="LDPE LOTTE LF512"/>
    <n v="0"/>
    <n v="9"/>
    <n v="18797.62"/>
    <n v="9"/>
    <n v="18797.62"/>
    <n v="0"/>
    <n v="0"/>
    <n v="0"/>
    <n v="37595.24"/>
    <n v="0"/>
    <s v="24AAACO3087C1ZT"/>
    <s v="Kgs"/>
    <n v="390110"/>
    <s v="Rs."/>
    <n v="1"/>
    <n v="1375"/>
    <s v="India"/>
  </r>
  <r>
    <d v="2026-02-08T00:00:00"/>
    <s v="HCP Plastene Bulkpack Limited - Purchase"/>
    <s v="R.M.P."/>
    <s v="RM 384"/>
    <s v="Purchase Withinstate - Raw Material"/>
    <s v="HPBL/D/444"/>
    <d v="2026-01-08T00:00:00"/>
    <s v="SF"/>
    <s v="Liners"/>
    <x v="5"/>
    <s v="LDPE/LLDPE Bags"/>
    <s v="LDPE/LLDPE Bags/Liner"/>
    <n v="394"/>
    <n v="63993.48"/>
    <s v="LDPE/LLDPE Bags/Liner"/>
    <n v="510580.08"/>
    <n v="9"/>
    <n v="5759.41"/>
    <n v="9"/>
    <n v="5759.41"/>
    <n v="0"/>
    <n v="0"/>
    <n v="0"/>
    <n v="11518.82"/>
    <n v="0"/>
    <s v="24AABCG1282C2Z6"/>
    <s v="Kgs"/>
    <n v="39200000"/>
    <s v="Rs."/>
    <n v="1"/>
    <n v="394"/>
    <s v="India"/>
  </r>
  <r>
    <d v="2026-02-08T00:00:00"/>
    <s v="HCP Plastene Bulkpack Limited - Purchase"/>
    <s v="R.M.P."/>
    <s v="RM 384"/>
    <s v="Purchase Withinstate - Raw Material"/>
    <s v="HPBL/D/444"/>
    <d v="2026-01-08T00:00:00"/>
    <s v="SF"/>
    <s v="PP/PE Fabric"/>
    <x v="0"/>
    <s v="PP WOVEN FABRIC"/>
    <s v="PP UL Fabric With UV"/>
    <n v="1911"/>
    <n v="299052.39"/>
    <s v="PP UL Fabric With UV"/>
    <n v="0"/>
    <n v="9"/>
    <n v="26914.720000000001"/>
    <n v="9"/>
    <n v="26914.720000000001"/>
    <n v="0"/>
    <n v="0"/>
    <n v="0"/>
    <n v="53829.440000000002"/>
    <n v="0"/>
    <s v="24AABCG1282C2Z6"/>
    <s v="Kgs"/>
    <n v="39269080"/>
    <s v="Rs."/>
    <n v="1"/>
    <n v="1911"/>
    <s v="India"/>
  </r>
  <r>
    <d v="2026-02-08T00:00:00"/>
    <s v="HCP Plastene Bulkpack Limited - Purchase"/>
    <s v="R.M.P."/>
    <s v="RM 384"/>
    <s v="Purchase Withinstate - Raw Material"/>
    <s v="HPBL/D/444"/>
    <d v="2026-01-08T00:00:00"/>
    <s v="SF"/>
    <s v="PP/PE Fabric"/>
    <x v="0"/>
    <s v="PP WOVEN FABRIC"/>
    <s v="PP UL Fabric With UV"/>
    <n v="439"/>
    <n v="70016.11"/>
    <s v="PP UL Fabric With UV"/>
    <n v="0"/>
    <n v="9"/>
    <n v="6301.45"/>
    <n v="9"/>
    <n v="6301.45"/>
    <n v="0"/>
    <n v="0"/>
    <n v="0"/>
    <n v="12602.9"/>
    <n v="0"/>
    <s v="24AABCG1282C2Z6"/>
    <s v="Kgs"/>
    <n v="39269080"/>
    <s v="Rs."/>
    <n v="1"/>
    <n v="439"/>
    <s v="India"/>
  </r>
  <r>
    <d v="2026-02-08T00:00:00"/>
    <s v="Plastene India ltd - Unit 1-Purchase"/>
    <s v="R.M.P."/>
    <s v="RM 385"/>
    <s v="Purchase Withinstate - Raw Material"/>
    <s v="PIL1/D/1248"/>
    <d v="2026-02-08T00:00:00"/>
    <s v="SF"/>
    <s v="Liners"/>
    <x v="5"/>
    <s v="LDPE/LLDPE Bags"/>
    <s v="LDPE/LLDPE Bags/Liner"/>
    <n v="101"/>
    <n v="17862.86"/>
    <s v="LDPE/LLDPE Bags/Liner"/>
    <n v="21060.32"/>
    <n v="9"/>
    <n v="1607.66"/>
    <n v="9"/>
    <n v="1607.66"/>
    <n v="0"/>
    <n v="0"/>
    <n v="0"/>
    <n v="3215.32"/>
    <n v="0"/>
    <s v="24AAACO3087C1ZT"/>
    <s v="Kgs"/>
    <n v="39200000"/>
    <s v="Rs."/>
    <n v="1"/>
    <n v="101"/>
    <s v="India"/>
  </r>
  <r>
    <d v="2026-02-08T00:00:00"/>
    <s v="Plastene India ltd - Unit 1-Purchase"/>
    <s v="R.M.P."/>
    <s v="RM 386"/>
    <s v="Purchase Withinstate - Raw Material"/>
    <s v="PIL1/D/1252"/>
    <d v="2026-02-08T00:00:00"/>
    <s v="SF"/>
    <s v="Liners"/>
    <x v="5"/>
    <s v="LDPE/LLDPE Bags"/>
    <s v="PE Labels (Kgs)"/>
    <n v="11.8"/>
    <n v="3374.8"/>
    <s v="PE Labels (Kgs)"/>
    <n v="668483.66"/>
    <n v="9"/>
    <n v="303.73"/>
    <n v="9"/>
    <n v="303.73"/>
    <n v="0"/>
    <n v="0"/>
    <n v="0"/>
    <n v="607.46"/>
    <n v="0"/>
    <s v="24AAACO3087C1ZT"/>
    <s v="Kgs"/>
    <n v="3920101"/>
    <s v="Rs."/>
    <n v="1"/>
    <n v="11.8"/>
    <s v="India"/>
  </r>
  <r>
    <d v="2026-02-08T00:00:00"/>
    <s v="Plastene India ltd - Unit 1-Purchase"/>
    <s v="R.M.P."/>
    <s v="RM 386"/>
    <s v="Purchase Withinstate - Raw Material"/>
    <s v="PIL1/D/1252"/>
    <d v="2026-02-08T00:00:00"/>
    <s v="SF"/>
    <s v="PP/PE Fabric"/>
    <x v="0"/>
    <s v="PP WOVEN FABRIC"/>
    <s v="PP UL Fabric With UV"/>
    <n v="755"/>
    <n v="108780.4"/>
    <s v="PP UL Fabric With UV"/>
    <n v="0"/>
    <n v="9"/>
    <n v="9790.24"/>
    <n v="9"/>
    <n v="9790.24"/>
    <n v="0"/>
    <n v="0"/>
    <n v="0"/>
    <n v="19580.48"/>
    <n v="0"/>
    <s v="24AAACO3087C1ZT"/>
    <s v="Kgs"/>
    <n v="39269080"/>
    <s v="Rs."/>
    <n v="1"/>
    <n v="755"/>
    <s v="India"/>
  </r>
  <r>
    <d v="2026-02-08T00:00:00"/>
    <s v="Plastene India ltd - Unit 1-Purchase"/>
    <s v="R.M.P."/>
    <s v="RM 386"/>
    <s v="Purchase Withinstate - Raw Material"/>
    <s v="PIL1/D/1252"/>
    <d v="2026-02-08T00:00:00"/>
    <s v="SF"/>
    <s v="PP/PE Fabric"/>
    <x v="1"/>
    <s v="PP Laminated Fabric"/>
    <s v="PP Lam Fabric With UV"/>
    <n v="2131"/>
    <n v="311296.48"/>
    <s v="PP Lam Fabric With UV"/>
    <n v="0"/>
    <n v="9"/>
    <n v="28016.68"/>
    <n v="9"/>
    <n v="28016.68"/>
    <n v="0"/>
    <n v="0"/>
    <n v="0"/>
    <n v="56033.36"/>
    <n v="0"/>
    <s v="24AAACO3087C1ZT"/>
    <s v="Kgs"/>
    <n v="63053300"/>
    <s v="Rs."/>
    <n v="1"/>
    <n v="2131"/>
    <s v="India"/>
  </r>
  <r>
    <d v="2026-02-08T00:00:00"/>
    <s v="Plastene India ltd - Unit 1-Purchase"/>
    <s v="R.M.P."/>
    <s v="RM 386"/>
    <s v="Purchase Withinstate - Raw Material"/>
    <s v="PIL1/D/1252"/>
    <d v="2026-02-08T00:00:00"/>
    <s v="SF"/>
    <s v="PP/PE Fabric"/>
    <x v="1"/>
    <s v="PP Laminated Fabric"/>
    <s v="PP Lam Fabric With UV"/>
    <n v="302"/>
    <n v="43210.16"/>
    <s v="PP Lam Fabric With UV"/>
    <n v="0"/>
    <n v="9"/>
    <n v="3888.91"/>
    <n v="9"/>
    <n v="3888.91"/>
    <n v="0"/>
    <n v="0"/>
    <n v="0"/>
    <n v="7777.82"/>
    <n v="0"/>
    <s v="24AAACO3087C1ZT"/>
    <s v="Kgs"/>
    <n v="63053300"/>
    <s v="Rs."/>
    <n v="1"/>
    <n v="302"/>
    <s v="India"/>
  </r>
  <r>
    <d v="2026-02-08T00:00:00"/>
    <s v="Plastene India ltd - Unit 1-Purchase"/>
    <s v="R.M.P."/>
    <s v="RM 386"/>
    <s v="Purchase Withinstate - Raw Material"/>
    <s v="PIL1/D/1252"/>
    <d v="2026-02-08T00:00:00"/>
    <s v="SF"/>
    <s v="Webbing"/>
    <x v="2"/>
    <s v="PP Webbing"/>
    <s v="Webbing"/>
    <n v="446.1"/>
    <n v="64274.09"/>
    <s v="Webbing"/>
    <n v="0"/>
    <n v="9"/>
    <n v="5784.67"/>
    <n v="9"/>
    <n v="5784.67"/>
    <n v="0"/>
    <n v="0"/>
    <n v="0"/>
    <n v="11569.34"/>
    <n v="0"/>
    <s v="24AAACO3087C1ZT"/>
    <s v="Kgs"/>
    <n v="3926908"/>
    <s v="Rs."/>
    <n v="1"/>
    <n v="446.1"/>
    <s v="India"/>
  </r>
  <r>
    <d v="2026-02-08T00:00:00"/>
    <s v="Plastene India ltd - Unit 1-Purchase"/>
    <s v="R.M.P."/>
    <s v="RM 386"/>
    <s v="Purchase Withinstate - Raw Material"/>
    <s v="PIL1/D/1252"/>
    <d v="2026-02-08T00:00:00"/>
    <s v="FG"/>
    <s v="FIBC WIP"/>
    <x v="6"/>
    <s v="PP Laminated Fabric"/>
    <s v="FIBC WIP"/>
    <n v="252"/>
    <n v="36056.160000000003"/>
    <s v="FIBC WIP"/>
    <n v="0"/>
    <n v="9"/>
    <n v="3245.05"/>
    <n v="9"/>
    <n v="3245.05"/>
    <n v="0"/>
    <n v="0"/>
    <n v="0"/>
    <n v="6490.1"/>
    <n v="0"/>
    <s v="24AAACO3087C1ZT"/>
    <s v="Kgs"/>
    <n v="39269080"/>
    <s v="Rs."/>
    <n v="1"/>
    <n v="252"/>
    <s v="India"/>
  </r>
  <r>
    <d v="2026-02-08T00:00:00"/>
    <s v="Plastene India ltd - Unit 2-Purchase"/>
    <s v="R.M.P."/>
    <s v="RM 383"/>
    <s v="Purchase Withinstate - Raw Material"/>
    <s v="PIL2/D/432"/>
    <d v="2026-01-08T00:00:00"/>
    <s v="SF"/>
    <s v="PP/PE Fabric"/>
    <x v="0"/>
    <s v="PP WOVEN FABRIC"/>
    <s v="PP UL Fabric With UV"/>
    <n v="4445"/>
    <n v="542290"/>
    <s v="PP UL Fabric With UV"/>
    <n v="639359.91"/>
    <n v="9"/>
    <n v="48806.1"/>
    <n v="9"/>
    <n v="48806.1"/>
    <n v="0"/>
    <n v="0"/>
    <n v="0"/>
    <n v="97612.2"/>
    <n v="0"/>
    <s v="24AAACO3087C1ZT"/>
    <s v="Kgs"/>
    <n v="39269080"/>
    <s v="Rs."/>
    <n v="1"/>
    <n v="4445"/>
    <s v="India"/>
  </r>
  <r>
    <d v="2026-03-08T00:00:00"/>
    <s v="HCP Plastene Bulkpack Limited - Purchase"/>
    <s v="R.M.P."/>
    <s v="RM 388"/>
    <s v="Purchase Withinstate - Raw Material"/>
    <s v="HPBL/D/449"/>
    <d v="2026-02-08T00:00:00"/>
    <s v="FG"/>
    <s v="Small Bags"/>
    <x v="7"/>
    <s v="FIBC"/>
    <s v="PP UL Bags With UV"/>
    <n v="2458.1999999999998"/>
    <n v="567008.41"/>
    <s v="PP UL Bags With UV"/>
    <n v="668502.92000000004"/>
    <n v="9"/>
    <n v="51030.76"/>
    <n v="9"/>
    <n v="51030.76"/>
    <n v="0"/>
    <n v="0"/>
    <n v="0"/>
    <n v="102061.52"/>
    <n v="0"/>
    <s v="24AABCG1282C2Z6"/>
    <s v="Kgs"/>
    <n v="39232990"/>
    <s v="Rs."/>
    <n v="1"/>
    <n v="2458.1999999999998"/>
    <s v="India"/>
  </r>
  <r>
    <d v="2026-03-08T00:00:00"/>
    <s v="K.P. Woven Pvt Ltd-Purchase"/>
    <s v="R.M.P."/>
    <s v="RM 390"/>
    <s v="Purchase Withinstate - Raw Material"/>
    <s v="KPV/D/547"/>
    <d v="2026-03-08T00:00:00"/>
    <s v="FG"/>
    <s v="FIBC Bags"/>
    <x v="8"/>
    <s v="FIBC"/>
    <s v="FIBC Bags With UV With Liner"/>
    <n v="3557"/>
    <n v="1164277.24"/>
    <s v="FIBC Bags With UV With Liner"/>
    <n v="1372682.86"/>
    <n v="9"/>
    <n v="104784.95"/>
    <n v="9"/>
    <n v="104784.95"/>
    <n v="0"/>
    <n v="0"/>
    <n v="0"/>
    <n v="209569.9"/>
    <n v="0"/>
    <s v="24AAECK6307M1ZF"/>
    <s v="Kgs"/>
    <n v="63053200"/>
    <s v="Rs."/>
    <n v="1"/>
    <n v="3557"/>
    <s v="India"/>
  </r>
  <r>
    <d v="2026-03-08T00:00:00"/>
    <s v="Plastene India ltd - Unit 1-Purchase"/>
    <s v="R.M.P."/>
    <s v="RM 389"/>
    <s v="Purchase Withinstate - Raw Material"/>
    <s v="PIL1/D/1259"/>
    <d v="2026-03-08T00:00:00"/>
    <s v="SF"/>
    <s v="Liners"/>
    <x v="5"/>
    <s v="LDPE/LLDPE Bags"/>
    <s v="LDPE/LLDPE Bags/Liner"/>
    <n v="1690.3"/>
    <n v="339513.66"/>
    <s v="LDPE/LLDPE Bags/Liner"/>
    <n v="519988.19"/>
    <n v="9"/>
    <n v="30556.23"/>
    <n v="9"/>
    <n v="30556.23"/>
    <n v="0"/>
    <n v="0"/>
    <n v="0"/>
    <n v="61112.46"/>
    <n v="0"/>
    <s v="24AAACO3087C1ZT"/>
    <s v="Kgs"/>
    <n v="39200000"/>
    <s v="Rs."/>
    <n v="1"/>
    <n v="1690.3"/>
    <s v="India"/>
  </r>
  <r>
    <d v="2026-03-08T00:00:00"/>
    <s v="Plastene India ltd - Unit 1-Purchase"/>
    <s v="R.M.P."/>
    <s v="RM 389"/>
    <s v="Purchase Withinstate - Raw Material"/>
    <s v="PIL1/D/1259"/>
    <d v="2026-03-08T00:00:00"/>
    <s v="SF"/>
    <s v="PP/PE Fabric"/>
    <x v="1"/>
    <s v="PP Laminated Fabric"/>
    <s v="PP Lam Fabric With UV"/>
    <n v="178"/>
    <n v="25468.240000000002"/>
    <s v="PP Lam Fabric With UV"/>
    <n v="0"/>
    <n v="9"/>
    <n v="2292.14"/>
    <n v="9"/>
    <n v="2292.14"/>
    <n v="0"/>
    <n v="0"/>
    <n v="0"/>
    <n v="4584.28"/>
    <n v="0"/>
    <s v="24AAACO3087C1ZT"/>
    <s v="Kgs"/>
    <n v="63053300"/>
    <s v="Rs."/>
    <n v="1"/>
    <n v="178"/>
    <s v="India"/>
  </r>
  <r>
    <d v="2026-03-08T00:00:00"/>
    <s v="Plastene India ltd - Unit 1-Purchase"/>
    <s v="R.M.P."/>
    <s v="RM 389"/>
    <s v="Purchase Withinstate - Raw Material"/>
    <s v="PIL1/D/1259"/>
    <d v="2026-03-08T00:00:00"/>
    <s v="SF"/>
    <s v="Webbing"/>
    <x v="2"/>
    <s v="PP Webbing"/>
    <s v="Webbing"/>
    <n v="527.9"/>
    <n v="76059.83"/>
    <s v="Webbing"/>
    <n v="0"/>
    <n v="9"/>
    <n v="6845.38"/>
    <n v="9"/>
    <n v="6845.38"/>
    <n v="0"/>
    <n v="0"/>
    <n v="0"/>
    <n v="13690.76"/>
    <n v="0"/>
    <s v="24AAACO3087C1ZT"/>
    <s v="Kgs"/>
    <n v="3926908"/>
    <s v="Rs."/>
    <n v="1"/>
    <n v="527.9"/>
    <s v="India"/>
  </r>
  <r>
    <d v="2026-04-08T00:00:00"/>
    <s v="K.P. Woven Pvt Ltd-Purchase"/>
    <s v="R.M.P."/>
    <s v="RM 391"/>
    <s v="Purchase Withinstate - Raw Material"/>
    <s v="KPV/D/550"/>
    <d v="2026-03-08T00:00:00"/>
    <s v="FG"/>
    <s v="FIBC Bags"/>
    <x v="8"/>
    <s v="FIBC"/>
    <s v="FIBC Bags With UV With Liner"/>
    <n v="4168"/>
    <n v="1118482.8"/>
    <s v="FIBC Bags With UV With Liner"/>
    <n v="1318691.22"/>
    <n v="9"/>
    <n v="100663.45"/>
    <n v="9"/>
    <n v="100663.45"/>
    <n v="0"/>
    <n v="0"/>
    <n v="0"/>
    <n v="201326.9"/>
    <n v="0"/>
    <s v="24AAECK6307M1ZF"/>
    <s v="Kgs"/>
    <n v="63053200"/>
    <s v="Rs."/>
    <n v="1"/>
    <n v="4168"/>
    <s v="India"/>
  </r>
  <r>
    <d v="2026-04-08T00:00:00"/>
    <s v="Plastene India ltd - Unit 1-Purchase"/>
    <s v="R.M.P."/>
    <s v="RM 392"/>
    <s v="Purchase Withinstate - Raw Material"/>
    <s v="PIL1/D/1268"/>
    <d v="2026-04-08T00:00:00"/>
    <s v="SF"/>
    <s v="PP/PE Fabric"/>
    <x v="0"/>
    <s v="PP WOVEN FABRIC"/>
    <s v="PP UL Fabric With UV"/>
    <n v="388"/>
    <n v="54739.040000000001"/>
    <s v="PP UL Fabric With UV"/>
    <n v="562740.80000000005"/>
    <n v="9"/>
    <n v="4926.51"/>
    <n v="9"/>
    <n v="4926.51"/>
    <n v="0"/>
    <n v="0"/>
    <n v="0"/>
    <n v="9853.02"/>
    <n v="0"/>
    <s v="24AAACO3087C1ZT"/>
    <s v="Kgs"/>
    <n v="39269080"/>
    <s v="Rs."/>
    <n v="1"/>
    <n v="388"/>
    <s v="India"/>
  </r>
  <r>
    <d v="2026-04-08T00:00:00"/>
    <s v="Plastene India ltd - Unit 1-Purchase"/>
    <s v="R.M.P."/>
    <s v="RM 392"/>
    <s v="Purchase Withinstate - Raw Material"/>
    <s v="PIL1/D/1268"/>
    <d v="2026-04-08T00:00:00"/>
    <s v="SF"/>
    <s v="Webbing"/>
    <x v="2"/>
    <s v="PP Webbing"/>
    <s v="Webbing"/>
    <n v="392.9"/>
    <n v="55430.33"/>
    <s v="Webbing"/>
    <n v="0"/>
    <n v="9"/>
    <n v="4988.7299999999996"/>
    <n v="9"/>
    <n v="4988.7299999999996"/>
    <n v="0"/>
    <n v="0"/>
    <n v="0"/>
    <n v="9977.4599999999991"/>
    <n v="0"/>
    <s v="24AAACO3087C1ZT"/>
    <s v="Kgs"/>
    <n v="3926908"/>
    <s v="Rs."/>
    <n v="1"/>
    <n v="392.9"/>
    <s v="India"/>
  </r>
  <r>
    <d v="2026-04-08T00:00:00"/>
    <s v="Plastene India ltd - Unit 1-Purchase"/>
    <s v="R.M.P."/>
    <s v="RM 392"/>
    <s v="Purchase Withinstate - Raw Material"/>
    <s v="PIL1/D/1268"/>
    <d v="2026-04-08T00:00:00"/>
    <s v="SF"/>
    <s v="Webbing"/>
    <x v="2"/>
    <s v="PP Webbing"/>
    <s v="Webbing"/>
    <n v="782.8"/>
    <n v="112785.82"/>
    <s v="Webbing"/>
    <n v="0"/>
    <n v="9"/>
    <n v="10150.719999999999"/>
    <n v="9"/>
    <n v="10150.719999999999"/>
    <n v="0"/>
    <n v="0"/>
    <n v="0"/>
    <n v="20301.439999999999"/>
    <n v="0"/>
    <s v="24AAACO3087C1ZT"/>
    <s v="Kgs"/>
    <n v="3926908"/>
    <s v="Rs."/>
    <n v="1"/>
    <n v="782.8"/>
    <s v="India"/>
  </r>
  <r>
    <d v="2026-04-08T00:00:00"/>
    <s v="Plastene India ltd - Unit 1-Purchase"/>
    <s v="R.M.P."/>
    <s v="RM 392"/>
    <s v="Purchase Withinstate - Raw Material"/>
    <s v="PIL1/D/1268"/>
    <d v="2026-04-08T00:00:00"/>
    <s v="SF"/>
    <s v="Yarn All"/>
    <x v="9"/>
    <s v="Yarn"/>
    <s v="PP MF Yarn Twisted 1000 UV NW"/>
    <n v="921.97"/>
    <n v="139291.22"/>
    <s v="PP MF Yarn Twisted 1000 UV NW"/>
    <n v="0"/>
    <n v="2.5"/>
    <n v="3482.28"/>
    <n v="2.5"/>
    <n v="3482.28"/>
    <n v="0"/>
    <n v="0"/>
    <n v="0"/>
    <n v="6964.56"/>
    <n v="0"/>
    <s v="24AAACO3087C1ZT"/>
    <s v="Kgs"/>
    <n v="54026930"/>
    <s v="Rs."/>
    <n v="1"/>
    <n v="921.97"/>
    <s v="India"/>
  </r>
  <r>
    <d v="2026-04-08T00:00:00"/>
    <s v="Plastene India ltd - Unit 1-Purchase"/>
    <s v="R.M.P."/>
    <s v="RM 392"/>
    <s v="Purchase Withinstate - Raw Material"/>
    <s v="PIL1/D/1268"/>
    <d v="2026-04-08T00:00:00"/>
    <s v="SF"/>
    <s v="Yarn All"/>
    <x v="9"/>
    <s v="Yarn"/>
    <s v="PP MF Yarn Twisted 3000 Denier UV NW"/>
    <n v="970.2"/>
    <n v="146577.82999999999"/>
    <s v="PP MF Yarn Twisted 3000 Denier UV NW"/>
    <n v="0"/>
    <n v="2.5"/>
    <n v="3664.45"/>
    <n v="2.5"/>
    <n v="3664.45"/>
    <n v="0"/>
    <n v="0"/>
    <n v="0"/>
    <n v="7328.9"/>
    <n v="0"/>
    <s v="24AAACO3087C1ZT"/>
    <s v="Kgs"/>
    <n v="540263"/>
    <s v="Rs."/>
    <n v="1"/>
    <n v="970.2"/>
    <s v="India"/>
  </r>
  <r>
    <d v="2026-04-08T00:00:00"/>
    <s v="Plastene India ltd - Unit 2-Purchase"/>
    <s v="R.M.P."/>
    <s v="RM 393"/>
    <s v="Purchase Withinstate - Raw Material"/>
    <s v="PIL2/D/441"/>
    <d v="2026-03-08T00:00:00"/>
    <s v="RM"/>
    <s v="Granules"/>
    <x v="10"/>
    <s v="Master Batch"/>
    <s v="UV PIL NFG 20LD"/>
    <n v="3000"/>
    <n v="546000"/>
    <s v="UV PIL NFG 20LD"/>
    <n v="643734"/>
    <n v="9"/>
    <n v="49140"/>
    <n v="9"/>
    <n v="49140"/>
    <n v="0"/>
    <n v="0"/>
    <n v="0"/>
    <n v="98280"/>
    <n v="0"/>
    <s v="24AAACO3087C1ZT"/>
    <s v="Kgs"/>
    <n v="38123990"/>
    <s v="Rs."/>
    <n v="1"/>
    <n v="3000"/>
    <s v="India"/>
  </r>
  <r>
    <d v="2026-04-08T00:00:00"/>
    <s v="Plastene India ltd - Unit 2-Purchase"/>
    <s v="R.M.P."/>
    <s v="RM 394"/>
    <s v="Purchase Withinstate - Raw Material"/>
    <s v="PIL2/D/442"/>
    <d v="2026-03-08T00:00:00"/>
    <s v="RM"/>
    <s v="Granules"/>
    <x v="10"/>
    <s v="Master Batch"/>
    <s v="UV PIL NFG 20LD"/>
    <n v="4000"/>
    <n v="728000"/>
    <s v="UV PIL NFG 20LD"/>
    <n v="858312"/>
    <n v="9"/>
    <n v="65520"/>
    <n v="9"/>
    <n v="65520"/>
    <n v="0"/>
    <n v="0"/>
    <n v="0"/>
    <n v="131040"/>
    <n v="0"/>
    <s v="24AAACO3087C1ZT"/>
    <s v="Kgs"/>
    <n v="38123990"/>
    <s v="Rs."/>
    <n v="1"/>
    <n v="4000"/>
    <s v="India"/>
  </r>
  <r>
    <d v="2026-05-08T00:00:00"/>
    <s v="Hcp Plastene Bulkpack Ltd (Unit-Iv) - Purchase"/>
    <s v="R.M.P."/>
    <s v="RM 396"/>
    <s v="Purchase Withinstate - Raw Material"/>
    <s v="HPBL4/D/199"/>
    <d v="2026-05-08T00:00:00"/>
    <s v="FG"/>
    <s v="FIBC WIP"/>
    <x v="6"/>
    <s v="PP Webbing"/>
    <s v="FIBC WIP"/>
    <n v="370"/>
    <n v="54508.4"/>
    <s v="FIBC WIP"/>
    <n v="64265.41"/>
    <n v="9"/>
    <n v="4905.76"/>
    <n v="9"/>
    <n v="4905.76"/>
    <n v="0"/>
    <n v="0"/>
    <n v="0"/>
    <n v="9811.52"/>
    <n v="0"/>
    <s v="24AABCG1282C2Z6"/>
    <s v="Kgs"/>
    <n v="39269080"/>
    <s v="Rs."/>
    <n v="1"/>
    <n v="370"/>
    <s v="India"/>
  </r>
  <r>
    <d v="2026-05-08T00:00:00"/>
    <s v="Plastene India ltd - Unit 1-Purchase"/>
    <s v="R.M.P."/>
    <s v="RM 395"/>
    <s v="Purchase Withinstate - Raw Material"/>
    <s v="PIL1/D/1282"/>
    <d v="2026-05-08T00:00:00"/>
    <s v="SF"/>
    <s v="Tape Stock"/>
    <x v="11"/>
    <s v="PP TAPE"/>
    <s v="PP Tapes"/>
    <n v="1765.6"/>
    <n v="253045.79"/>
    <s v="PP Tapes"/>
    <n v="662365"/>
    <n v="9"/>
    <n v="22774.12"/>
    <n v="9"/>
    <n v="22774.12"/>
    <n v="0"/>
    <n v="0"/>
    <n v="0"/>
    <n v="45548.24"/>
    <n v="0"/>
    <s v="24AAACO3087C1ZT"/>
    <s v="Kgs"/>
    <n v="39199090"/>
    <s v="Rs."/>
    <n v="1"/>
    <n v="1765.6"/>
    <s v="India"/>
  </r>
  <r>
    <d v="2026-05-08T00:00:00"/>
    <s v="Plastene India ltd - Unit 1-Purchase"/>
    <s v="R.M.P."/>
    <s v="RM 395"/>
    <s v="Purchase Withinstate - Raw Material"/>
    <s v="PIL1/D/1282"/>
    <d v="2026-05-08T00:00:00"/>
    <s v="SF"/>
    <s v="Tape Stock"/>
    <x v="11"/>
    <s v="PP TAPE"/>
    <s v="PP Tapes"/>
    <n v="1131.3"/>
    <n v="158744.01999999999"/>
    <s v="PP Tapes"/>
    <n v="0"/>
    <n v="9"/>
    <n v="14286.96"/>
    <n v="9"/>
    <n v="14286.96"/>
    <n v="0"/>
    <n v="0"/>
    <n v="0"/>
    <n v="28573.919999999998"/>
    <n v="0"/>
    <s v="24AAACO3087C1ZT"/>
    <s v="Kgs"/>
    <n v="39199090"/>
    <s v="Rs."/>
    <n v="1"/>
    <n v="1131.3"/>
    <s v="India"/>
  </r>
  <r>
    <d v="2026-05-08T00:00:00"/>
    <s v="Plastene India ltd - Unit 1-Purchase"/>
    <s v="R.M.P."/>
    <s v="RM 395"/>
    <s v="Purchase Withinstate - Raw Material"/>
    <s v="PIL1/D/1282"/>
    <d v="2026-05-08T00:00:00"/>
    <s v="SF"/>
    <s v="Webbing"/>
    <x v="2"/>
    <s v="PP Webbing"/>
    <s v="Webbing"/>
    <n v="513.70000000000005"/>
    <n v="74137.179999999993"/>
    <s v="Webbing"/>
    <n v="0"/>
    <n v="9"/>
    <n v="6672.35"/>
    <n v="9"/>
    <n v="6672.35"/>
    <n v="0"/>
    <n v="0"/>
    <n v="0"/>
    <n v="13344.7"/>
    <n v="0"/>
    <s v="24AAACO3087C1ZT"/>
    <s v="Kgs"/>
    <n v="3926908"/>
    <s v="Rs."/>
    <n v="1"/>
    <n v="513.70000000000005"/>
    <s v="India"/>
  </r>
  <r>
    <d v="2026-05-08T00:00:00"/>
    <s v="Plastene India ltd - Unit 1-Purchase"/>
    <s v="R.M.P."/>
    <s v="RM 395"/>
    <s v="Purchase Withinstate - Raw Material"/>
    <s v="PIL1/D/1282"/>
    <d v="2026-05-08T00:00:00"/>
    <s v="SF"/>
    <s v="Webbing"/>
    <x v="2"/>
    <s v="PP Webbing"/>
    <s v="Webbing"/>
    <n v="370.2"/>
    <n v="54537.86"/>
    <s v="Webbing"/>
    <n v="0"/>
    <n v="9"/>
    <n v="4908.41"/>
    <n v="9"/>
    <n v="4908.41"/>
    <n v="0"/>
    <n v="0"/>
    <n v="0"/>
    <n v="9816.82"/>
    <n v="0"/>
    <s v="24AAACO3087C1ZT"/>
    <s v="Kgs"/>
    <n v="3926908"/>
    <s v="Rs."/>
    <n v="1"/>
    <n v="370.2"/>
    <s v="India"/>
  </r>
  <r>
    <d v="2026-05-08T00:00:00"/>
    <s v="Plastene India ltd - Unit 1-Purchase"/>
    <s v="R.M.P."/>
    <s v="RM 395"/>
    <s v="Purchase Withinstate - Raw Material"/>
    <s v="PIL1/D/1282"/>
    <d v="2026-05-08T00:00:00"/>
    <s v="SF"/>
    <s v="Yarn All"/>
    <x v="9"/>
    <s v="Yarn"/>
    <s v="PP Braided Rope MW 6 to 8 GPM"/>
    <n v="151"/>
    <n v="23981.82"/>
    <s v="PP Braided Rope MW 6 to 8 GPM"/>
    <n v="0"/>
    <n v="2.5"/>
    <n v="599.54999999999995"/>
    <n v="2.5"/>
    <n v="599.54999999999995"/>
    <n v="0"/>
    <n v="0"/>
    <n v="0"/>
    <n v="1199.0999999999999"/>
    <n v="0"/>
    <s v="24AAACO3087C1ZT"/>
    <s v="Kgs"/>
    <n v="540269"/>
    <s v="Rs."/>
    <n v="1"/>
    <n v="151"/>
    <s v="India"/>
  </r>
  <r>
    <d v="2026-06-08T00:00:00"/>
    <s v="Brahmani Labels"/>
    <s v="General Purchase"/>
    <s v="GNCN 137"/>
    <s v="Purchase Withinstate- Stores, Spares &amp; Consumable"/>
    <n v="410"/>
    <s v="30-07-2026"/>
    <s v="SF"/>
    <s v="Liners"/>
    <x v="5"/>
    <s v="LDPE/LLDPE Bags"/>
    <s v="PE Labels (Kgs)"/>
    <n v="23.16"/>
    <n v="7830"/>
    <s v="PE Labels (Kgs)"/>
    <n v="9239"/>
    <n v="9"/>
    <n v="704.7"/>
    <n v="9"/>
    <n v="704.7"/>
    <n v="0"/>
    <n v="0"/>
    <n v="0"/>
    <n v="1409.4"/>
    <n v="0"/>
    <s v="24CIAPP4681A1ZK"/>
    <s v="Kgs"/>
    <n v="3920101"/>
    <s v="Rs."/>
    <n v="1"/>
    <n v="23.16"/>
    <m/>
  </r>
  <r>
    <d v="2026-06-08T00:00:00"/>
    <s v="Brahmani Labels"/>
    <s v="General Purchase"/>
    <s v="GNCN 138"/>
    <s v="Purchase Withinstate- Stores, Spares &amp; Consumable"/>
    <n v="413"/>
    <d v="2026-01-08T00:00:00"/>
    <s v="SF"/>
    <s v="Liners"/>
    <x v="5"/>
    <s v="LDPE/LLDPE Bags"/>
    <s v="PE Labels (Kgs)"/>
    <n v="39.520000000000003"/>
    <n v="11607.25"/>
    <s v="PE Labels (Kgs)"/>
    <n v="35254.97"/>
    <n v="9"/>
    <n v="1044.6500000000001"/>
    <n v="9"/>
    <n v="1044.6500000000001"/>
    <n v="0"/>
    <n v="0"/>
    <n v="0"/>
    <n v="2089.3000000000002"/>
    <n v="0"/>
    <s v="24CIAPP4681A1ZK"/>
    <s v="Kgs"/>
    <n v="3920101"/>
    <s v="Rs."/>
    <n v="1"/>
    <n v="39.520000000000003"/>
    <m/>
  </r>
  <r>
    <d v="2026-06-08T00:00:00"/>
    <s v="Brahmani Labels"/>
    <s v="General Purchase"/>
    <s v="GNCN 138"/>
    <s v="Purchase Withinstate- Stores, Spares &amp; Consumable"/>
    <n v="413"/>
    <d v="2026-01-08T00:00:00"/>
    <s v="SF"/>
    <s v="Liners"/>
    <x v="5"/>
    <s v="LDPE/LLDPE Bags"/>
    <s v="PE Labels (Kgs)"/>
    <n v="59.79"/>
    <n v="18270"/>
    <s v="PE Labels (Kgs)"/>
    <n v="0"/>
    <n v="9"/>
    <n v="1644.3"/>
    <n v="9"/>
    <n v="1644.3"/>
    <n v="0"/>
    <n v="0"/>
    <n v="0"/>
    <n v="3288.6"/>
    <n v="0"/>
    <s v="24CIAPP4681A1ZK"/>
    <s v="Kgs"/>
    <n v="3920101"/>
    <s v="Rs."/>
    <n v="1"/>
    <n v="59.79"/>
    <m/>
  </r>
  <r>
    <d v="2026-06-08T00:00:00"/>
    <s v="HCP Plastene Bulkpack Limited - Purchase"/>
    <s v="R.M.P."/>
    <s v="RM 400"/>
    <s v="Purchase Withinstate - Raw Material"/>
    <s v="HPBL/D/456"/>
    <d v="2026-05-08T00:00:00"/>
    <s v="SF"/>
    <s v="PP/PE Fabric"/>
    <x v="0"/>
    <s v="PP WOVEN FABRIC"/>
    <s v="PP UL Fabric With UV"/>
    <n v="634"/>
    <n v="101116.66"/>
    <s v="PP UL Fabric With UV"/>
    <n v="783053.69"/>
    <n v="9"/>
    <n v="9100.5"/>
    <n v="9"/>
    <n v="9100.5"/>
    <n v="0"/>
    <n v="0"/>
    <n v="0"/>
    <n v="18201"/>
    <n v="0"/>
    <s v="24AABCG1282C2Z6"/>
    <s v="Kgs"/>
    <n v="39269080"/>
    <s v="Rs."/>
    <n v="1"/>
    <n v="634"/>
    <s v="India"/>
  </r>
  <r>
    <d v="2026-06-08T00:00:00"/>
    <s v="HCP Plastene Bulkpack Limited - Purchase"/>
    <s v="R.M.P."/>
    <s v="RM 400"/>
    <s v="Purchase Withinstate - Raw Material"/>
    <s v="HPBL/D/456"/>
    <d v="2026-05-08T00:00:00"/>
    <s v="SF"/>
    <s v="PP/PE Fabric"/>
    <x v="0"/>
    <s v="PP WOVEN FABRIC"/>
    <s v="PP UL Fabric With UV"/>
    <n v="3598"/>
    <n v="563051.02"/>
    <s v="PP UL Fabric With UV"/>
    <n v="0"/>
    <n v="9"/>
    <n v="50674.59"/>
    <n v="9"/>
    <n v="50674.59"/>
    <n v="0"/>
    <n v="0"/>
    <n v="0"/>
    <n v="101349.18"/>
    <n v="0"/>
    <s v="24AABCG1282C2Z6"/>
    <s v="Kgs"/>
    <n v="39269080"/>
    <s v="Rs."/>
    <n v="1"/>
    <n v="3598"/>
    <s v="India"/>
  </r>
  <r>
    <d v="2026-06-08T00:00:00"/>
    <s v="K.P. Woven Pvt Ltd-Purchase"/>
    <s v="R.M.P."/>
    <s v="RM 399"/>
    <s v="Purchase Withinstate - Raw Material"/>
    <s v="KPV/D/561"/>
    <d v="2026-05-08T00:00:00"/>
    <s v="SF"/>
    <s v="Yarn All"/>
    <x v="9"/>
    <s v="PP TAPE"/>
    <s v="PP Fibrillated Tape Twisted 3200 Blue"/>
    <n v="645"/>
    <n v="102813"/>
    <s v="PP Fibrillated Tape Twisted 3200 Blue"/>
    <n v="348204"/>
    <n v="2.5"/>
    <n v="2570.3200000000002"/>
    <n v="2.5"/>
    <n v="2570.3200000000002"/>
    <n v="0"/>
    <n v="0"/>
    <n v="0"/>
    <n v="5140.6400000000003"/>
    <n v="0"/>
    <s v="24AAECK6307M1ZF"/>
    <s v="Kgs"/>
    <n v="54026930"/>
    <s v="Rs."/>
    <n v="1"/>
    <n v="645"/>
    <s v="India"/>
  </r>
  <r>
    <d v="2026-06-08T00:00:00"/>
    <s v="K.P. Woven Pvt Ltd-Purchase"/>
    <s v="R.M.P."/>
    <s v="RM 399"/>
    <s v="Purchase Withinstate - Raw Material"/>
    <s v="KPV/D/561"/>
    <d v="2026-05-08T00:00:00"/>
    <s v="SF"/>
    <s v="Yarn All"/>
    <x v="9"/>
    <s v="PP TAPE"/>
    <s v="PP Fibrillated Tape Twisted 3200 MW"/>
    <n v="1465"/>
    <n v="229126"/>
    <s v="PP Fibrillated Tape Twisted 3200 MW"/>
    <n v="0"/>
    <n v="2.5"/>
    <n v="5728.15"/>
    <n v="2.5"/>
    <n v="5728.15"/>
    <n v="0"/>
    <n v="0"/>
    <n v="0"/>
    <n v="11456.3"/>
    <n v="0"/>
    <s v="24AAECK6307M1ZF"/>
    <s v="Kgs"/>
    <n v="54026930"/>
    <s v="Rs."/>
    <n v="1"/>
    <n v="1465"/>
    <s v="India"/>
  </r>
  <r>
    <d v="2026-06-08T00:00:00"/>
    <s v="Plastene India ltd - Unit 1-Purchase"/>
    <s v="R.M.P."/>
    <s v="RM 397"/>
    <s v="Purchase Withinstate - Raw Material"/>
    <s v="PIL1/D/1289"/>
    <d v="2026-05-08T00:00:00"/>
    <s v="SF"/>
    <s v="PP/PE Fabric"/>
    <x v="0"/>
    <s v="PP WOVEN FABRIC"/>
    <s v="PP UL Fabric With UV"/>
    <n v="2687"/>
    <n v="382413.84"/>
    <s v="PP UL Fabric With UV"/>
    <n v="450865.93"/>
    <n v="9"/>
    <n v="34417.25"/>
    <n v="9"/>
    <n v="34417.25"/>
    <n v="0"/>
    <n v="0"/>
    <n v="0"/>
    <n v="68834.5"/>
    <n v="0"/>
    <s v="24AAACO3087C1ZT"/>
    <s v="Kgs"/>
    <n v="39269080"/>
    <s v="Rs."/>
    <n v="1"/>
    <n v="2687"/>
    <s v="India"/>
  </r>
  <r>
    <d v="2026-06-08T00:00:00"/>
    <s v="Plastene India ltd - Unit 2-Purchase"/>
    <s v="R.M.P."/>
    <s v="RM 398"/>
    <s v="Purchase Withinstate - Raw Material"/>
    <s v="PIL2/D/453"/>
    <d v="2026-05-08T00:00:00"/>
    <s v="FG"/>
    <s v="FIBC Bags"/>
    <x v="8"/>
    <s v="FIBC"/>
    <s v="FIBC Bags With UV Without Liner"/>
    <n v="5375"/>
    <n v="1178576.25"/>
    <s v="FIBC Bags With UV Without Liner"/>
    <n v="1389541.39"/>
    <n v="9"/>
    <n v="106071.86"/>
    <n v="9"/>
    <n v="106071.86"/>
    <n v="0"/>
    <n v="0"/>
    <n v="0"/>
    <n v="212143.72"/>
    <n v="0"/>
    <s v="24AAACO3087C1ZT"/>
    <s v="Kgs"/>
    <n v="63053200"/>
    <s v="Rs."/>
    <n v="1"/>
    <n v="5375"/>
    <s v="India"/>
  </r>
  <r>
    <d v="2026-06-08T00:00:00"/>
    <s v="Shree Kdk Enterprise"/>
    <s v="General Purchase"/>
    <s v="GNCN 139"/>
    <s v="Purchase Interstate- Stores, Spares &amp; Consumable"/>
    <s v="26-27/0269"/>
    <s v="30-07-2026"/>
    <s v="RM Consumables"/>
    <s v="FIBC Accessories"/>
    <x v="5"/>
    <s v="LDPE/LLDPE Bags"/>
    <s v="Tyvek Labels"/>
    <n v="12.8"/>
    <n v="21250"/>
    <s v="Tyvek Labels"/>
    <n v="49523"/>
    <n v="0"/>
    <n v="0"/>
    <n v="0"/>
    <n v="0"/>
    <n v="5"/>
    <n v="1062.5"/>
    <n v="0"/>
    <n v="1062.5"/>
    <n v="0"/>
    <s v="23AMAPK7277K1ZU"/>
    <s v="Sq Meter"/>
    <n v="58079010"/>
    <s v="Rs."/>
    <n v="1"/>
    <n v="12.8"/>
    <s v="India"/>
  </r>
  <r>
    <d v="2026-06-08T00:00:00"/>
    <s v="Shree Kdk Enterprise"/>
    <s v="General Purchase"/>
    <s v="GNCN 139"/>
    <s v="Purchase Interstate- Stores, Spares &amp; Consumable"/>
    <s v="26-27/0269"/>
    <s v="30-07-2026"/>
    <s v="RM Consumables"/>
    <s v="FIBC Accessories"/>
    <x v="5"/>
    <s v="LDPE/LLDPE Bags"/>
    <s v="Tyvek Labels"/>
    <n v="14.46"/>
    <n v="25915"/>
    <s v="Tyvek Labels"/>
    <n v="0"/>
    <n v="0"/>
    <n v="0"/>
    <n v="0"/>
    <n v="0"/>
    <n v="5"/>
    <n v="1295.75"/>
    <n v="0"/>
    <n v="1295.75"/>
    <n v="0"/>
    <s v="23AMAPK7277K1ZU"/>
    <s v="Sq Meter"/>
    <n v="58079010"/>
    <s v="Rs."/>
    <n v="1"/>
    <n v="14.46"/>
    <s v="India"/>
  </r>
  <r>
    <d v="2026-06-08T00:00:00"/>
    <s v="Shree Kdk Enterprise"/>
    <s v="General Purchase"/>
    <s v="GNCN 140"/>
    <s v="Purchase Interstate- Stores, Spares &amp; Consumable"/>
    <s v="26-27/0271"/>
    <s v="31-07-2026"/>
    <s v="RM Consumables"/>
    <s v="FIBC Accessories"/>
    <x v="5"/>
    <s v="LDPE/LLDPE Bags"/>
    <s v="Tyvek Labels"/>
    <n v="23.36"/>
    <n v="39100"/>
    <s v="Tyvek Labels"/>
    <n v="41790"/>
    <n v="0"/>
    <n v="0"/>
    <n v="0"/>
    <n v="0"/>
    <n v="5"/>
    <n v="1955"/>
    <n v="35"/>
    <n v="1990"/>
    <n v="0"/>
    <s v="23AMAPK7277K1ZU"/>
    <s v="Sq Meter"/>
    <n v="58079010"/>
    <s v="Rs."/>
    <n v="1"/>
    <n v="23.36"/>
    <s v="India"/>
  </r>
  <r>
    <d v="2026-07-08T00:00:00"/>
    <s v="Plastene India ltd - Unit 1-Purchase"/>
    <s v="R.M.P."/>
    <s v="RM 401"/>
    <s v="Purchase Withinstate - Raw Material"/>
    <s v="PIL1/D/1296"/>
    <d v="2026-06-08T00:00:00"/>
    <s v="SF"/>
    <s v="Yarn All"/>
    <x v="9"/>
    <s v="Yarn"/>
    <s v="PP Braided Rope MW 6 to 8 GPM"/>
    <n v="26"/>
    <n v="4129.32"/>
    <s v="PP Braided Rope MW 6 to 8 GPM"/>
    <n v="486933.6"/>
    <n v="2.5"/>
    <n v="103.23"/>
    <n v="2.5"/>
    <n v="103.23"/>
    <n v="0"/>
    <n v="0"/>
    <n v="0"/>
    <n v="206.46"/>
    <n v="0"/>
    <s v="24AAACO3087C1ZT"/>
    <s v="Kgs"/>
    <n v="540269"/>
    <s v="Rs."/>
    <n v="1"/>
    <n v="26"/>
    <s v="India"/>
  </r>
  <r>
    <d v="2026-07-08T00:00:00"/>
    <s v="Plastene India ltd - Unit 1-Purchase"/>
    <s v="R.M.P."/>
    <s v="RM 401"/>
    <s v="Purchase Withinstate - Raw Material"/>
    <s v="PIL1/D/1296"/>
    <d v="2026-06-08T00:00:00"/>
    <s v="SF"/>
    <s v="Webbing"/>
    <x v="2"/>
    <s v="PP Webbing"/>
    <s v="Webbing"/>
    <n v="222.3"/>
    <n v="32082.33"/>
    <s v="Webbing"/>
    <n v="0"/>
    <n v="9"/>
    <n v="2887.41"/>
    <n v="9"/>
    <n v="2887.41"/>
    <n v="0"/>
    <n v="0"/>
    <n v="0"/>
    <n v="5774.82"/>
    <n v="0"/>
    <s v="24AAACO3087C1ZT"/>
    <s v="Kgs"/>
    <n v="3926908"/>
    <s v="Rs."/>
    <n v="1"/>
    <n v="222.3"/>
    <s v="India"/>
  </r>
  <r>
    <d v="2026-07-08T00:00:00"/>
    <s v="Plastene India ltd - Unit 1-Purchase"/>
    <s v="R.M.P."/>
    <s v="RM 401"/>
    <s v="Purchase Withinstate - Raw Material"/>
    <s v="PIL1/D/1296"/>
    <d v="2026-06-08T00:00:00"/>
    <s v="SF"/>
    <s v="Webbing"/>
    <x v="2"/>
    <s v="PP Webbing"/>
    <s v="Webbing"/>
    <n v="529.6"/>
    <n v="78020.67"/>
    <s v="Webbing"/>
    <n v="0"/>
    <n v="9"/>
    <n v="7021.86"/>
    <n v="9"/>
    <n v="7021.86"/>
    <n v="0"/>
    <n v="0"/>
    <n v="0"/>
    <n v="14043.72"/>
    <n v="0"/>
    <s v="24AAACO3087C1ZT"/>
    <s v="Kgs"/>
    <n v="3926908"/>
    <s v="Rs."/>
    <n v="1"/>
    <n v="529.6"/>
    <s v="India"/>
  </r>
  <r>
    <d v="2026-07-08T00:00:00"/>
    <s v="Plastene India ltd - Unit 1-Purchase"/>
    <s v="R.M.P."/>
    <s v="RM 401"/>
    <s v="Purchase Withinstate - Raw Material"/>
    <s v="PIL1/D/1296"/>
    <d v="2026-06-08T00:00:00"/>
    <s v="SF"/>
    <s v="PP/PE Fabric"/>
    <x v="1"/>
    <s v="PP Laminated Fabric"/>
    <s v="PP Lam Fabric With UV"/>
    <n v="1619"/>
    <n v="241749.08"/>
    <s v="PP Lam Fabric With UV"/>
    <n v="0"/>
    <n v="9"/>
    <n v="21757.42"/>
    <n v="9"/>
    <n v="21757.42"/>
    <n v="0"/>
    <n v="0"/>
    <n v="0"/>
    <n v="43514.84"/>
    <n v="0"/>
    <s v="24AAACO3087C1ZT"/>
    <s v="Kgs"/>
    <n v="63053300"/>
    <s v="Rs."/>
    <n v="1"/>
    <n v="1619"/>
    <s v="India"/>
  </r>
  <r>
    <d v="2026-07-08T00:00:00"/>
    <s v="Plastene India ltd - Unit 1-Purchase"/>
    <s v="R.M.P."/>
    <s v="RM 401"/>
    <s v="Purchase Withinstate - Raw Material"/>
    <s v="PIL1/D/1296"/>
    <d v="2026-06-08T00:00:00"/>
    <s v="SF"/>
    <s v="Liners"/>
    <x v="5"/>
    <s v="LDPE/LLDPE Bags"/>
    <s v="LDPE/LLDPE Bags/Liner"/>
    <n v="325"/>
    <n v="57479.5"/>
    <s v="LDPE/LLDPE Bags/Liner"/>
    <n v="0"/>
    <n v="9"/>
    <n v="5173.16"/>
    <n v="9"/>
    <n v="5173.16"/>
    <n v="0"/>
    <n v="0"/>
    <n v="0"/>
    <n v="10346.32"/>
    <n v="0"/>
    <s v="24AAACO3087C1ZT"/>
    <s v="Kgs"/>
    <n v="39200000"/>
    <s v="Rs."/>
    <n v="1"/>
    <n v="325"/>
    <s v="India"/>
  </r>
  <r>
    <d v="2026-07-08T00:00:00"/>
    <s v="Plastene India ltd - Unit 1-Purchase"/>
    <s v="R.M.P."/>
    <s v="RM 402"/>
    <s v="Purchase Withinstate - Raw Material"/>
    <s v="PIL1/D/1304"/>
    <d v="2026-07-08T00:00:00"/>
    <s v="SF"/>
    <s v="Yarn All"/>
    <x v="9"/>
    <s v="Yarn"/>
    <s v="PP Braided Rope MW 6 to 8 GPM"/>
    <n v="32.6"/>
    <n v="5177.54"/>
    <s v="PP Braided Rope MW 6 to 8 GPM"/>
    <n v="1166024.45"/>
    <n v="2.5"/>
    <n v="129.44"/>
    <n v="2.5"/>
    <n v="129.44"/>
    <n v="0"/>
    <n v="0"/>
    <n v="0"/>
    <n v="258.88"/>
    <n v="0"/>
    <s v="24AAACO3087C1ZT"/>
    <s v="Kgs"/>
    <n v="540269"/>
    <s v="Rs."/>
    <n v="1"/>
    <n v="32.6"/>
    <s v="India"/>
  </r>
  <r>
    <d v="2026-07-08T00:00:00"/>
    <s v="Plastene India ltd - Unit 1-Purchase"/>
    <s v="R.M.P."/>
    <s v="RM 402"/>
    <s v="Purchase Withinstate - Raw Material"/>
    <s v="PIL1/D/1304"/>
    <d v="2026-07-08T00:00:00"/>
    <s v="SF"/>
    <s v="PP/PE Fabric"/>
    <x v="1"/>
    <s v="PP Laminated Fabric"/>
    <s v="PP Lam Fabric With UV"/>
    <n v="4875"/>
    <n v="727935"/>
    <s v="PP Lam Fabric With UV"/>
    <n v="0"/>
    <n v="9"/>
    <n v="65514.15"/>
    <n v="9"/>
    <n v="65514.15"/>
    <n v="0"/>
    <n v="0"/>
    <n v="0"/>
    <n v="131028.3"/>
    <n v="0"/>
    <s v="24AAACO3087C1ZT"/>
    <s v="Kgs"/>
    <n v="63053300"/>
    <s v="Rs."/>
    <n v="1"/>
    <n v="4875"/>
    <s v="India"/>
  </r>
  <r>
    <d v="2026-07-08T00:00:00"/>
    <s v="Plastene India ltd - Unit 1-Purchase"/>
    <s v="R.M.P."/>
    <s v="RM 402"/>
    <s v="Purchase Withinstate - Raw Material"/>
    <s v="PIL1/D/1304"/>
    <d v="2026-07-08T00:00:00"/>
    <s v="SF"/>
    <s v="Webbing"/>
    <x v="2"/>
    <s v="PP Webbing"/>
    <s v="Webbing"/>
    <n v="845.4"/>
    <n v="124544.32000000001"/>
    <s v="Webbing"/>
    <n v="0"/>
    <n v="9"/>
    <n v="11208.99"/>
    <n v="9"/>
    <n v="11208.99"/>
    <n v="0"/>
    <n v="0"/>
    <n v="0"/>
    <n v="22417.98"/>
    <n v="0"/>
    <s v="24AAACO3087C1ZT"/>
    <s v="Kgs"/>
    <n v="3926908"/>
    <s v="Rs."/>
    <n v="1"/>
    <n v="845.4"/>
    <s v="India"/>
  </r>
  <r>
    <d v="2026-07-08T00:00:00"/>
    <s v="Plastene India ltd - Unit 1-Purchase"/>
    <s v="R.M.P."/>
    <s v="RM 402"/>
    <s v="Purchase Withinstate - Raw Material"/>
    <s v="PIL1/D/1304"/>
    <d v="2026-07-08T00:00:00"/>
    <s v="SF"/>
    <s v="Webbing"/>
    <x v="2"/>
    <s v="PP Webbing"/>
    <s v="Webbing"/>
    <n v="914"/>
    <n v="131908.48000000001"/>
    <s v="Webbing"/>
    <n v="0"/>
    <n v="9"/>
    <n v="11871.76"/>
    <n v="9"/>
    <n v="11871.76"/>
    <n v="0"/>
    <n v="0"/>
    <n v="0"/>
    <n v="23743.52"/>
    <n v="0"/>
    <s v="24AAACO3087C1ZT"/>
    <s v="Kgs"/>
    <n v="3926908"/>
    <s v="Rs."/>
    <n v="1"/>
    <n v="914"/>
    <s v="India"/>
  </r>
  <r>
    <d v="2026-08-08T00:00:00"/>
    <s v="HCP Plastene Bulkpack Limited - Purchase"/>
    <s v="R.M.P."/>
    <s v="RM 409"/>
    <s v="Purchase Withinstate - Raw Material"/>
    <s v="HPBL/D/467"/>
    <d v="2026-07-08T00:00:00"/>
    <s v="SF"/>
    <s v="Liners"/>
    <x v="5"/>
    <s v="LDPE/LLDPE Bags"/>
    <s v="LDPE/LLDPE Bags/Liner"/>
    <n v="125"/>
    <n v="21368.75"/>
    <s v="LDPE/LLDPE Bags/Liner"/>
    <n v="1001945.82"/>
    <n v="9"/>
    <n v="1923.19"/>
    <n v="9"/>
    <n v="1923.19"/>
    <n v="0"/>
    <n v="0"/>
    <n v="0"/>
    <n v="3846.38"/>
    <n v="0"/>
    <s v="24AABCG1282C2Z6"/>
    <s v="Kgs"/>
    <n v="39200000"/>
    <s v="Rs."/>
    <n v="1"/>
    <n v="125"/>
    <s v="India"/>
  </r>
  <r>
    <d v="2026-08-08T00:00:00"/>
    <s v="HCP Plastene Bulkpack Limited - Purchase"/>
    <s v="R.M.P."/>
    <s v="RM 409"/>
    <s v="Purchase Withinstate - Raw Material"/>
    <s v="HPBL/D/467"/>
    <d v="2026-07-08T00:00:00"/>
    <s v="SF"/>
    <s v="PP/PE Fabric"/>
    <x v="0"/>
    <s v="PP WOVEN FABRIC"/>
    <s v="PP UL Fabric With UV"/>
    <n v="5294"/>
    <n v="828458.06"/>
    <s v="PP UL Fabric With UV"/>
    <n v="0"/>
    <n v="9"/>
    <n v="74561.23"/>
    <n v="9"/>
    <n v="74561.23"/>
    <n v="0"/>
    <n v="0"/>
    <n v="0"/>
    <n v="149122.46"/>
    <n v="0"/>
    <s v="24AABCG1282C2Z6"/>
    <s v="Kgs"/>
    <n v="39269080"/>
    <s v="Rs."/>
    <n v="1"/>
    <n v="5294"/>
    <s v="India"/>
  </r>
  <r>
    <d v="2026-08-08T00:00:00"/>
    <s v="Hcp Plastene Bulkpack Ltd (Unit-Iv) - Purchase"/>
    <s v="R.M.P."/>
    <s v="RM 405"/>
    <s v="Purchase Withinstate - Raw Material"/>
    <s v="HPBL4/D/204"/>
    <d v="2026-08-08T00:00:00"/>
    <s v="FG"/>
    <s v="FIBC Bags"/>
    <x v="8"/>
    <s v="FIBC"/>
    <s v="FIBC Bags With UV With Liner"/>
    <n v="1633"/>
    <n v="415369.88"/>
    <s v="FIBC Bags With UV With Liner"/>
    <n v="1680173.95"/>
    <n v="9"/>
    <n v="37383.29"/>
    <n v="9"/>
    <n v="37383.29"/>
    <n v="0"/>
    <n v="0"/>
    <n v="0"/>
    <n v="74766.58"/>
    <n v="0"/>
    <s v="24AABCG1282C2Z6"/>
    <s v="Kgs"/>
    <n v="63053200"/>
    <s v="Rs."/>
    <n v="1"/>
    <n v="1633"/>
    <s v="India"/>
  </r>
  <r>
    <d v="2026-08-08T00:00:00"/>
    <s v="Hcp Plastene Bulkpack Ltd (Unit-Iv) - Purchase"/>
    <s v="R.M.P."/>
    <s v="RM 405"/>
    <s v="Purchase Withinstate - Raw Material"/>
    <s v="HPBL4/D/204"/>
    <d v="2026-08-08T00:00:00"/>
    <s v="FG"/>
    <s v="FIBC Bags"/>
    <x v="8"/>
    <s v="FIBC"/>
    <s v="FIBC Bags With UV With Liner"/>
    <n v="807"/>
    <n v="209448.78"/>
    <s v="FIBC Bags With UV With Liner"/>
    <n v="0"/>
    <n v="9"/>
    <n v="18850.39"/>
    <n v="9"/>
    <n v="18850.39"/>
    <n v="0"/>
    <n v="0"/>
    <n v="0"/>
    <n v="37700.78"/>
    <n v="0"/>
    <s v="24AABCG1282C2Z6"/>
    <s v="Kgs"/>
    <n v="63053200"/>
    <s v="Rs."/>
    <n v="1"/>
    <n v="807"/>
    <s v="India"/>
  </r>
  <r>
    <d v="2026-08-08T00:00:00"/>
    <s v="Hcp Plastene Bulkpack Ltd (Unit-Iv) - Purchase"/>
    <s v="R.M.P."/>
    <s v="RM 405"/>
    <s v="Purchase Withinstate - Raw Material"/>
    <s v="HPBL4/D/204"/>
    <d v="2026-08-08T00:00:00"/>
    <s v="FG"/>
    <s v="FIBC Bags"/>
    <x v="8"/>
    <s v="FIBC"/>
    <s v="FIBC Bags With UV With Liner"/>
    <n v="3171"/>
    <n v="800265.27"/>
    <s v="FIBC Bags With UV With Liner"/>
    <n v="0"/>
    <n v="9"/>
    <n v="72023.87"/>
    <n v="9"/>
    <n v="72023.87"/>
    <n v="0"/>
    <n v="0"/>
    <n v="0"/>
    <n v="144047.74"/>
    <n v="0"/>
    <s v="24AABCG1282C2Z6"/>
    <s v="Kgs"/>
    <n v="63053200"/>
    <s v="Rs."/>
    <n v="1"/>
    <n v="3171"/>
    <s v="India"/>
  </r>
  <r>
    <d v="2026-08-08T00:00:00"/>
    <s v="K.P. Woven Pvt Ltd-Purchase"/>
    <s v="R.M.P."/>
    <s v="RM 407"/>
    <s v="Purchase Withinstate - Raw Material"/>
    <s v="KPV/D/568"/>
    <d v="2026-07-08T00:00:00"/>
    <s v="SF"/>
    <s v="PP/PE Fabric"/>
    <x v="0"/>
    <s v="PP WOVEN FABRIC"/>
    <s v="Ground Cover Fabric"/>
    <n v="2712.4"/>
    <n v="451343.35999999999"/>
    <s v="Ground Cover Fabric"/>
    <n v="750770.49"/>
    <n v="9"/>
    <n v="40620.9"/>
    <n v="9"/>
    <n v="40620.9"/>
    <n v="0"/>
    <n v="0"/>
    <n v="0"/>
    <n v="81241.8"/>
    <n v="0"/>
    <s v="24AAECK6307M1ZF"/>
    <s v="Kgs"/>
    <n v="54072090"/>
    <s v="Rs."/>
    <n v="1"/>
    <n v="2712.4"/>
    <s v="India"/>
  </r>
  <r>
    <d v="2026-08-08T00:00:00"/>
    <s v="K.P. Woven Pvt Ltd-Purchase"/>
    <s v="R.M.P."/>
    <s v="RM 407"/>
    <s v="Purchase Withinstate - Raw Material"/>
    <s v="KPV/D/568"/>
    <d v="2026-07-08T00:00:00"/>
    <s v="SF"/>
    <s v="Webbing"/>
    <x v="2"/>
    <s v="PP Webbing"/>
    <s v="Webbing"/>
    <n v="50"/>
    <n v="8020"/>
    <s v="Webbing"/>
    <n v="0"/>
    <n v="9"/>
    <n v="721.8"/>
    <n v="9"/>
    <n v="721.8"/>
    <n v="0"/>
    <n v="0"/>
    <n v="0"/>
    <n v="1443.6"/>
    <n v="0"/>
    <s v="24AAECK6307M1ZF"/>
    <s v="Kgs"/>
    <n v="3926908"/>
    <s v="Rs."/>
    <n v="1"/>
    <n v="50"/>
    <s v="India"/>
  </r>
  <r>
    <d v="2026-08-08T00:00:00"/>
    <s v="K.P. Woven Pvt Ltd-Purchase"/>
    <s v="R.M.P."/>
    <s v="RM 407"/>
    <s v="Purchase Withinstate - Raw Material"/>
    <s v="KPV/D/568"/>
    <d v="2026-07-08T00:00:00"/>
    <s v="SF"/>
    <s v="Yarn All"/>
    <x v="9"/>
    <s v="Yarn"/>
    <s v="PP Fibrillated Tape Twisted 3200 MW"/>
    <n v="1275"/>
    <n v="199410"/>
    <s v="PP Fibrillated Tape Twisted 3200 MW"/>
    <n v="0"/>
    <n v="2.5"/>
    <n v="4985.25"/>
    <n v="2.5"/>
    <n v="4985.25"/>
    <n v="0"/>
    <n v="0"/>
    <n v="0"/>
    <n v="9970.5"/>
    <n v="0"/>
    <s v="24AAECK6307M1ZF"/>
    <s v="Kgs"/>
    <n v="54026930"/>
    <s v="Rs."/>
    <n v="1"/>
    <n v="1275"/>
    <s v="India"/>
  </r>
  <r>
    <d v="2026-08-08T00:00:00"/>
    <s v="Plastene India ltd - Unit 1-Purchase"/>
    <s v="R.M.P."/>
    <s v="RM 404"/>
    <s v="Purchase Withinstate - Raw Material"/>
    <s v="PIL1/D/1310"/>
    <d v="2026-08-08T00:00:00"/>
    <s v="SF"/>
    <s v="Webbing"/>
    <x v="2"/>
    <s v="PP Webbing"/>
    <s v="Webbing"/>
    <n v="206.6"/>
    <n v="34155.11"/>
    <s v="Webbing"/>
    <n v="226003.99"/>
    <n v="9"/>
    <n v="3073.96"/>
    <n v="9"/>
    <n v="3073.96"/>
    <n v="0"/>
    <n v="0"/>
    <n v="0"/>
    <n v="6147.92"/>
    <n v="0"/>
    <s v="24AAACO3087C1ZT"/>
    <s v="Kgs"/>
    <n v="3926908"/>
    <s v="Rs."/>
    <n v="1"/>
    <n v="206.6"/>
    <s v="India"/>
  </r>
  <r>
    <d v="2026-08-08T00:00:00"/>
    <s v="Plastene India ltd - Unit 1-Purchase"/>
    <s v="R.M.P."/>
    <s v="RM 404"/>
    <s v="Purchase Withinstate - Raw Material"/>
    <s v="PIL1/D/1310"/>
    <d v="2026-08-08T00:00:00"/>
    <s v="SF"/>
    <s v="Webbing"/>
    <x v="2"/>
    <s v="PP Webbing"/>
    <s v="Webbing"/>
    <n v="773.6"/>
    <n v="111645.95"/>
    <s v="Webbing"/>
    <n v="0"/>
    <n v="9"/>
    <n v="10048.14"/>
    <n v="9"/>
    <n v="10048.14"/>
    <n v="0"/>
    <n v="0"/>
    <n v="0"/>
    <n v="20096.28"/>
    <n v="0"/>
    <s v="24AAACO3087C1ZT"/>
    <s v="Kgs"/>
    <n v="3926908"/>
    <s v="Rs."/>
    <n v="1"/>
    <n v="773.6"/>
    <s v="India"/>
  </r>
  <r>
    <d v="2026-08-08T00:00:00"/>
    <s v="Plastene India ltd - Unit 1-Purchase"/>
    <s v="R.M.P."/>
    <s v="RM 404"/>
    <s v="Purchase Withinstate - Raw Material"/>
    <s v="PIL1/D/1310"/>
    <d v="2026-08-08T00:00:00"/>
    <s v="SF"/>
    <s v="Webbing"/>
    <x v="2"/>
    <s v="PP Webbing"/>
    <s v="Webbing"/>
    <n v="311.5"/>
    <n v="45890.18"/>
    <s v="Webbing"/>
    <n v="0"/>
    <n v="9"/>
    <n v="4130.12"/>
    <n v="9"/>
    <n v="4130.12"/>
    <n v="0"/>
    <n v="0"/>
    <n v="0"/>
    <n v="8260.24"/>
    <n v="0"/>
    <s v="24AAACO3087C1ZT"/>
    <s v="Kgs"/>
    <n v="3926908"/>
    <s v="Rs."/>
    <n v="1"/>
    <n v="311.5"/>
    <s v="India"/>
  </r>
  <r>
    <d v="2026-08-08T00:00:00"/>
    <s v="Plastene India ltd - Unit 1-Purchase"/>
    <s v="R.M.P."/>
    <s v="RM 410"/>
    <s v="Purchase Withinstate - Raw Material"/>
    <s v="PIL1/D/1311"/>
    <d v="2026-08-08T00:00:00"/>
    <s v="RM"/>
    <s v="Granules"/>
    <x v="12"/>
    <s v="FILLER CACO3"/>
    <s v="Filler Soltex PTUFF23"/>
    <n v="10000"/>
    <n v="405000"/>
    <s v="Filler Soltex PTUFF23"/>
    <n v="477495"/>
    <n v="9"/>
    <n v="36450"/>
    <n v="9"/>
    <n v="36450"/>
    <n v="0"/>
    <n v="0"/>
    <n v="0"/>
    <n v="72900"/>
    <n v="0"/>
    <s v="24AAACO3087C1ZT"/>
    <s v="Kgs"/>
    <n v="32041990"/>
    <s v="Rs."/>
    <n v="1"/>
    <n v="10000"/>
    <s v="India"/>
  </r>
  <r>
    <d v="2026-08-08T00:00:00"/>
    <s v="Plastene India ltd - Unit 1-Purchase"/>
    <s v="R.M.P."/>
    <s v="RM 411"/>
    <s v="Purchase Withinstate - Raw Material"/>
    <s v="PIL1/D/1318"/>
    <d v="2026-08-08T00:00:00"/>
    <s v="RM"/>
    <s v="Granules"/>
    <x v="3"/>
    <s v="PP Granules"/>
    <s v="PP IOCL 1350EG"/>
    <n v="5000"/>
    <n v="748250"/>
    <s v="PP IOCL 1350EG"/>
    <n v="882186.75"/>
    <n v="9"/>
    <n v="67342.5"/>
    <n v="9"/>
    <n v="67342.5"/>
    <n v="0"/>
    <n v="0"/>
    <n v="0"/>
    <n v="134685"/>
    <n v="0"/>
    <s v="24AAACO3087C1ZT"/>
    <s v="Kgs"/>
    <n v="39021000"/>
    <s v="Rs."/>
    <n v="1"/>
    <n v="5000"/>
    <s v="India"/>
  </r>
  <r>
    <d v="2026-08-08T00:00:00"/>
    <s v="Plastene India ltd - Unit 1-Purchase"/>
    <s v="R.M.P."/>
    <s v="RM 412"/>
    <s v="Purchase Withinstate - Raw Material"/>
    <s v="PIL1/D/1317"/>
    <d v="2026-08-08T00:00:00"/>
    <s v="SF"/>
    <s v="Yarn All"/>
    <x v="9"/>
    <s v="Yarn"/>
    <s v="PP MF Yarn Twisted 1000 UV NW"/>
    <n v="824.38"/>
    <n v="127218.32"/>
    <s v="PP MF Yarn Twisted 1000 UV NW"/>
    <n v="133452.01999999999"/>
    <n v="2.5"/>
    <n v="3180.46"/>
    <n v="2.5"/>
    <n v="3180.46"/>
    <n v="0"/>
    <n v="0"/>
    <n v="0"/>
    <n v="6360.92"/>
    <n v="0"/>
    <s v="24AAACO3087C1ZT"/>
    <s v="Kgs"/>
    <n v="54026930"/>
    <s v="Rs."/>
    <n v="1"/>
    <n v="824.38"/>
    <s v="India"/>
  </r>
  <r>
    <d v="2026-08-08T00:00:00"/>
    <s v="Plastene India ltd - Unit 1-Purchase"/>
    <s v="R.M.P."/>
    <s v="RM 413"/>
    <s v="Purchase Withinstate - Raw Material"/>
    <s v="PIL1/D/1316"/>
    <d v="2026-08-08T00:00:00"/>
    <s v="SF"/>
    <s v="Webbing"/>
    <x v="2"/>
    <s v="PP Webbing"/>
    <s v="Webbing"/>
    <n v="674.1"/>
    <n v="99308.41"/>
    <s v="Webbing"/>
    <n v="218542.18"/>
    <n v="9"/>
    <n v="8937.76"/>
    <n v="9"/>
    <n v="8937.76"/>
    <n v="0"/>
    <n v="0"/>
    <n v="0"/>
    <n v="17875.52"/>
    <n v="0"/>
    <s v="24AAACO3087C1ZT"/>
    <s v="Kgs"/>
    <n v="3926908"/>
    <s v="Rs."/>
    <n v="1"/>
    <n v="674.1"/>
    <s v="India"/>
  </r>
  <r>
    <d v="2026-08-08T00:00:00"/>
    <s v="Plastene India ltd - Unit 1-Purchase"/>
    <s v="R.M.P."/>
    <s v="RM 413"/>
    <s v="Purchase Withinstate - Raw Material"/>
    <s v="PIL1/D/1316"/>
    <d v="2026-08-08T00:00:00"/>
    <s v="SF"/>
    <s v="Webbing"/>
    <x v="2"/>
    <s v="PP Webbing"/>
    <s v="Webbing"/>
    <n v="280.10000000000002"/>
    <n v="40424.03"/>
    <s v="Webbing"/>
    <n v="0"/>
    <n v="9"/>
    <n v="3638.16"/>
    <n v="9"/>
    <n v="3638.16"/>
    <n v="0"/>
    <n v="0"/>
    <n v="0"/>
    <n v="7276.32"/>
    <n v="0"/>
    <s v="24AAACO3087C1ZT"/>
    <s v="Kgs"/>
    <n v="3926908"/>
    <s v="Rs."/>
    <n v="1"/>
    <n v="280.10000000000002"/>
    <s v="India"/>
  </r>
  <r>
    <d v="2026-08-08T00:00:00"/>
    <s v="Plastene India ltd - Unit 1-Purchase"/>
    <s v="R.M.P."/>
    <s v="RM 413"/>
    <s v="Purchase Withinstate - Raw Material"/>
    <s v="PIL1/D/1316"/>
    <d v="2026-08-08T00:00:00"/>
    <s v="SF"/>
    <s v="Liners"/>
    <x v="5"/>
    <s v="LDPE/LLDPE Bags"/>
    <s v="LDPE/LLDPE Bags/Liner"/>
    <n v="258"/>
    <n v="45629.88"/>
    <s v="LDPE/LLDPE Bags/Liner"/>
    <n v="0"/>
    <n v="9"/>
    <n v="4106.6899999999996"/>
    <n v="9"/>
    <n v="4106.6899999999996"/>
    <n v="0"/>
    <n v="0"/>
    <n v="0"/>
    <n v="8213.3799999999992"/>
    <n v="0"/>
    <s v="24AAACO3087C1ZT"/>
    <s v="Kgs"/>
    <n v="39200000"/>
    <s v="Rs."/>
    <n v="1"/>
    <n v="258"/>
    <s v="India"/>
  </r>
  <r>
    <d v="2026-08-08T00:00:00"/>
    <s v="Plastene India ltd - Unit 2-Purchase"/>
    <s v="R.M.P."/>
    <s v="RM 403"/>
    <s v="Purchase Withinstate - Raw Material"/>
    <s v="PIL2/D/468"/>
    <d v="2026-08-08T00:00:00"/>
    <s v="SF"/>
    <s v="Yarn All"/>
    <x v="9"/>
    <s v="FILLER CORD"/>
    <s v="Filler Cord"/>
    <n v="5267.57"/>
    <n v="718180.49"/>
    <s v="Filler Cord"/>
    <n v="753371.33"/>
    <n v="2.5"/>
    <n v="17954.509999999998"/>
    <n v="2.5"/>
    <n v="17954.509999999998"/>
    <n v="0"/>
    <n v="0"/>
    <n v="0"/>
    <n v="35909.019999999997"/>
    <n v="0"/>
    <s v="24AAACO3087C1ZT"/>
    <s v="Kgs"/>
    <n v="540263"/>
    <s v="Rs."/>
    <n v="1"/>
    <n v="5267.57"/>
    <s v="India"/>
  </r>
  <r>
    <d v="2026-08-08T00:00:00"/>
    <s v="Plastene India ltd - Unit 2-Purchase"/>
    <s v="R.M.P."/>
    <s v="RM 406"/>
    <s v="Purchase Withinstate - Raw Material"/>
    <s v="PIL2/D/457"/>
    <d v="2026-06-08T00:00:00"/>
    <s v="SF"/>
    <s v="PP/PE Fabric"/>
    <x v="7"/>
    <s v="PP Laminated Fabric"/>
    <s v="PP Lam Fabric CutPcs With UV"/>
    <n v="330"/>
    <n v="82952.100000000006"/>
    <s v="PP Lam Fabric CutPcs With UV"/>
    <n v="178733.73"/>
    <n v="9"/>
    <n v="7465.69"/>
    <n v="9"/>
    <n v="7465.69"/>
    <n v="0"/>
    <n v="0"/>
    <n v="0"/>
    <n v="14931.38"/>
    <n v="0"/>
    <s v="24AAACO3087C1ZT"/>
    <s v="Kgs"/>
    <n v="39269080"/>
    <s v="Rs."/>
    <n v="1"/>
    <n v="330"/>
    <s v="India"/>
  </r>
  <r>
    <d v="2026-08-08T00:00:00"/>
    <s v="Plastene India ltd - Unit 2-Purchase"/>
    <s v="R.M.P."/>
    <s v="RM 406"/>
    <s v="Purchase Withinstate - Raw Material"/>
    <s v="PIL2/D/457"/>
    <d v="2026-06-08T00:00:00"/>
    <s v="SF"/>
    <s v="PP/PE Fabric"/>
    <x v="7"/>
    <s v="PP Laminated Fabric"/>
    <s v="PP Lam Fabric CutPcs With UV"/>
    <n v="263"/>
    <n v="68645.63"/>
    <s v="PP Lam Fabric CutPcs With UV"/>
    <n v="0"/>
    <n v="9"/>
    <n v="6178.11"/>
    <n v="9"/>
    <n v="6178.11"/>
    <n v="0"/>
    <n v="0"/>
    <n v="0"/>
    <n v="12356.22"/>
    <n v="0"/>
    <s v="24AAACO3087C1ZT"/>
    <s v="Kgs"/>
    <n v="39269080"/>
    <s v="Rs."/>
    <n v="1"/>
    <n v="263"/>
    <s v="India"/>
  </r>
  <r>
    <d v="2026-08-08T00:00:00"/>
    <s v="Plastene India ltd - Unit 2-Purchase"/>
    <s v="R.M.P."/>
    <s v="RM 408"/>
    <s v="Purchase Withinstate - Raw Material"/>
    <s v="PIL2/D/467"/>
    <d v="2026-07-08T00:00:00"/>
    <s v="FG"/>
    <s v="FIBC Bags"/>
    <x v="8"/>
    <s v="FIBC"/>
    <s v="FIBC Bags With UV Without Liner"/>
    <n v="1656"/>
    <n v="363111.12"/>
    <s v="FIBC Bags With UV Without Liner"/>
    <n v="961778.25"/>
    <n v="9"/>
    <n v="32680"/>
    <n v="9"/>
    <n v="32680"/>
    <n v="0"/>
    <n v="0"/>
    <n v="0"/>
    <n v="65360"/>
    <n v="0"/>
    <s v="24AAACO3087C1ZT"/>
    <s v="Kgs"/>
    <n v="63053200"/>
    <s v="Rs."/>
    <n v="1"/>
    <n v="1656"/>
    <s v="India"/>
  </r>
  <r>
    <d v="2026-08-08T00:00:00"/>
    <s v="Plastene India ltd - Unit 2-Purchase"/>
    <s v="R.M.P."/>
    <s v="RM 408"/>
    <s v="Purchase Withinstate - Raw Material"/>
    <s v="PIL2/D/467"/>
    <d v="2026-07-08T00:00:00"/>
    <s v="FG"/>
    <s v="FIBC Bags"/>
    <x v="8"/>
    <s v="FIBC"/>
    <s v="FIBC Bags With UV Without Liner"/>
    <n v="1239"/>
    <n v="276272.21999999997"/>
    <s v="FIBC Bags With UV Without Liner"/>
    <n v="0"/>
    <n v="9"/>
    <n v="24864.5"/>
    <n v="9"/>
    <n v="24864.5"/>
    <n v="0"/>
    <n v="0"/>
    <n v="0"/>
    <n v="49729"/>
    <n v="0"/>
    <s v="24AAACO3087C1ZT"/>
    <s v="Kgs"/>
    <n v="63053200"/>
    <s v="Rs."/>
    <n v="1"/>
    <n v="1239"/>
    <s v="India"/>
  </r>
  <r>
    <d v="2026-08-08T00:00:00"/>
    <s v="Plastene India ltd - Unit 2-Purchase"/>
    <s v="R.M.P."/>
    <s v="RM 408"/>
    <s v="Purchase Withinstate - Raw Material"/>
    <s v="PIL2/D/467"/>
    <d v="2026-07-08T00:00:00"/>
    <s v="FG"/>
    <s v="FIBC Bags"/>
    <x v="8"/>
    <s v="FIBC"/>
    <s v="FIBC Bags With UV Without Liner"/>
    <n v="827"/>
    <n v="176374.29"/>
    <s v="FIBC Bags With UV Without Liner"/>
    <n v="0"/>
    <n v="9"/>
    <n v="15873.69"/>
    <n v="9"/>
    <n v="15873.69"/>
    <n v="0"/>
    <n v="0"/>
    <n v="0"/>
    <n v="31747.38"/>
    <n v="0"/>
    <s v="24AAACO3087C1ZT"/>
    <s v="Kgs"/>
    <n v="63053200"/>
    <s v="Rs."/>
    <n v="1"/>
    <n v="827"/>
    <s v="India"/>
  </r>
  <r>
    <d v="2026-09-08T00:00:00"/>
    <s v="HCP Plastene Bulkpack Limited - Purchase"/>
    <s v="R.M.P."/>
    <s v="RM 414"/>
    <s v="Purchase Withinstate - Raw Material"/>
    <s v="HPBL/D/472"/>
    <d v="2026-08-08T00:00:00"/>
    <s v="SF"/>
    <s v="Liners"/>
    <x v="5"/>
    <s v="LDPE/LLDPE Bags"/>
    <s v="LDPE/LLDPE Bags/Liner"/>
    <n v="1044"/>
    <n v="178471.8"/>
    <s v="LDPE/LLDPE Bags/Liner"/>
    <n v="686068.33"/>
    <n v="9"/>
    <n v="16062.46"/>
    <n v="9"/>
    <n v="16062.46"/>
    <n v="0"/>
    <n v="0"/>
    <n v="0"/>
    <n v="32124.92"/>
    <n v="0"/>
    <s v="24AABCG1282C2Z6"/>
    <s v="Kgs"/>
    <n v="39200000"/>
    <s v="Rs."/>
    <n v="1"/>
    <n v="1044"/>
    <s v="India"/>
  </r>
  <r>
    <d v="2026-09-08T00:00:00"/>
    <s v="HCP Plastene Bulkpack Limited - Purchase"/>
    <s v="R.M.P."/>
    <s v="RM 414"/>
    <s v="Purchase Withinstate - Raw Material"/>
    <s v="HPBL/D/472"/>
    <d v="2026-08-08T00:00:00"/>
    <s v="SF"/>
    <s v="PP/PE Fabric"/>
    <x v="0"/>
    <s v="PP WOVEN FABRIC"/>
    <s v="PP UL Fabric With UV"/>
    <n v="311"/>
    <n v="48046.39"/>
    <s v="PP UL Fabric With UV"/>
    <n v="0"/>
    <n v="9"/>
    <n v="4324.18"/>
    <n v="9"/>
    <n v="4324.18"/>
    <n v="0"/>
    <n v="0"/>
    <n v="0"/>
    <n v="8648.36"/>
    <n v="0"/>
    <s v="24AABCG1282C2Z6"/>
    <s v="Kgs"/>
    <n v="39269080"/>
    <s v="Rs."/>
    <n v="1"/>
    <n v="311"/>
    <s v="India"/>
  </r>
  <r>
    <d v="2026-09-08T00:00:00"/>
    <s v="HCP Plastene Bulkpack Limited - Purchase"/>
    <s v="R.M.P."/>
    <s v="RM 414"/>
    <s v="Purchase Withinstate - Raw Material"/>
    <s v="HPBL/D/472"/>
    <d v="2026-08-08T00:00:00"/>
    <s v="SF"/>
    <s v="PP/PE Fabric"/>
    <x v="0"/>
    <s v="PP WOVEN FABRIC"/>
    <s v="PP UL Fabric With UV"/>
    <n v="2271"/>
    <n v="355388.79"/>
    <s v="PP UL Fabric With UV"/>
    <n v="0"/>
    <n v="9"/>
    <n v="31984.99"/>
    <n v="9"/>
    <n v="31984.99"/>
    <n v="0"/>
    <n v="0"/>
    <n v="0"/>
    <n v="63969.98"/>
    <n v="0"/>
    <s v="24AABCG1282C2Z6"/>
    <s v="Kgs"/>
    <n v="39269080"/>
    <s v="Rs."/>
    <n v="1"/>
    <n v="2271"/>
    <s v="India"/>
  </r>
  <r>
    <d v="2026-09-08T00:00:00"/>
    <s v="Plastene India ltd - Unit 1-Purchase"/>
    <s v="R.M.P."/>
    <s v="RM 415"/>
    <s v="Purchase Withinstate - Raw Material"/>
    <s v="PIL1/D/1328"/>
    <d v="2026-09-08T00:00:00"/>
    <s v="SF"/>
    <s v="PP/PE Fabric"/>
    <x v="1"/>
    <s v="PP Laminated Fabric"/>
    <s v="PP Lam Fabric With UV"/>
    <n v="615"/>
    <n v="91831.8"/>
    <s v="PP Lam Fabric With UV"/>
    <n v="326979.21000000002"/>
    <n v="9"/>
    <n v="8264.86"/>
    <n v="9"/>
    <n v="8264.86"/>
    <n v="0"/>
    <n v="0"/>
    <n v="0"/>
    <n v="16529.72"/>
    <n v="0"/>
    <s v="24AAACO3087C1ZT"/>
    <s v="Kgs"/>
    <n v="63053300"/>
    <s v="Rs."/>
    <n v="1"/>
    <n v="615"/>
    <s v="India"/>
  </r>
  <r>
    <d v="2026-09-08T00:00:00"/>
    <s v="Plastene India ltd - Unit 1-Purchase"/>
    <s v="R.M.P."/>
    <s v="RM 415"/>
    <s v="Purchase Withinstate - Raw Material"/>
    <s v="PIL1/D/1328"/>
    <d v="2026-09-08T00:00:00"/>
    <s v="SF"/>
    <s v="Webbing"/>
    <x v="2"/>
    <s v="PP Webbing"/>
    <s v="Webbing"/>
    <n v="744.1"/>
    <n v="109620.81"/>
    <s v="Webbing"/>
    <n v="0"/>
    <n v="9"/>
    <n v="9865.8700000000008"/>
    <n v="9"/>
    <n v="9865.8700000000008"/>
    <n v="0"/>
    <n v="0"/>
    <n v="0"/>
    <n v="19731.740000000002"/>
    <n v="0"/>
    <s v="24AAACO3087C1ZT"/>
    <s v="Kgs"/>
    <n v="3926908"/>
    <s v="Rs."/>
    <n v="1"/>
    <n v="744.1"/>
    <s v="India"/>
  </r>
  <r>
    <d v="2026-09-08T00:00:00"/>
    <s v="Plastene India ltd - Unit 1-Purchase"/>
    <s v="R.M.P."/>
    <s v="RM 415"/>
    <s v="Purchase Withinstate - Raw Material"/>
    <s v="PIL1/D/1328"/>
    <d v="2026-09-08T00:00:00"/>
    <s v="SF"/>
    <s v="Webbing"/>
    <x v="2"/>
    <s v="PP Webbing"/>
    <s v="Webbing"/>
    <n v="525.79999999999995"/>
    <n v="75883.460000000006"/>
    <s v="Webbing"/>
    <n v="0"/>
    <n v="9"/>
    <n v="6829.51"/>
    <n v="9"/>
    <n v="6829.51"/>
    <n v="0"/>
    <n v="0"/>
    <n v="0"/>
    <n v="13659.02"/>
    <n v="0"/>
    <s v="24AAACO3087C1ZT"/>
    <s v="Kgs"/>
    <n v="3926908"/>
    <s v="Rs."/>
    <n v="1"/>
    <n v="525.79999999999995"/>
    <s v="India"/>
  </r>
  <r>
    <d v="2026-10-08T00:00:00"/>
    <s v="Plastene India ltd - Unit 1-Purchase"/>
    <s v="R.M.P."/>
    <s v="RM 416"/>
    <s v="Purchase Withinstate - Raw Material"/>
    <s v="PIL1/D/1333"/>
    <d v="2026-10-08T00:00:00"/>
    <s v="FG"/>
    <s v="FIBC Bags"/>
    <x v="8"/>
    <s v="FIBC"/>
    <s v="FIBC Bags With UV Without Liner"/>
    <n v="1700"/>
    <n v="380494"/>
    <s v="FIBC Bags With UV Without Liner"/>
    <n v="448602.43"/>
    <n v="9"/>
    <n v="34244.46"/>
    <n v="9"/>
    <n v="34244.46"/>
    <n v="0"/>
    <n v="0"/>
    <n v="0"/>
    <n v="68488.92"/>
    <n v="0"/>
    <s v="24AAACO3087C1ZT"/>
    <s v="Kgs"/>
    <n v="63053200"/>
    <s v="Rs."/>
    <n v="1"/>
    <n v="1700"/>
    <s v="India"/>
  </r>
  <r>
    <d v="2026-10-08T00:00:00"/>
    <s v="Plastene India ltd - Unit 1-Purchase"/>
    <s v="R.M.P."/>
    <s v="RM 417"/>
    <s v="Purchase Withinstate - Raw Material"/>
    <s v="PIL1/D/1336"/>
    <d v="2026-10-08T00:00:00"/>
    <s v="SF"/>
    <s v="Webbing"/>
    <x v="2"/>
    <s v="PP Webbing"/>
    <s v="Webbing"/>
    <n v="591"/>
    <n v="87066.12"/>
    <s v="Webbing"/>
    <n v="1078088.08"/>
    <n v="9"/>
    <n v="7835.95"/>
    <n v="9"/>
    <n v="7835.95"/>
    <n v="0"/>
    <n v="0"/>
    <n v="0"/>
    <n v="15671.9"/>
    <n v="0"/>
    <s v="24AAACO3087C1ZT"/>
    <s v="Kgs"/>
    <n v="3926908"/>
    <s v="Rs."/>
    <n v="1"/>
    <n v="591"/>
    <s v="India"/>
  </r>
  <r>
    <d v="2026-10-08T00:00:00"/>
    <s v="Plastene India ltd - Unit 1-Purchase"/>
    <s v="R.M.P."/>
    <s v="RM 417"/>
    <s v="Purchase Withinstate - Raw Material"/>
    <s v="PIL1/D/1336"/>
    <d v="2026-10-08T00:00:00"/>
    <s v="SF"/>
    <s v="Webbing"/>
    <x v="2"/>
    <s v="PP Webbing"/>
    <s v="Webbing"/>
    <n v="756.8"/>
    <n v="109221.37"/>
    <s v="Webbing"/>
    <n v="0"/>
    <n v="9"/>
    <n v="9829.92"/>
    <n v="9"/>
    <n v="9829.92"/>
    <n v="0"/>
    <n v="0"/>
    <n v="0"/>
    <n v="19659.84"/>
    <n v="0"/>
    <s v="24AAACO3087C1ZT"/>
    <s v="Kgs"/>
    <n v="3926908"/>
    <s v="Rs."/>
    <n v="1"/>
    <n v="756.8"/>
    <s v="India"/>
  </r>
  <r>
    <d v="2026-10-08T00:00:00"/>
    <s v="Plastene India ltd - Unit 1-Purchase"/>
    <s v="R.M.P."/>
    <s v="RM 417"/>
    <s v="Purchase Withinstate - Raw Material"/>
    <s v="PIL1/D/1336"/>
    <d v="2026-10-08T00:00:00"/>
    <s v="SF"/>
    <s v="Yarn All"/>
    <x v="9"/>
    <s v="Yarn"/>
    <s v="PP Braided Rope MW 6 to 8 GPM"/>
    <n v="212.6"/>
    <n v="33765.14"/>
    <s v="PP Braided Rope MW 6 to 8 GPM"/>
    <n v="0"/>
    <n v="2.5"/>
    <n v="844.13"/>
    <n v="2.5"/>
    <n v="844.13"/>
    <n v="0"/>
    <n v="0"/>
    <n v="0"/>
    <n v="1688.26"/>
    <n v="0"/>
    <s v="24AAACO3087C1ZT"/>
    <s v="Kgs"/>
    <n v="540269"/>
    <s v="Rs."/>
    <n v="1"/>
    <n v="212.6"/>
    <s v="India"/>
  </r>
  <r>
    <d v="2026-10-08T00:00:00"/>
    <s v="Plastene India ltd - Unit 1-Purchase"/>
    <s v="R.M.P."/>
    <s v="RM 417"/>
    <s v="Purchase Withinstate - Raw Material"/>
    <s v="PIL1/D/1336"/>
    <d v="2026-10-08T00:00:00"/>
    <s v="SF"/>
    <s v="PP/PE Fabric"/>
    <x v="1"/>
    <s v="PP Laminated Fabric"/>
    <s v="PP Lam Fabric With UV"/>
    <n v="2647"/>
    <n v="395250.04"/>
    <s v="PP Lam Fabric With UV"/>
    <n v="0"/>
    <n v="9"/>
    <n v="35572.5"/>
    <n v="9"/>
    <n v="35572.5"/>
    <n v="0"/>
    <n v="0"/>
    <n v="0"/>
    <n v="71145"/>
    <n v="0"/>
    <s v="24AAACO3087C1ZT"/>
    <s v="Kgs"/>
    <n v="63053300"/>
    <s v="Rs."/>
    <n v="1"/>
    <n v="2647"/>
    <s v="India"/>
  </r>
  <r>
    <d v="2026-10-08T00:00:00"/>
    <s v="Plastene India ltd - Unit 1-Purchase"/>
    <s v="R.M.P."/>
    <s v="RM 417"/>
    <s v="Purchase Withinstate - Raw Material"/>
    <s v="PIL1/D/1336"/>
    <d v="2026-10-08T00:00:00"/>
    <s v="SF"/>
    <s v="PP/PE Fabric"/>
    <x v="0"/>
    <s v="PP WOVEN FABRIC"/>
    <s v="PP UL Fabric With UV"/>
    <n v="1524"/>
    <n v="224515.68"/>
    <s v="PP UL Fabric With UV"/>
    <n v="0"/>
    <n v="9"/>
    <n v="20206.41"/>
    <n v="9"/>
    <n v="20206.41"/>
    <n v="0"/>
    <n v="0"/>
    <n v="0"/>
    <n v="40412.82"/>
    <n v="0"/>
    <s v="24AAACO3087C1ZT"/>
    <s v="Kgs"/>
    <n v="39269080"/>
    <s v="Rs."/>
    <n v="1"/>
    <n v="1524"/>
    <s v="India"/>
  </r>
  <r>
    <d v="2026-10-08T00:00:00"/>
    <s v="Plastene India ltd - Unit 1-Purchase"/>
    <s v="R.M.P."/>
    <s v="RM 417"/>
    <s v="Purchase Withinstate - Raw Material"/>
    <s v="PIL1/D/1336"/>
    <d v="2026-10-08T00:00:00"/>
    <s v="SF"/>
    <s v="PP/PE Fabric"/>
    <x v="0"/>
    <s v="PP WOVEN FABRIC"/>
    <s v="PP UL Fabric With UV"/>
    <n v="480"/>
    <n v="68313.600000000006"/>
    <s v="PP UL Fabric With UV"/>
    <n v="0"/>
    <n v="9"/>
    <n v="6148.22"/>
    <n v="9"/>
    <n v="6148.22"/>
    <n v="0"/>
    <n v="0"/>
    <n v="0"/>
    <n v="12296.44"/>
    <n v="0"/>
    <s v="24AAACO3087C1ZT"/>
    <s v="Kgs"/>
    <n v="39269080"/>
    <s v="Rs."/>
    <n v="1"/>
    <n v="480"/>
    <s v="India"/>
  </r>
  <r>
    <d v="2026-11-08T00:00:00"/>
    <s v="Brahmani Labels"/>
    <s v="General Purchase"/>
    <s v="GNCN 151"/>
    <s v="Purchase Withinstate- Stores, Spares &amp; Consumable"/>
    <n v="420"/>
    <d v="2026-06-08T00:00:00"/>
    <s v="SF"/>
    <s v="Liners"/>
    <x v="5"/>
    <s v="LDPE/LLDPE Bags"/>
    <s v="PE Labels (Kgs)"/>
    <n v="113"/>
    <n v="31000"/>
    <s v="PE Labels (Kgs)"/>
    <n v="36580"/>
    <n v="9"/>
    <n v="2790"/>
    <n v="9"/>
    <n v="2790"/>
    <n v="0"/>
    <n v="0"/>
    <n v="0"/>
    <n v="5580"/>
    <n v="0"/>
    <s v="24CIAPP4681A1ZK"/>
    <s v="Kgs"/>
    <n v="3920101"/>
    <s v="Rs."/>
    <n v="1"/>
    <n v="113"/>
    <m/>
  </r>
  <r>
    <d v="2026-11-08T00:00:00"/>
    <s v="Brahmani Labels"/>
    <s v="General Purchase"/>
    <s v="GNCN 152"/>
    <s v="Purchase Withinstate- Stores, Spares &amp; Consumable"/>
    <n v="422"/>
    <d v="2026-07-08T00:00:00"/>
    <s v="SF"/>
    <s v="Liners"/>
    <x v="5"/>
    <s v="LDPE/LLDPE Bags"/>
    <s v="PE Labels (Kgs)"/>
    <n v="56.5"/>
    <n v="15500"/>
    <s v="PE Labels (Kgs)"/>
    <n v="18290"/>
    <n v="9"/>
    <n v="1395"/>
    <n v="9"/>
    <n v="1395"/>
    <n v="0"/>
    <n v="0"/>
    <n v="0"/>
    <n v="2790"/>
    <n v="0"/>
    <s v="24CIAPP4681A1ZK"/>
    <s v="Kgs"/>
    <n v="3920101"/>
    <s v="Rs."/>
    <n v="1"/>
    <n v="56.5"/>
    <m/>
  </r>
  <r>
    <d v="2026-11-08T00:00:00"/>
    <s v="Brahmani Printers"/>
    <s v="General Purchase"/>
    <s v="GNCN 150"/>
    <s v="Purchase Withinstate- Stores, Spares &amp; Consumable"/>
    <n v="412"/>
    <d v="2026-07-08T00:00:00"/>
    <s v="RM Consumables"/>
    <s v="FIBC Accessories"/>
    <x v="5"/>
    <s v="LDPE/LLDPE Bags"/>
    <s v="Tyvek Labels"/>
    <n v="3.68"/>
    <n v="6024"/>
    <s v="Tyvek Labels"/>
    <n v="7108.02"/>
    <n v="9"/>
    <n v="542.16"/>
    <n v="9"/>
    <n v="542.16"/>
    <n v="0"/>
    <n v="0"/>
    <n v="0"/>
    <n v="1084.32"/>
    <n v="0"/>
    <s v="24CSJPP6974M1ZU"/>
    <s v="Sq Meter"/>
    <n v="58079010"/>
    <s v="Rs."/>
    <n v="1"/>
    <n v="3.68"/>
    <s v="India"/>
  </r>
  <r>
    <d v="2026-11-08T00:00:00"/>
    <s v="HCP Plastene Bulkpack Limited - Purchase"/>
    <s v="R.M.P."/>
    <s v="RM 419"/>
    <s v="Purchase Withinstate - Raw Material"/>
    <s v="HPBL/D/478"/>
    <d v="2026-10-08T00:00:00"/>
    <s v="SF"/>
    <s v="PP/PE Fabric"/>
    <x v="0"/>
    <s v="PP WOVEN FABRIC"/>
    <s v="PP UL Fabric With UV"/>
    <n v="215"/>
    <n v="34290.35"/>
    <s v="PP UL Fabric With UV"/>
    <n v="684708.3"/>
    <n v="9"/>
    <n v="3086.13"/>
    <n v="9"/>
    <n v="3086.13"/>
    <n v="0"/>
    <n v="0"/>
    <n v="0"/>
    <n v="6172.26"/>
    <n v="0"/>
    <s v="24AABCG1282C2Z6"/>
    <s v="Kgs"/>
    <n v="39269080"/>
    <s v="Rs."/>
    <n v="1"/>
    <n v="215"/>
    <s v="India"/>
  </r>
  <r>
    <d v="2026-11-08T00:00:00"/>
    <s v="HCP Plastene Bulkpack Limited - Purchase"/>
    <s v="R.M.P."/>
    <s v="RM 419"/>
    <s v="Purchase Withinstate - Raw Material"/>
    <s v="HPBL/D/478"/>
    <d v="2026-10-08T00:00:00"/>
    <s v="SF"/>
    <s v="PP/PE Fabric"/>
    <x v="0"/>
    <s v="PP WOVEN FABRIC"/>
    <s v="PP UL Fabric With UV"/>
    <n v="3492"/>
    <n v="546463.07999999996"/>
    <s v="PP UL Fabric With UV"/>
    <n v="0"/>
    <n v="9"/>
    <n v="49181.68"/>
    <n v="9"/>
    <n v="49181.68"/>
    <n v="0"/>
    <n v="0"/>
    <n v="0"/>
    <n v="98363.36"/>
    <n v="0"/>
    <s v="24AABCG1282C2Z6"/>
    <s v="Kgs"/>
    <n v="39269080"/>
    <s v="Rs."/>
    <n v="1"/>
    <n v="3492"/>
    <s v="India"/>
  </r>
  <r>
    <d v="2026-11-08T00:00:00"/>
    <s v="Plastene India ltd - Unit 1-Purchase"/>
    <s v="R.M.P."/>
    <s v="RM 418"/>
    <s v="Purchase Withinstate - Raw Material"/>
    <s v="PIL1/D/1339"/>
    <d v="2026-11-08T00:00:00"/>
    <s v="FG"/>
    <s v="FIBC Bags"/>
    <x v="8"/>
    <s v="FIBC"/>
    <s v="FIBC Bags With UV Without Liner"/>
    <n v="1314"/>
    <n v="292601.52"/>
    <s v="FIBC Bags With UV Without Liner"/>
    <n v="2083837.48"/>
    <n v="9"/>
    <n v="26334.14"/>
    <n v="9"/>
    <n v="26334.14"/>
    <n v="0"/>
    <n v="0"/>
    <n v="0"/>
    <n v="52668.28"/>
    <n v="0"/>
    <s v="24AAACO3087C1ZT"/>
    <s v="Kgs"/>
    <n v="63053200"/>
    <s v="Rs."/>
    <n v="1"/>
    <n v="1314"/>
    <s v="India"/>
  </r>
  <r>
    <d v="2026-11-08T00:00:00"/>
    <s v="Plastene India ltd - Unit 1-Purchase"/>
    <s v="R.M.P."/>
    <s v="RM 418"/>
    <s v="Purchase Withinstate - Raw Material"/>
    <s v="PIL1/D/1339"/>
    <d v="2026-11-08T00:00:00"/>
    <s v="FG"/>
    <s v="FIBC Bags"/>
    <x v="8"/>
    <s v="FIBC"/>
    <s v="FIBC Bags With UV Without Liner"/>
    <n v="2644"/>
    <n v="585275.84"/>
    <s v="FIBC Bags With UV Without Liner"/>
    <n v="0"/>
    <n v="9"/>
    <n v="52674.83"/>
    <n v="9"/>
    <n v="52674.83"/>
    <n v="0"/>
    <n v="0"/>
    <n v="0"/>
    <n v="105349.66"/>
    <n v="0"/>
    <s v="24AAACO3087C1ZT"/>
    <s v="Kgs"/>
    <n v="63053200"/>
    <s v="Rs."/>
    <n v="1"/>
    <n v="2644"/>
    <s v="India"/>
  </r>
  <r>
    <d v="2026-11-08T00:00:00"/>
    <s v="Plastene India ltd - Unit 1-Purchase"/>
    <s v="R.M.P."/>
    <s v="RM 418"/>
    <s v="Purchase Withinstate - Raw Material"/>
    <s v="PIL1/D/1339"/>
    <d v="2026-11-08T00:00:00"/>
    <s v="FG"/>
    <s v="FIBC Bags"/>
    <x v="8"/>
    <s v="FIBC"/>
    <s v="FIBC Bags With UV Without Liner"/>
    <n v="456"/>
    <n v="100475.04"/>
    <s v="FIBC Bags With UV Without Liner"/>
    <n v="0"/>
    <n v="9"/>
    <n v="9042.75"/>
    <n v="9"/>
    <n v="9042.75"/>
    <n v="0"/>
    <n v="0"/>
    <n v="0"/>
    <n v="18085.5"/>
    <n v="0"/>
    <s v="24AAACO3087C1ZT"/>
    <s v="Kgs"/>
    <n v="63053200"/>
    <s v="Rs."/>
    <n v="1"/>
    <n v="456"/>
    <s v="India"/>
  </r>
  <r>
    <d v="2026-11-08T00:00:00"/>
    <s v="Plastene India ltd - Unit 1-Purchase"/>
    <s v="R.M.P."/>
    <s v="RM 418"/>
    <s v="Purchase Withinstate - Raw Material"/>
    <s v="PIL1/D/1339"/>
    <d v="2026-11-08T00:00:00"/>
    <s v="FG"/>
    <s v="FIBC Bags"/>
    <x v="8"/>
    <s v="FIBC"/>
    <s v="FIBC Bags With UV Without Liner"/>
    <n v="2224"/>
    <n v="487834.4"/>
    <s v="FIBC Bags With UV Without Liner"/>
    <n v="0"/>
    <n v="9"/>
    <n v="43905.1"/>
    <n v="9"/>
    <n v="43905.1"/>
    <n v="0"/>
    <n v="0"/>
    <n v="0"/>
    <n v="87810.2"/>
    <n v="0"/>
    <s v="24AAACO3087C1ZT"/>
    <s v="Kgs"/>
    <n v="63053200"/>
    <s v="Rs."/>
    <n v="1"/>
    <n v="2224"/>
    <s v="India"/>
  </r>
  <r>
    <d v="2026-11-08T00:00:00"/>
    <s v="Plastene India ltd - Unit 1-Purchase"/>
    <s v="R.M.P."/>
    <s v="RM 418"/>
    <s v="Purchase Withinstate - Raw Material"/>
    <s v="PIL1/D/1339"/>
    <d v="2026-11-08T00:00:00"/>
    <s v="FG"/>
    <s v="FIBC Bags"/>
    <x v="8"/>
    <s v="FIBC"/>
    <s v="FIBC Bags With UV Without Liner"/>
    <n v="1339"/>
    <n v="301275"/>
    <s v="FIBC Bags With UV Without Liner"/>
    <n v="0"/>
    <n v="9"/>
    <n v="27114.75"/>
    <n v="9"/>
    <n v="27114.75"/>
    <n v="0"/>
    <n v="0"/>
    <n v="0"/>
    <n v="54229.5"/>
    <n v="0"/>
    <s v="24AAACO3087C1ZT"/>
    <s v="Kgs"/>
    <n v="63053200"/>
    <s v="Rs."/>
    <n v="1"/>
    <n v="1339"/>
    <s v="India"/>
  </r>
  <r>
    <d v="2026-12-08T00:00:00"/>
    <s v="K.P. Woven Pvt Ltd-Purchase"/>
    <s v="R.M.P."/>
    <s v="RM 422"/>
    <s v="Purchase Withinstate - Raw Material"/>
    <s v="KPV/D/585"/>
    <d v="2026-11-08T00:00:00"/>
    <s v="SF"/>
    <s v="Yarn All"/>
    <x v="9"/>
    <s v="Yarn"/>
    <s v="PP Fibrillated Tape Twisted 3200 MW"/>
    <n v="375"/>
    <n v="58650"/>
    <s v="PP Fibrillated Tape Twisted 3200 MW"/>
    <n v="358322.68"/>
    <n v="2.5"/>
    <n v="1466.25"/>
    <n v="2.5"/>
    <n v="1466.25"/>
    <n v="0"/>
    <n v="0"/>
    <n v="0"/>
    <n v="2932.5"/>
    <n v="0"/>
    <s v="24AAECK6307M1ZF"/>
    <s v="Kgs"/>
    <n v="54026930"/>
    <s v="Rs."/>
    <n v="1"/>
    <n v="375"/>
    <s v="India"/>
  </r>
  <r>
    <d v="2026-12-08T00:00:00"/>
    <s v="K.P. Woven Pvt Ltd-Purchase"/>
    <s v="R.M.P."/>
    <s v="RM 422"/>
    <s v="Purchase Withinstate - Raw Material"/>
    <s v="KPV/D/585"/>
    <d v="2026-11-08T00:00:00"/>
    <s v="SF"/>
    <s v="Yarn All"/>
    <x v="9"/>
    <s v="Yarn"/>
    <s v="PP Fibrillated Tape Twisted 3200 Blue"/>
    <n v="1775"/>
    <n v="282935"/>
    <s v="PP Fibrillated Tape Twisted 3200 Blue"/>
    <n v="0"/>
    <n v="2.5"/>
    <n v="7073.38"/>
    <n v="2.5"/>
    <n v="7073.38"/>
    <n v="0"/>
    <n v="0"/>
    <n v="0"/>
    <n v="14146.76"/>
    <n v="0"/>
    <s v="24AAECK6307M1ZF"/>
    <s v="Kgs"/>
    <n v="54026930"/>
    <s v="Rs."/>
    <n v="1"/>
    <n v="1775"/>
    <s v="India"/>
  </r>
  <r>
    <d v="2026-12-08T00:00:00"/>
    <s v="Plastene India ltd - Unit 1-Purchase"/>
    <s v="R.M.P."/>
    <s v="RM 420"/>
    <s v="Purchase Withinstate - Raw Material"/>
    <s v="PIL1/D/1345"/>
    <d v="2026-11-08T00:00:00"/>
    <s v="SF"/>
    <s v="PP/PE Fabric"/>
    <x v="1"/>
    <s v="PP Laminated Fabric"/>
    <s v="PP Lam Fabric With UV"/>
    <n v="3258"/>
    <n v="486484.56"/>
    <s v="PP Lam Fabric With UV"/>
    <n v="950703.34"/>
    <n v="9"/>
    <n v="43783.61"/>
    <n v="9"/>
    <n v="43783.61"/>
    <n v="0"/>
    <n v="0"/>
    <n v="0"/>
    <n v="87567.22"/>
    <n v="0"/>
    <s v="24AAACO3087C1ZT"/>
    <s v="Kgs"/>
    <n v="63053300"/>
    <s v="Rs."/>
    <n v="1"/>
    <n v="3258"/>
    <s v="India"/>
  </r>
  <r>
    <d v="2026-12-08T00:00:00"/>
    <s v="Plastene India ltd - Unit 1-Purchase"/>
    <s v="R.M.P."/>
    <s v="RM 420"/>
    <s v="Purchase Withinstate - Raw Material"/>
    <s v="PIL1/D/1345"/>
    <d v="2026-11-08T00:00:00"/>
    <s v="SF"/>
    <s v="Webbing"/>
    <x v="2"/>
    <s v="PP Webbing"/>
    <s v="Webbing"/>
    <n v="769.9"/>
    <n v="113421.66"/>
    <s v="Webbing"/>
    <n v="0"/>
    <n v="9"/>
    <n v="10207.950000000001"/>
    <n v="9"/>
    <n v="10207.950000000001"/>
    <n v="0"/>
    <n v="0"/>
    <n v="0"/>
    <n v="20415.900000000001"/>
    <n v="0"/>
    <s v="24AAACO3087C1ZT"/>
    <s v="Kgs"/>
    <n v="3926908"/>
    <s v="Rs."/>
    <n v="1"/>
    <n v="769.9"/>
    <s v="India"/>
  </r>
  <r>
    <d v="2026-12-08T00:00:00"/>
    <s v="Plastene India ltd - Unit 1-Purchase"/>
    <s v="R.M.P."/>
    <s v="RM 420"/>
    <s v="Purchase Withinstate - Raw Material"/>
    <s v="PIL1/D/1345"/>
    <d v="2026-11-08T00:00:00"/>
    <s v="SF"/>
    <s v="Webbing"/>
    <x v="2"/>
    <s v="PP Webbing"/>
    <s v="Webbing"/>
    <n v="697.5"/>
    <n v="100663.22"/>
    <s v="Webbing"/>
    <n v="0"/>
    <n v="9"/>
    <n v="9059.69"/>
    <n v="9"/>
    <n v="9059.69"/>
    <n v="0"/>
    <n v="0"/>
    <n v="0"/>
    <n v="18119.38"/>
    <n v="0"/>
    <s v="24AAACO3087C1ZT"/>
    <s v="Kgs"/>
    <n v="3926908"/>
    <s v="Rs."/>
    <n v="1"/>
    <n v="697.5"/>
    <s v="India"/>
  </r>
  <r>
    <d v="2026-12-08T00:00:00"/>
    <s v="Plastene India ltd - Unit 1-Purchase"/>
    <s v="R.M.P."/>
    <s v="RM 420"/>
    <s v="Purchase Withinstate - Raw Material"/>
    <s v="PIL1/D/1345"/>
    <d v="2026-11-08T00:00:00"/>
    <s v="SF"/>
    <s v="Liners"/>
    <x v="5"/>
    <s v="LDPE/LLDPE Bags"/>
    <s v="LDPE/LLDPE Bags/Liner"/>
    <n v="487"/>
    <n v="97818.82"/>
    <s v="LDPE/LLDPE Bags/Liner"/>
    <n v="0"/>
    <n v="9"/>
    <n v="8803.69"/>
    <n v="9"/>
    <n v="8803.69"/>
    <n v="0"/>
    <n v="0"/>
    <n v="0"/>
    <n v="17607.38"/>
    <n v="0"/>
    <s v="24AAACO3087C1ZT"/>
    <s v="Kgs"/>
    <n v="39200000"/>
    <s v="Rs."/>
    <n v="1"/>
    <n v="487"/>
    <s v="India"/>
  </r>
  <r>
    <d v="2026-12-08T00:00:00"/>
    <s v="Plastene India ltd - Unit 1-Purchase"/>
    <s v="R.M.P."/>
    <s v="RM 420"/>
    <s v="Purchase Withinstate - Raw Material"/>
    <s v="PIL1/D/1345"/>
    <d v="2026-11-08T00:00:00"/>
    <s v="SF"/>
    <s v="Films All (SF)"/>
    <x v="13"/>
    <s v="LLDPE FILM"/>
    <s v="LDPE/LLDPE Film"/>
    <n v="47.8"/>
    <n v="7975.9"/>
    <s v="LDPE/LLDPE Film"/>
    <n v="0"/>
    <n v="9"/>
    <n v="717.83"/>
    <n v="9"/>
    <n v="717.83"/>
    <n v="0"/>
    <n v="0"/>
    <n v="0"/>
    <n v="1435.66"/>
    <n v="0"/>
    <s v="24AAACO3087C1ZT"/>
    <s v="Kgs"/>
    <n v="3920101"/>
    <s v="Rs."/>
    <n v="1"/>
    <n v="47.8"/>
    <s v="India"/>
  </r>
  <r>
    <d v="2026-12-08T00:00:00"/>
    <s v="Plastene India ltd - Unit 1-Purchase"/>
    <s v="R.M.P."/>
    <s v="RM 421"/>
    <s v="Purchase Withinstate - Raw Material"/>
    <s v="PIL1/D/1346"/>
    <d v="2026-12-08T00:00:00"/>
    <s v="SF"/>
    <s v="PP/PE Fabric"/>
    <x v="0"/>
    <s v="PP WOVEN FABRIC"/>
    <s v="PP UL Fabric With UV"/>
    <n v="2760"/>
    <n v="392803.2"/>
    <s v="PP UL Fabric With UV"/>
    <n v="463114.98"/>
    <n v="9"/>
    <n v="35352.29"/>
    <n v="9"/>
    <n v="35352.29"/>
    <n v="0"/>
    <n v="0"/>
    <n v="0"/>
    <n v="70704.58"/>
    <n v="0"/>
    <s v="24AAACO3087C1ZT"/>
    <s v="Kgs"/>
    <n v="39269080"/>
    <s v="Rs."/>
    <n v="1"/>
    <n v="2760"/>
    <s v="India"/>
  </r>
  <r>
    <d v="2026-12-08T00:00:00"/>
    <s v="Plastene India ltd - Unit 1-Purchase"/>
    <s v="R.M.P."/>
    <s v="RM 424"/>
    <s v="Purchase Withinstate - Raw Material"/>
    <s v="PIL1/D/1353"/>
    <d v="2026-12-08T00:00:00"/>
    <s v="SF"/>
    <s v="Liners"/>
    <x v="5"/>
    <s v="LDPE/LLDPE Bags"/>
    <s v="LDPE/LLDPE Bags/Liner"/>
    <n v="525"/>
    <n v="96001.5"/>
    <s v="LDPE/LLDPE Bags/Liner"/>
    <n v="949770.96"/>
    <n v="9"/>
    <n v="8640.14"/>
    <n v="9"/>
    <n v="8640.14"/>
    <n v="0"/>
    <n v="0"/>
    <n v="0"/>
    <n v="17280.28"/>
    <n v="0"/>
    <s v="24AAACO3087C1ZT"/>
    <s v="Kgs"/>
    <n v="39200000"/>
    <s v="Rs."/>
    <n v="1"/>
    <n v="525"/>
    <s v="India"/>
  </r>
  <r>
    <d v="2026-12-08T00:00:00"/>
    <s v="Plastene India ltd - Unit 1-Purchase"/>
    <s v="R.M.P."/>
    <s v="RM 424"/>
    <s v="Purchase Withinstate - Raw Material"/>
    <s v="PIL1/D/1353"/>
    <d v="2026-12-08T00:00:00"/>
    <s v="SF"/>
    <s v="PP/PE Fabric"/>
    <x v="0"/>
    <s v="PP WOVEN FABRIC"/>
    <s v="PP UL Fabric With UV"/>
    <n v="1401"/>
    <n v="199390.32"/>
    <s v="PP UL Fabric With UV"/>
    <n v="0"/>
    <n v="9"/>
    <n v="17945.13"/>
    <n v="9"/>
    <n v="17945.13"/>
    <n v="0"/>
    <n v="0"/>
    <n v="0"/>
    <n v="35890.26"/>
    <n v="0"/>
    <s v="24AAACO3087C1ZT"/>
    <s v="Kgs"/>
    <n v="39269080"/>
    <s v="Rs."/>
    <n v="1"/>
    <n v="1401"/>
    <s v="India"/>
  </r>
  <r>
    <d v="2026-12-08T00:00:00"/>
    <s v="Plastene India ltd - Unit 1-Purchase"/>
    <s v="R.M.P."/>
    <s v="RM 424"/>
    <s v="Purchase Withinstate - Raw Material"/>
    <s v="PIL1/D/1353"/>
    <d v="2026-12-08T00:00:00"/>
    <s v="Packing Material"/>
    <s v="Stretch Film"/>
    <x v="13"/>
    <s v="LLDPE FILM"/>
    <s v="Stretch Film 300mmx29Mic"/>
    <n v="34"/>
    <n v="5270"/>
    <s v="Stretch Film 300mmx29Mic"/>
    <n v="0"/>
    <n v="9"/>
    <n v="474.3"/>
    <n v="9"/>
    <n v="474.3"/>
    <n v="0"/>
    <n v="0"/>
    <n v="0"/>
    <n v="948.6"/>
    <n v="0"/>
    <s v="24AAACO3087C1ZT"/>
    <s v="Kgs"/>
    <n v="84821011"/>
    <s v="Rs."/>
    <n v="1"/>
    <n v="34"/>
    <s v="India"/>
  </r>
  <r>
    <d v="2026-12-08T00:00:00"/>
    <s v="Plastene India ltd - Unit 1-Purchase"/>
    <s v="R.M.P."/>
    <s v="RM 424"/>
    <s v="Purchase Withinstate - Raw Material"/>
    <s v="PIL1/D/1353"/>
    <d v="2026-12-08T00:00:00"/>
    <s v="SF"/>
    <s v="Liners"/>
    <x v="5"/>
    <s v="LDPE/LLDPE Bags"/>
    <s v="PE Labels (Kgs)"/>
    <n v="192.7"/>
    <n v="23124"/>
    <s v="PE Labels (Kgs)"/>
    <n v="0"/>
    <n v="9"/>
    <n v="2081.16"/>
    <n v="9"/>
    <n v="2081.16"/>
    <n v="0"/>
    <n v="0"/>
    <n v="0"/>
    <n v="4162.32"/>
    <n v="0"/>
    <s v="24AAACO3087C1ZT"/>
    <s v="Kgs"/>
    <n v="3920101"/>
    <s v="Rs."/>
    <n v="1"/>
    <n v="192.7"/>
    <s v="India"/>
  </r>
  <r>
    <d v="2026-12-08T00:00:00"/>
    <s v="Plastene India ltd - Unit 1-Purchase"/>
    <s v="R.M.P."/>
    <s v="RM 424"/>
    <s v="Purchase Withinstate - Raw Material"/>
    <s v="PIL1/D/1353"/>
    <d v="2026-12-08T00:00:00"/>
    <s v="SF"/>
    <s v="Yarn All"/>
    <x v="9"/>
    <s v="Yarn"/>
    <s v="PP MF Yarn Twisted 1000 UV NW"/>
    <n v="914.9"/>
    <n v="141187.37"/>
    <s v="PP MF Yarn Twisted 1000 UV NW"/>
    <n v="0"/>
    <n v="2.5"/>
    <n v="3529.68"/>
    <n v="2.5"/>
    <n v="3529.68"/>
    <n v="0"/>
    <n v="0"/>
    <n v="0"/>
    <n v="7059.36"/>
    <n v="0"/>
    <s v="24AAACO3087C1ZT"/>
    <s v="Kgs"/>
    <n v="54026930"/>
    <s v="Rs."/>
    <n v="1"/>
    <n v="914.9"/>
    <s v="India"/>
  </r>
  <r>
    <d v="2026-12-08T00:00:00"/>
    <s v="Plastene India ltd - Unit 1-Purchase"/>
    <s v="R.M.P."/>
    <s v="RM 424"/>
    <s v="Purchase Withinstate - Raw Material"/>
    <s v="PIL1/D/1353"/>
    <d v="2026-12-08T00:00:00"/>
    <s v="SF"/>
    <s v="Yarn All"/>
    <x v="9"/>
    <s v="Yarn"/>
    <s v="PP Braided Rope MW 6 to 8 GPM"/>
    <n v="58.7"/>
    <n v="9322.73"/>
    <s v="PP Braided Rope MW 6 to 8 GPM"/>
    <n v="0"/>
    <n v="2.5"/>
    <n v="233.07"/>
    <n v="2.5"/>
    <n v="233.07"/>
    <n v="0"/>
    <n v="0"/>
    <n v="0"/>
    <n v="466.14"/>
    <n v="0"/>
    <s v="24AAACO3087C1ZT"/>
    <s v="Kgs"/>
    <n v="540269"/>
    <s v="Rs."/>
    <n v="1"/>
    <n v="58.7"/>
    <s v="India"/>
  </r>
  <r>
    <d v="2026-12-08T00:00:00"/>
    <s v="Plastene India ltd - Unit 1-Purchase"/>
    <s v="R.M.P."/>
    <s v="RM 424"/>
    <s v="Purchase Withinstate - Raw Material"/>
    <s v="PIL1/D/1353"/>
    <d v="2026-12-08T00:00:00"/>
    <s v="SF"/>
    <s v="PP/PE Fabric"/>
    <x v="1"/>
    <s v="PP Laminated Fabric"/>
    <s v="PP Lam Fabric With UV"/>
    <n v="1540"/>
    <n v="229952.8"/>
    <s v="PP Lam Fabric With UV"/>
    <n v="0"/>
    <n v="9"/>
    <n v="20695.75"/>
    <n v="9"/>
    <n v="20695.75"/>
    <n v="0"/>
    <n v="0"/>
    <n v="0"/>
    <n v="41391.5"/>
    <n v="0"/>
    <s v="24AAACO3087C1ZT"/>
    <s v="Kgs"/>
    <n v="63053300"/>
    <s v="Rs."/>
    <n v="1"/>
    <n v="1540"/>
    <s v="India"/>
  </r>
  <r>
    <d v="2026-12-08T00:00:00"/>
    <s v="Plastene India ltd - Unit 1-Purchase"/>
    <s v="R.M.P."/>
    <s v="RM 424"/>
    <s v="Purchase Withinstate - Raw Material"/>
    <s v="PIL1/D/1353"/>
    <d v="2026-12-08T00:00:00"/>
    <s v="SF"/>
    <s v="Webbing"/>
    <x v="2"/>
    <s v="PP Webbing"/>
    <s v="Webbing"/>
    <n v="405.8"/>
    <n v="58565.06"/>
    <s v="Webbing"/>
    <n v="0"/>
    <n v="9"/>
    <n v="5270.86"/>
    <n v="9"/>
    <n v="5270.86"/>
    <n v="0"/>
    <n v="0"/>
    <n v="0"/>
    <n v="10541.72"/>
    <n v="0"/>
    <s v="24AAACO3087C1ZT"/>
    <s v="Kgs"/>
    <n v="3926908"/>
    <s v="Rs."/>
    <n v="1"/>
    <n v="405.8"/>
    <s v="India"/>
  </r>
  <r>
    <d v="2026-12-08T00:00:00"/>
    <s v="Plastene India ltd - Unit 1-Purchase"/>
    <s v="R.M.P."/>
    <s v="RM 424"/>
    <s v="Purchase Withinstate - Raw Material"/>
    <s v="PIL1/D/1353"/>
    <d v="2026-12-08T00:00:00"/>
    <s v="SF"/>
    <s v="Webbing"/>
    <x v="2"/>
    <s v="PP Webbing"/>
    <s v="Webbing"/>
    <n v="402.9"/>
    <n v="59355.23"/>
    <s v="Webbing"/>
    <n v="0"/>
    <n v="9"/>
    <n v="5341.97"/>
    <n v="9"/>
    <n v="5341.97"/>
    <n v="0"/>
    <n v="0"/>
    <n v="0"/>
    <n v="10683.94"/>
    <n v="0"/>
    <s v="24AAACO3087C1ZT"/>
    <s v="Kgs"/>
    <n v="3926908"/>
    <s v="Rs."/>
    <n v="1"/>
    <n v="402.9"/>
    <s v="India"/>
  </r>
  <r>
    <d v="2026-12-08T00:00:00"/>
    <s v="Plastene India ltd - Unit 2-Purchase"/>
    <s v="R.M.P."/>
    <s v="RM 423"/>
    <s v="Purchase Withinstate - Raw Material"/>
    <s v="PIL2/D/486"/>
    <d v="2026-12-08T00:00:00"/>
    <s v="FG"/>
    <s v="FIBC Bags"/>
    <x v="8"/>
    <s v="FIBC"/>
    <s v="FIBC Bags With UV Without Liner"/>
    <n v="411"/>
    <n v="74571.839999999997"/>
    <s v="FIBC Bags With UV Without Liner"/>
    <n v="5293891.96"/>
    <n v="9"/>
    <n v="6711.47"/>
    <n v="9"/>
    <n v="6711.47"/>
    <n v="0"/>
    <n v="0"/>
    <n v="0"/>
    <n v="13422.94"/>
    <n v="0"/>
    <s v="24AAACO3087C1ZT"/>
    <s v="Kgs"/>
    <n v="63053200"/>
    <s v="Rs."/>
    <n v="1"/>
    <n v="411"/>
    <s v="India"/>
  </r>
  <r>
    <d v="2026-12-08T00:00:00"/>
    <s v="Plastene India ltd - Unit 2-Purchase"/>
    <s v="R.M.P."/>
    <s v="RM 423"/>
    <s v="Purchase Withinstate - Raw Material"/>
    <s v="PIL2/D/486"/>
    <d v="2026-12-08T00:00:00"/>
    <s v="FG"/>
    <s v="FIBC Bags"/>
    <x v="8"/>
    <s v="FIBC"/>
    <s v="FIBC Bags With UV Without Liner"/>
    <n v="1277"/>
    <n v="256957.94"/>
    <s v="FIBC Bags With UV Without Liner"/>
    <n v="0"/>
    <n v="9"/>
    <n v="23126.21"/>
    <n v="9"/>
    <n v="23126.21"/>
    <n v="0"/>
    <n v="0"/>
    <n v="0"/>
    <n v="46252.42"/>
    <n v="0"/>
    <s v="24AAACO3087C1ZT"/>
    <s v="Kgs"/>
    <n v="63053200"/>
    <s v="Rs."/>
    <n v="1"/>
    <n v="1277"/>
    <s v="India"/>
  </r>
  <r>
    <d v="2026-12-08T00:00:00"/>
    <s v="Plastene India ltd - Unit 2-Purchase"/>
    <s v="R.M.P."/>
    <s v="RM 423"/>
    <s v="Purchase Withinstate - Raw Material"/>
    <s v="PIL2/D/486"/>
    <d v="2026-12-08T00:00:00"/>
    <s v="FG"/>
    <s v="FIBC Bags"/>
    <x v="8"/>
    <s v="FIBC"/>
    <s v="FIBC Bags With UV Without Liner"/>
    <n v="3857"/>
    <n v="792189.23"/>
    <s v="FIBC Bags With UV Without Liner"/>
    <n v="0"/>
    <n v="9"/>
    <n v="71297.03"/>
    <n v="9"/>
    <n v="71297.03"/>
    <n v="0"/>
    <n v="0"/>
    <n v="0"/>
    <n v="142594.06"/>
    <n v="0"/>
    <s v="24AAACO3087C1ZT"/>
    <s v="Kgs"/>
    <n v="63053200"/>
    <s v="Rs."/>
    <n v="1"/>
    <n v="3857"/>
    <s v="India"/>
  </r>
  <r>
    <d v="2026-12-08T00:00:00"/>
    <s v="Plastene India ltd - Unit 2-Purchase"/>
    <s v="R.M.P."/>
    <s v="RM 423"/>
    <s v="Purchase Withinstate - Raw Material"/>
    <s v="PIL2/D/486"/>
    <d v="2026-12-08T00:00:00"/>
    <s v="FG"/>
    <s v="FIBC Bags"/>
    <x v="8"/>
    <s v="FIBC"/>
    <s v="FIBC Bags With UV Without Liner"/>
    <n v="13942"/>
    <n v="3366435.32"/>
    <s v="FIBC Bags With UV Without Liner"/>
    <n v="0"/>
    <n v="9"/>
    <n v="302979.18"/>
    <n v="9"/>
    <n v="302979.18"/>
    <n v="0"/>
    <n v="0"/>
    <n v="0"/>
    <n v="605958.36"/>
    <n v="0"/>
    <s v="24AAACO3087C1ZT"/>
    <s v="Kgs"/>
    <n v="63053200"/>
    <s v="Rs."/>
    <n v="1"/>
    <n v="13942"/>
    <s v="India"/>
  </r>
  <r>
    <s v="13-08-2026"/>
    <s v="Plastene India ltd - Unit 1-Purchase"/>
    <s v="R.M.P."/>
    <s v="RM 427"/>
    <s v="Purchase Withinstate - Raw Material"/>
    <s v="PIL1/D/1363"/>
    <s v="13-08-2026"/>
    <s v="SF"/>
    <s v="Liners"/>
    <x v="5"/>
    <s v="LDPE/LLDPE Bags"/>
    <s v="LDPE/LLDPE Bags/Liner"/>
    <n v="84.9"/>
    <n v="15015.41"/>
    <s v="LDPE/LLDPE Bags/Liner"/>
    <n v="262805.11"/>
    <n v="9"/>
    <n v="1351.39"/>
    <n v="9"/>
    <n v="1351.39"/>
    <n v="0"/>
    <n v="0"/>
    <n v="0"/>
    <n v="2702.78"/>
    <n v="0"/>
    <s v="24AAACO3087C1ZT"/>
    <s v="Kgs"/>
    <n v="39200000"/>
    <s v="Rs."/>
    <n v="1"/>
    <n v="84.9"/>
    <s v="India"/>
  </r>
  <r>
    <s v="13-08-2026"/>
    <s v="Plastene India ltd - Unit 1-Purchase"/>
    <s v="R.M.P."/>
    <s v="RM 427"/>
    <s v="Purchase Withinstate - Raw Material"/>
    <s v="PIL1/D/1363"/>
    <s v="13-08-2026"/>
    <s v="SF"/>
    <s v="PP/PE Fabric"/>
    <x v="0"/>
    <s v="PP WOVEN FABRIC"/>
    <s v="PP UL Fabric With UV"/>
    <n v="544"/>
    <n v="77422.080000000002"/>
    <s v="PP UL Fabric With UV"/>
    <n v="0"/>
    <n v="9"/>
    <n v="6967.99"/>
    <n v="9"/>
    <n v="6967.99"/>
    <n v="0"/>
    <n v="0"/>
    <n v="0"/>
    <n v="13935.98"/>
    <n v="0"/>
    <s v="24AAACO3087C1ZT"/>
    <s v="Kgs"/>
    <n v="39269080"/>
    <s v="Rs."/>
    <n v="1"/>
    <n v="544"/>
    <s v="India"/>
  </r>
  <r>
    <s v="13-08-2026"/>
    <s v="Plastene India ltd - Unit 1-Purchase"/>
    <s v="R.M.P."/>
    <s v="RM 427"/>
    <s v="Purchase Withinstate - Raw Material"/>
    <s v="PIL1/D/1363"/>
    <s v="13-08-2026"/>
    <s v="SF"/>
    <s v="PP/PE Fabric"/>
    <x v="1"/>
    <s v="PP Laminated Fabric"/>
    <s v="PP Lam Fabric With UV"/>
    <n v="86"/>
    <n v="12583.52"/>
    <s v="PP Lam Fabric With UV"/>
    <n v="0"/>
    <n v="9"/>
    <n v="1132.52"/>
    <n v="9"/>
    <n v="1132.52"/>
    <n v="0"/>
    <n v="0"/>
    <n v="0"/>
    <n v="2265.04"/>
    <n v="0"/>
    <s v="24AAACO3087C1ZT"/>
    <s v="Kgs"/>
    <n v="63053300"/>
    <s v="Rs."/>
    <n v="1"/>
    <n v="86"/>
    <s v="India"/>
  </r>
  <r>
    <s v="13-08-2026"/>
    <s v="Plastene India ltd - Unit 1-Purchase"/>
    <s v="R.M.P."/>
    <s v="RM 427"/>
    <s v="Purchase Withinstate - Raw Material"/>
    <s v="PIL1/D/1363"/>
    <s v="13-08-2026"/>
    <s v="SF"/>
    <s v="Webbing"/>
    <x v="2"/>
    <s v="PP Webbing"/>
    <s v="Webbing"/>
    <n v="354.6"/>
    <n v="52239.67"/>
    <s v="Webbing"/>
    <n v="0"/>
    <n v="9"/>
    <n v="4701.57"/>
    <n v="9"/>
    <n v="4701.57"/>
    <n v="0"/>
    <n v="0"/>
    <n v="0"/>
    <n v="9403.14"/>
    <n v="0"/>
    <s v="24AAACO3087C1ZT"/>
    <s v="Kgs"/>
    <n v="3926908"/>
    <s v="Rs."/>
    <n v="1"/>
    <n v="354.6"/>
    <s v="India"/>
  </r>
  <r>
    <s v="13-08-2026"/>
    <s v="Plastene India ltd - Unit 1-Purchase"/>
    <s v="R.M.P."/>
    <s v="RM 427"/>
    <s v="Purchase Withinstate - Raw Material"/>
    <s v="PIL1/D/1363"/>
    <s v="13-08-2026"/>
    <s v="SF"/>
    <s v="Webbing"/>
    <x v="2"/>
    <s v="PP Webbing"/>
    <s v="Webbing"/>
    <n v="429.2"/>
    <n v="61942.14"/>
    <s v="Webbing"/>
    <n v="0"/>
    <n v="9"/>
    <n v="5574.79"/>
    <n v="9"/>
    <n v="5574.79"/>
    <n v="0"/>
    <n v="0"/>
    <n v="0"/>
    <n v="11149.58"/>
    <n v="0"/>
    <s v="24AAACO3087C1ZT"/>
    <s v="Kgs"/>
    <n v="3926908"/>
    <s v="Rs."/>
    <n v="1"/>
    <n v="429.2"/>
    <s v="India"/>
  </r>
  <r>
    <s v="13-08-2026"/>
    <s v="Plastene India ltd - Unit 1-Purchase"/>
    <s v="R.M.P."/>
    <s v="RM 427"/>
    <s v="Purchase Withinstate - Raw Material"/>
    <s v="PIL1/D/1363"/>
    <s v="13-08-2026"/>
    <s v="SF"/>
    <s v="Yarn All"/>
    <x v="9"/>
    <s v="Yarn"/>
    <s v="PP Braided Rope MW 6 to 8 GPM"/>
    <n v="26.2"/>
    <n v="4161.08"/>
    <s v="PP Braided Rope MW 6 to 8 GPM"/>
    <n v="0"/>
    <n v="2.5"/>
    <n v="104.03"/>
    <n v="2.5"/>
    <n v="104.03"/>
    <n v="0"/>
    <n v="0"/>
    <n v="0"/>
    <n v="208.06"/>
    <n v="0"/>
    <s v="24AAACO3087C1ZT"/>
    <s v="Kgs"/>
    <n v="540269"/>
    <s v="Rs."/>
    <n v="1"/>
    <n v="26.2"/>
    <s v="India"/>
  </r>
  <r>
    <s v="13-08-2026"/>
    <s v="Plastene India ltd - Unit 2-Purchase"/>
    <s v="R.M.P."/>
    <s v="RM 425"/>
    <s v="Purchase Withinstate - Raw Material"/>
    <s v="PIL2/D/487"/>
    <d v="2026-12-08T00:00:00"/>
    <s v="FG"/>
    <s v="FIBC Bags"/>
    <x v="8"/>
    <s v="FIBC"/>
    <s v="FIBC Bags With UV Without Liner"/>
    <n v="4963"/>
    <n v="1044612.24"/>
    <s v="FIBC Bags With UV Without Liner"/>
    <n v="2455935.02"/>
    <n v="9"/>
    <n v="94015.1"/>
    <n v="9"/>
    <n v="94015.1"/>
    <n v="0"/>
    <n v="0"/>
    <n v="0"/>
    <n v="188030.2"/>
    <n v="0"/>
    <s v="24AAACO3087C1ZT"/>
    <s v="Kgs"/>
    <n v="63053200"/>
    <s v="Rs."/>
    <n v="1"/>
    <n v="4963"/>
    <s v="India"/>
  </r>
  <r>
    <s v="13-08-2026"/>
    <s v="Plastene India ltd - Unit 2-Purchase"/>
    <s v="R.M.P."/>
    <s v="RM 425"/>
    <s v="Purchase Withinstate - Raw Material"/>
    <s v="PIL2/D/487"/>
    <d v="2026-12-08T00:00:00"/>
    <s v="FG"/>
    <s v="FIBC Bags"/>
    <x v="8"/>
    <s v="FIBC"/>
    <s v="FIBC Bags With UV Without Liner"/>
    <n v="2888"/>
    <n v="601888.07999999996"/>
    <s v="FIBC Bags With UV Without Liner"/>
    <n v="0"/>
    <n v="9"/>
    <n v="54169.93"/>
    <n v="9"/>
    <n v="54169.93"/>
    <n v="0"/>
    <n v="0"/>
    <n v="0"/>
    <n v="108339.86"/>
    <n v="0"/>
    <s v="24AAACO3087C1ZT"/>
    <s v="Kgs"/>
    <n v="63053200"/>
    <s v="Rs."/>
    <n v="1"/>
    <n v="2888"/>
    <s v="India"/>
  </r>
  <r>
    <s v="13-08-2026"/>
    <s v="Plastene India ltd - Unit 2-Purchase"/>
    <s v="R.M.P."/>
    <s v="RM 425"/>
    <s v="Purchase Withinstate - Raw Material"/>
    <s v="PIL2/D/487"/>
    <d v="2026-12-08T00:00:00"/>
    <s v="FG"/>
    <s v="FIBC Bags"/>
    <x v="8"/>
    <s v="FIBC"/>
    <s v="FIBC Bags With UV Without Liner"/>
    <n v="1995"/>
    <n v="436565.85"/>
    <s v="FIBC Bags With UV Without Liner"/>
    <n v="0"/>
    <n v="9"/>
    <n v="39290.93"/>
    <n v="9"/>
    <n v="39290.93"/>
    <n v="0"/>
    <n v="0"/>
    <n v="0"/>
    <n v="78581.86"/>
    <n v="0"/>
    <s v="24AAACO3087C1ZT"/>
    <s v="Kgs"/>
    <n v="63053200"/>
    <s v="Rs."/>
    <n v="1"/>
    <n v="1995"/>
    <s v="India"/>
  </r>
  <r>
    <s v="13-08-2026"/>
    <s v="Simandhar Poly Industries - Unit 2"/>
    <s v="R.M.P."/>
    <s v="RM 426"/>
    <s v="Purchase Withinstate - Raw Material"/>
    <s v="2936/26-27"/>
    <d v="2026-11-08T00:00:00"/>
    <s v="RM"/>
    <s v="Granules"/>
    <x v="10"/>
    <s v="Master Batch"/>
    <s v="MB Chandan Shiny Black"/>
    <n v="400"/>
    <n v="64000"/>
    <s v="MB Chandan Shiny Black"/>
    <n v="75520"/>
    <n v="9"/>
    <n v="5760"/>
    <n v="9"/>
    <n v="5760"/>
    <n v="0"/>
    <n v="0"/>
    <n v="0"/>
    <n v="11520"/>
    <n v="0"/>
    <s v="24ADKFS4569F1ZS"/>
    <s v="Kgs"/>
    <n v="32064990"/>
    <s v="Rs."/>
    <n v="1"/>
    <n v="400"/>
    <s v="India"/>
  </r>
  <r>
    <s v="14-08-2026"/>
    <s v="HCP Plastene Bulkpack Limited - Purchase"/>
    <s v="R.M.P."/>
    <s v="RM 429"/>
    <s v="Purchase Withinstate - Raw Material"/>
    <s v="HPBL/D/491"/>
    <s v="13-08-2026"/>
    <s v="SF"/>
    <s v="PP/PE Fabric"/>
    <x v="0"/>
    <s v="PP WOVEN FABRIC"/>
    <s v="PP UL Fabric With UV"/>
    <n v="5921"/>
    <n v="926577.29"/>
    <s v="PP UL Fabric With UV"/>
    <n v="1092434.6299999999"/>
    <n v="9"/>
    <n v="83391.960000000006"/>
    <n v="9"/>
    <n v="83391.960000000006"/>
    <n v="0"/>
    <n v="0"/>
    <n v="0"/>
    <n v="166783.92000000001"/>
    <n v="0"/>
    <s v="24AABCG1282C2Z6"/>
    <s v="Kgs"/>
    <n v="39269080"/>
    <s v="Rs."/>
    <n v="1"/>
    <n v="5921"/>
    <s v="India"/>
  </r>
  <r>
    <s v="14-08-2026"/>
    <s v="K.P. Woven Pvt Ltd-Purchase"/>
    <s v="R.M.P."/>
    <s v="RM 430"/>
    <s v="Purchase Withinstate - Raw Material"/>
    <s v="KPV/D/598"/>
    <s v="13-08-2026"/>
    <s v="SF"/>
    <s v="Yarn All"/>
    <x v="9"/>
    <s v="Yarn"/>
    <s v="PP Fibrillated Tape Twisted 3200 MW"/>
    <n v="1775"/>
    <n v="277610"/>
    <s v="PP Fibrillated Tape Twisted 3200 MW"/>
    <n v="291212.89"/>
    <n v="2.5"/>
    <n v="6940.25"/>
    <n v="2.5"/>
    <n v="6940.25"/>
    <n v="0"/>
    <n v="0"/>
    <n v="0"/>
    <n v="13880.5"/>
    <n v="0"/>
    <s v="24AAECK6307M1ZF"/>
    <s v="Kgs"/>
    <n v="54026930"/>
    <s v="Rs."/>
    <n v="1"/>
    <n v="1775"/>
    <s v="India"/>
  </r>
  <r>
    <s v="14-08-2026"/>
    <s v="K.P. Woven Pvt Ltd-Purchase"/>
    <s v="R.M.P."/>
    <s v="RM 431"/>
    <s v="Purchase Withinstate - Raw Material"/>
    <s v="KPV/D/599"/>
    <s v="13-08-2026"/>
    <s v="FG"/>
    <s v="FIBC Bags"/>
    <x v="8"/>
    <s v="FIBC"/>
    <s v="FIBC Bags With UV Without Liner"/>
    <n v="1569"/>
    <n v="401867.97"/>
    <s v="FIBC Bags With UV Without Liner"/>
    <n v="864633.69"/>
    <n v="9"/>
    <n v="36168.120000000003"/>
    <n v="9"/>
    <n v="36168.120000000003"/>
    <n v="0"/>
    <n v="0"/>
    <n v="0"/>
    <n v="72336.240000000005"/>
    <n v="0"/>
    <s v="24AAECK6307M1ZF"/>
    <s v="Kgs"/>
    <n v="63053200"/>
    <s v="Rs."/>
    <n v="1"/>
    <n v="1569"/>
    <s v="India"/>
  </r>
  <r>
    <s v="14-08-2026"/>
    <s v="K.P. Woven Pvt Ltd-Purchase"/>
    <s v="R.M.P."/>
    <s v="RM 431"/>
    <s v="Purchase Withinstate - Raw Material"/>
    <s v="KPV/D/599"/>
    <s v="13-08-2026"/>
    <s v="FG"/>
    <s v="FIBC Bags"/>
    <x v="8"/>
    <s v="FIBC"/>
    <s v="FIBC Bags With UV Without Liner"/>
    <n v="1393.3"/>
    <n v="331493.94"/>
    <s v="FIBC Bags With UV Without Liner"/>
    <n v="0"/>
    <n v="9"/>
    <n v="29834.45"/>
    <n v="9"/>
    <n v="29834.45"/>
    <n v="0"/>
    <n v="0"/>
    <n v="0"/>
    <n v="59668.9"/>
    <n v="0"/>
    <s v="24AAECK6307M1ZF"/>
    <s v="Kgs"/>
    <n v="63053200"/>
    <s v="Rs."/>
    <n v="1"/>
    <n v="1393.3"/>
    <s v="India"/>
  </r>
  <r>
    <s v="14-08-2026"/>
    <s v="Plastene India ltd - Unit 1-Purchase"/>
    <s v="R.M.P."/>
    <s v="RM 428"/>
    <s v="Purchase Withinstate - Raw Material"/>
    <s v="PIL1/D/1371"/>
    <s v="14-08-2026"/>
    <s v="SF"/>
    <s v="RP Granules"/>
    <x v="14"/>
    <s v="REPROCESSED GRANULE"/>
    <s v="RP Granules"/>
    <n v="5000"/>
    <n v="525000"/>
    <s v="RP Granules"/>
    <n v="618975"/>
    <n v="9"/>
    <n v="47250"/>
    <n v="9"/>
    <n v="47250"/>
    <n v="0"/>
    <n v="0"/>
    <n v="0"/>
    <n v="94500"/>
    <n v="0"/>
    <s v="24AAACO3087C1ZT"/>
    <s v="Kgs"/>
    <n v="39021000"/>
    <s v="Rs."/>
    <n v="1"/>
    <n v="5000"/>
    <s v="India"/>
  </r>
  <r>
    <s v="14-08-2026"/>
    <s v="Plastene India ltd - Unit 1-Purchase"/>
    <s v="R.M.P."/>
    <s v="RM 433"/>
    <s v="Purchase Withinstate - Raw Material"/>
    <s v="PIL1/D/1377"/>
    <s v="14-08-2026"/>
    <s v="SF"/>
    <s v="Webbing"/>
    <x v="2"/>
    <s v="PP Webbing"/>
    <s v="Webbing"/>
    <n v="211"/>
    <n v="30451.52"/>
    <s v="Webbing"/>
    <n v="859148.11"/>
    <n v="9"/>
    <n v="2740.64"/>
    <n v="9"/>
    <n v="2740.64"/>
    <n v="0"/>
    <n v="0"/>
    <n v="0"/>
    <n v="5481.28"/>
    <n v="0"/>
    <s v="24AAACO3087C1ZT"/>
    <s v="Kgs"/>
    <n v="3926908"/>
    <s v="Rs."/>
    <n v="1"/>
    <n v="211"/>
    <s v="India"/>
  </r>
  <r>
    <s v="14-08-2026"/>
    <s v="Plastene India ltd - Unit 1-Purchase"/>
    <s v="R.M.P."/>
    <s v="RM 433"/>
    <s v="Purchase Withinstate - Raw Material"/>
    <s v="PIL1/D/1377"/>
    <s v="14-08-2026"/>
    <s v="SF"/>
    <s v="Webbing"/>
    <x v="2"/>
    <s v="PP Webbing"/>
    <s v="Webbing"/>
    <n v="300.33999999999997"/>
    <n v="44246.080000000002"/>
    <s v="Webbing"/>
    <n v="0"/>
    <n v="9"/>
    <n v="3982.15"/>
    <n v="9"/>
    <n v="3982.15"/>
    <n v="0"/>
    <n v="0"/>
    <n v="0"/>
    <n v="7964.3"/>
    <n v="0"/>
    <s v="24AAACO3087C1ZT"/>
    <s v="Kgs"/>
    <n v="3926908"/>
    <s v="Rs."/>
    <n v="1"/>
    <n v="300.33999999999997"/>
    <s v="India"/>
  </r>
  <r>
    <s v="14-08-2026"/>
    <s v="Plastene India ltd - Unit 1-Purchase"/>
    <s v="R.M.P."/>
    <s v="RM 433"/>
    <s v="Purchase Withinstate - Raw Material"/>
    <s v="PIL1/D/1377"/>
    <s v="14-08-2026"/>
    <s v="SF"/>
    <s v="Yarn All"/>
    <x v="9"/>
    <s v="Yarn"/>
    <s v="PP Braided Rope MW 6 to 8 GPM"/>
    <n v="36.9"/>
    <n v="5860.47"/>
    <s v="PP Braided Rope MW 6 to 8 GPM"/>
    <n v="0"/>
    <n v="2.5"/>
    <n v="146.51"/>
    <n v="2.5"/>
    <n v="146.51"/>
    <n v="0"/>
    <n v="0"/>
    <n v="0"/>
    <n v="293.02"/>
    <n v="0"/>
    <s v="24AAACO3087C1ZT"/>
    <s v="Kgs"/>
    <n v="540269"/>
    <s v="Rs."/>
    <n v="1"/>
    <n v="36.9"/>
    <s v="India"/>
  </r>
  <r>
    <s v="14-08-2026"/>
    <s v="Plastene India ltd - Unit 1-Purchase"/>
    <s v="R.M.P."/>
    <s v="RM 433"/>
    <s v="Purchase Withinstate - Raw Material"/>
    <s v="PIL1/D/1377"/>
    <s v="14-08-2026"/>
    <s v="SF"/>
    <s v="PP/PE Fabric"/>
    <x v="0"/>
    <s v="PP WOVEN FABRIC"/>
    <s v="PP UL Fabric With UV"/>
    <n v="4404"/>
    <n v="648797.28"/>
    <s v="PP UL Fabric With UV"/>
    <n v="0"/>
    <n v="9"/>
    <n v="58391.76"/>
    <n v="9"/>
    <n v="58391.76"/>
    <n v="0"/>
    <n v="0"/>
    <n v="0"/>
    <n v="116783.52"/>
    <n v="0"/>
    <s v="24AAACO3087C1ZT"/>
    <s v="Kgs"/>
    <n v="39269080"/>
    <s v="Rs."/>
    <n v="1"/>
    <n v="4404"/>
    <s v="India"/>
  </r>
  <r>
    <s v="14-08-2026"/>
    <s v="Plastene India ltd - Unit 2-Purchase"/>
    <s v="R.M.P."/>
    <s v="RM 432"/>
    <s v="Purchase Withinstate - Raw Material"/>
    <s v="PIL2/D/490"/>
    <s v="13-08-2026"/>
    <s v="FG"/>
    <s v="FIBC Bags"/>
    <x v="8"/>
    <s v="FIBC"/>
    <s v="FIBC Bags With UV Without Liner"/>
    <n v="2029"/>
    <n v="462875.77"/>
    <s v="FIBC Bags With UV Without Liner"/>
    <n v="1824866.21"/>
    <n v="9"/>
    <n v="41658.82"/>
    <n v="9"/>
    <n v="41658.82"/>
    <n v="0"/>
    <n v="0"/>
    <n v="0"/>
    <n v="83317.64"/>
    <n v="0"/>
    <s v="24AAACO3087C1ZT"/>
    <s v="Kgs"/>
    <n v="63053200"/>
    <s v="Rs."/>
    <n v="1"/>
    <n v="2029"/>
    <s v="India"/>
  </r>
  <r>
    <s v="14-08-2026"/>
    <s v="Plastene India ltd - Unit 2-Purchase"/>
    <s v="R.M.P."/>
    <s v="RM 432"/>
    <s v="Purchase Withinstate - Raw Material"/>
    <s v="PIL2/D/490"/>
    <s v="13-08-2026"/>
    <s v="SF"/>
    <s v="PP/PE Fabric"/>
    <x v="0"/>
    <s v="PP WOVEN FABRIC"/>
    <s v="PP UL Fabric With UV"/>
    <n v="1640"/>
    <n v="200080"/>
    <s v="PP UL Fabric With UV"/>
    <n v="0"/>
    <n v="9"/>
    <n v="18007.2"/>
    <n v="9"/>
    <n v="18007.2"/>
    <n v="0"/>
    <n v="0"/>
    <n v="0"/>
    <n v="36014.400000000001"/>
    <n v="0"/>
    <s v="24AAACO3087C1ZT"/>
    <s v="Kgs"/>
    <n v="39269080"/>
    <s v="Rs."/>
    <n v="1"/>
    <n v="1640"/>
    <s v="India"/>
  </r>
  <r>
    <s v="14-08-2026"/>
    <s v="Plastene India ltd - Unit 2-Purchase"/>
    <s v="R.M.P."/>
    <s v="RM 432"/>
    <s v="Purchase Withinstate - Raw Material"/>
    <s v="PIL2/D/490"/>
    <s v="13-08-2026"/>
    <s v="FG"/>
    <s v="FIBC Bags"/>
    <x v="8"/>
    <s v="FIBC"/>
    <s v="FIBC Bags With UV With Liner"/>
    <n v="1981"/>
    <n v="438930.17"/>
    <s v="FIBC Bags With UV With Liner"/>
    <n v="0"/>
    <n v="9"/>
    <n v="39503.72"/>
    <n v="9"/>
    <n v="39503.72"/>
    <n v="0"/>
    <n v="0"/>
    <n v="0"/>
    <n v="79007.44"/>
    <n v="0"/>
    <s v="24AAACO3087C1ZT"/>
    <s v="Kgs"/>
    <n v="63053200"/>
    <s v="Rs."/>
    <n v="1"/>
    <n v="1981"/>
    <s v="India"/>
  </r>
  <r>
    <s v="14-08-2026"/>
    <s v="Plastene India ltd - Unit 2-Purchase"/>
    <s v="R.M.P."/>
    <s v="RM 432"/>
    <s v="Purchase Withinstate - Raw Material"/>
    <s v="PIL2/D/490"/>
    <s v="13-08-2026"/>
    <s v="FG"/>
    <s v="FIBC Bags"/>
    <x v="8"/>
    <s v="FIBC"/>
    <s v="FIBC Bags With UV With Liner"/>
    <n v="1987"/>
    <n v="445922.54"/>
    <s v="FIBC Bags With UV With Liner"/>
    <n v="0"/>
    <n v="9"/>
    <n v="40133.03"/>
    <n v="9"/>
    <n v="40133.03"/>
    <n v="0"/>
    <n v="0"/>
    <n v="0"/>
    <n v="80266.06"/>
    <n v="0"/>
    <s v="24AAACO3087C1ZT"/>
    <s v="Kgs"/>
    <n v="63053200"/>
    <s v="Rs."/>
    <n v="1"/>
    <n v="1987"/>
    <s v="India"/>
  </r>
  <r>
    <s v="15-08-2026"/>
    <s v="Brahmani Labels"/>
    <s v="General Purchase"/>
    <s v="GNCN 161"/>
    <s v="Purchase Withinstate- Stores, Spares &amp; Consumable"/>
    <n v="447"/>
    <d v="2026-12-08T00:00:00"/>
    <s v="SF"/>
    <s v="Liners"/>
    <x v="5"/>
    <s v="LDPE/LLDPE Bags"/>
    <s v="PE Labels (Kgs)"/>
    <n v="105"/>
    <n v="34466.46"/>
    <s v="PE Labels (Kgs)"/>
    <n v="40670"/>
    <n v="9"/>
    <n v="3101.98"/>
    <n v="9"/>
    <n v="3101.98"/>
    <n v="0"/>
    <n v="0"/>
    <n v="0"/>
    <n v="6203.96"/>
    <n v="0"/>
    <s v="24CIAPP4681A1ZK"/>
    <s v="Kgs"/>
    <n v="3920101"/>
    <s v="Rs."/>
    <n v="1"/>
    <n v="105"/>
    <m/>
  </r>
  <r>
    <s v="15-08-2026"/>
    <s v="Brahmani Labels"/>
    <s v="General Purchase"/>
    <s v="GNCN 162"/>
    <s v="Purchase Withinstate- Stores, Spares &amp; Consumable"/>
    <n v="448"/>
    <s v="13-08-2026"/>
    <s v="SF"/>
    <s v="Liners"/>
    <x v="5"/>
    <s v="LDPE/LLDPE Bags"/>
    <s v="PE Labels (Kgs)"/>
    <n v="65"/>
    <n v="25379.97"/>
    <s v="PE Labels (Kgs)"/>
    <n v="29948.01"/>
    <n v="9"/>
    <n v="2284.1999999999998"/>
    <n v="9"/>
    <n v="2284.1999999999998"/>
    <n v="0"/>
    <n v="0"/>
    <n v="0"/>
    <n v="4568.3999999999996"/>
    <n v="0"/>
    <s v="24CIAPP4681A1ZK"/>
    <s v="Kgs"/>
    <n v="3920101"/>
    <s v="Rs."/>
    <n v="1"/>
    <n v="65"/>
    <m/>
  </r>
  <r>
    <s v="15-08-2026"/>
    <s v="Plastene India ltd - Unit 1-Purchase"/>
    <s v="R.M.P."/>
    <s v="RM 434"/>
    <s v="Purchase Withinstate - Raw Material"/>
    <s v="PIL1/D/1385"/>
    <s v="14-08-2026"/>
    <s v="SF"/>
    <s v="PP/PE Fabric"/>
    <x v="1"/>
    <s v="PP Laminated Fabric"/>
    <s v="PP Lam Fabric With UV"/>
    <n v="2876"/>
    <n v="429444.32"/>
    <s v="PP Lam Fabric With UV"/>
    <n v="977745.18"/>
    <n v="9"/>
    <n v="38649.99"/>
    <n v="9"/>
    <n v="38649.99"/>
    <n v="0"/>
    <n v="0"/>
    <n v="0"/>
    <n v="77299.98"/>
    <n v="0"/>
    <s v="24AAACO3087C1ZT"/>
    <s v="Kgs"/>
    <n v="63053300"/>
    <s v="Rs."/>
    <n v="1"/>
    <n v="2876"/>
    <s v="India"/>
  </r>
  <r>
    <s v="15-08-2026"/>
    <s v="Plastene India ltd - Unit 1-Purchase"/>
    <s v="R.M.P."/>
    <s v="RM 434"/>
    <s v="Purchase Withinstate - Raw Material"/>
    <s v="PIL1/D/1385"/>
    <s v="14-08-2026"/>
    <s v="SF"/>
    <s v="Webbing"/>
    <x v="2"/>
    <s v="PP Webbing"/>
    <s v="Webbing"/>
    <n v="253.9"/>
    <n v="37404.550000000003"/>
    <s v="Webbing"/>
    <n v="0"/>
    <n v="9"/>
    <n v="3366.41"/>
    <n v="9"/>
    <n v="3366.41"/>
    <n v="0"/>
    <n v="0"/>
    <n v="0"/>
    <n v="6732.82"/>
    <n v="0"/>
    <s v="24AAACO3087C1ZT"/>
    <s v="Kgs"/>
    <n v="3926908"/>
    <s v="Rs."/>
    <n v="1"/>
    <n v="253.9"/>
    <s v="India"/>
  </r>
  <r>
    <s v="15-08-2026"/>
    <s v="Plastene India ltd - Unit 1-Purchase"/>
    <s v="R.M.P."/>
    <s v="RM 434"/>
    <s v="Purchase Withinstate - Raw Material"/>
    <s v="PIL1/D/1385"/>
    <s v="14-08-2026"/>
    <s v="SF"/>
    <s v="Webbing"/>
    <x v="2"/>
    <s v="PP Webbing"/>
    <s v="Webbing"/>
    <n v="95.9"/>
    <n v="13840.29"/>
    <s v="Webbing"/>
    <n v="0"/>
    <n v="9"/>
    <n v="1245.6300000000001"/>
    <n v="9"/>
    <n v="1245.6300000000001"/>
    <n v="0"/>
    <n v="0"/>
    <n v="0"/>
    <n v="2491.2600000000002"/>
    <n v="0"/>
    <s v="24AAACO3087C1ZT"/>
    <s v="Kgs"/>
    <n v="3926908"/>
    <s v="Rs."/>
    <n v="1"/>
    <n v="95.9"/>
    <s v="India"/>
  </r>
  <r>
    <s v="15-08-2026"/>
    <s v="Plastene India ltd - Unit 1-Purchase"/>
    <s v="R.M.P."/>
    <s v="RM 434"/>
    <s v="Purchase Withinstate - Raw Material"/>
    <s v="PIL1/D/1385"/>
    <s v="14-08-2026"/>
    <s v="SF"/>
    <s v="Webbing"/>
    <x v="2"/>
    <s v="PP Webbing"/>
    <s v="Webbing"/>
    <n v="71.599999999999994"/>
    <n v="11836.91"/>
    <s v="Webbing"/>
    <n v="0"/>
    <n v="9"/>
    <n v="1065.32"/>
    <n v="9"/>
    <n v="1065.32"/>
    <n v="0"/>
    <n v="0"/>
    <n v="0"/>
    <n v="2130.64"/>
    <n v="0"/>
    <s v="24AAACO3087C1ZT"/>
    <s v="Kgs"/>
    <n v="3926908"/>
    <s v="Rs."/>
    <n v="1"/>
    <n v="71.599999999999994"/>
    <s v="India"/>
  </r>
  <r>
    <s v="15-08-2026"/>
    <s v="Plastene India ltd - Unit 1-Purchase"/>
    <s v="R.M.P."/>
    <s v="RM 434"/>
    <s v="Purchase Withinstate - Raw Material"/>
    <s v="PIL1/D/1385"/>
    <s v="14-08-2026"/>
    <s v="SF"/>
    <s v="PP/PE Fabric"/>
    <x v="0"/>
    <s v="PP WOVEN FABRIC"/>
    <s v="PP UL Fabric With UV"/>
    <n v="517"/>
    <n v="73579.44"/>
    <s v="PP UL Fabric With UV"/>
    <n v="0"/>
    <n v="9"/>
    <n v="6622.15"/>
    <n v="9"/>
    <n v="6622.15"/>
    <n v="0"/>
    <n v="0"/>
    <n v="0"/>
    <n v="13244.3"/>
    <n v="0"/>
    <s v="24AAACO3087C1ZT"/>
    <s v="Kgs"/>
    <n v="39269080"/>
    <s v="Rs."/>
    <n v="1"/>
    <n v="517"/>
    <s v="India"/>
  </r>
  <r>
    <s v="15-08-2026"/>
    <s v="Plastene India ltd - Unit 1-Purchase"/>
    <s v="R.M.P."/>
    <s v="RM 434"/>
    <s v="Purchase Withinstate - Raw Material"/>
    <s v="PIL1/D/1385"/>
    <s v="14-08-2026"/>
    <s v="SF"/>
    <s v="Yarn All"/>
    <x v="9"/>
    <s v="Yarn"/>
    <s v="PP MF Yarn Twisted 1000 UV NW"/>
    <n v="479.9"/>
    <n v="74058.17"/>
    <s v="PP MF Yarn Twisted 1000 UV NW"/>
    <n v="0"/>
    <n v="2.5"/>
    <n v="1851.45"/>
    <n v="2.5"/>
    <n v="1851.45"/>
    <n v="0"/>
    <n v="0"/>
    <n v="0"/>
    <n v="3702.9"/>
    <n v="0"/>
    <s v="24AAACO3087C1ZT"/>
    <s v="Kgs"/>
    <n v="54026930"/>
    <s v="Rs."/>
    <n v="1"/>
    <n v="479.9"/>
    <s v="India"/>
  </r>
  <r>
    <s v="15-08-2026"/>
    <s v="Plastene India ltd - Unit 1-Purchase"/>
    <s v="R.M.P."/>
    <s v="RM 434"/>
    <s v="Purchase Withinstate - Raw Material"/>
    <s v="PIL1/D/1385"/>
    <s v="14-08-2026"/>
    <s v="SF"/>
    <s v="Yarn All"/>
    <x v="9"/>
    <s v="Yarn"/>
    <s v="PP MF Yarn Twisted 3000 Denier UV NW"/>
    <n v="411.9"/>
    <n v="63564.41"/>
    <s v="PP MF Yarn Twisted 3000 Denier UV NW"/>
    <n v="0"/>
    <n v="2.5"/>
    <n v="1589.11"/>
    <n v="2.5"/>
    <n v="1589.11"/>
    <n v="0"/>
    <n v="0"/>
    <n v="0"/>
    <n v="3178.22"/>
    <n v="0"/>
    <s v="24AAACO3087C1ZT"/>
    <s v="Kgs"/>
    <n v="540263"/>
    <s v="Rs."/>
    <n v="1"/>
    <n v="411.9"/>
    <s v="India"/>
  </r>
  <r>
    <s v="15-08-2026"/>
    <s v="Plastene India ltd - Unit 1-Purchase"/>
    <s v="R.M.P."/>
    <s v="RM 434"/>
    <s v="Purchase Withinstate - Raw Material"/>
    <s v="PIL1/D/1385"/>
    <s v="14-08-2026"/>
    <s v="SF"/>
    <s v="Yarn All"/>
    <x v="9"/>
    <s v="Yarn"/>
    <s v="PP MF Yarn Twisted 3000 Denier UV Deep Blue"/>
    <n v="307.8"/>
    <n v="48423.1"/>
    <s v="PP MF Yarn Twisted 3000 Denier UV Deep Blue"/>
    <n v="0"/>
    <n v="2.5"/>
    <n v="1210.58"/>
    <n v="2.5"/>
    <n v="1210.58"/>
    <n v="0"/>
    <n v="0"/>
    <n v="0"/>
    <n v="2421.16"/>
    <n v="0"/>
    <s v="24AAACO3087C1ZT"/>
    <s v="Kgs"/>
    <n v="54026930"/>
    <s v="Rs."/>
    <n v="1"/>
    <n v="307.8"/>
    <s v="India"/>
  </r>
  <r>
    <s v="15-08-2026"/>
    <s v="Plastene India ltd - Unit 1-Purchase"/>
    <s v="R.M.P."/>
    <s v="RM 434"/>
    <s v="Purchase Withinstate - Raw Material"/>
    <s v="PIL1/D/1385"/>
    <s v="14-08-2026"/>
    <s v="SF"/>
    <s v="Films All (SF)"/>
    <x v="13"/>
    <s v="LLDPE FILM"/>
    <s v="LDPE/LLDPE Film"/>
    <n v="585.29999999999995"/>
    <n v="97663.16"/>
    <s v="LDPE/LLDPE Film"/>
    <n v="0"/>
    <n v="9"/>
    <n v="8789.68"/>
    <n v="9"/>
    <n v="8789.68"/>
    <n v="0"/>
    <n v="0"/>
    <n v="0"/>
    <n v="17579.36"/>
    <n v="0"/>
    <s v="24AAACO3087C1ZT"/>
    <s v="Kgs"/>
    <n v="3920101"/>
    <s v="Rs."/>
    <n v="1"/>
    <n v="585.29999999999995"/>
    <s v="India"/>
  </r>
  <r>
    <s v="15-08-2026"/>
    <s v="Plastene India ltd - Unit 2-Purchase"/>
    <s v="R.M.P."/>
    <s v="RM 435"/>
    <s v="Purchase Withinstate - Raw Material"/>
    <s v="PIL2/D/496"/>
    <s v="14-08-2026"/>
    <s v="SF"/>
    <s v="PP/PE Fabric"/>
    <x v="0"/>
    <s v="PP WOVEN FABRIC"/>
    <s v="PP UL Fabric With UV"/>
    <n v="4359"/>
    <n v="531798"/>
    <s v="PP UL Fabric With UV"/>
    <n v="626989.84"/>
    <n v="9"/>
    <n v="47861.82"/>
    <n v="9"/>
    <n v="47861.82"/>
    <n v="0"/>
    <n v="0"/>
    <n v="0"/>
    <n v="95723.64"/>
    <n v="0"/>
    <s v="24AAACO3087C1ZT"/>
    <s v="Kgs"/>
    <n v="39269080"/>
    <s v="Rs."/>
    <n v="1"/>
    <n v="4359"/>
    <s v="India"/>
  </r>
  <r>
    <s v="15-08-2026"/>
    <s v="Shree Kdk Enterprise"/>
    <s v="General Purchase"/>
    <s v="GNCN 163"/>
    <s v="Purchase Interstate- Stores, Spares &amp; Consumable"/>
    <s v="26-27/0290"/>
    <d v="2026-08-08T00:00:00"/>
    <s v="RM Consumables"/>
    <s v="FIBC Accessories"/>
    <x v="5"/>
    <s v="LDPE/LLDPE Bags"/>
    <s v="Tyvek Labels"/>
    <n v="10.35"/>
    <n v="16893.75"/>
    <s v="Tyvek Labels"/>
    <n v="18106"/>
    <n v="0"/>
    <n v="0"/>
    <n v="0"/>
    <n v="0"/>
    <n v="5"/>
    <n v="844.6875"/>
    <n v="17.5"/>
    <n v="862.1875"/>
    <n v="0"/>
    <s v="23AMAPK7277K1ZU"/>
    <s v="Sq Meter"/>
    <n v="58079010"/>
    <s v="Rs."/>
    <n v="1"/>
    <n v="10.35"/>
    <s v="India"/>
  </r>
  <r>
    <s v="16-08-2026"/>
    <s v="K.P. Woven Pvt Ltd-Purchase"/>
    <s v="R.M.P."/>
    <s v="RM 436"/>
    <s v="Purchase Withinstate - Raw Material"/>
    <s v="KPV/D/603"/>
    <s v="14-08-2026"/>
    <s v="FG"/>
    <s v="FIBC Bags"/>
    <x v="8"/>
    <s v="FIBC"/>
    <s v="FIBC Bags With UV With Liner"/>
    <n v="386"/>
    <n v="86313.46"/>
    <s v="FIBC Bags With UV With Liner"/>
    <n v="5124056.6900000004"/>
    <n v="9"/>
    <n v="7768.21"/>
    <n v="9"/>
    <n v="7768.21"/>
    <n v="0"/>
    <n v="0"/>
    <n v="0"/>
    <n v="15536.42"/>
    <n v="0"/>
    <s v="24AAECK6307M1ZF"/>
    <s v="Kgs"/>
    <n v="63053200"/>
    <s v="Rs."/>
    <n v="1"/>
    <n v="386"/>
    <s v="India"/>
  </r>
  <r>
    <s v="16-08-2026"/>
    <s v="K.P. Woven Pvt Ltd-Purchase"/>
    <s v="R.M.P."/>
    <s v="RM 436"/>
    <s v="Purchase Withinstate - Raw Material"/>
    <s v="KPV/D/603"/>
    <s v="14-08-2026"/>
    <s v="FG"/>
    <s v="FIBC Bags"/>
    <x v="8"/>
    <s v="FIBC"/>
    <s v="FIBC Bags With UV Without Liner"/>
    <n v="2584"/>
    <n v="580883.19999999995"/>
    <s v="FIBC Bags With UV Without Liner"/>
    <n v="0"/>
    <n v="9"/>
    <n v="52279.49"/>
    <n v="9"/>
    <n v="52279.49"/>
    <n v="0"/>
    <n v="0"/>
    <n v="0"/>
    <n v="104558.98"/>
    <n v="0"/>
    <s v="24AAECK6307M1ZF"/>
    <s v="Kgs"/>
    <n v="63053200"/>
    <s v="Rs."/>
    <n v="1"/>
    <n v="2584"/>
    <s v="India"/>
  </r>
  <r>
    <s v="16-08-2026"/>
    <s v="K.P. Woven Pvt Ltd-Purchase"/>
    <s v="R.M.P."/>
    <s v="RM 436"/>
    <s v="Purchase Withinstate - Raw Material"/>
    <s v="KPV/D/603"/>
    <s v="14-08-2026"/>
    <s v="FG"/>
    <s v="FIBC Bags"/>
    <x v="8"/>
    <s v="FIBC"/>
    <s v="FIBC Bags With UV With Liner"/>
    <n v="16414.900000000001"/>
    <n v="3678907.39"/>
    <s v="FIBC Bags With UV With Liner"/>
    <n v="0"/>
    <n v="9"/>
    <n v="331101.65999999997"/>
    <n v="9"/>
    <n v="331101.65999999997"/>
    <n v="0"/>
    <n v="0"/>
    <n v="0"/>
    <n v="662203.31999999995"/>
    <n v="0"/>
    <s v="24AAECK6307M1ZF"/>
    <s v="Kgs"/>
    <n v="63053200"/>
    <s v="Rs."/>
    <n v="1"/>
    <n v="16414.900000000001"/>
    <s v="India"/>
  </r>
  <r>
    <s v="16-08-2026"/>
    <s v="Plastene India ltd - Unit 1-Purchase"/>
    <s v="R.M.P."/>
    <s v="RM 439"/>
    <s v="Purchase Withinstate - Raw Material"/>
    <s v="PIL1/D/1391"/>
    <s v="16-08-2026"/>
    <s v="SF"/>
    <s v="Webbing"/>
    <x v="2"/>
    <s v="PP Webbing"/>
    <s v="Webbing"/>
    <n v="56"/>
    <n v="8081.92"/>
    <s v="Webbing"/>
    <n v="1750833.26"/>
    <n v="9"/>
    <n v="727.37"/>
    <n v="9"/>
    <n v="727.37"/>
    <n v="0"/>
    <n v="0"/>
    <n v="0"/>
    <n v="1454.74"/>
    <n v="0"/>
    <s v="24AAACO3087C1ZT"/>
    <s v="Kgs"/>
    <n v="3926908"/>
    <s v="Rs."/>
    <n v="1"/>
    <n v="56"/>
    <s v="India"/>
  </r>
  <r>
    <s v="16-08-2026"/>
    <s v="Plastene India ltd - Unit 1-Purchase"/>
    <s v="R.M.P."/>
    <s v="RM 439"/>
    <s v="Purchase Withinstate - Raw Material"/>
    <s v="PIL1/D/1391"/>
    <s v="16-08-2026"/>
    <s v="SF"/>
    <s v="PP/PE Fabric"/>
    <x v="1"/>
    <s v="PP Laminated Fabric"/>
    <s v="PP Lam Fabric With UV"/>
    <n v="622"/>
    <n v="92877.04"/>
    <s v="PP Lam Fabric With UV"/>
    <n v="0"/>
    <n v="9"/>
    <n v="8358.93"/>
    <n v="9"/>
    <n v="8358.93"/>
    <n v="0"/>
    <n v="0"/>
    <n v="0"/>
    <n v="16717.86"/>
    <n v="0"/>
    <s v="24AAACO3087C1ZT"/>
    <s v="Kgs"/>
    <n v="63053300"/>
    <s v="Rs."/>
    <n v="1"/>
    <n v="622"/>
    <s v="India"/>
  </r>
  <r>
    <s v="16-08-2026"/>
    <s v="Plastene India ltd - Unit 1-Purchase"/>
    <s v="R.M.P."/>
    <s v="RM 439"/>
    <s v="Purchase Withinstate - Raw Material"/>
    <s v="PIL1/D/1391"/>
    <s v="16-08-2026"/>
    <s v="SF"/>
    <s v="Webbing"/>
    <x v="2"/>
    <s v="PP Webbing"/>
    <s v="Webbing"/>
    <n v="217.7"/>
    <n v="35990.160000000003"/>
    <s v="Webbing"/>
    <n v="0"/>
    <n v="9"/>
    <n v="3239.11"/>
    <n v="9"/>
    <n v="3239.11"/>
    <n v="0"/>
    <n v="0"/>
    <n v="0"/>
    <n v="6478.22"/>
    <n v="0"/>
    <s v="24AAACO3087C1ZT"/>
    <s v="Kgs"/>
    <n v="3926908"/>
    <s v="Rs."/>
    <n v="1"/>
    <n v="217.7"/>
    <s v="India"/>
  </r>
  <r>
    <s v="16-08-2026"/>
    <s v="Plastene India ltd - Unit 1-Purchase"/>
    <s v="R.M.P."/>
    <s v="RM 439"/>
    <s v="Purchase Withinstate - Raw Material"/>
    <s v="PIL1/D/1391"/>
    <s v="16-08-2026"/>
    <s v="SF"/>
    <s v="Webbing"/>
    <x v="2"/>
    <s v="PP Webbing"/>
    <s v="Webbing"/>
    <n v="188.6"/>
    <n v="27784.55"/>
    <s v="Webbing"/>
    <n v="0"/>
    <n v="9"/>
    <n v="2500.61"/>
    <n v="9"/>
    <n v="2500.61"/>
    <n v="0"/>
    <n v="0"/>
    <n v="0"/>
    <n v="5001.22"/>
    <n v="0"/>
    <s v="24AAACO3087C1ZT"/>
    <s v="Kgs"/>
    <n v="3926908"/>
    <s v="Rs."/>
    <n v="1"/>
    <n v="188.6"/>
    <s v="India"/>
  </r>
  <r>
    <s v="16-08-2026"/>
    <s v="Plastene India ltd - Unit 1-Purchase"/>
    <s v="R.M.P."/>
    <s v="RM 439"/>
    <s v="Purchase Withinstate - Raw Material"/>
    <s v="PIL1/D/1391"/>
    <s v="16-08-2026"/>
    <s v="SF"/>
    <s v="PP/PE Fabric"/>
    <x v="0"/>
    <s v="PP WOVEN FABRIC"/>
    <s v="PP UL Fabric With UV"/>
    <n v="8962"/>
    <n v="1320281.8400000001"/>
    <s v="PP UL Fabric With UV"/>
    <n v="0"/>
    <n v="9"/>
    <n v="118825.37"/>
    <n v="9"/>
    <n v="118825.37"/>
    <n v="0"/>
    <n v="0"/>
    <n v="0"/>
    <n v="237650.74"/>
    <n v="0"/>
    <s v="24AAACO3087C1ZT"/>
    <s v="Kgs"/>
    <n v="39269080"/>
    <s v="Rs."/>
    <n v="1"/>
    <n v="8962"/>
    <s v="India"/>
  </r>
  <r>
    <s v="16-08-2026"/>
    <s v="Plastene India ltd - Unit 2-Purchase"/>
    <s v="R.M.P."/>
    <s v="RM 437"/>
    <s v="Purchase Withinstate - Raw Material"/>
    <s v="PIL2/D/499"/>
    <s v="15-08-2026"/>
    <s v="SF"/>
    <s v="Yarn All"/>
    <x v="9"/>
    <s v="Yarn"/>
    <s v="Polyester Yarn Twisted"/>
    <n v="1091.8699999999999"/>
    <n v="192300.14"/>
    <s v="Polyester Yarn Twisted"/>
    <n v="1261530.3899999999"/>
    <n v="2.5"/>
    <n v="4807.5"/>
    <n v="2.5"/>
    <n v="4807.5"/>
    <n v="0"/>
    <n v="0"/>
    <n v="0"/>
    <n v="9615"/>
    <n v="0"/>
    <s v="24AAACO3087C1ZT"/>
    <s v="Kgs"/>
    <n v="54026990"/>
    <s v="Rs."/>
    <n v="1"/>
    <n v="1091.8699999999999"/>
    <s v="India"/>
  </r>
  <r>
    <s v="16-08-2026"/>
    <s v="Plastene India ltd - Unit 2-Purchase"/>
    <s v="R.M.P."/>
    <s v="RM 437"/>
    <s v="Purchase Withinstate - Raw Material"/>
    <s v="PIL2/D/499"/>
    <s v="15-08-2026"/>
    <s v="SF"/>
    <s v="Yarn All"/>
    <x v="9"/>
    <s v="FILLER CORD"/>
    <s v="Filler Cord"/>
    <n v="5877.27"/>
    <n v="1010302.71"/>
    <s v="Filler Cord"/>
    <n v="0"/>
    <n v="2.5"/>
    <n v="25257.57"/>
    <n v="2.5"/>
    <n v="25257.57"/>
    <n v="0"/>
    <n v="0"/>
    <n v="0"/>
    <n v="50515.14"/>
    <n v="0"/>
    <s v="24AAACO3087C1ZT"/>
    <s v="Kgs"/>
    <n v="540263"/>
    <s v="Rs."/>
    <n v="1"/>
    <n v="5877.27"/>
    <s v="India"/>
  </r>
  <r>
    <s v="16-08-2026"/>
    <s v="Plastene India ltd - Unit 2-Purchase"/>
    <s v="R.M.P."/>
    <s v="RM 438"/>
    <s v="Purchase Withinstate - Raw Material"/>
    <s v="PIL2/D/500"/>
    <s v="15-08-2026"/>
    <s v="FG"/>
    <s v="FIBC Bags"/>
    <x v="8"/>
    <s v="FIBC"/>
    <s v="FIBC Bags With UV Without Liner"/>
    <n v="1242"/>
    <n v="261416.16"/>
    <s v="FIBC Bags With UV Without Liner"/>
    <n v="1468304"/>
    <n v="9"/>
    <n v="23527.45"/>
    <n v="9"/>
    <n v="23527.45"/>
    <n v="0"/>
    <n v="0"/>
    <n v="0"/>
    <n v="47054.9"/>
    <n v="0"/>
    <s v="24AAACO3087C1ZT"/>
    <s v="Kgs"/>
    <n v="63053200"/>
    <s v="Rs."/>
    <n v="1"/>
    <n v="1242"/>
    <s v="India"/>
  </r>
  <r>
    <s v="16-08-2026"/>
    <s v="Plastene India ltd - Unit 2-Purchase"/>
    <s v="R.M.P."/>
    <s v="RM 438"/>
    <s v="Purchase Withinstate - Raw Material"/>
    <s v="PIL2/D/500"/>
    <s v="15-08-2026"/>
    <s v="FG"/>
    <s v="FIBC Bags"/>
    <x v="8"/>
    <s v="FIBC"/>
    <s v="FIBC Bags With UV Without Liner"/>
    <n v="1670"/>
    <n v="348044.7"/>
    <s v="FIBC Bags With UV Without Liner"/>
    <n v="0"/>
    <n v="9"/>
    <n v="31324.02"/>
    <n v="9"/>
    <n v="31324.02"/>
    <n v="0"/>
    <n v="0"/>
    <n v="0"/>
    <n v="62648.04"/>
    <n v="0"/>
    <s v="24AAACO3087C1ZT"/>
    <s v="Kgs"/>
    <n v="63053200"/>
    <s v="Rs."/>
    <n v="1"/>
    <n v="1670"/>
    <s v="India"/>
  </r>
  <r>
    <s v="16-08-2026"/>
    <s v="Plastene India ltd - Unit 2-Purchase"/>
    <s v="R.M.P."/>
    <s v="RM 438"/>
    <s v="Purchase Withinstate - Raw Material"/>
    <s v="PIL2/D/500"/>
    <s v="15-08-2026"/>
    <s v="FG"/>
    <s v="FIBC Bags"/>
    <x v="8"/>
    <s v="FIBC"/>
    <s v="FIBC Bags With UV Without Liner"/>
    <n v="2906"/>
    <n v="635919.98"/>
    <s v="FIBC Bags With UV Without Liner"/>
    <n v="0"/>
    <n v="9"/>
    <n v="57232.800000000003"/>
    <n v="9"/>
    <n v="57232.800000000003"/>
    <n v="0"/>
    <n v="0"/>
    <n v="0"/>
    <n v="114465.60000000001"/>
    <n v="0"/>
    <s v="24AAACO3087C1ZT"/>
    <s v="Kgs"/>
    <n v="63053200"/>
    <s v="Rs."/>
    <n v="1"/>
    <n v="2906"/>
    <s v="India"/>
  </r>
  <r>
    <s v="17-08-2026"/>
    <s v="Plastene India ltd - Unit 1-Purchase"/>
    <s v="R.M.P."/>
    <s v="RM 440"/>
    <s v="Purchase Withinstate - Raw Material"/>
    <s v="PIL1/D/1397"/>
    <s v="17-08-2026"/>
    <s v="SF"/>
    <s v="PP/PE Fabric"/>
    <x v="0"/>
    <s v="PP WOVEN FABRIC"/>
    <s v="PP UL Fabric With UV"/>
    <n v="473"/>
    <n v="67317.36"/>
    <s v="PP UL Fabric With UV"/>
    <n v="453731.96"/>
    <n v="9"/>
    <n v="6058.56"/>
    <n v="9"/>
    <n v="6058.56"/>
    <n v="0"/>
    <n v="0"/>
    <n v="0"/>
    <n v="12117.12"/>
    <n v="0"/>
    <s v="24AAACO3087C1ZT"/>
    <s v="Kgs"/>
    <n v="39269080"/>
    <s v="Rs."/>
    <n v="1"/>
    <n v="473"/>
    <s v="India"/>
  </r>
  <r>
    <s v="17-08-2026"/>
    <s v="Plastene India ltd - Unit 1-Purchase"/>
    <s v="R.M.P."/>
    <s v="RM 440"/>
    <s v="Purchase Withinstate - Raw Material"/>
    <s v="PIL1/D/1397"/>
    <s v="17-08-2026"/>
    <s v="SF"/>
    <s v="PP/PE Fabric"/>
    <x v="0"/>
    <s v="PP WOVEN FABRIC"/>
    <s v="PP UL Fabric With UV"/>
    <n v="1382"/>
    <n v="203596.24"/>
    <s v="PP UL Fabric With UV"/>
    <n v="0"/>
    <n v="9"/>
    <n v="18323.66"/>
    <n v="9"/>
    <n v="18323.66"/>
    <n v="0"/>
    <n v="0"/>
    <n v="0"/>
    <n v="36647.32"/>
    <n v="0"/>
    <s v="24AAACO3087C1ZT"/>
    <s v="Kgs"/>
    <n v="39269080"/>
    <s v="Rs."/>
    <n v="1"/>
    <n v="1382"/>
    <s v="India"/>
  </r>
  <r>
    <s v="17-08-2026"/>
    <s v="Plastene India ltd - Unit 1-Purchase"/>
    <s v="R.M.P."/>
    <s v="RM 440"/>
    <s v="Purchase Withinstate - Raw Material"/>
    <s v="PIL1/D/1397"/>
    <s v="17-08-2026"/>
    <s v="SF"/>
    <s v="PP/PE Fabric"/>
    <x v="1"/>
    <s v="PP Laminated Fabric"/>
    <s v="PP Lam Fabric With UV"/>
    <n v="763"/>
    <n v="113931.16"/>
    <s v="PP Lam Fabric With UV"/>
    <n v="0"/>
    <n v="9"/>
    <n v="10253.799999999999"/>
    <n v="9"/>
    <n v="10253.799999999999"/>
    <n v="0"/>
    <n v="0"/>
    <n v="0"/>
    <n v="20507.599999999999"/>
    <n v="0"/>
    <s v="24AAACO3087C1ZT"/>
    <s v="Kgs"/>
    <n v="63053300"/>
    <s v="Rs."/>
    <n v="1"/>
    <n v="763"/>
    <s v="India"/>
  </r>
  <r>
    <s v="17-08-2026"/>
    <s v="Plastene India ltd - Unit 1-Purchase"/>
    <s v="R.M.P."/>
    <s v="RM 441"/>
    <s v="Purchase Withinstate - Raw Material"/>
    <s v="PIL1/D/1403"/>
    <s v="17-08-2026"/>
    <s v="RM"/>
    <s v="Granules"/>
    <x v="10"/>
    <s v="Master Batch"/>
    <s v="MB Karnavati Polyplast Blue"/>
    <n v="100"/>
    <n v="27200"/>
    <s v="MB Karnavati Polyplast Blue"/>
    <n v="51050.7"/>
    <n v="9"/>
    <n v="2448"/>
    <n v="9"/>
    <n v="2448"/>
    <n v="0"/>
    <n v="0"/>
    <n v="0"/>
    <n v="4896"/>
    <n v="0"/>
    <s v="24AAACO3087C1ZT"/>
    <s v="Kgs"/>
    <n v="320649"/>
    <s v="Rs."/>
    <n v="1"/>
    <n v="100"/>
    <s v="India"/>
  </r>
  <r>
    <s v="17-08-2026"/>
    <s v="Plastene India ltd - Unit 1-Purchase"/>
    <s v="R.M.P."/>
    <s v="RM 441"/>
    <s v="Purchase Withinstate - Raw Material"/>
    <s v="PIL1/D/1403"/>
    <s v="17-08-2026"/>
    <s v="RM"/>
    <s v="Granules"/>
    <x v="10"/>
    <s v="Master Batch"/>
    <s v="MB JJ White WE9381PT"/>
    <n v="25"/>
    <n v="4475"/>
    <s v="MB JJ White WE9381PT"/>
    <n v="0"/>
    <n v="9"/>
    <n v="402.75"/>
    <n v="9"/>
    <n v="402.75"/>
    <n v="0"/>
    <n v="0"/>
    <n v="0"/>
    <n v="805.5"/>
    <n v="0"/>
    <s v="24AAACO3087C1ZT"/>
    <s v="Kgs"/>
    <n v="32064990"/>
    <s v="Rs."/>
    <n v="1"/>
    <n v="25"/>
    <s v="India"/>
  </r>
  <r>
    <s v="17-08-2026"/>
    <s v="Plastene India ltd - Unit 1-Purchase"/>
    <s v="R.M.P."/>
    <s v="RM 441"/>
    <s v="Purchase Withinstate - Raw Material"/>
    <s v="PIL1/D/1403"/>
    <s v="17-08-2026"/>
    <s v="RM"/>
    <s v="Granules"/>
    <x v="10"/>
    <s v="Master Batch"/>
    <s v="MB Colman Shiny Black ( RD Black-01 )"/>
    <n v="75"/>
    <n v="11625"/>
    <s v="MB Colman Shiny Black ( RD Black-01 )"/>
    <n v="0"/>
    <n v="9"/>
    <n v="1046.25"/>
    <n v="9"/>
    <n v="1046.25"/>
    <n v="0"/>
    <n v="0"/>
    <n v="0"/>
    <n v="2092.5"/>
    <n v="0"/>
    <s v="24AAACO3087C1ZT"/>
    <s v="Kgs"/>
    <n v="32064990"/>
    <s v="Rs."/>
    <n v="1"/>
    <n v="75"/>
    <s v="India"/>
  </r>
  <r>
    <s v="17-08-2026"/>
    <s v="Plastene India ltd - Unit 1-Purchase"/>
    <s v="R.M.P."/>
    <s v="RM 442"/>
    <s v="Purchase Withinstate - Raw Material"/>
    <s v="PIL1/D/1400"/>
    <s v="17-08-2026"/>
    <s v="SF"/>
    <s v="Webbing"/>
    <x v="2"/>
    <s v="PP Webbing"/>
    <s v="Webbing"/>
    <n v="217.6"/>
    <n v="35973.629999999997"/>
    <s v="Webbing"/>
    <n v="354788.15"/>
    <n v="9"/>
    <n v="3237.63"/>
    <n v="9"/>
    <n v="3237.63"/>
    <n v="0"/>
    <n v="0"/>
    <n v="0"/>
    <n v="6475.26"/>
    <n v="0"/>
    <s v="24AAACO3087C1ZT"/>
    <s v="Kgs"/>
    <n v="3926908"/>
    <s v="Rs."/>
    <n v="1"/>
    <n v="217.6"/>
    <s v="India"/>
  </r>
  <r>
    <s v="17-08-2026"/>
    <s v="Plastene India ltd - Unit 1-Purchase"/>
    <s v="R.M.P."/>
    <s v="RM 442"/>
    <s v="Purchase Withinstate - Raw Material"/>
    <s v="PIL1/D/1400"/>
    <s v="17-08-2026"/>
    <s v="SF"/>
    <s v="Webbing"/>
    <x v="2"/>
    <s v="PP Webbing"/>
    <s v="Webbing"/>
    <n v="597.79999999999995"/>
    <n v="88067.89"/>
    <s v="Webbing"/>
    <n v="0"/>
    <n v="9"/>
    <n v="7926.11"/>
    <n v="9"/>
    <n v="7926.11"/>
    <n v="0"/>
    <n v="0"/>
    <n v="0"/>
    <n v="15852.22"/>
    <n v="0"/>
    <s v="24AAACO3087C1ZT"/>
    <s v="Kgs"/>
    <n v="3926908"/>
    <s v="Rs."/>
    <n v="1"/>
    <n v="597.79999999999995"/>
    <s v="India"/>
  </r>
  <r>
    <s v="17-08-2026"/>
    <s v="Plastene India ltd - Unit 1-Purchase"/>
    <s v="R.M.P."/>
    <s v="RM 442"/>
    <s v="Purchase Withinstate - Raw Material"/>
    <s v="PIL1/D/1400"/>
    <s v="17-08-2026"/>
    <s v="SF"/>
    <s v="Webbing"/>
    <x v="2"/>
    <s v="PP Webbing"/>
    <s v="Webbing"/>
    <n v="382.5"/>
    <n v="55202.400000000001"/>
    <s v="Webbing"/>
    <n v="0"/>
    <n v="9"/>
    <n v="4968.22"/>
    <n v="9"/>
    <n v="4968.22"/>
    <n v="0"/>
    <n v="0"/>
    <n v="0"/>
    <n v="9936.44"/>
    <n v="0"/>
    <s v="24AAACO3087C1ZT"/>
    <s v="Kgs"/>
    <n v="3926908"/>
    <s v="Rs."/>
    <n v="1"/>
    <n v="382.5"/>
    <s v="India"/>
  </r>
  <r>
    <s v="17-08-2026"/>
    <s v="Plastene India ltd - Unit 1-Purchase"/>
    <s v="R.M.P."/>
    <s v="RM 442"/>
    <s v="Purchase Withinstate - Raw Material"/>
    <s v="PIL1/D/1400"/>
    <s v="17-08-2026"/>
    <s v="SF"/>
    <s v="Yarn All"/>
    <x v="9"/>
    <s v="Yarn"/>
    <s v="PP MF Yarn Twisted 3000 Denier UV NW"/>
    <n v="886.2"/>
    <n v="136758.39000000001"/>
    <s v="PP MF Yarn Twisted 3000 Denier UV NW"/>
    <n v="0"/>
    <n v="2.5"/>
    <n v="3418.96"/>
    <n v="2.5"/>
    <n v="3418.96"/>
    <n v="0"/>
    <n v="0"/>
    <n v="0"/>
    <n v="6837.92"/>
    <n v="0"/>
    <s v="24AAACO3087C1ZT"/>
    <s v="Kgs"/>
    <n v="540263"/>
    <s v="Rs."/>
    <n v="1"/>
    <n v="886.2"/>
    <s v="India"/>
  </r>
  <r>
    <s v="18-08-2026"/>
    <s v="HCP Plastene Bulkpack Limited - Purchase"/>
    <s v="R.M.P."/>
    <s v="RM 444"/>
    <s v="Purchase Withinstate - Raw Material"/>
    <s v="HPBL/D/500"/>
    <s v="17-08-2026"/>
    <s v="SF"/>
    <s v="Liners"/>
    <x v="5"/>
    <s v="LDPE/LLDPE Bags"/>
    <s v="LDPE/LLDPE Bags/Liner"/>
    <n v="477"/>
    <n v="81543.149999999994"/>
    <s v="LDPE/LLDPE Bags/Liner"/>
    <n v="1223229.71"/>
    <n v="9"/>
    <n v="7338.88"/>
    <n v="9"/>
    <n v="7338.88"/>
    <n v="0"/>
    <n v="0"/>
    <n v="0"/>
    <n v="14677.76"/>
    <n v="0"/>
    <s v="24AABCG1282C2Z6"/>
    <s v="Kgs"/>
    <n v="39200000"/>
    <s v="Rs."/>
    <n v="1"/>
    <n v="477"/>
    <s v="India"/>
  </r>
  <r>
    <s v="18-08-2026"/>
    <s v="HCP Plastene Bulkpack Limited - Purchase"/>
    <s v="R.M.P."/>
    <s v="RM 444"/>
    <s v="Purchase Withinstate - Raw Material"/>
    <s v="HPBL/D/500"/>
    <s v="17-08-2026"/>
    <s v="SF"/>
    <s v="PP/PE Fabric"/>
    <x v="0"/>
    <s v="PP WOVEN FABRIC"/>
    <s v="PP UL Fabric With UV"/>
    <n v="200"/>
    <n v="31898"/>
    <s v="PP UL Fabric With UV"/>
    <n v="0"/>
    <n v="9"/>
    <n v="2870.82"/>
    <n v="9"/>
    <n v="2870.82"/>
    <n v="0"/>
    <n v="0"/>
    <n v="0"/>
    <n v="5741.64"/>
    <n v="0"/>
    <s v="24AABCG1282C2Z6"/>
    <s v="Kgs"/>
    <n v="39269080"/>
    <s v="Rs."/>
    <n v="1"/>
    <n v="200"/>
    <s v="India"/>
  </r>
  <r>
    <s v="18-08-2026"/>
    <s v="HCP Plastene Bulkpack Limited - Purchase"/>
    <s v="R.M.P."/>
    <s v="RM 444"/>
    <s v="Purchase Withinstate - Raw Material"/>
    <s v="HPBL/D/500"/>
    <s v="17-08-2026"/>
    <s v="SF"/>
    <s v="PP/PE Fabric"/>
    <x v="0"/>
    <s v="PP WOVEN FABRIC"/>
    <s v="PP UL Fabric With UV"/>
    <n v="5905"/>
    <n v="924073.45"/>
    <s v="PP UL Fabric With UV"/>
    <n v="0"/>
    <n v="9"/>
    <n v="83166.61"/>
    <n v="9"/>
    <n v="83166.61"/>
    <n v="0"/>
    <n v="0"/>
    <n v="0"/>
    <n v="166333.22"/>
    <n v="0"/>
    <s v="24AABCG1282C2Z6"/>
    <s v="Kgs"/>
    <n v="39269080"/>
    <s v="Rs."/>
    <n v="1"/>
    <n v="5905"/>
    <s v="India"/>
  </r>
  <r>
    <s v="18-08-2026"/>
    <s v="K.P. Woven Pvt Ltd-Purchase"/>
    <s v="R.M.P."/>
    <s v="RM 443"/>
    <s v="Purchase Withinstate - Raw Material"/>
    <s v="KPV/D/614"/>
    <s v="17-08-2026"/>
    <s v="FG"/>
    <s v="FIBC Bags"/>
    <x v="8"/>
    <s v="FIBC"/>
    <s v="FIBC Bags With UV With Liner"/>
    <n v="415"/>
    <n v="109157.45"/>
    <s v="FIBC Bags With UV With Liner"/>
    <n v="246431.09"/>
    <n v="9"/>
    <n v="9824.17"/>
    <n v="9"/>
    <n v="9824.17"/>
    <n v="0"/>
    <n v="0"/>
    <n v="0"/>
    <n v="19648.34"/>
    <n v="0"/>
    <s v="24AAECK6307M1ZF"/>
    <s v="Kgs"/>
    <n v="63053200"/>
    <s v="Rs."/>
    <n v="1"/>
    <n v="415"/>
    <s v="India"/>
  </r>
  <r>
    <s v="18-08-2026"/>
    <s v="K.P. Woven Pvt Ltd-Purchase"/>
    <s v="R.M.P."/>
    <s v="RM 443"/>
    <s v="Purchase Withinstate - Raw Material"/>
    <s v="KPV/D/614"/>
    <s v="17-08-2026"/>
    <s v="FG"/>
    <s v="FIBC Bags"/>
    <x v="8"/>
    <s v="FIBC"/>
    <s v="FIBC Bags With UV Without Liner"/>
    <n v="410"/>
    <n v="99859.6"/>
    <s v="FIBC Bags With UV Without Liner"/>
    <n v="0"/>
    <n v="9"/>
    <n v="8987.36"/>
    <n v="9"/>
    <n v="8987.36"/>
    <n v="0"/>
    <n v="0"/>
    <n v="0"/>
    <n v="17974.72"/>
    <n v="0"/>
    <s v="24AAECK6307M1ZF"/>
    <s v="Kgs"/>
    <n v="63053200"/>
    <s v="Rs."/>
    <n v="1"/>
    <n v="410"/>
    <s v="India"/>
  </r>
  <r>
    <s v="18-08-2026"/>
    <s v="Parsva Trading"/>
    <s v="General Purchase"/>
    <s v="GNCN 165"/>
    <s v="Purchase Withinstate- Stores, Spares &amp; Consumable"/>
    <n v="23"/>
    <d v="2026-02-08T00:00:00"/>
    <s v="SF"/>
    <s v="Liners"/>
    <x v="5"/>
    <s v="LDPE/LLDPE Bags"/>
    <s v="PE Labels (Kgs)"/>
    <n v="26.366"/>
    <n v="6816.5"/>
    <s v="PE Labels (Kgs)"/>
    <n v="8043.46"/>
    <n v="9"/>
    <n v="613.48"/>
    <n v="9"/>
    <n v="613.48"/>
    <n v="0"/>
    <n v="0"/>
    <n v="0"/>
    <n v="1226.96"/>
    <n v="0"/>
    <s v="24AMOPG6602J2Z0"/>
    <s v="Kgs"/>
    <n v="3920101"/>
    <s v="Rs."/>
    <n v="1"/>
    <n v="26.366"/>
    <s v="India"/>
  </r>
  <r>
    <s v="18-08-2026"/>
    <s v="Plastene India ltd - Unit 1-Purchase"/>
    <s v="R.M.P."/>
    <s v="RM 445"/>
    <s v="Purchase Withinstate - Raw Material"/>
    <s v="PIL1/D/1415"/>
    <s v="18-08-2026"/>
    <s v="SF"/>
    <s v="PP/PE Fabric"/>
    <x v="0"/>
    <s v="PP WOVEN FABRIC"/>
    <s v="PP UL Fabric With UV"/>
    <n v="1342"/>
    <n v="197703.44"/>
    <s v="PP UL Fabric With UV"/>
    <n v="857289.15"/>
    <n v="9"/>
    <n v="17793.310000000001"/>
    <n v="9"/>
    <n v="17793.310000000001"/>
    <n v="0"/>
    <n v="0"/>
    <n v="0"/>
    <n v="35586.620000000003"/>
    <n v="0"/>
    <s v="24AAACO3087C1ZT"/>
    <s v="Kgs"/>
    <n v="39269080"/>
    <s v="Rs."/>
    <n v="1"/>
    <n v="1342"/>
    <s v="India"/>
  </r>
  <r>
    <s v="18-08-2026"/>
    <s v="Plastene India ltd - Unit 1-Purchase"/>
    <s v="R.M.P."/>
    <s v="RM 445"/>
    <s v="Purchase Withinstate - Raw Material"/>
    <s v="PIL1/D/1415"/>
    <s v="18-08-2026"/>
    <s v="SF"/>
    <s v="PP/PE Fabric"/>
    <x v="0"/>
    <s v="PP WOVEN FABRIC"/>
    <s v="PP UL Fabric With UV"/>
    <n v="441"/>
    <n v="62763.12"/>
    <s v="PP UL Fabric With UV"/>
    <n v="0"/>
    <n v="9"/>
    <n v="5648.68"/>
    <n v="9"/>
    <n v="5648.68"/>
    <n v="0"/>
    <n v="0"/>
    <n v="0"/>
    <n v="11297.36"/>
    <n v="0"/>
    <s v="24AAACO3087C1ZT"/>
    <s v="Kgs"/>
    <n v="39269080"/>
    <s v="Rs."/>
    <n v="1"/>
    <n v="441"/>
    <s v="India"/>
  </r>
  <r>
    <s v="18-08-2026"/>
    <s v="Plastene India ltd - Unit 1-Purchase"/>
    <s v="R.M.P."/>
    <s v="RM 445"/>
    <s v="Purchase Withinstate - Raw Material"/>
    <s v="PIL1/D/1415"/>
    <s v="18-08-2026"/>
    <s v="SF"/>
    <s v="PP/PE Fabric"/>
    <x v="1"/>
    <s v="PP Laminated Fabric"/>
    <s v="PP Lam Fabric With UV"/>
    <n v="1865"/>
    <n v="278481.8"/>
    <s v="PP Lam Fabric With UV"/>
    <n v="0"/>
    <n v="9"/>
    <n v="25063.360000000001"/>
    <n v="9"/>
    <n v="25063.360000000001"/>
    <n v="0"/>
    <n v="0"/>
    <n v="0"/>
    <n v="50126.720000000001"/>
    <n v="0"/>
    <s v="24AAACO3087C1ZT"/>
    <s v="Kgs"/>
    <n v="63053300"/>
    <s v="Rs."/>
    <n v="1"/>
    <n v="1865"/>
    <s v="India"/>
  </r>
  <r>
    <s v="18-08-2026"/>
    <s v="Plastene India ltd - Unit 1-Purchase"/>
    <s v="R.M.P."/>
    <s v="RM 445"/>
    <s v="Purchase Withinstate - Raw Material"/>
    <s v="PIL1/D/1415"/>
    <s v="18-08-2026"/>
    <s v="SF"/>
    <s v="Webbing"/>
    <x v="2"/>
    <s v="PP Webbing"/>
    <s v="Webbing"/>
    <n v="197.6"/>
    <n v="32667.23"/>
    <s v="Webbing"/>
    <n v="0"/>
    <n v="9"/>
    <n v="2940.05"/>
    <n v="9"/>
    <n v="2940.05"/>
    <n v="0"/>
    <n v="0"/>
    <n v="0"/>
    <n v="5880.1"/>
    <n v="0"/>
    <s v="24AAACO3087C1ZT"/>
    <s v="Kgs"/>
    <n v="3926908"/>
    <s v="Rs."/>
    <n v="1"/>
    <n v="197.6"/>
    <s v="India"/>
  </r>
  <r>
    <s v="18-08-2026"/>
    <s v="Plastene India ltd - Unit 1-Purchase"/>
    <s v="R.M.P."/>
    <s v="RM 445"/>
    <s v="Purchase Withinstate - Raw Material"/>
    <s v="PIL1/D/1415"/>
    <s v="18-08-2026"/>
    <s v="SF"/>
    <s v="Webbing"/>
    <x v="2"/>
    <s v="PP Webbing"/>
    <s v="Webbing"/>
    <n v="378.5"/>
    <n v="55760.62"/>
    <s v="Webbing"/>
    <n v="0"/>
    <n v="9"/>
    <n v="5018.46"/>
    <n v="9"/>
    <n v="5018.46"/>
    <n v="0"/>
    <n v="0"/>
    <n v="0"/>
    <n v="10036.92"/>
    <n v="0"/>
    <s v="24AAACO3087C1ZT"/>
    <s v="Kgs"/>
    <n v="3926908"/>
    <s v="Rs."/>
    <n v="1"/>
    <n v="378.5"/>
    <s v="India"/>
  </r>
  <r>
    <s v="18-08-2026"/>
    <s v="Plastene India ltd - Unit 1-Purchase"/>
    <s v="R.M.P."/>
    <s v="RM 445"/>
    <s v="Purchase Withinstate - Raw Material"/>
    <s v="PIL1/D/1415"/>
    <s v="18-08-2026"/>
    <s v="SF"/>
    <s v="Webbing"/>
    <x v="2"/>
    <s v="PP Webbing"/>
    <s v="Webbing"/>
    <n v="443.4"/>
    <n v="63991.49"/>
    <s v="Webbing"/>
    <n v="0"/>
    <n v="9"/>
    <n v="5759.23"/>
    <n v="9"/>
    <n v="5759.23"/>
    <n v="0"/>
    <n v="0"/>
    <n v="0"/>
    <n v="11518.46"/>
    <n v="0"/>
    <s v="24AAACO3087C1ZT"/>
    <s v="Kgs"/>
    <n v="3926908"/>
    <s v="Rs."/>
    <n v="1"/>
    <n v="443.4"/>
    <s v="India"/>
  </r>
  <r>
    <s v="18-08-2026"/>
    <s v="Plastene India ltd - Unit 1-Purchase"/>
    <s v="R.M.P."/>
    <s v="RM 445"/>
    <s v="Purchase Withinstate - Raw Material"/>
    <s v="PIL1/D/1415"/>
    <s v="18-08-2026"/>
    <s v="SF"/>
    <s v="Liners"/>
    <x v="5"/>
    <s v="LDPE/LLDPE Bags"/>
    <s v="LDPE/LLDPE Bags/Liner"/>
    <n v="162"/>
    <n v="35764.74"/>
    <s v="LDPE/LLDPE Bags/Liner"/>
    <n v="0"/>
    <n v="9"/>
    <n v="3218.83"/>
    <n v="9"/>
    <n v="3218.83"/>
    <n v="0"/>
    <n v="0"/>
    <n v="0"/>
    <n v="6437.66"/>
    <n v="0"/>
    <s v="24AAACO3087C1ZT"/>
    <s v="Kgs"/>
    <n v="39200000"/>
    <s v="Rs."/>
    <n v="1"/>
    <n v="162"/>
    <s v="India"/>
  </r>
  <r>
    <s v="19-08-2026"/>
    <s v="Plastene India ltd - Unit 1-Purchase"/>
    <s v="R.M.P."/>
    <s v="RM 446"/>
    <s v="Purchase Withinstate - Raw Material"/>
    <s v="PIL1/D/1418"/>
    <s v="19-08-2026"/>
    <s v="SF"/>
    <s v="Webbing"/>
    <x v="2"/>
    <s v="PP Webbing"/>
    <s v="Webbing"/>
    <n v="114"/>
    <n v="16794.48"/>
    <s v="Webbing"/>
    <n v="19800.689999999999"/>
    <n v="9"/>
    <n v="1511.5"/>
    <n v="9"/>
    <n v="1511.5"/>
    <n v="0"/>
    <n v="0"/>
    <n v="0"/>
    <n v="3023"/>
    <n v="0"/>
    <s v="24AAACO3087C1ZT"/>
    <s v="Kgs"/>
    <n v="3926908"/>
    <s v="Rs."/>
    <n v="1"/>
    <n v="114"/>
    <s v="India"/>
  </r>
  <r>
    <s v="19-08-2026"/>
    <s v="Plastene India ltd - Unit 1-Purchase"/>
    <s v="General Purchase"/>
    <s v="RM 447"/>
    <s v="Purchase Withinstate - Traded Goods"/>
    <s v="PIL1/D/1421"/>
    <s v="19-08-2026"/>
    <s v="SF"/>
    <s v="RP Granules"/>
    <x v="14"/>
    <s v="REPROCESSED GRANULE"/>
    <s v="RP Granules"/>
    <n v="3000"/>
    <n v="315000"/>
    <s v="RP Granules"/>
    <n v="371385"/>
    <n v="9"/>
    <n v="28350"/>
    <n v="9"/>
    <n v="28350"/>
    <n v="0"/>
    <n v="0"/>
    <n v="0"/>
    <n v="56700"/>
    <n v="0"/>
    <s v="24AAACO3087C1ZT"/>
    <s v="Kgs"/>
    <n v="39021000"/>
    <s v="Rs."/>
    <n v="1"/>
    <n v="3000"/>
    <s v="India"/>
  </r>
  <r>
    <s v="19-08-2026"/>
    <s v="Plastene India ltd - Unit 1-Purchase"/>
    <s v="R.M.P."/>
    <s v="RM 448"/>
    <s v="Purchase Withinstate - Raw Material"/>
    <s v="PIL1/D/1424"/>
    <s v="19-08-2026"/>
    <s v="SF"/>
    <s v="PP/PE Fabric"/>
    <x v="1"/>
    <s v="PP Laminated Fabric"/>
    <s v="PP Lam Fabric With UV"/>
    <n v="5762"/>
    <n v="860381.84"/>
    <s v="PP Lam Fabric With UV"/>
    <n v="1520735.81"/>
    <n v="9"/>
    <n v="77434.37"/>
    <n v="9"/>
    <n v="77434.37"/>
    <n v="0"/>
    <n v="0"/>
    <n v="0"/>
    <n v="154868.74"/>
    <n v="0"/>
    <s v="24AAACO3087C1ZT"/>
    <s v="Kgs"/>
    <n v="63053300"/>
    <s v="Rs."/>
    <n v="1"/>
    <n v="5762"/>
    <s v="India"/>
  </r>
  <r>
    <s v="19-08-2026"/>
    <s v="Plastene India ltd - Unit 1-Purchase"/>
    <s v="R.M.P."/>
    <s v="RM 448"/>
    <s v="Purchase Withinstate - Raw Material"/>
    <s v="PIL1/D/1424"/>
    <s v="19-08-2026"/>
    <s v="SF"/>
    <s v="Webbing"/>
    <x v="2"/>
    <s v="PP Webbing"/>
    <s v="Webbing"/>
    <n v="219.6"/>
    <n v="36304.269999999997"/>
    <s v="Webbing"/>
    <n v="0"/>
    <n v="9"/>
    <n v="3267.38"/>
    <n v="9"/>
    <n v="3267.38"/>
    <n v="0"/>
    <n v="0"/>
    <n v="0"/>
    <n v="6534.76"/>
    <n v="0"/>
    <s v="24AAACO3087C1ZT"/>
    <s v="Kgs"/>
    <n v="3926908"/>
    <s v="Rs."/>
    <n v="1"/>
    <n v="219.6"/>
    <s v="India"/>
  </r>
  <r>
    <s v="19-08-2026"/>
    <s v="Plastene India ltd - Unit 1-Purchase"/>
    <s v="R.M.P."/>
    <s v="RM 448"/>
    <s v="Purchase Withinstate - Raw Material"/>
    <s v="PIL1/D/1424"/>
    <s v="19-08-2026"/>
    <s v="SF"/>
    <s v="Webbing"/>
    <x v="2"/>
    <s v="PP Webbing"/>
    <s v="Webbing"/>
    <n v="1616.1"/>
    <n v="233235.55"/>
    <s v="Webbing"/>
    <n v="0"/>
    <n v="9"/>
    <n v="20991.200000000001"/>
    <n v="9"/>
    <n v="20991.200000000001"/>
    <n v="0"/>
    <n v="0"/>
    <n v="0"/>
    <n v="41982.400000000001"/>
    <n v="0"/>
    <s v="24AAACO3087C1ZT"/>
    <s v="Kgs"/>
    <n v="3926908"/>
    <s v="Rs."/>
    <n v="1"/>
    <n v="1616.1"/>
    <s v="India"/>
  </r>
  <r>
    <s v="19-08-2026"/>
    <s v="Plastene India ltd - Unit 1-Purchase"/>
    <s v="R.M.P."/>
    <s v="RM 448"/>
    <s v="Purchase Withinstate - Raw Material"/>
    <s v="PIL1/D/1424"/>
    <s v="19-08-2026"/>
    <s v="SF"/>
    <s v="Webbing"/>
    <x v="2"/>
    <s v="PP Webbing"/>
    <s v="Webbing"/>
    <n v="390.6"/>
    <n v="57543.19"/>
    <s v="Webbing"/>
    <n v="0"/>
    <n v="9"/>
    <n v="5178.8900000000003"/>
    <n v="9"/>
    <n v="5178.8900000000003"/>
    <n v="0"/>
    <n v="0"/>
    <n v="0"/>
    <n v="10357.780000000001"/>
    <n v="0"/>
    <s v="24AAACO3087C1ZT"/>
    <s v="Kgs"/>
    <n v="3926908"/>
    <s v="Rs."/>
    <n v="1"/>
    <n v="390.6"/>
    <s v="India"/>
  </r>
  <r>
    <s v="19-08-2026"/>
    <s v="Plastene India ltd - Unit 1-Purchase"/>
    <s v="R.M.P."/>
    <s v="RM 448"/>
    <s v="Purchase Withinstate - Raw Material"/>
    <s v="PIL1/D/1424"/>
    <s v="19-08-2026"/>
    <s v="SF"/>
    <s v="PP/PE Fabric"/>
    <x v="0"/>
    <s v="PP WOVEN FABRIC"/>
    <s v="PP UL Fabric With UV"/>
    <n v="695"/>
    <n v="102387.4"/>
    <s v="PP UL Fabric With UV"/>
    <n v="0"/>
    <n v="9"/>
    <n v="9214.8700000000008"/>
    <n v="9"/>
    <n v="9214.8700000000008"/>
    <n v="0"/>
    <n v="0"/>
    <n v="0"/>
    <n v="18429.740000000002"/>
    <n v="0"/>
    <s v="24AAACO3087C1ZT"/>
    <s v="Kgs"/>
    <n v="39269080"/>
    <s v="Rs."/>
    <n v="1"/>
    <n v="695"/>
    <s v="India"/>
  </r>
  <r>
    <s v="20-08-2026"/>
    <s v="K.P. Woven Pvt Ltd-Purchase"/>
    <s v="R.M.P."/>
    <s v="RM 449"/>
    <s v="Purchase Withinstate - Raw Material"/>
    <s v="KPV/D/623"/>
    <s v="19-08-2026"/>
    <s v="SF"/>
    <s v="PP/PE Fabric"/>
    <x v="0"/>
    <s v="PP WOVEN FABRIC"/>
    <s v="PP UL Fabric With UV"/>
    <n v="1237.5"/>
    <n v="205920"/>
    <s v="PP UL Fabric With UV"/>
    <n v="242779.68"/>
    <n v="9"/>
    <n v="18532.8"/>
    <n v="9"/>
    <n v="18532.8"/>
    <n v="0"/>
    <n v="0"/>
    <n v="0"/>
    <n v="37065.599999999999"/>
    <n v="0"/>
    <s v="24AAECK6307M1ZF"/>
    <s v="Kgs"/>
    <n v="39269080"/>
    <s v="Rs."/>
    <n v="1"/>
    <n v="1237.5"/>
    <s v="India"/>
  </r>
  <r>
    <s v="20-08-2026"/>
    <s v="Plastene India ltd - Unit 1-Purchase"/>
    <s v="General Purchase"/>
    <s v="RM 450"/>
    <s v="Purchase Withinstate - Raw Material"/>
    <s v="PIL1/D/1434"/>
    <s v="20-08-2026"/>
    <s v="SF"/>
    <s v="Tape Stock"/>
    <x v="11"/>
    <s v="PP TAPE"/>
    <s v="PP Tapes"/>
    <n v="1733"/>
    <n v="229310.56"/>
    <s v="PP Tapes"/>
    <n v="270357.15000000002"/>
    <n v="9"/>
    <n v="20637.95"/>
    <n v="9"/>
    <n v="20637.95"/>
    <n v="0"/>
    <n v="0"/>
    <n v="0"/>
    <n v="41275.9"/>
    <n v="0"/>
    <s v="24AAACO3087C1ZT"/>
    <s v="Kgs"/>
    <n v="39199090"/>
    <s v="Rs."/>
    <n v="1"/>
    <n v="1733"/>
    <s v="India"/>
  </r>
  <r>
    <s v="20-08-2026"/>
    <s v="Plastene India ltd - Unit 1-Purchase"/>
    <s v="General Purchase"/>
    <s v="RM 451"/>
    <s v="Purchase Withinstate - Raw Material"/>
    <s v="PIL1/D/1436"/>
    <s v="20-08-2026"/>
    <s v="SF"/>
    <s v="Liners"/>
    <x v="5"/>
    <s v="LDPE/LLDPE Bags"/>
    <s v="LDPE/LLDPE Bags/Liner"/>
    <n v="117.6"/>
    <n v="23621.14"/>
    <s v="LDPE/LLDPE Bags/Liner"/>
    <n v="535424.67000000004"/>
    <n v="9"/>
    <n v="2125.9"/>
    <n v="9"/>
    <n v="2125.9"/>
    <n v="0"/>
    <n v="0"/>
    <n v="0"/>
    <n v="4251.8"/>
    <n v="0"/>
    <s v="24AAACO3087C1ZT"/>
    <s v="Kgs"/>
    <n v="39200000"/>
    <s v="Rs."/>
    <n v="1"/>
    <n v="117.6"/>
    <s v="India"/>
  </r>
  <r>
    <s v="20-08-2026"/>
    <s v="Plastene India ltd - Unit 1-Purchase"/>
    <s v="General Purchase"/>
    <s v="RM 451"/>
    <s v="Purchase Withinstate - Raw Material"/>
    <s v="PIL1/D/1436"/>
    <s v="20-08-2026"/>
    <s v="SF"/>
    <s v="PP/PE Fabric"/>
    <x v="0"/>
    <s v="PP WOVEN FABRIC"/>
    <s v="PP UL Fabric With UV"/>
    <n v="729"/>
    <n v="107396.28"/>
    <s v="PP UL Fabric With UV"/>
    <n v="0"/>
    <n v="9"/>
    <n v="9665.67"/>
    <n v="9"/>
    <n v="9665.67"/>
    <n v="0"/>
    <n v="0"/>
    <n v="0"/>
    <n v="19331.34"/>
    <n v="0"/>
    <s v="24AAACO3087C1ZT"/>
    <s v="Kgs"/>
    <n v="39269080"/>
    <s v="Rs."/>
    <n v="1"/>
    <n v="729"/>
    <s v="India"/>
  </r>
  <r>
    <s v="20-08-2026"/>
    <s v="Plastene India ltd - Unit 1-Purchase"/>
    <s v="General Purchase"/>
    <s v="RM 451"/>
    <s v="Purchase Withinstate - Raw Material"/>
    <s v="PIL1/D/1436"/>
    <s v="20-08-2026"/>
    <s v="SF"/>
    <s v="Webbing"/>
    <x v="2"/>
    <s v="PP Webbing"/>
    <s v="Webbing"/>
    <n v="256"/>
    <n v="42321.919999999998"/>
    <s v="Webbing"/>
    <n v="0"/>
    <n v="9"/>
    <n v="3808.97"/>
    <n v="9"/>
    <n v="3808.97"/>
    <n v="0"/>
    <n v="0"/>
    <n v="0"/>
    <n v="7617.94"/>
    <n v="0"/>
    <s v="24AAACO3087C1ZT"/>
    <s v="Kgs"/>
    <n v="3926908"/>
    <s v="Rs."/>
    <n v="1"/>
    <n v="256"/>
    <s v="India"/>
  </r>
  <r>
    <s v="20-08-2026"/>
    <s v="Plastene India ltd - Unit 1-Purchase"/>
    <s v="General Purchase"/>
    <s v="RM 451"/>
    <s v="Purchase Withinstate - Raw Material"/>
    <s v="PIL1/D/1436"/>
    <s v="20-08-2026"/>
    <s v="SF"/>
    <s v="Webbing"/>
    <x v="2"/>
    <s v="PP Webbing"/>
    <s v="Webbing"/>
    <n v="452.5"/>
    <n v="66662.3"/>
    <s v="Webbing"/>
    <n v="0"/>
    <n v="9"/>
    <n v="5999.61"/>
    <n v="9"/>
    <n v="5999.61"/>
    <n v="0"/>
    <n v="0"/>
    <n v="0"/>
    <n v="11999.22"/>
    <n v="0"/>
    <s v="24AAACO3087C1ZT"/>
    <s v="Kgs"/>
    <n v="3926908"/>
    <s v="Rs."/>
    <n v="1"/>
    <n v="452.5"/>
    <s v="India"/>
  </r>
  <r>
    <s v="20-08-2026"/>
    <s v="Plastene India ltd - Unit 1-Purchase"/>
    <s v="General Purchase"/>
    <s v="RM 451"/>
    <s v="Purchase Withinstate - Raw Material"/>
    <s v="PIL1/D/1436"/>
    <s v="20-08-2026"/>
    <s v="SF"/>
    <s v="Webbing"/>
    <x v="2"/>
    <s v="PP Webbing"/>
    <s v="Webbing"/>
    <n v="555.9"/>
    <n v="80227.490000000005"/>
    <s v="Webbing"/>
    <n v="0"/>
    <n v="9"/>
    <n v="7220.47"/>
    <n v="9"/>
    <n v="7220.47"/>
    <n v="0"/>
    <n v="0"/>
    <n v="0"/>
    <n v="14440.94"/>
    <n v="0"/>
    <s v="24AAACO3087C1ZT"/>
    <s v="Kgs"/>
    <n v="3926908"/>
    <s v="Rs."/>
    <n v="1"/>
    <n v="555.9"/>
    <s v="India"/>
  </r>
  <r>
    <s v="20-08-2026"/>
    <s v="Plastene India ltd - Unit 1-Purchase"/>
    <s v="General Purchase"/>
    <s v="RM 451"/>
    <s v="Purchase Withinstate - Raw Material"/>
    <s v="PIL1/D/1436"/>
    <s v="20-08-2026"/>
    <s v="SF"/>
    <s v="PP/PE Fabric"/>
    <x v="0"/>
    <s v="PP WOVEN FABRIC"/>
    <s v="PP UL Fabric With UV"/>
    <n v="442"/>
    <n v="62905.440000000002"/>
    <s v="PP UL Fabric With UV"/>
    <n v="0"/>
    <n v="9"/>
    <n v="5661.49"/>
    <n v="9"/>
    <n v="5661.49"/>
    <n v="0"/>
    <n v="0"/>
    <n v="0"/>
    <n v="11322.98"/>
    <n v="0"/>
    <s v="24AAACO3087C1ZT"/>
    <s v="Kgs"/>
    <n v="39269080"/>
    <s v="Rs."/>
    <n v="1"/>
    <n v="442"/>
    <s v="India"/>
  </r>
  <r>
    <s v="20-08-2026"/>
    <s v="Plastene India ltd - Unit 1-Purchase"/>
    <s v="General Purchase"/>
    <s v="RM 451"/>
    <s v="Purchase Withinstate - Raw Material"/>
    <s v="PIL1/D/1436"/>
    <s v="20-08-2026"/>
    <s v="SF"/>
    <s v="Yarn All"/>
    <x v="9"/>
    <s v="Yarn"/>
    <s v="PP MF Yarn Twisted 1000 UV NW"/>
    <n v="517.1"/>
    <n v="79798.87"/>
    <s v="PP MF Yarn Twisted 1000 UV NW"/>
    <n v="0"/>
    <n v="2.5"/>
    <n v="1994.97"/>
    <n v="2.5"/>
    <n v="1994.97"/>
    <n v="0"/>
    <n v="0"/>
    <n v="0"/>
    <n v="3989.94"/>
    <n v="0"/>
    <s v="24AAACO3087C1ZT"/>
    <s v="Kgs"/>
    <n v="54026930"/>
    <s v="Rs."/>
    <n v="1"/>
    <n v="517.1"/>
    <s v="India"/>
  </r>
  <r>
    <s v="21-08-2026"/>
    <s v="Plastene India ltd - Unit 1-Purchase"/>
    <s v="R.M.P."/>
    <s v="RM 452"/>
    <s v="Purchase Withinstate - Raw Material"/>
    <s v="PIL1/D/1440"/>
    <s v="21-08-2026"/>
    <s v="SF"/>
    <s v="Webbing"/>
    <x v="2"/>
    <s v="PP Webbing"/>
    <s v="Webbing"/>
    <n v="103.9"/>
    <n v="15306.55"/>
    <s v="Webbing"/>
    <n v="18046.419999999998"/>
    <n v="9"/>
    <n v="1377.59"/>
    <n v="9"/>
    <n v="1377.59"/>
    <n v="0"/>
    <n v="0"/>
    <n v="0"/>
    <n v="2755.18"/>
    <n v="0"/>
    <s v="24AAACO3087C1ZT"/>
    <s v="Kgs"/>
    <n v="3926908"/>
    <s v="Rs."/>
    <n v="1"/>
    <n v="103.9"/>
    <s v="India"/>
  </r>
  <r>
    <s v="21-08-2026"/>
    <s v="Plastene India ltd - Unit 1-Purchase"/>
    <s v="R.M.P."/>
    <s v="RM 453"/>
    <s v="Purchase Withinstate - Raw Material"/>
    <s v="PIL1/D/1443"/>
    <s v="21-08-2026"/>
    <s v="SF"/>
    <s v="RP Granules"/>
    <x v="14"/>
    <s v="REPROCESSED GRANULE"/>
    <s v="RP Granules"/>
    <n v="3425"/>
    <n v="359625"/>
    <s v="RP Granules"/>
    <n v="423997.88"/>
    <n v="9"/>
    <n v="32366.25"/>
    <n v="9"/>
    <n v="32366.25"/>
    <n v="0"/>
    <n v="0"/>
    <n v="0"/>
    <n v="64732.5"/>
    <n v="0"/>
    <s v="24AAACO3087C1ZT"/>
    <s v="Kgs"/>
    <n v="39021000"/>
    <s v="Rs."/>
    <n v="1"/>
    <n v="3425"/>
    <s v="India"/>
  </r>
  <r>
    <s v="21-08-2026"/>
    <s v="Plastene India ltd - Unit 1-Purchase"/>
    <s v="R.M.P."/>
    <s v="RM 454"/>
    <s v="Purchase Withinstate - Raw Material"/>
    <s v="PIL1/D/1446"/>
    <s v="21-08-2026"/>
    <s v="SF"/>
    <s v="PP/PE Fabric"/>
    <x v="0"/>
    <s v="PP WOVEN FABRIC"/>
    <s v="PP UL Fabric With UV"/>
    <n v="402"/>
    <n v="57212.639999999999"/>
    <s v="PP UL Fabric With UV"/>
    <n v="1173058.3500000001"/>
    <n v="9"/>
    <n v="5149.1400000000003"/>
    <n v="9"/>
    <n v="5149.1400000000003"/>
    <n v="0"/>
    <n v="0"/>
    <n v="0"/>
    <n v="10298.280000000001"/>
    <n v="0"/>
    <s v="24AAACO3087C1ZT"/>
    <s v="Kgs"/>
    <n v="39269080"/>
    <s v="Rs."/>
    <n v="1"/>
    <n v="402"/>
    <s v="India"/>
  </r>
  <r>
    <s v="21-08-2026"/>
    <s v="Plastene India ltd - Unit 1-Purchase"/>
    <s v="R.M.P."/>
    <s v="RM 454"/>
    <s v="Purchase Withinstate - Raw Material"/>
    <s v="PIL1/D/1446"/>
    <s v="21-08-2026"/>
    <s v="SF"/>
    <s v="PP/PE Fabric"/>
    <x v="0"/>
    <s v="PP WOVEN FABRIC"/>
    <s v="PP UL Fabric With UV"/>
    <n v="1414"/>
    <n v="204068.48000000001"/>
    <s v="PP UL Fabric With UV"/>
    <n v="0"/>
    <n v="9"/>
    <n v="18366.16"/>
    <n v="9"/>
    <n v="18366.16"/>
    <n v="0"/>
    <n v="0"/>
    <n v="0"/>
    <n v="36732.32"/>
    <n v="0"/>
    <s v="24AAACO3087C1ZT"/>
    <s v="Kgs"/>
    <n v="39269080"/>
    <s v="Rs."/>
    <n v="1"/>
    <n v="1414"/>
    <s v="India"/>
  </r>
  <r>
    <s v="21-08-2026"/>
    <s v="Plastene India ltd - Unit 1-Purchase"/>
    <s v="R.M.P."/>
    <s v="RM 454"/>
    <s v="Purchase Withinstate - Raw Material"/>
    <s v="PIL1/D/1446"/>
    <s v="21-08-2026"/>
    <s v="SF"/>
    <s v="Webbing"/>
    <x v="2"/>
    <s v="PP Webbing"/>
    <s v="Webbing"/>
    <n v="212.8"/>
    <n v="35180.1"/>
    <s v="Webbing"/>
    <n v="0"/>
    <n v="9"/>
    <n v="3166.21"/>
    <n v="9"/>
    <n v="3166.21"/>
    <n v="0"/>
    <n v="0"/>
    <n v="0"/>
    <n v="6332.42"/>
    <n v="0"/>
    <s v="24AAACO3087C1ZT"/>
    <s v="Kgs"/>
    <n v="3926908"/>
    <s v="Rs."/>
    <n v="1"/>
    <n v="212.8"/>
    <s v="India"/>
  </r>
  <r>
    <s v="21-08-2026"/>
    <s v="Plastene India ltd - Unit 1-Purchase"/>
    <s v="R.M.P."/>
    <s v="RM 454"/>
    <s v="Purchase Withinstate - Raw Material"/>
    <s v="PIL1/D/1446"/>
    <s v="21-08-2026"/>
    <s v="SF"/>
    <s v="Webbing"/>
    <x v="2"/>
    <s v="PP Webbing"/>
    <s v="Webbing"/>
    <n v="1776.5"/>
    <n v="261713.98"/>
    <s v="Webbing"/>
    <n v="0"/>
    <n v="9"/>
    <n v="23554.26"/>
    <n v="9"/>
    <n v="23554.26"/>
    <n v="0"/>
    <n v="0"/>
    <n v="0"/>
    <n v="47108.52"/>
    <n v="0"/>
    <s v="24AAACO3087C1ZT"/>
    <s v="Kgs"/>
    <n v="3926908"/>
    <s v="Rs."/>
    <n v="1"/>
    <n v="1776.5"/>
    <s v="India"/>
  </r>
  <r>
    <s v="21-08-2026"/>
    <s v="Plastene India ltd - Unit 1-Purchase"/>
    <s v="R.M.P."/>
    <s v="RM 454"/>
    <s v="Purchase Withinstate - Raw Material"/>
    <s v="PIL1/D/1446"/>
    <s v="21-08-2026"/>
    <s v="SF"/>
    <s v="Webbing"/>
    <x v="2"/>
    <s v="PP Webbing"/>
    <s v="Webbing"/>
    <n v="446.1"/>
    <n v="64381.15"/>
    <s v="Webbing"/>
    <n v="0"/>
    <n v="9"/>
    <n v="5794.3"/>
    <n v="9"/>
    <n v="5794.3"/>
    <n v="0"/>
    <n v="0"/>
    <n v="0"/>
    <n v="11588.6"/>
    <n v="0"/>
    <s v="24AAACO3087C1ZT"/>
    <s v="Kgs"/>
    <n v="3926908"/>
    <s v="Rs."/>
    <n v="1"/>
    <n v="446.1"/>
    <s v="India"/>
  </r>
  <r>
    <s v="21-08-2026"/>
    <s v="Plastene India ltd - Unit 1-Purchase"/>
    <s v="R.M.P."/>
    <s v="RM 454"/>
    <s v="Purchase Withinstate - Raw Material"/>
    <s v="PIL1/D/1446"/>
    <s v="21-08-2026"/>
    <s v="SF"/>
    <s v="PP/PE Fabric"/>
    <x v="1"/>
    <s v="PP Laminated Fabric"/>
    <s v="PP Lam Fabric With UV"/>
    <n v="2494"/>
    <n v="372404.08"/>
    <s v="PP Lam Fabric With UV"/>
    <n v="0"/>
    <n v="9"/>
    <n v="33516.370000000003"/>
    <n v="9"/>
    <n v="33516.370000000003"/>
    <n v="0"/>
    <n v="0"/>
    <n v="0"/>
    <n v="67032.740000000005"/>
    <n v="0"/>
    <s v="24AAACO3087C1ZT"/>
    <s v="Kgs"/>
    <n v="63053300"/>
    <s v="Rs."/>
    <n v="1"/>
    <n v="2494"/>
    <s v="India"/>
  </r>
  <r>
    <s v="21-08-2026"/>
    <s v="Vyankatesh Udyog (I) Pvt Ltd - Purchase"/>
    <s v="R.M.P."/>
    <s v="RM 455"/>
    <s v="Purchase Withinstate - Raw Material"/>
    <s v="1453/26-27"/>
    <d v="2026-11-08T00:00:00"/>
    <s v="RM Consumables"/>
    <s v="Ink"/>
    <x v="15"/>
    <s v="INK"/>
    <s v="Ink Vyankatesh Poly Process Blue VLX 643"/>
    <n v="150"/>
    <n v="48900"/>
    <s v="Ink Vyankatesh Poly Process Blue VLX 643"/>
    <n v="628551"/>
    <n v="0"/>
    <n v="0"/>
    <n v="0"/>
    <n v="0"/>
    <n v="18"/>
    <n v="8802"/>
    <n v="0"/>
    <n v="8802"/>
    <n v="0"/>
    <s v="27AAECV8365Q1ZC"/>
    <s v="Kgs"/>
    <n v="32151990"/>
    <s v="Rs."/>
    <n v="1"/>
    <n v="150"/>
    <s v="India"/>
  </r>
  <r>
    <s v="21-08-2026"/>
    <s v="Vyankatesh Udyog (I) Pvt Ltd - Purchase"/>
    <s v="R.M.P."/>
    <s v="RM 455"/>
    <s v="Purchase Withinstate - Raw Material"/>
    <s v="1453/26-27"/>
    <d v="2026-11-08T00:00:00"/>
    <s v="RM Consumables"/>
    <s v="Ink"/>
    <x v="16"/>
    <s v="Thinner"/>
    <s v="Thinner Vyankatesh Thinner"/>
    <n v="2040"/>
    <n v="240720"/>
    <s v="Thinner Vyankatesh Thinner"/>
    <n v="0"/>
    <n v="0"/>
    <n v="0"/>
    <n v="0"/>
    <n v="0"/>
    <n v="18"/>
    <n v="43329.599999999999"/>
    <n v="0"/>
    <n v="43329.599999999999"/>
    <n v="0"/>
    <s v="27AAECV8365Q1ZC"/>
    <s v="Kgs"/>
    <n v="38140010"/>
    <s v="Rs."/>
    <n v="1"/>
    <n v="2040"/>
    <s v="India"/>
  </r>
  <r>
    <s v="21-08-2026"/>
    <s v="Vyankatesh Udyog (I) Pvt Ltd - Purchase"/>
    <s v="R.M.P."/>
    <s v="RM 455"/>
    <s v="Purchase Withinstate - Raw Material"/>
    <s v="1453/26-27"/>
    <d v="2026-11-08T00:00:00"/>
    <s v="RM Consumables"/>
    <s v="Ink"/>
    <x v="15"/>
    <s v="INK"/>
    <s v="Ink Vyankatesh Poly Process Yellow VLX 671"/>
    <n v="250"/>
    <n v="74250"/>
    <s v="Ink Vyankatesh Poly Process Yellow VLX 671"/>
    <n v="0"/>
    <n v="0"/>
    <n v="0"/>
    <n v="0"/>
    <n v="0"/>
    <n v="18"/>
    <n v="13365"/>
    <n v="0"/>
    <n v="13365"/>
    <n v="0"/>
    <s v="27AAECV8365Q1ZC"/>
    <s v="Kgs"/>
    <n v="84485900"/>
    <s v="Rs."/>
    <n v="1"/>
    <n v="250"/>
    <s v="India"/>
  </r>
  <r>
    <s v="21-08-2026"/>
    <s v="Vyankatesh Udyog (I) Pvt Ltd - Purchase"/>
    <s v="R.M.P."/>
    <s v="RM 455"/>
    <s v="Purchase Withinstate - Raw Material"/>
    <s v="1453/26-27"/>
    <d v="2026-11-08T00:00:00"/>
    <s v="RM Consumables"/>
    <s v="Ink"/>
    <x v="15"/>
    <s v="INK"/>
    <s v="Ink Vyankatesh Poly Warm Red C VLX 607"/>
    <n v="100"/>
    <n v="30000"/>
    <s v="Ink Vyankatesh Poly Warm Red C VLX 607"/>
    <n v="0"/>
    <n v="0"/>
    <n v="0"/>
    <n v="0"/>
    <n v="0"/>
    <n v="18"/>
    <n v="5400"/>
    <n v="0"/>
    <n v="5400"/>
    <n v="0"/>
    <s v="27AAECV8365Q1ZC"/>
    <s v="Kgs"/>
    <n v="32151910"/>
    <s v="Rs."/>
    <n v="1"/>
    <n v="100"/>
    <s v="India"/>
  </r>
  <r>
    <s v="21-08-2026"/>
    <s v="Vyankatesh Udyog (I) Pvt Ltd - Purchase"/>
    <s v="R.M.P."/>
    <s v="RM 455"/>
    <s v="Purchase Withinstate - Raw Material"/>
    <s v="1453/26-27"/>
    <d v="2026-11-08T00:00:00"/>
    <s v="RM Consumables"/>
    <s v="Ink"/>
    <x v="15"/>
    <s v="INK"/>
    <s v="Ink Vyankatesh Poly Blue 072C  VLX 505"/>
    <n v="100"/>
    <n v="34000"/>
    <s v="Ink Vyankatesh Poly Blue 072C  VLX 505"/>
    <n v="0"/>
    <n v="0"/>
    <n v="0"/>
    <n v="0"/>
    <n v="0"/>
    <n v="18"/>
    <n v="6120"/>
    <n v="0"/>
    <n v="6120"/>
    <n v="0"/>
    <s v="27AAECV8365Q1ZC"/>
    <s v="Kgs"/>
    <n v="32151910"/>
    <s v="Rs."/>
    <n v="1"/>
    <n v="100"/>
    <s v="India"/>
  </r>
  <r>
    <s v="21-08-2026"/>
    <s v="Vyankatesh Udyog (I) Pvt Ltd - Purchase"/>
    <s v="R.M.P."/>
    <s v="RM 455"/>
    <s v="Purchase Withinstate - Raw Material"/>
    <s v="1453/26-27"/>
    <d v="2026-11-08T00:00:00"/>
    <s v="RM Consumables"/>
    <s v="Ink"/>
    <x v="15"/>
    <s v="INK"/>
    <s v="Ink Vyankatesh White VLX 624 Tape Tested"/>
    <n v="200"/>
    <n v="58400"/>
    <s v="Ink Vyankatesh White VLX 624 Tape Tested"/>
    <n v="0"/>
    <n v="0"/>
    <n v="0"/>
    <n v="0"/>
    <n v="0"/>
    <n v="18"/>
    <n v="10512"/>
    <n v="0"/>
    <n v="10512"/>
    <n v="0"/>
    <s v="27AAECV8365Q1ZC"/>
    <s v="Kgs"/>
    <n v="321519"/>
    <s v="Rs."/>
    <n v="1"/>
    <n v="200"/>
    <s v="India"/>
  </r>
  <r>
    <s v="21-08-2026"/>
    <s v="Vyankatesh Udyog (I) Pvt Ltd - Purchase"/>
    <s v="R.M.P."/>
    <s v="RM 455"/>
    <s v="Purchase Withinstate - Raw Material"/>
    <s v="1453/26-27"/>
    <d v="2026-11-08T00:00:00"/>
    <s v="RM Consumables"/>
    <s v="Ink"/>
    <x v="15"/>
    <s v="INK"/>
    <s v="Ink Vyankatesh Black VLX 579 Tape Tested"/>
    <n v="200"/>
    <n v="46400"/>
    <s v="Ink Vyankatesh Black VLX 579 Tape Tested"/>
    <n v="0"/>
    <n v="0"/>
    <n v="0"/>
    <n v="0"/>
    <n v="0"/>
    <n v="18"/>
    <n v="8352"/>
    <n v="0"/>
    <n v="8352"/>
    <n v="0"/>
    <s v="27AAECV8365Q1ZC"/>
    <s v="Kgs"/>
    <n v="32151910"/>
    <s v="Rs."/>
    <n v="1"/>
    <n v="200"/>
    <s v="India"/>
  </r>
  <r>
    <s v="22-08-2026"/>
    <s v="HCP Plastene Bulkpack Limited - Purchase"/>
    <s v="R.M.P."/>
    <s v="RM 456"/>
    <s v="Purchase Withinstate - Raw Material"/>
    <s v="HPBL/D/519"/>
    <s v="21-08-2026"/>
    <s v="SF"/>
    <s v="PP/PE Fabric"/>
    <x v="0"/>
    <s v="PP WOVEN FABRIC"/>
    <s v="PP UL Fabric With UV"/>
    <n v="1927"/>
    <n v="301556.23"/>
    <s v="PP UL Fabric With UV"/>
    <n v="355534.79"/>
    <n v="9"/>
    <n v="27140.06"/>
    <n v="9"/>
    <n v="27140.06"/>
    <n v="0"/>
    <n v="0"/>
    <n v="0"/>
    <n v="54280.12"/>
    <n v="0"/>
    <s v="24AABCG1282C2Z6"/>
    <s v="Kgs"/>
    <n v="39269080"/>
    <s v="Rs."/>
    <n v="1"/>
    <n v="1927"/>
    <s v="India"/>
  </r>
  <r>
    <s v="22-08-2026"/>
    <s v="Plastene India ltd - Unit 1-Purchase"/>
    <s v="General Purchase"/>
    <s v="RM 458"/>
    <s v="Purchase Withinstate - Raw Material"/>
    <s v="PIL1/D/1451"/>
    <s v="22-08-2026"/>
    <s v="SF"/>
    <s v="PP/PE Fabric"/>
    <x v="1"/>
    <s v="PP Laminated Fabric"/>
    <s v="PP Lam Fabric With UV"/>
    <n v="4991"/>
    <n v="745256.12"/>
    <s v="PP Lam Fabric With UV"/>
    <n v="1175478.6299999999"/>
    <n v="9"/>
    <n v="67073.05"/>
    <n v="9"/>
    <n v="67073.05"/>
    <n v="0"/>
    <n v="0"/>
    <n v="0"/>
    <n v="134146.1"/>
    <n v="0"/>
    <s v="24AAACO3087C1ZT"/>
    <s v="Kgs"/>
    <n v="63053300"/>
    <s v="Rs."/>
    <n v="1"/>
    <n v="4991"/>
    <s v="India"/>
  </r>
  <r>
    <s v="22-08-2026"/>
    <s v="Plastene India ltd - Unit 1-Purchase"/>
    <s v="General Purchase"/>
    <s v="RM 458"/>
    <s v="Purchase Withinstate - Raw Material"/>
    <s v="PIL1/D/1451"/>
    <s v="22-08-2026"/>
    <s v="RM"/>
    <s v="Granules"/>
    <x v="12"/>
    <s v="FILLER CACO3"/>
    <s v="Filler Soltex PTUFF23"/>
    <n v="1500"/>
    <n v="60750"/>
    <s v="Filler Soltex PTUFF23"/>
    <n v="0"/>
    <n v="9"/>
    <n v="5467.5"/>
    <n v="9"/>
    <n v="5467.5"/>
    <n v="0"/>
    <n v="0"/>
    <n v="0"/>
    <n v="10935"/>
    <n v="0"/>
    <s v="24AAACO3087C1ZT"/>
    <s v="Kgs"/>
    <n v="32041990"/>
    <s v="Rs."/>
    <n v="1"/>
    <n v="1500"/>
    <s v="India"/>
  </r>
  <r>
    <s v="22-08-2026"/>
    <s v="Plastene India ltd - Unit 1-Purchase"/>
    <s v="General Purchase"/>
    <s v="RM 458"/>
    <s v="Purchase Withinstate - Raw Material"/>
    <s v="PIL1/D/1451"/>
    <s v="22-08-2026"/>
    <s v="SF"/>
    <s v="Webbing"/>
    <x v="2"/>
    <s v="PP Webbing"/>
    <s v="Webbing"/>
    <n v="676.5"/>
    <n v="97632.48"/>
    <s v="Webbing"/>
    <n v="0"/>
    <n v="9"/>
    <n v="8786.92"/>
    <n v="9"/>
    <n v="8786.92"/>
    <n v="0"/>
    <n v="0"/>
    <n v="0"/>
    <n v="17573.84"/>
    <n v="0"/>
    <s v="24AAACO3087C1ZT"/>
    <s v="Kgs"/>
    <n v="3926908"/>
    <s v="Rs."/>
    <n v="1"/>
    <n v="676.5"/>
    <s v="India"/>
  </r>
  <r>
    <s v="22-08-2026"/>
    <s v="Plastene India ltd - Unit 1-Purchase"/>
    <s v="General Purchase"/>
    <s v="RM 458"/>
    <s v="Purchase Withinstate - Raw Material"/>
    <s v="PIL1/D/1451"/>
    <s v="22-08-2026"/>
    <s v="SF"/>
    <s v="Webbing"/>
    <x v="2"/>
    <s v="PP Webbing"/>
    <s v="Webbing"/>
    <n v="373.7"/>
    <n v="55053.48"/>
    <s v="Webbing"/>
    <n v="0"/>
    <n v="9"/>
    <n v="4954.8100000000004"/>
    <n v="9"/>
    <n v="4954.8100000000004"/>
    <n v="0"/>
    <n v="0"/>
    <n v="0"/>
    <n v="9909.6200000000008"/>
    <n v="0"/>
    <s v="24AAACO3087C1ZT"/>
    <s v="Kgs"/>
    <n v="3926908"/>
    <s v="Rs."/>
    <n v="1"/>
    <n v="373.7"/>
    <s v="India"/>
  </r>
  <r>
    <s v="22-08-2026"/>
    <s v="Plastene India ltd - Unit 1-Purchase"/>
    <s v="General Purchase"/>
    <s v="RM 458"/>
    <s v="Purchase Withinstate - Raw Material"/>
    <s v="PIL1/D/1451"/>
    <s v="22-08-2026"/>
    <s v="SF"/>
    <s v="Webbing"/>
    <x v="2"/>
    <s v="PP Webbing"/>
    <s v="Webbing"/>
    <n v="231.8"/>
    <n v="38321.18"/>
    <s v="Webbing"/>
    <n v="0"/>
    <n v="9"/>
    <n v="3448.91"/>
    <n v="9"/>
    <n v="3448.91"/>
    <n v="0"/>
    <n v="0"/>
    <n v="0"/>
    <n v="6897.82"/>
    <n v="0"/>
    <s v="24AAACO3087C1ZT"/>
    <s v="Kgs"/>
    <n v="3926908"/>
    <s v="Rs."/>
    <n v="1"/>
    <n v="231.8"/>
    <s v="India"/>
  </r>
  <r>
    <s v="22-08-2026"/>
    <s v="Plastene India ltd - Unit 2-Purchase"/>
    <s v="R.M.P."/>
    <s v="RM 457"/>
    <s v="Purchase Withinstate - Raw Material"/>
    <s v="PIL2/D/521"/>
    <s v="21-08-2026"/>
    <s v="SF"/>
    <s v="PP/PE Fabric"/>
    <x v="0"/>
    <s v="PP WOVEN FABRIC"/>
    <s v="PP UL Fabric With UV"/>
    <n v="2704"/>
    <n v="329888"/>
    <s v="PP UL Fabric With UV"/>
    <n v="561349.72"/>
    <n v="9"/>
    <n v="29689.919999999998"/>
    <n v="9"/>
    <n v="29689.919999999998"/>
    <n v="0"/>
    <n v="0"/>
    <n v="0"/>
    <n v="59379.839999999997"/>
    <n v="0"/>
    <s v="24AAACO3087C1ZT"/>
    <s v="Kgs"/>
    <n v="39269080"/>
    <s v="Rs."/>
    <n v="1"/>
    <n v="2704"/>
    <s v="India"/>
  </r>
  <r>
    <s v="22-08-2026"/>
    <s v="Plastene India ltd - Unit 2-Purchase"/>
    <s v="R.M.P."/>
    <s v="RM 457"/>
    <s v="Purchase Withinstate - Raw Material"/>
    <s v="PIL2/D/521"/>
    <s v="21-08-2026"/>
    <s v="SF"/>
    <s v="Yarn All"/>
    <x v="9"/>
    <s v="PP TAPE"/>
    <s v="PP Conductive Tape 1100 Black"/>
    <n v="331.6"/>
    <n v="146235.6"/>
    <s v="PP Conductive Tape 1100 Black"/>
    <n v="0"/>
    <n v="9"/>
    <n v="13161.2"/>
    <n v="9"/>
    <n v="13161.2"/>
    <n v="0"/>
    <n v="0"/>
    <n v="0"/>
    <n v="26322.400000000001"/>
    <n v="0"/>
    <s v="24AAACO3087C1ZT"/>
    <s v="Kgs"/>
    <n v="39199090"/>
    <s v="Rs."/>
    <n v="1"/>
    <n v="331.6"/>
    <s v="India"/>
  </r>
  <r>
    <s v="22-08-2026"/>
    <s v="Plastene India ltd - Unit 2-Purchase"/>
    <s v="R.M.P."/>
    <s v="RM 459"/>
    <s v="Purchase Withinstate - Raw Material"/>
    <s v="PIL2/D/523"/>
    <s v="22-08-2026"/>
    <s v="SF"/>
    <s v="Yarn All"/>
    <x v="9"/>
    <s v="Yarn"/>
    <s v="Polyester Yarn Twisted"/>
    <n v="1161.1300000000001"/>
    <n v="178117.34"/>
    <s v="Polyester Yarn Twisted"/>
    <n v="1399929.07"/>
    <n v="2.5"/>
    <n v="4452.93"/>
    <n v="2.5"/>
    <n v="4452.93"/>
    <n v="0"/>
    <n v="0"/>
    <n v="0"/>
    <n v="8905.86"/>
    <n v="0"/>
    <s v="24AAACO3087C1ZT"/>
    <s v="Kgs"/>
    <n v="54026990"/>
    <s v="Rs."/>
    <n v="1"/>
    <n v="1161.1300000000001"/>
    <s v="India"/>
  </r>
  <r>
    <s v="22-08-2026"/>
    <s v="Plastene India ltd - Unit 2-Purchase"/>
    <s v="R.M.P."/>
    <s v="RM 459"/>
    <s v="Purchase Withinstate - Raw Material"/>
    <s v="PIL2/D/523"/>
    <s v="22-08-2026"/>
    <s v="SF"/>
    <s v="Yarn All"/>
    <x v="9"/>
    <s v="FILLER CORD"/>
    <s v="Filler Cord"/>
    <n v="6727.28"/>
    <n v="1156419.43"/>
    <s v="Filler Cord"/>
    <n v="0"/>
    <n v="2.5"/>
    <n v="28910.49"/>
    <n v="2.5"/>
    <n v="28910.49"/>
    <n v="0"/>
    <n v="0"/>
    <n v="0"/>
    <n v="57820.98"/>
    <n v="0"/>
    <s v="24AAACO3087C1ZT"/>
    <s v="Kgs"/>
    <n v="540263"/>
    <s v="Rs."/>
    <n v="1"/>
    <n v="6727.28"/>
    <s v="India"/>
  </r>
  <r>
    <s v="23-08-2026"/>
    <s v="Brahmani Labels"/>
    <s v="General Purchase"/>
    <s v="GNCN 169"/>
    <s v="Purchase Withinstate- Stores, Spares &amp; Consumable"/>
    <n v="484"/>
    <s v="20-08-2026"/>
    <s v="SF"/>
    <s v="Liners"/>
    <x v="5"/>
    <s v="LDPE/LLDPE Bags"/>
    <s v="PE Labels (Kgs)"/>
    <n v="2.2400000000000002"/>
    <n v="1816.25"/>
    <s v="PE Labels (Kgs)"/>
    <n v="2143"/>
    <n v="9"/>
    <n v="163.46"/>
    <n v="9"/>
    <n v="163.46"/>
    <n v="0"/>
    <n v="0"/>
    <n v="0"/>
    <n v="326.92"/>
    <n v="0"/>
    <s v="24CIAPP4681A1ZK"/>
    <s v="Kgs"/>
    <n v="3920101"/>
    <s v="Rs."/>
    <n v="1"/>
    <n v="2.2400000000000002"/>
    <m/>
  </r>
  <r>
    <s v="23-08-2026"/>
    <s v="HCP Plastene Bulkpack Limited - Purchase"/>
    <s v="R.M.P."/>
    <s v="RM 463"/>
    <s v="Purchase Withinstate - Raw Material"/>
    <s v="HPBL/D/523"/>
    <s v="22-08-2026"/>
    <s v="SF"/>
    <s v="PP/PE Fabric"/>
    <x v="0"/>
    <s v="PP WOVEN FABRIC"/>
    <s v="PP UL Fabric With UV"/>
    <n v="473"/>
    <n v="75438.77"/>
    <s v="PP UL Fabric With UV"/>
    <n v="460713.25"/>
    <n v="9"/>
    <n v="6789.49"/>
    <n v="9"/>
    <n v="6789.49"/>
    <n v="0"/>
    <n v="0"/>
    <n v="0"/>
    <n v="13578.98"/>
    <n v="0"/>
    <s v="24AABCG1282C2Z6"/>
    <s v="Kgs"/>
    <n v="39269080"/>
    <s v="Rs."/>
    <n v="1"/>
    <n v="473"/>
    <s v="India"/>
  </r>
  <r>
    <s v="23-08-2026"/>
    <s v="HCP Plastene Bulkpack Limited - Purchase"/>
    <s v="R.M.P."/>
    <s v="RM 463"/>
    <s v="Purchase Withinstate - Raw Material"/>
    <s v="HPBL/D/523"/>
    <s v="22-08-2026"/>
    <s v="SF"/>
    <s v="PP/PE Fabric"/>
    <x v="0"/>
    <s v="PP WOVEN FABRIC"/>
    <s v="PP UL Fabric With UV"/>
    <n v="2015"/>
    <n v="315327.34999999998"/>
    <s v="PP UL Fabric With UV"/>
    <n v="0"/>
    <n v="9"/>
    <n v="28379.46"/>
    <n v="9"/>
    <n v="28379.46"/>
    <n v="0"/>
    <n v="0"/>
    <n v="0"/>
    <n v="56758.92"/>
    <n v="0"/>
    <s v="24AABCG1282C2Z6"/>
    <s v="Kgs"/>
    <n v="39269080"/>
    <s v="Rs."/>
    <n v="1"/>
    <n v="2015"/>
    <s v="India"/>
  </r>
  <r>
    <s v="23-08-2026"/>
    <s v="Plastene India ltd - Unit 1-Purchase"/>
    <s v="R.M.P."/>
    <s v="RM 461"/>
    <s v="Purchase Withinstate - Raw Material"/>
    <s v="PIL1/D/1459"/>
    <s v="23-08-2026"/>
    <s v="SF"/>
    <s v="Yarn All"/>
    <x v="9"/>
    <s v="Yarn"/>
    <s v="PP MF Yarn Twisted 1000 UV NW"/>
    <n v="832.6"/>
    <n v="128486.83"/>
    <s v="PP MF Yarn Twisted 1000 UV NW"/>
    <n v="134782.68"/>
    <n v="2.5"/>
    <n v="3212.17"/>
    <n v="2.5"/>
    <n v="3212.17"/>
    <n v="0"/>
    <n v="0"/>
    <n v="0"/>
    <n v="6424.34"/>
    <n v="0"/>
    <s v="24AAACO3087C1ZT"/>
    <s v="Kgs"/>
    <n v="54026930"/>
    <s v="Rs."/>
    <n v="1"/>
    <n v="832.6"/>
    <s v="India"/>
  </r>
  <r>
    <s v="23-08-2026"/>
    <s v="Plastene India ltd - Unit 1-Purchase"/>
    <s v="R.M.P."/>
    <s v="RM 462"/>
    <s v="Purchase Withinstate - Raw Material"/>
    <s v="PIL1/D/1464"/>
    <s v="23-08-2026"/>
    <s v="SF"/>
    <s v="Webbing"/>
    <x v="2"/>
    <s v="PP Webbing"/>
    <s v="Webbing"/>
    <n v="66.2"/>
    <n v="9752.58"/>
    <s v="Webbing"/>
    <n v="11498.29"/>
    <n v="9"/>
    <n v="877.73"/>
    <n v="9"/>
    <n v="877.73"/>
    <n v="0"/>
    <n v="0"/>
    <n v="0"/>
    <n v="1755.46"/>
    <n v="0"/>
    <s v="24AAACO3087C1ZT"/>
    <s v="Kgs"/>
    <n v="3926908"/>
    <s v="Rs."/>
    <n v="1"/>
    <n v="66.2"/>
    <s v="India"/>
  </r>
  <r>
    <s v="23-08-2026"/>
    <s v="Plastene India ltd - Unit 1-Purchase"/>
    <s v="R.M.P."/>
    <s v="RM 464"/>
    <s v="Purchase Withinstate - Raw Material"/>
    <s v="PIL1/D/1468"/>
    <s v="23-08-2026"/>
    <s v="SF"/>
    <s v="Yarn All"/>
    <x v="9"/>
    <s v="Yarn"/>
    <s v="PP MF Yarn Twisted 2500 Denier UV NW"/>
    <n v="529.5"/>
    <n v="81712.44"/>
    <s v="PP MF Yarn Twisted 2500 Denier UV NW"/>
    <n v="388811.7"/>
    <n v="2.5"/>
    <n v="2042.81"/>
    <n v="2.5"/>
    <n v="2042.81"/>
    <n v="0"/>
    <n v="0"/>
    <n v="0"/>
    <n v="4085.62"/>
    <n v="0"/>
    <s v="24AAACO3087C1ZT"/>
    <s v="Kgs"/>
    <n v="54026300"/>
    <s v="Rs."/>
    <n v="1"/>
    <n v="529.5"/>
    <s v="India"/>
  </r>
  <r>
    <s v="23-08-2026"/>
    <s v="Plastene India ltd - Unit 1-Purchase"/>
    <s v="R.M.P."/>
    <s v="RM 464"/>
    <s v="Purchase Withinstate - Raw Material"/>
    <s v="PIL1/D/1468"/>
    <s v="23-08-2026"/>
    <s v="SF"/>
    <s v="Webbing"/>
    <x v="2"/>
    <s v="PP Webbing"/>
    <s v="Webbing"/>
    <n v="247.6"/>
    <n v="40933.230000000003"/>
    <s v="Webbing"/>
    <n v="0"/>
    <n v="9"/>
    <n v="3683.99"/>
    <n v="9"/>
    <n v="3683.99"/>
    <n v="0"/>
    <n v="0"/>
    <n v="0"/>
    <n v="7367.98"/>
    <n v="0"/>
    <s v="24AAACO3087C1ZT"/>
    <s v="Kgs"/>
    <n v="3926908"/>
    <s v="Rs."/>
    <n v="1"/>
    <n v="247.6"/>
    <s v="India"/>
  </r>
  <r>
    <s v="23-08-2026"/>
    <s v="Plastene India ltd - Unit 1-Purchase"/>
    <s v="R.M.P."/>
    <s v="RM 464"/>
    <s v="Purchase Withinstate - Raw Material"/>
    <s v="PIL1/D/1468"/>
    <s v="23-08-2026"/>
    <s v="SF"/>
    <s v="Webbing"/>
    <x v="2"/>
    <s v="PP Webbing"/>
    <s v="Webbing"/>
    <n v="361.5"/>
    <n v="53256.18"/>
    <s v="Webbing"/>
    <n v="0"/>
    <n v="9"/>
    <n v="4793.0600000000004"/>
    <n v="9"/>
    <n v="4793.0600000000004"/>
    <n v="0"/>
    <n v="0"/>
    <n v="0"/>
    <n v="9586.1200000000008"/>
    <n v="0"/>
    <s v="24AAACO3087C1ZT"/>
    <s v="Kgs"/>
    <n v="3926908"/>
    <s v="Rs."/>
    <n v="1"/>
    <n v="361.5"/>
    <s v="India"/>
  </r>
  <r>
    <s v="23-08-2026"/>
    <s v="Plastene India ltd - Unit 1-Purchase"/>
    <s v="R.M.P."/>
    <s v="RM 464"/>
    <s v="Purchase Withinstate - Raw Material"/>
    <s v="PIL1/D/1468"/>
    <s v="23-08-2026"/>
    <s v="SF"/>
    <s v="Webbing"/>
    <x v="2"/>
    <s v="PP Webbing"/>
    <s v="Webbing"/>
    <n v="629.5"/>
    <n v="90849.44"/>
    <s v="Webbing"/>
    <n v="0"/>
    <n v="9"/>
    <n v="8176.45"/>
    <n v="9"/>
    <n v="8176.45"/>
    <n v="0"/>
    <n v="0"/>
    <n v="0"/>
    <n v="16352.9"/>
    <n v="0"/>
    <s v="24AAACO3087C1ZT"/>
    <s v="Kgs"/>
    <n v="3926908"/>
    <s v="Rs."/>
    <n v="1"/>
    <n v="629.5"/>
    <s v="India"/>
  </r>
  <r>
    <s v="23-08-2026"/>
    <s v="Plastene India ltd - Unit 1-Purchase"/>
    <s v="R.M.P."/>
    <s v="RM 464"/>
    <s v="Purchase Withinstate - Raw Material"/>
    <s v="PIL1/D/1468"/>
    <s v="23-08-2026"/>
    <s v="SF"/>
    <s v="PP/PE Fabric"/>
    <x v="0"/>
    <s v="PP WOVEN FABRIC"/>
    <s v="PP UL Fabric With UV"/>
    <n v="489"/>
    <n v="72039.48"/>
    <s v="PP UL Fabric With UV"/>
    <n v="0"/>
    <n v="9"/>
    <n v="6483.55"/>
    <n v="9"/>
    <n v="6483.55"/>
    <n v="0"/>
    <n v="0"/>
    <n v="0"/>
    <n v="12967.1"/>
    <n v="0"/>
    <s v="24AAACO3087C1ZT"/>
    <s v="Kgs"/>
    <n v="39269080"/>
    <s v="Rs."/>
    <n v="1"/>
    <n v="489"/>
    <s v="India"/>
  </r>
  <r>
    <s v="23-08-2026"/>
    <s v="Plastene India ltd - Unit 2-Purchase"/>
    <s v="R.M.P."/>
    <s v="RM 460"/>
    <s v="Purchase Withinstate - Raw Material"/>
    <s v="PIL2/D/527"/>
    <s v="22-08-2026"/>
    <s v="SF"/>
    <s v="Webbing"/>
    <x v="2"/>
    <s v="PP Webbing"/>
    <s v="Webbing"/>
    <n v="1568.3"/>
    <n v="251555.32"/>
    <s v="Webbing"/>
    <n v="373546.85"/>
    <n v="9"/>
    <n v="22639.98"/>
    <n v="9"/>
    <n v="22639.98"/>
    <n v="0"/>
    <n v="0"/>
    <n v="0"/>
    <n v="45279.96"/>
    <n v="0"/>
    <s v="24AAACO3087C1ZT"/>
    <s v="Kgs"/>
    <n v="3926908"/>
    <s v="Rs."/>
    <n v="1"/>
    <n v="1568.3"/>
    <s v="India"/>
  </r>
  <r>
    <s v="23-08-2026"/>
    <s v="Plastene India ltd - Unit 2-Purchase"/>
    <s v="R.M.P."/>
    <s v="RM 460"/>
    <s v="Purchase Withinstate - Raw Material"/>
    <s v="PIL2/D/527"/>
    <s v="22-08-2026"/>
    <s v="SF"/>
    <s v="Webbing"/>
    <x v="2"/>
    <s v="PP Webbing"/>
    <s v="Webbing"/>
    <n v="399.5"/>
    <n v="65278.3"/>
    <s v="Webbing"/>
    <n v="0"/>
    <n v="9"/>
    <n v="5875.05"/>
    <n v="9"/>
    <n v="5875.05"/>
    <n v="0"/>
    <n v="0"/>
    <n v="0"/>
    <n v="11750.1"/>
    <n v="0"/>
    <s v="24AAACO3087C1ZT"/>
    <s v="Kgs"/>
    <n v="3926908"/>
    <s v="Rs."/>
    <n v="1"/>
    <n v="399.5"/>
    <s v="India"/>
  </r>
  <r>
    <s v="24-08-2026"/>
    <s v="HCP Enterprise Ltd-Purchase"/>
    <s v="IMP-RM"/>
    <s v="RMIMP 5"/>
    <s v="Purchase Raw Material - High Seas"/>
    <s v="HCP/26-27/HSS/35"/>
    <d v="2026-08-08T00:00:00"/>
    <s v="RM"/>
    <s v="Granules"/>
    <x v="3"/>
    <s v="PP Granules"/>
    <s v="PP JINNENG HP550J"/>
    <n v="140000"/>
    <n v="14329000"/>
    <s v="PP JINNENG HP550J"/>
    <n v="14314671"/>
    <n v="0"/>
    <n v="0"/>
    <n v="0"/>
    <n v="0"/>
    <n v="0"/>
    <n v="0"/>
    <n v="0"/>
    <n v="0"/>
    <n v="0"/>
    <s v="24AAACC7815N1ZI"/>
    <s v="Kgs"/>
    <n v="39021000"/>
    <s v="Rs."/>
    <n v="1"/>
    <n v="140000"/>
    <s v="India"/>
  </r>
  <r>
    <s v="24-08-2026"/>
    <s v="K.P. Woven Pvt Ltd-Purchase"/>
    <s v="R.M.P."/>
    <s v="RM 467"/>
    <s v="Purchase Withinstate - Raw Material"/>
    <s v="KPV/D/650"/>
    <s v="23-08-2026"/>
    <s v="SF"/>
    <s v="Yarn All"/>
    <x v="9"/>
    <s v="PP TAPE"/>
    <s v="PP Fibrillated Tape Twisted 3200 MW"/>
    <n v="476"/>
    <n v="74446.399999999994"/>
    <s v="PP Fibrillated Tape Twisted 3200 MW"/>
    <n v="320219.59000000003"/>
    <n v="2.5"/>
    <n v="1861.16"/>
    <n v="2.5"/>
    <n v="1861.16"/>
    <n v="0"/>
    <n v="0"/>
    <n v="0"/>
    <n v="3722.32"/>
    <n v="0"/>
    <s v="24AAECK6307M1ZF"/>
    <s v="Kgs"/>
    <n v="54026930"/>
    <s v="Rs."/>
    <n v="1"/>
    <n v="476"/>
    <s v="India"/>
  </r>
  <r>
    <s v="24-08-2026"/>
    <s v="K.P. Woven Pvt Ltd-Purchase"/>
    <s v="R.M.P."/>
    <s v="RM 467"/>
    <s v="Purchase Withinstate - Raw Material"/>
    <s v="KPV/D/650"/>
    <s v="23-08-2026"/>
    <s v="SF"/>
    <s v="PP/PE Fabric"/>
    <x v="0"/>
    <s v="PP WOVEN FABRIC"/>
    <s v="PP UL Fabric With UV"/>
    <n v="481.8"/>
    <n v="90771.12"/>
    <s v="PP UL Fabric With UV"/>
    <n v="0"/>
    <n v="9"/>
    <n v="8169.4"/>
    <n v="9"/>
    <n v="8169.4"/>
    <n v="0"/>
    <n v="0"/>
    <n v="0"/>
    <n v="16338.8"/>
    <n v="0"/>
    <s v="24AAECK6307M1ZF"/>
    <s v="Kgs"/>
    <n v="39269080"/>
    <s v="Rs."/>
    <n v="1"/>
    <n v="481.8"/>
    <s v="India"/>
  </r>
  <r>
    <s v="24-08-2026"/>
    <s v="K.P. Woven Pvt Ltd-Purchase"/>
    <s v="R.M.P."/>
    <s v="RM 467"/>
    <s v="Purchase Withinstate - Raw Material"/>
    <s v="KPV/D/650"/>
    <s v="23-08-2026"/>
    <s v="SF"/>
    <s v="Yarn All"/>
    <x v="9"/>
    <s v="PP TAPE"/>
    <s v="PP Fibrillated Tape Twisted 3200 Blue"/>
    <n v="808"/>
    <n v="128795.2"/>
    <s v="PP Fibrillated Tape Twisted 3200 Blue"/>
    <n v="0"/>
    <n v="2.5"/>
    <n v="3219.88"/>
    <n v="2.5"/>
    <n v="3219.88"/>
    <n v="0"/>
    <n v="0"/>
    <n v="0"/>
    <n v="6439.76"/>
    <n v="0"/>
    <s v="24AAECK6307M1ZF"/>
    <s v="Kgs"/>
    <n v="54026930"/>
    <s v="Rs."/>
    <n v="1"/>
    <n v="808"/>
    <s v="India"/>
  </r>
  <r>
    <s v="24-08-2026"/>
    <s v="Plastene India ltd - Unit 1-Purchase"/>
    <s v="R.M.P."/>
    <s v="RM 468"/>
    <s v="Purchase Withinstate - Raw Material"/>
    <s v="PIL1/D/1471"/>
    <s v="24-08-2026"/>
    <s v="RM"/>
    <s v="Granules"/>
    <x v="12"/>
    <s v="FILLER CACO3"/>
    <s v="Filler Soltex PTUFF23"/>
    <n v="3000"/>
    <n v="121500"/>
    <s v="Filler Soltex PTUFF23"/>
    <n v="143248.5"/>
    <n v="9"/>
    <n v="10935"/>
    <n v="9"/>
    <n v="10935"/>
    <n v="0"/>
    <n v="0"/>
    <n v="0"/>
    <n v="21870"/>
    <n v="0"/>
    <s v="24AAACO3087C1ZT"/>
    <s v="Kgs"/>
    <n v="32041990"/>
    <s v="Rs."/>
    <n v="1"/>
    <n v="3000"/>
    <s v="India"/>
  </r>
  <r>
    <s v="24-08-2026"/>
    <s v="Plastene India ltd - Unit 1-Purchase"/>
    <s v="R.M.P."/>
    <s v="RM 469"/>
    <s v="Purchase Withinstate - Raw Material"/>
    <s v="PIL1/D/1472"/>
    <s v="24-08-2026"/>
    <s v="SF"/>
    <s v="Webbing"/>
    <x v="2"/>
    <s v="PP Webbing"/>
    <s v="Webbing"/>
    <n v="139.80000000000001"/>
    <n v="23111.73"/>
    <s v="Webbing"/>
    <n v="281046.46000000002"/>
    <n v="9"/>
    <n v="2080.06"/>
    <n v="9"/>
    <n v="2080.06"/>
    <n v="0"/>
    <n v="0"/>
    <n v="0"/>
    <n v="4160.12"/>
    <n v="0"/>
    <s v="24AAACO3087C1ZT"/>
    <s v="Kgs"/>
    <n v="3926908"/>
    <s v="Rs."/>
    <n v="1"/>
    <n v="139.80000000000001"/>
    <s v="India"/>
  </r>
  <r>
    <s v="24-08-2026"/>
    <s v="Plastene India ltd - Unit 1-Purchase"/>
    <s v="R.M.P."/>
    <s v="RM 469"/>
    <s v="Purchase Withinstate - Raw Material"/>
    <s v="PIL1/D/1472"/>
    <s v="24-08-2026"/>
    <s v="SF"/>
    <s v="Webbing"/>
    <x v="2"/>
    <s v="PP Webbing"/>
    <s v="Webbing"/>
    <n v="515.20000000000005"/>
    <n v="74353.66"/>
    <s v="Webbing"/>
    <n v="0"/>
    <n v="9"/>
    <n v="6691.83"/>
    <n v="9"/>
    <n v="6691.83"/>
    <n v="0"/>
    <n v="0"/>
    <n v="0"/>
    <n v="13383.66"/>
    <n v="0"/>
    <s v="24AAACO3087C1ZT"/>
    <s v="Kgs"/>
    <n v="3926908"/>
    <s v="Rs."/>
    <n v="1"/>
    <n v="515.20000000000005"/>
    <s v="India"/>
  </r>
  <r>
    <s v="24-08-2026"/>
    <s v="Plastene India ltd - Unit 1-Purchase"/>
    <s v="R.M.P."/>
    <s v="RM 469"/>
    <s v="Purchase Withinstate - Raw Material"/>
    <s v="PIL1/D/1472"/>
    <s v="24-08-2026"/>
    <s v="SF"/>
    <s v="Webbing"/>
    <x v="2"/>
    <s v="PP Webbing"/>
    <s v="Webbing"/>
    <n v="956.5"/>
    <n v="140911.59"/>
    <s v="Webbing"/>
    <n v="0"/>
    <n v="9"/>
    <n v="12682.04"/>
    <n v="9"/>
    <n v="12682.04"/>
    <n v="0"/>
    <n v="0"/>
    <n v="0"/>
    <n v="25364.080000000002"/>
    <n v="0"/>
    <s v="24AAACO3087C1ZT"/>
    <s v="Kgs"/>
    <n v="3926908"/>
    <s v="Rs."/>
    <n v="1"/>
    <n v="956.5"/>
    <s v="India"/>
  </r>
  <r>
    <s v="24-08-2026"/>
    <s v="Plastene India ltd - Unit 1-Purchase"/>
    <s v="R.M.P."/>
    <s v="RM 470"/>
    <s v="Purchase Withinstate - Raw Material"/>
    <s v="PIL1/D/1478"/>
    <s v="24-08-2026"/>
    <s v="SF"/>
    <s v="PP/PE Fabric"/>
    <x v="0"/>
    <s v="PP WOVEN FABRIC"/>
    <s v="PP UL Fabric With UV"/>
    <n v="582"/>
    <n v="82830.240000000005"/>
    <s v="PP UL Fabric With UV"/>
    <n v="774066.73"/>
    <n v="9"/>
    <n v="7454.72"/>
    <n v="9"/>
    <n v="7454.72"/>
    <n v="0"/>
    <n v="0"/>
    <n v="0"/>
    <n v="14909.44"/>
    <n v="0"/>
    <s v="24AAACO3087C1ZT"/>
    <s v="Kgs"/>
    <n v="39269080"/>
    <s v="Rs."/>
    <n v="1"/>
    <n v="582"/>
    <s v="India"/>
  </r>
  <r>
    <s v="24-08-2026"/>
    <s v="Plastene India ltd - Unit 1-Purchase"/>
    <s v="R.M.P."/>
    <s v="RM 470"/>
    <s v="Purchase Withinstate - Raw Material"/>
    <s v="PIL1/D/1478"/>
    <s v="24-08-2026"/>
    <s v="SF"/>
    <s v="PP/PE Fabric"/>
    <x v="1"/>
    <s v="PP Laminated Fabric"/>
    <s v="PP Lam Fabric With UV"/>
    <n v="581"/>
    <n v="98374.92"/>
    <s v="PP Lam Fabric With UV"/>
    <n v="0"/>
    <n v="9"/>
    <n v="8853.74"/>
    <n v="9"/>
    <n v="8853.74"/>
    <n v="0"/>
    <n v="0"/>
    <n v="0"/>
    <n v="17707.48"/>
    <n v="0"/>
    <s v="24AAACO3087C1ZT"/>
    <s v="Kgs"/>
    <n v="63053300"/>
    <s v="Rs."/>
    <n v="1"/>
    <n v="581"/>
    <s v="India"/>
  </r>
  <r>
    <s v="24-08-2026"/>
    <s v="Plastene India ltd - Unit 1-Purchase"/>
    <s v="R.M.P."/>
    <s v="RM 470"/>
    <s v="Purchase Withinstate - Raw Material"/>
    <s v="PIL1/D/1478"/>
    <s v="24-08-2026"/>
    <s v="SF"/>
    <s v="PP/PE Fabric"/>
    <x v="1"/>
    <s v="PP Laminated Fabric"/>
    <s v="PP Lam Fabric With UV"/>
    <n v="2056"/>
    <n v="307001.92"/>
    <s v="PP Lam Fabric With UV"/>
    <n v="0"/>
    <n v="9"/>
    <n v="27630.17"/>
    <n v="9"/>
    <n v="27630.17"/>
    <n v="0"/>
    <n v="0"/>
    <n v="0"/>
    <n v="55260.34"/>
    <n v="0"/>
    <s v="24AAACO3087C1ZT"/>
    <s v="Kgs"/>
    <n v="63053300"/>
    <s v="Rs."/>
    <n v="1"/>
    <n v="2056"/>
    <s v="India"/>
  </r>
  <r>
    <s v="24-08-2026"/>
    <s v="Plastene India ltd - Unit 1-Purchase"/>
    <s v="R.M.P."/>
    <s v="RM 470"/>
    <s v="Purchase Withinstate - Raw Material"/>
    <s v="PIL1/D/1478"/>
    <s v="24-08-2026"/>
    <s v="SF"/>
    <s v="Tape Stock"/>
    <x v="11"/>
    <s v="PP Webbing"/>
    <s v="PP Tapes"/>
    <n v="1244"/>
    <n v="168338.08"/>
    <s v="PP Tapes"/>
    <n v="0"/>
    <n v="9"/>
    <n v="15150.43"/>
    <n v="9"/>
    <n v="15150.43"/>
    <n v="0"/>
    <n v="0"/>
    <n v="0"/>
    <n v="30300.86"/>
    <n v="0"/>
    <s v="24AAACO3087C1ZT"/>
    <s v="Kgs"/>
    <n v="39199090"/>
    <s v="Rs."/>
    <n v="1"/>
    <n v="1244"/>
    <s v="India"/>
  </r>
  <r>
    <s v="24-08-2026"/>
    <s v="Plastene India ltd - Unit 2-Purchase"/>
    <s v="R.M.P."/>
    <s v="RM 465"/>
    <s v="Purchase Withinstate - Raw Material"/>
    <s v="PIL2/D/529"/>
    <s v="23-08-2026"/>
    <s v="FG"/>
    <s v="FIBC WIP"/>
    <x v="6"/>
    <s v="PP Webbing"/>
    <s v="FIBC WIP"/>
    <n v="2"/>
    <n v="326.8"/>
    <s v="FIBC WIP"/>
    <n v="385.29"/>
    <n v="9"/>
    <n v="29.41"/>
    <n v="9"/>
    <n v="29.41"/>
    <n v="0"/>
    <n v="0"/>
    <n v="0"/>
    <n v="58.82"/>
    <n v="0"/>
    <s v="24AAACO3087C1ZT"/>
    <s v="Kgs"/>
    <n v="39269080"/>
    <s v="Rs."/>
    <n v="1"/>
    <n v="2"/>
    <s v="India"/>
  </r>
  <r>
    <s v="24-08-2026"/>
    <s v="Plastene India ltd - Unit 2-Purchase"/>
    <s v="R.M.P."/>
    <s v="RM 466"/>
    <s v="Purchase Withinstate - Raw Material"/>
    <s v="PIL2/D/528"/>
    <s v="22-08-2026"/>
    <s v="FG"/>
    <s v="FIBC Bags"/>
    <x v="8"/>
    <s v="FIBC"/>
    <s v="FIBC Bags With UV With Liner"/>
    <n v="2971"/>
    <n v="821422.07999999996"/>
    <s v="FIBC Bags With UV With Liner"/>
    <n v="4765598.3"/>
    <n v="9"/>
    <n v="73927.990000000005"/>
    <n v="9"/>
    <n v="73927.990000000005"/>
    <n v="0"/>
    <n v="0"/>
    <n v="0"/>
    <n v="147855.98000000001"/>
    <n v="0"/>
    <s v="24AAACO3087C1ZT"/>
    <s v="Kgs"/>
    <n v="63053200"/>
    <s v="Rs."/>
    <n v="1"/>
    <n v="2971"/>
    <s v="India"/>
  </r>
  <r>
    <s v="24-08-2026"/>
    <s v="Plastene India ltd - Unit 2-Purchase"/>
    <s v="R.M.P."/>
    <s v="RM 466"/>
    <s v="Purchase Withinstate - Raw Material"/>
    <s v="PIL2/D/528"/>
    <s v="22-08-2026"/>
    <s v="FG"/>
    <s v="FIBC Bags"/>
    <x v="8"/>
    <s v="FIBC"/>
    <s v="FIBC Bags With UV Without Liner"/>
    <n v="1705"/>
    <n v="372201.5"/>
    <s v="FIBC Bags With UV Without Liner"/>
    <n v="0"/>
    <n v="9"/>
    <n v="33498.14"/>
    <n v="9"/>
    <n v="33498.14"/>
    <n v="0"/>
    <n v="0"/>
    <n v="0"/>
    <n v="66996.28"/>
    <n v="0"/>
    <s v="24AAACO3087C1ZT"/>
    <s v="Kgs"/>
    <n v="63053200"/>
    <s v="Rs."/>
    <n v="1"/>
    <n v="1705"/>
    <s v="India"/>
  </r>
  <r>
    <s v="24-08-2026"/>
    <s v="Plastene India ltd - Unit 2-Purchase"/>
    <s v="R.M.P."/>
    <s v="RM 466"/>
    <s v="Purchase Withinstate - Raw Material"/>
    <s v="PIL2/D/528"/>
    <s v="22-08-2026"/>
    <s v="FG"/>
    <s v="FIBC Bags"/>
    <x v="8"/>
    <s v="FIBC"/>
    <s v="FIBC Bags With UV Without Liner"/>
    <n v="1326"/>
    <n v="281761.74"/>
    <s v="FIBC Bags With UV Without Liner"/>
    <n v="0"/>
    <n v="9"/>
    <n v="25358.560000000001"/>
    <n v="9"/>
    <n v="25358.560000000001"/>
    <n v="0"/>
    <n v="0"/>
    <n v="0"/>
    <n v="50717.120000000003"/>
    <n v="0"/>
    <s v="24AAACO3087C1ZT"/>
    <s v="Kgs"/>
    <n v="63053200"/>
    <s v="Rs."/>
    <n v="1"/>
    <n v="1326"/>
    <s v="India"/>
  </r>
  <r>
    <s v="24-08-2026"/>
    <s v="Plastene India ltd - Unit 2-Purchase"/>
    <s v="R.M.P."/>
    <s v="RM 466"/>
    <s v="Purchase Withinstate - Raw Material"/>
    <s v="PIL2/D/528"/>
    <s v="22-08-2026"/>
    <s v="FG"/>
    <s v="FIBC Bags"/>
    <x v="8"/>
    <s v="FIBC"/>
    <s v="FIBC Bags With UV Without Liner"/>
    <n v="3692"/>
    <n v="776722.96"/>
    <s v="FIBC Bags With UV Without Liner"/>
    <n v="0"/>
    <n v="9"/>
    <n v="69905.070000000007"/>
    <n v="9"/>
    <n v="69905.070000000007"/>
    <n v="0"/>
    <n v="0"/>
    <n v="0"/>
    <n v="139810.14000000001"/>
    <n v="0"/>
    <s v="24AAACO3087C1ZT"/>
    <s v="Kgs"/>
    <n v="63053200"/>
    <s v="Rs."/>
    <n v="1"/>
    <n v="3692"/>
    <s v="India"/>
  </r>
  <r>
    <s v="24-08-2026"/>
    <s v="Plastene India ltd - Unit 2-Purchase"/>
    <s v="R.M.P."/>
    <s v="RM 466"/>
    <s v="Purchase Withinstate - Raw Material"/>
    <s v="PIL2/D/528"/>
    <s v="22-08-2026"/>
    <s v="FG"/>
    <s v="FIBC Bags"/>
    <x v="8"/>
    <s v="FIBC"/>
    <s v="FIBC Bags With UV Without Liner"/>
    <n v="1770"/>
    <n v="378355.20000000001"/>
    <s v="FIBC Bags With UV Without Liner"/>
    <n v="0"/>
    <n v="9"/>
    <n v="34051.97"/>
    <n v="9"/>
    <n v="34051.97"/>
    <n v="0"/>
    <n v="0"/>
    <n v="0"/>
    <n v="68103.94"/>
    <n v="0"/>
    <s v="24AAACO3087C1ZT"/>
    <s v="Kgs"/>
    <n v="63053200"/>
    <s v="Rs."/>
    <n v="1"/>
    <n v="1770"/>
    <s v="India"/>
  </r>
  <r>
    <s v="24-08-2026"/>
    <s v="Plastene India ltd - Unit 2-Purchase"/>
    <s v="R.M.P."/>
    <s v="RM 466"/>
    <s v="Purchase Withinstate - Raw Material"/>
    <s v="PIL2/D/528"/>
    <s v="22-08-2026"/>
    <s v="FG"/>
    <s v="FIBC Bags"/>
    <x v="8"/>
    <s v="FIBC"/>
    <s v="FIBC Bags With UV Without Liner"/>
    <n v="6617"/>
    <n v="1411604.61"/>
    <s v="FIBC Bags With UV Without Liner"/>
    <n v="0"/>
    <n v="9"/>
    <n v="127044.41"/>
    <n v="9"/>
    <n v="127044.41"/>
    <n v="0"/>
    <n v="0"/>
    <n v="0"/>
    <n v="254088.82"/>
    <n v="0"/>
    <s v="24AAACO3087C1ZT"/>
    <s v="Kgs"/>
    <n v="63053200"/>
    <s v="Rs."/>
    <n v="1"/>
    <n v="6617"/>
    <s v="India"/>
  </r>
  <r>
    <s v="25-08-2026"/>
    <s v="Plastene India ltd - Unit 1-Purchase"/>
    <s v="R.M.P."/>
    <s v="RM 471"/>
    <s v="Purchase Withinstate - Raw Material"/>
    <s v="PIL1/D/1483"/>
    <s v="25-08-2026"/>
    <s v="SF"/>
    <s v="Webbing"/>
    <x v="2"/>
    <s v="PP Webbing"/>
    <s v="Webbing"/>
    <n v="290"/>
    <n v="42722.8"/>
    <s v="Webbing"/>
    <n v="187123.33"/>
    <n v="9"/>
    <n v="3845.05"/>
    <n v="9"/>
    <n v="3845.05"/>
    <n v="0"/>
    <n v="0"/>
    <n v="0"/>
    <n v="7690.1"/>
    <n v="0"/>
    <s v="24AAACO3087C1ZT"/>
    <s v="Kgs"/>
    <n v="3926908"/>
    <s v="Rs."/>
    <n v="1"/>
    <n v="290"/>
    <s v="India"/>
  </r>
  <r>
    <s v="25-08-2026"/>
    <s v="Plastene India ltd - Unit 1-Purchase"/>
    <s v="R.M.P."/>
    <s v="RM 471"/>
    <s v="Purchase Withinstate - Raw Material"/>
    <s v="PIL1/D/1483"/>
    <s v="25-08-2026"/>
    <s v="SF"/>
    <s v="PP/PE Fabric"/>
    <x v="0"/>
    <s v="PP WOVEN FABRIC"/>
    <s v="PP UL Fabric With UV"/>
    <n v="815"/>
    <n v="115990.8"/>
    <s v="PP UL Fabric With UV"/>
    <n v="0"/>
    <n v="9"/>
    <n v="10439.17"/>
    <n v="9"/>
    <n v="10439.17"/>
    <n v="0"/>
    <n v="0"/>
    <n v="0"/>
    <n v="20878.34"/>
    <n v="0"/>
    <s v="24AAACO3087C1ZT"/>
    <s v="Kgs"/>
    <n v="39269080"/>
    <s v="Rs."/>
    <n v="1"/>
    <n v="815"/>
    <s v="India"/>
  </r>
  <r>
    <s v="25-08-2026"/>
    <s v="Plastene India ltd - Unit 1-Purchase"/>
    <s v="R.M.P."/>
    <s v="RM 472"/>
    <s v="Purchase Withinstate - Raw Material"/>
    <s v="PIL1/D/1487"/>
    <s v="25-08-2026"/>
    <s v="SF"/>
    <s v="Yarn All"/>
    <x v="9"/>
    <s v="Yarn"/>
    <s v="PP MF Yarn Twisted 1000 UV NW"/>
    <n v="892.9"/>
    <n v="137792.32999999999"/>
    <s v="PP MF Yarn Twisted 1000 UV NW"/>
    <n v="1140207.57"/>
    <n v="2.5"/>
    <n v="3444.81"/>
    <n v="2.5"/>
    <n v="3444.81"/>
    <n v="0"/>
    <n v="0"/>
    <n v="0"/>
    <n v="6889.62"/>
    <n v="0"/>
    <s v="24AAACO3087C1ZT"/>
    <s v="Kgs"/>
    <n v="54026930"/>
    <s v="Rs."/>
    <n v="1"/>
    <n v="892.9"/>
    <s v="India"/>
  </r>
  <r>
    <s v="25-08-2026"/>
    <s v="Plastene India ltd - Unit 1-Purchase"/>
    <s v="R.M.P."/>
    <s v="RM 472"/>
    <s v="Purchase Withinstate - Raw Material"/>
    <s v="PIL1/D/1487"/>
    <s v="25-08-2026"/>
    <s v="SF"/>
    <s v="Yarn All"/>
    <x v="9"/>
    <s v="Yarn"/>
    <s v="PP MF Yarn Twisted 3000 Denier UV Deep Blue"/>
    <n v="204.5"/>
    <n v="32171.94"/>
    <s v="PP MF Yarn Twisted 3000 Denier UV Deep Blue"/>
    <n v="0"/>
    <n v="2.5"/>
    <n v="804.3"/>
    <n v="2.5"/>
    <n v="804.3"/>
    <n v="0"/>
    <n v="0"/>
    <n v="0"/>
    <n v="1608.6"/>
    <n v="0"/>
    <s v="24AAACO3087C1ZT"/>
    <s v="Kgs"/>
    <n v="54026930"/>
    <s v="Rs."/>
    <n v="1"/>
    <n v="204.5"/>
    <s v="India"/>
  </r>
  <r>
    <s v="25-08-2026"/>
    <s v="Plastene India ltd - Unit 1-Purchase"/>
    <s v="R.M.P."/>
    <s v="RM 472"/>
    <s v="Purchase Withinstate - Raw Material"/>
    <s v="PIL1/D/1487"/>
    <s v="25-08-2026"/>
    <s v="SF"/>
    <s v="Yarn All"/>
    <x v="9"/>
    <s v="Yarn"/>
    <s v="PP Braided Rope MW 6 to 8 GPM"/>
    <n v="198.3"/>
    <n v="31494.01"/>
    <s v="PP Braided Rope MW 6 to 8 GPM"/>
    <n v="0"/>
    <n v="2.5"/>
    <n v="787.35"/>
    <n v="2.5"/>
    <n v="787.35"/>
    <n v="0"/>
    <n v="0"/>
    <n v="0"/>
    <n v="1574.7"/>
    <n v="0"/>
    <s v="24AAACO3087C1ZT"/>
    <s v="Kgs"/>
    <n v="540269"/>
    <s v="Rs."/>
    <n v="1"/>
    <n v="198.3"/>
    <s v="India"/>
  </r>
  <r>
    <s v="25-08-2026"/>
    <s v="Plastene India ltd - Unit 1-Purchase"/>
    <s v="R.M.P."/>
    <s v="RM 472"/>
    <s v="Purchase Withinstate - Raw Material"/>
    <s v="PIL1/D/1487"/>
    <s v="25-08-2026"/>
    <s v="SF"/>
    <s v="PP/PE Fabric"/>
    <x v="1"/>
    <s v="PP Laminated Fabric"/>
    <s v="PP Lam Fabric With UV"/>
    <n v="1291"/>
    <n v="192772.12"/>
    <s v="PP Lam Fabric With UV"/>
    <n v="0"/>
    <n v="9"/>
    <n v="17349.490000000002"/>
    <n v="9"/>
    <n v="17349.490000000002"/>
    <n v="0"/>
    <n v="0"/>
    <n v="0"/>
    <n v="34698.980000000003"/>
    <n v="0"/>
    <s v="24AAACO3087C1ZT"/>
    <s v="Kgs"/>
    <n v="63053300"/>
    <s v="Rs."/>
    <n v="1"/>
    <n v="1291"/>
    <s v="India"/>
  </r>
  <r>
    <s v="25-08-2026"/>
    <s v="Plastene India ltd - Unit 1-Purchase"/>
    <s v="R.M.P."/>
    <s v="RM 472"/>
    <s v="Purchase Withinstate - Raw Material"/>
    <s v="PIL1/D/1487"/>
    <s v="25-08-2026"/>
    <s v="SF"/>
    <s v="Webbing"/>
    <x v="2"/>
    <s v="PP Webbing"/>
    <s v="Webbing"/>
    <n v="265"/>
    <n v="43809.8"/>
    <s v="Webbing"/>
    <n v="0"/>
    <n v="9"/>
    <n v="3942.88"/>
    <n v="9"/>
    <n v="3942.88"/>
    <n v="0"/>
    <n v="0"/>
    <n v="0"/>
    <n v="7885.76"/>
    <n v="0"/>
    <s v="24AAACO3087C1ZT"/>
    <s v="Kgs"/>
    <n v="3926908"/>
    <s v="Rs."/>
    <n v="1"/>
    <n v="265"/>
    <s v="India"/>
  </r>
  <r>
    <s v="25-08-2026"/>
    <s v="Plastene India ltd - Unit 1-Purchase"/>
    <s v="R.M.P."/>
    <s v="RM 472"/>
    <s v="Purchase Withinstate - Raw Material"/>
    <s v="PIL1/D/1487"/>
    <s v="25-08-2026"/>
    <s v="SF"/>
    <s v="Webbing"/>
    <x v="2"/>
    <s v="PP Webbing"/>
    <s v="Webbing"/>
    <n v="404"/>
    <n v="58305.279999999999"/>
    <s v="Webbing"/>
    <n v="0"/>
    <n v="9"/>
    <n v="5247.48"/>
    <n v="9"/>
    <n v="5247.48"/>
    <n v="0"/>
    <n v="0"/>
    <n v="0"/>
    <n v="10494.96"/>
    <n v="0"/>
    <s v="24AAACO3087C1ZT"/>
    <s v="Kgs"/>
    <n v="3926908"/>
    <s v="Rs."/>
    <n v="1"/>
    <n v="404"/>
    <s v="India"/>
  </r>
  <r>
    <s v="25-08-2026"/>
    <s v="Plastene India ltd - Unit 1-Purchase"/>
    <s v="R.M.P."/>
    <s v="RM 472"/>
    <s v="Purchase Withinstate - Raw Material"/>
    <s v="PIL1/D/1487"/>
    <s v="25-08-2026"/>
    <s v="SF"/>
    <s v="Webbing"/>
    <x v="2"/>
    <s v="PP Webbing"/>
    <s v="Webbing"/>
    <n v="1330.2"/>
    <n v="195965.06"/>
    <s v="Webbing"/>
    <n v="0"/>
    <n v="9"/>
    <n v="17636.86"/>
    <n v="9"/>
    <n v="17636.86"/>
    <n v="0"/>
    <n v="0"/>
    <n v="0"/>
    <n v="35273.72"/>
    <n v="0"/>
    <s v="24AAACO3087C1ZT"/>
    <s v="Kgs"/>
    <n v="3926908"/>
    <s v="Rs."/>
    <n v="1"/>
    <n v="1330.2"/>
    <s v="India"/>
  </r>
  <r>
    <s v="25-08-2026"/>
    <s v="Plastene India ltd - Unit 1-Purchase"/>
    <s v="R.M.P."/>
    <s v="RM 472"/>
    <s v="Purchase Withinstate - Raw Material"/>
    <s v="PIL1/D/1487"/>
    <s v="25-08-2026"/>
    <s v="SF"/>
    <s v="Liners"/>
    <x v="5"/>
    <s v="LDPE/LLDPE Bags"/>
    <s v="LDPE/LLDPE Bags/Liner"/>
    <n v="469"/>
    <n v="84823.34"/>
    <s v="LDPE/LLDPE Bags/Liner"/>
    <n v="0"/>
    <n v="9"/>
    <n v="7634.1"/>
    <n v="9"/>
    <n v="7634.1"/>
    <n v="0"/>
    <n v="0"/>
    <n v="0"/>
    <n v="15268.2"/>
    <n v="0"/>
    <s v="24AAACO3087C1ZT"/>
    <s v="Kgs"/>
    <n v="39200000"/>
    <s v="Rs."/>
    <n v="1"/>
    <n v="469"/>
    <s v="India"/>
  </r>
  <r>
    <s v="25-08-2026"/>
    <s v="Plastene India ltd - Unit 1-Purchase"/>
    <s v="R.M.P."/>
    <s v="RM 472"/>
    <s v="Purchase Withinstate - Raw Material"/>
    <s v="PIL1/D/1487"/>
    <s v="25-08-2026"/>
    <s v="SF"/>
    <s v="Liners"/>
    <x v="5"/>
    <s v="LDPE/LLDPE Bags"/>
    <s v="LDPE/LLDPE Bags/Liner"/>
    <n v="573"/>
    <n v="115092.78"/>
    <s v="LDPE/LLDPE Bags/Liner"/>
    <n v="0"/>
    <n v="9"/>
    <n v="10358.35"/>
    <n v="9"/>
    <n v="10358.35"/>
    <n v="0"/>
    <n v="0"/>
    <n v="0"/>
    <n v="20716.7"/>
    <n v="0"/>
    <s v="24AAACO3087C1ZT"/>
    <s v="Kgs"/>
    <n v="39200000"/>
    <s v="Rs."/>
    <n v="1"/>
    <n v="573"/>
    <s v="India"/>
  </r>
  <r>
    <s v="25-08-2026"/>
    <s v="Plastene India ltd - Unit 1-Purchase"/>
    <s v="R.M.P."/>
    <s v="RM 472"/>
    <s v="Purchase Withinstate - Raw Material"/>
    <s v="PIL1/D/1487"/>
    <s v="25-08-2026"/>
    <s v="SF"/>
    <s v="PP/PE Fabric"/>
    <x v="0"/>
    <s v="PP WOVEN FABRIC"/>
    <s v="PP UL Fabric With UV"/>
    <n v="659"/>
    <n v="97083.88"/>
    <s v="PP UL Fabric With UV"/>
    <n v="0"/>
    <n v="9"/>
    <n v="8737.5499999999993"/>
    <n v="9"/>
    <n v="8737.5499999999993"/>
    <n v="0"/>
    <n v="0"/>
    <n v="0"/>
    <n v="17475.099999999999"/>
    <n v="0"/>
    <s v="24AAACO3087C1ZT"/>
    <s v="Kgs"/>
    <n v="39269080"/>
    <s v="Rs."/>
    <n v="1"/>
    <n v="659"/>
    <s v="India"/>
  </r>
  <r>
    <s v="26-08-2026"/>
    <s v="K.P. Woven Pvt Ltd-Purchase"/>
    <s v="R.M.P."/>
    <s v="RM 474"/>
    <s v="Purchase Withinstate - Raw Material"/>
    <s v="KPV/D/670"/>
    <s v="25-08-2026"/>
    <s v="SF"/>
    <s v="Webbing"/>
    <x v="2"/>
    <s v="PP Webbing"/>
    <s v="Webbing"/>
    <n v="290"/>
    <n v="47386"/>
    <s v="Webbing"/>
    <n v="596186.57999999996"/>
    <n v="9"/>
    <n v="4264.74"/>
    <n v="9"/>
    <n v="4264.74"/>
    <n v="0"/>
    <n v="0"/>
    <n v="0"/>
    <n v="8529.48"/>
    <n v="0"/>
    <s v="24AAECK6307M1ZF"/>
    <s v="Kgs"/>
    <n v="3926908"/>
    <s v="Rs."/>
    <n v="1"/>
    <n v="290"/>
    <s v="India"/>
  </r>
  <r>
    <s v="26-08-2026"/>
    <s v="K.P. Woven Pvt Ltd-Purchase"/>
    <s v="R.M.P."/>
    <s v="RM 474"/>
    <s v="Purchase Withinstate - Raw Material"/>
    <s v="KPV/D/670"/>
    <s v="25-08-2026"/>
    <s v="SF"/>
    <s v="Webbing"/>
    <x v="2"/>
    <s v="PP Webbing"/>
    <s v="Webbing"/>
    <n v="470"/>
    <n v="75388"/>
    <s v="Webbing"/>
    <n v="0"/>
    <n v="9"/>
    <n v="6784.92"/>
    <n v="9"/>
    <n v="6784.92"/>
    <n v="0"/>
    <n v="0"/>
    <n v="0"/>
    <n v="13569.84"/>
    <n v="0"/>
    <s v="24AAECK6307M1ZF"/>
    <s v="Kgs"/>
    <n v="3926908"/>
    <s v="Rs."/>
    <n v="1"/>
    <n v="470"/>
    <s v="India"/>
  </r>
  <r>
    <s v="26-08-2026"/>
    <s v="K.P. Woven Pvt Ltd-Purchase"/>
    <s v="R.M.P."/>
    <s v="RM 474"/>
    <s v="Purchase Withinstate - Raw Material"/>
    <s v="KPV/D/670"/>
    <s v="25-08-2026"/>
    <s v="SF"/>
    <s v="Webbing"/>
    <x v="2"/>
    <s v="PP Webbing"/>
    <s v="Webbing"/>
    <n v="1060"/>
    <n v="173204"/>
    <s v="Webbing"/>
    <n v="0"/>
    <n v="9"/>
    <n v="15588.36"/>
    <n v="9"/>
    <n v="15588.36"/>
    <n v="0"/>
    <n v="0"/>
    <n v="0"/>
    <n v="31176.720000000001"/>
    <n v="0"/>
    <s v="24AAECK6307M1ZF"/>
    <s v="Kgs"/>
    <n v="3926908"/>
    <s v="Rs."/>
    <n v="1"/>
    <n v="1060"/>
    <s v="India"/>
  </r>
  <r>
    <s v="26-08-2026"/>
    <s v="K.P. Woven Pvt Ltd-Purchase"/>
    <s v="R.M.P."/>
    <s v="RM 474"/>
    <s v="Purchase Withinstate - Raw Material"/>
    <s v="KPV/D/670"/>
    <s v="25-08-2026"/>
    <s v="SF"/>
    <s v="Yarn All"/>
    <x v="9"/>
    <s v="PP TAPE"/>
    <s v="PP Fibrillated Tape Twisted 3200 Blue"/>
    <n v="725"/>
    <n v="115565"/>
    <s v="PP Fibrillated Tape Twisted 3200 Blue"/>
    <n v="0"/>
    <n v="2.5"/>
    <n v="2889.12"/>
    <n v="2.5"/>
    <n v="2889.12"/>
    <n v="0"/>
    <n v="0"/>
    <n v="0"/>
    <n v="5778.24"/>
    <n v="0"/>
    <s v="24AAECK6307M1ZF"/>
    <s v="Kgs"/>
    <n v="54026930"/>
    <s v="Rs."/>
    <n v="1"/>
    <n v="725"/>
    <s v="India"/>
  </r>
  <r>
    <s v="26-08-2026"/>
    <s v="K.P. Woven Pvt Ltd-Purchase"/>
    <s v="R.M.P."/>
    <s v="RM 474"/>
    <s v="Purchase Withinstate - Raw Material"/>
    <s v="KPV/D/670"/>
    <s v="25-08-2026"/>
    <s v="SF"/>
    <s v="Yarn All"/>
    <x v="9"/>
    <s v="PP TAPE"/>
    <s v="PP Fibrillated Tape Twisted 3200 MW"/>
    <n v="768"/>
    <n v="120115.2"/>
    <s v="PP Fibrillated Tape Twisted 3200 MW"/>
    <n v="0"/>
    <n v="2.5"/>
    <n v="3002.88"/>
    <n v="2.5"/>
    <n v="3002.88"/>
    <n v="0"/>
    <n v="0"/>
    <n v="0"/>
    <n v="6005.76"/>
    <n v="0"/>
    <s v="24AAECK6307M1ZF"/>
    <s v="Kgs"/>
    <n v="54026930"/>
    <s v="Rs."/>
    <n v="1"/>
    <n v="768"/>
    <s v="India"/>
  </r>
  <r>
    <s v="26-08-2026"/>
    <s v="Plastene India ltd - Unit 1-Purchase"/>
    <s v="R.M.P."/>
    <s v="RM 473"/>
    <s v="Purchase Withinstate - Raw Material"/>
    <s v="PIL1/D/1496"/>
    <s v="26-08-2026"/>
    <s v="SF"/>
    <s v="Webbing"/>
    <x v="2"/>
    <s v="PP Webbing"/>
    <s v="Webbing"/>
    <n v="146.9"/>
    <n v="21641.31"/>
    <s v="Webbing"/>
    <n v="25515.11"/>
    <n v="9"/>
    <n v="1947.72"/>
    <n v="9"/>
    <n v="1947.72"/>
    <n v="0"/>
    <n v="0"/>
    <n v="0"/>
    <n v="3895.44"/>
    <n v="0"/>
    <s v="24AAACO3087C1ZT"/>
    <s v="Kgs"/>
    <n v="3926908"/>
    <s v="Rs."/>
    <n v="1"/>
    <n v="146.9"/>
    <s v="India"/>
  </r>
  <r>
    <s v="26-08-2026"/>
    <s v="Plastene India ltd - Unit 1-Purchase"/>
    <s v="R.M.P."/>
    <s v="RM 475"/>
    <s v="Purchase Withinstate - Raw Material"/>
    <s v="PIL1/D/1501"/>
    <s v="26-08-2026"/>
    <s v="SF"/>
    <s v="PP/PE Fabric"/>
    <x v="1"/>
    <s v="PP Laminated Fabric"/>
    <s v="PP Lam Fabric With UV"/>
    <n v="1246"/>
    <n v="186052.72"/>
    <s v="PP Lam Fabric With UV"/>
    <n v="582328.02"/>
    <n v="9"/>
    <n v="16744.740000000002"/>
    <n v="9"/>
    <n v="16744.740000000002"/>
    <n v="0"/>
    <n v="0"/>
    <n v="0"/>
    <n v="33489.480000000003"/>
    <n v="0"/>
    <s v="24AAACO3087C1ZT"/>
    <s v="Kgs"/>
    <n v="63053300"/>
    <s v="Rs."/>
    <n v="1"/>
    <n v="1246"/>
    <s v="India"/>
  </r>
  <r>
    <s v="26-08-2026"/>
    <s v="Plastene India ltd - Unit 1-Purchase"/>
    <s v="R.M.P."/>
    <s v="RM 475"/>
    <s v="Purchase Withinstate - Raw Material"/>
    <s v="PIL1/D/1501"/>
    <s v="26-08-2026"/>
    <s v="SF"/>
    <s v="PP/PE Fabric"/>
    <x v="1"/>
    <s v="PP Laminated Fabric"/>
    <s v="PP Lam Fabric With UV"/>
    <n v="480"/>
    <n v="83673.600000000006"/>
    <s v="PP Lam Fabric With UV"/>
    <n v="0"/>
    <n v="9"/>
    <n v="7530.62"/>
    <n v="9"/>
    <n v="7530.62"/>
    <n v="0"/>
    <n v="0"/>
    <n v="0"/>
    <n v="15061.24"/>
    <n v="0"/>
    <s v="24AAACO3087C1ZT"/>
    <s v="Kgs"/>
    <n v="63053300"/>
    <s v="Rs."/>
    <n v="1"/>
    <n v="480"/>
    <s v="India"/>
  </r>
  <r>
    <s v="26-08-2026"/>
    <s v="Plastene India ltd - Unit 1-Purchase"/>
    <s v="R.M.P."/>
    <s v="RM 475"/>
    <s v="Purchase Withinstate - Raw Material"/>
    <s v="PIL1/D/1501"/>
    <s v="26-08-2026"/>
    <s v="SF"/>
    <s v="PP/PE Fabric"/>
    <x v="0"/>
    <s v="PP WOVEN FABRIC"/>
    <s v="PP UL Fabric With UV"/>
    <n v="550"/>
    <n v="78276"/>
    <s v="PP UL Fabric With UV"/>
    <n v="0"/>
    <n v="9"/>
    <n v="7044.84"/>
    <n v="9"/>
    <n v="7044.84"/>
    <n v="0"/>
    <n v="0"/>
    <n v="0"/>
    <n v="14089.68"/>
    <n v="0"/>
    <s v="24AAACO3087C1ZT"/>
    <s v="Kgs"/>
    <n v="39269080"/>
    <s v="Rs."/>
    <n v="1"/>
    <n v="550"/>
    <s v="India"/>
  </r>
  <r>
    <s v="26-08-2026"/>
    <s v="Plastene India ltd - Unit 1-Purchase"/>
    <s v="R.M.P."/>
    <s v="RM 475"/>
    <s v="Purchase Withinstate - Raw Material"/>
    <s v="PIL1/D/1501"/>
    <s v="26-08-2026"/>
    <s v="SF"/>
    <s v="Webbing"/>
    <x v="2"/>
    <s v="PP Webbing"/>
    <s v="Webbing"/>
    <n v="112.8"/>
    <n v="18648.09"/>
    <s v="Webbing"/>
    <n v="0"/>
    <n v="9"/>
    <n v="1678.33"/>
    <n v="9"/>
    <n v="1678.33"/>
    <n v="0"/>
    <n v="0"/>
    <n v="0"/>
    <n v="3356.66"/>
    <n v="0"/>
    <s v="24AAACO3087C1ZT"/>
    <s v="Kgs"/>
    <n v="3926908"/>
    <s v="Rs."/>
    <n v="1"/>
    <n v="112.8"/>
    <s v="India"/>
  </r>
  <r>
    <s v="26-08-2026"/>
    <s v="Plastene India ltd - Unit 1-Purchase"/>
    <s v="R.M.P."/>
    <s v="RM 475"/>
    <s v="Purchase Withinstate - Raw Material"/>
    <s v="PIL1/D/1501"/>
    <s v="26-08-2026"/>
    <s v="SF"/>
    <s v="Webbing"/>
    <x v="2"/>
    <s v="PP Webbing"/>
    <s v="Webbing"/>
    <n v="405.8"/>
    <n v="59782.45"/>
    <s v="Webbing"/>
    <n v="0"/>
    <n v="9"/>
    <n v="5380.42"/>
    <n v="9"/>
    <n v="5380.42"/>
    <n v="0"/>
    <n v="0"/>
    <n v="0"/>
    <n v="10760.84"/>
    <n v="0"/>
    <s v="24AAACO3087C1ZT"/>
    <s v="Kgs"/>
    <n v="3926908"/>
    <s v="Rs."/>
    <n v="1"/>
    <n v="405.8"/>
    <s v="India"/>
  </r>
  <r>
    <s v="26-08-2026"/>
    <s v="Plastene India ltd - Unit 1-Purchase"/>
    <s v="R.M.P."/>
    <s v="RM 475"/>
    <s v="Purchase Withinstate - Raw Material"/>
    <s v="PIL1/D/1501"/>
    <s v="26-08-2026"/>
    <s v="SF"/>
    <s v="Webbing"/>
    <x v="2"/>
    <s v="PP Webbing"/>
    <s v="Webbing"/>
    <n v="467.6"/>
    <n v="67484.05"/>
    <s v="Webbing"/>
    <n v="0"/>
    <n v="9"/>
    <n v="6073.56"/>
    <n v="9"/>
    <n v="6073.56"/>
    <n v="0"/>
    <n v="0"/>
    <n v="0"/>
    <n v="12147.12"/>
    <n v="0"/>
    <s v="24AAACO3087C1ZT"/>
    <s v="Kgs"/>
    <n v="3926908"/>
    <s v="Rs."/>
    <n v="1"/>
    <n v="467.6"/>
    <s v="India"/>
  </r>
  <r>
    <s v="26-08-2026"/>
    <s v="Plastene India ltd - Unit 1-Purchase"/>
    <s v="R.M.P."/>
    <s v="RM 476"/>
    <s v="Purchase Withinstate - Raw Material"/>
    <s v="PIL1/D/1503"/>
    <s v="26-08-2026"/>
    <s v="SF"/>
    <s v="Tape Stock"/>
    <x v="11"/>
    <s v="PP TAPE"/>
    <s v="PP Tapes"/>
    <n v="702"/>
    <n v="92888.639999999999"/>
    <s v="PP Tapes"/>
    <n v="109515.71"/>
    <n v="9"/>
    <n v="8359.98"/>
    <n v="9"/>
    <n v="8359.98"/>
    <n v="0"/>
    <n v="0"/>
    <n v="0"/>
    <n v="16719.96"/>
    <n v="0"/>
    <s v="24AAACO3087C1ZT"/>
    <s v="Kgs"/>
    <n v="39199090"/>
    <s v="Rs."/>
    <n v="1"/>
    <n v="702"/>
    <s v="India"/>
  </r>
  <r>
    <s v="27-08-2026"/>
    <s v="HCP Plastene Bulkpack Limited - Purchase"/>
    <s v="R.M.P."/>
    <s v="RM 477"/>
    <s v="Purchase Withinstate - Raw Material"/>
    <s v="HPBL/D/535"/>
    <s v="26-08-2026"/>
    <s v="SF"/>
    <s v="PP/PE Fabric"/>
    <x v="0"/>
    <s v="PP WOVEN FABRIC"/>
    <s v="PP UL Fabric With UV"/>
    <n v="3922"/>
    <n v="613753.78"/>
    <s v="PP UL Fabric With UV"/>
    <n v="723615.71"/>
    <n v="9"/>
    <n v="55237.84"/>
    <n v="9"/>
    <n v="55237.84"/>
    <n v="0"/>
    <n v="0"/>
    <n v="0"/>
    <n v="110475.68"/>
    <n v="0"/>
    <s v="24AABCG1282C2Z6"/>
    <s v="Kgs"/>
    <n v="39269080"/>
    <s v="Rs."/>
    <n v="1"/>
    <n v="3922"/>
    <s v="India"/>
  </r>
  <r>
    <s v="27-08-2026"/>
    <s v="HCP Plastene Bulkpack Limited - Purchase"/>
    <s v="R.M.P."/>
    <s v="RM 478"/>
    <s v="Purchase Withinstate - Raw Material"/>
    <s v="HPBL/D/534"/>
    <s v="26-08-2026"/>
    <s v="FG"/>
    <s v="Small Bags"/>
    <x v="7"/>
    <s v="PP WOVEN FABRIC"/>
    <s v="PP UL Bags With UV"/>
    <n v="1907"/>
    <n v="418796.27"/>
    <s v="PP UL Bags With UV"/>
    <n v="493760.79"/>
    <n v="9"/>
    <n v="37691.660000000003"/>
    <n v="9"/>
    <n v="37691.660000000003"/>
    <n v="0"/>
    <n v="0"/>
    <n v="0"/>
    <n v="75383.320000000007"/>
    <n v="0"/>
    <s v="24AABCG1282C2Z6"/>
    <s v="Kgs"/>
    <n v="39232990"/>
    <s v="Rs."/>
    <n v="1"/>
    <n v="1907"/>
    <s v="India"/>
  </r>
  <r>
    <s v="27-08-2026"/>
    <s v="HCP Plastene Bulkpack Limited - Purchase"/>
    <s v="R.M.P."/>
    <s v="RM 483"/>
    <s v="Purchase Withinstate - Raw Material"/>
    <s v="HPBL/D/525"/>
    <s v="23-08-2026"/>
    <s v="SF"/>
    <s v="Liners"/>
    <x v="5"/>
    <s v="LDPE/LLDPE Bags"/>
    <s v="LDPE/LLDPE Bags/Liner"/>
    <n v="1093"/>
    <n v="186848.35"/>
    <s v="LDPE/LLDPE Bags/Liner"/>
    <n v="220294.2"/>
    <n v="9"/>
    <n v="16816.349999999999"/>
    <n v="9"/>
    <n v="16816.349999999999"/>
    <n v="0"/>
    <n v="0"/>
    <n v="0"/>
    <n v="33632.699999999997"/>
    <n v="0"/>
    <s v="24AABCG1282C2Z6"/>
    <s v="Kgs"/>
    <n v="39200000"/>
    <s v="Rs."/>
    <n v="1"/>
    <n v="1093"/>
    <s v="India"/>
  </r>
  <r>
    <s v="27-08-2026"/>
    <s v="K.P. Woven Pvt Ltd-Purchase"/>
    <s v="R.M.P."/>
    <s v="RM 479"/>
    <s v="Purchase Withinstate - Raw Material"/>
    <s v="KPV/D/678"/>
    <s v="26-08-2026"/>
    <s v="FG"/>
    <s v="FIBC Bags"/>
    <x v="8"/>
    <s v="FIBC"/>
    <s v="FIBC Bags With UV Without Liner"/>
    <n v="2115"/>
    <n v="492075.9"/>
    <s v="FIBC Bags With UV Without Liner"/>
    <n v="2304090.66"/>
    <n v="9"/>
    <n v="44286.83"/>
    <n v="9"/>
    <n v="44286.83"/>
    <n v="0"/>
    <n v="0"/>
    <n v="0"/>
    <n v="88573.66"/>
    <n v="0"/>
    <s v="24AAECK6307M1ZF"/>
    <s v="Kgs"/>
    <n v="63053200"/>
    <s v="Rs."/>
    <n v="1"/>
    <n v="2115"/>
    <s v="India"/>
  </r>
  <r>
    <s v="27-08-2026"/>
    <s v="K.P. Woven Pvt Ltd-Purchase"/>
    <s v="R.M.P."/>
    <s v="RM 479"/>
    <s v="Purchase Withinstate - Raw Material"/>
    <s v="KPV/D/678"/>
    <s v="26-08-2026"/>
    <s v="FG"/>
    <s v="FIBC Bags"/>
    <x v="8"/>
    <s v="FIBC"/>
    <s v="FIBC Bags With UV Without Liner"/>
    <n v="5717.3"/>
    <n v="1462199.48"/>
    <s v="FIBC Bags With UV Without Liner"/>
    <n v="0"/>
    <n v="9"/>
    <n v="131597.95000000001"/>
    <n v="9"/>
    <n v="131597.95000000001"/>
    <n v="0"/>
    <n v="0"/>
    <n v="0"/>
    <n v="263195.90000000002"/>
    <n v="0"/>
    <s v="24AAECK6307M1ZF"/>
    <s v="Kgs"/>
    <n v="63053200"/>
    <s v="Rs."/>
    <n v="1"/>
    <n v="5717.3"/>
    <s v="India"/>
  </r>
  <r>
    <s v="27-08-2026"/>
    <s v="Plastene India ltd - Unit 1-Purchase"/>
    <s v="R.M.P."/>
    <s v="RM 480"/>
    <s v="Purchase Withinstate - Raw Material"/>
    <s v="PIL1/D/1508"/>
    <s v="27-08-2026"/>
    <s v="SF"/>
    <s v="Tape Stock"/>
    <x v="11"/>
    <s v="PP TAPE"/>
    <s v="PP Tapes"/>
    <n v="770"/>
    <n v="101886.39999999999"/>
    <s v="PP Tapes"/>
    <n v="120124.07"/>
    <n v="9"/>
    <n v="9169.7800000000007"/>
    <n v="9"/>
    <n v="9169.7800000000007"/>
    <n v="0"/>
    <n v="0"/>
    <n v="0"/>
    <n v="18339.560000000001"/>
    <n v="0"/>
    <s v="24AAACO3087C1ZT"/>
    <s v="Kgs"/>
    <n v="39199090"/>
    <s v="Rs."/>
    <n v="1"/>
    <n v="770"/>
    <s v="India"/>
  </r>
  <r>
    <s v="27-08-2026"/>
    <s v="Plastene India ltd - Unit 1-Purchase"/>
    <s v="General Purchase"/>
    <s v="RM 481"/>
    <s v="Purchase Withinstate - Raw Material"/>
    <s v="PIL1/D/1507"/>
    <s v="27-08-2026"/>
    <s v="RM"/>
    <s v="Granules"/>
    <x v="12"/>
    <s v="FILLER CACO3"/>
    <s v="Filler Soltex PTUFF23"/>
    <n v="3000"/>
    <n v="121500"/>
    <s v="Filler Soltex PTUFF23"/>
    <n v="143248.5"/>
    <n v="9"/>
    <n v="10935"/>
    <n v="9"/>
    <n v="10935"/>
    <n v="0"/>
    <n v="0"/>
    <n v="0"/>
    <n v="21870"/>
    <n v="0"/>
    <s v="24AAACO3087C1ZT"/>
    <s v="Kgs"/>
    <n v="32041990"/>
    <s v="Rs."/>
    <n v="1"/>
    <n v="3000"/>
    <s v="India"/>
  </r>
  <r>
    <s v="27-08-2026"/>
    <s v="Plastene India ltd - Unit 1-Purchase"/>
    <s v="R.M.P."/>
    <s v="RM 482"/>
    <s v="Purchase Withinstate - Raw Material"/>
    <s v="PIL1/D/1514"/>
    <s v="27-08-2026"/>
    <s v="SF"/>
    <s v="PP/PE Fabric"/>
    <x v="1"/>
    <s v="PP Laminated Fabric"/>
    <s v="PP Lam Fabric With UV"/>
    <n v="3477"/>
    <n v="519185.64"/>
    <s v="PP Lam Fabric With UV"/>
    <n v="787874.13"/>
    <n v="9"/>
    <n v="46726.71"/>
    <n v="9"/>
    <n v="46726.71"/>
    <n v="0"/>
    <n v="0"/>
    <n v="0"/>
    <n v="93453.42"/>
    <n v="0"/>
    <s v="24AAACO3087C1ZT"/>
    <s v="Kgs"/>
    <n v="63053300"/>
    <s v="Rs."/>
    <n v="1"/>
    <n v="3477"/>
    <s v="India"/>
  </r>
  <r>
    <s v="27-08-2026"/>
    <s v="Plastene India ltd - Unit 1-Purchase"/>
    <s v="R.M.P."/>
    <s v="RM 482"/>
    <s v="Purchase Withinstate - Raw Material"/>
    <s v="PIL1/D/1514"/>
    <s v="27-08-2026"/>
    <s v="SF"/>
    <s v="Webbing"/>
    <x v="2"/>
    <s v="PP Webbing"/>
    <s v="Webbing"/>
    <n v="201.2"/>
    <n v="33262.379999999997"/>
    <s v="Webbing"/>
    <n v="0"/>
    <n v="9"/>
    <n v="2993.61"/>
    <n v="9"/>
    <n v="2993.61"/>
    <n v="0"/>
    <n v="0"/>
    <n v="0"/>
    <n v="5987.22"/>
    <n v="0"/>
    <s v="24AAACO3087C1ZT"/>
    <s v="Kgs"/>
    <n v="3926908"/>
    <s v="Rs."/>
    <n v="1"/>
    <n v="201.2"/>
    <s v="India"/>
  </r>
  <r>
    <s v="27-08-2026"/>
    <s v="Plastene India ltd - Unit 1-Purchase"/>
    <s v="R.M.P."/>
    <s v="RM 482"/>
    <s v="Purchase Withinstate - Raw Material"/>
    <s v="PIL1/D/1514"/>
    <s v="27-08-2026"/>
    <s v="SF"/>
    <s v="Webbing"/>
    <x v="2"/>
    <s v="PP Webbing"/>
    <s v="Webbing"/>
    <n v="786.1"/>
    <n v="115808.25"/>
    <s v="Webbing"/>
    <n v="0"/>
    <n v="9"/>
    <n v="10422.74"/>
    <n v="9"/>
    <n v="10422.74"/>
    <n v="0"/>
    <n v="0"/>
    <n v="0"/>
    <n v="20845.48"/>
    <n v="0"/>
    <s v="24AAACO3087C1ZT"/>
    <s v="Kgs"/>
    <n v="3926908"/>
    <s v="Rs."/>
    <n v="1"/>
    <n v="786.1"/>
    <s v="India"/>
  </r>
  <r>
    <s v="28-08-2026"/>
    <s v="Hcp Plastene Bulkpack Ltd (Unit-Iv) - Purchase"/>
    <s v="R.M.P."/>
    <s v="RM 486"/>
    <s v="Purchase Withinstate - Raw Material"/>
    <s v="HPBL4/D/243"/>
    <s v="26-08-2026"/>
    <s v="FG"/>
    <s v="FIBC WIP"/>
    <x v="6"/>
    <s v="PP WOVEN FABRIC"/>
    <s v="FIBC WIP"/>
    <n v="344"/>
    <n v="51366.080000000002"/>
    <s v="FIBC WIP"/>
    <n v="60560.61"/>
    <n v="9"/>
    <n v="4622.95"/>
    <n v="9"/>
    <n v="4622.95"/>
    <n v="0"/>
    <n v="0"/>
    <n v="0"/>
    <n v="9245.9"/>
    <n v="0"/>
    <s v="24AABCG1282C2Z6"/>
    <s v="Kgs"/>
    <n v="39269080"/>
    <s v="Rs."/>
    <n v="1"/>
    <n v="344"/>
    <s v="India"/>
  </r>
  <r>
    <s v="28-08-2026"/>
    <s v="Plastene India ltd - Unit 1-Purchase"/>
    <s v="General Purchase"/>
    <s v="RM 484"/>
    <s v="Purchase Withinstate - Raw Material"/>
    <s v="PIL1/D/1519"/>
    <s v="28-08-2026"/>
    <s v="SF"/>
    <s v="PP/PE Fabric"/>
    <x v="0"/>
    <s v="PP WOVEN FABRIC"/>
    <s v="PP UL Fabric With UV"/>
    <n v="2957"/>
    <n v="426754.24"/>
    <s v="PP UL Fabric With UV"/>
    <n v="661648.11"/>
    <n v="9"/>
    <n v="38407.879999999997"/>
    <n v="9"/>
    <n v="38407.879999999997"/>
    <n v="0"/>
    <n v="0"/>
    <n v="0"/>
    <n v="76815.759999999995"/>
    <n v="0"/>
    <s v="24AAACO3087C1ZT"/>
    <s v="Kgs"/>
    <n v="39269080"/>
    <s v="Rs."/>
    <n v="1"/>
    <n v="2957"/>
    <s v="India"/>
  </r>
  <r>
    <s v="28-08-2026"/>
    <s v="Plastene India ltd - Unit 1-Purchase"/>
    <s v="General Purchase"/>
    <s v="RM 484"/>
    <s v="Purchase Withinstate - Raw Material"/>
    <s v="PIL1/D/1519"/>
    <s v="28-08-2026"/>
    <s v="SF"/>
    <s v="PP/PE Fabric"/>
    <x v="0"/>
    <s v="PP WOVEN FABRIC"/>
    <s v="PP UL Fabric With UV"/>
    <n v="794"/>
    <n v="134440.07999999999"/>
    <s v="PP UL Fabric With UV"/>
    <n v="0"/>
    <n v="9"/>
    <n v="12099.61"/>
    <n v="9"/>
    <n v="12099.61"/>
    <n v="0"/>
    <n v="0"/>
    <n v="0"/>
    <n v="24199.22"/>
    <n v="0"/>
    <s v="24AAACO3087C1ZT"/>
    <s v="Kgs"/>
    <n v="39269080"/>
    <s v="Rs."/>
    <n v="1"/>
    <n v="794"/>
    <s v="India"/>
  </r>
  <r>
    <s v="28-08-2026"/>
    <s v="Plastene India ltd - Unit 1-Purchase"/>
    <s v="R.M.P."/>
    <s v="RM 485"/>
    <s v="Purchase Withinstate - Raw Material"/>
    <s v="PIL1/D/1526"/>
    <s v="28-08-2026"/>
    <s v="SF"/>
    <s v="PP/PE Fabric"/>
    <x v="1"/>
    <s v="PP Laminated Fabric"/>
    <s v="PP Lam Fabric With UV"/>
    <n v="2057"/>
    <n v="307151.24"/>
    <s v="PP Lam Fabric With UV"/>
    <n v="1663290.69"/>
    <n v="9"/>
    <n v="27643.61"/>
    <n v="9"/>
    <n v="27643.61"/>
    <n v="0"/>
    <n v="0"/>
    <n v="0"/>
    <n v="55287.22"/>
    <n v="0"/>
    <s v="24AAACO3087C1ZT"/>
    <s v="Kgs"/>
    <n v="63053300"/>
    <s v="Rs."/>
    <n v="1"/>
    <n v="2057"/>
    <s v="India"/>
  </r>
  <r>
    <s v="28-08-2026"/>
    <s v="Plastene India ltd - Unit 1-Purchase"/>
    <s v="R.M.P."/>
    <s v="RM 485"/>
    <s v="Purchase Withinstate - Raw Material"/>
    <s v="PIL1/D/1526"/>
    <s v="28-08-2026"/>
    <s v="SF"/>
    <s v="PP/PE Fabric"/>
    <x v="0"/>
    <s v="PP WOVEN FABRIC"/>
    <s v="PP UL Fabric With UV"/>
    <n v="5241"/>
    <n v="772104.12"/>
    <s v="PP UL Fabric With UV"/>
    <n v="0"/>
    <n v="9"/>
    <n v="69489.37"/>
    <n v="9"/>
    <n v="69489.37"/>
    <n v="0"/>
    <n v="0"/>
    <n v="0"/>
    <n v="138978.74"/>
    <n v="0"/>
    <s v="24AAACO3087C1ZT"/>
    <s v="Kgs"/>
    <n v="39269080"/>
    <s v="Rs."/>
    <n v="1"/>
    <n v="5241"/>
    <s v="India"/>
  </r>
  <r>
    <s v="28-08-2026"/>
    <s v="Plastene India ltd - Unit 1-Purchase"/>
    <s v="R.M.P."/>
    <s v="RM 485"/>
    <s v="Purchase Withinstate - Raw Material"/>
    <s v="PIL1/D/1526"/>
    <s v="28-08-2026"/>
    <s v="SF"/>
    <s v="PP/PE Fabric"/>
    <x v="0"/>
    <s v="PP WOVEN FABRIC"/>
    <s v="PP UL Fabric With UV"/>
    <n v="584"/>
    <n v="83114.880000000005"/>
    <s v="PP UL Fabric With UV"/>
    <n v="0"/>
    <n v="9"/>
    <n v="7480.34"/>
    <n v="9"/>
    <n v="7480.34"/>
    <n v="0"/>
    <n v="0"/>
    <n v="0"/>
    <n v="14960.68"/>
    <n v="0"/>
    <s v="24AAACO3087C1ZT"/>
    <s v="Kgs"/>
    <n v="39269080"/>
    <s v="Rs."/>
    <n v="1"/>
    <n v="584"/>
    <s v="India"/>
  </r>
  <r>
    <s v="28-08-2026"/>
    <s v="Plastene India ltd - Unit 1-Purchase"/>
    <s v="R.M.P."/>
    <s v="RM 485"/>
    <s v="Purchase Withinstate - Raw Material"/>
    <s v="PIL1/D/1526"/>
    <s v="28-08-2026"/>
    <s v="SF"/>
    <s v="Webbing"/>
    <x v="2"/>
    <s v="PP Webbing"/>
    <s v="Webbing"/>
    <n v="217.2"/>
    <n v="35907.5"/>
    <s v="Webbing"/>
    <n v="0"/>
    <n v="9"/>
    <n v="3231.68"/>
    <n v="9"/>
    <n v="3231.68"/>
    <n v="0"/>
    <n v="0"/>
    <n v="0"/>
    <n v="6463.36"/>
    <n v="0"/>
    <s v="24AAACO3087C1ZT"/>
    <s v="Kgs"/>
    <n v="3926908"/>
    <s v="Rs."/>
    <n v="1"/>
    <n v="217.2"/>
    <s v="India"/>
  </r>
  <r>
    <s v="28-08-2026"/>
    <s v="Plastene India ltd - Unit 1-Purchase"/>
    <s v="R.M.P."/>
    <s v="RM 485"/>
    <s v="Purchase Withinstate - Raw Material"/>
    <s v="PIL1/D/1526"/>
    <s v="28-08-2026"/>
    <s v="SF"/>
    <s v="Webbing"/>
    <x v="2"/>
    <s v="PP Webbing"/>
    <s v="Webbing"/>
    <n v="1014.7"/>
    <n v="149485.6"/>
    <s v="Webbing"/>
    <n v="0"/>
    <n v="9"/>
    <n v="13453.7"/>
    <n v="9"/>
    <n v="13453.7"/>
    <n v="0"/>
    <n v="0"/>
    <n v="0"/>
    <n v="26907.4"/>
    <n v="0"/>
    <s v="24AAACO3087C1ZT"/>
    <s v="Kgs"/>
    <n v="3926908"/>
    <s v="Rs."/>
    <n v="1"/>
    <n v="1014.7"/>
    <s v="India"/>
  </r>
  <r>
    <s v="28-08-2026"/>
    <s v="Plastene India ltd - Unit 1-Purchase"/>
    <s v="R.M.P."/>
    <s v="RM 485"/>
    <s v="Purchase Withinstate - Raw Material"/>
    <s v="PIL1/D/1526"/>
    <s v="28-08-2026"/>
    <s v="SF"/>
    <s v="Webbing"/>
    <x v="2"/>
    <s v="PP Webbing"/>
    <s v="Webbing"/>
    <n v="15.8"/>
    <n v="2280.2600000000002"/>
    <s v="Webbing"/>
    <n v="0"/>
    <n v="9"/>
    <n v="205.22"/>
    <n v="9"/>
    <n v="205.22"/>
    <n v="0"/>
    <n v="0"/>
    <n v="0"/>
    <n v="410.44"/>
    <n v="0"/>
    <s v="24AAACO3087C1ZT"/>
    <s v="Kgs"/>
    <n v="3926908"/>
    <s v="Rs."/>
    <n v="1"/>
    <n v="15.8"/>
    <s v="India"/>
  </r>
  <r>
    <s v="28-08-2026"/>
    <s v="Plastene India ltd - Unit 1-Purchase"/>
    <s v="R.M.P."/>
    <s v="RM 485"/>
    <s v="Purchase Withinstate - Raw Material"/>
    <s v="PIL1/D/1526"/>
    <s v="28-08-2026"/>
    <s v="SF"/>
    <s v="Films All (SF)"/>
    <x v="13"/>
    <s v="LLDPE FILM"/>
    <s v="LDPE/LLDPE Film"/>
    <n v="363.9"/>
    <n v="60720.35"/>
    <s v="LDPE/LLDPE Film"/>
    <n v="0"/>
    <n v="9"/>
    <n v="5464.83"/>
    <n v="9"/>
    <n v="5464.83"/>
    <n v="0"/>
    <n v="0"/>
    <n v="0"/>
    <n v="10929.66"/>
    <n v="0"/>
    <s v="24AAACO3087C1ZT"/>
    <s v="Kgs"/>
    <n v="3920101"/>
    <s v="Rs."/>
    <n v="1"/>
    <n v="363.9"/>
    <s v="India"/>
  </r>
  <r>
    <s v="29-08-2026"/>
    <s v="Plastene India ltd - Unit 1-Purchase"/>
    <s v="R.M.P."/>
    <s v="RM 487"/>
    <s v="Purchase Withinstate - Raw Material"/>
    <s v="PIL1/D/1536"/>
    <s v="29-08-2026"/>
    <s v="SF"/>
    <s v="PP/PE Fabric"/>
    <x v="0"/>
    <s v="PP WOVEN FABRIC"/>
    <s v="PP UL Fabric With UV"/>
    <n v="1945"/>
    <n v="286537.40000000002"/>
    <s v="PP UL Fabric With UV"/>
    <n v="1146509.72"/>
    <n v="9"/>
    <n v="25788.37"/>
    <n v="9"/>
    <n v="25788.37"/>
    <n v="0"/>
    <n v="0"/>
    <n v="0"/>
    <n v="51576.74"/>
    <n v="0"/>
    <s v="24AAACO3087C1ZT"/>
    <s v="Kgs"/>
    <n v="39269080"/>
    <s v="Rs."/>
    <n v="1"/>
    <n v="1945"/>
    <s v="India"/>
  </r>
  <r>
    <s v="29-08-2026"/>
    <s v="Plastene India ltd - Unit 1-Purchase"/>
    <s v="R.M.P."/>
    <s v="RM 487"/>
    <s v="Purchase Withinstate - Raw Material"/>
    <s v="PIL1/D/1536"/>
    <s v="29-08-2026"/>
    <s v="SF"/>
    <s v="PP/PE Fabric"/>
    <x v="1"/>
    <s v="PP Laminated Fabric"/>
    <s v="PP Lam Fabric With UV"/>
    <n v="1872"/>
    <n v="279527.03999999998"/>
    <s v="PP Lam Fabric With UV"/>
    <n v="0"/>
    <n v="9"/>
    <n v="25157.43"/>
    <n v="9"/>
    <n v="25157.43"/>
    <n v="0"/>
    <n v="0"/>
    <n v="0"/>
    <n v="50314.86"/>
    <n v="0"/>
    <s v="24AAACO3087C1ZT"/>
    <s v="Kgs"/>
    <n v="63053300"/>
    <s v="Rs."/>
    <n v="1"/>
    <n v="1872"/>
    <s v="India"/>
  </r>
  <r>
    <s v="29-08-2026"/>
    <s v="Plastene India ltd - Unit 1-Purchase"/>
    <s v="R.M.P."/>
    <s v="RM 487"/>
    <s v="Purchase Withinstate - Raw Material"/>
    <s v="PIL1/D/1536"/>
    <s v="29-08-2026"/>
    <s v="SF"/>
    <s v="Webbing"/>
    <x v="2"/>
    <s v="PP Webbing"/>
    <s v="Webbing"/>
    <n v="82.5"/>
    <n v="11906.4"/>
    <s v="Webbing"/>
    <n v="0"/>
    <n v="9"/>
    <n v="1071.58"/>
    <n v="9"/>
    <n v="1071.58"/>
    <n v="0"/>
    <n v="0"/>
    <n v="0"/>
    <n v="2143.16"/>
    <n v="0"/>
    <s v="24AAACO3087C1ZT"/>
    <s v="Kgs"/>
    <n v="3926908"/>
    <s v="Rs."/>
    <n v="1"/>
    <n v="82.5"/>
    <s v="India"/>
  </r>
  <r>
    <s v="29-08-2026"/>
    <s v="Plastene India ltd - Unit 1-Purchase"/>
    <s v="R.M.P."/>
    <s v="RM 487"/>
    <s v="Purchase Withinstate - Raw Material"/>
    <s v="PIL1/D/1536"/>
    <s v="29-08-2026"/>
    <s v="SF"/>
    <s v="Webbing"/>
    <x v="2"/>
    <s v="PP Webbing"/>
    <s v="Webbing"/>
    <n v="183.1"/>
    <n v="30270.09"/>
    <s v="Webbing"/>
    <n v="0"/>
    <n v="9"/>
    <n v="2724.31"/>
    <n v="9"/>
    <n v="2724.31"/>
    <n v="0"/>
    <n v="0"/>
    <n v="0"/>
    <n v="5448.62"/>
    <n v="0"/>
    <s v="24AAACO3087C1ZT"/>
    <s v="Kgs"/>
    <n v="3926908"/>
    <s v="Rs."/>
    <n v="1"/>
    <n v="183.1"/>
    <s v="India"/>
  </r>
  <r>
    <s v="29-08-2026"/>
    <s v="Plastene India ltd - Unit 1-Purchase"/>
    <s v="R.M.P."/>
    <s v="RM 487"/>
    <s v="Purchase Withinstate - Raw Material"/>
    <s v="PIL1/D/1536"/>
    <s v="29-08-2026"/>
    <s v="SF"/>
    <s v="Webbing"/>
    <x v="2"/>
    <s v="PP Webbing"/>
    <s v="Webbing"/>
    <n v="1276.5"/>
    <n v="188053.98"/>
    <s v="Webbing"/>
    <n v="0"/>
    <n v="9"/>
    <n v="16924.86"/>
    <n v="9"/>
    <n v="16924.86"/>
    <n v="0"/>
    <n v="0"/>
    <n v="0"/>
    <n v="33849.72"/>
    <n v="0"/>
    <s v="24AAACO3087C1ZT"/>
    <s v="Kgs"/>
    <n v="3926908"/>
    <s v="Rs."/>
    <n v="1"/>
    <n v="1276.5"/>
    <s v="India"/>
  </r>
  <r>
    <s v="29-08-2026"/>
    <s v="Plastene India ltd - Unit 1-Purchase"/>
    <s v="R.M.P."/>
    <s v="RM 487"/>
    <s v="Purchase Withinstate - Raw Material"/>
    <s v="PIL1/D/1536"/>
    <s v="29-08-2026"/>
    <s v="SF"/>
    <s v="Yarn All"/>
    <x v="9"/>
    <s v="Yarn"/>
    <s v="PP MF Yarn Twisted 3000 Denier UV NW"/>
    <n v="401.7"/>
    <n v="61990.34"/>
    <s v="PP MF Yarn Twisted 3000 Denier UV NW"/>
    <n v="0"/>
    <n v="2.5"/>
    <n v="1549.76"/>
    <n v="2.5"/>
    <n v="1549.76"/>
    <n v="0"/>
    <n v="0"/>
    <n v="0"/>
    <n v="3099.52"/>
    <n v="0"/>
    <s v="24AAACO3087C1ZT"/>
    <s v="Kgs"/>
    <n v="540263"/>
    <s v="Rs."/>
    <n v="1"/>
    <n v="401.7"/>
    <s v="India"/>
  </r>
  <r>
    <s v="29-08-2026"/>
    <s v="Plastene India ltd - Unit 1-Purchase"/>
    <s v="R.M.P."/>
    <s v="RM 487"/>
    <s v="Purchase Withinstate - Raw Material"/>
    <s v="PIL1/D/1536"/>
    <s v="29-08-2026"/>
    <s v="SF"/>
    <s v="Yarn All"/>
    <x v="9"/>
    <s v="Yarn"/>
    <s v="PP MF Yarn Twisted 1000 UV NW"/>
    <n v="881.2"/>
    <n v="135986.78"/>
    <s v="PP MF Yarn Twisted 1000 UV NW"/>
    <n v="0"/>
    <n v="2.5"/>
    <n v="3399.67"/>
    <n v="2.5"/>
    <n v="3399.67"/>
    <n v="0"/>
    <n v="0"/>
    <n v="0"/>
    <n v="6799.34"/>
    <n v="0"/>
    <s v="24AAACO3087C1ZT"/>
    <s v="Kgs"/>
    <n v="54026930"/>
    <s v="Rs."/>
    <n v="1"/>
    <n v="881.2"/>
    <s v="India"/>
  </r>
  <r>
    <s v="30-08-2026"/>
    <s v="HCP Plastene Bulkpack Limited - Purchase"/>
    <s v="R.M.P."/>
    <s v="RM 488"/>
    <s v="Purchase Withinstate - Raw Material"/>
    <s v="HPBL/D/544"/>
    <s v="29-08-2026"/>
    <s v="SF"/>
    <s v="PP/PE Fabric"/>
    <x v="0"/>
    <s v="PP WOVEN FABRIC"/>
    <s v="PP UL Fabric With UV"/>
    <n v="8863"/>
    <n v="1386970.87"/>
    <s v="PP UL Fabric With UV"/>
    <n v="1783781.04"/>
    <n v="9"/>
    <n v="124827.38"/>
    <n v="9"/>
    <n v="124827.38"/>
    <n v="0"/>
    <n v="0"/>
    <n v="0"/>
    <n v="249654.76"/>
    <n v="0"/>
    <s v="24AABCG1282C2Z6"/>
    <s v="Kgs"/>
    <n v="39269080"/>
    <s v="Rs."/>
    <n v="1"/>
    <n v="8863"/>
    <s v="India"/>
  </r>
  <r>
    <s v="30-08-2026"/>
    <s v="HCP Plastene Bulkpack Limited - Purchase"/>
    <s v="R.M.P."/>
    <s v="RM 488"/>
    <s v="Purchase Withinstate - Raw Material"/>
    <s v="HPBL/D/544"/>
    <s v="29-08-2026"/>
    <s v="SF"/>
    <s v="Liners"/>
    <x v="5"/>
    <s v="LDPE/LLDPE Bags"/>
    <s v="LDPE/LLDPE Bags/Liner"/>
    <n v="737"/>
    <n v="125990.15"/>
    <s v="LDPE/LLDPE Bags/Liner"/>
    <n v="0"/>
    <n v="9"/>
    <n v="11339.11"/>
    <n v="9"/>
    <n v="11339.11"/>
    <n v="0"/>
    <n v="0"/>
    <n v="0"/>
    <n v="22678.22"/>
    <n v="0"/>
    <s v="24AABCG1282C2Z6"/>
    <s v="Kgs"/>
    <n v="39200000"/>
    <s v="Rs."/>
    <n v="1"/>
    <n v="737"/>
    <s v="India"/>
  </r>
  <r>
    <s v="30-08-2026"/>
    <s v="Plastene India ltd - Unit 1-Purchase"/>
    <s v="R.M.P."/>
    <s v="RM 489"/>
    <s v="Purchase Withinstate - Raw Material"/>
    <s v="PIL1/D/1541"/>
    <s v="30-08-2026"/>
    <s v="SF"/>
    <s v="Webbing"/>
    <x v="2"/>
    <s v="PP Webbing"/>
    <s v="Webbing"/>
    <n v="198.1"/>
    <n v="32749.89"/>
    <s v="Webbing"/>
    <n v="459607.21"/>
    <n v="9"/>
    <n v="2947.49"/>
    <n v="9"/>
    <n v="2947.49"/>
    <n v="0"/>
    <n v="0"/>
    <n v="0"/>
    <n v="5894.98"/>
    <n v="0"/>
    <s v="24AAACO3087C1ZT"/>
    <s v="Kgs"/>
    <n v="3926908"/>
    <s v="Rs."/>
    <n v="1"/>
    <n v="198.1"/>
    <s v="India"/>
  </r>
  <r>
    <s v="30-08-2026"/>
    <s v="Plastene India ltd - Unit 1-Purchase"/>
    <s v="R.M.P."/>
    <s v="RM 489"/>
    <s v="Purchase Withinstate - Raw Material"/>
    <s v="PIL1/D/1541"/>
    <s v="30-08-2026"/>
    <s v="SF"/>
    <s v="Webbing"/>
    <x v="2"/>
    <s v="PP Webbing"/>
    <s v="Webbing"/>
    <n v="1033.5999999999999"/>
    <n v="152269.95000000001"/>
    <s v="Webbing"/>
    <n v="0"/>
    <n v="9"/>
    <n v="13704.3"/>
    <n v="9"/>
    <n v="13704.3"/>
    <n v="0"/>
    <n v="0"/>
    <n v="0"/>
    <n v="27408.6"/>
    <n v="0"/>
    <s v="24AAACO3087C1ZT"/>
    <s v="Kgs"/>
    <n v="3926908"/>
    <s v="Rs."/>
    <n v="1"/>
    <n v="1033.5999999999999"/>
    <s v="India"/>
  </r>
  <r>
    <s v="30-08-2026"/>
    <s v="Plastene India ltd - Unit 1-Purchase"/>
    <s v="R.M.P."/>
    <s v="RM 489"/>
    <s v="Purchase Withinstate - Raw Material"/>
    <s v="PIL1/D/1541"/>
    <s v="30-08-2026"/>
    <s v="SF"/>
    <s v="Webbing"/>
    <x v="2"/>
    <s v="PP Webbing"/>
    <s v="Webbing"/>
    <n v="90"/>
    <n v="12988.8"/>
    <s v="Webbing"/>
    <n v="0"/>
    <n v="9"/>
    <n v="1168.99"/>
    <n v="9"/>
    <n v="1168.99"/>
    <n v="0"/>
    <n v="0"/>
    <n v="0"/>
    <n v="2337.98"/>
    <n v="0"/>
    <s v="24AAACO3087C1ZT"/>
    <s v="Kgs"/>
    <n v="3926908"/>
    <s v="Rs."/>
    <n v="1"/>
    <n v="90"/>
    <s v="India"/>
  </r>
  <r>
    <s v="30-08-2026"/>
    <s v="Plastene India ltd - Unit 1-Purchase"/>
    <s v="R.M.P."/>
    <s v="RM 489"/>
    <s v="Purchase Withinstate - Raw Material"/>
    <s v="PIL1/D/1541"/>
    <s v="30-08-2026"/>
    <s v="SF"/>
    <s v="PP/PE Fabric"/>
    <x v="1"/>
    <s v="PP Laminated Fabric"/>
    <s v="PP Lam Fabric With UV"/>
    <n v="60"/>
    <n v="8959.2000000000007"/>
    <s v="PP Lam Fabric With UV"/>
    <n v="0"/>
    <n v="9"/>
    <n v="806.33"/>
    <n v="9"/>
    <n v="806.33"/>
    <n v="0"/>
    <n v="0"/>
    <n v="0"/>
    <n v="1612.66"/>
    <n v="0"/>
    <s v="24AAACO3087C1ZT"/>
    <s v="Kgs"/>
    <n v="63053300"/>
    <s v="Rs."/>
    <n v="1"/>
    <n v="60"/>
    <s v="India"/>
  </r>
  <r>
    <s v="30-08-2026"/>
    <s v="Plastene India ltd - Unit 1-Purchase"/>
    <s v="R.M.P."/>
    <s v="RM 489"/>
    <s v="Purchase Withinstate - Raw Material"/>
    <s v="PIL1/D/1541"/>
    <s v="30-08-2026"/>
    <s v="SF"/>
    <s v="PP/PE Fabric"/>
    <x v="0"/>
    <s v="PP WOVEN FABRIC"/>
    <s v="PP UL Fabric With UV"/>
    <n v="622"/>
    <n v="91633.04"/>
    <s v="PP UL Fabric With UV"/>
    <n v="0"/>
    <n v="9"/>
    <n v="8246.9699999999993"/>
    <n v="9"/>
    <n v="8246.9699999999993"/>
    <n v="0"/>
    <n v="0"/>
    <n v="0"/>
    <n v="16493.939999999999"/>
    <n v="0"/>
    <s v="24AAACO3087C1ZT"/>
    <s v="Kgs"/>
    <n v="39269080"/>
    <s v="Rs."/>
    <n v="1"/>
    <n v="622"/>
    <s v="India"/>
  </r>
  <r>
    <s v="30-08-2026"/>
    <s v="Plastene India ltd - Unit 1-Purchase"/>
    <s v="R.M.P."/>
    <s v="RM 489"/>
    <s v="Purchase Withinstate - Raw Material"/>
    <s v="PIL1/D/1541"/>
    <s v="30-08-2026"/>
    <s v="SF"/>
    <s v="PP/PE Fabric"/>
    <x v="0"/>
    <s v="PP WOVEN FABRIC"/>
    <s v="PP UL Fabric With UV"/>
    <n v="641"/>
    <n v="91227.12"/>
    <s v="PP UL Fabric With UV"/>
    <n v="0"/>
    <n v="9"/>
    <n v="8210.44"/>
    <n v="9"/>
    <n v="8210.44"/>
    <n v="0"/>
    <n v="0"/>
    <n v="0"/>
    <n v="16420.88"/>
    <n v="0"/>
    <s v="24AAACO3087C1ZT"/>
    <s v="Kgs"/>
    <n v="39269080"/>
    <s v="Rs."/>
    <n v="1"/>
    <n v="641"/>
    <s v="India"/>
  </r>
  <r>
    <s v="31-08-2026"/>
    <s v="Plastene India ltd - Unit 1-Purchase"/>
    <s v="R.M.P."/>
    <s v="RM 490"/>
    <s v="Purchase Withinstate - Raw Material"/>
    <s v="PIL1/D/1548"/>
    <s v="31-08-2026"/>
    <s v="SF"/>
    <s v="Liners"/>
    <x v="5"/>
    <s v="LDPE/LLDPE Bags"/>
    <s v="LDPE/LLDPE Bags/Liner"/>
    <n v="186.6"/>
    <n v="33002.080000000002"/>
    <s v="LDPE/LLDPE Bags/Liner"/>
    <n v="38909.46"/>
    <n v="9"/>
    <n v="2970.19"/>
    <n v="9"/>
    <n v="2970.19"/>
    <n v="0"/>
    <n v="0"/>
    <n v="0"/>
    <n v="5940.38"/>
    <n v="0"/>
    <s v="24AAACO3087C1ZT"/>
    <s v="Kgs"/>
    <n v="39200000"/>
    <s v="Rs."/>
    <n v="1"/>
    <n v="186.6"/>
    <s v="India"/>
  </r>
  <r>
    <s v="31-08-2026"/>
    <s v="Plastene India ltd - Unit 1-Purchase"/>
    <s v="General Purchase"/>
    <s v="RM 491"/>
    <s v="Purchase Withinstate - Raw Material"/>
    <s v="PIL1/D/1547"/>
    <s v="31-08-2026"/>
    <s v="RM"/>
    <s v="Granules"/>
    <x v="10"/>
    <s v="Master Batch"/>
    <s v="MB Karnavati Polyplast Blue"/>
    <n v="75"/>
    <n v="20400"/>
    <s v="MB Karnavati Polyplast Blue"/>
    <n v="159341.85"/>
    <n v="9"/>
    <n v="1836"/>
    <n v="9"/>
    <n v="1836"/>
    <n v="0"/>
    <n v="0"/>
    <n v="0"/>
    <n v="3672"/>
    <n v="0"/>
    <s v="24AAACO3087C1ZT"/>
    <s v="Kgs"/>
    <n v="320649"/>
    <s v="Rs."/>
    <n v="1"/>
    <n v="75"/>
    <s v="India"/>
  </r>
  <r>
    <s v="31-08-2026"/>
    <s v="Plastene India ltd - Unit 1-Purchase"/>
    <s v="General Purchase"/>
    <s v="RM 491"/>
    <s v="Purchase Withinstate - Raw Material"/>
    <s v="PIL1/D/1547"/>
    <s v="31-08-2026"/>
    <s v="RM"/>
    <s v="Granules"/>
    <x v="10"/>
    <s v="Master Batch"/>
    <s v="UV PIL NFG 20LD"/>
    <n v="500"/>
    <n v="91500"/>
    <s v="UV PIL NFG 20LD"/>
    <n v="0"/>
    <n v="9"/>
    <n v="8235"/>
    <n v="9"/>
    <n v="8235"/>
    <n v="0"/>
    <n v="0"/>
    <n v="0"/>
    <n v="16470"/>
    <n v="0"/>
    <s v="24AAACO3087C1ZT"/>
    <s v="Kgs"/>
    <n v="38123990"/>
    <s v="Rs."/>
    <n v="1"/>
    <n v="500"/>
    <s v="India"/>
  </r>
  <r>
    <s v="31-08-2026"/>
    <s v="Plastene India ltd - Unit 1-Purchase"/>
    <s v="General Purchase"/>
    <s v="RM 491"/>
    <s v="Purchase Withinstate - Raw Material"/>
    <s v="PIL1/D/1547"/>
    <s v="31-08-2026"/>
    <s v="RM"/>
    <s v="Granules"/>
    <x v="10"/>
    <s v="Master Batch"/>
    <s v="MB Colman Shiny Black ( RD Black-01 )"/>
    <n v="150"/>
    <n v="23250"/>
    <s v="MB Colman Shiny Black ( RD Black-01 )"/>
    <n v="0"/>
    <n v="9"/>
    <n v="2092.5"/>
    <n v="9"/>
    <n v="2092.5"/>
    <n v="0"/>
    <n v="0"/>
    <n v="0"/>
    <n v="4185"/>
    <n v="0"/>
    <s v="24AAACO3087C1ZT"/>
    <s v="Kgs"/>
    <n v="32064990"/>
    <s v="Rs."/>
    <n v="1"/>
    <n v="150"/>
    <s v="India"/>
  </r>
  <r>
    <s v="31-08-2026"/>
    <s v="Plastene India ltd - Unit 1-Purchase"/>
    <s v="R.M.P."/>
    <s v="RM 492"/>
    <s v="Purchase Withinstate - Raw Material"/>
    <s v="PIL1/D/1546"/>
    <s v="31-08-2026"/>
    <s v="SF"/>
    <s v="Webbing"/>
    <x v="2"/>
    <s v="PP Webbing"/>
    <s v="Webbing"/>
    <n v="170.2"/>
    <n v="28137.46"/>
    <s v="Webbing"/>
    <n v="836425.9"/>
    <n v="9"/>
    <n v="2532.37"/>
    <n v="9"/>
    <n v="2532.37"/>
    <n v="0"/>
    <n v="0"/>
    <n v="0"/>
    <n v="5064.74"/>
    <n v="0"/>
    <s v="24AAACO3087C1ZT"/>
    <s v="Kgs"/>
    <n v="3926908"/>
    <s v="Rs."/>
    <n v="1"/>
    <n v="170.2"/>
    <s v="India"/>
  </r>
  <r>
    <s v="31-08-2026"/>
    <s v="Plastene India ltd - Unit 1-Purchase"/>
    <s v="R.M.P."/>
    <s v="RM 492"/>
    <s v="Purchase Withinstate - Raw Material"/>
    <s v="PIL1/D/1546"/>
    <s v="31-08-2026"/>
    <s v="SF"/>
    <s v="Webbing"/>
    <x v="2"/>
    <s v="PP Webbing"/>
    <s v="Webbing"/>
    <n v="53.1"/>
    <n v="7663.39"/>
    <s v="Webbing"/>
    <n v="0"/>
    <n v="9"/>
    <n v="689.71"/>
    <n v="9"/>
    <n v="689.71"/>
    <n v="0"/>
    <n v="0"/>
    <n v="0"/>
    <n v="1379.42"/>
    <n v="0"/>
    <s v="24AAACO3087C1ZT"/>
    <s v="Kgs"/>
    <n v="3926908"/>
    <s v="Rs."/>
    <n v="1"/>
    <n v="53.1"/>
    <s v="India"/>
  </r>
  <r>
    <s v="31-08-2026"/>
    <s v="Plastene India ltd - Unit 1-Purchase"/>
    <s v="R.M.P."/>
    <s v="RM 492"/>
    <s v="Purchase Withinstate - Raw Material"/>
    <s v="PIL1/D/1546"/>
    <s v="31-08-2026"/>
    <s v="SF"/>
    <s v="Webbing"/>
    <x v="2"/>
    <s v="PP Webbing"/>
    <s v="Webbing"/>
    <n v="677.1"/>
    <n v="99750.37"/>
    <s v="Webbing"/>
    <n v="0"/>
    <n v="9"/>
    <n v="8977.5300000000007"/>
    <n v="9"/>
    <n v="8977.5300000000007"/>
    <n v="0"/>
    <n v="0"/>
    <n v="0"/>
    <n v="17955.060000000001"/>
    <n v="0"/>
    <s v="24AAACO3087C1ZT"/>
    <s v="Kgs"/>
    <n v="3926908"/>
    <s v="Rs."/>
    <n v="1"/>
    <n v="677.1"/>
    <s v="India"/>
  </r>
  <r>
    <s v="31-08-2026"/>
    <s v="Plastene India ltd - Unit 1-Purchase"/>
    <s v="R.M.P."/>
    <s v="RM 492"/>
    <s v="Purchase Withinstate - Raw Material"/>
    <s v="PIL1/D/1546"/>
    <s v="31-08-2026"/>
    <s v="SF"/>
    <s v="PP/PE Fabric"/>
    <x v="1"/>
    <s v="PP Laminated Fabric"/>
    <s v="PP Lam Fabric With UV"/>
    <n v="1396"/>
    <n v="208450.72"/>
    <s v="PP Lam Fabric With UV"/>
    <n v="0"/>
    <n v="9"/>
    <n v="18760.560000000001"/>
    <n v="9"/>
    <n v="18760.560000000001"/>
    <n v="0"/>
    <n v="0"/>
    <n v="0"/>
    <n v="37521.120000000003"/>
    <n v="0"/>
    <s v="24AAACO3087C1ZT"/>
    <s v="Kgs"/>
    <n v="63053300"/>
    <s v="Rs."/>
    <n v="1"/>
    <n v="1396"/>
    <s v="India"/>
  </r>
  <r>
    <s v="31-08-2026"/>
    <s v="Plastene India ltd - Unit 1-Purchase"/>
    <s v="R.M.P."/>
    <s v="RM 492"/>
    <s v="Purchase Withinstate - Raw Material"/>
    <s v="PIL1/D/1546"/>
    <s v="31-08-2026"/>
    <s v="SF"/>
    <s v="PP/PE Fabric"/>
    <x v="0"/>
    <s v="PP WOVEN FABRIC"/>
    <s v="PP UL Fabric With UV"/>
    <n v="1264"/>
    <n v="186212.48000000001"/>
    <s v="PP UL Fabric With UV"/>
    <n v="0"/>
    <n v="9"/>
    <n v="16759.12"/>
    <n v="9"/>
    <n v="16759.12"/>
    <n v="0"/>
    <n v="0"/>
    <n v="0"/>
    <n v="33518.239999999998"/>
    <n v="0"/>
    <s v="24AAACO3087C1ZT"/>
    <s v="Kgs"/>
    <n v="39269080"/>
    <s v="Rs."/>
    <n v="1"/>
    <n v="1264"/>
    <s v="India"/>
  </r>
  <r>
    <s v="31-08-2026"/>
    <s v="Plastene India ltd - Unit 1-Purchase"/>
    <s v="R.M.P."/>
    <s v="RM 492"/>
    <s v="Purchase Withinstate - Raw Material"/>
    <s v="PIL1/D/1546"/>
    <s v="31-08-2026"/>
    <s v="SF"/>
    <s v="PP/PE Fabric"/>
    <x v="0"/>
    <s v="PP WOVEN FABRIC"/>
    <s v="PP UL Fabric With UV"/>
    <n v="453"/>
    <n v="64470.96"/>
    <s v="PP UL Fabric With UV"/>
    <n v="0"/>
    <n v="9"/>
    <n v="5802.39"/>
    <n v="9"/>
    <n v="5802.39"/>
    <n v="0"/>
    <n v="0"/>
    <n v="0"/>
    <n v="11604.78"/>
    <n v="0"/>
    <s v="24AAACO3087C1ZT"/>
    <s v="Kgs"/>
    <n v="39269080"/>
    <s v="Rs."/>
    <n v="1"/>
    <n v="453"/>
    <s v="India"/>
  </r>
  <r>
    <s v="31-08-2026"/>
    <s v="Plastene India ltd - Unit 1-Purchase"/>
    <s v="R.M.P."/>
    <s v="RM 492"/>
    <s v="Purchase Withinstate - Raw Material"/>
    <s v="PIL1/D/1546"/>
    <s v="31-08-2026"/>
    <s v="SF"/>
    <s v="Tape Stock"/>
    <x v="11"/>
    <s v="PP TAPE"/>
    <s v="PP Tapes"/>
    <n v="848"/>
    <n v="114751.36"/>
    <s v="PP Tapes"/>
    <n v="0"/>
    <n v="9"/>
    <n v="10327.620000000001"/>
    <n v="9"/>
    <n v="10327.620000000001"/>
    <n v="0"/>
    <n v="0"/>
    <n v="0"/>
    <n v="20655.240000000002"/>
    <n v="0"/>
    <s v="24AAACO3087C1ZT"/>
    <s v="Kgs"/>
    <n v="39199090"/>
    <s v="Rs."/>
    <n v="1"/>
    <n v="848"/>
    <s v="India"/>
  </r>
  <r>
    <s v="31-08-2026"/>
    <s v="Plastene India ltd - Unit 1-Purchase"/>
    <s v="R.M.P."/>
    <s v="RM 494"/>
    <s v="Purchase Withinstate - Traded Goods"/>
    <s v="PIL1/D/1549"/>
    <s v="31-08-2026"/>
    <s v="RM"/>
    <s v="Granules"/>
    <x v="3"/>
    <s v="PP Granules"/>
    <s v="PP Basell 456J"/>
    <n v="23000"/>
    <n v="3243000"/>
    <s v="PP Basell 456J"/>
    <n v="3823497"/>
    <n v="9"/>
    <n v="291870"/>
    <n v="9"/>
    <n v="291870"/>
    <n v="0"/>
    <n v="0"/>
    <n v="0"/>
    <n v="583740"/>
    <n v="0"/>
    <s v="24AAACO3087C1ZT"/>
    <s v="Kgs"/>
    <n v="39021000"/>
    <s v="Rs."/>
    <n v="1"/>
    <n v="23000"/>
    <s v="India"/>
  </r>
  <r>
    <s v="31-08-2026"/>
    <s v="Plastene India ltd - Unit 2-Purchase"/>
    <s v="R.M.P."/>
    <s v="RM 493"/>
    <s v="Purchase Withinstate - Raw Material"/>
    <s v="PIL2/D/554"/>
    <s v="30-08-2026"/>
    <s v="SF"/>
    <s v="PP/PE Fabric"/>
    <x v="0"/>
    <s v="PP WOVEN FABRIC"/>
    <s v="PP UL Fabric With UV"/>
    <n v="4951"/>
    <n v="604022"/>
    <s v="PP UL Fabric With UV"/>
    <n v="712141.94"/>
    <n v="9"/>
    <n v="54361.98"/>
    <n v="9"/>
    <n v="54361.98"/>
    <n v="0"/>
    <n v="0"/>
    <n v="0"/>
    <n v="108723.96"/>
    <n v="0"/>
    <s v="24AAACO3087C1ZT"/>
    <s v="Kgs"/>
    <n v="39269080"/>
    <s v="Rs."/>
    <n v="1"/>
    <n v="4951"/>
    <s v="India"/>
  </r>
  <r>
    <d v="2026-04-08T00:00:00"/>
    <s v="K.P. Woven Pvt Ltd - Unit 3 -Purchase"/>
    <s v="R.M.P."/>
    <s v="KPW3/E/092"/>
    <s v="Purchase-Import - Third Party"/>
    <s v="KPW3/E/092"/>
    <d v="2026-04-08T00:00:00"/>
    <s v="FG"/>
    <s v="FIBC Bags"/>
    <x v="17"/>
    <s v="FIBC"/>
    <s v="FIBC Bags With UV Without Liner"/>
    <n v="20011"/>
    <n v="4783968.32"/>
    <s v="FIBC Bags With UV Without Liner"/>
    <n v="4783968"/>
    <n v="0"/>
    <n v="0"/>
    <n v="0"/>
    <n v="0"/>
    <n v="0"/>
    <n v="0"/>
    <n v="0"/>
    <n v="0"/>
    <n v="0"/>
    <s v="24AAECK6307M2ZE"/>
    <s v="Kgs"/>
    <n v="63053200"/>
    <s v="$"/>
    <n v="95.45"/>
    <n v="20011"/>
    <s v="India"/>
  </r>
  <r>
    <d v="2026-04-08T00:00:00"/>
    <s v="K.P. Woven Pvt Ltd - Unit 3 -Purchase"/>
    <s v="R.M.P."/>
    <s v="KPW3/E/093"/>
    <s v="Purchase-Import - Third Party"/>
    <s v="KPW3/E/093"/>
    <d v="2026-04-08T00:00:00"/>
    <s v="FG"/>
    <s v="FIBC Bags"/>
    <x v="17"/>
    <s v="FIBC"/>
    <s v="FIBC Bags With UV Without Liner"/>
    <n v="18596"/>
    <n v="4237204.95"/>
    <s v="FIBC Bags With UV Without Liner"/>
    <n v="4237205"/>
    <n v="0"/>
    <n v="0"/>
    <n v="0"/>
    <n v="0"/>
    <n v="0"/>
    <n v="0"/>
    <n v="0"/>
    <n v="0"/>
    <n v="0"/>
    <s v="24AAECK6307M2ZE"/>
    <s v="Kgs"/>
    <n v="63053200"/>
    <s v="$"/>
    <n v="95.45"/>
    <n v="18596"/>
    <s v="India"/>
  </r>
  <r>
    <s v="21-08-2026"/>
    <s v="K.P. Woven Pvt Ltd - Unit 3 -Purchase"/>
    <s v="R.M.P."/>
    <s v="KPW3/E/100"/>
    <s v="Purchase-Import - Third Party"/>
    <s v="KPW3/E/100"/>
    <s v="21-08-2026"/>
    <s v="FG"/>
    <s v="FIBC Bags"/>
    <x v="17"/>
    <s v="FIBC"/>
    <s v="FIBC Bags With UV Without Liner"/>
    <n v="17831"/>
    <n v="5577618.6699999999"/>
    <s v="FIBC Bags With UV Without Liner"/>
    <n v="5577619"/>
    <n v="0"/>
    <n v="0"/>
    <n v="0"/>
    <n v="0"/>
    <n v="0"/>
    <n v="0"/>
    <n v="0"/>
    <n v="0"/>
    <n v="0"/>
    <s v="24AAECK6307M2ZE"/>
    <s v="Kgs"/>
    <n v="63053200"/>
    <s v="$"/>
    <n v="94.8"/>
    <n v="17831"/>
    <s v="India"/>
  </r>
  <r>
    <s v="26-08-2026"/>
    <s v="K.P. Woven Pvt Ltd - Unit 3 -Purchase"/>
    <s v="R.M.P."/>
    <s v="KPW3/E/104"/>
    <s v="Purchase-Import - Third Party"/>
    <s v="KPW3/E/104"/>
    <s v="26-08-2026"/>
    <s v="FG"/>
    <s v="FIBC Bags"/>
    <x v="17"/>
    <s v="FIBC"/>
    <s v="FIBC Bags With UV Without Liner"/>
    <n v="19631"/>
    <n v="4677225.34"/>
    <s v="FIBC Bags With UV Without Liner"/>
    <n v="4677226"/>
    <n v="0"/>
    <n v="0"/>
    <n v="0"/>
    <n v="0"/>
    <n v="0"/>
    <n v="0"/>
    <n v="0"/>
    <n v="0"/>
    <n v="0"/>
    <s v="24AAECK6307M2ZE"/>
    <s v="Kgs"/>
    <n v="63053200"/>
    <s v="$"/>
    <n v="94.8"/>
    <n v="19631"/>
    <s v="India"/>
  </r>
  <r>
    <s v="27-08-2026"/>
    <s v="K.P. Woven Pvt Ltd - Unit 3 -Purchase"/>
    <s v="R.M.P."/>
    <s v="KPW3/E/105"/>
    <s v="Purchase-Import - Third Party"/>
    <s v="KPW3/E/105"/>
    <s v="27-08-2026"/>
    <s v="FG"/>
    <s v="FIBC Bags"/>
    <x v="17"/>
    <s v="FIBC"/>
    <s v="FIBC Bags With UV Without Liner"/>
    <n v="19582"/>
    <n v="4677225.34"/>
    <s v="FIBC Bags With UV Without Liner"/>
    <n v="4677226"/>
    <n v="0"/>
    <n v="0"/>
    <n v="0"/>
    <n v="0"/>
    <n v="0"/>
    <n v="0"/>
    <n v="0"/>
    <n v="0"/>
    <n v="0"/>
    <s v="24AAECK6307M2ZE"/>
    <s v="Kgs"/>
    <n v="63053200"/>
    <s v="$"/>
    <n v="94.8"/>
    <n v="19582"/>
    <s v="India"/>
  </r>
  <r>
    <s v="27-08-2026"/>
    <s v="K.P. Woven Pvt Ltd - Unit 3 -Purchase"/>
    <s v="R.M.P."/>
    <s v="KPW3/E/106"/>
    <s v="Purchase-Import - Third Party"/>
    <s v="KPW3/E/106"/>
    <s v="27-08-2026"/>
    <s v="FG"/>
    <s v="FIBC Bags"/>
    <x v="17"/>
    <s v="FIBC"/>
    <s v="FIBC Bags With UV Without Liner"/>
    <n v="19717"/>
    <n v="4864235.4000000004"/>
    <s v="FIBC Bags With UV Without Liner"/>
    <n v="4864235"/>
    <n v="0"/>
    <n v="0"/>
    <n v="0"/>
    <n v="0"/>
    <n v="0"/>
    <n v="0"/>
    <n v="0"/>
    <n v="0"/>
    <n v="0"/>
    <s v="24AAECK6307M2ZE"/>
    <s v="Kgs"/>
    <n v="63053200"/>
    <s v="$"/>
    <n v="94.8"/>
    <n v="19717"/>
    <s v="India"/>
  </r>
  <r>
    <s v="27-08-2026"/>
    <s v="K.P. Woven Pvt Ltd - Unit 3 -Purchase"/>
    <s v="R.M.P."/>
    <s v="KPW3/E/107"/>
    <s v="Purchase-Import - Third Party"/>
    <s v="KPW3/E/107"/>
    <s v="27-08-2026"/>
    <s v="FG"/>
    <s v="FIBC Bags"/>
    <x v="17"/>
    <s v="FIBC"/>
    <s v="FIBC Bags With UV Without Liner"/>
    <n v="18813"/>
    <n v="4413517.33"/>
    <s v="FIBC Bags With UV Without Liner"/>
    <n v="4413517"/>
    <n v="0"/>
    <n v="0"/>
    <n v="0"/>
    <n v="0"/>
    <n v="0"/>
    <n v="0"/>
    <n v="0"/>
    <n v="0"/>
    <n v="0"/>
    <s v="24AAECK6307M2ZE"/>
    <s v="Kgs"/>
    <n v="63053200"/>
    <s v="$"/>
    <n v="94.8"/>
    <n v="18813"/>
    <s v="India"/>
  </r>
  <r>
    <m/>
    <m/>
    <m/>
    <m/>
    <m/>
    <m/>
    <m/>
    <m/>
    <m/>
    <x v="18"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372">
  <r>
    <s v="Plastene Polyfilms Limited"/>
    <d v="2026-01-08T00:00:00"/>
    <s v="PPL/26-27/SII01035"/>
    <s v="WIP00023"/>
    <s v="PP UL Fabric With UV"/>
    <s v="PPL/RAW/26-27/376"/>
    <n v="513"/>
    <n v="513"/>
    <s v="Kgs"/>
    <n v="513"/>
    <n v="0"/>
    <n v="513"/>
    <s v="GJ12X1249"/>
    <s v="Plastene India ltd - Unit 1-Purchase"/>
    <s v="Plastene India ltd - Unit 1-Purchase"/>
    <s v="PIL1/D/1243"/>
    <d v="2026-01-08T00:00:00"/>
    <s v="RAW MATERIAL"/>
    <s v="INDIGENOUS"/>
    <s v="RM 381"/>
    <n v="141.08000000000001"/>
    <n v="141.080000442406"/>
    <s v="PIL1/D/1243"/>
    <d v="2026-01-08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637785.15"/>
    <s v="SF"/>
    <s v="PP/PE Fabric"/>
    <x v="0"/>
    <s v="RM"/>
    <s v="erp"/>
    <n v="0"/>
    <n v="72374.039999999994"/>
    <n v="386"/>
    <d v="2026-01-08T00:00:00"/>
    <s v="24AAACO3087C1ZT"/>
    <s v="storeppl"/>
    <s v="storeppl"/>
    <n v="9"/>
    <n v="6513.66"/>
    <n v="9"/>
    <n v="6513.66"/>
    <n v="0"/>
    <n v="0"/>
    <n v="637785.15"/>
    <n v="682155474154"/>
    <d v="2026-08-01T00:00:00"/>
    <n v="513"/>
  </r>
  <r>
    <s v="Plastene Polyfilms Limited"/>
    <d v="2026-01-08T00:00:00"/>
    <s v="PPL/26-27/SII01035"/>
    <s v="WIP00023"/>
    <s v="PP UL Fabric With UV"/>
    <s v="PPL/RAW/26-27/376"/>
    <n v="658"/>
    <n v="658"/>
    <s v="Kgs"/>
    <n v="658"/>
    <n v="0"/>
    <n v="658"/>
    <s v="GJ12X1249"/>
    <s v="Plastene India ltd - Unit 1-Purchase"/>
    <s v="Plastene India ltd - Unit 1-Purchase"/>
    <s v="PIL1/D/1243"/>
    <d v="2026-01-08T00:00:00"/>
    <s v="RAW MATERIAL"/>
    <s v="INDIGENOUS"/>
    <s v="RM 381"/>
    <n v="144.08000000000001"/>
    <n v="144.08000045181399"/>
    <s v="PIL1/D/1243"/>
    <d v="2026-01-08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637785.15"/>
    <s v="SF"/>
    <s v="PP/PE Fabric"/>
    <x v="0"/>
    <s v="RM"/>
    <s v="erp"/>
    <n v="0"/>
    <n v="94804.64"/>
    <n v="386"/>
    <d v="2026-01-08T00:00:00"/>
    <s v="24AAACO3087C1ZT"/>
    <s v="storeppl"/>
    <s v="storeppl"/>
    <n v="9"/>
    <n v="8532.42"/>
    <n v="9"/>
    <n v="8532.42"/>
    <n v="0"/>
    <n v="0"/>
    <n v="0"/>
    <n v="682155474154"/>
    <d v="2026-08-01T00:00:00"/>
    <n v="658"/>
  </r>
  <r>
    <s v="Plastene Polyfilms Limited"/>
    <d v="2026-01-08T00:00:00"/>
    <s v="PPL/26-27/SII01035"/>
    <s v="WIP00025"/>
    <s v="PP Lam Fabric With UV"/>
    <s v="PPL/RAW/26-27/376"/>
    <n v="2229"/>
    <n v="2229"/>
    <s v="Kgs"/>
    <n v="2229"/>
    <n v="0"/>
    <n v="2229"/>
    <s v="GJ12X1249"/>
    <s v="Plastene India ltd - Unit 1-Purchase"/>
    <s v="Plastene India ltd - Unit 1-Purchase"/>
    <s v="PIL1/D/1243"/>
    <d v="2026-01-08T00:00:00"/>
    <s v="RAW MATERIAL"/>
    <s v="INDIGENOUS"/>
    <s v="RM 381"/>
    <n v="146.08000000000001"/>
    <n v="146.08000045808501"/>
    <s v="PIL1/D/1243"/>
    <d v="2026-01-08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637785.15"/>
    <s v="SF"/>
    <s v="PP/PE Fabric"/>
    <x v="1"/>
    <s v="RM"/>
    <s v="erp"/>
    <n v="0"/>
    <n v="325612.32"/>
    <n v="386"/>
    <d v="2026-01-08T00:00:00"/>
    <s v="24AAACO3087C1ZT"/>
    <s v="storeppl"/>
    <s v="storeppl"/>
    <n v="9"/>
    <n v="29305.11"/>
    <n v="9"/>
    <n v="29305.11"/>
    <n v="0"/>
    <n v="0"/>
    <n v="0"/>
    <n v="682155474154"/>
    <d v="2026-08-01T00:00:00"/>
    <n v="2229"/>
  </r>
  <r>
    <s v="Plastene Polyfilms Limited"/>
    <d v="2026-01-08T00:00:00"/>
    <s v="PPL/26-27/SII01035"/>
    <s v="WIP00032"/>
    <s v="Webbing"/>
    <s v="PPL/RAW/26-27/376"/>
    <n v="331.1"/>
    <n v="331.1"/>
    <s v="Kgs"/>
    <n v="331.1"/>
    <n v="0"/>
    <n v="331.1"/>
    <s v="GJ12X1249"/>
    <s v="Plastene India ltd - Unit 1-Purchase"/>
    <s v="Plastene India ltd - Unit 1-Purchase"/>
    <s v="PIL1/D/1243"/>
    <d v="2026-01-08T00:00:00"/>
    <s v="RAW MATERIAL"/>
    <s v="INDIGENOUS"/>
    <s v="RM 381"/>
    <n v="144.08000000000001"/>
    <n v="144.08000045181399"/>
    <s v="PIL1/D/1243"/>
    <d v="2026-01-08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637785.15"/>
    <s v="SF"/>
    <s v="Webbing"/>
    <x v="2"/>
    <s v="RM"/>
    <s v="erp"/>
    <n v="0"/>
    <n v="47704.89"/>
    <n v="386"/>
    <d v="2026-01-08T00:00:00"/>
    <s v="24AAACO3087C1ZT"/>
    <s v="storeppl"/>
    <s v="storeppl"/>
    <n v="9"/>
    <n v="4293.4399999999996"/>
    <n v="9"/>
    <n v="4293.4399999999996"/>
    <n v="0"/>
    <n v="0"/>
    <n v="0"/>
    <n v="682155474154"/>
    <d v="2026-08-01T00:00:00"/>
    <n v="331.1"/>
  </r>
  <r>
    <s v="Plastene Polyfilms Limited"/>
    <d v="2026-01-08T00:00:00"/>
    <s v="PPL/26-27/SII01036"/>
    <s v="RAW05270"/>
    <s v="LDPE Sumitomo L705"/>
    <s v="PPL/RAW/26-27/377"/>
    <n v="1375"/>
    <n v="1375"/>
    <s v="Kgs"/>
    <n v="1375"/>
    <n v="0"/>
    <n v="1375"/>
    <s v="GJ12X1249"/>
    <s v="Plastene India ltd - Unit 1-Purchase"/>
    <s v="Plastene India ltd - Unit 1-Purchase"/>
    <s v="PIL1/D/1244"/>
    <d v="2026-01-08T00:00:00"/>
    <s v="RAW MATERIAL"/>
    <s v="INDIGENOUS"/>
    <s v="RM 382"/>
    <n v="110"/>
    <n v="110"/>
    <s v="PIL1/D/1244"/>
    <d v="2026-01-08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618140.04"/>
    <s v="RM"/>
    <s v="Granules"/>
    <x v="3"/>
    <s v="RM"/>
    <s v="erp"/>
    <n v="0"/>
    <n v="151250"/>
    <n v="387"/>
    <d v="2026-01-08T00:00:00"/>
    <s v="24AAACO3087C1ZT"/>
    <s v="storeppl"/>
    <s v="storeppl"/>
    <n v="9"/>
    <n v="13612.5"/>
    <n v="9"/>
    <n v="13612.5"/>
    <n v="0"/>
    <n v="0"/>
    <n v="618140.04"/>
    <n v="672155504375"/>
    <d v="2026-08-01T00:00:00"/>
    <n v="1375"/>
  </r>
  <r>
    <s v="Plastene Polyfilms Limited"/>
    <d v="2026-01-08T00:00:00"/>
    <s v="PPL/26-27/SII01036"/>
    <s v="RAW05187"/>
    <s v="PP Granules Others"/>
    <s v="PPL/RAW/26-27/377"/>
    <n v="1375"/>
    <n v="1375"/>
    <s v="Kgs"/>
    <n v="1375"/>
    <n v="0"/>
    <n v="1375"/>
    <s v="GJ12X1249"/>
    <s v="Plastene India ltd - Unit 1-Purchase"/>
    <s v="Plastene India ltd - Unit 1-Purchase"/>
    <s v="PIL1/D/1244"/>
    <d v="2026-01-08T00:00:00"/>
    <s v="RAW MATERIAL"/>
    <s v="INDIGENOUS"/>
    <s v="RM 382"/>
    <n v="119.08"/>
    <n v="119.08"/>
    <s v="PIL1/D/1244"/>
    <d v="2026-01-08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618140.04"/>
    <s v="RM"/>
    <s v="Granules"/>
    <x v="4"/>
    <s v="RM"/>
    <s v="erp"/>
    <n v="0"/>
    <n v="163735"/>
    <n v="387"/>
    <d v="2026-01-08T00:00:00"/>
    <s v="24AAACO3087C1ZT"/>
    <s v="storeppl"/>
    <s v="storeppl"/>
    <n v="9"/>
    <n v="14736.15"/>
    <n v="9"/>
    <n v="14736.15"/>
    <n v="0"/>
    <n v="0"/>
    <n v="0"/>
    <n v="672155504375"/>
    <d v="2026-08-01T00:00:00"/>
    <n v="1375"/>
  </r>
  <r>
    <s v="Plastene Polyfilms Limited"/>
    <d v="2026-01-08T00:00:00"/>
    <s v="PPL/26-27/SII01036"/>
    <s v="RAW06398"/>
    <s v="LDPE LOTTE LF512"/>
    <s v="PPL/RAW/26-27/377"/>
    <n v="1375"/>
    <n v="1375"/>
    <s v="Kgs"/>
    <n v="1375"/>
    <n v="0"/>
    <n v="1375"/>
    <s v="GJ12X1249"/>
    <s v="Plastene India ltd - Unit 1-Purchase"/>
    <s v="Plastene India ltd - Unit 1-Purchase"/>
    <s v="PIL1/D/1244"/>
    <d v="2026-01-08T00:00:00"/>
    <s v="RAW MATERIAL"/>
    <s v="INDIGENOUS"/>
    <s v="RM 382"/>
    <n v="151.9"/>
    <n v="151.9"/>
    <s v="PIL1/D/1244"/>
    <d v="2026-01-08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618140.04"/>
    <s v="RM"/>
    <s v="Granules"/>
    <x v="3"/>
    <s v="RM"/>
    <m/>
    <n v="0"/>
    <n v="208862.5"/>
    <n v="387"/>
    <d v="2026-01-08T00:00:00"/>
    <s v="24AAACO3087C1ZT"/>
    <s v="storeppl"/>
    <s v="storeppl"/>
    <n v="9"/>
    <n v="18797.62"/>
    <n v="9"/>
    <n v="18797.62"/>
    <n v="0"/>
    <n v="0"/>
    <n v="0"/>
    <n v="672155504375"/>
    <d v="2026-08-01T00:00:00"/>
    <n v="1375"/>
  </r>
  <r>
    <s v="Plastene Polyfilms Limited"/>
    <d v="2026-02-08T00:00:00"/>
    <s v="PPL/26-27/SII01039"/>
    <s v="WIP00023"/>
    <s v="PP UL Fabric With UV"/>
    <s v="PPL/RAW/26-27/378"/>
    <n v="4445"/>
    <n v="4445"/>
    <s v="Kgs"/>
    <n v="4445"/>
    <n v="0"/>
    <n v="4445"/>
    <s v="GJ01LT3770"/>
    <s v="Plastene India ltd - Unit 2-Purchase"/>
    <s v="Plastene India ltd - Unit 2-Purchase"/>
    <s v="PIL2/D/432"/>
    <d v="2026-01-08T00:00:00"/>
    <s v="RAW MATERIAL"/>
    <s v="INDIGENOUS"/>
    <s v="RM 383"/>
    <n v="122"/>
    <n v="122"/>
    <s v="PIL2/D/432"/>
    <d v="2026-01-08T00:00:00"/>
    <s v="."/>
    <s v="."/>
    <m/>
    <s v="SHREENA ROADWAYS"/>
    <n v="2560"/>
    <n v="0"/>
    <n v="0"/>
    <n v="0"/>
    <n v="0"/>
    <n v="0"/>
    <s v="VAT"/>
    <n v="0"/>
    <n v="0"/>
    <n v="0"/>
    <n v="0"/>
    <n v="0"/>
    <m/>
    <n v="0"/>
    <n v="0"/>
    <n v="639902.19999999995"/>
    <s v="SF"/>
    <s v="PP/PE Fabric"/>
    <x v="0"/>
    <s v="RM"/>
    <s v="erp"/>
    <n v="0"/>
    <n v="542290"/>
    <n v="388"/>
    <d v="2026-02-08T00:00:00"/>
    <s v="24AAACO3087C1ZT"/>
    <s v="storeppl"/>
    <s v="storeppl"/>
    <n v="9"/>
    <n v="48806.1"/>
    <n v="9"/>
    <n v="48806.1"/>
    <n v="0"/>
    <n v="0"/>
    <n v="639902.19999999995"/>
    <n v="692155466167"/>
    <d v="2026-08-01T00:00:00"/>
    <n v="4445"/>
  </r>
  <r>
    <s v="Plastene Polyfilms Limited"/>
    <d v="2026-02-08T00:00:00"/>
    <s v="PPL/26-27/SII01040"/>
    <s v="WIP00023"/>
    <s v="PP UL Fabric With UV"/>
    <s v="PPL/RAW/26-27/379"/>
    <n v="1911"/>
    <n v="1911"/>
    <s v="Kgs"/>
    <n v="1911"/>
    <n v="0"/>
    <n v="1911"/>
    <s v="GJ01LT7680"/>
    <s v="HCP Plastene Bulkpack Limited - Purchase"/>
    <s v="HCP Plastene Bulkpack Limited - Purchase"/>
    <s v="HPBL/D/444"/>
    <d v="2026-01-08T00:00:00"/>
    <s v="RAW MATERIAL"/>
    <s v="INDIGENOUS"/>
    <s v="RM 384"/>
    <n v="156.49"/>
    <n v="156.49"/>
    <s v="HPBL/D/444"/>
    <d v="2026-01-08T00:00:00"/>
    <s v="."/>
    <s v="."/>
    <m/>
    <s v="SHREENA ROADWAYS"/>
    <n v="2539"/>
    <n v="0"/>
    <n v="0"/>
    <n v="0"/>
    <n v="0"/>
    <n v="0"/>
    <s v="VAT"/>
    <n v="0"/>
    <n v="0"/>
    <n v="0"/>
    <n v="0"/>
    <n v="0"/>
    <m/>
    <n v="0"/>
    <n v="0"/>
    <n v="511013.14"/>
    <s v="SF"/>
    <s v="PP/PE Fabric"/>
    <x v="0"/>
    <s v="RM"/>
    <s v="erp"/>
    <n v="0"/>
    <n v="299052.39"/>
    <n v="389"/>
    <d v="2026-02-08T00:00:00"/>
    <s v="24AABCG1282C2Z6"/>
    <s v="storeppl"/>
    <s v="storeppl"/>
    <n v="9"/>
    <n v="26914.720000000001"/>
    <n v="9"/>
    <n v="26914.720000000001"/>
    <n v="0"/>
    <n v="0"/>
    <n v="511013.14"/>
    <n v="612155312684"/>
    <d v="2026-08-01T00:00:00"/>
    <n v="1911"/>
  </r>
  <r>
    <s v="Plastene Polyfilms Limited"/>
    <d v="2026-02-08T00:00:00"/>
    <s v="PPL/26-27/SII01040"/>
    <s v="WIP00023"/>
    <s v="PP UL Fabric With UV"/>
    <s v="PPL/RAW/26-27/379"/>
    <n v="439"/>
    <n v="439"/>
    <s v="Kgs"/>
    <n v="439"/>
    <n v="0"/>
    <n v="439"/>
    <s v="GJ01LT7680"/>
    <s v="HCP Plastene Bulkpack Limited - Purchase"/>
    <s v="HCP Plastene Bulkpack Limited - Purchase"/>
    <s v="HPBL/D/444"/>
    <d v="2026-01-08T00:00:00"/>
    <s v="RAW MATERIAL"/>
    <s v="INDIGENOUS"/>
    <s v="RM 384"/>
    <n v="159.49"/>
    <n v="159.49"/>
    <s v="HPBL/D/444"/>
    <d v="2026-01-08T00:00:00"/>
    <s v="."/>
    <s v="."/>
    <m/>
    <s v="SHREENA ROADWAYS"/>
    <n v="2539"/>
    <n v="0"/>
    <n v="0"/>
    <n v="0"/>
    <n v="0"/>
    <n v="0"/>
    <s v="VAT"/>
    <n v="0"/>
    <n v="0"/>
    <n v="0"/>
    <n v="0"/>
    <n v="0"/>
    <m/>
    <n v="0"/>
    <n v="0"/>
    <n v="511013.14"/>
    <s v="SF"/>
    <s v="PP/PE Fabric"/>
    <x v="0"/>
    <s v="RM"/>
    <s v="erp"/>
    <n v="0"/>
    <n v="70016.11"/>
    <n v="389"/>
    <d v="2026-02-08T00:00:00"/>
    <s v="24AABCG1282C2Z6"/>
    <s v="storeppl"/>
    <s v="storeppl"/>
    <n v="9"/>
    <n v="6301.45"/>
    <n v="9"/>
    <n v="6301.45"/>
    <n v="0"/>
    <n v="0"/>
    <n v="0"/>
    <n v="612155312684"/>
    <d v="2026-08-01T00:00:00"/>
    <n v="439"/>
  </r>
  <r>
    <s v="Plastene Polyfilms Limited"/>
    <d v="2026-02-08T00:00:00"/>
    <s v="PPL/26-27/SII01040"/>
    <s v="WIP00013"/>
    <s v="LDPE/LLDPE Bags/Liner"/>
    <s v="PPL/RAW/26-27/379"/>
    <n v="394"/>
    <n v="394"/>
    <s v="Kgs"/>
    <n v="394"/>
    <n v="0"/>
    <n v="394"/>
    <s v="GJ01LT7680"/>
    <s v="HCP Plastene Bulkpack Limited - Purchase"/>
    <s v="HCP Plastene Bulkpack Limited - Purchase"/>
    <s v="HPBL/D/444"/>
    <d v="2026-01-08T00:00:00"/>
    <s v="RAW MATERIAL"/>
    <s v="INDIGENOUS"/>
    <s v="RM 384"/>
    <n v="162.41999999999999"/>
    <n v="162.41999999999999"/>
    <s v="HPBL/D/444"/>
    <d v="2026-01-08T00:00:00"/>
    <s v="."/>
    <s v="."/>
    <m/>
    <s v="SHREENA ROADWAYS"/>
    <n v="2539"/>
    <n v="0"/>
    <n v="0"/>
    <n v="0"/>
    <n v="0"/>
    <n v="0"/>
    <s v="VAT"/>
    <n v="0"/>
    <n v="0"/>
    <n v="0"/>
    <n v="0"/>
    <n v="0"/>
    <m/>
    <n v="0"/>
    <n v="0"/>
    <n v="511013.14"/>
    <s v="SF"/>
    <s v="Liners"/>
    <x v="5"/>
    <s v="RM"/>
    <s v="erp"/>
    <n v="0"/>
    <n v="63993.48"/>
    <n v="389"/>
    <d v="2026-02-08T00:00:00"/>
    <s v="24AABCG1282C2Z6"/>
    <s v="storeppl"/>
    <s v="storeppl"/>
    <n v="9"/>
    <n v="5759.41"/>
    <n v="9"/>
    <n v="5759.41"/>
    <n v="0"/>
    <n v="0"/>
    <n v="0"/>
    <n v="612155312684"/>
    <d v="2026-08-01T00:00:00"/>
    <n v="394"/>
  </r>
  <r>
    <s v="Plastene Polyfilms Limited"/>
    <d v="2026-02-08T00:00:00"/>
    <s v="PPL/26-27/SII01041"/>
    <s v="WIP00013"/>
    <s v="LDPE/LLDPE Bags/Liner"/>
    <s v="PPL/RAW/26-27/380"/>
    <n v="101"/>
    <n v="101"/>
    <s v="Kgs"/>
    <n v="101"/>
    <n v="0"/>
    <n v="101"/>
    <s v="GJ39T1656"/>
    <s v="Plastene India ltd - Unit 1-Purchase"/>
    <s v="Plastene India ltd - Unit 1-Purchase"/>
    <s v="PIL1/D/1248"/>
    <d v="2026-02-08T00:00:00"/>
    <s v="RAW MATERIAL"/>
    <s v="INDIGENOUS"/>
    <s v="RM 385"/>
    <n v="176.86"/>
    <n v="176.86"/>
    <s v="PIL1/D/1248"/>
    <d v="2026-02-08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21078.18"/>
    <s v="SF"/>
    <s v="Liners"/>
    <x v="5"/>
    <s v="RM"/>
    <s v="erp"/>
    <n v="0"/>
    <n v="17862.86"/>
    <n v="390"/>
    <d v="2026-02-08T00:00:00"/>
    <s v="24AAACO3087C1ZT"/>
    <s v="storeppl"/>
    <s v="storeppl"/>
    <n v="9"/>
    <n v="1607.66"/>
    <n v="9"/>
    <n v="1607.66"/>
    <n v="0"/>
    <n v="0"/>
    <n v="21078.18"/>
    <n v="662155751770"/>
    <d v="2026-08-02T00:00:00"/>
    <n v="101"/>
  </r>
  <r>
    <s v="Plastene Polyfilms Limited"/>
    <d v="2026-02-08T00:00:00"/>
    <s v="PPL/26-27/SII01043"/>
    <s v="WIP00023"/>
    <s v="PP UL Fabric With UV"/>
    <s v="PPL/RAW/26-27/381"/>
    <n v="755"/>
    <n v="755"/>
    <s v="Kgs"/>
    <n v="755"/>
    <n v="0"/>
    <n v="755"/>
    <s v="GJ12X1249"/>
    <s v="Plastene India ltd - Unit 1-Purchase"/>
    <s v="Plastene India ltd - Unit 1-Purchase"/>
    <s v="PIL1/D/1252"/>
    <d v="2026-02-08T00:00:00"/>
    <s v="RAW MATERIAL"/>
    <s v="INDIGENOUS"/>
    <s v="RM 386"/>
    <n v="144.08000000000001"/>
    <n v="144.08000043070001"/>
    <s v="PIL1/D/1252"/>
    <d v="2026-02-08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669050.65"/>
    <s v="SF"/>
    <s v="PP/PE Fabric"/>
    <x v="0"/>
    <s v="RM"/>
    <s v="erp"/>
    <n v="0"/>
    <n v="108780.4"/>
    <n v="391"/>
    <d v="2026-02-08T00:00:00"/>
    <s v="24AAACO3087C1ZT"/>
    <s v="storeppl"/>
    <s v="storeppl"/>
    <n v="9"/>
    <n v="9790.24"/>
    <n v="9"/>
    <n v="9790.24"/>
    <n v="0"/>
    <n v="0"/>
    <n v="669050.65"/>
    <n v="602155826153"/>
    <d v="2026-08-02T00:00:00"/>
    <n v="755"/>
  </r>
  <r>
    <s v="Plastene Polyfilms Limited"/>
    <d v="2026-02-08T00:00:00"/>
    <s v="PPL/26-27/SII01043"/>
    <s v="FIG00001"/>
    <s v="FIBC WIP"/>
    <s v="PPL/RAW/26-27/381"/>
    <n v="252"/>
    <n v="252"/>
    <s v="Kgs"/>
    <n v="252"/>
    <n v="0"/>
    <n v="252"/>
    <s v="GJ12X1249"/>
    <s v="Plastene India ltd - Unit 1-Purchase"/>
    <s v="Plastene India ltd - Unit 1-Purchase"/>
    <s v="PIL1/D/1252"/>
    <d v="2026-02-08T00:00:00"/>
    <s v="RAW MATERIAL"/>
    <s v="INDIGENOUS"/>
    <s v="RM 386"/>
    <n v="143.08000000000001"/>
    <n v="143.08000042771101"/>
    <s v="PIL1/D/1252"/>
    <d v="2026-02-08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669050.65"/>
    <s v="FG"/>
    <s v="FIBC WIP"/>
    <x v="6"/>
    <s v="RM"/>
    <s v="erp"/>
    <n v="0"/>
    <n v="36056.160000000003"/>
    <n v="391"/>
    <d v="2026-02-08T00:00:00"/>
    <s v="24AAACO3087C1ZT"/>
    <s v="storeppl"/>
    <s v="storeppl"/>
    <n v="9"/>
    <n v="3245.05"/>
    <n v="9"/>
    <n v="3245.05"/>
    <n v="0"/>
    <n v="0"/>
    <n v="0"/>
    <n v="602155826153"/>
    <d v="2026-08-02T00:00:00"/>
    <n v="252"/>
  </r>
  <r>
    <s v="Plastene Polyfilms Limited"/>
    <d v="2026-02-08T00:00:00"/>
    <s v="PPL/26-27/SII01043"/>
    <s v="SMF00147"/>
    <s v="PE Labels (Kgs)"/>
    <s v="PPL/RAW/26-27/381"/>
    <n v="11.8"/>
    <n v="11.8"/>
    <s v="Kgs"/>
    <n v="11.8"/>
    <n v="0"/>
    <n v="11.8"/>
    <s v="GJ12X1249"/>
    <s v="Plastene India ltd - Unit 1-Purchase"/>
    <s v="Plastene India ltd - Unit 1-Purchase"/>
    <s v="PIL1/D/1252"/>
    <d v="2026-02-08T00:00:00"/>
    <s v="RAW MATERIAL"/>
    <s v="INDIGENOUS"/>
    <s v="RM 386"/>
    <n v="286"/>
    <n v="286.00000085494298"/>
    <s v="PIL1/D/1252"/>
    <d v="2026-02-08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669050.65"/>
    <s v="SF"/>
    <s v="Liners"/>
    <x v="5"/>
    <s v="RM"/>
    <s v="erp"/>
    <n v="0"/>
    <n v="3374.8"/>
    <n v="391"/>
    <d v="2026-02-08T00:00:00"/>
    <s v="24AAACO3087C1ZT"/>
    <s v="storeppl"/>
    <s v="storeppl"/>
    <n v="9"/>
    <n v="303.73"/>
    <n v="9"/>
    <n v="303.73"/>
    <n v="0"/>
    <n v="0"/>
    <n v="0"/>
    <n v="602155826153"/>
    <d v="2026-08-02T00:00:00"/>
    <n v="11.8"/>
  </r>
  <r>
    <s v="Plastene Polyfilms Limited"/>
    <d v="2026-02-08T00:00:00"/>
    <s v="PPL/26-27/SII01043"/>
    <s v="WIP00032"/>
    <s v="Webbing"/>
    <s v="PPL/RAW/26-27/381"/>
    <n v="446.1"/>
    <n v="446.1"/>
    <s v="Kgs"/>
    <n v="446.1"/>
    <n v="0"/>
    <n v="446.1"/>
    <s v="GJ12X1249"/>
    <s v="Plastene India ltd - Unit 1-Purchase"/>
    <s v="Plastene India ltd - Unit 1-Purchase"/>
    <s v="PIL1/D/1252"/>
    <d v="2026-02-08T00:00:00"/>
    <s v="RAW MATERIAL"/>
    <s v="INDIGENOUS"/>
    <s v="RM 386"/>
    <n v="144.08000000000001"/>
    <n v="144.08000043070001"/>
    <s v="PIL1/D/1252"/>
    <d v="2026-02-08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669050.65"/>
    <s v="SF"/>
    <s v="Webbing"/>
    <x v="2"/>
    <s v="RM"/>
    <s v="erp"/>
    <n v="0"/>
    <n v="64274.09"/>
    <n v="391"/>
    <d v="2026-02-08T00:00:00"/>
    <s v="24AAACO3087C1ZT"/>
    <s v="storeppl"/>
    <s v="storeppl"/>
    <n v="9"/>
    <n v="5784.67"/>
    <n v="9"/>
    <n v="5784.67"/>
    <n v="0"/>
    <n v="0"/>
    <n v="0"/>
    <n v="602155826153"/>
    <d v="2026-08-02T00:00:00"/>
    <n v="446.1"/>
  </r>
  <r>
    <s v="Plastene Polyfilms Limited"/>
    <d v="2026-02-08T00:00:00"/>
    <s v="PPL/26-27/SII01043"/>
    <s v="WIP00025"/>
    <s v="PP Lam Fabric With UV"/>
    <s v="PPL/RAW/26-27/381"/>
    <n v="2131"/>
    <n v="2131"/>
    <s v="Kgs"/>
    <n v="2131"/>
    <n v="0"/>
    <n v="2131"/>
    <s v="GJ12X1249"/>
    <s v="Plastene India ltd - Unit 1-Purchase"/>
    <s v="Plastene India ltd - Unit 1-Purchase"/>
    <s v="PIL1/D/1252"/>
    <d v="2026-02-08T00:00:00"/>
    <s v="RAW MATERIAL"/>
    <s v="INDIGENOUS"/>
    <s v="RM 386"/>
    <n v="146.08000000000001"/>
    <n v="146.08000043667801"/>
    <s v="PIL1/D/1252"/>
    <d v="2026-02-08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669050.65"/>
    <s v="SF"/>
    <s v="PP/PE Fabric"/>
    <x v="1"/>
    <s v="RM"/>
    <s v="erp"/>
    <n v="0"/>
    <n v="311296.48"/>
    <n v="391"/>
    <d v="2026-02-08T00:00:00"/>
    <s v="24AAACO3087C1ZT"/>
    <s v="storeppl"/>
    <s v="storeppl"/>
    <n v="9"/>
    <n v="28016.68"/>
    <n v="9"/>
    <n v="28016.68"/>
    <n v="0"/>
    <n v="0"/>
    <n v="0"/>
    <n v="602155826153"/>
    <d v="2026-08-02T00:00:00"/>
    <n v="2131"/>
  </r>
  <r>
    <s v="Plastene Polyfilms Limited"/>
    <d v="2026-02-08T00:00:00"/>
    <s v="PPL/26-27/SII01043"/>
    <s v="WIP00025"/>
    <s v="PP Lam Fabric With UV"/>
    <s v="PPL/RAW/26-27/381"/>
    <n v="302"/>
    <n v="302"/>
    <s v="Kgs"/>
    <n v="302"/>
    <n v="0"/>
    <n v="302"/>
    <s v="GJ12X1249"/>
    <s v="Plastene India ltd - Unit 1-Purchase"/>
    <s v="Plastene India ltd - Unit 1-Purchase"/>
    <s v="PIL1/D/1252"/>
    <d v="2026-02-08T00:00:00"/>
    <s v="RAW MATERIAL"/>
    <s v="INDIGENOUS"/>
    <s v="RM 386"/>
    <n v="143.08000000000001"/>
    <n v="143.08000042771101"/>
    <s v="PIL1/D/1252"/>
    <d v="2026-02-08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669050.65"/>
    <s v="SF"/>
    <s v="PP/PE Fabric"/>
    <x v="1"/>
    <s v="RM"/>
    <s v="erp"/>
    <n v="0"/>
    <n v="43210.16"/>
    <n v="391"/>
    <d v="2026-02-08T00:00:00"/>
    <s v="24AAACO3087C1ZT"/>
    <s v="storeppl"/>
    <s v="storeppl"/>
    <n v="9"/>
    <n v="3888.91"/>
    <n v="9"/>
    <n v="3888.91"/>
    <n v="0"/>
    <n v="0"/>
    <n v="0"/>
    <n v="602155826153"/>
    <d v="2026-08-02T00:00:00"/>
    <n v="302"/>
  </r>
  <r>
    <s v="Plastene Polyfilms Limited"/>
    <d v="2026-03-08T00:00:00"/>
    <s v="PPL/26-27/SII01044"/>
    <s v="WIP00003"/>
    <s v="FIBC Bags With UV With Liner"/>
    <s v="PPL/RAW/26-27/382"/>
    <n v="3557"/>
    <n v="3557"/>
    <s v="Kgs"/>
    <n v="3557"/>
    <n v="0"/>
    <n v="3557"/>
    <s v="GJ12BZ4679"/>
    <s v="K.P. Woven Pvt Ltd-Purchase"/>
    <s v="K.P. Woven Pvt Ltd-Purchase"/>
    <s v="KPV/D/545"/>
    <d v="2026-02-08T00:00:00"/>
    <s v="RAW MATERIAL"/>
    <s v="INDIGENOUS"/>
    <s v="RM 387"/>
    <n v="175"/>
    <n v="175"/>
    <s v="KPV/D/545"/>
    <d v="2026-02-08T00:00:00"/>
    <s v="."/>
    <s v="."/>
    <m/>
    <s v="G NAAM LOGISTICS"/>
    <n v="1929"/>
    <n v="0"/>
    <n v="0"/>
    <n v="0"/>
    <n v="0"/>
    <n v="0"/>
    <s v="VAT"/>
    <n v="0"/>
    <n v="0"/>
    <n v="0"/>
    <n v="0"/>
    <n v="0"/>
    <m/>
    <n v="0"/>
    <n v="0"/>
    <n v="734520.5"/>
    <s v="FG"/>
    <s v="FIBC Bags"/>
    <x v="7"/>
    <s v="RM"/>
    <s v="erp"/>
    <n v="0"/>
    <n v="622475"/>
    <n v="392"/>
    <d v="2026-03-08T00:00:00"/>
    <s v="24AAECK6307M1ZF"/>
    <s v="storeppl"/>
    <s v="storeppl"/>
    <n v="9"/>
    <n v="56022.75"/>
    <n v="9"/>
    <n v="56022.75"/>
    <n v="0"/>
    <n v="0"/>
    <n v="734520.5"/>
    <n v="632155863050"/>
    <d v="2026-08-02T00:00:00"/>
    <m/>
  </r>
  <r>
    <s v="Plastene Polyfilms Limited"/>
    <d v="2026-03-08T00:00:00"/>
    <s v="PPL/26-27/SII01045"/>
    <s v="WIP00037"/>
    <s v="PP UL Bags With UV"/>
    <s v="PPL/RAW/26-27/383"/>
    <n v="2458.1999999999998"/>
    <n v="2458.1999999999998"/>
    <s v="Kgs"/>
    <n v="2458.1999999999998"/>
    <n v="0"/>
    <n v="2458.1999999999998"/>
    <s v="GJ24X6976"/>
    <s v="HCP Plastene Bulkpack Limited - Purchase"/>
    <s v="HCP Plastene Bulkpack Limited - Purchase"/>
    <s v="HPBL/D/449"/>
    <d v="2026-02-08T00:00:00"/>
    <s v="RAW MATERIAL"/>
    <s v="INDIGENOUS"/>
    <s v="RM 388"/>
    <n v="230.66"/>
    <n v="230.65999931050601"/>
    <s v="HPBL/D/449"/>
    <d v="2026-02-08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669069.93000000005"/>
    <s v="FG"/>
    <s v="Small Bags"/>
    <x v="8"/>
    <s v="RM"/>
    <s v="erp"/>
    <n v="0"/>
    <n v="567008.41"/>
    <n v="393"/>
    <d v="2026-03-08T00:00:00"/>
    <s v="24AABCG1282C2Z6"/>
    <s v="storeppl"/>
    <s v="storeppl"/>
    <n v="9"/>
    <n v="51030.76"/>
    <n v="9"/>
    <n v="51030.76"/>
    <n v="0"/>
    <n v="0"/>
    <n v="669069.93000000005"/>
    <n v="662155814833"/>
    <d v="2026-08-02T00:00:00"/>
    <n v="2458.1999999999998"/>
  </r>
  <r>
    <s v="Plastene Polyfilms Limited"/>
    <d v="2026-03-08T00:00:00"/>
    <s v="PPL/26-27/SII01046"/>
    <s v="WIP00013"/>
    <s v="LDPE/LLDPE Bags/Liner"/>
    <s v="PPL/RAW/26-27/384"/>
    <n v="1690.3"/>
    <n v="1690.3"/>
    <s v="Kgs"/>
    <n v="1690.3"/>
    <n v="0"/>
    <n v="1690.3"/>
    <s v="GJ12X1249"/>
    <s v="Plastene India ltd - Unit 1-Purchase"/>
    <s v="Plastene India ltd - Unit 1-Purchase"/>
    <s v="PIL1/D/1259"/>
    <d v="2026-03-08T00:00:00"/>
    <s v="RAW MATERIAL"/>
    <s v="INDIGENOUS"/>
    <s v="RM 389"/>
    <n v="200.86"/>
    <n v="200.86"/>
    <s v="PIL1/D/1259"/>
    <d v="2026-03-08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520429.23"/>
    <s v="SF"/>
    <s v="Liners"/>
    <x v="5"/>
    <s v="RM"/>
    <s v="erp"/>
    <n v="0"/>
    <n v="339513.66"/>
    <n v="394"/>
    <d v="2026-03-08T00:00:00"/>
    <s v="24AAACO3087C1ZT"/>
    <s v="storeppl"/>
    <s v="storeppl"/>
    <n v="9"/>
    <n v="30556.23"/>
    <n v="9"/>
    <n v="30556.23"/>
    <n v="0"/>
    <n v="0"/>
    <n v="520429.23"/>
    <n v="662156174538"/>
    <d v="2026-08-03T00:00:00"/>
    <n v="1690.3"/>
  </r>
  <r>
    <s v="Plastene Polyfilms Limited"/>
    <d v="2026-03-08T00:00:00"/>
    <s v="PPL/26-27/SII01046"/>
    <s v="WIP00025"/>
    <s v="PP Lam Fabric With UV"/>
    <s v="PPL/RAW/26-27/384"/>
    <n v="178"/>
    <n v="178"/>
    <s v="Kgs"/>
    <n v="178"/>
    <n v="0"/>
    <n v="178"/>
    <s v="GJ12X1249"/>
    <s v="Plastene India ltd - Unit 1-Purchase"/>
    <s v="Plastene India ltd - Unit 1-Purchase"/>
    <s v="PIL1/D/1259"/>
    <d v="2026-03-08T00:00:00"/>
    <s v="RAW MATERIAL"/>
    <s v="INDIGENOUS"/>
    <s v="RM 389"/>
    <n v="143.08000000000001"/>
    <n v="143.08000000000001"/>
    <s v="PIL1/D/1259"/>
    <d v="2026-03-08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520429.23"/>
    <s v="SF"/>
    <s v="PP/PE Fabric"/>
    <x v="1"/>
    <s v="RM"/>
    <s v="erp"/>
    <n v="0"/>
    <n v="25468.240000000002"/>
    <n v="394"/>
    <d v="2026-03-08T00:00:00"/>
    <s v="24AAACO3087C1ZT"/>
    <s v="storeppl"/>
    <s v="storeppl"/>
    <n v="9"/>
    <n v="2292.14"/>
    <n v="9"/>
    <n v="2292.14"/>
    <n v="0"/>
    <n v="0"/>
    <n v="0"/>
    <n v="662156174538"/>
    <d v="2026-08-03T00:00:00"/>
    <n v="178"/>
  </r>
  <r>
    <s v="Plastene Polyfilms Limited"/>
    <d v="2026-03-08T00:00:00"/>
    <s v="PPL/26-27/SII01046"/>
    <s v="WIP00032"/>
    <s v="Webbing"/>
    <s v="PPL/RAW/26-27/384"/>
    <n v="527.9"/>
    <n v="527.9"/>
    <s v="Kgs"/>
    <n v="527.9"/>
    <n v="0"/>
    <n v="527.9"/>
    <s v="GJ12X1249"/>
    <s v="Plastene India ltd - Unit 1-Purchase"/>
    <s v="Plastene India ltd - Unit 1-Purchase"/>
    <s v="PIL1/D/1259"/>
    <d v="2026-03-08T00:00:00"/>
    <s v="RAW MATERIAL"/>
    <s v="INDIGENOUS"/>
    <s v="RM 389"/>
    <n v="144.08000000000001"/>
    <n v="144.08000000000001"/>
    <s v="PIL1/D/1259"/>
    <d v="2026-03-08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520429.23"/>
    <s v="SF"/>
    <s v="Webbing"/>
    <x v="2"/>
    <s v="RM"/>
    <s v="erp"/>
    <n v="0"/>
    <n v="76059.83"/>
    <n v="394"/>
    <d v="2026-03-08T00:00:00"/>
    <s v="24AAACO3087C1ZT"/>
    <s v="storeppl"/>
    <s v="storeppl"/>
    <n v="9"/>
    <n v="6845.38"/>
    <n v="9"/>
    <n v="6845.38"/>
    <n v="0"/>
    <n v="0"/>
    <n v="0"/>
    <n v="662156174538"/>
    <d v="2026-08-03T00:00:00"/>
    <n v="527.9"/>
  </r>
  <r>
    <s v="Plastene Polyfilms Limited"/>
    <d v="2026-03-08T00:00:00"/>
    <s v="PPL/26-27/SII01047"/>
    <s v="WIP00003"/>
    <s v="FIBC Bags With UV With Liner"/>
    <s v="PPL/RAW/26-27/385"/>
    <n v="3557"/>
    <n v="3557"/>
    <s v="Kgs"/>
    <n v="3557"/>
    <n v="0"/>
    <n v="3557"/>
    <s v="GJ12BZ4679"/>
    <s v="K.P. Woven Pvt Ltd-Purchase"/>
    <s v="K.P. Woven Pvt Ltd-Purchase"/>
    <s v="KPV/D/547"/>
    <d v="2026-03-08T00:00:00"/>
    <s v="RAW MATERIAL"/>
    <s v="INDIGENOUS"/>
    <s v="RM 390"/>
    <n v="327.32"/>
    <n v="327.32"/>
    <s v="KPV/D/547"/>
    <d v="2026-03-08T00:00:00"/>
    <s v="."/>
    <s v="."/>
    <m/>
    <s v="G NAAM LOGISTICS"/>
    <n v="1929"/>
    <n v="0"/>
    <n v="0"/>
    <n v="0"/>
    <n v="0"/>
    <n v="0"/>
    <s v="VAT"/>
    <n v="0"/>
    <n v="0"/>
    <n v="0"/>
    <n v="0"/>
    <n v="0"/>
    <m/>
    <n v="0"/>
    <n v="0"/>
    <n v="1373847.14"/>
    <s v="FG"/>
    <s v="FIBC Bags"/>
    <x v="7"/>
    <s v="RM"/>
    <s v="erp"/>
    <n v="0"/>
    <n v="1164277.24"/>
    <n v="392"/>
    <d v="2026-03-08T00:00:00"/>
    <s v="24AAECK6307M1ZF"/>
    <s v="storeppl"/>
    <s v="storeppl"/>
    <n v="9"/>
    <n v="104784.95"/>
    <n v="9"/>
    <n v="104784.95"/>
    <n v="0"/>
    <n v="0"/>
    <n v="1373847.14"/>
    <n v="662156156383"/>
    <d v="2026-08-03T00:00:00"/>
    <n v="3557"/>
  </r>
  <r>
    <s v="Plastene Polyfilms Limited"/>
    <d v="2026-04-08T00:00:00"/>
    <s v="PPL/26-27/SII01051"/>
    <s v="WIP00003"/>
    <s v="FIBC Bags With UV With Liner"/>
    <s v="PPL/RAW/26-27/386"/>
    <n v="4168"/>
    <n v="4168"/>
    <s v="Kgs"/>
    <n v="4168"/>
    <n v="0"/>
    <n v="4168"/>
    <s v="GJ12BW5265"/>
    <s v="K.P. Woven Pvt Ltd-Purchase"/>
    <s v="K.P. Woven Pvt Ltd-Purchase"/>
    <s v="KPV/D/550"/>
    <d v="2026-03-08T00:00:00"/>
    <s v="RAW MATERIAL"/>
    <s v="INDIGENOUS"/>
    <s v="RM 391"/>
    <n v="268.35000000000002"/>
    <n v="268.35000000000002"/>
    <s v="KPV/D/550"/>
    <d v="2026-03-08T00:00:00"/>
    <s v="."/>
    <s v="."/>
    <m/>
    <s v="B.R. ROADLINES"/>
    <n v="2725"/>
    <n v="0"/>
    <n v="0"/>
    <n v="0"/>
    <n v="0"/>
    <n v="0"/>
    <s v="VAT"/>
    <n v="0"/>
    <n v="0"/>
    <n v="0"/>
    <n v="0"/>
    <n v="0"/>
    <m/>
    <n v="0"/>
    <n v="0"/>
    <n v="1319809.7"/>
    <s v="FG"/>
    <s v="FIBC Bags"/>
    <x v="7"/>
    <s v="RM"/>
    <s v="erp"/>
    <n v="0"/>
    <n v="1118482.8"/>
    <n v="398"/>
    <d v="2026-04-08T00:00:00"/>
    <s v="24AAECK6307M1ZF"/>
    <s v="storeppl"/>
    <s v="storeppl"/>
    <n v="9"/>
    <n v="100663.45"/>
    <n v="9"/>
    <n v="100663.45"/>
    <n v="0"/>
    <n v="0"/>
    <n v="1319809.7"/>
    <n v="692156486346"/>
    <d v="2026-08-03T00:00:00"/>
    <n v="4168"/>
  </r>
  <r>
    <s v="Plastene Polyfilms Limited"/>
    <d v="2026-04-08T00:00:00"/>
    <s v="PPL/26-27/SII01052"/>
    <s v="WIP00023"/>
    <s v="PP UL Fabric With UV"/>
    <s v="PPL/RAW/26-27/388"/>
    <n v="388"/>
    <n v="388"/>
    <s v="Kgs"/>
    <n v="388"/>
    <n v="0"/>
    <n v="388"/>
    <s v="GJ12X1249"/>
    <s v="Plastene India ltd - Unit 1-Purchase"/>
    <s v="Plastene India ltd - Unit 1-Purchase"/>
    <s v="PIL1/D/1268"/>
    <d v="2026-04-08T00:00:00"/>
    <s v="RAW MATERIAL"/>
    <s v="INDIGENOUS"/>
    <s v="RM 392"/>
    <n v="141.08000000000001"/>
    <n v="141.08000010019001"/>
    <s v="PIL1/D/1268"/>
    <d v="2026-04-08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563249.62"/>
    <s v="SF"/>
    <s v="PP/PE Fabric"/>
    <x v="0"/>
    <s v="RM"/>
    <s v="erp"/>
    <n v="0"/>
    <n v="54739.040000000001"/>
    <n v="397"/>
    <d v="2026-04-08T00:00:00"/>
    <s v="24AAACO3087C1ZT"/>
    <s v="storeppl"/>
    <s v="storeppl"/>
    <n v="9"/>
    <n v="4926.51"/>
    <n v="9"/>
    <n v="4926.51"/>
    <n v="0"/>
    <n v="0"/>
    <n v="563249.62"/>
    <n v="672156768800"/>
    <d v="2026-08-04T00:00:00"/>
    <n v="388"/>
  </r>
  <r>
    <s v="Plastene Polyfilms Limited"/>
    <d v="2026-04-08T00:00:00"/>
    <s v="PPL/26-27/SII01052"/>
    <s v="WIP00032"/>
    <s v="Webbing"/>
    <s v="PPL/RAW/26-27/388"/>
    <n v="392.9"/>
    <n v="392.9"/>
    <s v="Kgs"/>
    <n v="392.9"/>
    <n v="0"/>
    <n v="392.9"/>
    <s v="GJ12X1249"/>
    <s v="Plastene India ltd - Unit 1-Purchase"/>
    <s v="Plastene India ltd - Unit 1-Purchase"/>
    <s v="PIL1/D/1268"/>
    <d v="2026-04-08T00:00:00"/>
    <s v="RAW MATERIAL"/>
    <s v="INDIGENOUS"/>
    <s v="RM 392"/>
    <n v="141.08000000000001"/>
    <n v="141.08000010019001"/>
    <s v="PIL1/D/1268"/>
    <d v="2026-04-08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563249.62"/>
    <s v="SF"/>
    <s v="Webbing"/>
    <x v="2"/>
    <s v="RM"/>
    <s v="erp"/>
    <n v="0"/>
    <n v="55430.33"/>
    <n v="397"/>
    <d v="2026-04-08T00:00:00"/>
    <s v="24AAACO3087C1ZT"/>
    <s v="storeppl"/>
    <s v="storeppl"/>
    <n v="9"/>
    <n v="4988.7299999999996"/>
    <n v="9"/>
    <n v="4988.7299999999996"/>
    <n v="0"/>
    <n v="0"/>
    <n v="0"/>
    <n v="672156768800"/>
    <d v="2026-08-04T00:00:00"/>
    <n v="392.9"/>
  </r>
  <r>
    <s v="Plastene Polyfilms Limited"/>
    <d v="2026-04-08T00:00:00"/>
    <s v="PPL/26-27/SII01052"/>
    <s v="WIP00032"/>
    <s v="Webbing"/>
    <s v="PPL/RAW/26-27/388"/>
    <n v="782.8"/>
    <n v="782.8"/>
    <s v="Kgs"/>
    <n v="782.8"/>
    <n v="0"/>
    <n v="782.8"/>
    <s v="GJ12X1249"/>
    <s v="Plastene India ltd - Unit 1-Purchase"/>
    <s v="Plastene India ltd - Unit 1-Purchase"/>
    <s v="PIL1/D/1268"/>
    <d v="2026-04-08T00:00:00"/>
    <s v="RAW MATERIAL"/>
    <s v="INDIGENOUS"/>
    <s v="RM 392"/>
    <n v="144.08000000000001"/>
    <n v="144.08000010232101"/>
    <s v="PIL1/D/1268"/>
    <d v="2026-04-08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563249.62"/>
    <s v="SF"/>
    <s v="Webbing"/>
    <x v="2"/>
    <s v="RM"/>
    <s v="erp"/>
    <n v="0"/>
    <n v="112785.82"/>
    <n v="397"/>
    <d v="2026-04-08T00:00:00"/>
    <s v="24AAACO3087C1ZT"/>
    <s v="storeppl"/>
    <s v="storeppl"/>
    <n v="9"/>
    <n v="10150.719999999999"/>
    <n v="9"/>
    <n v="10150.719999999999"/>
    <n v="0"/>
    <n v="0"/>
    <n v="0"/>
    <n v="672156768800"/>
    <d v="2026-08-04T00:00:00"/>
    <n v="782.8"/>
  </r>
  <r>
    <s v="Plastene Polyfilms Limited"/>
    <d v="2026-04-08T00:00:00"/>
    <s v="PPL/26-27/SII01052"/>
    <s v="WIP00151"/>
    <s v="PP MF Yarn Twisted 1000 UV NW"/>
    <s v="PPL/RAW/26-27/388"/>
    <n v="921.97"/>
    <n v="921.97"/>
    <s v="Kgs"/>
    <n v="921.97"/>
    <n v="0"/>
    <n v="921.97"/>
    <s v="GJ12X1249"/>
    <s v="Plastene India ltd - Unit 1-Purchase"/>
    <s v="Plastene India ltd - Unit 1-Purchase"/>
    <s v="PIL1/D/1268"/>
    <d v="2026-04-08T00:00:00"/>
    <s v="RAW MATERIAL"/>
    <s v="INDIGENOUS"/>
    <s v="RM 392"/>
    <n v="151.08000000000001"/>
    <n v="151.08000010729199"/>
    <s v="PIL1/D/1268"/>
    <d v="2026-04-08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563249.62"/>
    <s v="SF"/>
    <s v="Yarn All"/>
    <x v="9"/>
    <s v="RM"/>
    <m/>
    <n v="0"/>
    <n v="139291.23000000001"/>
    <n v="397"/>
    <d v="2026-04-08T00:00:00"/>
    <s v="24AAACO3087C1ZT"/>
    <s v="storeppl"/>
    <s v="storeppl"/>
    <n v="2.5"/>
    <n v="3482.28"/>
    <n v="2.5"/>
    <n v="3482.28"/>
    <n v="0"/>
    <n v="0"/>
    <n v="0"/>
    <n v="672156768800"/>
    <d v="2026-08-04T00:00:00"/>
    <n v="921.97"/>
  </r>
  <r>
    <s v="Plastene Polyfilms Limited"/>
    <d v="2026-04-08T00:00:00"/>
    <s v="PPL/26-27/SII01052"/>
    <s v="WIP00191"/>
    <s v="PP MF Yarn Twisted 3000 Denier UV NW"/>
    <s v="PPL/RAW/26-27/388"/>
    <n v="970.2"/>
    <n v="970.2"/>
    <s v="Kgs"/>
    <n v="970.2"/>
    <n v="0"/>
    <n v="970.2"/>
    <s v="GJ12X1249"/>
    <s v="Plastene India ltd - Unit 1-Purchase"/>
    <s v="Plastene India ltd - Unit 1-Purchase"/>
    <s v="PIL1/D/1268"/>
    <d v="2026-04-08T00:00:00"/>
    <s v="RAW MATERIAL"/>
    <s v="INDIGENOUS"/>
    <s v="RM 392"/>
    <n v="151.08000000000001"/>
    <n v="151.08000010729199"/>
    <s v="PIL1/D/1268"/>
    <d v="2026-04-08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563249.62"/>
    <s v="SF"/>
    <s v="Yarn All"/>
    <x v="9"/>
    <s v="RM"/>
    <m/>
    <n v="0"/>
    <n v="146577.82"/>
    <n v="397"/>
    <d v="2026-04-08T00:00:00"/>
    <s v="24AAACO3087C1ZT"/>
    <s v="storeppl"/>
    <s v="storeppl"/>
    <n v="2.5"/>
    <n v="3664.45"/>
    <n v="2.5"/>
    <n v="3664.45"/>
    <n v="0"/>
    <n v="0"/>
    <n v="0"/>
    <n v="672156768800"/>
    <d v="2026-08-04T00:00:00"/>
    <n v="970.2"/>
  </r>
  <r>
    <s v="Plastene Polyfilms Limited"/>
    <d v="2026-04-08T00:00:00"/>
    <s v="PPL/26-27/SII01053"/>
    <s v="RAW06198"/>
    <s v="UV PIL NFG 20LD"/>
    <s v="PPL/RAW/26-27/389"/>
    <n v="3000"/>
    <n v="3000"/>
    <s v="Kgs"/>
    <n v="3000"/>
    <n v="0"/>
    <n v="3000"/>
    <s v="GJ06BT5602"/>
    <s v="Plastene India ltd - Unit 2-Purchase"/>
    <s v="Plastene India ltd - Unit 2-Purchase"/>
    <s v="PIL2/D/441"/>
    <d v="2026-03-08T00:00:00"/>
    <s v="RAW MATERIAL"/>
    <s v="INDIGENOUS"/>
    <s v="RM 393"/>
    <n v="182"/>
    <n v="182"/>
    <s v="PIL2/D/441"/>
    <d v="2026-03-08T00:00:00"/>
    <s v="."/>
    <s v="."/>
    <m/>
    <s v="S.R. ROADWWAYS"/>
    <n v="345"/>
    <n v="0"/>
    <n v="0"/>
    <n v="0"/>
    <n v="0"/>
    <n v="0"/>
    <s v="VAT"/>
    <n v="0"/>
    <n v="0"/>
    <n v="0"/>
    <n v="0"/>
    <n v="0"/>
    <m/>
    <n v="0"/>
    <n v="0"/>
    <n v="644280"/>
    <s v="RM"/>
    <s v="Granules"/>
    <x v="10"/>
    <s v="RM"/>
    <s v="erp"/>
    <n v="0"/>
    <n v="546000"/>
    <n v="396"/>
    <d v="2026-04-08T00:00:00"/>
    <s v="24AAACO3087C1ZT"/>
    <s v="storeppl"/>
    <s v="storeppl"/>
    <n v="9"/>
    <n v="49140"/>
    <n v="9"/>
    <n v="49140"/>
    <n v="0"/>
    <n v="0"/>
    <n v="644280"/>
    <n v="692156247181"/>
    <d v="2026-08-03T00:00:00"/>
    <n v="3000"/>
  </r>
  <r>
    <s v="Plastene Polyfilms Limited"/>
    <d v="2026-04-08T00:00:00"/>
    <s v="PPL/26-27/SII01054"/>
    <s v="RAW06198"/>
    <s v="UV PIL NFG 20LD"/>
    <s v="PPL/RAW/26-27/390"/>
    <n v="4000"/>
    <n v="4000"/>
    <s v="Kgs"/>
    <n v="4000"/>
    <n v="0"/>
    <n v="4000"/>
    <s v="GJ12CT8255"/>
    <s v="Plastene India ltd - Unit 2-Purchase"/>
    <s v="Plastene India ltd - Unit 2-Purchase"/>
    <s v="PIL2/D/442"/>
    <d v="2026-03-08T00:00:00"/>
    <s v="RAW MATERIAL"/>
    <s v="INDIGENOUS"/>
    <s v="RM 394"/>
    <n v="182"/>
    <n v="182"/>
    <s v="PIL2/D/442"/>
    <d v="2026-03-08T00:00:00"/>
    <s v="."/>
    <s v="."/>
    <m/>
    <s v="KUTCH RATNAM ROADLINES"/>
    <n v="509"/>
    <n v="0"/>
    <n v="0"/>
    <n v="0"/>
    <n v="0"/>
    <n v="0"/>
    <s v="VAT"/>
    <n v="0"/>
    <n v="0"/>
    <n v="0"/>
    <n v="0"/>
    <n v="0"/>
    <m/>
    <n v="0"/>
    <n v="0"/>
    <n v="859040"/>
    <s v="RM"/>
    <s v="Granules"/>
    <x v="10"/>
    <s v="RM"/>
    <s v="erp"/>
    <n v="0"/>
    <n v="728000"/>
    <n v="395"/>
    <d v="2026-04-08T00:00:00"/>
    <s v="24AAACO3087C1ZT"/>
    <s v="storeppl"/>
    <s v="storeppl"/>
    <n v="9"/>
    <n v="65520"/>
    <n v="9"/>
    <n v="65520"/>
    <n v="0"/>
    <n v="0"/>
    <n v="859040"/>
    <n v="642156350187"/>
    <d v="2026-08-03T00:00:00"/>
    <n v="4000"/>
  </r>
  <r>
    <s v="Plastene Polyfilms Limited"/>
    <d v="2026-05-08T00:00:00"/>
    <s v="PPL/26-27/SII01066"/>
    <s v="RAW05951"/>
    <s v="PP Tapes"/>
    <s v="PPL/RAW/26-27/391"/>
    <n v="1765.6"/>
    <n v="1765.6"/>
    <s v="Kgs"/>
    <n v="1765.6"/>
    <n v="0"/>
    <n v="1765.6"/>
    <s v="GJ12X1249"/>
    <s v="Plastene India ltd - Unit 1-Purchase"/>
    <s v="Plastene India ltd - Unit 1-Purchase"/>
    <s v="PIL1/D/1282"/>
    <d v="2026-05-08T00:00:00"/>
    <s v="RAW MATERIAL"/>
    <s v="INDIGENOUS"/>
    <s v="RM 395"/>
    <n v="143.32"/>
    <n v="143.31999870284801"/>
    <s v="PIL1/D/1282"/>
    <d v="2026-05-08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662929.44999999995"/>
    <s v="SF"/>
    <s v="Tape Stock"/>
    <x v="11"/>
    <s v="RM"/>
    <s v="erp"/>
    <n v="0"/>
    <n v="253045.79"/>
    <n v="400"/>
    <d v="2026-05-08T00:00:00"/>
    <s v="24AAACO3087C1ZT"/>
    <s v="storeppl"/>
    <s v="storeppl"/>
    <n v="9"/>
    <n v="22774.12"/>
    <n v="9"/>
    <n v="22774.12"/>
    <n v="0"/>
    <n v="0"/>
    <n v="662929.44999999995"/>
    <n v="632157752897"/>
    <d v="2026-08-05T00:00:00"/>
    <n v="1765.6"/>
  </r>
  <r>
    <s v="Plastene Polyfilms Limited"/>
    <d v="2026-05-08T00:00:00"/>
    <s v="PPL/26-27/SII01066"/>
    <s v="RAW05951"/>
    <s v="PP Tapes"/>
    <s v="PPL/RAW/26-27/391"/>
    <n v="1131.3"/>
    <n v="1131.3"/>
    <s v="Kgs"/>
    <n v="1131.3"/>
    <n v="0"/>
    <n v="1131.3"/>
    <s v="GJ12X1249"/>
    <s v="Plastene India ltd - Unit 1-Purchase"/>
    <s v="Plastene India ltd - Unit 1-Purchase"/>
    <s v="PIL1/D/1282"/>
    <d v="2026-05-08T00:00:00"/>
    <s v="RAW MATERIAL"/>
    <s v="INDIGENOUS"/>
    <s v="RM 395"/>
    <n v="140.32"/>
    <n v="140.319998730001"/>
    <s v="PIL1/D/1282"/>
    <d v="2026-05-08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662929.44999999995"/>
    <s v="SF"/>
    <s v="Tape Stock"/>
    <x v="11"/>
    <s v="RM"/>
    <s v="erp"/>
    <n v="0"/>
    <n v="158744.01"/>
    <n v="400"/>
    <d v="2026-05-08T00:00:00"/>
    <s v="24AAACO3087C1ZT"/>
    <s v="storeppl"/>
    <s v="storeppl"/>
    <n v="9"/>
    <n v="14286.96"/>
    <n v="9"/>
    <n v="14286.96"/>
    <n v="0"/>
    <n v="0"/>
    <n v="0"/>
    <n v="632157752897"/>
    <d v="2026-08-05T00:00:00"/>
    <n v="1131.3"/>
  </r>
  <r>
    <s v="Plastene Polyfilms Limited"/>
    <d v="2026-05-08T00:00:00"/>
    <s v="PPL/26-27/SII01066"/>
    <s v="WIP00032"/>
    <s v="Webbing"/>
    <s v="PPL/RAW/26-27/391"/>
    <n v="513.70000000000005"/>
    <n v="513.70000000000005"/>
    <s v="Kgs"/>
    <n v="513.70000000000005"/>
    <n v="0"/>
    <n v="513.70000000000005"/>
    <s v="GJ12X1249"/>
    <s v="Plastene India ltd - Unit 1-Purchase"/>
    <s v="Plastene India ltd - Unit 1-Purchase"/>
    <s v="PIL1/D/1282"/>
    <d v="2026-05-08T00:00:00"/>
    <s v="RAW MATERIAL"/>
    <s v="INDIGENOUS"/>
    <s v="RM 395"/>
    <n v="144.32"/>
    <n v="144.319998693798"/>
    <s v="PIL1/D/1282"/>
    <d v="2026-05-08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662929.44999999995"/>
    <s v="SF"/>
    <s v="Webbing"/>
    <x v="2"/>
    <s v="RM"/>
    <s v="erp"/>
    <n v="0"/>
    <n v="74137.179999999993"/>
    <n v="400"/>
    <d v="2026-05-08T00:00:00"/>
    <s v="24AAACO3087C1ZT"/>
    <s v="storeppl"/>
    <s v="storeppl"/>
    <n v="9"/>
    <n v="6672.35"/>
    <n v="9"/>
    <n v="6672.35"/>
    <n v="0"/>
    <n v="0"/>
    <n v="0"/>
    <n v="632157752897"/>
    <d v="2026-08-05T00:00:00"/>
    <n v="513.70000000000005"/>
  </r>
  <r>
    <s v="Plastene Polyfilms Limited"/>
    <d v="2026-05-08T00:00:00"/>
    <s v="PPL/26-27/SII01066"/>
    <s v="WIP00032"/>
    <s v="Webbing"/>
    <s v="PPL/RAW/26-27/391"/>
    <n v="370.2"/>
    <n v="370.2"/>
    <s v="Kgs"/>
    <n v="370.2"/>
    <n v="0"/>
    <n v="370.2"/>
    <s v="GJ12X1249"/>
    <s v="Plastene India ltd - Unit 1-Purchase"/>
    <s v="Plastene India ltd - Unit 1-Purchase"/>
    <s v="PIL1/D/1282"/>
    <d v="2026-05-08T00:00:00"/>
    <s v="RAW MATERIAL"/>
    <s v="INDIGENOUS"/>
    <s v="RM 395"/>
    <n v="147.32"/>
    <n v="147.31999866664501"/>
    <s v="PIL1/D/1282"/>
    <d v="2026-05-08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662929.44999999995"/>
    <s v="SF"/>
    <s v="Webbing"/>
    <x v="2"/>
    <s v="RM"/>
    <s v="erp"/>
    <n v="0"/>
    <n v="54537.86"/>
    <n v="400"/>
    <d v="2026-05-08T00:00:00"/>
    <s v="24AAACO3087C1ZT"/>
    <s v="storeppl"/>
    <s v="storeppl"/>
    <n v="9"/>
    <n v="4908.41"/>
    <n v="9"/>
    <n v="4908.41"/>
    <n v="0"/>
    <n v="0"/>
    <n v="0"/>
    <n v="632157752897"/>
    <d v="2026-08-05T00:00:00"/>
    <n v="370.2"/>
  </r>
  <r>
    <s v="Plastene Polyfilms Limited"/>
    <d v="2026-05-08T00:00:00"/>
    <s v="PPL/26-27/SII01066"/>
    <s v="WIP00236"/>
    <s v="PP Braided Rope MW 6 to 8 GPM"/>
    <s v="PPL/RAW/26-27/391"/>
    <n v="151"/>
    <n v="151"/>
    <s v="Kgs"/>
    <n v="151"/>
    <n v="0"/>
    <n v="151"/>
    <s v="GJ12X1249"/>
    <s v="Plastene India ltd - Unit 1-Purchase"/>
    <s v="Plastene India ltd - Unit 1-Purchase"/>
    <s v="PIL1/D/1282"/>
    <d v="2026-05-08T00:00:00"/>
    <s v="RAW MATERIAL"/>
    <s v="INDIGENOUS"/>
    <s v="RM 395"/>
    <n v="158.82"/>
    <n v="158.81999856256201"/>
    <s v="PIL1/D/1282"/>
    <d v="2026-05-08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662929.44999999995"/>
    <s v="SF"/>
    <s v="Yarn All"/>
    <x v="9"/>
    <s v="RM"/>
    <s v="erp"/>
    <n v="0"/>
    <n v="23981.82"/>
    <n v="400"/>
    <d v="2026-05-08T00:00:00"/>
    <s v="24AAACO3087C1ZT"/>
    <s v="storeppl"/>
    <s v="storeppl"/>
    <n v="2.5"/>
    <n v="599.54999999999995"/>
    <n v="2.5"/>
    <n v="599.54999999999995"/>
    <n v="0"/>
    <n v="0"/>
    <n v="0"/>
    <n v="632157752897"/>
    <d v="2026-08-05T00:00:00"/>
    <n v="151"/>
  </r>
  <r>
    <s v="Plastene Polyfilms Limited"/>
    <d v="2026-05-08T00:00:00"/>
    <s v="PPL/26-27/SII01067"/>
    <s v="FIG00001"/>
    <s v="FIBC WIP"/>
    <s v="PPL/RAW/26-27/392"/>
    <n v="370"/>
    <n v="370"/>
    <s v="Kgs"/>
    <n v="370"/>
    <n v="0"/>
    <n v="370"/>
    <s v="GJ12X1249"/>
    <s v="Hcp Plastene Bulkpack Ltd (Unit-Iv) - Purchase"/>
    <s v="Hcp Plastene Bulkpack Ltd (Unit-Iv) - Purchase"/>
    <s v="HPBL4/D/199"/>
    <d v="2026-05-08T00:00:00"/>
    <s v="RAW MATERIAL"/>
    <s v="INDIGENOUS"/>
    <s v="RM 396"/>
    <n v="147.32"/>
    <n v="147.32"/>
    <s v="HPBL4/D/199"/>
    <d v="2026-05-08T00:00:00"/>
    <s v="WEBBING 50X40 ORANGE COLOUR 13 BUNDLE"/>
    <s v="."/>
    <m/>
    <s v="."/>
    <s v="."/>
    <n v="0"/>
    <n v="0"/>
    <n v="0"/>
    <n v="0"/>
    <n v="0"/>
    <s v="VAT"/>
    <n v="0"/>
    <n v="0"/>
    <n v="0"/>
    <n v="0"/>
    <n v="0"/>
    <m/>
    <n v="0"/>
    <n v="0"/>
    <n v="64319.92"/>
    <s v="FG"/>
    <s v="FIBC WIP"/>
    <x v="6"/>
    <s v="RM"/>
    <s v="erp"/>
    <n v="0"/>
    <n v="54508.4"/>
    <n v="399"/>
    <d v="2026-05-08T00:00:00"/>
    <s v="24AABCG1282C2Z6"/>
    <s v="storeppl"/>
    <s v="storeppl"/>
    <n v="9"/>
    <n v="4905.76"/>
    <n v="9"/>
    <n v="4905.76"/>
    <n v="0"/>
    <n v="0"/>
    <n v="64319.92"/>
    <n v="612157557478"/>
    <d v="2026-08-05T00:00:00"/>
    <n v="370"/>
  </r>
  <r>
    <s v="Plastene Polyfilms Limited"/>
    <d v="2026-06-08T00:00:00"/>
    <s v="PPL/26-27/SII01069"/>
    <s v="WIP00023"/>
    <s v="PP UL Fabric With UV"/>
    <s v="PPL/RAW/26-27/393"/>
    <n v="2687"/>
    <n v="2687"/>
    <s v="Kgs"/>
    <n v="2687"/>
    <n v="0"/>
    <n v="2687"/>
    <s v="GJ09Z0572"/>
    <s v="Plastene India ltd - Unit 1-Purchase"/>
    <s v="Plastene India ltd - Unit 1-Purchase"/>
    <s v="PIL1/D/1289"/>
    <d v="2026-05-08T00:00:00"/>
    <s v="RAW MATERIAL"/>
    <s v="INDIGENOUS"/>
    <s v="RM 397"/>
    <n v="142.32"/>
    <n v="142.32"/>
    <s v="PIL1/D/1289"/>
    <d v="2026-05-08T00:00:00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451248.34"/>
    <s v="SF"/>
    <s v="PP/PE Fabric"/>
    <x v="0"/>
    <s v="RM"/>
    <s v="erp"/>
    <n v="0"/>
    <n v="382413.84"/>
    <n v="401"/>
    <d v="2026-06-08T00:00:00"/>
    <s v="24AAACO3087C1ZT"/>
    <s v="storeppl"/>
    <s v="storeppl"/>
    <n v="9"/>
    <n v="34417.25"/>
    <n v="9"/>
    <n v="34417.25"/>
    <n v="0"/>
    <n v="0"/>
    <n v="451248.34"/>
    <n v="612157915564"/>
    <d v="2026-08-05T00:00:00"/>
    <n v="2687"/>
  </r>
  <r>
    <s v="Plastene Polyfilms Limited"/>
    <d v="2026-06-08T00:00:00"/>
    <s v="PPL/26-27/SII01070"/>
    <s v="WIP00004"/>
    <s v="FIBC Bags With UV Without Liner"/>
    <s v="PPL/RAW/26-27/394"/>
    <n v="5375"/>
    <n v="5375"/>
    <s v="Kgs"/>
    <n v="5375"/>
    <n v="0"/>
    <n v="5375"/>
    <s v="GJ06BT5602"/>
    <s v="Plastene India ltd - Unit 2-Purchase"/>
    <s v="Plastene India ltd - Unit 2-Purchase"/>
    <s v="PIL2/D/453"/>
    <d v="2026-05-08T00:00:00"/>
    <s v="RAW MATERIAL"/>
    <s v="INDIGENOUS"/>
    <s v="RM 398"/>
    <n v="219.27"/>
    <n v="219.27"/>
    <s v="PIL2/D/453"/>
    <d v="2026-05-08T00:00:00"/>
    <s v="."/>
    <s v="."/>
    <m/>
    <s v="S.R. ROADWAYS"/>
    <n v="348"/>
    <n v="0"/>
    <n v="0"/>
    <n v="0"/>
    <n v="0"/>
    <n v="0"/>
    <s v="VAT"/>
    <n v="0"/>
    <n v="0"/>
    <n v="0"/>
    <n v="0"/>
    <n v="0"/>
    <m/>
    <n v="0"/>
    <n v="0"/>
    <n v="1390719.97"/>
    <s v="FG"/>
    <s v="FIBC Bags"/>
    <x v="7"/>
    <s v="RM"/>
    <s v="erp"/>
    <n v="0"/>
    <n v="1178576.25"/>
    <n v="402"/>
    <d v="2026-06-08T00:00:00"/>
    <s v="24AAACO3087C1ZT"/>
    <s v="storeppl"/>
    <s v="storeppl"/>
    <n v="9"/>
    <n v="106071.86"/>
    <n v="9"/>
    <n v="106071.86"/>
    <n v="0"/>
    <n v="0"/>
    <n v="1390719.97"/>
    <n v="682157880362"/>
    <d v="2026-08-05T00:00:00"/>
    <n v="5375"/>
  </r>
  <r>
    <s v="Plastene Polyfilms Limited"/>
    <d v="2026-06-08T00:00:00"/>
    <s v="PPL/26-27/SII01077"/>
    <s v="SMF00052"/>
    <s v="PP Fibrillated Tape Twisted 3200 Blue"/>
    <s v="PPL/RAW/26-27/395"/>
    <n v="645"/>
    <n v="645"/>
    <s v="Kgs"/>
    <n v="645"/>
    <n v="0"/>
    <n v="645"/>
    <s v="GJ18BT4656"/>
    <s v="K.P. Woven Pvt Ltd-Purchase"/>
    <s v="K.P. Woven Pvt Ltd-Purchase"/>
    <s v="KPV/D/561"/>
    <d v="2026-05-08T00:00:00"/>
    <s v="RAW MATERIAL"/>
    <s v="INDIGENOUS"/>
    <s v="RM 399"/>
    <n v="159.4"/>
    <n v="159.4"/>
    <s v="KPV/D/561"/>
    <d v="2026-05-08T00:00:00"/>
    <m/>
    <n v="0"/>
    <m/>
    <s v="SHREENA  ROADWAYS"/>
    <n v="2447"/>
    <n v="0"/>
    <n v="0"/>
    <n v="0"/>
    <n v="0"/>
    <n v="0"/>
    <s v="VAT"/>
    <n v="0"/>
    <n v="0"/>
    <n v="0"/>
    <n v="0"/>
    <n v="0"/>
    <m/>
    <n v="0"/>
    <n v="0"/>
    <n v="348535.94"/>
    <s v="SF"/>
    <s v="Yarn All"/>
    <x v="9"/>
    <s v="RM"/>
    <s v="erp"/>
    <n v="0"/>
    <n v="102813"/>
    <n v="404"/>
    <d v="2026-06-08T00:00:00"/>
    <s v="24AAECK6307M1ZF"/>
    <s v="storeppl"/>
    <s v="storeppl"/>
    <n v="2.5"/>
    <n v="2570.3200000000002"/>
    <n v="2.5"/>
    <n v="2570.3200000000002"/>
    <n v="0"/>
    <n v="0"/>
    <n v="348535.94"/>
    <n v="662157875557"/>
    <d v="2026-08-05T00:00:00"/>
    <n v="645"/>
  </r>
  <r>
    <s v="Plastene Polyfilms Limited"/>
    <d v="2026-06-08T00:00:00"/>
    <s v="PPL/26-27/SII01077"/>
    <s v="SMF00054"/>
    <s v="PP Fibrillated Tape Twisted 3200 MW"/>
    <s v="PPL/RAW/26-27/395"/>
    <n v="1465"/>
    <n v="1465"/>
    <s v="Kgs"/>
    <n v="1465"/>
    <n v="0"/>
    <n v="1465"/>
    <s v="GJ18BT4656"/>
    <s v="K.P. Woven Pvt Ltd-Purchase"/>
    <s v="K.P. Woven Pvt Ltd-Purchase"/>
    <s v="KPV/D/561"/>
    <d v="2026-05-08T00:00:00"/>
    <s v="RAW MATERIAL"/>
    <s v="INDIGENOUS"/>
    <s v="RM 399"/>
    <n v="156.4"/>
    <n v="156.4"/>
    <s v="KPV/D/561"/>
    <d v="2026-05-08T00:00:00"/>
    <m/>
    <n v="0"/>
    <m/>
    <s v="SHREENA  ROADWAYS"/>
    <n v="2447"/>
    <n v="0"/>
    <n v="0"/>
    <n v="0"/>
    <n v="0"/>
    <n v="0"/>
    <s v="VAT"/>
    <n v="0"/>
    <n v="0"/>
    <n v="0"/>
    <n v="0"/>
    <n v="0"/>
    <m/>
    <n v="0"/>
    <n v="0"/>
    <n v="348535.94"/>
    <s v="SF"/>
    <s v="Yarn All"/>
    <x v="9"/>
    <s v="RM"/>
    <s v="erp"/>
    <n v="0"/>
    <n v="229126"/>
    <n v="404"/>
    <d v="2026-06-08T00:00:00"/>
    <s v="24AAECK6307M1ZF"/>
    <s v="storeppl"/>
    <s v="storeppl"/>
    <n v="2.5"/>
    <n v="5728.15"/>
    <n v="2.5"/>
    <n v="5728.15"/>
    <n v="0"/>
    <n v="0"/>
    <n v="0"/>
    <n v="662157875557"/>
    <d v="2026-08-05T00:00:00"/>
    <n v="1465"/>
  </r>
  <r>
    <s v="Plastene Polyfilms Limited"/>
    <d v="2026-06-08T00:00:00"/>
    <s v="PPL/26-27/SII01078"/>
    <s v="WIP00023"/>
    <s v="PP UL Fabric With UV"/>
    <s v="PPL/RAW/26-27/396"/>
    <n v="634"/>
    <n v="634"/>
    <s v="Kgs"/>
    <n v="634"/>
    <n v="0"/>
    <n v="634"/>
    <s v="GJ01LT7680"/>
    <s v="HCP Plastene Bulkpack Limited - Purchase"/>
    <s v="HCP Plastene Bulkpack Limited - Purchase"/>
    <s v="HPBL/D/456"/>
    <d v="2026-05-08T00:00:00"/>
    <s v="RAW MATERIAL"/>
    <s v="INDIGENOUS"/>
    <s v="RM 400"/>
    <n v="159.49"/>
    <n v="159.49"/>
    <s v="HPBL/D/456"/>
    <d v="2026-05-08T00:00:00"/>
    <m/>
    <n v="0"/>
    <m/>
    <s v="SHREENA  ROADWAYS"/>
    <n v="2550"/>
    <n v="0"/>
    <n v="0"/>
    <n v="0"/>
    <n v="0"/>
    <n v="0"/>
    <s v="VAT"/>
    <n v="0"/>
    <n v="0"/>
    <n v="0"/>
    <n v="0"/>
    <n v="0"/>
    <m/>
    <n v="0"/>
    <n v="0"/>
    <n v="783717.86"/>
    <s v="SF"/>
    <s v="PP/PE Fabric"/>
    <x v="0"/>
    <s v="RM"/>
    <s v="erp"/>
    <n v="0"/>
    <n v="101116.66"/>
    <n v="403"/>
    <d v="2026-06-08T00:00:00"/>
    <s v="24AABCG1282C2Z6"/>
    <s v="storeppl"/>
    <s v="storeppl"/>
    <n v="9"/>
    <n v="9100.5"/>
    <n v="9"/>
    <n v="9100.5"/>
    <n v="0"/>
    <n v="0"/>
    <n v="783717.86"/>
    <n v="612157741097"/>
    <d v="2026-08-05T00:00:00"/>
    <n v="634"/>
  </r>
  <r>
    <s v="Plastene Polyfilms Limited"/>
    <d v="2026-06-08T00:00:00"/>
    <s v="PPL/26-27/SII01078"/>
    <s v="WIP00023"/>
    <s v="PP UL Fabric With UV"/>
    <s v="PPL/RAW/26-27/396"/>
    <n v="3598"/>
    <n v="3598"/>
    <s v="Kgs"/>
    <n v="3598"/>
    <n v="0"/>
    <n v="3598"/>
    <s v="GJ01LT7680"/>
    <s v="HCP Plastene Bulkpack Limited - Purchase"/>
    <s v="HCP Plastene Bulkpack Limited - Purchase"/>
    <s v="HPBL/D/456"/>
    <d v="2026-05-08T00:00:00"/>
    <s v="RAW MATERIAL"/>
    <s v="INDIGENOUS"/>
    <s v="RM 400"/>
    <n v="156.49"/>
    <n v="156.49"/>
    <s v="HPBL/D/456"/>
    <d v="2026-05-08T00:00:00"/>
    <m/>
    <n v="0"/>
    <m/>
    <s v="SHREENA  ROADWAYS"/>
    <n v="2550"/>
    <n v="0"/>
    <n v="0"/>
    <n v="0"/>
    <n v="0"/>
    <n v="0"/>
    <s v="VAT"/>
    <n v="0"/>
    <n v="0"/>
    <n v="0"/>
    <n v="0"/>
    <n v="0"/>
    <m/>
    <n v="0"/>
    <n v="0"/>
    <n v="783717.86"/>
    <s v="SF"/>
    <s v="PP/PE Fabric"/>
    <x v="0"/>
    <s v="RM"/>
    <s v="erp"/>
    <n v="0"/>
    <n v="563051.02"/>
    <n v="403"/>
    <d v="2026-06-08T00:00:00"/>
    <s v="24AABCG1282C2Z6"/>
    <s v="storeppl"/>
    <s v="storeppl"/>
    <n v="9"/>
    <n v="50674.59"/>
    <n v="9"/>
    <n v="50674.59"/>
    <n v="0"/>
    <n v="0"/>
    <n v="0"/>
    <n v="612157741097"/>
    <d v="2026-08-05T00:00:00"/>
    <n v="3598"/>
  </r>
  <r>
    <s v="Plastene Polyfilms Limited"/>
    <d v="2026-07-08T00:00:00"/>
    <s v="PPL/26-27/SII01086"/>
    <s v="WIP00013"/>
    <s v="LDPE/LLDPE Bags/Liner"/>
    <s v="PPL/RAW/26-27/398"/>
    <n v="325"/>
    <n v="325"/>
    <s v="Kgs"/>
    <n v="325"/>
    <n v="0"/>
    <n v="325"/>
    <s v="GJ12X1249"/>
    <s v="Plastene India ltd - Unit 1-Purchase"/>
    <s v="Plastene India ltd - Unit 1-Purchase"/>
    <s v="PIL1/D/1296"/>
    <d v="2026-06-08T00:00:00"/>
    <s v="RAW MATERIAL"/>
    <s v="INDIGENOUS"/>
    <s v="RM 401"/>
    <n v="176.86"/>
    <n v="176.860000725807"/>
    <s v="PIL1/D/1296"/>
    <d v="2026-06-08T00:00:00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487347.07"/>
    <s v="SF"/>
    <s v="Liners"/>
    <x v="5"/>
    <s v="RM"/>
    <s v="erp"/>
    <n v="0"/>
    <n v="57479.5"/>
    <n v="405"/>
    <d v="2026-06-08T00:00:00"/>
    <s v="24AAACO3087C1ZT"/>
    <s v="storeppl"/>
    <s v="storeppl"/>
    <n v="9"/>
    <n v="5173.16"/>
    <n v="9"/>
    <n v="5173.16"/>
    <n v="0"/>
    <n v="0"/>
    <n v="487347.07"/>
    <n v="692158393453"/>
    <d v="2026-08-06T00:00:00"/>
    <n v="325"/>
  </r>
  <r>
    <s v="Plastene Polyfilms Limited"/>
    <d v="2026-07-08T00:00:00"/>
    <s v="PPL/26-27/SII01086"/>
    <s v="WIP00025"/>
    <s v="PP Lam Fabric With UV"/>
    <s v="PPL/RAW/26-27/398"/>
    <n v="1619"/>
    <n v="1619"/>
    <s v="Kgs"/>
    <n v="1619"/>
    <n v="0"/>
    <n v="1619"/>
    <s v="GJ12X1249"/>
    <s v="Plastene India ltd - Unit 1-Purchase"/>
    <s v="Plastene India ltd - Unit 1-Purchase"/>
    <s v="PIL1/D/1296"/>
    <d v="2026-06-08T00:00:00"/>
    <s v="RAW MATERIAL"/>
    <s v="INDIGENOUS"/>
    <s v="RM 401"/>
    <n v="149.32"/>
    <n v="149.320000612787"/>
    <s v="PIL1/D/1296"/>
    <d v="2026-06-08T00:00:00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487347.07"/>
    <s v="SF"/>
    <s v="PP/PE Fabric"/>
    <x v="1"/>
    <s v="RM"/>
    <s v="erp"/>
    <n v="0"/>
    <n v="241749.08"/>
    <n v="405"/>
    <d v="2026-06-08T00:00:00"/>
    <s v="24AAACO3087C1ZT"/>
    <s v="storeppl"/>
    <s v="storeppl"/>
    <n v="9"/>
    <n v="21757.42"/>
    <n v="9"/>
    <n v="21757.42"/>
    <n v="0"/>
    <n v="0"/>
    <n v="0"/>
    <n v="692158393453"/>
    <d v="2026-08-06T00:00:00"/>
    <n v="1619"/>
  </r>
  <r>
    <s v="Plastene Polyfilms Limited"/>
    <d v="2026-07-08T00:00:00"/>
    <s v="PPL/26-27/SII01086"/>
    <s v="WIP00236"/>
    <s v="PP Braided Rope MW 6 to 8 GPM"/>
    <s v="PPL/RAW/26-27/398"/>
    <n v="26"/>
    <n v="26"/>
    <s v="Kgs"/>
    <n v="26"/>
    <n v="0"/>
    <n v="26"/>
    <s v="GJ12X1249"/>
    <s v="Plastene India ltd - Unit 1-Purchase"/>
    <s v="Plastene India ltd - Unit 1-Purchase"/>
    <s v="PIL1/D/1296"/>
    <d v="2026-06-08T00:00:00"/>
    <s v="RAW MATERIAL"/>
    <s v="INDIGENOUS"/>
    <s v="RM 401"/>
    <n v="158.82"/>
    <n v="158.820000651774"/>
    <s v="PIL1/D/1296"/>
    <d v="2026-06-08T00:00:00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487347.07"/>
    <s v="SF"/>
    <s v="Yarn All"/>
    <x v="9"/>
    <s v="RM"/>
    <s v="erp"/>
    <n v="0"/>
    <n v="4129.32"/>
    <n v="405"/>
    <d v="2026-06-08T00:00:00"/>
    <s v="24AAACO3087C1ZT"/>
    <s v="storeppl"/>
    <s v="storeppl"/>
    <n v="2.5"/>
    <n v="103.23"/>
    <n v="2.5"/>
    <n v="103.23"/>
    <n v="0"/>
    <n v="0"/>
    <n v="0"/>
    <n v="692158393453"/>
    <d v="2026-08-06T00:00:00"/>
    <n v="26"/>
  </r>
  <r>
    <s v="Plastene Polyfilms Limited"/>
    <d v="2026-07-08T00:00:00"/>
    <s v="PPL/26-27/SII01086"/>
    <s v="WIP00032"/>
    <s v="Webbing"/>
    <s v="PPL/RAW/26-27/398"/>
    <n v="222.3"/>
    <n v="222.3"/>
    <s v="Kgs"/>
    <n v="222.3"/>
    <n v="0"/>
    <n v="222.3"/>
    <s v="GJ12X1249"/>
    <s v="Plastene India ltd - Unit 1-Purchase"/>
    <s v="Plastene India ltd - Unit 1-Purchase"/>
    <s v="PIL1/D/1296"/>
    <d v="2026-06-08T00:00:00"/>
    <s v="RAW MATERIAL"/>
    <s v="INDIGENOUS"/>
    <s v="RM 401"/>
    <n v="144.32"/>
    <n v="144.320000592268"/>
    <s v="PIL1/D/1296"/>
    <d v="2026-06-08T00:00:00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487347.07"/>
    <s v="SF"/>
    <s v="Webbing"/>
    <x v="2"/>
    <s v="RM"/>
    <s v="erp"/>
    <n v="0"/>
    <n v="32082.34"/>
    <n v="405"/>
    <d v="2026-06-08T00:00:00"/>
    <s v="24AAACO3087C1ZT"/>
    <s v="storeppl"/>
    <s v="storeppl"/>
    <n v="9"/>
    <n v="2887.41"/>
    <n v="9"/>
    <n v="2887.41"/>
    <n v="0"/>
    <n v="0"/>
    <n v="0"/>
    <n v="692158393453"/>
    <d v="2026-08-06T00:00:00"/>
    <n v="222.3"/>
  </r>
  <r>
    <s v="Plastene Polyfilms Limited"/>
    <d v="2026-07-08T00:00:00"/>
    <s v="PPL/26-27/SII01086"/>
    <s v="WIP00032"/>
    <s v="Webbing"/>
    <s v="PPL/RAW/26-27/398"/>
    <n v="529.6"/>
    <n v="529.6"/>
    <s v="Kgs"/>
    <n v="529.6"/>
    <n v="0"/>
    <n v="529.6"/>
    <s v="GJ12X1249"/>
    <s v="Plastene India ltd - Unit 1-Purchase"/>
    <s v="Plastene India ltd - Unit 1-Purchase"/>
    <s v="PIL1/D/1296"/>
    <d v="2026-06-08T00:00:00"/>
    <s v="RAW MATERIAL"/>
    <s v="INDIGENOUS"/>
    <s v="RM 401"/>
    <n v="147.32"/>
    <n v="147.32000060457901"/>
    <s v="PIL1/D/1296"/>
    <d v="2026-06-08T00:00:00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487347.07"/>
    <s v="SF"/>
    <s v="Webbing"/>
    <x v="2"/>
    <s v="RM"/>
    <s v="erp"/>
    <n v="0"/>
    <n v="78020.67"/>
    <n v="405"/>
    <d v="2026-06-08T00:00:00"/>
    <s v="24AAACO3087C1ZT"/>
    <s v="storeppl"/>
    <s v="storeppl"/>
    <n v="9"/>
    <n v="7021.86"/>
    <n v="9"/>
    <n v="7021.86"/>
    <n v="0"/>
    <n v="0"/>
    <n v="0"/>
    <n v="692158393453"/>
    <d v="2026-08-06T00:00:00"/>
    <n v="529.6"/>
  </r>
  <r>
    <s v="Plastene Polyfilms Limited"/>
    <d v="2026-07-08T00:00:00"/>
    <s v="PPL/26-27/SII01087"/>
    <s v="WIP00236"/>
    <s v="PP Braided Rope MW 6 to 8 GPM"/>
    <s v="PPL/RAW/26-27/399"/>
    <n v="32.6"/>
    <n v="32.6"/>
    <s v="Kgs"/>
    <n v="32.6"/>
    <n v="0"/>
    <n v="32.6"/>
    <s v="GJ12X1249"/>
    <s v="Plastene India ltd - Unit 1-Purchase"/>
    <s v="Plastene India ltd - Unit 1-Purchase"/>
    <s v="PIL1/D/1304"/>
    <d v="2026-07-08T00:00:00"/>
    <s v="RAW MATERIAL"/>
    <s v="INDIGENOUS"/>
    <s v="RM 402"/>
    <n v="158.82"/>
    <n v="158.82"/>
    <s v="PIL1/D/1304"/>
    <d v="2026-07-08T00:00:00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1167014.02"/>
    <s v="SF"/>
    <s v="Yarn All"/>
    <x v="9"/>
    <s v="RM"/>
    <s v="erp"/>
    <n v="0"/>
    <n v="5177.53"/>
    <n v="406"/>
    <d v="2026-07-08T00:00:00"/>
    <s v="24AAACO3087C1ZT"/>
    <s v="storeppl"/>
    <s v="storeppl"/>
    <n v="2.5"/>
    <n v="129.44"/>
    <n v="2.5"/>
    <n v="129.44"/>
    <n v="0"/>
    <n v="0"/>
    <n v="1167014.02"/>
    <n v="662158883942"/>
    <d v="2026-08-07T00:00:00"/>
    <n v="32.6"/>
  </r>
  <r>
    <s v="Plastene Polyfilms Limited"/>
    <d v="2026-07-08T00:00:00"/>
    <s v="PPL/26-27/SII01087"/>
    <s v="WIP00025"/>
    <s v="PP Lam Fabric With UV"/>
    <s v="PPL/RAW/26-27/399"/>
    <n v="4875"/>
    <n v="4875"/>
    <s v="Kgs"/>
    <n v="4875"/>
    <n v="0"/>
    <n v="4875"/>
    <s v="GJ12X1249"/>
    <s v="Plastene India ltd - Unit 1-Purchase"/>
    <s v="Plastene India ltd - Unit 1-Purchase"/>
    <s v="PIL1/D/1304"/>
    <d v="2026-07-08T00:00:00"/>
    <s v="RAW MATERIAL"/>
    <s v="INDIGENOUS"/>
    <s v="RM 402"/>
    <n v="149.32"/>
    <n v="149.32"/>
    <s v="PIL1/D/1304"/>
    <d v="2026-07-08T00:00:00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1167014.02"/>
    <s v="SF"/>
    <s v="PP/PE Fabric"/>
    <x v="1"/>
    <s v="RM"/>
    <s v="erp"/>
    <n v="0"/>
    <n v="727935"/>
    <n v="406"/>
    <d v="2026-07-08T00:00:00"/>
    <s v="24AAACO3087C1ZT"/>
    <s v="storeppl"/>
    <s v="storeppl"/>
    <n v="9"/>
    <n v="65514.15"/>
    <n v="9"/>
    <n v="65514.15"/>
    <n v="0"/>
    <n v="0"/>
    <n v="0"/>
    <n v="662158883942"/>
    <d v="2026-08-07T00:00:00"/>
    <n v="4875"/>
  </r>
  <r>
    <s v="Plastene Polyfilms Limited"/>
    <d v="2026-07-08T00:00:00"/>
    <s v="PPL/26-27/SII01087"/>
    <s v="WIP00032"/>
    <s v="Webbing"/>
    <s v="PPL/RAW/26-27/399"/>
    <n v="845.4"/>
    <n v="845.4"/>
    <s v="Kgs"/>
    <n v="845.4"/>
    <n v="0"/>
    <n v="845.4"/>
    <s v="GJ12X1249"/>
    <s v="Plastene India ltd - Unit 1-Purchase"/>
    <s v="Plastene India ltd - Unit 1-Purchase"/>
    <s v="PIL1/D/1304"/>
    <d v="2026-07-08T00:00:00"/>
    <s v="RAW MATERIAL"/>
    <s v="INDIGENOUS"/>
    <s v="RM 402"/>
    <n v="147.32"/>
    <n v="147.32"/>
    <s v="PIL1/D/1304"/>
    <d v="2026-07-08T00:00:00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1167014.02"/>
    <s v="SF"/>
    <s v="Webbing"/>
    <x v="2"/>
    <s v="RM"/>
    <s v="erp"/>
    <n v="0"/>
    <n v="124544.33"/>
    <n v="406"/>
    <d v="2026-07-08T00:00:00"/>
    <s v="24AAACO3087C1ZT"/>
    <s v="storeppl"/>
    <s v="storeppl"/>
    <n v="9"/>
    <n v="11208.99"/>
    <n v="9"/>
    <n v="11208.99"/>
    <n v="0"/>
    <n v="0"/>
    <n v="0"/>
    <n v="662158883942"/>
    <d v="2026-08-07T00:00:00"/>
    <n v="845.4"/>
  </r>
  <r>
    <s v="Plastene Polyfilms Limited"/>
    <d v="2026-07-08T00:00:00"/>
    <s v="PPL/26-27/SII01087"/>
    <s v="WIP00032"/>
    <s v="Webbing"/>
    <s v="PPL/RAW/26-27/399"/>
    <n v="914"/>
    <n v="914"/>
    <s v="Kgs"/>
    <n v="914"/>
    <n v="0"/>
    <n v="914"/>
    <s v="GJ12X1249"/>
    <s v="Plastene India ltd - Unit 1-Purchase"/>
    <s v="Plastene India ltd - Unit 1-Purchase"/>
    <s v="PIL1/D/1304"/>
    <d v="2026-07-08T00:00:00"/>
    <s v="RAW MATERIAL"/>
    <s v="INDIGENOUS"/>
    <s v="RM 402"/>
    <n v="144.32"/>
    <n v="144.32"/>
    <s v="PIL1/D/1304"/>
    <d v="2026-07-08T00:00:00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1167014.02"/>
    <s v="SF"/>
    <s v="Webbing"/>
    <x v="2"/>
    <s v="RM"/>
    <s v="erp"/>
    <n v="0"/>
    <n v="131908.48000000001"/>
    <n v="406"/>
    <d v="2026-07-08T00:00:00"/>
    <s v="24AAACO3087C1ZT"/>
    <s v="storeppl"/>
    <s v="storeppl"/>
    <n v="9"/>
    <n v="11871.76"/>
    <n v="9"/>
    <n v="11871.76"/>
    <n v="0"/>
    <n v="0"/>
    <n v="0"/>
    <n v="662158883942"/>
    <d v="2026-08-07T00:00:00"/>
    <n v="914"/>
  </r>
  <r>
    <s v="Plastene Polyfilms Limited"/>
    <d v="2026-08-08T00:00:00"/>
    <s v="PPL/26-27/SII01091"/>
    <s v="WIP00022"/>
    <s v="Filler Cord"/>
    <s v="PPL/RAW/26-27/401"/>
    <n v="5267.57"/>
    <n v="5267.57"/>
    <s v="Kgs"/>
    <n v="5267.57"/>
    <n v="0"/>
    <n v="5267.57"/>
    <s v="GJ12BZ3414"/>
    <s v="Plastene India ltd - Unit 2-Purchase"/>
    <s v="Plastene India ltd - Unit 2-Purchase"/>
    <s v="PIL2/D/468"/>
    <d v="2026-08-08T00:00:00"/>
    <s v="RAW MATERIAL"/>
    <s v="INDIGENOUS"/>
    <s v="RM 403"/>
    <n v="136.34"/>
    <n v="136.33999931295699"/>
    <s v="PIL2/D/468"/>
    <d v="2026-08-08T00:00:00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754089.51"/>
    <s v="SF"/>
    <s v="Yarn All"/>
    <x v="9"/>
    <s v="RM"/>
    <s v="erp"/>
    <n v="0"/>
    <n v="718180.49"/>
    <n v="412"/>
    <d v="2026-08-08T00:00:00"/>
    <s v="24AAACO3087C1ZT"/>
    <s v="storeppl"/>
    <s v="storeppl"/>
    <n v="2.5"/>
    <n v="17954.509999999998"/>
    <n v="2.5"/>
    <n v="17954.509999999998"/>
    <n v="0"/>
    <n v="0"/>
    <n v="754089.51"/>
    <n v="0"/>
    <d v="2026-08-08T00:00:00"/>
    <n v="5267.57"/>
  </r>
  <r>
    <s v="Plastene Polyfilms Limited"/>
    <d v="2026-08-08T00:00:00"/>
    <s v="PPL/26-27/SII01092"/>
    <s v="WIP00032"/>
    <s v="Webbing"/>
    <s v="PPL/RAW/26-27/402"/>
    <n v="206.6"/>
    <n v="206.6"/>
    <s v="Kgs"/>
    <n v="206.6"/>
    <n v="0"/>
    <n v="206.6"/>
    <s v="GJ09Z0572"/>
    <s v="Plastene India ltd - Unit 1-Purchase"/>
    <s v="Plastene India ltd - Unit 1-Purchase"/>
    <s v="PIL1/D/1310"/>
    <d v="2026-08-08T00:00:00"/>
    <s v="RAW MATERIAL"/>
    <s v="INDIGENOUS"/>
    <s v="RM 404"/>
    <n v="165.32"/>
    <n v="165.319997076514"/>
    <s v="PIL1/D/1310"/>
    <d v="2026-08-08T00:00:00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226195.68"/>
    <s v="SF"/>
    <s v="Webbing"/>
    <x v="2"/>
    <s v="RM"/>
    <s v="erp"/>
    <n v="0"/>
    <n v="34155.11"/>
    <n v="409"/>
    <d v="2026-08-08T00:00:00"/>
    <s v="24AAACO3087C1ZT"/>
    <s v="storeppl"/>
    <s v="storeppl"/>
    <n v="9"/>
    <n v="3073.96"/>
    <n v="9"/>
    <n v="3073.96"/>
    <n v="0"/>
    <n v="0"/>
    <n v="226195.68"/>
    <n v="682159447024"/>
    <d v="2026-08-08T00:00:00"/>
    <n v="206.6"/>
  </r>
  <r>
    <s v="Plastene Polyfilms Limited"/>
    <d v="2026-08-08T00:00:00"/>
    <s v="PPL/26-27/SII01092"/>
    <s v="WIP00032"/>
    <s v="Webbing"/>
    <s v="PPL/RAW/26-27/402"/>
    <n v="773.6"/>
    <n v="773.6"/>
    <s v="Kgs"/>
    <n v="773.6"/>
    <n v="0"/>
    <n v="773.6"/>
    <s v="GJ09Z0572"/>
    <s v="Plastene India ltd - Unit 1-Purchase"/>
    <s v="Plastene India ltd - Unit 1-Purchase"/>
    <s v="PIL1/D/1310"/>
    <d v="2026-08-08T00:00:00"/>
    <s v="RAW MATERIAL"/>
    <s v="INDIGENOUS"/>
    <s v="RM 404"/>
    <n v="144.32"/>
    <n v="144.31999744787299"/>
    <s v="PIL1/D/1310"/>
    <d v="2026-08-08T00:00:00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226195.68"/>
    <s v="SF"/>
    <s v="Webbing"/>
    <x v="2"/>
    <s v="RM"/>
    <s v="erp"/>
    <n v="0"/>
    <n v="111645.95"/>
    <n v="409"/>
    <d v="2026-08-08T00:00:00"/>
    <s v="24AAACO3087C1ZT"/>
    <s v="storeppl"/>
    <s v="storeppl"/>
    <n v="9"/>
    <n v="10048.14"/>
    <n v="9"/>
    <n v="10048.14"/>
    <n v="0"/>
    <n v="0"/>
    <n v="0"/>
    <n v="682159447024"/>
    <d v="2026-08-08T00:00:00"/>
    <n v="773.6"/>
  </r>
  <r>
    <s v="Plastene Polyfilms Limited"/>
    <d v="2026-08-08T00:00:00"/>
    <s v="PPL/26-27/SII01092"/>
    <s v="WIP00032"/>
    <s v="Webbing"/>
    <s v="PPL/RAW/26-27/402"/>
    <n v="311.5"/>
    <n v="311.5"/>
    <s v="Kgs"/>
    <n v="311.5"/>
    <n v="0"/>
    <n v="311.5"/>
    <s v="GJ09Z0572"/>
    <s v="Plastene India ltd - Unit 1-Purchase"/>
    <s v="Plastene India ltd - Unit 1-Purchase"/>
    <s v="PIL1/D/1310"/>
    <d v="2026-08-08T00:00:00"/>
    <s v="RAW MATERIAL"/>
    <s v="INDIGENOUS"/>
    <s v="RM 404"/>
    <n v="147.32"/>
    <n v="147.319997394822"/>
    <s v="PIL1/D/1310"/>
    <d v="2026-08-08T00:00:00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226195.68"/>
    <s v="SF"/>
    <s v="Webbing"/>
    <x v="2"/>
    <s v="RM"/>
    <s v="erp"/>
    <n v="0"/>
    <n v="45890.18"/>
    <n v="409"/>
    <d v="2026-08-08T00:00:00"/>
    <s v="24AAACO3087C1ZT"/>
    <s v="storeppl"/>
    <s v="storeppl"/>
    <n v="9"/>
    <n v="4130.12"/>
    <n v="9"/>
    <n v="4130.12"/>
    <n v="0"/>
    <n v="0"/>
    <n v="0"/>
    <n v="682159447024"/>
    <d v="2026-08-08T00:00:00"/>
    <n v="311.5"/>
  </r>
  <r>
    <s v="Plastene Polyfilms Limited"/>
    <d v="2026-08-08T00:00:00"/>
    <s v="PPL/26-27/SII01093"/>
    <s v="WIP00003"/>
    <s v="FIBC Bags With UV With Liner"/>
    <s v="PPL/RAW/26-27/403"/>
    <n v="3171"/>
    <n v="3171"/>
    <s v="Kgs"/>
    <n v="3171"/>
    <n v="0"/>
    <n v="3171"/>
    <s v="GJ09Z0572"/>
    <s v="Hcp Plastene Bulkpack Ltd (Unit-Iv) - Purchase"/>
    <s v="Hcp Plastene Bulkpack Ltd (Unit-Iv) - Purchase"/>
    <s v="HPBL4/D/204"/>
    <d v="2026-08-08T00:00:00"/>
    <s v="RAW MATERIAL"/>
    <s v="INDIGENOUS"/>
    <s v="RM 405"/>
    <n v="252.37"/>
    <n v="252.37"/>
    <s v="HPBL4/D/204"/>
    <d v="2026-08-08T00:00:00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1681599.03"/>
    <s v="FG"/>
    <s v="FIBC Bags"/>
    <x v="7"/>
    <s v="RM"/>
    <s v="erp"/>
    <n v="0"/>
    <n v="800265.27"/>
    <n v="413"/>
    <d v="2026-08-08T00:00:00"/>
    <s v="24AABCG1282C2Z6"/>
    <s v="storeppl"/>
    <s v="storeppl"/>
    <n v="9"/>
    <n v="72023.87"/>
    <n v="9"/>
    <n v="72023.87"/>
    <n v="0"/>
    <n v="0"/>
    <n v="1681599.03"/>
    <n v="652159463021"/>
    <d v="2026-08-08T00:00:00"/>
    <n v="3171"/>
  </r>
  <r>
    <s v="Plastene Polyfilms Limited"/>
    <d v="2026-08-08T00:00:00"/>
    <s v="PPL/26-27/SII01093"/>
    <s v="WIP00003"/>
    <s v="FIBC Bags With UV With Liner"/>
    <s v="PPL/RAW/26-27/403"/>
    <n v="1633"/>
    <n v="1633"/>
    <s v="Kgs"/>
    <n v="1633"/>
    <n v="0"/>
    <n v="1633"/>
    <s v="GJ09Z0572"/>
    <s v="Hcp Plastene Bulkpack Ltd (Unit-Iv) - Purchase"/>
    <s v="Hcp Plastene Bulkpack Ltd (Unit-Iv) - Purchase"/>
    <s v="HPBL4/D/204"/>
    <d v="2026-08-08T00:00:00"/>
    <s v="RAW MATERIAL"/>
    <s v="INDIGENOUS"/>
    <s v="RM 405"/>
    <n v="254.36"/>
    <n v="254.36"/>
    <s v="HPBL4/D/204"/>
    <d v="2026-08-08T00:00:00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1681599.03"/>
    <s v="FG"/>
    <s v="FIBC Bags"/>
    <x v="7"/>
    <s v="RM"/>
    <s v="erp"/>
    <n v="0"/>
    <n v="415369.88"/>
    <n v="413"/>
    <d v="2026-08-08T00:00:00"/>
    <s v="24AABCG1282C2Z6"/>
    <s v="storeppl"/>
    <s v="storeppl"/>
    <n v="9"/>
    <n v="37383.29"/>
    <n v="9"/>
    <n v="37383.29"/>
    <n v="0"/>
    <n v="0"/>
    <n v="0"/>
    <n v="652159463021"/>
    <d v="2026-08-08T00:00:00"/>
    <n v="1633"/>
  </r>
  <r>
    <s v="Plastene Polyfilms Limited"/>
    <d v="2026-08-08T00:00:00"/>
    <s v="PPL/26-27/SII01093"/>
    <s v="WIP00003"/>
    <s v="FIBC Bags With UV With Liner"/>
    <s v="PPL/RAW/26-27/403"/>
    <n v="807"/>
    <n v="807"/>
    <s v="Kgs"/>
    <n v="807"/>
    <n v="0"/>
    <n v="807"/>
    <s v="GJ09Z0572"/>
    <s v="Hcp Plastene Bulkpack Ltd (Unit-Iv) - Purchase"/>
    <s v="Hcp Plastene Bulkpack Ltd (Unit-Iv) - Purchase"/>
    <s v="HPBL4/D/204"/>
    <d v="2026-08-08T00:00:00"/>
    <s v="RAW MATERIAL"/>
    <s v="INDIGENOUS"/>
    <s v="RM 405"/>
    <n v="259.54000000000002"/>
    <n v="259.54000000000002"/>
    <s v="HPBL4/D/204"/>
    <d v="2026-08-08T00:00:00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1681599.03"/>
    <s v="FG"/>
    <s v="FIBC Bags"/>
    <x v="7"/>
    <s v="RM"/>
    <s v="erp"/>
    <n v="0"/>
    <n v="209448.78"/>
    <n v="413"/>
    <d v="2026-08-08T00:00:00"/>
    <s v="24AABCG1282C2Z6"/>
    <s v="storeppl"/>
    <s v="storeppl"/>
    <n v="9"/>
    <n v="18850.39"/>
    <n v="9"/>
    <n v="18850.39"/>
    <n v="0"/>
    <n v="0"/>
    <n v="0"/>
    <n v="652159463021"/>
    <d v="2026-08-08T00:00:00"/>
    <n v="807"/>
  </r>
  <r>
    <s v="Plastene Polyfilms Limited"/>
    <d v="2026-08-08T00:00:00"/>
    <s v="PPL/26-27/SII01094"/>
    <s v="WIP00223"/>
    <s v="PP Lam Fabric CutPcs With UV"/>
    <s v="PPL/RAW/26-27/404"/>
    <n v="330"/>
    <n v="330"/>
    <s v="Kgs"/>
    <n v="330"/>
    <n v="0"/>
    <n v="330"/>
    <s v="GJ16Z8614"/>
    <s v="Plastene India ltd - Unit 2-Purchase"/>
    <s v="Plastene India ltd - Unit 2-Purchase"/>
    <s v="PIL2/D/457"/>
    <d v="2026-06-08T00:00:00"/>
    <s v="RAW MATERIAL"/>
    <s v="INDIGENOUS"/>
    <s v="RM 406"/>
    <n v="251.37"/>
    <n v="251.37"/>
    <s v="PIL2/D/457"/>
    <d v="2026-06-08T00:00:00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178885.33"/>
    <s v="SF"/>
    <s v="PP/PE Fabric"/>
    <x v="8"/>
    <s v="RM"/>
    <s v="erp"/>
    <n v="0"/>
    <n v="82952.100000000006"/>
    <n v="408"/>
    <d v="2026-08-08T00:00:00"/>
    <s v="24AAACO3087C1ZT"/>
    <s v="storeppl"/>
    <s v="storeppl"/>
    <n v="9"/>
    <n v="7465.69"/>
    <n v="9"/>
    <n v="7465.69"/>
    <n v="0"/>
    <n v="0"/>
    <n v="178885.33"/>
    <n v="632158341438"/>
    <d v="2026-08-06T00:00:00"/>
    <n v="330"/>
  </r>
  <r>
    <s v="Plastene Polyfilms Limited"/>
    <d v="2026-08-08T00:00:00"/>
    <s v="PPL/26-27/SII01094"/>
    <s v="WIP00223"/>
    <s v="PP Lam Fabric CutPcs With UV"/>
    <s v="PPL/RAW/26-27/404"/>
    <n v="263"/>
    <n v="263"/>
    <s v="Kgs"/>
    <n v="263"/>
    <n v="0"/>
    <n v="263"/>
    <s v="GJ16Z8614"/>
    <s v="Plastene India ltd - Unit 2-Purchase"/>
    <s v="Plastene India ltd - Unit 2-Purchase"/>
    <s v="PIL2/D/457"/>
    <d v="2026-06-08T00:00:00"/>
    <s v="RAW MATERIAL"/>
    <s v="INDIGENOUS"/>
    <s v="RM 406"/>
    <n v="261.01"/>
    <n v="261.01"/>
    <s v="PIL2/D/457"/>
    <d v="2026-06-08T00:00:00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178885.33"/>
    <s v="SF"/>
    <s v="PP/PE Fabric"/>
    <x v="8"/>
    <s v="RM"/>
    <s v="erp"/>
    <n v="0"/>
    <n v="68645.63"/>
    <n v="408"/>
    <d v="2026-08-08T00:00:00"/>
    <s v="24AAACO3087C1ZT"/>
    <s v="storeppl"/>
    <s v="storeppl"/>
    <n v="9"/>
    <n v="6178.11"/>
    <n v="9"/>
    <n v="6178.11"/>
    <n v="0"/>
    <n v="0"/>
    <n v="0"/>
    <n v="632158341438"/>
    <d v="2026-08-06T00:00:00"/>
    <n v="263"/>
  </r>
  <r>
    <s v="Plastene Polyfilms Limited"/>
    <d v="2026-08-08T00:00:00"/>
    <s v="PPL/26-27/SII01095"/>
    <s v="WIP00032"/>
    <s v="Webbing"/>
    <s v="PPL/RAW/26-27/405"/>
    <n v="50"/>
    <n v="50"/>
    <s v="Kgs"/>
    <n v="50"/>
    <n v="0"/>
    <n v="50"/>
    <s v="GJ16Z8614"/>
    <s v="K.P. Woven Pvt Ltd-Purchase"/>
    <s v="K.P. Woven Pvt Ltd-Purchase"/>
    <s v="KPV/D/568"/>
    <d v="2026-07-08T00:00:00"/>
    <s v="RAW MATERIAL"/>
    <s v="INDIGENOUS"/>
    <s v="RM 407"/>
    <n v="160.4"/>
    <n v="160.4"/>
    <s v="KPV/D/568"/>
    <d v="2026-07-08T00:00:00"/>
    <m/>
    <n v="0"/>
    <m/>
    <s v="SHREENA  ROADWAYS"/>
    <n v="2655"/>
    <n v="0"/>
    <n v="0"/>
    <n v="0"/>
    <n v="0"/>
    <n v="0"/>
    <s v="VAT"/>
    <n v="0"/>
    <n v="0"/>
    <n v="0"/>
    <n v="0"/>
    <n v="0"/>
    <m/>
    <n v="0"/>
    <n v="0"/>
    <n v="751429.26"/>
    <s v="SF"/>
    <s v="Webbing"/>
    <x v="2"/>
    <s v="RM"/>
    <s v="erp"/>
    <n v="0"/>
    <n v="8020"/>
    <n v="407"/>
    <d v="2026-08-08T00:00:00"/>
    <s v="24AAECK6307M1ZF"/>
    <s v="storeppl"/>
    <s v="storeppl"/>
    <n v="9"/>
    <n v="721.8"/>
    <n v="9"/>
    <n v="721.8"/>
    <n v="0"/>
    <n v="0"/>
    <n v="751429.26"/>
    <n v="652159211219"/>
    <d v="2026-08-07T00:00:00"/>
    <n v="50"/>
  </r>
  <r>
    <s v="Plastene Polyfilms Limited"/>
    <d v="2026-08-08T00:00:00"/>
    <s v="PPL/26-27/SII01095"/>
    <s v="SMF00275"/>
    <s v="Ground Cover Fabric"/>
    <s v="PPL/RAW/26-27/405"/>
    <n v="2712.4"/>
    <n v="2712.4"/>
    <s v="Kgs"/>
    <n v="2712.4"/>
    <n v="0"/>
    <n v="2712.4"/>
    <s v="GJ16Z8614"/>
    <s v="K.P. Woven Pvt Ltd-Purchase"/>
    <s v="K.P. Woven Pvt Ltd-Purchase"/>
    <s v="KPV/D/568"/>
    <d v="2026-07-08T00:00:00"/>
    <s v="RAW MATERIAL"/>
    <s v="INDIGENOUS"/>
    <s v="RM 407"/>
    <n v="166.4"/>
    <n v="166.4"/>
    <s v="KPV/D/568"/>
    <d v="2026-07-08T00:00:00"/>
    <m/>
    <n v="0"/>
    <m/>
    <s v="SHREENA  ROADWAYS"/>
    <n v="2655"/>
    <n v="0"/>
    <n v="0"/>
    <n v="0"/>
    <n v="0"/>
    <n v="0"/>
    <s v="VAT"/>
    <n v="0"/>
    <n v="0"/>
    <n v="0"/>
    <n v="0"/>
    <n v="0"/>
    <m/>
    <n v="0"/>
    <n v="0"/>
    <n v="751429.26"/>
    <s v="SF"/>
    <s v="PP/PE Fabric"/>
    <x v="0"/>
    <s v="RM"/>
    <m/>
    <n v="0"/>
    <n v="451343.35999999999"/>
    <n v="407"/>
    <d v="2026-08-08T00:00:00"/>
    <s v="24AAECK6307M1ZF"/>
    <s v="storeppl"/>
    <s v="storeppl"/>
    <n v="9"/>
    <n v="40620.9"/>
    <n v="9"/>
    <n v="40620.9"/>
    <n v="0"/>
    <n v="0"/>
    <n v="0"/>
    <n v="652159211219"/>
    <d v="2026-08-07T00:00:00"/>
    <n v="2712.4"/>
  </r>
  <r>
    <s v="Plastene Polyfilms Limited"/>
    <d v="2026-08-08T00:00:00"/>
    <s v="PPL/26-27/SII01095"/>
    <s v="SMF00054"/>
    <s v="PP Fibrillated Tape Twisted 3200 MW"/>
    <s v="PPL/RAW/26-27/405"/>
    <n v="1275"/>
    <n v="1275"/>
    <s v="Kgs"/>
    <n v="1275"/>
    <n v="0"/>
    <n v="1275"/>
    <s v="GJ16Z8614"/>
    <s v="K.P. Woven Pvt Ltd-Purchase"/>
    <s v="K.P. Woven Pvt Ltd-Purchase"/>
    <s v="KPV/D/568"/>
    <d v="2026-07-08T00:00:00"/>
    <s v="RAW MATERIAL"/>
    <s v="INDIGENOUS"/>
    <s v="RM 407"/>
    <n v="156.4"/>
    <n v="156.4"/>
    <s v="KPV/D/568"/>
    <d v="2026-07-08T00:00:00"/>
    <m/>
    <n v="0"/>
    <m/>
    <s v="SHREENA  ROADWAYS"/>
    <n v="2655"/>
    <n v="0"/>
    <n v="0"/>
    <n v="0"/>
    <n v="0"/>
    <n v="0"/>
    <s v="VAT"/>
    <n v="0"/>
    <n v="0"/>
    <n v="0"/>
    <n v="0"/>
    <n v="0"/>
    <m/>
    <n v="0"/>
    <n v="0"/>
    <n v="751429.26"/>
    <s v="SF"/>
    <s v="Yarn All"/>
    <x v="9"/>
    <s v="RM"/>
    <s v="erp"/>
    <n v="0"/>
    <n v="199410"/>
    <n v="407"/>
    <d v="2026-08-08T00:00:00"/>
    <s v="24AAECK6307M1ZF"/>
    <s v="storeppl"/>
    <s v="storeppl"/>
    <n v="2.5"/>
    <n v="4985.25"/>
    <n v="2.5"/>
    <n v="4985.25"/>
    <n v="0"/>
    <n v="0"/>
    <n v="0"/>
    <n v="652159211219"/>
    <d v="2026-08-07T00:00:00"/>
    <n v="1275"/>
  </r>
  <r>
    <s v="Plastene Polyfilms Limited"/>
    <d v="2026-08-08T00:00:00"/>
    <s v="PPL/26-27/SII01096"/>
    <s v="WIP00004"/>
    <s v="FIBC Bags With UV Without Liner"/>
    <s v="PPL/RAW/26-27/406"/>
    <n v="1656"/>
    <n v="1656"/>
    <s v="Kgs"/>
    <n v="1656"/>
    <n v="0"/>
    <n v="1656"/>
    <s v="GJ24X5687"/>
    <s v="Plastene India ltd - Unit 2-Purchase"/>
    <s v="Plastene India ltd - Unit 2-Purchase"/>
    <s v="PIL2/D/467"/>
    <d v="2026-07-08T00:00:00"/>
    <s v="RAW MATERIAL"/>
    <s v="INDIGENOUS"/>
    <s v="RM 408"/>
    <n v="219.27"/>
    <n v="219.27"/>
    <s v="PIL2/D/467"/>
    <d v="2026-07-08T00:00:00"/>
    <m/>
    <n v="0"/>
    <m/>
    <s v="SHREENA ROADWAYS"/>
    <n v="2563"/>
    <n v="0"/>
    <n v="0"/>
    <n v="0"/>
    <n v="0"/>
    <n v="0"/>
    <s v="VAT"/>
    <n v="0"/>
    <n v="0"/>
    <n v="0"/>
    <n v="0"/>
    <n v="0"/>
    <m/>
    <n v="0"/>
    <n v="0"/>
    <n v="962594.01"/>
    <s v="FG"/>
    <s v="FIBC Bags"/>
    <x v="7"/>
    <s v="RM"/>
    <s v="erp"/>
    <n v="0"/>
    <n v="363111.12"/>
    <n v="411"/>
    <d v="2026-08-08T00:00:00"/>
    <s v="24AAACO3087C1ZT"/>
    <s v="storeppl"/>
    <s v="storeppl"/>
    <n v="9"/>
    <n v="32680"/>
    <n v="9"/>
    <n v="32680"/>
    <n v="0"/>
    <n v="0"/>
    <n v="962594.01"/>
    <n v="692159163110"/>
    <d v="2026-08-07T00:00:00"/>
    <n v="1656"/>
  </r>
  <r>
    <s v="Plastene Polyfilms Limited"/>
    <d v="2026-08-08T00:00:00"/>
    <s v="PPL/26-27/SII01096"/>
    <s v="WIP00004"/>
    <s v="FIBC Bags With UV Without Liner"/>
    <s v="PPL/RAW/26-27/406"/>
    <n v="1239"/>
    <n v="1239"/>
    <s v="Kgs"/>
    <n v="1239"/>
    <n v="0"/>
    <n v="1239"/>
    <s v="GJ24X5687"/>
    <s v="Plastene India ltd - Unit 2-Purchase"/>
    <s v="Plastene India ltd - Unit 2-Purchase"/>
    <s v="PIL2/D/467"/>
    <d v="2026-07-08T00:00:00"/>
    <s v="RAW MATERIAL"/>
    <s v="INDIGENOUS"/>
    <s v="RM 408"/>
    <n v="222.98"/>
    <n v="222.98"/>
    <s v="PIL2/D/467"/>
    <d v="2026-07-08T00:00:00"/>
    <m/>
    <n v="0"/>
    <m/>
    <s v="SHREENA ROADWAYS"/>
    <n v="2563"/>
    <n v="0"/>
    <n v="0"/>
    <n v="0"/>
    <n v="0"/>
    <n v="0"/>
    <s v="VAT"/>
    <n v="0"/>
    <n v="0"/>
    <n v="0"/>
    <n v="0"/>
    <n v="0"/>
    <m/>
    <n v="0"/>
    <n v="0"/>
    <n v="962594.01"/>
    <s v="FG"/>
    <s v="FIBC Bags"/>
    <x v="7"/>
    <s v="RM"/>
    <s v="erp"/>
    <n v="0"/>
    <n v="276272.21999999997"/>
    <n v="411"/>
    <d v="2026-08-08T00:00:00"/>
    <s v="24AAACO3087C1ZT"/>
    <s v="storeppl"/>
    <s v="storeppl"/>
    <n v="9"/>
    <n v="24864.5"/>
    <n v="9"/>
    <n v="24864.5"/>
    <n v="0"/>
    <n v="0"/>
    <n v="0"/>
    <n v="692159163110"/>
    <d v="2026-08-07T00:00:00"/>
    <n v="1239"/>
  </r>
  <r>
    <s v="Plastene Polyfilms Limited"/>
    <d v="2026-08-08T00:00:00"/>
    <s v="PPL/26-27/SII01096"/>
    <s v="WIP00004"/>
    <s v="FIBC Bags With UV Without Liner"/>
    <s v="PPL/RAW/26-27/406"/>
    <n v="827"/>
    <n v="827"/>
    <s v="Kgs"/>
    <n v="827"/>
    <n v="0"/>
    <n v="827"/>
    <s v="GJ24X5687"/>
    <s v="Plastene India ltd - Unit 2-Purchase"/>
    <s v="Plastene India ltd - Unit 2-Purchase"/>
    <s v="PIL2/D/467"/>
    <d v="2026-07-08T00:00:00"/>
    <s v="RAW MATERIAL"/>
    <s v="INDIGENOUS"/>
    <s v="RM 408"/>
    <n v="213.27"/>
    <n v="213.27"/>
    <s v="PIL2/D/467"/>
    <d v="2026-07-08T00:00:00"/>
    <m/>
    <n v="0"/>
    <m/>
    <s v="SHREENA ROADWAYS"/>
    <n v="2563"/>
    <n v="0"/>
    <n v="0"/>
    <n v="0"/>
    <n v="0"/>
    <n v="0"/>
    <s v="VAT"/>
    <n v="0"/>
    <n v="0"/>
    <n v="0"/>
    <n v="0"/>
    <n v="0"/>
    <m/>
    <n v="0"/>
    <n v="0"/>
    <n v="962594.01"/>
    <s v="FG"/>
    <s v="FIBC Bags"/>
    <x v="7"/>
    <s v="RM"/>
    <s v="erp"/>
    <n v="0"/>
    <n v="176374.29"/>
    <n v="411"/>
    <d v="2026-08-08T00:00:00"/>
    <s v="24AAACO3087C1ZT"/>
    <s v="storeppl"/>
    <s v="storeppl"/>
    <n v="9"/>
    <n v="15873.69"/>
    <n v="9"/>
    <n v="15873.69"/>
    <n v="0"/>
    <n v="0"/>
    <n v="0"/>
    <n v="692159163110"/>
    <d v="2026-08-07T00:00:00"/>
    <n v="827"/>
  </r>
  <r>
    <s v="Plastene Polyfilms Limited"/>
    <d v="2026-08-08T00:00:00"/>
    <s v="PPL/26-27/SII01097"/>
    <s v="WIP00013"/>
    <s v="LDPE/LLDPE Bags/Liner"/>
    <s v="PPL/RAW/26-27/407"/>
    <n v="125"/>
    <n v="125"/>
    <s v="Kgs"/>
    <n v="125"/>
    <n v="0"/>
    <n v="125"/>
    <s v="GJ08AY4021"/>
    <s v="HCP Plastene Bulkpack Limited - Purchase"/>
    <s v="HCP Plastene Bulkpack Limited - Purchase"/>
    <s v="HPBL/D/467"/>
    <d v="2026-07-08T00:00:00"/>
    <s v="RAW MATERIAL"/>
    <s v="INDIGENOUS"/>
    <s v="RM 409"/>
    <n v="170.95"/>
    <n v="170.95"/>
    <s v="HPBL/D/467"/>
    <d v="2026-07-08T00:00:00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1002795.65"/>
    <s v="SF"/>
    <s v="Liners"/>
    <x v="5"/>
    <s v="RM"/>
    <s v="erp"/>
    <n v="0"/>
    <n v="21368.75"/>
    <n v="410"/>
    <d v="2026-08-08T00:00:00"/>
    <s v="24AABCG1282C2Z6"/>
    <s v="storeppl"/>
    <s v="storeppl"/>
    <n v="9"/>
    <n v="1923.19"/>
    <n v="9"/>
    <n v="1923.19"/>
    <n v="0"/>
    <n v="0"/>
    <n v="1002795.65"/>
    <n v="692158987694"/>
    <d v="2026-08-07T00:00:00"/>
    <n v="125"/>
  </r>
  <r>
    <s v="Plastene Polyfilms Limited"/>
    <d v="2026-08-08T00:00:00"/>
    <s v="PPL/26-27/SII01097"/>
    <s v="WIP00023"/>
    <s v="PP UL Fabric With UV"/>
    <s v="PPL/RAW/26-27/407"/>
    <n v="5294"/>
    <n v="5294"/>
    <s v="Kgs"/>
    <n v="5294"/>
    <n v="0"/>
    <n v="5294"/>
    <s v="GJ08AY4021"/>
    <s v="HCP Plastene Bulkpack Limited - Purchase"/>
    <s v="HCP Plastene Bulkpack Limited - Purchase"/>
    <s v="HPBL/D/467"/>
    <d v="2026-07-08T00:00:00"/>
    <s v="RAW MATERIAL"/>
    <s v="INDIGENOUS"/>
    <s v="RM 409"/>
    <n v="156.49"/>
    <n v="156.49"/>
    <s v="HPBL/D/467"/>
    <d v="2026-07-08T00:00:00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1002795.65"/>
    <s v="SF"/>
    <s v="PP/PE Fabric"/>
    <x v="0"/>
    <s v="RM"/>
    <s v="erp"/>
    <n v="0"/>
    <n v="828458.06"/>
    <n v="410"/>
    <d v="2026-08-08T00:00:00"/>
    <s v="24AABCG1282C2Z6"/>
    <s v="storeppl"/>
    <s v="storeppl"/>
    <n v="9"/>
    <n v="74561.23"/>
    <n v="9"/>
    <n v="74561.23"/>
    <n v="0"/>
    <n v="0"/>
    <n v="0"/>
    <n v="692158987694"/>
    <d v="2026-08-07T00:00:00"/>
    <n v="5294"/>
  </r>
  <r>
    <s v="Plastene Polyfilms Limited"/>
    <d v="2026-08-08T00:00:00"/>
    <s v="PPL/26-27/SII01098"/>
    <s v="RAW06013"/>
    <s v="Filler Soltex PTUFF23"/>
    <s v="PPL/RAW/26-27/408"/>
    <n v="10000"/>
    <n v="10000"/>
    <s v="Kgs"/>
    <n v="10000"/>
    <n v="0"/>
    <n v="10000"/>
    <s v="GJ02ZZ7923"/>
    <s v="Plastene India ltd - Unit 1-Purchase"/>
    <s v="Plastene India ltd - Unit 1-Purchase"/>
    <s v="PIL1/D/1311"/>
    <d v="2026-08-08T00:00:00"/>
    <s v="RAW MATERIAL"/>
    <s v="INDIGENOUS"/>
    <s v="RM 410"/>
    <n v="40.5"/>
    <n v="40.5"/>
    <s v="PIL1/D/1311"/>
    <d v="2026-08-08T00:00:00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477900"/>
    <s v="RM"/>
    <s v="Granules"/>
    <x v="12"/>
    <s v="RM"/>
    <s v="anil"/>
    <n v="0"/>
    <n v="405000"/>
    <n v="417"/>
    <d v="2026-08-08T00:00:00"/>
    <s v="24AAACO3087C1ZT"/>
    <s v="storeppl"/>
    <s v="storeppl"/>
    <n v="9"/>
    <n v="36450"/>
    <n v="9"/>
    <n v="36450"/>
    <n v="0"/>
    <n v="0"/>
    <n v="477900"/>
    <n v="662159460997"/>
    <d v="2026-08-08T00:00:00"/>
    <n v="10000"/>
  </r>
  <r>
    <s v="Plastene Polyfilms Limited"/>
    <d v="2026-08-08T00:00:00"/>
    <s v="PPL/26-27/SII01099"/>
    <s v="RAW06049"/>
    <s v="PP IOCL 1350EG"/>
    <s v="PPL/RAW/26-27/409"/>
    <n v="5000"/>
    <n v="5000"/>
    <s v="Kgs"/>
    <n v="5000"/>
    <n v="0"/>
    <n v="5000"/>
    <s v="GJ12X1249"/>
    <s v="Plastene India ltd - Unit 1-Purchase"/>
    <s v="Plastene India ltd - Unit 1-Purchase"/>
    <s v="PIL1/D/1318"/>
    <d v="2026-08-08T00:00:00"/>
    <s v="RAW MATERIAL"/>
    <s v="INDIGENOUS"/>
    <s v="RM 411"/>
    <n v="149.65"/>
    <n v="149.65"/>
    <s v="PIL1/D/1318"/>
    <d v="2026-08-08T00:00:00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882935"/>
    <s v="RM"/>
    <s v="Granules"/>
    <x v="4"/>
    <s v="RM"/>
    <s v="anil"/>
    <n v="0"/>
    <n v="748250"/>
    <n v="416"/>
    <d v="2026-08-08T00:00:00"/>
    <s v="24AAACO3087C1ZT"/>
    <s v="storeppl"/>
    <s v="storeppl"/>
    <n v="9"/>
    <n v="67342.5"/>
    <n v="9"/>
    <n v="67342.5"/>
    <n v="0"/>
    <n v="0"/>
    <n v="882935"/>
    <n v="642159798438"/>
    <d v="2026-08-08T00:00:00"/>
    <n v="5000"/>
  </r>
  <r>
    <s v="Plastene Polyfilms Limited"/>
    <d v="2026-08-08T00:00:00"/>
    <s v="PPL/26-27/SII01100"/>
    <s v="WIP00151"/>
    <s v="PP MF Yarn Twisted 1000 UV NW"/>
    <s v="PPL/RAW/26-27/410"/>
    <n v="824.38"/>
    <n v="824.38"/>
    <s v="Kgs"/>
    <n v="824.38"/>
    <n v="0"/>
    <n v="824.38"/>
    <s v="GJ12X1249"/>
    <s v="Plastene India ltd - Unit 1-Purchase"/>
    <s v="Plastene India ltd - Unit 1-Purchase"/>
    <s v="PIL1/D/1317"/>
    <d v="2026-08-08T00:00:00"/>
    <s v="RAW MATERIAL"/>
    <s v="INDIGENOUS"/>
    <s v="RM 412"/>
    <n v="154.32"/>
    <n v="154.319998151569"/>
    <s v="PIL1/D/1317"/>
    <d v="2026-08-08T00:00:00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133579.24"/>
    <s v="SF"/>
    <s v="Yarn All"/>
    <x v="9"/>
    <s v="RM"/>
    <m/>
    <n v="0"/>
    <n v="127218.32"/>
    <n v="414"/>
    <d v="2026-08-08T00:00:00"/>
    <s v="24AAACO3087C1ZT"/>
    <s v="storeppl"/>
    <s v="storeppl"/>
    <n v="2.5"/>
    <n v="3180.46"/>
    <n v="2.5"/>
    <n v="3180.46"/>
    <n v="0"/>
    <n v="0"/>
    <n v="133579.24"/>
    <n v="632159672506"/>
    <d v="2026-08-08T00:00:00"/>
    <n v="824.38"/>
  </r>
  <r>
    <s v="Plastene Polyfilms Limited"/>
    <d v="2026-08-08T00:00:00"/>
    <s v="PPL/26-27/SII01101"/>
    <s v="WIP00013"/>
    <s v="LDPE/LLDPE Bags/Liner"/>
    <s v="PPL/RAW/26-27/411"/>
    <n v="258"/>
    <n v="258"/>
    <s v="Kgs"/>
    <n v="258"/>
    <n v="0"/>
    <n v="258"/>
    <s v="GJ12X1249"/>
    <s v="Plastene India ltd - Unit 1-Purchase"/>
    <s v="Plastene India ltd - Unit 1-Purchase"/>
    <s v="PIL1/D/1316"/>
    <d v="2026-08-08T00:00:00"/>
    <s v="RAW MATERIAL"/>
    <s v="INDIGENOUS"/>
    <s v="RM 413"/>
    <n v="176.86"/>
    <n v="176.859996765657"/>
    <s v="PIL1/D/1316"/>
    <d v="2026-08-08T00:00:00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218727.54"/>
    <s v="SF"/>
    <s v="Liners"/>
    <x v="5"/>
    <s v="RM"/>
    <s v="erp"/>
    <n v="0"/>
    <n v="45629.88"/>
    <n v="415"/>
    <d v="2026-08-08T00:00:00"/>
    <s v="24AAACO3087C1ZT"/>
    <s v="storeppl"/>
    <s v="storeppl"/>
    <n v="9"/>
    <n v="4106.6899999999996"/>
    <n v="9"/>
    <n v="4106.6899999999996"/>
    <n v="0"/>
    <n v="0"/>
    <n v="218727.54"/>
    <n v="632159650049"/>
    <d v="2026-08-08T00:00:00"/>
    <n v="258"/>
  </r>
  <r>
    <s v="Plastene Polyfilms Limited"/>
    <d v="2026-08-08T00:00:00"/>
    <s v="PPL/26-27/SII01101"/>
    <s v="WIP00032"/>
    <s v="Webbing"/>
    <s v="PPL/RAW/26-27/411"/>
    <n v="674.1"/>
    <n v="674.1"/>
    <s v="Kgs"/>
    <n v="674.1"/>
    <n v="0"/>
    <n v="674.1"/>
    <s v="GJ12X1249"/>
    <s v="Plastene India ltd - Unit 1-Purchase"/>
    <s v="Plastene India ltd - Unit 1-Purchase"/>
    <s v="PIL1/D/1316"/>
    <d v="2026-08-08T00:00:00"/>
    <s v="RAW MATERIAL"/>
    <s v="INDIGENOUS"/>
    <s v="RM 413"/>
    <n v="147.32"/>
    <n v="147.31999730587199"/>
    <s v="PIL1/D/1316"/>
    <d v="2026-08-08T00:00:00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218727.54"/>
    <s v="SF"/>
    <s v="Webbing"/>
    <x v="2"/>
    <s v="RM"/>
    <s v="erp"/>
    <n v="0"/>
    <n v="99308.41"/>
    <n v="415"/>
    <d v="2026-08-08T00:00:00"/>
    <s v="24AAACO3087C1ZT"/>
    <s v="storeppl"/>
    <s v="storeppl"/>
    <n v="9"/>
    <n v="8937.76"/>
    <n v="9"/>
    <n v="8937.76"/>
    <n v="0"/>
    <n v="0"/>
    <n v="0"/>
    <n v="632159650049"/>
    <d v="2026-08-08T00:00:00"/>
    <n v="674.1"/>
  </r>
  <r>
    <s v="Plastene Polyfilms Limited"/>
    <d v="2026-08-08T00:00:00"/>
    <s v="PPL/26-27/SII01101"/>
    <s v="WIP00032"/>
    <s v="Webbing"/>
    <s v="PPL/RAW/26-27/411"/>
    <n v="280.10000000000002"/>
    <n v="280.10000000000002"/>
    <s v="Kgs"/>
    <n v="280.10000000000002"/>
    <n v="0"/>
    <n v="280.10000000000002"/>
    <s v="GJ12X1249"/>
    <s v="Plastene India ltd - Unit 1-Purchase"/>
    <s v="Plastene India ltd - Unit 1-Purchase"/>
    <s v="PIL1/D/1316"/>
    <d v="2026-08-08T00:00:00"/>
    <s v="RAW MATERIAL"/>
    <s v="INDIGENOUS"/>
    <s v="RM 413"/>
    <n v="144.32"/>
    <n v="144.31999736073499"/>
    <s v="PIL1/D/1316"/>
    <d v="2026-08-08T00:00:00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218727.54"/>
    <s v="SF"/>
    <s v="Webbing"/>
    <x v="2"/>
    <s v="RM"/>
    <s v="erp"/>
    <n v="0"/>
    <n v="40424.03"/>
    <n v="415"/>
    <d v="2026-08-08T00:00:00"/>
    <s v="24AAACO3087C1ZT"/>
    <s v="storeppl"/>
    <s v="storeppl"/>
    <n v="9"/>
    <n v="3638.16"/>
    <n v="9"/>
    <n v="3638.16"/>
    <n v="0"/>
    <n v="0"/>
    <n v="0"/>
    <n v="632159650049"/>
    <d v="2026-08-08T00:00:00"/>
    <n v="280.10000000000002"/>
  </r>
  <r>
    <s v="Plastene Polyfilms Limited"/>
    <d v="2026-09-08T00:00:00"/>
    <s v="PPL/26-27/SII01103"/>
    <s v="WIP00023"/>
    <s v="PP UL Fabric With UV"/>
    <s v="PPL/RAW/26-27/412"/>
    <n v="2271"/>
    <n v="2271"/>
    <s v="Kgs"/>
    <n v="2271"/>
    <n v="0"/>
    <n v="2271"/>
    <s v="GJ15AV6440"/>
    <s v="HCP Plastene Bulkpack Limited - Purchase"/>
    <s v="HCP Plastene Bulkpack Limited - Purchase"/>
    <s v="HPBL/D/472"/>
    <d v="2026-08-08T00:00:00"/>
    <s v="RAW MATERIAL"/>
    <s v="INDIGENOUS"/>
    <s v="RM 414"/>
    <n v="156.49"/>
    <n v="156.49"/>
    <s v="HPBL/D/472"/>
    <d v="2026-08-08T00:00:00"/>
    <m/>
    <n v="0"/>
    <m/>
    <s v="SHREENA  ROADWAYS"/>
    <n v="2707"/>
    <n v="0"/>
    <n v="0"/>
    <n v="0"/>
    <n v="0"/>
    <n v="0"/>
    <s v="VAT"/>
    <n v="0"/>
    <n v="0"/>
    <n v="0"/>
    <n v="0"/>
    <n v="0"/>
    <m/>
    <n v="0"/>
    <n v="0"/>
    <n v="686650.24"/>
    <s v="SF"/>
    <s v="PP/PE Fabric"/>
    <x v="0"/>
    <s v="RM"/>
    <s v="erp"/>
    <n v="0"/>
    <n v="355388.79"/>
    <n v="418"/>
    <d v="2026-09-08T00:00:00"/>
    <s v="24AABCG1282C2Z6"/>
    <s v="storeppl"/>
    <s v="storeppl"/>
    <n v="9"/>
    <n v="31984.99"/>
    <n v="9"/>
    <n v="31984.99"/>
    <n v="0"/>
    <n v="0"/>
    <n v="686650.24"/>
    <n v="692159705826"/>
    <d v="2026-08-08T00:00:00"/>
    <n v="2271"/>
  </r>
  <r>
    <s v="Plastene Polyfilms Limited"/>
    <d v="2026-09-08T00:00:00"/>
    <s v="PPL/26-27/SII01103"/>
    <s v="WIP00013"/>
    <s v="LDPE/LLDPE Bags/Liner"/>
    <s v="PPL/RAW/26-27/412"/>
    <n v="1044"/>
    <n v="1044"/>
    <s v="Kgs"/>
    <n v="1044"/>
    <n v="0"/>
    <n v="1044"/>
    <s v="GJ15AV6440"/>
    <s v="HCP Plastene Bulkpack Limited - Purchase"/>
    <s v="HCP Plastene Bulkpack Limited - Purchase"/>
    <s v="HPBL/D/472"/>
    <d v="2026-08-08T00:00:00"/>
    <s v="RAW MATERIAL"/>
    <s v="INDIGENOUS"/>
    <s v="RM 414"/>
    <n v="170.95"/>
    <n v="170.95"/>
    <s v="HPBL/D/472"/>
    <d v="2026-08-08T00:00:00"/>
    <m/>
    <n v="0"/>
    <m/>
    <s v="SHREENA  ROADWAYS"/>
    <n v="2707"/>
    <n v="0"/>
    <n v="0"/>
    <n v="0"/>
    <n v="0"/>
    <n v="0"/>
    <s v="VAT"/>
    <n v="0"/>
    <n v="0"/>
    <n v="0"/>
    <n v="0"/>
    <n v="0"/>
    <m/>
    <n v="0"/>
    <n v="0"/>
    <n v="686650.24"/>
    <s v="SF"/>
    <s v="Liners"/>
    <x v="5"/>
    <s v="RM"/>
    <s v="erp"/>
    <n v="0"/>
    <n v="178471.8"/>
    <n v="418"/>
    <d v="2026-09-08T00:00:00"/>
    <s v="24AABCG1282C2Z6"/>
    <s v="storeppl"/>
    <s v="storeppl"/>
    <n v="9"/>
    <n v="16062.46"/>
    <n v="9"/>
    <n v="16062.46"/>
    <n v="0"/>
    <n v="0"/>
    <n v="0"/>
    <n v="692159705826"/>
    <d v="2026-08-08T00:00:00"/>
    <n v="1044"/>
  </r>
  <r>
    <s v="Plastene Polyfilms Limited"/>
    <d v="2026-09-08T00:00:00"/>
    <s v="PPL/26-27/SII01103"/>
    <s v="WIP00023"/>
    <s v="PP UL Fabric With UV"/>
    <s v="PPL/RAW/26-27/412"/>
    <n v="311"/>
    <n v="311"/>
    <s v="Kgs"/>
    <n v="311"/>
    <n v="0"/>
    <n v="311"/>
    <s v="GJ15AV6440"/>
    <s v="HCP Plastene Bulkpack Limited - Purchase"/>
    <s v="HCP Plastene Bulkpack Limited - Purchase"/>
    <s v="HPBL/D/472"/>
    <d v="2026-08-08T00:00:00"/>
    <s v="RAW MATERIAL"/>
    <s v="INDIGENOUS"/>
    <s v="RM 414"/>
    <n v="154.49"/>
    <n v="154.49"/>
    <s v="HPBL/D/472"/>
    <d v="2026-08-08T00:00:00"/>
    <m/>
    <n v="0"/>
    <m/>
    <s v="SHREENA  ROADWAYS"/>
    <n v="2707"/>
    <n v="0"/>
    <n v="0"/>
    <n v="0"/>
    <n v="0"/>
    <n v="0"/>
    <s v="VAT"/>
    <n v="0"/>
    <n v="0"/>
    <n v="0"/>
    <n v="0"/>
    <n v="0"/>
    <m/>
    <n v="0"/>
    <n v="0"/>
    <n v="686650.24"/>
    <s v="SF"/>
    <s v="PP/PE Fabric"/>
    <x v="0"/>
    <s v="RM"/>
    <s v="erp"/>
    <n v="0"/>
    <n v="48046.39"/>
    <n v="418"/>
    <d v="2026-09-08T00:00:00"/>
    <s v="24AABCG1282C2Z6"/>
    <s v="storeppl"/>
    <s v="storeppl"/>
    <n v="9"/>
    <n v="4324.18"/>
    <n v="9"/>
    <n v="4324.18"/>
    <n v="0"/>
    <n v="0"/>
    <n v="0"/>
    <n v="692159705826"/>
    <d v="2026-08-08T00:00:00"/>
    <n v="311"/>
  </r>
  <r>
    <s v="Plastene Polyfilms Limited"/>
    <d v="2026-09-08T00:00:00"/>
    <s v="PPL/26-27/SII01111"/>
    <s v="WIP00032"/>
    <s v="Webbing"/>
    <s v="PPL/RAW/26-27/413"/>
    <n v="744.1"/>
    <n v="744.1"/>
    <s v="Kgs"/>
    <n v="744.1"/>
    <n v="0"/>
    <n v="744.1"/>
    <s v="GJ12X1249"/>
    <s v="Plastene India ltd - Unit 1-Purchase"/>
    <s v="Plastene India ltd - Unit 1-Purchase"/>
    <s v="PIL1/D/1328"/>
    <d v="2026-09-08T00:00:00"/>
    <s v="RAW MATERIAL"/>
    <s v="INDIGENOUS"/>
    <s v="RM 415"/>
    <n v="147.32"/>
    <n v="147.32000090033301"/>
    <s v="PIL1/D/1328"/>
    <d v="2026-09-08T00:00:00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327256.55"/>
    <s v="SF"/>
    <s v="Webbing"/>
    <x v="2"/>
    <s v="RM"/>
    <s v="erp"/>
    <n v="0"/>
    <n v="109620.81"/>
    <n v="420"/>
    <d v="2026-09-08T00:00:00"/>
    <s v="24AAACO3087C1ZT"/>
    <s v="storeppl"/>
    <s v="storeppl"/>
    <n v="9"/>
    <n v="9865.8700000000008"/>
    <n v="9"/>
    <n v="9865.8700000000008"/>
    <n v="0"/>
    <n v="0"/>
    <n v="327256.55"/>
    <n v="622160187968"/>
    <d v="2026-08-09T00:00:00"/>
    <n v="744.1"/>
  </r>
  <r>
    <s v="Plastene Polyfilms Limited"/>
    <d v="2026-09-08T00:00:00"/>
    <s v="PPL/26-27/SII01111"/>
    <s v="WIP00032"/>
    <s v="Webbing"/>
    <s v="PPL/RAW/26-27/413"/>
    <n v="525.79999999999995"/>
    <n v="525.79999999999995"/>
    <s v="Kgs"/>
    <n v="525.79999999999995"/>
    <n v="0"/>
    <n v="525.79999999999995"/>
    <s v="GJ12X1249"/>
    <s v="Plastene India ltd - Unit 1-Purchase"/>
    <s v="Plastene India ltd - Unit 1-Purchase"/>
    <s v="PIL1/D/1328"/>
    <d v="2026-09-08T00:00:00"/>
    <s v="RAW MATERIAL"/>
    <s v="INDIGENOUS"/>
    <s v="RM 415"/>
    <n v="144.32"/>
    <n v="144.32000088199899"/>
    <s v="PIL1/D/1328"/>
    <d v="2026-09-08T00:00:00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327256.55"/>
    <s v="SF"/>
    <s v="Webbing"/>
    <x v="2"/>
    <s v="RM"/>
    <s v="erp"/>
    <n v="0"/>
    <n v="75883.460000000006"/>
    <n v="420"/>
    <d v="2026-09-08T00:00:00"/>
    <s v="24AAACO3087C1ZT"/>
    <s v="storeppl"/>
    <s v="storeppl"/>
    <n v="9"/>
    <n v="6829.51"/>
    <n v="9"/>
    <n v="6829.51"/>
    <n v="0"/>
    <n v="0"/>
    <n v="0"/>
    <n v="622160187968"/>
    <d v="2026-08-09T00:00:00"/>
    <n v="525.79999999999995"/>
  </r>
  <r>
    <s v="Plastene Polyfilms Limited"/>
    <d v="2026-09-08T00:00:00"/>
    <s v="PPL/26-27/SII01111"/>
    <s v="WIP00025"/>
    <s v="PP Lam Fabric With UV"/>
    <s v="PPL/RAW/26-27/413"/>
    <n v="615"/>
    <n v="615"/>
    <s v="Kgs"/>
    <n v="615"/>
    <n v="0"/>
    <n v="615"/>
    <s v="GJ12X1249"/>
    <s v="Plastene India ltd - Unit 1-Purchase"/>
    <s v="Plastene India ltd - Unit 1-Purchase"/>
    <s v="PIL1/D/1328"/>
    <d v="2026-09-08T00:00:00"/>
    <s v="RAW MATERIAL"/>
    <s v="INDIGENOUS"/>
    <s v="RM 415"/>
    <n v="149.32"/>
    <n v="149.320000912556"/>
    <s v="PIL1/D/1328"/>
    <d v="2026-09-08T00:00:00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327256.55"/>
    <s v="SF"/>
    <s v="PP/PE Fabric"/>
    <x v="1"/>
    <s v="RM"/>
    <s v="erp"/>
    <n v="0"/>
    <n v="91831.8"/>
    <n v="420"/>
    <d v="2026-09-08T00:00:00"/>
    <s v="24AAACO3087C1ZT"/>
    <s v="storeppl"/>
    <s v="storeppl"/>
    <n v="9"/>
    <n v="8264.86"/>
    <n v="9"/>
    <n v="8264.86"/>
    <n v="0"/>
    <n v="0"/>
    <n v="0"/>
    <n v="622160187968"/>
    <d v="2026-08-09T00:00:00"/>
    <n v="615"/>
  </r>
  <r>
    <s v="Plastene Polyfilms Limited"/>
    <d v="2026-10-08T00:00:00"/>
    <s v="PPL/26-27/SII01113"/>
    <s v="WIP00004"/>
    <s v="FIBC Bags With UV Without Liner"/>
    <s v="PPL/RAW/26-27/414"/>
    <n v="1700"/>
    <n v="1700"/>
    <s v="Kgs"/>
    <n v="1700"/>
    <n v="0"/>
    <n v="1700"/>
    <s v="GJ12X1249"/>
    <s v="Plastene India ltd - Unit 1-Purchase"/>
    <s v="Plastene India ltd - Unit 1-Purchase"/>
    <s v="PIL1/D/1333"/>
    <d v="2026-10-08T00:00:00"/>
    <s v="RAW MATERIAL"/>
    <s v="INDIGENOUS"/>
    <s v="RM 416"/>
    <n v="223.82"/>
    <n v="223.82"/>
    <s v="PIL1/D/1333"/>
    <d v="2026-10-08T00:00:00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448982.92"/>
    <s v="FG"/>
    <s v="FIBC Bags"/>
    <x v="7"/>
    <s v="RM"/>
    <s v="erp"/>
    <n v="0"/>
    <n v="380494"/>
    <n v="421"/>
    <d v="2026-10-08T00:00:00"/>
    <s v="24AAACO3087C1ZT"/>
    <s v="storeppl"/>
    <s v="storeppl"/>
    <n v="9"/>
    <n v="34244.46"/>
    <n v="9"/>
    <n v="34244.46"/>
    <n v="0"/>
    <n v="0"/>
    <n v="448982.92"/>
    <n v="632160522302"/>
    <d v="2026-08-10T00:00:00"/>
    <n v="1700"/>
  </r>
  <r>
    <s v="Plastene Polyfilms Limited"/>
    <d v="2026-10-08T00:00:00"/>
    <s v="PPL/26-27/SII01115"/>
    <s v="WIP00023"/>
    <s v="PP UL Fabric With UV"/>
    <s v="PPL/RAW/26-27/415"/>
    <n v="1524"/>
    <n v="1524"/>
    <s v="Kgs"/>
    <n v="1524"/>
    <n v="0"/>
    <n v="1524"/>
    <s v="GJ12X1249"/>
    <s v="Plastene India ltd - Unit 1-Purchase"/>
    <s v="Plastene India ltd - Unit 1-Purchase"/>
    <s v="PIL1/D/1336"/>
    <d v="2026-10-08T00:00:00"/>
    <s v="RAW MATERIAL"/>
    <s v="INDIGENOUS"/>
    <s v="RM 417"/>
    <n v="147.32"/>
    <n v="147.320000273066"/>
    <s v="PIL1/D/1336"/>
    <d v="2026-10-08T00:00:00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1079006.21"/>
    <s v="SF"/>
    <s v="PP/PE Fabric"/>
    <x v="0"/>
    <s v="RM"/>
    <s v="erp"/>
    <n v="0"/>
    <n v="224515.68"/>
    <n v="422"/>
    <d v="2026-10-08T00:00:00"/>
    <s v="24AAACO3087C1ZT"/>
    <s v="storeppl"/>
    <s v="storeppl"/>
    <n v="9"/>
    <n v="20206.41"/>
    <n v="9"/>
    <n v="20206.41"/>
    <n v="0"/>
    <n v="0"/>
    <n v="1079006.21"/>
    <n v="682160677201"/>
    <d v="2026-08-10T00:00:00"/>
    <n v="1524"/>
  </r>
  <r>
    <s v="Plastene Polyfilms Limited"/>
    <d v="2026-10-08T00:00:00"/>
    <s v="PPL/26-27/SII01115"/>
    <s v="WIP00023"/>
    <s v="PP UL Fabric With UV"/>
    <s v="PPL/RAW/26-27/415"/>
    <n v="480"/>
    <n v="480"/>
    <s v="Kgs"/>
    <n v="480"/>
    <n v="0"/>
    <n v="480"/>
    <s v="GJ12X1249"/>
    <s v="Plastene India ltd - Unit 1-Purchase"/>
    <s v="Plastene India ltd - Unit 1-Purchase"/>
    <s v="PIL1/D/1336"/>
    <d v="2026-10-08T00:00:00"/>
    <s v="RAW MATERIAL"/>
    <s v="INDIGENOUS"/>
    <s v="RM 417"/>
    <n v="142.32"/>
    <n v="142.32000026379799"/>
    <s v="PIL1/D/1336"/>
    <d v="2026-10-08T00:00:00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1079006.21"/>
    <s v="SF"/>
    <s v="PP/PE Fabric"/>
    <x v="0"/>
    <s v="RM"/>
    <s v="erp"/>
    <n v="0"/>
    <n v="68313.600000000006"/>
    <n v="422"/>
    <d v="2026-10-08T00:00:00"/>
    <s v="24AAACO3087C1ZT"/>
    <s v="storeppl"/>
    <s v="storeppl"/>
    <n v="9"/>
    <n v="6148.22"/>
    <n v="9"/>
    <n v="6148.22"/>
    <n v="0"/>
    <n v="0"/>
    <n v="0"/>
    <n v="682160677201"/>
    <d v="2026-08-10T00:00:00"/>
    <n v="480"/>
  </r>
  <r>
    <s v="Plastene Polyfilms Limited"/>
    <d v="2026-10-08T00:00:00"/>
    <s v="PPL/26-27/SII01115"/>
    <s v="WIP00025"/>
    <s v="PP Lam Fabric With UV"/>
    <s v="PPL/RAW/26-27/415"/>
    <n v="2647"/>
    <n v="2647"/>
    <s v="Kgs"/>
    <n v="2647"/>
    <n v="0"/>
    <n v="2647"/>
    <s v="GJ12X1249"/>
    <s v="Plastene India ltd - Unit 1-Purchase"/>
    <s v="Plastene India ltd - Unit 1-Purchase"/>
    <s v="PIL1/D/1336"/>
    <d v="2026-10-08T00:00:00"/>
    <s v="RAW MATERIAL"/>
    <s v="INDIGENOUS"/>
    <s v="RM 417"/>
    <n v="149.32"/>
    <n v="149.32000027677299"/>
    <s v="PIL1/D/1336"/>
    <d v="2026-10-08T00:00:00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1079006.21"/>
    <s v="SF"/>
    <s v="PP/PE Fabric"/>
    <x v="1"/>
    <s v="RM"/>
    <s v="erp"/>
    <n v="0"/>
    <n v="395250.04"/>
    <n v="422"/>
    <d v="2026-10-08T00:00:00"/>
    <s v="24AAACO3087C1ZT"/>
    <s v="storeppl"/>
    <s v="storeppl"/>
    <n v="9"/>
    <n v="35572.5"/>
    <n v="9"/>
    <n v="35572.5"/>
    <n v="0"/>
    <n v="0"/>
    <n v="0"/>
    <n v="682160677201"/>
    <d v="2026-08-10T00:00:00"/>
    <n v="2647"/>
  </r>
  <r>
    <s v="Plastene Polyfilms Limited"/>
    <d v="2026-10-08T00:00:00"/>
    <s v="PPL/26-27/SII01115"/>
    <s v="WIP00032"/>
    <s v="Webbing"/>
    <s v="PPL/RAW/26-27/415"/>
    <n v="591"/>
    <n v="591"/>
    <s v="Kgs"/>
    <n v="591"/>
    <n v="0"/>
    <n v="591"/>
    <s v="GJ12X1249"/>
    <s v="Plastene India ltd - Unit 1-Purchase"/>
    <s v="Plastene India ltd - Unit 1-Purchase"/>
    <s v="PIL1/D/1336"/>
    <d v="2026-10-08T00:00:00"/>
    <s v="RAW MATERIAL"/>
    <s v="INDIGENOUS"/>
    <s v="RM 417"/>
    <n v="147.32"/>
    <n v="147.320000273066"/>
    <s v="PIL1/D/1336"/>
    <d v="2026-10-08T00:00:00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1079006.21"/>
    <s v="SF"/>
    <s v="Webbing"/>
    <x v="2"/>
    <s v="RM"/>
    <s v="erp"/>
    <n v="0"/>
    <n v="87066.12"/>
    <n v="422"/>
    <d v="2026-10-08T00:00:00"/>
    <s v="24AAACO3087C1ZT"/>
    <s v="storeppl"/>
    <s v="storeppl"/>
    <n v="9"/>
    <n v="7835.95"/>
    <n v="9"/>
    <n v="7835.95"/>
    <n v="0"/>
    <n v="0"/>
    <n v="0"/>
    <n v="682160677201"/>
    <d v="2026-08-10T00:00:00"/>
    <n v="591"/>
  </r>
  <r>
    <s v="Plastene Polyfilms Limited"/>
    <d v="2026-10-08T00:00:00"/>
    <s v="PPL/26-27/SII01115"/>
    <s v="WIP00032"/>
    <s v="Webbing"/>
    <s v="PPL/RAW/26-27/415"/>
    <n v="756.8"/>
    <n v="756.8"/>
    <s v="Kgs"/>
    <n v="756.8"/>
    <n v="0"/>
    <n v="756.8"/>
    <s v="GJ12X1249"/>
    <s v="Plastene India ltd - Unit 1-Purchase"/>
    <s v="Plastene India ltd - Unit 1-Purchase"/>
    <s v="PIL1/D/1336"/>
    <d v="2026-10-08T00:00:00"/>
    <s v="RAW MATERIAL"/>
    <s v="INDIGENOUS"/>
    <s v="RM 417"/>
    <n v="144.32"/>
    <n v="144.32000026750501"/>
    <s v="PIL1/D/1336"/>
    <d v="2026-10-08T00:00:00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1079006.21"/>
    <s v="SF"/>
    <s v="Webbing"/>
    <x v="2"/>
    <s v="RM"/>
    <s v="erp"/>
    <n v="0"/>
    <n v="109221.38"/>
    <n v="422"/>
    <d v="2026-10-08T00:00:00"/>
    <s v="24AAACO3087C1ZT"/>
    <s v="storeppl"/>
    <s v="storeppl"/>
    <n v="9"/>
    <n v="9829.92"/>
    <n v="9"/>
    <n v="9829.92"/>
    <n v="0"/>
    <n v="0"/>
    <n v="0"/>
    <n v="682160677201"/>
    <d v="2026-08-10T00:00:00"/>
    <n v="756.8"/>
  </r>
  <r>
    <s v="Plastene Polyfilms Limited"/>
    <d v="2026-10-08T00:00:00"/>
    <s v="PPL/26-27/SII01115"/>
    <s v="WIP00236"/>
    <s v="PP Braided Rope MW 6 to 8 GPM"/>
    <s v="PPL/RAW/26-27/415"/>
    <n v="212.6"/>
    <n v="212.6"/>
    <s v="Kgs"/>
    <n v="212.6"/>
    <n v="0"/>
    <n v="212.6"/>
    <s v="GJ12X1249"/>
    <s v="Plastene India ltd - Unit 1-Purchase"/>
    <s v="Plastene India ltd - Unit 1-Purchase"/>
    <s v="PIL1/D/1336"/>
    <d v="2026-10-08T00:00:00"/>
    <s v="RAW MATERIAL"/>
    <s v="INDIGENOUS"/>
    <s v="RM 417"/>
    <n v="158.82"/>
    <n v="158.820000294382"/>
    <s v="PIL1/D/1336"/>
    <d v="2026-10-08T00:00:00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1079006.21"/>
    <s v="SF"/>
    <s v="Yarn All"/>
    <x v="9"/>
    <s v="RM"/>
    <s v="erp"/>
    <n v="0"/>
    <n v="33765.129999999997"/>
    <n v="422"/>
    <d v="2026-10-08T00:00:00"/>
    <s v="24AAACO3087C1ZT"/>
    <s v="storeppl"/>
    <s v="storeppl"/>
    <n v="2.5"/>
    <n v="844.13"/>
    <n v="2.5"/>
    <n v="844.13"/>
    <n v="0"/>
    <n v="0"/>
    <n v="0"/>
    <n v="682160677201"/>
    <d v="2026-08-10T00:00:00"/>
    <n v="212.6"/>
  </r>
  <r>
    <s v="Plastene Polyfilms Limited"/>
    <d v="2026-11-08T00:00:00"/>
    <s v="PPL/26-27/SII01117"/>
    <s v="WIP00004"/>
    <s v="FIBC Bags With UV Without Liner"/>
    <s v="PPL/RAW/26-27/416"/>
    <n v="1314"/>
    <n v="1314"/>
    <s v="Kgs"/>
    <n v="1314"/>
    <n v="0"/>
    <n v="1314"/>
    <s v="GJ09Z0572"/>
    <s v="Plastene India ltd - Unit 1-Purchase"/>
    <s v="Plastene India ltd - Unit 1-Purchase"/>
    <s v="PIL1/D/1339"/>
    <d v="2026-11-08T00:00:00"/>
    <s v="RAW MATERIAL"/>
    <s v="INDIGENOUS"/>
    <s v="RM 418"/>
    <n v="222.68"/>
    <n v="222.68"/>
    <s v="PIL1/D/1339"/>
    <d v="2026-11-08T00:00:00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2085604.94"/>
    <s v="FG"/>
    <s v="FIBC Bags"/>
    <x v="7"/>
    <s v="RM"/>
    <s v="erp"/>
    <n v="0"/>
    <n v="292601.52"/>
    <n v="424"/>
    <d v="2026-11-08T00:00:00"/>
    <s v="24AAACO3087C1ZT"/>
    <s v="storeppl"/>
    <s v="storeppl"/>
    <n v="9"/>
    <n v="26334.14"/>
    <n v="9"/>
    <n v="26334.14"/>
    <n v="0"/>
    <n v="0"/>
    <n v="2085604.94"/>
    <n v="652161047673"/>
    <d v="2026-08-11T00:00:00"/>
    <n v="1314"/>
  </r>
  <r>
    <s v="Plastene Polyfilms Limited"/>
    <d v="2026-11-08T00:00:00"/>
    <s v="PPL/26-27/SII01117"/>
    <s v="WIP00004"/>
    <s v="FIBC Bags With UV Without Liner"/>
    <s v="PPL/RAW/26-27/416"/>
    <n v="2644"/>
    <n v="2644"/>
    <s v="Kgs"/>
    <n v="2644"/>
    <n v="0"/>
    <n v="2644"/>
    <s v="GJ09Z0572"/>
    <s v="Plastene India ltd - Unit 1-Purchase"/>
    <s v="Plastene India ltd - Unit 1-Purchase"/>
    <s v="PIL1/D/1339"/>
    <d v="2026-11-08T00:00:00"/>
    <s v="RAW MATERIAL"/>
    <s v="INDIGENOUS"/>
    <s v="RM 418"/>
    <n v="221.36"/>
    <n v="221.36"/>
    <s v="PIL1/D/1339"/>
    <d v="2026-11-08T00:00:00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2085604.94"/>
    <s v="FG"/>
    <s v="FIBC Bags"/>
    <x v="7"/>
    <s v="RM"/>
    <s v="erp"/>
    <n v="0"/>
    <n v="585275.84"/>
    <n v="424"/>
    <d v="2026-11-08T00:00:00"/>
    <s v="24AAACO3087C1ZT"/>
    <s v="storeppl"/>
    <s v="storeppl"/>
    <n v="9"/>
    <n v="52674.83"/>
    <n v="9"/>
    <n v="52674.83"/>
    <n v="0"/>
    <n v="0"/>
    <n v="0"/>
    <n v="652161047673"/>
    <d v="2026-08-11T00:00:00"/>
    <n v="2644"/>
  </r>
  <r>
    <s v="Plastene Polyfilms Limited"/>
    <d v="2026-11-08T00:00:00"/>
    <s v="PPL/26-27/SII01117"/>
    <s v="WIP00004"/>
    <s v="FIBC Bags With UV Without Liner"/>
    <s v="PPL/RAW/26-27/416"/>
    <n v="456"/>
    <n v="456"/>
    <s v="Kgs"/>
    <n v="456"/>
    <n v="0"/>
    <n v="456"/>
    <s v="GJ09Z0572"/>
    <s v="Plastene India ltd - Unit 1-Purchase"/>
    <s v="Plastene India ltd - Unit 1-Purchase"/>
    <s v="PIL1/D/1339"/>
    <d v="2026-11-08T00:00:00"/>
    <s v="RAW MATERIAL"/>
    <s v="INDIGENOUS"/>
    <s v="RM 418"/>
    <n v="220.34"/>
    <n v="220.34"/>
    <s v="PIL1/D/1339"/>
    <d v="2026-11-08T00:00:00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2085604.94"/>
    <s v="FG"/>
    <s v="FIBC Bags"/>
    <x v="7"/>
    <s v="RM"/>
    <s v="erp"/>
    <n v="0"/>
    <n v="100475.04"/>
    <n v="424"/>
    <d v="2026-11-08T00:00:00"/>
    <s v="24AAACO3087C1ZT"/>
    <s v="storeppl"/>
    <s v="storeppl"/>
    <n v="9"/>
    <n v="9042.75"/>
    <n v="9"/>
    <n v="9042.75"/>
    <n v="0"/>
    <n v="0"/>
    <n v="0"/>
    <n v="652161047673"/>
    <d v="2026-08-11T00:00:00"/>
    <n v="456"/>
  </r>
  <r>
    <s v="Plastene Polyfilms Limited"/>
    <d v="2026-11-08T00:00:00"/>
    <s v="PPL/26-27/SII01117"/>
    <s v="WIP00004"/>
    <s v="FIBC Bags With UV Without Liner"/>
    <s v="PPL/RAW/26-27/416"/>
    <n v="2224"/>
    <n v="2224"/>
    <s v="Kgs"/>
    <n v="2224"/>
    <n v="0"/>
    <n v="2224"/>
    <s v="GJ09Z0572"/>
    <s v="Plastene India ltd - Unit 1-Purchase"/>
    <s v="Plastene India ltd - Unit 1-Purchase"/>
    <s v="PIL1/D/1339"/>
    <d v="2026-11-08T00:00:00"/>
    <s v="RAW MATERIAL"/>
    <s v="INDIGENOUS"/>
    <s v="RM 418"/>
    <n v="219.35"/>
    <n v="219.35"/>
    <s v="PIL1/D/1339"/>
    <d v="2026-11-08T00:00:00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2085604.94"/>
    <s v="FG"/>
    <s v="FIBC Bags"/>
    <x v="7"/>
    <s v="RM"/>
    <s v="erp"/>
    <n v="0"/>
    <n v="487834.4"/>
    <n v="424"/>
    <d v="2026-11-08T00:00:00"/>
    <s v="24AAACO3087C1ZT"/>
    <s v="storeppl"/>
    <s v="storeppl"/>
    <n v="9"/>
    <n v="43905.1"/>
    <n v="9"/>
    <n v="43905.1"/>
    <n v="0"/>
    <n v="0"/>
    <n v="0"/>
    <n v="652161047673"/>
    <d v="2026-08-11T00:00:00"/>
    <n v="2224"/>
  </r>
  <r>
    <s v="Plastene Polyfilms Limited"/>
    <d v="2026-11-08T00:00:00"/>
    <s v="PPL/26-27/SII01117"/>
    <s v="WIP00004"/>
    <s v="FIBC Bags With UV Without Liner"/>
    <s v="PPL/RAW/26-27/416"/>
    <n v="1339"/>
    <n v="1339"/>
    <s v="Kgs"/>
    <n v="1339"/>
    <n v="0"/>
    <n v="1339"/>
    <s v="GJ09Z0572"/>
    <s v="Plastene India ltd - Unit 1-Purchase"/>
    <s v="Plastene India ltd - Unit 1-Purchase"/>
    <s v="PIL1/D/1339"/>
    <d v="2026-11-08T00:00:00"/>
    <s v="RAW MATERIAL"/>
    <s v="INDIGENOUS"/>
    <s v="RM 418"/>
    <n v="225"/>
    <n v="225"/>
    <s v="PIL1/D/1339"/>
    <d v="2026-11-08T00:00:00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2085604.94"/>
    <s v="FG"/>
    <s v="FIBC Bags"/>
    <x v="7"/>
    <s v="RM"/>
    <s v="erp"/>
    <n v="0"/>
    <n v="301275"/>
    <n v="424"/>
    <d v="2026-11-08T00:00:00"/>
    <s v="24AAACO3087C1ZT"/>
    <s v="storeppl"/>
    <s v="storeppl"/>
    <n v="9"/>
    <n v="27114.75"/>
    <n v="9"/>
    <n v="27114.75"/>
    <n v="0"/>
    <n v="0"/>
    <n v="0"/>
    <n v="652161047673"/>
    <d v="2026-08-11T00:00:00"/>
    <n v="1339"/>
  </r>
  <r>
    <s v="Plastene Polyfilms Limited"/>
    <d v="2026-11-08T00:00:00"/>
    <s v="PPL/26-27/SII01118"/>
    <s v="WIP00023"/>
    <s v="PP UL Fabric With UV"/>
    <s v="PPL/RAW/26-27/417"/>
    <n v="3492"/>
    <n v="3492"/>
    <s v="Kgs"/>
    <n v="3492"/>
    <n v="0"/>
    <n v="3492"/>
    <s v="GJ16Z8614"/>
    <s v="HCP Plastene Bulkpack Limited - Purchase"/>
    <s v="HCP Plastene Bulkpack Limited - Purchase"/>
    <s v="HPBL/D/478"/>
    <d v="2026-10-08T00:00:00"/>
    <s v="RAW MATERIAL"/>
    <s v="INDIGENOUS"/>
    <s v="RM 419"/>
    <n v="156.49"/>
    <n v="156.49"/>
    <s v="HPBL/D/478"/>
    <d v="2026-10-08T00:00:00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685289.05"/>
    <s v="SF"/>
    <s v="PP/PE Fabric"/>
    <x v="0"/>
    <s v="RM"/>
    <s v="erp"/>
    <n v="0"/>
    <n v="546463.07999999996"/>
    <n v="423"/>
    <d v="2026-11-08T00:00:00"/>
    <s v="24AABCG1282C2Z6"/>
    <s v="storeppl"/>
    <s v="storeppl"/>
    <n v="9"/>
    <n v="49181.68"/>
    <n v="9"/>
    <n v="49181.68"/>
    <n v="0"/>
    <n v="0"/>
    <n v="685289.05"/>
    <n v="642160611319"/>
    <d v="2026-08-10T00:00:00"/>
    <n v="3492"/>
  </r>
  <r>
    <s v="Plastene Polyfilms Limited"/>
    <d v="2026-11-08T00:00:00"/>
    <s v="PPL/26-27/SII01118"/>
    <s v="WIP00023"/>
    <s v="PP UL Fabric With UV"/>
    <s v="PPL/RAW/26-27/417"/>
    <n v="215"/>
    <n v="215"/>
    <s v="Kgs"/>
    <n v="215"/>
    <n v="0"/>
    <n v="215"/>
    <s v="GJ16Z8614"/>
    <s v="HCP Plastene Bulkpack Limited - Purchase"/>
    <s v="HCP Plastene Bulkpack Limited - Purchase"/>
    <s v="HPBL/D/478"/>
    <d v="2026-10-08T00:00:00"/>
    <s v="RAW MATERIAL"/>
    <s v="INDIGENOUS"/>
    <s v="RM 419"/>
    <n v="159.49"/>
    <n v="159.49"/>
    <s v="HPBL/D/478"/>
    <d v="2026-10-08T00:00:00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685289.05"/>
    <s v="SF"/>
    <s v="PP/PE Fabric"/>
    <x v="0"/>
    <s v="RM"/>
    <s v="erp"/>
    <n v="0"/>
    <n v="34290.35"/>
    <n v="423"/>
    <d v="2026-11-08T00:00:00"/>
    <s v="24AABCG1282C2Z6"/>
    <s v="storeppl"/>
    <s v="storeppl"/>
    <n v="9"/>
    <n v="3086.13"/>
    <n v="9"/>
    <n v="3086.13"/>
    <n v="0"/>
    <n v="0"/>
    <n v="0"/>
    <n v="642160611319"/>
    <d v="2026-08-10T00:00:00"/>
    <n v="215"/>
  </r>
  <r>
    <s v="Plastene Polyfilms Limited"/>
    <d v="2026-12-08T00:00:00"/>
    <s v="PPL/26-27/SII01137"/>
    <s v="WIP00025"/>
    <s v="PP Lam Fabric With UV"/>
    <s v="PPL/RAW/26-27/420"/>
    <n v="3258"/>
    <n v="3258"/>
    <s v="Kgs"/>
    <n v="3258"/>
    <n v="0"/>
    <n v="3258"/>
    <s v="GJ12X1249"/>
    <s v="Plastene India ltd - Unit 1-Purchase"/>
    <s v="Plastene India ltd - Unit 1-Purchase"/>
    <s v="PIL1/D/1345"/>
    <d v="2026-11-08T00:00:00"/>
    <s v="RAW MATERIAL"/>
    <s v="INDIGENOUS"/>
    <s v="RM 420"/>
    <n v="149.32"/>
    <n v="149.320000627718"/>
    <s v="PIL1/D/1345"/>
    <d v="2026-11-08T00:00:00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951509.7"/>
    <s v="SF"/>
    <s v="PP/PE Fabric"/>
    <x v="1"/>
    <s v="RM"/>
    <s v="erp"/>
    <n v="0"/>
    <n v="486484.56"/>
    <n v="425"/>
    <d v="2026-11-08T00:00:00"/>
    <s v="24AAACO3087C1ZT"/>
    <s v="storeppl"/>
    <s v="storeppl"/>
    <n v="9"/>
    <n v="43783.61"/>
    <n v="9"/>
    <n v="43783.61"/>
    <n v="0"/>
    <n v="0"/>
    <n v="951509.7"/>
    <n v="662161464143"/>
    <d v="2026-08-11T00:00:00"/>
    <n v="3258"/>
  </r>
  <r>
    <s v="Plastene Polyfilms Limited"/>
    <d v="2026-12-08T00:00:00"/>
    <s v="PPL/26-27/SII01137"/>
    <s v="WIP00032"/>
    <s v="Webbing"/>
    <s v="PPL/RAW/26-27/420"/>
    <n v="769.9"/>
    <n v="769.9"/>
    <s v="Kgs"/>
    <n v="769.9"/>
    <n v="0"/>
    <n v="769.9"/>
    <s v="GJ12X1249"/>
    <s v="Plastene India ltd - Unit 1-Purchase"/>
    <s v="Plastene India ltd - Unit 1-Purchase"/>
    <s v="PIL1/D/1345"/>
    <d v="2026-11-08T00:00:00"/>
    <s v="RAW MATERIAL"/>
    <s v="INDIGENOUS"/>
    <s v="RM 420"/>
    <n v="147.32"/>
    <n v="147.320000619311"/>
    <s v="PIL1/D/1345"/>
    <d v="2026-11-08T00:00:00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951509.7"/>
    <s v="SF"/>
    <s v="Webbing"/>
    <x v="2"/>
    <s v="RM"/>
    <s v="erp"/>
    <n v="0"/>
    <n v="113421.67"/>
    <n v="425"/>
    <d v="2026-11-08T00:00:00"/>
    <s v="24AAACO3087C1ZT"/>
    <s v="storeppl"/>
    <s v="storeppl"/>
    <n v="9"/>
    <n v="10207.950000000001"/>
    <n v="9"/>
    <n v="10207.950000000001"/>
    <n v="0"/>
    <n v="0"/>
    <n v="0"/>
    <n v="662161464143"/>
    <d v="2026-08-11T00:00:00"/>
    <n v="769.9"/>
  </r>
  <r>
    <s v="Plastene Polyfilms Limited"/>
    <d v="2026-12-08T00:00:00"/>
    <s v="PPL/26-27/SII01137"/>
    <s v="WIP00032"/>
    <s v="Webbing"/>
    <s v="PPL/RAW/26-27/420"/>
    <n v="697.5"/>
    <n v="697.5"/>
    <s v="Kgs"/>
    <n v="697.5"/>
    <n v="0"/>
    <n v="697.5"/>
    <s v="GJ12X1249"/>
    <s v="Plastene India ltd - Unit 1-Purchase"/>
    <s v="Plastene India ltd - Unit 1-Purchase"/>
    <s v="PIL1/D/1345"/>
    <d v="2026-11-08T00:00:00"/>
    <s v="RAW MATERIAL"/>
    <s v="INDIGENOUS"/>
    <s v="RM 420"/>
    <n v="144.32"/>
    <n v="144.32000060669901"/>
    <s v="PIL1/D/1345"/>
    <d v="2026-11-08T00:00:00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951509.7"/>
    <s v="SF"/>
    <s v="Webbing"/>
    <x v="2"/>
    <s v="RM"/>
    <s v="erp"/>
    <n v="0"/>
    <n v="100663.2"/>
    <n v="425"/>
    <d v="2026-11-08T00:00:00"/>
    <s v="24AAACO3087C1ZT"/>
    <s v="storeppl"/>
    <s v="storeppl"/>
    <n v="9"/>
    <n v="9059.69"/>
    <n v="9"/>
    <n v="9059.69"/>
    <n v="0"/>
    <n v="0"/>
    <n v="0"/>
    <n v="662161464143"/>
    <d v="2026-08-11T00:00:00"/>
    <n v="697.5"/>
  </r>
  <r>
    <s v="Plastene Polyfilms Limited"/>
    <d v="2026-12-08T00:00:00"/>
    <s v="PPL/26-27/SII01137"/>
    <s v="WIP00013"/>
    <s v="LDPE/LLDPE Bags/Liner"/>
    <s v="PPL/RAW/26-27/420"/>
    <n v="487"/>
    <n v="487"/>
    <s v="Kgs"/>
    <n v="487"/>
    <n v="0"/>
    <n v="487"/>
    <s v="GJ12X1249"/>
    <s v="Plastene India ltd - Unit 1-Purchase"/>
    <s v="Plastene India ltd - Unit 1-Purchase"/>
    <s v="PIL1/D/1345"/>
    <d v="2026-11-08T00:00:00"/>
    <s v="RAW MATERIAL"/>
    <s v="INDIGENOUS"/>
    <s v="RM 420"/>
    <n v="200.86"/>
    <n v="200.86000084438399"/>
    <s v="PIL1/D/1345"/>
    <d v="2026-11-08T00:00:00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951509.7"/>
    <s v="SF"/>
    <s v="Liners"/>
    <x v="5"/>
    <s v="RM"/>
    <s v="erp"/>
    <n v="0"/>
    <n v="97818.82"/>
    <n v="425"/>
    <d v="2026-11-08T00:00:00"/>
    <s v="24AAACO3087C1ZT"/>
    <s v="storeppl"/>
    <s v="storeppl"/>
    <n v="9"/>
    <n v="8803.69"/>
    <n v="9"/>
    <n v="8803.69"/>
    <n v="0"/>
    <n v="0"/>
    <n v="0"/>
    <n v="662161464143"/>
    <d v="2026-08-11T00:00:00"/>
    <n v="487"/>
  </r>
  <r>
    <s v="Plastene Polyfilms Limited"/>
    <d v="2026-12-08T00:00:00"/>
    <s v="PPL/26-27/SII01137"/>
    <s v="RAW05124"/>
    <s v="LDPE/LLDPE Film"/>
    <s v="PPL/RAW/26-27/420"/>
    <n v="47.8"/>
    <n v="47.8"/>
    <s v="Kgs"/>
    <n v="47.8"/>
    <n v="0"/>
    <n v="47.8"/>
    <s v="GJ12X1249"/>
    <s v="Plastene India ltd - Unit 1-Purchase"/>
    <s v="Plastene India ltd - Unit 1-Purchase"/>
    <s v="PIL1/D/1345"/>
    <d v="2026-11-08T00:00:00"/>
    <s v="RAW MATERIAL"/>
    <s v="INDIGENOUS"/>
    <s v="RM 420"/>
    <n v="166.86"/>
    <n v="166.860000701454"/>
    <s v="PIL1/D/1345"/>
    <d v="2026-11-08T00:00:00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951509.7"/>
    <s v="SF"/>
    <s v="Films All (SF)"/>
    <x v="13"/>
    <s v="RM"/>
    <s v="erp"/>
    <n v="0"/>
    <n v="7975.91"/>
    <n v="425"/>
    <d v="2026-11-08T00:00:00"/>
    <s v="24AAACO3087C1ZT"/>
    <s v="storeppl"/>
    <s v="storeppl"/>
    <n v="9"/>
    <n v="717.83"/>
    <n v="9"/>
    <n v="717.83"/>
    <n v="0"/>
    <n v="0"/>
    <n v="0"/>
    <n v="662161464143"/>
    <d v="2026-08-11T00:00:00"/>
    <n v="47.8"/>
  </r>
  <r>
    <s v="Plastene Polyfilms Limited"/>
    <d v="2026-12-08T00:00:00"/>
    <s v="PPL/26-27/SII01138"/>
    <s v="WIP00023"/>
    <s v="PP UL Fabric With UV"/>
    <s v="PPL/RAW/26-27/418"/>
    <n v="2760"/>
    <n v="2760"/>
    <s v="Kgs"/>
    <n v="2760"/>
    <n v="0"/>
    <n v="2760"/>
    <s v="GJ12BY1595"/>
    <s v="Plastene India ltd - Unit 1-Purchase"/>
    <s v="Plastene India ltd - Unit 1-Purchase"/>
    <s v="PIL1/D/1346"/>
    <d v="2026-12-08T00:00:00"/>
    <s v="RAW MATERIAL"/>
    <s v="INDIGENOUS"/>
    <s v="RM 421"/>
    <n v="142.32"/>
    <n v="142.32"/>
    <s v="PIL1/D/1346"/>
    <d v="2026-12-08T00:00:00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463507.78"/>
    <s v="SF"/>
    <s v="PP/PE Fabric"/>
    <x v="0"/>
    <s v="RM"/>
    <s v="erp"/>
    <n v="0"/>
    <n v="392803.2"/>
    <n v="427"/>
    <d v="2026-12-08T00:00:00"/>
    <s v="24AAACO3087C1ZT"/>
    <s v="storeppl"/>
    <s v="storeppl"/>
    <n v="9"/>
    <n v="35352.29"/>
    <n v="9"/>
    <n v="35352.29"/>
    <n v="0"/>
    <n v="0"/>
    <n v="463507.78"/>
    <n v="682164712994"/>
    <d v="2026-08-12T00:00:00"/>
    <n v="2760"/>
  </r>
  <r>
    <s v="Plastene Polyfilms Limited"/>
    <d v="2026-12-08T00:00:00"/>
    <s v="PPL/26-27/SII01139"/>
    <s v="SMF00052"/>
    <s v="PP Fibrillated Tape Twisted 3200 Blue"/>
    <s v="PPL/RAW/26-27/419"/>
    <n v="1775"/>
    <n v="1775"/>
    <s v="Kgs"/>
    <n v="1775"/>
    <n v="0"/>
    <n v="1775"/>
    <s v="GJ12BZ4679"/>
    <s v="K.P. Woven Pvt Ltd-Purchase"/>
    <s v="K.P. Woven Pvt Ltd-Purchase"/>
    <s v="KPV/D/585"/>
    <d v="2026-11-08T00:00:00"/>
    <s v="RAW MATERIAL"/>
    <s v="INDIGENOUS"/>
    <s v="RM 422"/>
    <n v="159.4"/>
    <n v="159.4"/>
    <s v="KPV/D/585"/>
    <d v="2026-11-08T00:00:00"/>
    <m/>
    <n v="0"/>
    <m/>
    <s v="G NAAM LOGISTICS"/>
    <n v="1934"/>
    <n v="0"/>
    <n v="0"/>
    <n v="0"/>
    <n v="0"/>
    <n v="0"/>
    <s v="VAT"/>
    <n v="0"/>
    <n v="0"/>
    <n v="0"/>
    <n v="0"/>
    <n v="0"/>
    <m/>
    <n v="0"/>
    <n v="0"/>
    <n v="358664.26"/>
    <s v="SF"/>
    <s v="Yarn All"/>
    <x v="9"/>
    <s v="RM"/>
    <s v="erp"/>
    <n v="0"/>
    <n v="282935"/>
    <n v="426"/>
    <d v="2026-12-08T00:00:00"/>
    <s v="24AAECK6307M1ZF"/>
    <s v="storeppl"/>
    <s v="storeppl"/>
    <n v="2.5"/>
    <n v="7073.38"/>
    <n v="2.5"/>
    <n v="7073.38"/>
    <n v="0"/>
    <n v="0"/>
    <n v="358664.26"/>
    <n v="672161392975"/>
    <d v="2026-08-11T00:00:00"/>
    <n v="1775"/>
  </r>
  <r>
    <s v="Plastene Polyfilms Limited"/>
    <d v="2026-12-08T00:00:00"/>
    <s v="PPL/26-27/SII01139"/>
    <s v="SMF00054"/>
    <s v="PP Fibrillated Tape Twisted 3200 MW"/>
    <s v="PPL/RAW/26-27/419"/>
    <n v="375"/>
    <n v="375"/>
    <s v="Kgs"/>
    <n v="375"/>
    <n v="0"/>
    <n v="375"/>
    <s v="GJ12BZ4679"/>
    <s v="K.P. Woven Pvt Ltd-Purchase"/>
    <s v="K.P. Woven Pvt Ltd-Purchase"/>
    <s v="KPV/D/585"/>
    <d v="2026-11-08T00:00:00"/>
    <s v="RAW MATERIAL"/>
    <s v="INDIGENOUS"/>
    <s v="RM 422"/>
    <n v="156.4"/>
    <n v="156.4"/>
    <s v="KPV/D/585"/>
    <d v="2026-11-08T00:00:00"/>
    <m/>
    <n v="0"/>
    <m/>
    <s v="G NAAM LOGISTICS"/>
    <n v="1934"/>
    <n v="0"/>
    <n v="0"/>
    <n v="0"/>
    <n v="0"/>
    <n v="0"/>
    <s v="VAT"/>
    <n v="0"/>
    <n v="0"/>
    <n v="0"/>
    <n v="0"/>
    <n v="0"/>
    <m/>
    <n v="0"/>
    <n v="0"/>
    <n v="358664.26"/>
    <s v="SF"/>
    <s v="Yarn All"/>
    <x v="9"/>
    <s v="RM"/>
    <s v="erp"/>
    <n v="0"/>
    <n v="58650"/>
    <n v="426"/>
    <d v="2026-12-08T00:00:00"/>
    <s v="24AAECK6307M1ZF"/>
    <s v="storeppl"/>
    <s v="storeppl"/>
    <n v="2.5"/>
    <n v="1466.25"/>
    <n v="2.5"/>
    <n v="1466.25"/>
    <n v="0"/>
    <n v="0"/>
    <n v="0"/>
    <n v="672161392975"/>
    <d v="2026-08-11T00:00:00"/>
    <n v="375"/>
  </r>
  <r>
    <s v="Plastene Polyfilms Limited"/>
    <d v="2026-12-08T00:00:00"/>
    <s v="PPL/26-27/SII01140"/>
    <s v="WIP00004"/>
    <s v="FIBC Bags With UV Without Liner"/>
    <s v="PPL/RAW/26-27/421"/>
    <n v="13942"/>
    <n v="13942"/>
    <s v="Kgs"/>
    <n v="13942"/>
    <n v="0"/>
    <n v="13942"/>
    <s v="GJ12CT5713"/>
    <s v="Plastene India ltd - Unit 2-Purchase"/>
    <s v="Plastene India ltd - Unit 2-Purchase"/>
    <s v="PIL2/D/486"/>
    <d v="2026-12-08T00:00:00"/>
    <s v="RAW MATERIAL"/>
    <s v="INDIGENOUS"/>
    <s v="RM 423"/>
    <n v="241.46"/>
    <n v="241.46"/>
    <s v="PIL2/D/486"/>
    <d v="2026-12-08T00:00:00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5298382.1100000003"/>
    <s v="FG"/>
    <s v="FIBC Bags"/>
    <x v="7"/>
    <s v="RM"/>
    <s v="erp"/>
    <n v="0"/>
    <n v="3366435.32"/>
    <n v="428"/>
    <d v="2026-12-08T00:00:00"/>
    <s v="24AAACO3087C1ZT"/>
    <s v="storeppl"/>
    <s v="storeppl"/>
    <n v="9"/>
    <n v="302979.18"/>
    <n v="9"/>
    <n v="302979.18"/>
    <n v="0"/>
    <n v="0"/>
    <n v="5298382.1100000003"/>
    <n v="622161908636"/>
    <d v="2026-08-12T00:00:00"/>
    <n v="13942"/>
  </r>
  <r>
    <s v="Plastene Polyfilms Limited"/>
    <d v="2026-12-08T00:00:00"/>
    <s v="PPL/26-27/SII01140"/>
    <s v="WIP00004"/>
    <s v="FIBC Bags With UV Without Liner"/>
    <s v="PPL/RAW/26-27/421"/>
    <n v="3857"/>
    <n v="3857"/>
    <s v="Kgs"/>
    <n v="3857"/>
    <n v="0"/>
    <n v="3857"/>
    <s v="GJ12CT5713"/>
    <s v="Plastene India ltd - Unit 2-Purchase"/>
    <s v="Plastene India ltd - Unit 2-Purchase"/>
    <s v="PIL2/D/486"/>
    <d v="2026-12-08T00:00:00"/>
    <s v="RAW MATERIAL"/>
    <s v="INDIGENOUS"/>
    <s v="RM 423"/>
    <n v="205.39"/>
    <n v="205.39"/>
    <s v="PIL2/D/486"/>
    <d v="2026-12-08T00:00:00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5298382.1100000003"/>
    <s v="FG"/>
    <s v="FIBC Bags"/>
    <x v="7"/>
    <s v="RM"/>
    <s v="erp"/>
    <n v="0"/>
    <n v="792189.23"/>
    <n v="428"/>
    <d v="2026-12-08T00:00:00"/>
    <s v="24AAACO3087C1ZT"/>
    <s v="storeppl"/>
    <s v="storeppl"/>
    <n v="9"/>
    <n v="71297.03"/>
    <n v="9"/>
    <n v="71297.03"/>
    <n v="0"/>
    <n v="0"/>
    <n v="0"/>
    <n v="622161908636"/>
    <d v="2026-08-12T00:00:00"/>
    <n v="3857"/>
  </r>
  <r>
    <s v="Plastene Polyfilms Limited"/>
    <d v="2026-12-08T00:00:00"/>
    <s v="PPL/26-27/SII01140"/>
    <s v="WIP00004"/>
    <s v="FIBC Bags With UV Without Liner"/>
    <s v="PPL/RAW/26-27/421"/>
    <n v="411"/>
    <n v="411"/>
    <s v="Kgs"/>
    <n v="411"/>
    <n v="0"/>
    <n v="411"/>
    <s v="GJ12CT5713"/>
    <s v="Plastene India ltd - Unit 2-Purchase"/>
    <s v="Plastene India ltd - Unit 2-Purchase"/>
    <s v="PIL2/D/486"/>
    <d v="2026-12-08T00:00:00"/>
    <s v="RAW MATERIAL"/>
    <s v="INDIGENOUS"/>
    <s v="RM 423"/>
    <n v="181.44"/>
    <n v="181.44"/>
    <s v="PIL2/D/486"/>
    <d v="2026-12-08T00:00:00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5298382.1100000003"/>
    <s v="FG"/>
    <s v="FIBC Bags"/>
    <x v="7"/>
    <s v="RM"/>
    <s v="erp"/>
    <n v="0"/>
    <n v="74571.839999999997"/>
    <n v="428"/>
    <d v="2026-12-08T00:00:00"/>
    <s v="24AAACO3087C1ZT"/>
    <s v="storeppl"/>
    <s v="storeppl"/>
    <n v="9"/>
    <n v="6711.47"/>
    <n v="9"/>
    <n v="6711.47"/>
    <n v="0"/>
    <n v="0"/>
    <n v="0"/>
    <n v="622161908636"/>
    <d v="2026-08-12T00:00:00"/>
    <n v="411"/>
  </r>
  <r>
    <s v="Plastene Polyfilms Limited"/>
    <d v="2026-12-08T00:00:00"/>
    <s v="PPL/26-27/SII01140"/>
    <s v="WIP00004"/>
    <s v="FIBC Bags With UV Without Liner"/>
    <s v="PPL/RAW/26-27/421"/>
    <n v="1277"/>
    <n v="1277"/>
    <s v="Kgs"/>
    <n v="1277"/>
    <n v="0"/>
    <n v="1277"/>
    <s v="GJ12CT5713"/>
    <s v="Plastene India ltd - Unit 2-Purchase"/>
    <s v="Plastene India ltd - Unit 2-Purchase"/>
    <s v="PIL2/D/486"/>
    <d v="2026-12-08T00:00:00"/>
    <s v="RAW MATERIAL"/>
    <s v="INDIGENOUS"/>
    <s v="RM 423"/>
    <n v="201.22"/>
    <n v="201.22"/>
    <s v="PIL2/D/486"/>
    <d v="2026-12-08T00:00:00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5298382.1100000003"/>
    <s v="FG"/>
    <s v="FIBC Bags"/>
    <x v="7"/>
    <s v="RM"/>
    <s v="erp"/>
    <n v="0"/>
    <n v="256957.94"/>
    <n v="428"/>
    <d v="2026-12-08T00:00:00"/>
    <s v="24AAACO3087C1ZT"/>
    <s v="storeppl"/>
    <s v="storeppl"/>
    <n v="9"/>
    <n v="23126.21"/>
    <n v="9"/>
    <n v="23126.21"/>
    <n v="0"/>
    <n v="0"/>
    <n v="0"/>
    <n v="622161908636"/>
    <d v="2026-08-12T00:00:00"/>
    <n v="1277"/>
  </r>
  <r>
    <s v="Plastene Polyfilms Limited"/>
    <d v="2026-12-08T00:00:00"/>
    <s v="PPL/26-27/SII01143"/>
    <s v="WIP00013"/>
    <s v="LDPE/LLDPE Bags/Liner"/>
    <s v="PPL/RAW/26-27/422"/>
    <n v="525"/>
    <n v="525"/>
    <s v="Kgs"/>
    <n v="525"/>
    <n v="0"/>
    <n v="525"/>
    <s v="GJ12X1249"/>
    <s v="Plastene India ltd - Unit 1-Purchase"/>
    <s v="Plastene India ltd - Unit 1-Purchase"/>
    <s v="PIL1/D/1353"/>
    <d v="2026-12-08T00:00:00"/>
    <s v="RAW MATERIAL"/>
    <s v="INDIGENOUS"/>
    <s v="RM 424"/>
    <n v="182.86"/>
    <n v="182.86000076945601"/>
    <s v="PIL1/D/1353"/>
    <d v="2026-12-08T00:00:00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950593.13"/>
    <s v="SF"/>
    <s v="Liners"/>
    <x v="5"/>
    <s v="RM"/>
    <s v="erp"/>
    <n v="0"/>
    <n v="96001.5"/>
    <n v="429"/>
    <d v="2026-12-08T00:00:00"/>
    <s v="24AAACO3087C1ZT"/>
    <s v="storeppl"/>
    <s v="storeppl"/>
    <n v="9"/>
    <n v="8640.14"/>
    <n v="9"/>
    <n v="8640.14"/>
    <n v="0"/>
    <n v="0"/>
    <n v="950593.13"/>
    <n v="612162102838"/>
    <d v="2026-08-12T00:00:00"/>
    <n v="525"/>
  </r>
  <r>
    <s v="Plastene Polyfilms Limited"/>
    <d v="2026-12-08T00:00:00"/>
    <s v="PPL/26-27/SII01143"/>
    <s v="WIP00023"/>
    <s v="PP UL Fabric With UV"/>
    <s v="PPL/RAW/26-27/422"/>
    <n v="1401"/>
    <n v="1401"/>
    <s v="Kgs"/>
    <n v="1401"/>
    <n v="0"/>
    <n v="1401"/>
    <s v="GJ12X1249"/>
    <s v="Plastene India ltd - Unit 1-Purchase"/>
    <s v="Plastene India ltd - Unit 1-Purchase"/>
    <s v="PIL1/D/1353"/>
    <d v="2026-12-08T00:00:00"/>
    <s v="RAW MATERIAL"/>
    <s v="INDIGENOUS"/>
    <s v="RM 424"/>
    <n v="142.32"/>
    <n v="142.32000059886801"/>
    <s v="PIL1/D/1353"/>
    <d v="2026-12-08T00:00:00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950593.13"/>
    <s v="SF"/>
    <s v="PP/PE Fabric"/>
    <x v="0"/>
    <s v="RM"/>
    <s v="erp"/>
    <n v="0"/>
    <n v="199390.32"/>
    <n v="429"/>
    <d v="2026-12-08T00:00:00"/>
    <s v="24AAACO3087C1ZT"/>
    <s v="storeppl"/>
    <s v="storeppl"/>
    <n v="9"/>
    <n v="17945.13"/>
    <n v="9"/>
    <n v="17945.13"/>
    <n v="0"/>
    <n v="0"/>
    <n v="0"/>
    <n v="612162102838"/>
    <d v="2026-08-12T00:00:00"/>
    <n v="1401"/>
  </r>
  <r>
    <s v="Plastene Polyfilms Limited"/>
    <d v="2026-12-08T00:00:00"/>
    <s v="PPL/26-27/SII01143"/>
    <s v="SMF00147"/>
    <s v="PE Labels (Kgs)"/>
    <s v="PPL/RAW/26-27/422"/>
    <n v="192.7"/>
    <n v="192.7"/>
    <s v="Kgs"/>
    <n v="192.7"/>
    <n v="0"/>
    <n v="192.7"/>
    <s v="GJ12X1249"/>
    <s v="Plastene India ltd - Unit 1-Purchase"/>
    <s v="Plastene India ltd - Unit 1-Purchase"/>
    <s v="PIL1/D/1353"/>
    <d v="2026-12-08T00:00:00"/>
    <s v="RAW MATERIAL"/>
    <s v="INDIGENOUS"/>
    <s v="RM 424"/>
    <n v="120"/>
    <n v="120.00000050494801"/>
    <s v="PIL1/D/1353"/>
    <d v="2026-12-08T00:00:00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950593.13"/>
    <s v="SF"/>
    <s v="Liners"/>
    <x v="5"/>
    <s v="RM"/>
    <s v="erp"/>
    <n v="0"/>
    <n v="23124"/>
    <n v="429"/>
    <d v="2026-12-08T00:00:00"/>
    <s v="24AAACO3087C1ZT"/>
    <s v="storeppl"/>
    <s v="storeppl"/>
    <n v="9"/>
    <n v="2081.16"/>
    <n v="9"/>
    <n v="2081.16"/>
    <n v="0"/>
    <n v="0"/>
    <n v="0"/>
    <n v="612162102838"/>
    <d v="2026-08-12T00:00:00"/>
    <n v="192.7"/>
  </r>
  <r>
    <s v="Plastene Polyfilms Limited"/>
    <d v="2026-12-08T00:00:00"/>
    <s v="PPL/26-27/SII01143"/>
    <s v="MUL07658"/>
    <s v="Stretch Film 300mmx29Mic"/>
    <s v="PPL/RAW/26-27/422"/>
    <n v="34"/>
    <n v="34"/>
    <s v="Kgs"/>
    <n v="34"/>
    <n v="0"/>
    <n v="34"/>
    <s v="GJ12X1249"/>
    <s v="Plastene India ltd - Unit 1-Purchase"/>
    <s v="Plastene India ltd - Unit 1-Purchase"/>
    <s v="PIL1/D/1353"/>
    <d v="2026-12-08T00:00:00"/>
    <s v="RAW MATERIAL"/>
    <s v="INDIGENOUS"/>
    <s v="RM 424"/>
    <n v="155"/>
    <n v="155.000000652224"/>
    <s v="PIL1/D/1353"/>
    <d v="2026-12-08T00:00:00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950593.13"/>
    <s v="Packing Material"/>
    <s v="Stretch Film"/>
    <x v="13"/>
    <s v="RM"/>
    <s v="erp"/>
    <n v="0"/>
    <n v="5270"/>
    <n v="429"/>
    <d v="2026-12-08T00:00:00"/>
    <s v="24AAACO3087C1ZT"/>
    <s v="storeppl"/>
    <s v="storeppl"/>
    <n v="9"/>
    <n v="474.3"/>
    <n v="9"/>
    <n v="474.3"/>
    <n v="0"/>
    <n v="0"/>
    <n v="0"/>
    <n v="612162102838"/>
    <d v="2026-08-12T00:00:00"/>
    <n v="34"/>
  </r>
  <r>
    <s v="Plastene Polyfilms Limited"/>
    <d v="2026-12-08T00:00:00"/>
    <s v="PPL/26-27/SII01143"/>
    <s v="WIP00032"/>
    <s v="Webbing"/>
    <s v="PPL/RAW/26-27/422"/>
    <n v="405.8"/>
    <n v="405.8"/>
    <s v="Kgs"/>
    <n v="405.8"/>
    <n v="0"/>
    <n v="405.8"/>
    <s v="GJ12X1249"/>
    <s v="Plastene India ltd - Unit 1-Purchase"/>
    <s v="Plastene India ltd - Unit 1-Purchase"/>
    <s v="PIL1/D/1353"/>
    <d v="2026-12-08T00:00:00"/>
    <s v="RAW MATERIAL"/>
    <s v="INDIGENOUS"/>
    <s v="RM 424"/>
    <n v="144.32"/>
    <n v="144.32000060728399"/>
    <s v="PIL1/D/1353"/>
    <d v="2026-12-08T00:00:00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950593.13"/>
    <s v="SF"/>
    <s v="Webbing"/>
    <x v="2"/>
    <s v="RM"/>
    <s v="erp"/>
    <n v="0"/>
    <n v="58565.06"/>
    <n v="429"/>
    <d v="2026-12-08T00:00:00"/>
    <s v="24AAACO3087C1ZT"/>
    <s v="storeppl"/>
    <s v="storeppl"/>
    <n v="9"/>
    <n v="5270.86"/>
    <n v="9"/>
    <n v="5270.86"/>
    <n v="0"/>
    <n v="0"/>
    <n v="0"/>
    <n v="612162102838"/>
    <d v="2026-08-12T00:00:00"/>
    <n v="405.8"/>
  </r>
  <r>
    <s v="Plastene Polyfilms Limited"/>
    <d v="2026-12-08T00:00:00"/>
    <s v="PPL/26-27/SII01143"/>
    <s v="WIP00032"/>
    <s v="Webbing"/>
    <s v="PPL/RAW/26-27/422"/>
    <n v="402.9"/>
    <n v="402.9"/>
    <s v="Kgs"/>
    <n v="402.9"/>
    <n v="0"/>
    <n v="402.9"/>
    <s v="GJ12X1249"/>
    <s v="Plastene India ltd - Unit 1-Purchase"/>
    <s v="Plastene India ltd - Unit 1-Purchase"/>
    <s v="PIL1/D/1353"/>
    <d v="2026-12-08T00:00:00"/>
    <s v="RAW MATERIAL"/>
    <s v="INDIGENOUS"/>
    <s v="RM 424"/>
    <n v="147.32"/>
    <n v="147.320000619908"/>
    <s v="PIL1/D/1353"/>
    <d v="2026-12-08T00:00:00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950593.13"/>
    <s v="SF"/>
    <s v="Webbing"/>
    <x v="2"/>
    <s v="RM"/>
    <s v="erp"/>
    <n v="0"/>
    <n v="59355.23"/>
    <n v="429"/>
    <d v="2026-12-08T00:00:00"/>
    <s v="24AAACO3087C1ZT"/>
    <s v="storeppl"/>
    <s v="storeppl"/>
    <n v="9"/>
    <n v="5341.97"/>
    <n v="9"/>
    <n v="5341.97"/>
    <n v="0"/>
    <n v="0"/>
    <n v="0"/>
    <n v="612162102838"/>
    <d v="2026-08-12T00:00:00"/>
    <n v="402.9"/>
  </r>
  <r>
    <s v="Plastene Polyfilms Limited"/>
    <d v="2026-12-08T00:00:00"/>
    <s v="PPL/26-27/SII01143"/>
    <s v="WIP00025"/>
    <s v="PP Lam Fabric With UV"/>
    <s v="PPL/RAW/26-27/422"/>
    <n v="1540"/>
    <n v="1540"/>
    <s v="Kgs"/>
    <n v="1540"/>
    <n v="0"/>
    <n v="1540"/>
    <s v="GJ12X1249"/>
    <s v="Plastene India ltd - Unit 1-Purchase"/>
    <s v="Plastene India ltd - Unit 1-Purchase"/>
    <s v="PIL1/D/1353"/>
    <d v="2026-12-08T00:00:00"/>
    <s v="RAW MATERIAL"/>
    <s v="INDIGENOUS"/>
    <s v="RM 424"/>
    <n v="149.32"/>
    <n v="149.32000062832299"/>
    <s v="PIL1/D/1353"/>
    <d v="2026-12-08T00:00:00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950593.13"/>
    <s v="SF"/>
    <s v="PP/PE Fabric"/>
    <x v="1"/>
    <s v="RM"/>
    <s v="erp"/>
    <n v="0"/>
    <n v="229952.8"/>
    <n v="429"/>
    <d v="2026-12-08T00:00:00"/>
    <s v="24AAACO3087C1ZT"/>
    <s v="storeppl"/>
    <s v="storeppl"/>
    <n v="9"/>
    <n v="20695.75"/>
    <n v="9"/>
    <n v="20695.75"/>
    <n v="0"/>
    <n v="0"/>
    <n v="0"/>
    <n v="612162102838"/>
    <d v="2026-08-12T00:00:00"/>
    <n v="1540"/>
  </r>
  <r>
    <s v="Plastene Polyfilms Limited"/>
    <d v="2026-12-08T00:00:00"/>
    <s v="PPL/26-27/SII01143"/>
    <s v="WIP00236"/>
    <s v="PP Braided Rope MW 6 to 8 GPM"/>
    <s v="PPL/RAW/26-27/422"/>
    <n v="58.7"/>
    <n v="58.7"/>
    <s v="Kgs"/>
    <n v="58.7"/>
    <n v="0"/>
    <n v="58.7"/>
    <s v="GJ12X1249"/>
    <s v="Plastene India ltd - Unit 1-Purchase"/>
    <s v="Plastene India ltd - Unit 1-Purchase"/>
    <s v="PIL1/D/1353"/>
    <d v="2026-12-08T00:00:00"/>
    <s v="RAW MATERIAL"/>
    <s v="INDIGENOUS"/>
    <s v="RM 424"/>
    <n v="158.82"/>
    <n v="158.820000668299"/>
    <s v="PIL1/D/1353"/>
    <d v="2026-12-08T00:00:00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950593.13"/>
    <s v="SF"/>
    <s v="Yarn All"/>
    <x v="9"/>
    <s v="RM"/>
    <s v="erp"/>
    <n v="0"/>
    <n v="9322.73"/>
    <n v="429"/>
    <d v="2026-12-08T00:00:00"/>
    <s v="24AAACO3087C1ZT"/>
    <s v="storeppl"/>
    <s v="storeppl"/>
    <n v="2.5"/>
    <n v="233.07"/>
    <n v="2.5"/>
    <n v="233.07"/>
    <n v="0"/>
    <n v="0"/>
    <n v="0"/>
    <n v="612162102838"/>
    <d v="2026-08-12T00:00:00"/>
    <n v="58.7"/>
  </r>
  <r>
    <s v="Plastene Polyfilms Limited"/>
    <d v="2026-12-08T00:00:00"/>
    <s v="PPL/26-27/SII01143"/>
    <s v="WIP00151"/>
    <s v="PP MF Yarn Twisted 1000 UV NW"/>
    <s v="PPL/RAW/26-27/422"/>
    <n v="914.9"/>
    <n v="914.9"/>
    <s v="Kgs"/>
    <n v="914.9"/>
    <n v="0"/>
    <n v="914.9"/>
    <s v="GJ12X1249"/>
    <s v="Plastene India ltd - Unit 1-Purchase"/>
    <s v="Plastene India ltd - Unit 1-Purchase"/>
    <s v="PIL1/D/1353"/>
    <d v="2026-12-08T00:00:00"/>
    <s v="RAW MATERIAL"/>
    <s v="INDIGENOUS"/>
    <s v="RM 424"/>
    <n v="154.32"/>
    <n v="154.32000064936301"/>
    <s v="PIL1/D/1353"/>
    <d v="2026-12-08T00:00:00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950593.13"/>
    <s v="SF"/>
    <s v="Yarn All"/>
    <x v="9"/>
    <s v="RM"/>
    <m/>
    <n v="0"/>
    <n v="141187.37"/>
    <n v="429"/>
    <d v="2026-12-08T00:00:00"/>
    <s v="24AAACO3087C1ZT"/>
    <s v="storeppl"/>
    <s v="storeppl"/>
    <n v="2.5"/>
    <n v="3529.68"/>
    <n v="2.5"/>
    <n v="3529.68"/>
    <n v="0"/>
    <n v="0"/>
    <n v="0"/>
    <n v="612162102838"/>
    <d v="2026-08-12T00:00:00"/>
    <n v="914.9"/>
  </r>
  <r>
    <s v="Plastene Polyfilms Limited"/>
    <s v="13-08-2026"/>
    <s v="PPL/26-27/SII01144"/>
    <s v="WIP00004"/>
    <s v="FIBC Bags With UV Without Liner"/>
    <s v="PPL/RAW/26-27/423"/>
    <n v="4963"/>
    <n v="4963"/>
    <s v="Kgs"/>
    <n v="4963"/>
    <n v="0"/>
    <n v="4963"/>
    <s v="GJ02VV1046"/>
    <s v="Plastene India ltd - Unit 2-Purchase"/>
    <s v="Plastene India ltd - Unit 2-Purchase"/>
    <s v="PIL2/D/487"/>
    <d v="2026-12-08T00:00:00"/>
    <s v="RAW MATERIAL"/>
    <s v="INDIGENOUS"/>
    <s v="RM 425"/>
    <n v="210.48"/>
    <n v="210.48"/>
    <s v="PIL2/D/487"/>
    <d v="2026-12-08T00:00:00"/>
    <m/>
    <n v="0"/>
    <m/>
    <s v="SHREENA  ROADWAYS"/>
    <n v="2565"/>
    <n v="0"/>
    <n v="0"/>
    <n v="0"/>
    <n v="0"/>
    <n v="0"/>
    <s v="VAT"/>
    <n v="0"/>
    <n v="0"/>
    <n v="0"/>
    <n v="0"/>
    <n v="0"/>
    <m/>
    <n v="0"/>
    <n v="0"/>
    <n v="2458018.09"/>
    <s v="FG"/>
    <s v="FIBC Bags"/>
    <x v="7"/>
    <s v="RM"/>
    <s v="erp"/>
    <n v="0"/>
    <n v="1044612.24"/>
    <n v="430"/>
    <s v="13-08-2026"/>
    <s v="24AAACO3087C1ZT"/>
    <s v="storeppl"/>
    <s v="storeppl"/>
    <n v="9"/>
    <n v="94015.1"/>
    <n v="9"/>
    <n v="94015.1"/>
    <n v="0"/>
    <n v="0"/>
    <n v="2458018.09"/>
    <n v="0"/>
    <d v="2026-08-12T00:00:00"/>
    <n v="4963"/>
  </r>
  <r>
    <s v="Plastene Polyfilms Limited"/>
    <s v="13-08-2026"/>
    <s v="PPL/26-27/SII01144"/>
    <s v="WIP00004"/>
    <s v="FIBC Bags With UV Without Liner"/>
    <s v="PPL/RAW/26-27/423"/>
    <n v="2888"/>
    <n v="2888"/>
    <s v="Kgs"/>
    <n v="2888"/>
    <n v="0"/>
    <n v="2888"/>
    <s v="GJ02VV1046"/>
    <s v="Plastene India ltd - Unit 2-Purchase"/>
    <s v="Plastene India ltd - Unit 2-Purchase"/>
    <s v="PIL2/D/487"/>
    <d v="2026-12-08T00:00:00"/>
    <s v="RAW MATERIAL"/>
    <s v="INDIGENOUS"/>
    <s v="RM 425"/>
    <n v="208.41"/>
    <n v="208.41"/>
    <s v="PIL2/D/487"/>
    <d v="2026-12-08T00:00:00"/>
    <m/>
    <n v="0"/>
    <m/>
    <s v="SHREENA  ROADWAYS"/>
    <n v="2565"/>
    <n v="0"/>
    <n v="0"/>
    <n v="0"/>
    <n v="0"/>
    <n v="0"/>
    <s v="VAT"/>
    <n v="0"/>
    <n v="0"/>
    <n v="0"/>
    <n v="0"/>
    <n v="0"/>
    <m/>
    <n v="0"/>
    <n v="0"/>
    <n v="2458018.09"/>
    <s v="FG"/>
    <s v="FIBC Bags"/>
    <x v="7"/>
    <s v="RM"/>
    <s v="erp"/>
    <n v="0"/>
    <n v="601888.07999999996"/>
    <n v="430"/>
    <s v="13-08-2026"/>
    <s v="24AAACO3087C1ZT"/>
    <s v="storeppl"/>
    <s v="storeppl"/>
    <n v="9"/>
    <n v="54169.93"/>
    <n v="9"/>
    <n v="54169.93"/>
    <n v="0"/>
    <n v="0"/>
    <n v="0"/>
    <n v="0"/>
    <d v="2026-08-12T00:00:00"/>
    <n v="2888"/>
  </r>
  <r>
    <s v="Plastene Polyfilms Limited"/>
    <s v="13-08-2026"/>
    <s v="PPL/26-27/SII01144"/>
    <s v="WIP00004"/>
    <s v="FIBC Bags With UV Without Liner"/>
    <s v="PPL/RAW/26-27/423"/>
    <n v="1995"/>
    <n v="1995"/>
    <s v="Kgs"/>
    <n v="1995"/>
    <n v="0"/>
    <n v="1995"/>
    <s v="GJ02VV1046"/>
    <s v="Plastene India ltd - Unit 2-Purchase"/>
    <s v="Plastene India ltd - Unit 2-Purchase"/>
    <s v="PIL2/D/487"/>
    <d v="2026-12-08T00:00:00"/>
    <s v="RAW MATERIAL"/>
    <s v="INDIGENOUS"/>
    <s v="RM 425"/>
    <n v="218.83"/>
    <n v="218.83"/>
    <s v="PIL2/D/487"/>
    <d v="2026-12-08T00:00:00"/>
    <m/>
    <n v="0"/>
    <m/>
    <s v="SHREENA  ROADWAYS"/>
    <n v="2565"/>
    <n v="0"/>
    <n v="0"/>
    <n v="0"/>
    <n v="0"/>
    <n v="0"/>
    <s v="VAT"/>
    <n v="0"/>
    <n v="0"/>
    <n v="0"/>
    <n v="0"/>
    <n v="0"/>
    <m/>
    <n v="0"/>
    <n v="0"/>
    <n v="2458018.09"/>
    <s v="FG"/>
    <s v="FIBC Bags"/>
    <x v="7"/>
    <s v="RM"/>
    <s v="erp"/>
    <n v="0"/>
    <n v="436565.85"/>
    <n v="430"/>
    <s v="13-08-2026"/>
    <s v="24AAACO3087C1ZT"/>
    <s v="storeppl"/>
    <s v="storeppl"/>
    <n v="9"/>
    <n v="39290.93"/>
    <n v="9"/>
    <n v="39290.93"/>
    <n v="0"/>
    <n v="0"/>
    <n v="0"/>
    <n v="0"/>
    <d v="2026-08-12T00:00:00"/>
    <n v="1995"/>
  </r>
  <r>
    <s v="Plastene Polyfilms Limited"/>
    <s v="13-08-2026"/>
    <s v="PPL/26-27/SII01145"/>
    <s v="RAW05955"/>
    <s v="MB Chandan Shiny Black"/>
    <s v="PPL/RAW/26-27/387"/>
    <n v="400"/>
    <n v="400"/>
    <s v="Kgs"/>
    <n v="400"/>
    <n v="0"/>
    <n v="400"/>
    <s v="GJ39TA5828"/>
    <s v="Simandhar Poly Industries - Unit 2"/>
    <s v="Simandhar Poly Industries - Unit 2"/>
    <s v="2936/26-27"/>
    <d v="2026-11-08T00:00:00"/>
    <s v="RAW MATERIAL"/>
    <s v="INDIGENOUS"/>
    <s v="RM 426"/>
    <n v="160"/>
    <n v="160"/>
    <s v="2936/26-27"/>
    <d v="2026-11-08T00:00:00"/>
    <m/>
    <n v="0"/>
    <m/>
    <s v="KUTCH HIGHWAY TRANSPORT CO"/>
    <d v="8723-12-01T00:00:00"/>
    <n v="0"/>
    <n v="0"/>
    <n v="0"/>
    <n v="0"/>
    <n v="0"/>
    <s v="VAT"/>
    <n v="0"/>
    <n v="0"/>
    <n v="0"/>
    <n v="0"/>
    <n v="0"/>
    <m/>
    <n v="0"/>
    <n v="0"/>
    <n v="75520"/>
    <s v="RM"/>
    <s v="Granules"/>
    <x v="10"/>
    <s v="RM"/>
    <s v="anil"/>
    <n v="0"/>
    <n v="64000"/>
    <n v="641"/>
    <s v="13-08-2026"/>
    <s v="24ADKFS4569F1ZS"/>
    <s v="storeppl"/>
    <s v="rmp2"/>
    <n v="9"/>
    <n v="5760"/>
    <n v="9"/>
    <n v="5760"/>
    <n v="0"/>
    <n v="0"/>
    <n v="75520"/>
    <n v="612161011225"/>
    <d v="2026-08-11T00:00:00"/>
    <n v="400"/>
  </r>
  <r>
    <s v="Plastene Polyfilms Limited"/>
    <s v="13-08-2026"/>
    <s v="PPL/26-27/SII01151"/>
    <s v="WIP00013"/>
    <s v="LDPE/LLDPE Bags/Liner"/>
    <s v="PPL/RAW/26-27/424"/>
    <n v="84.9"/>
    <n v="84.9"/>
    <s v="Kgs"/>
    <n v="84.9"/>
    <n v="0"/>
    <n v="84.9"/>
    <s v="GJ12X1249"/>
    <s v="Plastene India ltd - Unit 1-Purchase"/>
    <s v="Plastene India ltd - Unit 1-Purchase"/>
    <s v="PIL1/D/1363"/>
    <s v="13-08-2026"/>
    <s v="RAW MATERIAL"/>
    <s v="INDIGENOUS"/>
    <s v="RM 427"/>
    <n v="176.86"/>
    <n v="176.859990586419"/>
    <s v="PIL1/D/1363"/>
    <s v="13-08-2026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263028.47999999998"/>
    <s v="SF"/>
    <s v="Liners"/>
    <x v="5"/>
    <s v="RM"/>
    <s v="erp"/>
    <n v="0"/>
    <n v="15015.41"/>
    <n v="431"/>
    <s v="13-08-2026"/>
    <s v="24AAACO3087C1ZT"/>
    <s v="storeppl"/>
    <s v="storeppl"/>
    <n v="9"/>
    <n v="1351.39"/>
    <n v="9"/>
    <n v="1351.39"/>
    <n v="0"/>
    <n v="0"/>
    <n v="263028.47999999998"/>
    <n v="692162642297"/>
    <d v="2026-08-13T00:00:00"/>
    <n v="84.9"/>
  </r>
  <r>
    <s v="Plastene Polyfilms Limited"/>
    <s v="13-08-2026"/>
    <s v="PPL/26-27/SII01151"/>
    <s v="WIP00025"/>
    <s v="PP Lam Fabric With UV"/>
    <s v="PPL/RAW/26-27/424"/>
    <n v="86"/>
    <n v="86"/>
    <s v="Kgs"/>
    <n v="86"/>
    <n v="0"/>
    <n v="86"/>
    <s v="GJ12X1249"/>
    <s v="Plastene India ltd - Unit 1-Purchase"/>
    <s v="Plastene India ltd - Unit 1-Purchase"/>
    <s v="PIL1/D/1363"/>
    <s v="13-08-2026"/>
    <s v="RAW MATERIAL"/>
    <s v="INDIGENOUS"/>
    <s v="RM 427"/>
    <n v="146.32"/>
    <n v="146.31999221194599"/>
    <s v="PIL1/D/1363"/>
    <s v="13-08-2026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263028.47999999998"/>
    <s v="SF"/>
    <s v="PP/PE Fabric"/>
    <x v="1"/>
    <s v="RM"/>
    <s v="erp"/>
    <n v="0"/>
    <n v="12583.52"/>
    <n v="431"/>
    <s v="13-08-2026"/>
    <s v="24AAACO3087C1ZT"/>
    <s v="storeppl"/>
    <s v="storeppl"/>
    <n v="9"/>
    <n v="1132.52"/>
    <n v="9"/>
    <n v="1132.52"/>
    <n v="0"/>
    <n v="0"/>
    <n v="0"/>
    <n v="692162642297"/>
    <d v="2026-08-13T00:00:00"/>
    <n v="86"/>
  </r>
  <r>
    <s v="Plastene Polyfilms Limited"/>
    <s v="13-08-2026"/>
    <s v="PPL/26-27/SII01151"/>
    <s v="WIP00023"/>
    <s v="PP UL Fabric With UV"/>
    <s v="PPL/RAW/26-27/424"/>
    <n v="544"/>
    <n v="544"/>
    <s v="Kgs"/>
    <n v="544"/>
    <n v="0"/>
    <n v="544"/>
    <s v="GJ12X1249"/>
    <s v="Plastene India ltd - Unit 1-Purchase"/>
    <s v="Plastene India ltd - Unit 1-Purchase"/>
    <s v="PIL1/D/1363"/>
    <s v="13-08-2026"/>
    <s v="RAW MATERIAL"/>
    <s v="INDIGENOUS"/>
    <s v="RM 427"/>
    <n v="142.32"/>
    <n v="142.31999242485099"/>
    <s v="PIL1/D/1363"/>
    <s v="13-08-2026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263028.47999999998"/>
    <s v="SF"/>
    <s v="PP/PE Fabric"/>
    <x v="0"/>
    <s v="RM"/>
    <s v="erp"/>
    <n v="0"/>
    <n v="77422.080000000002"/>
    <n v="431"/>
    <s v="13-08-2026"/>
    <s v="24AAACO3087C1ZT"/>
    <s v="storeppl"/>
    <s v="storeppl"/>
    <n v="9"/>
    <n v="6967.99"/>
    <n v="9"/>
    <n v="6967.99"/>
    <n v="0"/>
    <n v="0"/>
    <n v="0"/>
    <n v="692162642297"/>
    <d v="2026-08-13T00:00:00"/>
    <n v="544"/>
  </r>
  <r>
    <s v="Plastene Polyfilms Limited"/>
    <s v="13-08-2026"/>
    <s v="PPL/26-27/SII01151"/>
    <s v="WIP00032"/>
    <s v="Webbing"/>
    <s v="PPL/RAW/26-27/424"/>
    <n v="354.6"/>
    <n v="354.6"/>
    <s v="Kgs"/>
    <n v="354.6"/>
    <n v="0"/>
    <n v="354.6"/>
    <s v="GJ12X1249"/>
    <s v="Plastene India ltd - Unit 1-Purchase"/>
    <s v="Plastene India ltd - Unit 1-Purchase"/>
    <s v="PIL1/D/1363"/>
    <s v="13-08-2026"/>
    <s v="RAW MATERIAL"/>
    <s v="INDIGENOUS"/>
    <s v="RM 427"/>
    <n v="147.32"/>
    <n v="147.31999215872"/>
    <s v="PIL1/D/1363"/>
    <s v="13-08-2026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263028.47999999998"/>
    <s v="SF"/>
    <s v="Webbing"/>
    <x v="2"/>
    <s v="RM"/>
    <s v="erp"/>
    <n v="0"/>
    <n v="52239.67"/>
    <n v="431"/>
    <s v="13-08-2026"/>
    <s v="24AAACO3087C1ZT"/>
    <s v="storeppl"/>
    <s v="storeppl"/>
    <n v="9"/>
    <n v="4701.57"/>
    <n v="9"/>
    <n v="4701.57"/>
    <n v="0"/>
    <n v="0"/>
    <n v="0"/>
    <n v="692162642297"/>
    <d v="2026-08-13T00:00:00"/>
    <n v="354.6"/>
  </r>
  <r>
    <s v="Plastene Polyfilms Limited"/>
    <s v="13-08-2026"/>
    <s v="PPL/26-27/SII01151"/>
    <s v="WIP00032"/>
    <s v="Webbing"/>
    <s v="PPL/RAW/26-27/424"/>
    <n v="429.2"/>
    <n v="429.2"/>
    <s v="Kgs"/>
    <n v="429.2"/>
    <n v="0"/>
    <n v="429.2"/>
    <s v="GJ12X1249"/>
    <s v="Plastene India ltd - Unit 1-Purchase"/>
    <s v="Plastene India ltd - Unit 1-Purchase"/>
    <s v="PIL1/D/1363"/>
    <s v="13-08-2026"/>
    <s v="RAW MATERIAL"/>
    <s v="INDIGENOUS"/>
    <s v="RM 427"/>
    <n v="144.32"/>
    <n v="144.31999231839899"/>
    <s v="PIL1/D/1363"/>
    <s v="13-08-2026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263028.47999999998"/>
    <s v="SF"/>
    <s v="Webbing"/>
    <x v="2"/>
    <s v="RM"/>
    <s v="erp"/>
    <n v="0"/>
    <n v="61942.14"/>
    <n v="431"/>
    <s v="13-08-2026"/>
    <s v="24AAACO3087C1ZT"/>
    <s v="storeppl"/>
    <s v="storeppl"/>
    <n v="9"/>
    <n v="5574.79"/>
    <n v="9"/>
    <n v="5574.79"/>
    <n v="0"/>
    <n v="0"/>
    <n v="0"/>
    <n v="692162642297"/>
    <d v="2026-08-13T00:00:00"/>
    <n v="429.2"/>
  </r>
  <r>
    <s v="Plastene Polyfilms Limited"/>
    <s v="13-08-2026"/>
    <s v="PPL/26-27/SII01151"/>
    <s v="WIP00236"/>
    <s v="PP Braided Rope MW 6 to 8 GPM"/>
    <s v="PPL/RAW/26-27/424"/>
    <n v="26.2"/>
    <n v="26.2"/>
    <s v="Kgs"/>
    <n v="26.2"/>
    <n v="0"/>
    <n v="26.2"/>
    <s v="GJ12X1249"/>
    <s v="Plastene India ltd - Unit 1-Purchase"/>
    <s v="Plastene India ltd - Unit 1-Purchase"/>
    <s v="PIL1/D/1363"/>
    <s v="13-08-2026"/>
    <s v="RAW MATERIAL"/>
    <s v="INDIGENOUS"/>
    <s v="RM 427"/>
    <n v="158.82"/>
    <n v="158.81999154661901"/>
    <s v="PIL1/D/1363"/>
    <s v="13-08-2026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263028.47999999998"/>
    <s v="SF"/>
    <s v="Yarn All"/>
    <x v="9"/>
    <s v="RM"/>
    <s v="erp"/>
    <n v="0"/>
    <n v="4161.08"/>
    <n v="431"/>
    <s v="13-08-2026"/>
    <s v="24AAACO3087C1ZT"/>
    <s v="storeppl"/>
    <s v="storeppl"/>
    <n v="2.5"/>
    <n v="104.03"/>
    <n v="2.5"/>
    <n v="104.03"/>
    <n v="0"/>
    <n v="0"/>
    <n v="0"/>
    <n v="692162642297"/>
    <d v="2026-08-13T00:00:00"/>
    <n v="26.2"/>
  </r>
  <r>
    <s v="Plastene Polyfilms Limited"/>
    <s v="14-08-2026"/>
    <s v="PPL/26-27/SII01158"/>
    <s v="WIP00002"/>
    <s v="RP Granules"/>
    <s v="PPL/RAW/26-27/425"/>
    <n v="5000"/>
    <n v="5000"/>
    <s v="Kgs"/>
    <n v="5000"/>
    <n v="0"/>
    <n v="5000"/>
    <s v="GJ12X1249"/>
    <s v="Plastene India ltd - Unit 1-Purchase"/>
    <s v="Plastene India ltd - Unit 1-Purchase"/>
    <s v="PIL1/D/1371"/>
    <s v="14-08-2026"/>
    <s v="RAW MATERIAL"/>
    <s v="INDIGENOUS"/>
    <s v="RM 428"/>
    <n v="105"/>
    <n v="105"/>
    <s v="PIL1/D/1371"/>
    <s v="14-08-2026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619500"/>
    <s v="SF"/>
    <s v="RP Granules"/>
    <x v="14"/>
    <s v="RM"/>
    <s v="erp"/>
    <n v="0"/>
    <n v="525000"/>
    <n v="436"/>
    <s v="14-08-2026"/>
    <s v="24AAACO3087C1ZT"/>
    <s v="storeppl"/>
    <s v="storeppl"/>
    <n v="9"/>
    <n v="47250"/>
    <n v="9"/>
    <n v="47250"/>
    <n v="0"/>
    <n v="0"/>
    <n v="619500"/>
    <n v="672163226164"/>
    <d v="2026-08-14T00:00:00"/>
    <n v="5000"/>
  </r>
  <r>
    <s v="Plastene Polyfilms Limited"/>
    <s v="14-08-2026"/>
    <s v="PPL/26-27/SII01159"/>
    <s v="WIP00023"/>
    <s v="PP UL Fabric With UV"/>
    <s v="PPL/RAW/26-27/426"/>
    <n v="5921"/>
    <n v="5921"/>
    <s v="Kgs"/>
    <n v="5921"/>
    <n v="0"/>
    <n v="5921"/>
    <s v="GJ18BT4656"/>
    <s v="HCP Plastene Bulkpack Limited - Purchase"/>
    <s v="HCP Plastene Bulkpack Limited - Purchase"/>
    <s v="HPBL/D/491"/>
    <s v="13-08-2026"/>
    <s v="RAW MATERIAL"/>
    <s v="INDIGENOUS"/>
    <s v="RM 429"/>
    <n v="156.49"/>
    <n v="156.49"/>
    <s v="HPBL/D/491"/>
    <s v="13-08-2026"/>
    <m/>
    <n v="0"/>
    <m/>
    <s v="SHREENA ROADWAYS"/>
    <n v="2717"/>
    <n v="0"/>
    <n v="0"/>
    <n v="0"/>
    <n v="0"/>
    <n v="0"/>
    <s v="VAT"/>
    <n v="0"/>
    <n v="0"/>
    <n v="0"/>
    <n v="0"/>
    <n v="0"/>
    <m/>
    <n v="0"/>
    <n v="0"/>
    <n v="1093361.21"/>
    <s v="SF"/>
    <s v="PP/PE Fabric"/>
    <x v="0"/>
    <s v="RM"/>
    <s v="erp"/>
    <n v="0"/>
    <n v="926577.29"/>
    <n v="434"/>
    <s v="14-08-2026"/>
    <s v="24AABCG1282C2Z6"/>
    <s v="storeppl"/>
    <s v="storeppl"/>
    <n v="9"/>
    <n v="83391.960000000006"/>
    <n v="9"/>
    <n v="83391.960000000006"/>
    <n v="0"/>
    <n v="0"/>
    <n v="1093361.21"/>
    <n v="632162705237"/>
    <d v="2026-08-13T00:00:00"/>
    <n v="5921"/>
  </r>
  <r>
    <s v="Plastene Polyfilms Limited"/>
    <s v="14-08-2026"/>
    <s v="PPL/26-27/SII01160"/>
    <s v="SMF00054"/>
    <s v="PP Fibrillated Tape Twisted 3200 MW"/>
    <s v="PPL/RAW/26-27/427"/>
    <n v="1775"/>
    <n v="1775"/>
    <s v="Kgs"/>
    <n v="1775"/>
    <n v="0"/>
    <n v="1775"/>
    <s v="GJ01LT5751"/>
    <s v="K.P. Woven Pvt Ltd-Purchase"/>
    <s v="K.P. Woven Pvt Ltd-Purchase"/>
    <s v="KPV/D/598"/>
    <s v="13-08-2026"/>
    <s v="RAW MATERIAL"/>
    <s v="INDIGENOUS"/>
    <s v="RM 430"/>
    <n v="156.4"/>
    <n v="156.4"/>
    <s v="KPV/D/598"/>
    <s v="13-08-2026"/>
    <m/>
    <n v="0"/>
    <m/>
    <s v="B.K ROADWAYS"/>
    <n v="2969"/>
    <n v="0"/>
    <n v="0"/>
    <n v="0"/>
    <n v="0"/>
    <n v="0"/>
    <s v="VAT"/>
    <n v="0"/>
    <n v="0"/>
    <n v="0"/>
    <n v="0"/>
    <n v="0"/>
    <m/>
    <n v="0"/>
    <n v="0"/>
    <n v="291490.5"/>
    <s v="SF"/>
    <s v="Yarn All"/>
    <x v="9"/>
    <s v="RM"/>
    <s v="erp"/>
    <n v="0"/>
    <n v="277610"/>
    <n v="432"/>
    <s v="14-08-2026"/>
    <s v="24AAECK6307M1ZF"/>
    <s v="storeppl"/>
    <s v="storeppl"/>
    <n v="2.5"/>
    <n v="6940.25"/>
    <n v="2.5"/>
    <n v="6940.25"/>
    <n v="0"/>
    <n v="0"/>
    <n v="291490.5"/>
    <n v="662162845938"/>
    <d v="2026-08-13T00:00:00"/>
    <n v="1775"/>
  </r>
  <r>
    <s v="Plastene Polyfilms Limited"/>
    <s v="14-08-2026"/>
    <s v="PPL/26-27/SII01161"/>
    <s v="WIP00004"/>
    <s v="FIBC Bags With UV Without Liner"/>
    <s v="PPL/RAW/26-27/428"/>
    <n v="1569"/>
    <n v="1569"/>
    <s v="Kgs"/>
    <n v="1569"/>
    <n v="0"/>
    <n v="1569"/>
    <s v="GJ01LT5751"/>
    <s v="K.P. Woven Pvt Ltd-Purchase"/>
    <s v="K.P. Woven Pvt Ltd-Purchase"/>
    <s v="KPV/D/599"/>
    <s v="13-08-2026"/>
    <s v="RAW MATERIAL"/>
    <s v="INDIGENOUS"/>
    <s v="RM 431"/>
    <n v="256.13"/>
    <n v="256.13000118391398"/>
    <s v="KPV/D/599"/>
    <s v="13-08-2026"/>
    <m/>
    <n v="0"/>
    <m/>
    <s v="B.K ROADWAYS"/>
    <n v="2969"/>
    <n v="0"/>
    <n v="0"/>
    <n v="0"/>
    <n v="0"/>
    <n v="0"/>
    <s v="VAT"/>
    <n v="0"/>
    <n v="0"/>
    <n v="0"/>
    <n v="0"/>
    <n v="0"/>
    <m/>
    <n v="0"/>
    <n v="0"/>
    <n v="865367.05"/>
    <s v="FG"/>
    <s v="FIBC Bags"/>
    <x v="7"/>
    <s v="RM"/>
    <s v="erp"/>
    <n v="0"/>
    <n v="401867.97"/>
    <n v="433"/>
    <s v="14-08-2026"/>
    <s v="24AAECK6307M1ZF"/>
    <s v="storeppl"/>
    <s v="storeppl"/>
    <n v="9"/>
    <n v="36168.120000000003"/>
    <n v="9"/>
    <n v="36168.120000000003"/>
    <n v="0"/>
    <n v="0"/>
    <n v="865367.05"/>
    <n v="622162847284"/>
    <d v="2026-08-13T00:00:00"/>
    <n v="1569"/>
  </r>
  <r>
    <s v="Plastene Polyfilms Limited"/>
    <s v="14-08-2026"/>
    <s v="PPL/26-27/SII01161"/>
    <s v="WIP00004"/>
    <s v="FIBC Bags With UV Without Liner"/>
    <s v="PPL/RAW/26-27/428"/>
    <n v="1393.3"/>
    <n v="1393.3"/>
    <s v="Kgs"/>
    <n v="1393.3"/>
    <n v="0"/>
    <n v="1393.3"/>
    <s v="GJ01LT5751"/>
    <s v="K.P. Woven Pvt Ltd-Purchase"/>
    <s v="K.P. Woven Pvt Ltd-Purchase"/>
    <s v="KPV/D/599"/>
    <s v="13-08-2026"/>
    <s v="RAW MATERIAL"/>
    <s v="INDIGENOUS"/>
    <s v="RM 431"/>
    <n v="237.92"/>
    <n v="237.920001099741"/>
    <s v="KPV/D/599"/>
    <s v="13-08-2026"/>
    <m/>
    <n v="0"/>
    <m/>
    <s v="B.K ROADWAYS"/>
    <n v="2969"/>
    <n v="0"/>
    <n v="0"/>
    <n v="0"/>
    <n v="0"/>
    <n v="0"/>
    <s v="VAT"/>
    <n v="0"/>
    <n v="0"/>
    <n v="0"/>
    <n v="0"/>
    <n v="0"/>
    <m/>
    <n v="0"/>
    <n v="0"/>
    <n v="865367.05"/>
    <s v="FG"/>
    <s v="FIBC Bags"/>
    <x v="7"/>
    <s v="RM"/>
    <s v="erp"/>
    <n v="0"/>
    <n v="331493.94"/>
    <n v="433"/>
    <s v="14-08-2026"/>
    <s v="24AAECK6307M1ZF"/>
    <s v="storeppl"/>
    <s v="storeppl"/>
    <n v="9"/>
    <n v="29834.45"/>
    <n v="9"/>
    <n v="29834.45"/>
    <n v="0"/>
    <n v="0"/>
    <n v="0"/>
    <n v="622162847284"/>
    <d v="2026-08-13T00:00:00"/>
    <n v="1393.3"/>
  </r>
  <r>
    <s v="Plastene Polyfilms Limited"/>
    <s v="14-08-2026"/>
    <s v="PPL/26-27/SII01162"/>
    <s v="WIP00004"/>
    <s v="FIBC Bags With UV Without Liner"/>
    <s v="PPL/RAW/26-27/429"/>
    <n v="2029"/>
    <n v="2029"/>
    <s v="Kgs"/>
    <n v="2029"/>
    <n v="0"/>
    <n v="2029"/>
    <s v="GJ31T5367"/>
    <s v="Plastene India ltd - Unit 2-Purchase"/>
    <s v="Plastene India ltd - Unit 2-Purchase"/>
    <s v="PIL2/D/490"/>
    <s v="13-08-2026"/>
    <s v="RAW MATERIAL"/>
    <s v="INDIGENOUS"/>
    <s v="RM 432"/>
    <n v="228.13"/>
    <n v="228.13"/>
    <s v="PIL2/D/490"/>
    <s v="13-08-2026"/>
    <m/>
    <n v="0"/>
    <m/>
    <s v="SHREENA ROADWAYS"/>
    <n v="2566"/>
    <n v="0"/>
    <n v="0"/>
    <n v="0"/>
    <n v="0"/>
    <n v="0"/>
    <s v="VAT"/>
    <n v="0"/>
    <n v="0"/>
    <n v="0"/>
    <n v="0"/>
    <n v="0"/>
    <m/>
    <n v="0"/>
    <n v="0"/>
    <n v="1826414.02"/>
    <s v="FG"/>
    <s v="FIBC Bags"/>
    <x v="7"/>
    <s v="RM"/>
    <s v="erp"/>
    <n v="0"/>
    <n v="462875.77"/>
    <n v="435"/>
    <s v="14-08-2026"/>
    <s v="24AAACO3087C1ZT"/>
    <s v="storeppl"/>
    <s v="storeppl"/>
    <n v="9"/>
    <n v="41658.82"/>
    <n v="9"/>
    <n v="41658.82"/>
    <n v="0"/>
    <n v="0"/>
    <n v="1826414.02"/>
    <n v="602162877694"/>
    <d v="2026-08-13T00:00:00"/>
    <n v="2029"/>
  </r>
  <r>
    <s v="Plastene Polyfilms Limited"/>
    <s v="14-08-2026"/>
    <s v="PPL/26-27/SII01162"/>
    <s v="WIP00003"/>
    <s v="FIBC Bags With UV With Liner"/>
    <s v="PPL/RAW/26-27/429"/>
    <n v="1981"/>
    <n v="1981"/>
    <s v="Kgs"/>
    <n v="1981"/>
    <n v="0"/>
    <n v="1981"/>
    <s v="GJ31T5367"/>
    <s v="Plastene India ltd - Unit 2-Purchase"/>
    <s v="Plastene India ltd - Unit 2-Purchase"/>
    <s v="PIL2/D/490"/>
    <s v="13-08-2026"/>
    <s v="RAW MATERIAL"/>
    <s v="INDIGENOUS"/>
    <s v="RM 432"/>
    <n v="221.57"/>
    <n v="221.57"/>
    <s v="PIL2/D/490"/>
    <s v="13-08-2026"/>
    <m/>
    <n v="0"/>
    <m/>
    <s v="SHREENA ROADWAYS"/>
    <n v="2566"/>
    <n v="0"/>
    <n v="0"/>
    <n v="0"/>
    <n v="0"/>
    <n v="0"/>
    <s v="VAT"/>
    <n v="0"/>
    <n v="0"/>
    <n v="0"/>
    <n v="0"/>
    <n v="0"/>
    <m/>
    <n v="0"/>
    <n v="0"/>
    <n v="1826414.02"/>
    <s v="FG"/>
    <s v="FIBC Bags"/>
    <x v="7"/>
    <s v="RM"/>
    <s v="erp"/>
    <n v="0"/>
    <n v="438930.17"/>
    <n v="435"/>
    <s v="14-08-2026"/>
    <s v="24AAACO3087C1ZT"/>
    <s v="storeppl"/>
    <s v="storeppl"/>
    <n v="9"/>
    <n v="39503.72"/>
    <n v="9"/>
    <n v="39503.72"/>
    <n v="0"/>
    <n v="0"/>
    <n v="0"/>
    <n v="602162877694"/>
    <d v="2026-08-13T00:00:00"/>
    <n v="1981"/>
  </r>
  <r>
    <s v="Plastene Polyfilms Limited"/>
    <s v="14-08-2026"/>
    <s v="PPL/26-27/SII01162"/>
    <s v="WIP00003"/>
    <s v="FIBC Bags With UV With Liner"/>
    <s v="PPL/RAW/26-27/429"/>
    <n v="1987"/>
    <n v="1987"/>
    <s v="Kgs"/>
    <n v="1987"/>
    <n v="0"/>
    <n v="1987"/>
    <s v="GJ31T5367"/>
    <s v="Plastene India ltd - Unit 2-Purchase"/>
    <s v="Plastene India ltd - Unit 2-Purchase"/>
    <s v="PIL2/D/490"/>
    <s v="13-08-2026"/>
    <s v="RAW MATERIAL"/>
    <s v="INDIGENOUS"/>
    <s v="RM 432"/>
    <n v="224.42"/>
    <n v="224.42"/>
    <s v="PIL2/D/490"/>
    <s v="13-08-2026"/>
    <m/>
    <n v="0"/>
    <m/>
    <s v="SHREENA ROADWAYS"/>
    <n v="2566"/>
    <n v="0"/>
    <n v="0"/>
    <n v="0"/>
    <n v="0"/>
    <n v="0"/>
    <s v="VAT"/>
    <n v="0"/>
    <n v="0"/>
    <n v="0"/>
    <n v="0"/>
    <n v="0"/>
    <m/>
    <n v="0"/>
    <n v="0"/>
    <n v="1826414.02"/>
    <s v="FG"/>
    <s v="FIBC Bags"/>
    <x v="7"/>
    <s v="RM"/>
    <s v="erp"/>
    <n v="0"/>
    <n v="445922.54"/>
    <n v="435"/>
    <s v="14-08-2026"/>
    <s v="24AAACO3087C1ZT"/>
    <s v="storeppl"/>
    <s v="storeppl"/>
    <n v="9"/>
    <n v="40133.03"/>
    <n v="9"/>
    <n v="40133.03"/>
    <n v="0"/>
    <n v="0"/>
    <n v="0"/>
    <n v="602162877694"/>
    <d v="2026-08-13T00:00:00"/>
    <n v="1987"/>
  </r>
  <r>
    <s v="Plastene Polyfilms Limited"/>
    <s v="14-08-2026"/>
    <s v="PPL/26-27/SII01162"/>
    <s v="WIP00023"/>
    <s v="PP UL Fabric With UV"/>
    <s v="PPL/RAW/26-27/429"/>
    <n v="1640"/>
    <n v="1640"/>
    <s v="Kgs"/>
    <n v="1640"/>
    <n v="0"/>
    <n v="1640"/>
    <s v="GJ31T5367"/>
    <s v="Plastene India ltd - Unit 2-Purchase"/>
    <s v="Plastene India ltd - Unit 2-Purchase"/>
    <s v="PIL2/D/490"/>
    <s v="13-08-2026"/>
    <s v="RAW MATERIAL"/>
    <s v="INDIGENOUS"/>
    <s v="RM 432"/>
    <n v="122"/>
    <n v="122"/>
    <s v="PIL2/D/490"/>
    <s v="13-08-2026"/>
    <m/>
    <n v="0"/>
    <m/>
    <s v="SHREENA ROADWAYS"/>
    <n v="2566"/>
    <n v="0"/>
    <n v="0"/>
    <n v="0"/>
    <n v="0"/>
    <n v="0"/>
    <s v="VAT"/>
    <n v="0"/>
    <n v="0"/>
    <n v="0"/>
    <n v="0"/>
    <n v="0"/>
    <m/>
    <n v="0"/>
    <n v="0"/>
    <n v="1826414.02"/>
    <s v="SF"/>
    <s v="PP/PE Fabric"/>
    <x v="0"/>
    <s v="RM"/>
    <s v="erp"/>
    <n v="0"/>
    <n v="200080"/>
    <n v="435"/>
    <s v="14-08-2026"/>
    <s v="24AAACO3087C1ZT"/>
    <s v="storeppl"/>
    <s v="storeppl"/>
    <n v="9"/>
    <n v="18007.2"/>
    <n v="9"/>
    <n v="18007.2"/>
    <n v="0"/>
    <n v="0"/>
    <n v="0"/>
    <n v="602162877694"/>
    <d v="2026-08-13T00:00:00"/>
    <n v="1640"/>
  </r>
  <r>
    <s v="Plastene Polyfilms Limited"/>
    <s v="14-08-2026"/>
    <s v="PPL/26-27/SII01165"/>
    <s v="WIP00023"/>
    <s v="PP UL Fabric With UV"/>
    <s v="PPL/RAW/26-27/430"/>
    <n v="4404"/>
    <n v="4404"/>
    <s v="Kgs"/>
    <n v="4404"/>
    <n v="0"/>
    <n v="4404"/>
    <s v="GJ12X1249"/>
    <s v="Plastene India ltd - Unit 1-Purchase"/>
    <s v="Plastene India ltd - Unit 1-Purchase"/>
    <s v="PIL1/D/1377"/>
    <s v="14-08-2026"/>
    <s v="RAW MATERIAL"/>
    <s v="INDIGENOUS"/>
    <s v="RM 433"/>
    <n v="147.32"/>
    <n v="147.32000054824601"/>
    <s v="PIL1/D/1377"/>
    <s v="14-08-2026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859877.47"/>
    <s v="SF"/>
    <s v="PP/PE Fabric"/>
    <x v="0"/>
    <s v="RM"/>
    <s v="erp"/>
    <n v="0"/>
    <n v="648797.28"/>
    <n v="437"/>
    <s v="14-08-2026"/>
    <s v="24AAACO3087C1ZT"/>
    <s v="storeppl"/>
    <s v="storeppl"/>
    <n v="9"/>
    <n v="58391.76"/>
    <n v="9"/>
    <n v="58391.76"/>
    <n v="0"/>
    <n v="0"/>
    <n v="859877.47"/>
    <n v="632163428924"/>
    <d v="2026-08-14T00:00:00"/>
    <n v="4404"/>
  </r>
  <r>
    <s v="Plastene Polyfilms Limited"/>
    <s v="14-08-2026"/>
    <s v="PPL/26-27/SII01165"/>
    <s v="WIP00032"/>
    <s v="Webbing"/>
    <s v="PPL/RAW/26-27/430"/>
    <n v="211"/>
    <n v="211"/>
    <s v="Kgs"/>
    <n v="211"/>
    <n v="0"/>
    <n v="211"/>
    <s v="GJ12X1249"/>
    <s v="Plastene India ltd - Unit 1-Purchase"/>
    <s v="Plastene India ltd - Unit 1-Purchase"/>
    <s v="PIL1/D/1377"/>
    <s v="14-08-2026"/>
    <s v="RAW MATERIAL"/>
    <s v="INDIGENOUS"/>
    <s v="RM 433"/>
    <n v="144.32"/>
    <n v="144.320000537081"/>
    <s v="PIL1/D/1377"/>
    <s v="14-08-2026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859877.47"/>
    <s v="SF"/>
    <s v="Webbing"/>
    <x v="2"/>
    <s v="RM"/>
    <s v="erp"/>
    <n v="0"/>
    <n v="30451.52"/>
    <n v="437"/>
    <s v="14-08-2026"/>
    <s v="24AAACO3087C1ZT"/>
    <s v="storeppl"/>
    <s v="storeppl"/>
    <n v="9"/>
    <n v="2740.64"/>
    <n v="9"/>
    <n v="2740.64"/>
    <n v="0"/>
    <n v="0"/>
    <n v="0"/>
    <n v="632163428924"/>
    <d v="2026-08-14T00:00:00"/>
    <n v="211"/>
  </r>
  <r>
    <s v="Plastene Polyfilms Limited"/>
    <s v="14-08-2026"/>
    <s v="PPL/26-27/SII01165"/>
    <s v="WIP00032"/>
    <s v="Webbing"/>
    <s v="PPL/RAW/26-27/430"/>
    <n v="300.33999999999997"/>
    <n v="300.33999999999997"/>
    <s v="Kgs"/>
    <n v="300.33999999999997"/>
    <n v="0"/>
    <n v="300.33999999999997"/>
    <s v="GJ12X1249"/>
    <s v="Plastene India ltd - Unit 1-Purchase"/>
    <s v="Plastene India ltd - Unit 1-Purchase"/>
    <s v="PIL1/D/1377"/>
    <s v="14-08-2026"/>
    <s v="RAW MATERIAL"/>
    <s v="INDIGENOUS"/>
    <s v="RM 433"/>
    <n v="147.32"/>
    <n v="147.32000054824601"/>
    <s v="PIL1/D/1377"/>
    <s v="14-08-2026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859877.47"/>
    <s v="SF"/>
    <s v="Webbing"/>
    <x v="2"/>
    <s v="RM"/>
    <s v="erp"/>
    <n v="0"/>
    <n v="44246.09"/>
    <n v="437"/>
    <s v="14-08-2026"/>
    <s v="24AAACO3087C1ZT"/>
    <s v="storeppl"/>
    <s v="storeppl"/>
    <n v="9"/>
    <n v="3982.15"/>
    <n v="9"/>
    <n v="3982.15"/>
    <n v="0"/>
    <n v="0"/>
    <n v="0"/>
    <n v="632163428924"/>
    <d v="2026-08-14T00:00:00"/>
    <n v="300.33999999999997"/>
  </r>
  <r>
    <s v="Plastene Polyfilms Limited"/>
    <s v="14-08-2026"/>
    <s v="PPL/26-27/SII01165"/>
    <s v="WIP00236"/>
    <s v="PP Braided Rope MW 6 to 8 GPM"/>
    <s v="PPL/RAW/26-27/430"/>
    <n v="36.9"/>
    <n v="36.9"/>
    <s v="Kgs"/>
    <n v="36.9"/>
    <n v="0"/>
    <n v="36.9"/>
    <s v="GJ12X1249"/>
    <s v="Plastene India ltd - Unit 1-Purchase"/>
    <s v="Plastene India ltd - Unit 1-Purchase"/>
    <s v="PIL1/D/1377"/>
    <s v="14-08-2026"/>
    <s v="RAW MATERIAL"/>
    <s v="INDIGENOUS"/>
    <s v="RM 433"/>
    <n v="158.82"/>
    <n v="158.820000591042"/>
    <s v="PIL1/D/1377"/>
    <s v="14-08-2026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859877.47"/>
    <s v="SF"/>
    <s v="Yarn All"/>
    <x v="9"/>
    <s v="RM"/>
    <s v="erp"/>
    <n v="0"/>
    <n v="5860.46"/>
    <n v="437"/>
    <s v="14-08-2026"/>
    <s v="24AAACO3087C1ZT"/>
    <s v="storeppl"/>
    <s v="storeppl"/>
    <n v="2.5"/>
    <n v="146.51"/>
    <n v="2.5"/>
    <n v="146.51"/>
    <n v="0"/>
    <n v="0"/>
    <n v="0"/>
    <n v="632163428924"/>
    <d v="2026-08-14T00:00:00"/>
    <n v="36.9"/>
  </r>
  <r>
    <s v="Plastene Polyfilms Limited"/>
    <s v="15-08-2026"/>
    <s v="PPL/26-27/SII01168"/>
    <s v="WIP00193"/>
    <s v="PP MF Yarn Twisted 3000 Denier UV Deep Blue"/>
    <s v="PPL/RAW/26-27/431"/>
    <n v="307.8"/>
    <n v="307.8"/>
    <s v="Kgs"/>
    <n v="307.8"/>
    <n v="0"/>
    <n v="307.8"/>
    <s v="GJ12X1249"/>
    <s v="Plastene India ltd - Unit 1-Purchase"/>
    <s v="Plastene India ltd - Unit 1-Purchase"/>
    <s v="PIL1/D/1385"/>
    <s v="14-08-2026"/>
    <s v="RAW MATERIAL"/>
    <s v="INDIGENOUS"/>
    <s v="RM 434"/>
    <n v="157.32"/>
    <n v="157.32000192913301"/>
    <s v="PIL1/D/1385"/>
    <s v="14-08-2026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978594.99"/>
    <s v="SF"/>
    <s v="Yarn All"/>
    <x v="9"/>
    <s v="RM"/>
    <m/>
    <n v="0"/>
    <n v="48423.1"/>
    <n v="439"/>
    <s v="15-08-2026"/>
    <s v="24AAACO3087C1ZT"/>
    <s v="storeppl"/>
    <s v="storeppl"/>
    <n v="2.5"/>
    <n v="1210.58"/>
    <n v="2.5"/>
    <n v="1210.58"/>
    <n v="0"/>
    <n v="0"/>
    <n v="978594.99"/>
    <n v="692163832376"/>
    <d v="2026-08-15T00:00:00"/>
    <n v="307.8"/>
  </r>
  <r>
    <s v="Plastene Polyfilms Limited"/>
    <s v="15-08-2026"/>
    <s v="PPL/26-27/SII01168"/>
    <s v="WIP00191"/>
    <s v="PP MF Yarn Twisted 3000 Denier UV NW"/>
    <s v="PPL/RAW/26-27/431"/>
    <n v="411.9"/>
    <n v="411.9"/>
    <s v="Kgs"/>
    <n v="411.9"/>
    <n v="0"/>
    <n v="411.9"/>
    <s v="GJ12X1249"/>
    <s v="Plastene India ltd - Unit 1-Purchase"/>
    <s v="Plastene India ltd - Unit 1-Purchase"/>
    <s v="PIL1/D/1385"/>
    <s v="14-08-2026"/>
    <s v="RAW MATERIAL"/>
    <s v="INDIGENOUS"/>
    <s v="RM 434"/>
    <n v="154.32"/>
    <n v="154.320001892346"/>
    <s v="PIL1/D/1385"/>
    <s v="14-08-2026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978594.99"/>
    <s v="SF"/>
    <s v="Yarn All"/>
    <x v="9"/>
    <s v="RM"/>
    <m/>
    <n v="0"/>
    <n v="63564.41"/>
    <n v="439"/>
    <s v="15-08-2026"/>
    <s v="24AAACO3087C1ZT"/>
    <s v="storeppl"/>
    <s v="storeppl"/>
    <n v="2.5"/>
    <n v="1589.11"/>
    <n v="2.5"/>
    <n v="1589.11"/>
    <n v="0"/>
    <n v="0"/>
    <n v="0"/>
    <n v="692163832376"/>
    <d v="2026-08-15T00:00:00"/>
    <n v="411.9"/>
  </r>
  <r>
    <s v="Plastene Polyfilms Limited"/>
    <s v="15-08-2026"/>
    <s v="PPL/26-27/SII01168"/>
    <s v="WIP00151"/>
    <s v="PP MF Yarn Twisted 1000 UV NW"/>
    <s v="PPL/RAW/26-27/431"/>
    <n v="479.9"/>
    <n v="479.9"/>
    <s v="Kgs"/>
    <n v="479.9"/>
    <n v="0"/>
    <n v="479.9"/>
    <s v="GJ12X1249"/>
    <s v="Plastene India ltd - Unit 1-Purchase"/>
    <s v="Plastene India ltd - Unit 1-Purchase"/>
    <s v="PIL1/D/1385"/>
    <s v="14-08-2026"/>
    <s v="RAW MATERIAL"/>
    <s v="INDIGENOUS"/>
    <s v="RM 434"/>
    <n v="154.32"/>
    <n v="154.320001892346"/>
    <s v="PIL1/D/1385"/>
    <s v="14-08-2026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978594.99"/>
    <s v="SF"/>
    <s v="Yarn All"/>
    <x v="9"/>
    <s v="RM"/>
    <m/>
    <n v="0"/>
    <n v="74058.17"/>
    <n v="439"/>
    <s v="15-08-2026"/>
    <s v="24AAACO3087C1ZT"/>
    <s v="storeppl"/>
    <s v="storeppl"/>
    <n v="2.5"/>
    <n v="1851.45"/>
    <n v="2.5"/>
    <n v="1851.45"/>
    <n v="0"/>
    <n v="0"/>
    <n v="0"/>
    <n v="692163832376"/>
    <d v="2026-08-15T00:00:00"/>
    <n v="479.9"/>
  </r>
  <r>
    <s v="Plastene Polyfilms Limited"/>
    <s v="15-08-2026"/>
    <s v="PPL/26-27/SII01168"/>
    <s v="WIP00032"/>
    <s v="Webbing"/>
    <s v="PPL/RAW/26-27/431"/>
    <n v="253.9"/>
    <n v="253.9"/>
    <s v="Kgs"/>
    <n v="253.9"/>
    <n v="0"/>
    <n v="253.9"/>
    <s v="GJ12X1249"/>
    <s v="Plastene India ltd - Unit 1-Purchase"/>
    <s v="Plastene India ltd - Unit 1-Purchase"/>
    <s v="PIL1/D/1385"/>
    <s v="14-08-2026"/>
    <s v="RAW MATERIAL"/>
    <s v="INDIGENOUS"/>
    <s v="RM 434"/>
    <n v="147.32"/>
    <n v="147.320001806508"/>
    <s v="PIL1/D/1385"/>
    <s v="14-08-2026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978594.99"/>
    <s v="SF"/>
    <s v="Webbing"/>
    <x v="2"/>
    <s v="RM"/>
    <s v="erp"/>
    <n v="0"/>
    <n v="37404.550000000003"/>
    <n v="439"/>
    <s v="15-08-2026"/>
    <s v="24AAACO3087C1ZT"/>
    <s v="storeppl"/>
    <s v="storeppl"/>
    <n v="9"/>
    <n v="3366.41"/>
    <n v="9"/>
    <n v="3366.41"/>
    <n v="0"/>
    <n v="0"/>
    <n v="0"/>
    <n v="692163832376"/>
    <d v="2026-08-15T00:00:00"/>
    <n v="253.9"/>
  </r>
  <r>
    <s v="Plastene Polyfilms Limited"/>
    <s v="15-08-2026"/>
    <s v="PPL/26-27/SII01168"/>
    <s v="WIP00032"/>
    <s v="Webbing"/>
    <s v="PPL/RAW/26-27/431"/>
    <n v="95.9"/>
    <n v="95.9"/>
    <s v="Kgs"/>
    <n v="95.9"/>
    <n v="0"/>
    <n v="95.9"/>
    <s v="GJ12X1249"/>
    <s v="Plastene India ltd - Unit 1-Purchase"/>
    <s v="Plastene India ltd - Unit 1-Purchase"/>
    <s v="PIL1/D/1385"/>
    <s v="14-08-2026"/>
    <s v="RAW MATERIAL"/>
    <s v="INDIGENOUS"/>
    <s v="RM 434"/>
    <n v="144.32"/>
    <n v="144.32000176972099"/>
    <s v="PIL1/D/1385"/>
    <s v="14-08-2026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978594.99"/>
    <s v="SF"/>
    <s v="Webbing"/>
    <x v="2"/>
    <s v="RM"/>
    <s v="erp"/>
    <n v="0"/>
    <n v="13840.29"/>
    <n v="439"/>
    <s v="15-08-2026"/>
    <s v="24AAACO3087C1ZT"/>
    <s v="storeppl"/>
    <s v="storeppl"/>
    <n v="9"/>
    <n v="1245.6300000000001"/>
    <n v="9"/>
    <n v="1245.6300000000001"/>
    <n v="0"/>
    <n v="0"/>
    <n v="0"/>
    <n v="692163832376"/>
    <d v="2026-08-15T00:00:00"/>
    <n v="95.9"/>
  </r>
  <r>
    <s v="Plastene Polyfilms Limited"/>
    <s v="15-08-2026"/>
    <s v="PPL/26-27/SII01168"/>
    <s v="WIP00032"/>
    <s v="Webbing"/>
    <s v="PPL/RAW/26-27/431"/>
    <n v="71.599999999999994"/>
    <n v="71.599999999999994"/>
    <s v="Kgs"/>
    <n v="71.599999999999994"/>
    <n v="0"/>
    <n v="71.599999999999994"/>
    <s v="GJ12X1249"/>
    <s v="Plastene India ltd - Unit 1-Purchase"/>
    <s v="Plastene India ltd - Unit 1-Purchase"/>
    <s v="PIL1/D/1385"/>
    <s v="14-08-2026"/>
    <s v="RAW MATERIAL"/>
    <s v="INDIGENOUS"/>
    <s v="RM 434"/>
    <n v="165.32"/>
    <n v="165.32000202723299"/>
    <s v="PIL1/D/1385"/>
    <s v="14-08-2026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978594.99"/>
    <s v="SF"/>
    <s v="Webbing"/>
    <x v="2"/>
    <s v="RM"/>
    <s v="erp"/>
    <n v="0"/>
    <n v="11836.91"/>
    <n v="439"/>
    <s v="15-08-2026"/>
    <s v="24AAACO3087C1ZT"/>
    <s v="storeppl"/>
    <s v="storeppl"/>
    <n v="9"/>
    <n v="1065.32"/>
    <n v="9"/>
    <n v="1065.32"/>
    <n v="0"/>
    <n v="0"/>
    <n v="0"/>
    <n v="692163832376"/>
    <d v="2026-08-15T00:00:00"/>
    <n v="71.599999999999994"/>
  </r>
  <r>
    <s v="Plastene Polyfilms Limited"/>
    <s v="15-08-2026"/>
    <s v="PPL/26-27/SII01168"/>
    <s v="WIP00023"/>
    <s v="PP UL Fabric With UV"/>
    <s v="PPL/RAW/26-27/431"/>
    <n v="517"/>
    <n v="517"/>
    <s v="Kgs"/>
    <n v="517"/>
    <n v="0"/>
    <n v="517"/>
    <s v="GJ12X1249"/>
    <s v="Plastene India ltd - Unit 1-Purchase"/>
    <s v="Plastene India ltd - Unit 1-Purchase"/>
    <s v="PIL1/D/1385"/>
    <s v="14-08-2026"/>
    <s v="RAW MATERIAL"/>
    <s v="INDIGENOUS"/>
    <s v="RM 434"/>
    <n v="142.32"/>
    <n v="142.32000174519601"/>
    <s v="PIL1/D/1385"/>
    <s v="14-08-2026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978594.99"/>
    <s v="SF"/>
    <s v="PP/PE Fabric"/>
    <x v="0"/>
    <s v="RM"/>
    <s v="erp"/>
    <n v="0"/>
    <n v="73579.44"/>
    <n v="439"/>
    <s v="15-08-2026"/>
    <s v="24AAACO3087C1ZT"/>
    <s v="storeppl"/>
    <s v="storeppl"/>
    <n v="9"/>
    <n v="6622.15"/>
    <n v="9"/>
    <n v="6622.15"/>
    <n v="0"/>
    <n v="0"/>
    <n v="0"/>
    <n v="692163832376"/>
    <d v="2026-08-15T00:00:00"/>
    <n v="517"/>
  </r>
  <r>
    <s v="Plastene Polyfilms Limited"/>
    <s v="15-08-2026"/>
    <s v="PPL/26-27/SII01168"/>
    <s v="WIP00025"/>
    <s v="PP Lam Fabric With UV"/>
    <s v="PPL/RAW/26-27/431"/>
    <n v="2876"/>
    <n v="2876"/>
    <s v="Kgs"/>
    <n v="2876"/>
    <n v="0"/>
    <n v="2876"/>
    <s v="GJ12X1249"/>
    <s v="Plastene India ltd - Unit 1-Purchase"/>
    <s v="Plastene India ltd - Unit 1-Purchase"/>
    <s v="PIL1/D/1385"/>
    <s v="14-08-2026"/>
    <s v="RAW MATERIAL"/>
    <s v="INDIGENOUS"/>
    <s v="RM 434"/>
    <n v="149.32"/>
    <n v="149.32000183103301"/>
    <s v="PIL1/D/1385"/>
    <s v="14-08-2026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978594.99"/>
    <s v="SF"/>
    <s v="PP/PE Fabric"/>
    <x v="1"/>
    <s v="RM"/>
    <s v="erp"/>
    <n v="0"/>
    <n v="429444.33"/>
    <n v="439"/>
    <s v="15-08-2026"/>
    <s v="24AAACO3087C1ZT"/>
    <s v="storeppl"/>
    <s v="storeppl"/>
    <n v="9"/>
    <n v="38649.99"/>
    <n v="9"/>
    <n v="38649.99"/>
    <n v="0"/>
    <n v="0"/>
    <n v="0"/>
    <n v="692163832376"/>
    <d v="2026-08-15T00:00:00"/>
    <n v="2876"/>
  </r>
  <r>
    <s v="Plastene Polyfilms Limited"/>
    <s v="15-08-2026"/>
    <s v="PPL/26-27/SII01168"/>
    <s v="RAW05124"/>
    <s v="LDPE/LLDPE Film"/>
    <s v="PPL/RAW/26-27/431"/>
    <n v="585.29999999999995"/>
    <n v="585.29999999999995"/>
    <s v="Kgs"/>
    <n v="585.29999999999995"/>
    <n v="0"/>
    <n v="585.29999999999995"/>
    <s v="GJ12X1249"/>
    <s v="Plastene India ltd - Unit 1-Purchase"/>
    <s v="Plastene India ltd - Unit 1-Purchase"/>
    <s v="PIL1/D/1385"/>
    <s v="14-08-2026"/>
    <s v="RAW MATERIAL"/>
    <s v="INDIGENOUS"/>
    <s v="RM 434"/>
    <n v="166.86"/>
    <n v="166.86000204611699"/>
    <s v="PIL1/D/1385"/>
    <s v="14-08-2026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978594.99"/>
    <s v="SF"/>
    <s v="Films All (SF)"/>
    <x v="13"/>
    <s v="RM"/>
    <s v="erp"/>
    <n v="0"/>
    <n v="97663.16"/>
    <n v="439"/>
    <s v="15-08-2026"/>
    <s v="24AAACO3087C1ZT"/>
    <s v="storeppl"/>
    <s v="storeppl"/>
    <n v="9"/>
    <n v="8789.68"/>
    <n v="9"/>
    <n v="8789.68"/>
    <n v="0"/>
    <n v="0"/>
    <n v="0"/>
    <n v="692163832376"/>
    <d v="2026-08-15T00:00:00"/>
    <n v="585.29999999999995"/>
  </r>
  <r>
    <s v="Plastene Polyfilms Limited"/>
    <s v="15-08-2026"/>
    <s v="PPL/26-27/SII01169"/>
    <s v="WIP00023"/>
    <s v="PP UL Fabric With UV"/>
    <s v="PPL/RAW/26-27/432"/>
    <n v="4359"/>
    <n v="4359"/>
    <s v="Kgs"/>
    <n v="4359"/>
    <n v="0"/>
    <n v="4359"/>
    <s v="GJ24X5012"/>
    <s v="Plastene India ltd - Unit 2-Purchase"/>
    <s v="Plastene India ltd - Unit 2-Purchase"/>
    <s v="PIL2/D/496"/>
    <s v="14-08-2026"/>
    <s v="RAW MATERIAL"/>
    <s v="INDIGENOUS"/>
    <s v="RM 435"/>
    <n v="122"/>
    <n v="122"/>
    <s v="PIL2/D/496"/>
    <s v="14-08-2026"/>
    <s v="."/>
    <s v="."/>
    <m/>
    <s v="SHREENA ROADWAYS"/>
    <n v="2567"/>
    <n v="0"/>
    <n v="0"/>
    <n v="0"/>
    <n v="0"/>
    <n v="0"/>
    <s v="VAT"/>
    <n v="0"/>
    <n v="0"/>
    <n v="0"/>
    <n v="0"/>
    <n v="0"/>
    <m/>
    <n v="0"/>
    <n v="0"/>
    <n v="627521.64"/>
    <s v="SF"/>
    <s v="PP/PE Fabric"/>
    <x v="0"/>
    <s v="RM"/>
    <s v="erp"/>
    <n v="0"/>
    <n v="531798"/>
    <n v="438"/>
    <s v="15-08-2026"/>
    <s v="24AAACO3087C1ZT"/>
    <s v="storeppl"/>
    <s v="storeppl"/>
    <n v="9"/>
    <n v="47861.82"/>
    <n v="9"/>
    <n v="47861.82"/>
    <n v="0"/>
    <n v="0"/>
    <n v="627521.64"/>
    <n v="632163523146"/>
    <d v="2026-08-14T00:00:00"/>
    <n v="4359"/>
  </r>
  <r>
    <s v="Plastene Polyfilms Limited"/>
    <s v="16-08-2026"/>
    <s v="PPL/26-27/SII01175"/>
    <s v="WIP00003"/>
    <s v="FIBC Bags With UV With Liner"/>
    <s v="PPL/RAW/26-27/433"/>
    <n v="16414.900000000001"/>
    <n v="16414.900000000001"/>
    <s v="Kgs"/>
    <n v="16414.900000000001"/>
    <n v="0"/>
    <n v="16414.900000000001"/>
    <s v="GJ12CT7649"/>
    <s v="K.P. Woven Pvt Ltd-Purchase"/>
    <s v="K.P. Woven Pvt Ltd-Purchase"/>
    <s v="KPV/D/603"/>
    <s v="14-08-2026"/>
    <s v="RAW MATERIAL"/>
    <s v="INDIGENOUS"/>
    <s v="RM 436"/>
    <n v="224.12"/>
    <n v="224.120000961438"/>
    <s v="KPV/D/603"/>
    <s v="14-08-2026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5128402.79"/>
    <s v="FG"/>
    <s v="FIBC Bags"/>
    <x v="7"/>
    <s v="RM"/>
    <s v="erp"/>
    <n v="0"/>
    <n v="3678907.4"/>
    <n v="440"/>
    <s v="16-08-2026"/>
    <s v="24AAECK6307M1ZF"/>
    <s v="storeppl"/>
    <s v="storeppl"/>
    <n v="9"/>
    <n v="331101.65999999997"/>
    <n v="9"/>
    <n v="331101.65999999997"/>
    <n v="0"/>
    <n v="0"/>
    <n v="5128402.79"/>
    <n v="682163683346"/>
    <d v="2026-08-14T00:00:00"/>
    <n v="16414.900000000001"/>
  </r>
  <r>
    <s v="Plastene Polyfilms Limited"/>
    <s v="16-08-2026"/>
    <s v="PPL/26-27/SII01175"/>
    <s v="WIP00003"/>
    <s v="FIBC Bags With UV With Liner"/>
    <s v="PPL/RAW/26-27/433"/>
    <n v="386"/>
    <n v="386"/>
    <s v="Kgs"/>
    <n v="386"/>
    <n v="0"/>
    <n v="386"/>
    <s v="GJ12CT7649"/>
    <s v="K.P. Woven Pvt Ltd-Purchase"/>
    <s v="K.P. Woven Pvt Ltd-Purchase"/>
    <s v="KPV/D/603"/>
    <s v="14-08-2026"/>
    <s v="RAW MATERIAL"/>
    <s v="INDIGENOUS"/>
    <s v="RM 436"/>
    <n v="223.61"/>
    <n v="223.61000095924999"/>
    <s v="KPV/D/603"/>
    <s v="14-08-2026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5128402.79"/>
    <s v="FG"/>
    <s v="FIBC Bags"/>
    <x v="7"/>
    <s v="RM"/>
    <s v="erp"/>
    <n v="0"/>
    <n v="86313.46"/>
    <n v="440"/>
    <s v="16-08-2026"/>
    <s v="24AAECK6307M1ZF"/>
    <s v="storeppl"/>
    <s v="storeppl"/>
    <n v="9"/>
    <n v="7768.21"/>
    <n v="9"/>
    <n v="7768.21"/>
    <n v="0"/>
    <n v="0"/>
    <n v="0"/>
    <n v="682163683346"/>
    <d v="2026-08-14T00:00:00"/>
    <n v="386"/>
  </r>
  <r>
    <s v="Plastene Polyfilms Limited"/>
    <s v="16-08-2026"/>
    <s v="PPL/26-27/SII01175"/>
    <s v="WIP00004"/>
    <s v="FIBC Bags With UV Without Liner"/>
    <s v="PPL/RAW/26-27/433"/>
    <n v="2584"/>
    <n v="2584"/>
    <s v="Kgs"/>
    <n v="2584"/>
    <n v="0"/>
    <n v="2584"/>
    <s v="GJ12CT7649"/>
    <s v="K.P. Woven Pvt Ltd-Purchase"/>
    <s v="K.P. Woven Pvt Ltd-Purchase"/>
    <s v="KPV/D/603"/>
    <s v="14-08-2026"/>
    <s v="RAW MATERIAL"/>
    <s v="INDIGENOUS"/>
    <s v="RM 436"/>
    <n v="224.8"/>
    <n v="224.80000096435501"/>
    <s v="KPV/D/603"/>
    <s v="14-08-2026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5128402.79"/>
    <s v="FG"/>
    <s v="FIBC Bags"/>
    <x v="7"/>
    <s v="RM"/>
    <s v="erp"/>
    <n v="0"/>
    <n v="580883.19999999995"/>
    <n v="440"/>
    <s v="16-08-2026"/>
    <s v="24AAECK6307M1ZF"/>
    <s v="storeppl"/>
    <s v="storeppl"/>
    <n v="9"/>
    <n v="52279.49"/>
    <n v="9"/>
    <n v="52279.49"/>
    <n v="0"/>
    <n v="0"/>
    <n v="0"/>
    <n v="682163683346"/>
    <d v="2026-08-14T00:00:00"/>
    <n v="2584"/>
  </r>
  <r>
    <s v="Plastene Polyfilms Limited"/>
    <s v="16-08-2026"/>
    <s v="PPL/26-27/SII01176"/>
    <s v="WIP00017"/>
    <s v="Polyester Yarn Twisted"/>
    <s v="PPL/RAW/26-27/434"/>
    <n v="1091.8699999999999"/>
    <n v="1091.8699999999999"/>
    <s v="Kgs"/>
    <n v="1091.8699999999999"/>
    <n v="0"/>
    <n v="1091.8699999999999"/>
    <s v="GJ12BZ6275"/>
    <s v="Plastene India ltd - Unit 2-Purchase"/>
    <s v="Plastene India ltd - Unit 2-Purchase"/>
    <s v="PIL2/D/499"/>
    <s v="15-08-2026"/>
    <s v="RAW MATERIAL"/>
    <s v="INDIGENOUS"/>
    <s v="RM 437"/>
    <n v="176.12"/>
    <n v="176.11999896788299"/>
    <s v="PIL2/D/499"/>
    <s v="15-08-2026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1262732.99"/>
    <s v="SF"/>
    <s v="Yarn All"/>
    <x v="9"/>
    <s v="RM"/>
    <s v="erp"/>
    <n v="0"/>
    <n v="192300.14"/>
    <n v="442"/>
    <s v="16-08-2026"/>
    <s v="24AAACO3087C1ZT"/>
    <s v="storeppl"/>
    <s v="storeppl"/>
    <n v="2.5"/>
    <n v="4807.5"/>
    <n v="2.5"/>
    <n v="4807.5"/>
    <n v="0"/>
    <n v="0"/>
    <n v="1262732.99"/>
    <s v="682162657850/642162661367"/>
    <d v="2026-08-13T00:00:00"/>
    <n v="1091.8699999999999"/>
  </r>
  <r>
    <s v="Plastene Polyfilms Limited"/>
    <s v="16-08-2026"/>
    <s v="PPL/26-27/SII01176"/>
    <s v="WIP00022"/>
    <s v="Filler Cord"/>
    <s v="PPL/RAW/26-27/434"/>
    <n v="5877.27"/>
    <n v="5877.27"/>
    <s v="Kgs"/>
    <n v="5877.27"/>
    <n v="0"/>
    <n v="5877.27"/>
    <s v="GJ12BZ6275"/>
    <s v="Plastene India ltd - Unit 2-Purchase"/>
    <s v="Plastene India ltd - Unit 2-Purchase"/>
    <s v="PIL2/D/499"/>
    <s v="15-08-2026"/>
    <s v="RAW MATERIAL"/>
    <s v="INDIGENOUS"/>
    <s v="RM 437"/>
    <n v="171.9"/>
    <n v="171.899998992614"/>
    <s v="PIL2/D/499"/>
    <s v="15-08-2026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1262732.99"/>
    <s v="SF"/>
    <s v="Yarn All"/>
    <x v="9"/>
    <s v="RM"/>
    <s v="erp"/>
    <n v="0"/>
    <n v="1010302.71"/>
    <n v="442"/>
    <s v="16-08-2026"/>
    <s v="24AAACO3087C1ZT"/>
    <s v="storeppl"/>
    <s v="storeppl"/>
    <n v="2.5"/>
    <n v="25257.57"/>
    <n v="2.5"/>
    <n v="25257.57"/>
    <n v="0"/>
    <n v="0"/>
    <n v="0"/>
    <s v="682162657850/642162661367"/>
    <d v="2026-08-13T00:00:00"/>
    <n v="5877.27"/>
  </r>
  <r>
    <s v="Plastene Polyfilms Limited"/>
    <s v="16-08-2026"/>
    <s v="PPL/26-27/SII01177"/>
    <s v="WIP00004"/>
    <s v="FIBC Bags With UV Without Liner"/>
    <s v="PPL/RAW/26-27/435"/>
    <n v="1242"/>
    <n v="1242"/>
    <s v="Kgs"/>
    <n v="1242"/>
    <n v="0"/>
    <n v="1242"/>
    <s v="GJ39TA3045"/>
    <s v="Plastene India ltd - Unit 2-Purchase"/>
    <s v="Plastene India ltd - Unit 2-Purchase"/>
    <s v="PIL2/D/500"/>
    <s v="15-08-2026"/>
    <s v="RAW MATERIAL"/>
    <s v="INDIGENOUS"/>
    <s v="RM 438"/>
    <n v="210.48"/>
    <n v="210.48"/>
    <s v="PIL2/D/500"/>
    <s v="15-08-2026"/>
    <s v="."/>
    <s v="."/>
    <m/>
    <s v="SHREENA ROADWAYS"/>
    <n v="2569"/>
    <n v="0"/>
    <n v="0"/>
    <n v="0"/>
    <n v="0"/>
    <n v="0"/>
    <s v="VAT"/>
    <n v="0"/>
    <n v="0"/>
    <n v="0"/>
    <n v="0"/>
    <n v="0"/>
    <m/>
    <n v="0"/>
    <n v="0"/>
    <n v="1469549.38"/>
    <s v="FG"/>
    <s v="FIBC Bags"/>
    <x v="7"/>
    <s v="RM"/>
    <s v="erp"/>
    <n v="0"/>
    <n v="261416.16"/>
    <n v="441"/>
    <s v="16-08-2026"/>
    <s v="24AAACO3087C1ZT"/>
    <s v="storeppl"/>
    <s v="storeppl"/>
    <n v="9"/>
    <n v="23527.45"/>
    <n v="9"/>
    <n v="23527.45"/>
    <n v="0"/>
    <n v="0"/>
    <n v="1469549.38"/>
    <n v="632163889796"/>
    <d v="2026-08-15T00:00:00"/>
    <n v="1242"/>
  </r>
  <r>
    <s v="Plastene Polyfilms Limited"/>
    <s v="16-08-2026"/>
    <s v="PPL/26-27/SII01177"/>
    <s v="WIP00004"/>
    <s v="FIBC Bags With UV Without Liner"/>
    <s v="PPL/RAW/26-27/435"/>
    <n v="1670"/>
    <n v="1670"/>
    <s v="Kgs"/>
    <n v="1670"/>
    <n v="0"/>
    <n v="1670"/>
    <s v="GJ39TA3045"/>
    <s v="Plastene India ltd - Unit 2-Purchase"/>
    <s v="Plastene India ltd - Unit 2-Purchase"/>
    <s v="PIL2/D/500"/>
    <s v="15-08-2026"/>
    <s v="RAW MATERIAL"/>
    <s v="INDIGENOUS"/>
    <s v="RM 438"/>
    <n v="208.41"/>
    <n v="208.41"/>
    <s v="PIL2/D/500"/>
    <s v="15-08-2026"/>
    <s v="."/>
    <s v="."/>
    <m/>
    <s v="SHREENA ROADWAYS"/>
    <n v="2569"/>
    <n v="0"/>
    <n v="0"/>
    <n v="0"/>
    <n v="0"/>
    <n v="0"/>
    <s v="VAT"/>
    <n v="0"/>
    <n v="0"/>
    <n v="0"/>
    <n v="0"/>
    <n v="0"/>
    <m/>
    <n v="0"/>
    <n v="0"/>
    <n v="1469549.38"/>
    <s v="FG"/>
    <s v="FIBC Bags"/>
    <x v="7"/>
    <s v="RM"/>
    <s v="erp"/>
    <n v="0"/>
    <n v="348044.7"/>
    <n v="441"/>
    <s v="16-08-2026"/>
    <s v="24AAACO3087C1ZT"/>
    <s v="storeppl"/>
    <s v="storeppl"/>
    <n v="9"/>
    <n v="31324.02"/>
    <n v="9"/>
    <n v="31324.02"/>
    <n v="0"/>
    <n v="0"/>
    <n v="0"/>
    <n v="632163889796"/>
    <d v="2026-08-15T00:00:00"/>
    <n v="1670"/>
  </r>
  <r>
    <s v="Plastene Polyfilms Limited"/>
    <s v="16-08-2026"/>
    <s v="PPL/26-27/SII01177"/>
    <s v="WIP00004"/>
    <s v="FIBC Bags With UV Without Liner"/>
    <s v="PPL/RAW/26-27/435"/>
    <n v="2906"/>
    <n v="2906"/>
    <s v="Kgs"/>
    <n v="2906"/>
    <n v="0"/>
    <n v="2906"/>
    <s v="GJ39TA3045"/>
    <s v="Plastene India ltd - Unit 2-Purchase"/>
    <s v="Plastene India ltd - Unit 2-Purchase"/>
    <s v="PIL2/D/500"/>
    <s v="15-08-2026"/>
    <s v="RAW MATERIAL"/>
    <s v="INDIGENOUS"/>
    <s v="RM 438"/>
    <n v="218.83"/>
    <n v="218.83"/>
    <s v="PIL2/D/500"/>
    <s v="15-08-2026"/>
    <s v="."/>
    <s v="."/>
    <m/>
    <s v="SHREENA ROADWAYS"/>
    <n v="2569"/>
    <n v="0"/>
    <n v="0"/>
    <n v="0"/>
    <n v="0"/>
    <n v="0"/>
    <s v="VAT"/>
    <n v="0"/>
    <n v="0"/>
    <n v="0"/>
    <n v="0"/>
    <n v="0"/>
    <m/>
    <n v="0"/>
    <n v="0"/>
    <n v="1469549.38"/>
    <s v="FG"/>
    <s v="FIBC Bags"/>
    <x v="7"/>
    <s v="RM"/>
    <s v="erp"/>
    <n v="0"/>
    <n v="635919.98"/>
    <n v="441"/>
    <s v="16-08-2026"/>
    <s v="24AAACO3087C1ZT"/>
    <s v="storeppl"/>
    <s v="storeppl"/>
    <n v="9"/>
    <n v="57232.800000000003"/>
    <n v="9"/>
    <n v="57232.800000000003"/>
    <n v="0"/>
    <n v="0"/>
    <n v="0"/>
    <n v="632163889796"/>
    <d v="2026-08-15T00:00:00"/>
    <n v="2906"/>
  </r>
  <r>
    <s v="Plastene Polyfilms Limited"/>
    <s v="16-08-2026"/>
    <s v="PPL/26-27/SII01181"/>
    <s v="WIP00023"/>
    <s v="PP UL Fabric With UV"/>
    <s v="PPL/RAW/26-27/436"/>
    <n v="8962"/>
    <n v="8962"/>
    <s v="Kgs"/>
    <n v="8962"/>
    <n v="0"/>
    <n v="8962"/>
    <s v="GJ12BY1595"/>
    <s v="Plastene India ltd - Unit 1-Purchase"/>
    <s v="Plastene India ltd - Unit 1-Purchase"/>
    <s v="PIL1/D/1391"/>
    <s v="16-08-2026"/>
    <s v="RAW MATERIAL"/>
    <s v="INDIGENOUS"/>
    <s v="RM 439"/>
    <n v="147.32"/>
    <n v="147.31999949557101"/>
    <s v="PIL1/D/1391"/>
    <s v="16-08-2026"/>
    <s v="."/>
    <s v="."/>
    <m/>
    <s v="B.K. ROADWAYS"/>
    <n v="265"/>
    <n v="0"/>
    <n v="0"/>
    <n v="0"/>
    <n v="0"/>
    <n v="0"/>
    <s v="VAT"/>
    <n v="0"/>
    <n v="0"/>
    <n v="0"/>
    <n v="0"/>
    <n v="0"/>
    <m/>
    <n v="0"/>
    <n v="0"/>
    <n v="1752318.29"/>
    <s v="SF"/>
    <s v="PP/PE Fabric"/>
    <x v="0"/>
    <s v="RM"/>
    <s v="erp"/>
    <n v="0"/>
    <n v="1320281.8400000001"/>
    <n v="443"/>
    <s v="16-08-2026"/>
    <s v="24AAACO3087C1ZT"/>
    <s v="storeppl"/>
    <s v="storeppl"/>
    <n v="9"/>
    <n v="118825.37"/>
    <n v="9"/>
    <n v="118825.37"/>
    <n v="0"/>
    <n v="0"/>
    <n v="1752318.29"/>
    <n v="632164150774"/>
    <d v="2026-08-16T00:00:00"/>
    <n v="8962"/>
  </r>
  <r>
    <s v="Plastene Polyfilms Limited"/>
    <s v="16-08-2026"/>
    <s v="PPL/26-27/SII01181"/>
    <s v="WIP00025"/>
    <s v="PP Lam Fabric With UV"/>
    <s v="PPL/RAW/26-27/436"/>
    <n v="622"/>
    <n v="622"/>
    <s v="Kgs"/>
    <n v="622"/>
    <n v="0"/>
    <n v="622"/>
    <s v="GJ12BY1595"/>
    <s v="Plastene India ltd - Unit 1-Purchase"/>
    <s v="Plastene India ltd - Unit 1-Purchase"/>
    <s v="PIL1/D/1391"/>
    <s v="16-08-2026"/>
    <s v="RAW MATERIAL"/>
    <s v="INDIGENOUS"/>
    <s v="RM 439"/>
    <n v="149.32"/>
    <n v="149.319999488723"/>
    <s v="PIL1/D/1391"/>
    <s v="16-08-2026"/>
    <s v="."/>
    <s v="."/>
    <m/>
    <s v="B.K. ROADWAYS"/>
    <n v="265"/>
    <n v="0"/>
    <n v="0"/>
    <n v="0"/>
    <n v="0"/>
    <n v="0"/>
    <s v="VAT"/>
    <n v="0"/>
    <n v="0"/>
    <n v="0"/>
    <n v="0"/>
    <n v="0"/>
    <m/>
    <n v="0"/>
    <n v="0"/>
    <n v="1752318.29"/>
    <s v="SF"/>
    <s v="PP/PE Fabric"/>
    <x v="1"/>
    <s v="RM"/>
    <s v="erp"/>
    <n v="0"/>
    <n v="92877.04"/>
    <n v="443"/>
    <s v="16-08-2026"/>
    <s v="24AAACO3087C1ZT"/>
    <s v="storeppl"/>
    <s v="storeppl"/>
    <n v="9"/>
    <n v="8358.93"/>
    <n v="9"/>
    <n v="8358.93"/>
    <n v="0"/>
    <n v="0"/>
    <n v="0"/>
    <n v="632164150774"/>
    <d v="2026-08-16T00:00:00"/>
    <n v="622"/>
  </r>
  <r>
    <s v="Plastene Polyfilms Limited"/>
    <s v="16-08-2026"/>
    <s v="PPL/26-27/SII01181"/>
    <s v="WIP00032"/>
    <s v="Webbing"/>
    <s v="PPL/RAW/26-27/436"/>
    <n v="217.7"/>
    <n v="217.7"/>
    <s v="Kgs"/>
    <n v="217.7"/>
    <n v="0"/>
    <n v="217.7"/>
    <s v="GJ12BY1595"/>
    <s v="Plastene India ltd - Unit 1-Purchase"/>
    <s v="Plastene India ltd - Unit 1-Purchase"/>
    <s v="PIL1/D/1391"/>
    <s v="16-08-2026"/>
    <s v="RAW MATERIAL"/>
    <s v="INDIGENOUS"/>
    <s v="RM 439"/>
    <n v="165.32"/>
    <n v="165.31999943393799"/>
    <s v="PIL1/D/1391"/>
    <s v="16-08-2026"/>
    <s v="."/>
    <s v="."/>
    <m/>
    <s v="B.K. ROADWAYS"/>
    <n v="265"/>
    <n v="0"/>
    <n v="0"/>
    <n v="0"/>
    <n v="0"/>
    <n v="0"/>
    <s v="VAT"/>
    <n v="0"/>
    <n v="0"/>
    <n v="0"/>
    <n v="0"/>
    <n v="0"/>
    <m/>
    <n v="0"/>
    <n v="0"/>
    <n v="1752318.29"/>
    <s v="SF"/>
    <s v="Webbing"/>
    <x v="2"/>
    <s v="RM"/>
    <s v="erp"/>
    <n v="0"/>
    <n v="35990.160000000003"/>
    <n v="443"/>
    <s v="16-08-2026"/>
    <s v="24AAACO3087C1ZT"/>
    <s v="storeppl"/>
    <s v="storeppl"/>
    <n v="9"/>
    <n v="3239.11"/>
    <n v="9"/>
    <n v="3239.11"/>
    <n v="0"/>
    <n v="0"/>
    <n v="0"/>
    <n v="632164150774"/>
    <d v="2026-08-16T00:00:00"/>
    <n v="217.7"/>
  </r>
  <r>
    <s v="Plastene Polyfilms Limited"/>
    <s v="16-08-2026"/>
    <s v="PPL/26-27/SII01181"/>
    <s v="WIP00032"/>
    <s v="Webbing"/>
    <s v="PPL/RAW/26-27/436"/>
    <n v="188.6"/>
    <n v="188.6"/>
    <s v="Kgs"/>
    <n v="188.6"/>
    <n v="0"/>
    <n v="188.6"/>
    <s v="GJ12BY1595"/>
    <s v="Plastene India ltd - Unit 1-Purchase"/>
    <s v="Plastene India ltd - Unit 1-Purchase"/>
    <s v="PIL1/D/1391"/>
    <s v="16-08-2026"/>
    <s v="RAW MATERIAL"/>
    <s v="INDIGENOUS"/>
    <s v="RM 439"/>
    <n v="147.32"/>
    <n v="147.31999949557101"/>
    <s v="PIL1/D/1391"/>
    <s v="16-08-2026"/>
    <s v="."/>
    <s v="."/>
    <m/>
    <s v="B.K. ROADWAYS"/>
    <n v="265"/>
    <n v="0"/>
    <n v="0"/>
    <n v="0"/>
    <n v="0"/>
    <n v="0"/>
    <s v="VAT"/>
    <n v="0"/>
    <n v="0"/>
    <n v="0"/>
    <n v="0"/>
    <n v="0"/>
    <m/>
    <n v="0"/>
    <n v="0"/>
    <n v="1752318.29"/>
    <s v="SF"/>
    <s v="Webbing"/>
    <x v="2"/>
    <s v="RM"/>
    <s v="erp"/>
    <n v="0"/>
    <n v="27784.55"/>
    <n v="443"/>
    <s v="16-08-2026"/>
    <s v="24AAACO3087C1ZT"/>
    <s v="storeppl"/>
    <s v="storeppl"/>
    <n v="9"/>
    <n v="2500.61"/>
    <n v="9"/>
    <n v="2500.61"/>
    <n v="0"/>
    <n v="0"/>
    <n v="0"/>
    <n v="632164150774"/>
    <d v="2026-08-16T00:00:00"/>
    <n v="188.6"/>
  </r>
  <r>
    <s v="Plastene Polyfilms Limited"/>
    <s v="16-08-2026"/>
    <s v="PPL/26-27/SII01181"/>
    <s v="WIP00032"/>
    <s v="Webbing"/>
    <s v="PPL/RAW/26-27/436"/>
    <n v="56"/>
    <n v="56"/>
    <s v="Kgs"/>
    <n v="56"/>
    <n v="0"/>
    <n v="56"/>
    <s v="GJ12BY1595"/>
    <s v="Plastene India ltd - Unit 1-Purchase"/>
    <s v="Plastene India ltd - Unit 1-Purchase"/>
    <s v="PIL1/D/1391"/>
    <s v="16-08-2026"/>
    <s v="RAW MATERIAL"/>
    <s v="INDIGENOUS"/>
    <s v="RM 439"/>
    <n v="144.32"/>
    <n v="144.31999950584299"/>
    <s v="PIL1/D/1391"/>
    <s v="16-08-2026"/>
    <s v="."/>
    <s v="."/>
    <m/>
    <s v="B.K. ROADWAYS"/>
    <n v="265"/>
    <n v="0"/>
    <n v="0"/>
    <n v="0"/>
    <n v="0"/>
    <n v="0"/>
    <s v="VAT"/>
    <n v="0"/>
    <n v="0"/>
    <n v="0"/>
    <n v="0"/>
    <n v="0"/>
    <m/>
    <n v="0"/>
    <n v="0"/>
    <n v="1752318.29"/>
    <s v="SF"/>
    <s v="Webbing"/>
    <x v="2"/>
    <s v="RM"/>
    <s v="erp"/>
    <n v="0"/>
    <n v="8081.92"/>
    <n v="443"/>
    <s v="16-08-2026"/>
    <s v="24AAACO3087C1ZT"/>
    <s v="storeppl"/>
    <s v="storeppl"/>
    <n v="9"/>
    <n v="727.37"/>
    <n v="9"/>
    <n v="727.37"/>
    <n v="0"/>
    <n v="0"/>
    <n v="0"/>
    <n v="632164150774"/>
    <d v="2026-08-16T00:00:00"/>
    <n v="56"/>
  </r>
  <r>
    <s v="Plastene Polyfilms Limited"/>
    <s v="17-08-2026"/>
    <s v="PPL/26-27/SII01183"/>
    <s v="WIP00025"/>
    <s v="PP Lam Fabric With UV"/>
    <s v="PPL/RAW/26-27/437"/>
    <n v="763"/>
    <n v="763"/>
    <s v="Kgs"/>
    <n v="763"/>
    <n v="0"/>
    <n v="763"/>
    <s v="GJ12X1249"/>
    <s v="Plastene India ltd - Unit 1-Purchase"/>
    <s v="Plastene India ltd - Unit 1-Purchase"/>
    <s v="PIL1/D/1397"/>
    <s v="17-08-2026"/>
    <s v="RAW MATERIAL"/>
    <s v="INDIGENOUS"/>
    <s v="RM 440"/>
    <n v="149.32"/>
    <n v="149.32"/>
    <s v="PIL1/D/1397"/>
    <s v="17-08-2026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454116.8"/>
    <s v="SF"/>
    <s v="PP/PE Fabric"/>
    <x v="1"/>
    <s v="RM"/>
    <s v="erp"/>
    <n v="0"/>
    <n v="113931.16"/>
    <n v="444"/>
    <s v="17-08-2026"/>
    <s v="24AAACO3087C1ZT"/>
    <s v="storeppl"/>
    <s v="storeppl"/>
    <n v="9"/>
    <n v="10253.799999999999"/>
    <n v="9"/>
    <n v="10253.799999999999"/>
    <n v="0"/>
    <n v="0"/>
    <n v="454116.8"/>
    <n v="622164387085"/>
    <d v="2026-08-17T00:00:00"/>
    <n v="763"/>
  </r>
  <r>
    <s v="Plastene Polyfilms Limited"/>
    <s v="17-08-2026"/>
    <s v="PPL/26-27/SII01183"/>
    <s v="WIP00023"/>
    <s v="PP UL Fabric With UV"/>
    <s v="PPL/RAW/26-27/437"/>
    <n v="473"/>
    <n v="473"/>
    <s v="Kgs"/>
    <n v="473"/>
    <n v="0"/>
    <n v="473"/>
    <s v="GJ12X1249"/>
    <s v="Plastene India ltd - Unit 1-Purchase"/>
    <s v="Plastene India ltd - Unit 1-Purchase"/>
    <s v="PIL1/D/1397"/>
    <s v="17-08-2026"/>
    <s v="RAW MATERIAL"/>
    <s v="INDIGENOUS"/>
    <s v="RM 440"/>
    <n v="142.32"/>
    <n v="142.32"/>
    <s v="PIL1/D/1397"/>
    <s v="17-08-2026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454116.8"/>
    <s v="SF"/>
    <s v="PP/PE Fabric"/>
    <x v="0"/>
    <s v="RM"/>
    <s v="erp"/>
    <n v="0"/>
    <n v="67317.36"/>
    <n v="444"/>
    <s v="17-08-2026"/>
    <s v="24AAACO3087C1ZT"/>
    <s v="storeppl"/>
    <s v="storeppl"/>
    <n v="9"/>
    <n v="6058.56"/>
    <n v="9"/>
    <n v="6058.56"/>
    <n v="0"/>
    <n v="0"/>
    <n v="0"/>
    <n v="622164387085"/>
    <d v="2026-08-17T00:00:00"/>
    <n v="473"/>
  </r>
  <r>
    <s v="Plastene Polyfilms Limited"/>
    <s v="17-08-2026"/>
    <s v="PPL/26-27/SII01183"/>
    <s v="WIP00023"/>
    <s v="PP UL Fabric With UV"/>
    <s v="PPL/RAW/26-27/437"/>
    <n v="1382"/>
    <n v="1382"/>
    <s v="Kgs"/>
    <n v="1382"/>
    <n v="0"/>
    <n v="1382"/>
    <s v="GJ12X1249"/>
    <s v="Plastene India ltd - Unit 1-Purchase"/>
    <s v="Plastene India ltd - Unit 1-Purchase"/>
    <s v="PIL1/D/1397"/>
    <s v="17-08-2026"/>
    <s v="RAW MATERIAL"/>
    <s v="INDIGENOUS"/>
    <s v="RM 440"/>
    <n v="147.32"/>
    <n v="147.32"/>
    <s v="PIL1/D/1397"/>
    <s v="17-08-2026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454116.8"/>
    <s v="SF"/>
    <s v="PP/PE Fabric"/>
    <x v="0"/>
    <s v="RM"/>
    <s v="erp"/>
    <n v="0"/>
    <n v="203596.24"/>
    <n v="444"/>
    <s v="17-08-2026"/>
    <s v="24AAACO3087C1ZT"/>
    <s v="storeppl"/>
    <s v="storeppl"/>
    <n v="9"/>
    <n v="18323.66"/>
    <n v="9"/>
    <n v="18323.66"/>
    <n v="0"/>
    <n v="0"/>
    <n v="0"/>
    <n v="622164387085"/>
    <d v="2026-08-17T00:00:00"/>
    <n v="1382"/>
  </r>
  <r>
    <s v="Plastene Polyfilms Limited"/>
    <s v="17-08-2026"/>
    <s v="PPL/26-27/SII01185"/>
    <s v="RAW05075"/>
    <s v="MB Karnavati Polyplast Blue"/>
    <s v="PPL/RAW/26-27/440"/>
    <n v="100"/>
    <n v="100"/>
    <s v="Kgs"/>
    <n v="100"/>
    <n v="0"/>
    <n v="100"/>
    <s v="GJ39T1656"/>
    <s v="Plastene India ltd - Unit 1-Purchase"/>
    <s v="Plastene India ltd - Unit 1-Purchase"/>
    <s v="PIL1/D/1403"/>
    <s v="17-08-2026"/>
    <s v="RAW MATERIAL"/>
    <s v="INDIGENOUS"/>
    <s v="RM 441"/>
    <n v="272"/>
    <n v="272"/>
    <s v="PIL1/D/1403"/>
    <s v="17-08-2026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51094"/>
    <s v="RM"/>
    <s v="Granules"/>
    <x v="10"/>
    <s v="RM"/>
    <s v="erp"/>
    <n v="0"/>
    <n v="27200"/>
    <n v="446"/>
    <s v="17-08-2026"/>
    <s v="24AAACO3087C1ZT"/>
    <s v="storeppl"/>
    <s v="storeppl"/>
    <n v="9"/>
    <n v="2448"/>
    <n v="9"/>
    <n v="2448"/>
    <n v="0"/>
    <n v="0"/>
    <n v="51094"/>
    <n v="652164692566"/>
    <d v="2026-08-17T00:00:00"/>
    <n v="100"/>
  </r>
  <r>
    <s v="Plastene Polyfilms Limited"/>
    <s v="17-08-2026"/>
    <s v="PPL/26-27/SII01185"/>
    <s v="RAW05888"/>
    <s v="MB JJ White WE9381PT"/>
    <s v="PPL/RAW/26-27/440"/>
    <n v="25"/>
    <n v="25"/>
    <s v="Kgs"/>
    <n v="25"/>
    <n v="0"/>
    <n v="25"/>
    <s v="GJ39T1656"/>
    <s v="Plastene India ltd - Unit 1-Purchase"/>
    <s v="Plastene India ltd - Unit 1-Purchase"/>
    <s v="PIL1/D/1403"/>
    <s v="17-08-2026"/>
    <s v="RAW MATERIAL"/>
    <s v="INDIGENOUS"/>
    <s v="RM 441"/>
    <n v="179"/>
    <n v="179"/>
    <s v="PIL1/D/1403"/>
    <s v="17-08-2026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51094"/>
    <s v="RM"/>
    <s v="Granules"/>
    <x v="10"/>
    <s v="RM"/>
    <s v="erp"/>
    <n v="0"/>
    <n v="4475"/>
    <n v="446"/>
    <s v="17-08-2026"/>
    <s v="24AAACO3087C1ZT"/>
    <s v="storeppl"/>
    <s v="storeppl"/>
    <n v="9"/>
    <n v="402.75"/>
    <n v="9"/>
    <n v="402.75"/>
    <n v="0"/>
    <n v="0"/>
    <n v="0"/>
    <n v="652164692566"/>
    <d v="2026-08-17T00:00:00"/>
    <n v="25"/>
  </r>
  <r>
    <s v="Plastene Polyfilms Limited"/>
    <s v="17-08-2026"/>
    <s v="PPL/26-27/SII01185"/>
    <s v="RAW06279"/>
    <s v="MB Colman Shiny Black ( RD Black-01 )"/>
    <s v="PPL/RAW/26-27/440"/>
    <n v="75"/>
    <n v="75"/>
    <s v="Kgs"/>
    <n v="75"/>
    <n v="0"/>
    <n v="75"/>
    <s v="GJ39T1656"/>
    <s v="Plastene India ltd - Unit 1-Purchase"/>
    <s v="Plastene India ltd - Unit 1-Purchase"/>
    <s v="PIL1/D/1403"/>
    <s v="17-08-2026"/>
    <s v="RAW MATERIAL"/>
    <s v="INDIGENOUS"/>
    <s v="RM 441"/>
    <n v="155"/>
    <n v="155"/>
    <s v="PIL1/D/1403"/>
    <s v="17-08-2026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51094"/>
    <s v="RM"/>
    <s v="Granules"/>
    <x v="10"/>
    <s v="RM"/>
    <m/>
    <n v="0"/>
    <n v="11625"/>
    <n v="446"/>
    <s v="17-08-2026"/>
    <s v="24AAACO3087C1ZT"/>
    <s v="storeppl"/>
    <s v="storeppl"/>
    <n v="9"/>
    <n v="1046.25"/>
    <n v="9"/>
    <n v="1046.25"/>
    <n v="0"/>
    <n v="0"/>
    <n v="0"/>
    <n v="652164692566"/>
    <d v="2026-08-17T00:00:00"/>
    <n v="75"/>
  </r>
  <r>
    <s v="Plastene Polyfilms Limited"/>
    <s v="17-08-2026"/>
    <s v="PPL/26-27/SII01186"/>
    <s v="WIP00032"/>
    <s v="Webbing"/>
    <s v="PPL/RAW/26-27/439"/>
    <n v="217.6"/>
    <n v="217.6"/>
    <s v="Kgs"/>
    <n v="217.6"/>
    <n v="0"/>
    <n v="217.6"/>
    <s v="GJ12X1249"/>
    <s v="Plastene India ltd - Unit 1-Purchase"/>
    <s v="Plastene India ltd - Unit 1-Purchase"/>
    <s v="PIL1/D/1400"/>
    <s v="17-08-2026"/>
    <s v="RAW MATERIAL"/>
    <s v="INDIGENOUS"/>
    <s v="RM 442"/>
    <n v="165.32"/>
    <n v="165.319999068893"/>
    <s v="PIL1/D/1400"/>
    <s v="17-08-2026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355104.15"/>
    <s v="SF"/>
    <s v="Webbing"/>
    <x v="2"/>
    <s v="RM"/>
    <s v="erp"/>
    <n v="0"/>
    <n v="35973.629999999997"/>
    <n v="445"/>
    <s v="17-08-2026"/>
    <s v="24AAACO3087C1ZT"/>
    <s v="storeppl"/>
    <s v="storeppl"/>
    <n v="9"/>
    <n v="3237.63"/>
    <n v="9"/>
    <n v="3237.63"/>
    <n v="0"/>
    <n v="0"/>
    <n v="355104.15"/>
    <n v="642164579381"/>
    <d v="2026-08-17T00:00:00"/>
    <n v="217.6"/>
  </r>
  <r>
    <s v="Plastene Polyfilms Limited"/>
    <s v="17-08-2026"/>
    <s v="PPL/26-27/SII01186"/>
    <s v="WIP00032"/>
    <s v="Webbing"/>
    <s v="PPL/RAW/26-27/439"/>
    <n v="597.79999999999995"/>
    <n v="597.79999999999995"/>
    <s v="Kgs"/>
    <n v="597.79999999999995"/>
    <n v="0"/>
    <n v="597.79999999999995"/>
    <s v="GJ12X1249"/>
    <s v="Plastene India ltd - Unit 1-Purchase"/>
    <s v="Plastene India ltd - Unit 1-Purchase"/>
    <s v="PIL1/D/1400"/>
    <s v="17-08-2026"/>
    <s v="RAW MATERIAL"/>
    <s v="INDIGENOUS"/>
    <s v="RM 442"/>
    <n v="147.32"/>
    <n v="147.31999917027201"/>
    <s v="PIL1/D/1400"/>
    <s v="17-08-2026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355104.15"/>
    <s v="SF"/>
    <s v="Webbing"/>
    <x v="2"/>
    <s v="RM"/>
    <s v="erp"/>
    <n v="0"/>
    <n v="88067.9"/>
    <n v="445"/>
    <s v="17-08-2026"/>
    <s v="24AAACO3087C1ZT"/>
    <s v="storeppl"/>
    <s v="storeppl"/>
    <n v="9"/>
    <n v="7926.11"/>
    <n v="9"/>
    <n v="7926.11"/>
    <n v="0"/>
    <n v="0"/>
    <n v="0"/>
    <n v="642164579381"/>
    <d v="2026-08-17T00:00:00"/>
    <n v="597.79999999999995"/>
  </r>
  <r>
    <s v="Plastene Polyfilms Limited"/>
    <s v="17-08-2026"/>
    <s v="PPL/26-27/SII01186"/>
    <s v="WIP00032"/>
    <s v="Webbing"/>
    <s v="PPL/RAW/26-27/439"/>
    <n v="382.5"/>
    <n v="382.5"/>
    <s v="Kgs"/>
    <n v="382.5"/>
    <n v="0"/>
    <n v="382.5"/>
    <s v="GJ12X1249"/>
    <s v="Plastene India ltd - Unit 1-Purchase"/>
    <s v="Plastene India ltd - Unit 1-Purchase"/>
    <s v="PIL1/D/1400"/>
    <s v="17-08-2026"/>
    <s v="RAW MATERIAL"/>
    <s v="INDIGENOUS"/>
    <s v="RM 442"/>
    <n v="144.32"/>
    <n v="144.31999918716801"/>
    <s v="PIL1/D/1400"/>
    <s v="17-08-2026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355104.15"/>
    <s v="SF"/>
    <s v="Webbing"/>
    <x v="2"/>
    <s v="RM"/>
    <s v="erp"/>
    <n v="0"/>
    <n v="55202.400000000001"/>
    <n v="445"/>
    <s v="17-08-2026"/>
    <s v="24AAACO3087C1ZT"/>
    <s v="storeppl"/>
    <s v="storeppl"/>
    <n v="9"/>
    <n v="4968.22"/>
    <n v="9"/>
    <n v="4968.22"/>
    <n v="0"/>
    <n v="0"/>
    <n v="0"/>
    <n v="642164579381"/>
    <d v="2026-08-17T00:00:00"/>
    <n v="382.5"/>
  </r>
  <r>
    <s v="Plastene Polyfilms Limited"/>
    <s v="17-08-2026"/>
    <s v="PPL/26-27/SII01186"/>
    <s v="WIP00191"/>
    <s v="PP MF Yarn Twisted 3000 Denier UV NW"/>
    <s v="PPL/RAW/26-27/439"/>
    <n v="886.2"/>
    <n v="886.2"/>
    <s v="Kgs"/>
    <n v="886.2"/>
    <n v="0"/>
    <n v="886.2"/>
    <s v="GJ12X1249"/>
    <s v="Plastene India ltd - Unit 1-Purchase"/>
    <s v="Plastene India ltd - Unit 1-Purchase"/>
    <s v="PIL1/D/1400"/>
    <s v="17-08-2026"/>
    <s v="RAW MATERIAL"/>
    <s v="INDIGENOUS"/>
    <s v="RM 442"/>
    <n v="154.32"/>
    <n v="154.31999913084701"/>
    <s v="PIL1/D/1400"/>
    <s v="17-08-2026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355104.15"/>
    <s v="SF"/>
    <s v="Yarn All"/>
    <x v="9"/>
    <s v="RM"/>
    <m/>
    <n v="0"/>
    <n v="136758.38"/>
    <n v="445"/>
    <s v="17-08-2026"/>
    <s v="24AAACO3087C1ZT"/>
    <s v="storeppl"/>
    <s v="storeppl"/>
    <n v="2.5"/>
    <n v="3418.96"/>
    <n v="2.5"/>
    <n v="3418.96"/>
    <n v="0"/>
    <n v="0"/>
    <n v="0"/>
    <n v="642164579381"/>
    <d v="2026-08-17T00:00:00"/>
    <n v="886.2"/>
  </r>
  <r>
    <s v="Plastene Polyfilms Limited"/>
    <s v="18-08-2026"/>
    <s v="PPL/26-27/SII01189"/>
    <s v="WIP00004"/>
    <s v="FIBC Bags With UV Without Liner"/>
    <s v="PPL/RAW/26-27/441"/>
    <n v="410"/>
    <n v="410"/>
    <s v="Kgs"/>
    <n v="410"/>
    <n v="0"/>
    <n v="410"/>
    <s v="GJ12BZ4679"/>
    <s v="K.P. Woven Pvt Ltd-Purchase"/>
    <s v="K.P. Woven Pvt Ltd-Purchase"/>
    <s v="KPV/D/614"/>
    <s v="17-08-2026"/>
    <s v="RAW MATERIAL"/>
    <s v="INDIGENOUS"/>
    <s v="RM 443"/>
    <n v="243.56"/>
    <n v="243.56"/>
    <s v="KPV/D/614"/>
    <s v="17-08-2026"/>
    <m/>
    <n v="0"/>
    <m/>
    <s v="G NAAM LOGISTICS"/>
    <n v="1936"/>
    <n v="0"/>
    <n v="0"/>
    <n v="0"/>
    <n v="0"/>
    <n v="0"/>
    <s v="VAT"/>
    <n v="0"/>
    <n v="0"/>
    <n v="0"/>
    <n v="0"/>
    <n v="0"/>
    <m/>
    <n v="0"/>
    <n v="0"/>
    <n v="246640.11"/>
    <s v="FG"/>
    <s v="FIBC Bags"/>
    <x v="7"/>
    <s v="RM"/>
    <s v="erp"/>
    <n v="0"/>
    <n v="99859.6"/>
    <n v="447"/>
    <s v="17-08-2026"/>
    <s v="24AAECK6307M1ZF"/>
    <s v="storeppl"/>
    <s v="storeppl"/>
    <n v="9"/>
    <n v="8987.36"/>
    <n v="9"/>
    <n v="8987.36"/>
    <n v="0"/>
    <n v="0"/>
    <n v="246640.11"/>
    <n v="652164466929"/>
    <d v="2026-08-17T00:00:00"/>
    <n v="410"/>
  </r>
  <r>
    <s v="Plastene Polyfilms Limited"/>
    <s v="18-08-2026"/>
    <s v="PPL/26-27/SII01189"/>
    <s v="WIP00003"/>
    <s v="FIBC Bags With UV With Liner"/>
    <s v="PPL/RAW/26-27/441"/>
    <n v="415"/>
    <n v="415"/>
    <s v="Kgs"/>
    <n v="415"/>
    <n v="0"/>
    <n v="415"/>
    <s v="GJ12BZ4679"/>
    <s v="K.P. Woven Pvt Ltd-Purchase"/>
    <s v="K.P. Woven Pvt Ltd-Purchase"/>
    <s v="KPV/D/614"/>
    <s v="17-08-2026"/>
    <s v="RAW MATERIAL"/>
    <s v="INDIGENOUS"/>
    <s v="RM 443"/>
    <n v="263.02999999999997"/>
    <n v="263.02999999999997"/>
    <s v="KPV/D/614"/>
    <s v="17-08-2026"/>
    <m/>
    <n v="0"/>
    <m/>
    <s v="G NAAM LOGISTICS"/>
    <n v="1936"/>
    <n v="0"/>
    <n v="0"/>
    <n v="0"/>
    <n v="0"/>
    <n v="0"/>
    <s v="VAT"/>
    <n v="0"/>
    <n v="0"/>
    <n v="0"/>
    <n v="0"/>
    <n v="0"/>
    <m/>
    <n v="0"/>
    <n v="0"/>
    <n v="246640.11"/>
    <s v="FG"/>
    <s v="FIBC Bags"/>
    <x v="7"/>
    <s v="RM"/>
    <s v="erp"/>
    <n v="0"/>
    <n v="109157.45"/>
    <n v="447"/>
    <s v="17-08-2026"/>
    <s v="24AAECK6307M1ZF"/>
    <s v="storeppl"/>
    <s v="storeppl"/>
    <n v="9"/>
    <n v="9824.17"/>
    <n v="9"/>
    <n v="9824.17"/>
    <n v="0"/>
    <n v="0"/>
    <n v="0"/>
    <n v="652164466929"/>
    <d v="2026-08-17T00:00:00"/>
    <n v="415"/>
  </r>
  <r>
    <s v="Plastene Polyfilms Limited"/>
    <s v="18-08-2026"/>
    <s v="PPL/26-27/SII01190"/>
    <s v="WIP00013"/>
    <s v="LDPE/LLDPE Bags/Liner"/>
    <s v="PPL/RAW/26-27/442"/>
    <n v="477"/>
    <n v="477"/>
    <s v="Kgs"/>
    <n v="477"/>
    <n v="0"/>
    <n v="477"/>
    <s v="GJ01HT6739"/>
    <s v="HCP Plastene Bulkpack Limited - Purchase"/>
    <s v="HCP Plastene Bulkpack Limited - Purchase"/>
    <s v="HPBL/D/500"/>
    <s v="17-08-2026"/>
    <s v="RAW MATERIAL"/>
    <s v="INDIGENOUS"/>
    <s v="RM 444"/>
    <n v="170.95"/>
    <n v="170.95"/>
    <s v="HPBL/D/500"/>
    <s v="17-08-2026"/>
    <s v="."/>
    <s v="."/>
    <m/>
    <s v="SHREENA ROADWAYS"/>
    <n v="2721"/>
    <n v="0"/>
    <n v="0"/>
    <n v="0"/>
    <n v="0"/>
    <n v="0"/>
    <s v="VAT"/>
    <n v="0"/>
    <n v="0"/>
    <n v="0"/>
    <n v="0"/>
    <n v="0"/>
    <m/>
    <n v="0"/>
    <n v="0"/>
    <n v="1224267.22"/>
    <s v="SF"/>
    <s v="Liners"/>
    <x v="5"/>
    <s v="RM"/>
    <s v="erp"/>
    <n v="0"/>
    <n v="81543.149999999994"/>
    <n v="448"/>
    <s v="18-08-2026"/>
    <s v="24AABCG1282C2Z6"/>
    <s v="storeppl"/>
    <s v="storeppl"/>
    <n v="9"/>
    <n v="7338.88"/>
    <n v="9"/>
    <n v="7338.88"/>
    <n v="0"/>
    <n v="0"/>
    <n v="1224267.22"/>
    <n v="612164515878"/>
    <d v="2026-08-17T00:00:00"/>
    <n v="477"/>
  </r>
  <r>
    <s v="Plastene Polyfilms Limited"/>
    <s v="18-08-2026"/>
    <s v="PPL/26-27/SII01190"/>
    <s v="WIP00023"/>
    <s v="PP UL Fabric With UV"/>
    <s v="PPL/RAW/26-27/442"/>
    <n v="200"/>
    <n v="200"/>
    <s v="Kgs"/>
    <n v="200"/>
    <n v="0"/>
    <n v="200"/>
    <s v="GJ01HT6739"/>
    <s v="HCP Plastene Bulkpack Limited - Purchase"/>
    <s v="HCP Plastene Bulkpack Limited - Purchase"/>
    <s v="HPBL/D/500"/>
    <s v="17-08-2026"/>
    <s v="RAW MATERIAL"/>
    <s v="INDIGENOUS"/>
    <s v="RM 444"/>
    <n v="159.49"/>
    <n v="159.49"/>
    <s v="HPBL/D/500"/>
    <s v="17-08-2026"/>
    <s v="."/>
    <s v="."/>
    <m/>
    <s v="SHREENA ROADWAYS"/>
    <n v="2721"/>
    <n v="0"/>
    <n v="0"/>
    <n v="0"/>
    <n v="0"/>
    <n v="0"/>
    <s v="VAT"/>
    <n v="0"/>
    <n v="0"/>
    <n v="0"/>
    <n v="0"/>
    <n v="0"/>
    <m/>
    <n v="0"/>
    <n v="0"/>
    <n v="1224267.22"/>
    <s v="SF"/>
    <s v="PP/PE Fabric"/>
    <x v="0"/>
    <s v="RM"/>
    <s v="erp"/>
    <n v="0"/>
    <n v="31898"/>
    <n v="448"/>
    <s v="18-08-2026"/>
    <s v="24AABCG1282C2Z6"/>
    <s v="storeppl"/>
    <s v="storeppl"/>
    <n v="9"/>
    <n v="2870.82"/>
    <n v="9"/>
    <n v="2870.82"/>
    <n v="0"/>
    <n v="0"/>
    <n v="0"/>
    <n v="612164515878"/>
    <d v="2026-08-17T00:00:00"/>
    <n v="200"/>
  </r>
  <r>
    <s v="Plastene Polyfilms Limited"/>
    <s v="18-08-2026"/>
    <s v="PPL/26-27/SII01190"/>
    <s v="WIP00023"/>
    <s v="PP UL Fabric With UV"/>
    <s v="PPL/RAW/26-27/442"/>
    <n v="5905"/>
    <n v="5905"/>
    <s v="Kgs"/>
    <n v="5905"/>
    <n v="0"/>
    <n v="5905"/>
    <s v="GJ01HT6739"/>
    <s v="HCP Plastene Bulkpack Limited - Purchase"/>
    <s v="HCP Plastene Bulkpack Limited - Purchase"/>
    <s v="HPBL/D/500"/>
    <s v="17-08-2026"/>
    <s v="RAW MATERIAL"/>
    <s v="INDIGENOUS"/>
    <s v="RM 444"/>
    <n v="156.49"/>
    <n v="156.49"/>
    <s v="HPBL/D/500"/>
    <s v="17-08-2026"/>
    <s v="."/>
    <s v="."/>
    <m/>
    <s v="SHREENA ROADWAYS"/>
    <n v="2721"/>
    <n v="0"/>
    <n v="0"/>
    <n v="0"/>
    <n v="0"/>
    <n v="0"/>
    <s v="VAT"/>
    <n v="0"/>
    <n v="0"/>
    <n v="0"/>
    <n v="0"/>
    <n v="0"/>
    <m/>
    <n v="0"/>
    <n v="0"/>
    <n v="1224267.22"/>
    <s v="SF"/>
    <s v="PP/PE Fabric"/>
    <x v="0"/>
    <s v="RM"/>
    <s v="erp"/>
    <n v="0"/>
    <n v="924073.45"/>
    <n v="448"/>
    <s v="18-08-2026"/>
    <s v="24AABCG1282C2Z6"/>
    <s v="storeppl"/>
    <s v="storeppl"/>
    <n v="9"/>
    <n v="83166.61"/>
    <n v="9"/>
    <n v="83166.61"/>
    <n v="0"/>
    <n v="0"/>
    <n v="0"/>
    <n v="612164515878"/>
    <d v="2026-08-17T00:00:00"/>
    <n v="5905"/>
  </r>
  <r>
    <s v="Plastene Polyfilms Limited"/>
    <s v="18-08-2026"/>
    <s v="PPL/26-27/SII01200"/>
    <s v="WIP00023"/>
    <s v="PP UL Fabric With UV"/>
    <s v="PPL/RAW/26-27/443"/>
    <n v="1342"/>
    <n v="1342"/>
    <s v="Kgs"/>
    <n v="1342"/>
    <n v="0"/>
    <n v="1342"/>
    <s v="GJ12X1249"/>
    <s v="Plastene India ltd - Unit 1-Purchase"/>
    <s v="Plastene India ltd - Unit 1-Purchase"/>
    <s v="PIL1/D/1415"/>
    <s v="18-08-2026"/>
    <s v="RAW MATERIAL"/>
    <s v="INDIGENOUS"/>
    <s v="RM 445"/>
    <n v="147.32"/>
    <n v="147.32"/>
    <s v="PIL1/D/1415"/>
    <s v="18-08-2026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858016.28"/>
    <s v="SF"/>
    <s v="PP/PE Fabric"/>
    <x v="0"/>
    <s v="RM"/>
    <s v="erp"/>
    <n v="0"/>
    <n v="197703.44"/>
    <n v="449"/>
    <s v="18-08-2026"/>
    <s v="24AAACO3087C1ZT"/>
    <s v="storeppl"/>
    <s v="storeppl"/>
    <n v="9"/>
    <n v="17793.310000000001"/>
    <n v="9"/>
    <n v="17793.310000000001"/>
    <n v="0"/>
    <n v="0"/>
    <n v="858016.28"/>
    <n v="662165585297"/>
    <d v="2026-08-18T00:00:00"/>
    <n v="1342"/>
  </r>
  <r>
    <s v="Plastene Polyfilms Limited"/>
    <s v="18-08-2026"/>
    <s v="PPL/26-27/SII01200"/>
    <s v="WIP00023"/>
    <s v="PP UL Fabric With UV"/>
    <s v="PPL/RAW/26-27/443"/>
    <n v="441"/>
    <n v="441"/>
    <s v="Kgs"/>
    <n v="441"/>
    <n v="0"/>
    <n v="441"/>
    <s v="GJ12X1249"/>
    <s v="Plastene India ltd - Unit 1-Purchase"/>
    <s v="Plastene India ltd - Unit 1-Purchase"/>
    <s v="PIL1/D/1415"/>
    <s v="18-08-2026"/>
    <s v="RAW MATERIAL"/>
    <s v="INDIGENOUS"/>
    <s v="RM 445"/>
    <n v="142.32"/>
    <n v="142.32"/>
    <s v="PIL1/D/1415"/>
    <s v="18-08-2026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858016.28"/>
    <s v="SF"/>
    <s v="PP/PE Fabric"/>
    <x v="0"/>
    <s v="RM"/>
    <s v="erp"/>
    <n v="0"/>
    <n v="62763.12"/>
    <n v="449"/>
    <s v="18-08-2026"/>
    <s v="24AAACO3087C1ZT"/>
    <s v="storeppl"/>
    <s v="storeppl"/>
    <n v="9"/>
    <n v="5648.68"/>
    <n v="9"/>
    <n v="5648.68"/>
    <n v="0"/>
    <n v="0"/>
    <n v="0"/>
    <n v="662165585297"/>
    <d v="2026-08-18T00:00:00"/>
    <n v="441"/>
  </r>
  <r>
    <s v="Plastene Polyfilms Limited"/>
    <s v="18-08-2026"/>
    <s v="PPL/26-27/SII01200"/>
    <s v="WIP00025"/>
    <s v="PP Lam Fabric With UV"/>
    <s v="PPL/RAW/26-27/443"/>
    <n v="1865"/>
    <n v="1865"/>
    <s v="Kgs"/>
    <n v="1865"/>
    <n v="0"/>
    <n v="1865"/>
    <s v="GJ12X1249"/>
    <s v="Plastene India ltd - Unit 1-Purchase"/>
    <s v="Plastene India ltd - Unit 1-Purchase"/>
    <s v="PIL1/D/1415"/>
    <s v="18-08-2026"/>
    <s v="RAW MATERIAL"/>
    <s v="INDIGENOUS"/>
    <s v="RM 445"/>
    <n v="149.32"/>
    <n v="149.32"/>
    <s v="PIL1/D/1415"/>
    <s v="18-08-2026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858016.28"/>
    <s v="SF"/>
    <s v="PP/PE Fabric"/>
    <x v="1"/>
    <s v="RM"/>
    <s v="erp"/>
    <n v="0"/>
    <n v="278481.8"/>
    <n v="449"/>
    <s v="18-08-2026"/>
    <s v="24AAACO3087C1ZT"/>
    <s v="storeppl"/>
    <s v="storeppl"/>
    <n v="9"/>
    <n v="25063.360000000001"/>
    <n v="9"/>
    <n v="25063.360000000001"/>
    <n v="0"/>
    <n v="0"/>
    <n v="0"/>
    <n v="662165585297"/>
    <d v="2026-08-18T00:00:00"/>
    <n v="1865"/>
  </r>
  <r>
    <s v="Plastene Polyfilms Limited"/>
    <s v="18-08-2026"/>
    <s v="PPL/26-27/SII01200"/>
    <s v="WIP00032"/>
    <s v="Webbing"/>
    <s v="PPL/RAW/26-27/443"/>
    <n v="443.4"/>
    <n v="443.4"/>
    <s v="Kgs"/>
    <n v="443.4"/>
    <n v="0"/>
    <n v="443.4"/>
    <s v="GJ12X1249"/>
    <s v="Plastene India ltd - Unit 1-Purchase"/>
    <s v="Plastene India ltd - Unit 1-Purchase"/>
    <s v="PIL1/D/1415"/>
    <s v="18-08-2026"/>
    <s v="RAW MATERIAL"/>
    <s v="INDIGENOUS"/>
    <s v="RM 445"/>
    <n v="144.32"/>
    <n v="144.32"/>
    <s v="PIL1/D/1415"/>
    <s v="18-08-2026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858016.28"/>
    <s v="SF"/>
    <s v="Webbing"/>
    <x v="2"/>
    <s v="RM"/>
    <s v="erp"/>
    <n v="0"/>
    <n v="63991.49"/>
    <n v="449"/>
    <s v="18-08-2026"/>
    <s v="24AAACO3087C1ZT"/>
    <s v="storeppl"/>
    <s v="storeppl"/>
    <n v="9"/>
    <n v="5759.23"/>
    <n v="9"/>
    <n v="5759.23"/>
    <n v="0"/>
    <n v="0"/>
    <n v="0"/>
    <n v="662165585297"/>
    <d v="2026-08-18T00:00:00"/>
    <n v="443.4"/>
  </r>
  <r>
    <s v="Plastene Polyfilms Limited"/>
    <s v="18-08-2026"/>
    <s v="PPL/26-27/SII01200"/>
    <s v="WIP00032"/>
    <s v="Webbing"/>
    <s v="PPL/RAW/26-27/443"/>
    <n v="197.6"/>
    <n v="197.6"/>
    <s v="Kgs"/>
    <n v="197.6"/>
    <n v="0"/>
    <n v="197.6"/>
    <s v="GJ12X1249"/>
    <s v="Plastene India ltd - Unit 1-Purchase"/>
    <s v="Plastene India ltd - Unit 1-Purchase"/>
    <s v="PIL1/D/1415"/>
    <s v="18-08-2026"/>
    <s v="RAW MATERIAL"/>
    <s v="INDIGENOUS"/>
    <s v="RM 445"/>
    <n v="165.32"/>
    <n v="165.32"/>
    <s v="PIL1/D/1415"/>
    <s v="18-08-2026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858016.28"/>
    <s v="SF"/>
    <s v="Webbing"/>
    <x v="2"/>
    <s v="RM"/>
    <s v="erp"/>
    <n v="0"/>
    <n v="32667.23"/>
    <n v="449"/>
    <s v="18-08-2026"/>
    <s v="24AAACO3087C1ZT"/>
    <s v="storeppl"/>
    <s v="storeppl"/>
    <n v="9"/>
    <n v="2940.05"/>
    <n v="9"/>
    <n v="2940.05"/>
    <n v="0"/>
    <n v="0"/>
    <n v="0"/>
    <n v="662165585297"/>
    <d v="2026-08-18T00:00:00"/>
    <n v="197.6"/>
  </r>
  <r>
    <s v="Plastene Polyfilms Limited"/>
    <s v="18-08-2026"/>
    <s v="PPL/26-27/SII01200"/>
    <s v="WIP00032"/>
    <s v="Webbing"/>
    <s v="PPL/RAW/26-27/443"/>
    <n v="378.5"/>
    <n v="378.5"/>
    <s v="Kgs"/>
    <n v="378.5"/>
    <n v="0"/>
    <n v="378.5"/>
    <s v="GJ12X1249"/>
    <s v="Plastene India ltd - Unit 1-Purchase"/>
    <s v="Plastene India ltd - Unit 1-Purchase"/>
    <s v="PIL1/D/1415"/>
    <s v="18-08-2026"/>
    <s v="RAW MATERIAL"/>
    <s v="INDIGENOUS"/>
    <s v="RM 445"/>
    <n v="147.32"/>
    <n v="147.32"/>
    <s v="PIL1/D/1415"/>
    <s v="18-08-2026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858016.28"/>
    <s v="SF"/>
    <s v="Webbing"/>
    <x v="2"/>
    <s v="RM"/>
    <s v="erp"/>
    <n v="0"/>
    <n v="55760.62"/>
    <n v="449"/>
    <s v="18-08-2026"/>
    <s v="24AAACO3087C1ZT"/>
    <s v="storeppl"/>
    <s v="storeppl"/>
    <n v="9"/>
    <n v="5018.46"/>
    <n v="9"/>
    <n v="5018.46"/>
    <n v="0"/>
    <n v="0"/>
    <n v="0"/>
    <n v="662165585297"/>
    <d v="2026-08-18T00:00:00"/>
    <n v="378.5"/>
  </r>
  <r>
    <s v="Plastene Polyfilms Limited"/>
    <s v="18-08-2026"/>
    <s v="PPL/26-27/SII01200"/>
    <s v="WIP00013"/>
    <s v="LDPE/LLDPE Bags/Liner"/>
    <s v="PPL/RAW/26-27/443"/>
    <n v="162"/>
    <n v="162"/>
    <s v="Kgs"/>
    <n v="162"/>
    <n v="0"/>
    <n v="162"/>
    <s v="GJ12X1249"/>
    <s v="Plastene India ltd - Unit 1-Purchase"/>
    <s v="Plastene India ltd - Unit 1-Purchase"/>
    <s v="PIL1/D/1415"/>
    <s v="18-08-2026"/>
    <s v="RAW MATERIAL"/>
    <s v="INDIGENOUS"/>
    <s v="RM 445"/>
    <n v="220.77"/>
    <n v="220.77"/>
    <s v="PIL1/D/1415"/>
    <s v="18-08-2026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858016.28"/>
    <s v="SF"/>
    <s v="Liners"/>
    <x v="5"/>
    <s v="RM"/>
    <s v="erp"/>
    <n v="0"/>
    <n v="35764.74"/>
    <n v="449"/>
    <s v="18-08-2026"/>
    <s v="24AAACO3087C1ZT"/>
    <s v="storeppl"/>
    <s v="storeppl"/>
    <n v="9"/>
    <n v="3218.83"/>
    <n v="9"/>
    <n v="3218.83"/>
    <n v="0"/>
    <n v="0"/>
    <n v="0"/>
    <n v="662165585297"/>
    <d v="2026-08-18T00:00:00"/>
    <n v="162"/>
  </r>
  <r>
    <s v="Plastene Polyfilms Limited"/>
    <s v="19-08-2026"/>
    <s v="PPL/26-27/SII01201"/>
    <s v="WIP00032"/>
    <s v="Webbing"/>
    <s v="PPL/RAW/26-27/444"/>
    <n v="114"/>
    <n v="114"/>
    <s v="Kgs"/>
    <n v="114"/>
    <n v="0"/>
    <n v="114"/>
    <s v="GJ39T1656"/>
    <s v="Plastene India ltd - Unit 1-Purchase"/>
    <s v="Plastene India ltd - Unit 1-Purchase"/>
    <s v="PIL1/D/1418"/>
    <s v="19-08-2026"/>
    <s v="RAW MATERIAL"/>
    <s v="INDIGENOUS"/>
    <s v="RM 446"/>
    <n v="147.32"/>
    <n v="147.32"/>
    <s v="PIL1/D/1418"/>
    <s v="19-08-2026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19817.48"/>
    <s v="SF"/>
    <s v="Webbing"/>
    <x v="2"/>
    <s v="RM"/>
    <s v="erp"/>
    <n v="0"/>
    <n v="16794.48"/>
    <n v="450"/>
    <s v="19-08-2026"/>
    <s v="24AAACO3087C1ZT"/>
    <s v="storeppl"/>
    <s v="storeppl"/>
    <n v="9"/>
    <n v="1511.5"/>
    <n v="9"/>
    <n v="1511.5"/>
    <n v="0"/>
    <n v="0"/>
    <n v="19817.48"/>
    <n v="692165840658"/>
    <d v="2026-08-19T00:00:00"/>
    <n v="114"/>
  </r>
  <r>
    <s v="Plastene Polyfilms Limited"/>
    <s v="19-08-2026"/>
    <s v="PPL/26-27/SII01202"/>
    <s v="WIP00002"/>
    <s v="RP Granules"/>
    <s v="PPL/RAW/26-27/445"/>
    <n v="3000"/>
    <n v="3000"/>
    <s v="Kgs"/>
    <n v="3000"/>
    <n v="0"/>
    <n v="3000"/>
    <s v="GJ12X1249"/>
    <s v="Plastene India ltd - Unit 1-Purchase"/>
    <s v="Plastene India ltd - Unit 1-Purchase"/>
    <s v="PIL1/D/1421"/>
    <s v="19-08-2026"/>
    <s v="RAW MATERIAL"/>
    <s v="INDIGENOUS"/>
    <s v="RM 447"/>
    <n v="105"/>
    <n v="105"/>
    <s v="PIL1/D/1421"/>
    <s v="19-08-2026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371700"/>
    <s v="SF"/>
    <s v="RP Granules"/>
    <x v="14"/>
    <s v="SF"/>
    <s v="erp"/>
    <n v="0"/>
    <n v="315000"/>
    <n v="451"/>
    <s v="19-08-2026"/>
    <s v="24AAACO3087C1ZT"/>
    <s v="storeppl"/>
    <s v="storeppl"/>
    <n v="9"/>
    <n v="28350"/>
    <n v="9"/>
    <n v="28350"/>
    <n v="0"/>
    <n v="0"/>
    <n v="371700"/>
    <n v="612165949951"/>
    <d v="2026-08-19T00:00:00"/>
    <n v="3000"/>
  </r>
  <r>
    <s v="Plastene Polyfilms Limited"/>
    <s v="19-08-2026"/>
    <s v="PPL/26-27/SII01208"/>
    <s v="WIP00032"/>
    <s v="Webbing"/>
    <s v="PPL/RAW/26-27/446"/>
    <n v="219.6"/>
    <n v="219.6"/>
    <s v="Kgs"/>
    <n v="219.6"/>
    <n v="0"/>
    <n v="219.6"/>
    <s v="GJ12X1249"/>
    <s v="Plastene India ltd - Unit 1-Purchase"/>
    <s v="Plastene India ltd - Unit 1-Purchase"/>
    <s v="PIL1/D/1424"/>
    <s v="19-08-2026"/>
    <s v="RAW MATERIAL"/>
    <s v="INDIGENOUS"/>
    <s v="RM 448"/>
    <n v="165.32"/>
    <n v="165.31999934829"/>
    <s v="PIL1/D/1424"/>
    <s v="19-08-2026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1522025.67"/>
    <s v="SF"/>
    <s v="Webbing"/>
    <x v="2"/>
    <s v="RM"/>
    <s v="erp"/>
    <n v="0"/>
    <n v="36304.269999999997"/>
    <n v="452"/>
    <s v="19-08-2026"/>
    <s v="24AAACO3087C1ZT"/>
    <s v="storeppl"/>
    <s v="storeppl"/>
    <n v="9"/>
    <n v="3267.38"/>
    <n v="9"/>
    <n v="3267.38"/>
    <n v="0"/>
    <n v="0"/>
    <n v="1522025.67"/>
    <n v="682166264304"/>
    <d v="2026-08-19T00:00:00"/>
    <n v="219.6"/>
  </r>
  <r>
    <s v="Plastene Polyfilms Limited"/>
    <s v="19-08-2026"/>
    <s v="PPL/26-27/SII01208"/>
    <s v="WIP00032"/>
    <s v="Webbing"/>
    <s v="PPL/RAW/26-27/446"/>
    <n v="1616.1"/>
    <n v="1616.1"/>
    <s v="Kgs"/>
    <n v="1616.1"/>
    <n v="0"/>
    <n v="1616.1"/>
    <s v="GJ12X1249"/>
    <s v="Plastene India ltd - Unit 1-Purchase"/>
    <s v="Plastene India ltd - Unit 1-Purchase"/>
    <s v="PIL1/D/1424"/>
    <s v="19-08-2026"/>
    <s v="RAW MATERIAL"/>
    <s v="INDIGENOUS"/>
    <s v="RM 448"/>
    <n v="144.32"/>
    <n v="144.319999431074"/>
    <s v="PIL1/D/1424"/>
    <s v="19-08-2026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1522025.67"/>
    <s v="SF"/>
    <s v="Webbing"/>
    <x v="2"/>
    <s v="RM"/>
    <s v="erp"/>
    <n v="0"/>
    <n v="233235.55"/>
    <n v="452"/>
    <s v="19-08-2026"/>
    <s v="24AAACO3087C1ZT"/>
    <s v="storeppl"/>
    <s v="storeppl"/>
    <n v="9"/>
    <n v="20991.200000000001"/>
    <n v="9"/>
    <n v="20991.200000000001"/>
    <n v="0"/>
    <n v="0"/>
    <n v="0"/>
    <n v="682166264304"/>
    <d v="2026-08-19T00:00:00"/>
    <n v="1616.1"/>
  </r>
  <r>
    <s v="Plastene Polyfilms Limited"/>
    <s v="19-08-2026"/>
    <s v="PPL/26-27/SII01208"/>
    <s v="WIP00032"/>
    <s v="Webbing"/>
    <s v="PPL/RAW/26-27/446"/>
    <n v="390.6"/>
    <n v="390.6"/>
    <s v="Kgs"/>
    <n v="390.6"/>
    <n v="0"/>
    <n v="390.6"/>
    <s v="GJ12X1249"/>
    <s v="Plastene India ltd - Unit 1-Purchase"/>
    <s v="Plastene India ltd - Unit 1-Purchase"/>
    <s v="PIL1/D/1424"/>
    <s v="19-08-2026"/>
    <s v="RAW MATERIAL"/>
    <s v="INDIGENOUS"/>
    <s v="RM 448"/>
    <n v="147.32"/>
    <n v="147.31999941924801"/>
    <s v="PIL1/D/1424"/>
    <s v="19-08-2026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1522025.67"/>
    <s v="SF"/>
    <s v="Webbing"/>
    <x v="2"/>
    <s v="RM"/>
    <s v="erp"/>
    <n v="0"/>
    <n v="57543.19"/>
    <n v="452"/>
    <s v="19-08-2026"/>
    <s v="24AAACO3087C1ZT"/>
    <s v="storeppl"/>
    <s v="storeppl"/>
    <n v="9"/>
    <n v="5178.8900000000003"/>
    <n v="9"/>
    <n v="5178.8900000000003"/>
    <n v="0"/>
    <n v="0"/>
    <n v="0"/>
    <n v="682166264304"/>
    <d v="2026-08-19T00:00:00"/>
    <n v="390.6"/>
  </r>
  <r>
    <s v="Plastene Polyfilms Limited"/>
    <s v="19-08-2026"/>
    <s v="PPL/26-27/SII01208"/>
    <s v="WIP00025"/>
    <s v="PP Lam Fabric With UV"/>
    <s v="PPL/RAW/26-27/446"/>
    <n v="5762"/>
    <n v="5762"/>
    <s v="Kgs"/>
    <n v="5762"/>
    <n v="0"/>
    <n v="5762"/>
    <s v="GJ12X1249"/>
    <s v="Plastene India ltd - Unit 1-Purchase"/>
    <s v="Plastene India ltd - Unit 1-Purchase"/>
    <s v="PIL1/D/1424"/>
    <s v="19-08-2026"/>
    <s v="RAW MATERIAL"/>
    <s v="INDIGENOUS"/>
    <s v="RM 448"/>
    <n v="149.32"/>
    <n v="149.319999411363"/>
    <s v="PIL1/D/1424"/>
    <s v="19-08-2026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1522025.67"/>
    <s v="SF"/>
    <s v="PP/PE Fabric"/>
    <x v="1"/>
    <s v="RM"/>
    <s v="erp"/>
    <n v="0"/>
    <n v="860381.84"/>
    <n v="452"/>
    <s v="19-08-2026"/>
    <s v="24AAACO3087C1ZT"/>
    <s v="storeppl"/>
    <s v="storeppl"/>
    <n v="9"/>
    <n v="77434.37"/>
    <n v="9"/>
    <n v="77434.37"/>
    <n v="0"/>
    <n v="0"/>
    <n v="0"/>
    <n v="682166264304"/>
    <d v="2026-08-19T00:00:00"/>
    <n v="5762"/>
  </r>
  <r>
    <s v="Plastene Polyfilms Limited"/>
    <s v="19-08-2026"/>
    <s v="PPL/26-27/SII01208"/>
    <s v="WIP00023"/>
    <s v="PP UL Fabric With UV"/>
    <s v="PPL/RAW/26-27/446"/>
    <n v="695"/>
    <n v="695"/>
    <s v="Kgs"/>
    <n v="695"/>
    <n v="0"/>
    <n v="695"/>
    <s v="GJ12X1249"/>
    <s v="Plastene India ltd - Unit 1-Purchase"/>
    <s v="Plastene India ltd - Unit 1-Purchase"/>
    <s v="PIL1/D/1424"/>
    <s v="19-08-2026"/>
    <s v="RAW MATERIAL"/>
    <s v="INDIGENOUS"/>
    <s v="RM 448"/>
    <n v="147.32"/>
    <n v="147.31999941924801"/>
    <s v="PIL1/D/1424"/>
    <s v="19-08-2026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1522025.67"/>
    <s v="SF"/>
    <s v="PP/PE Fabric"/>
    <x v="0"/>
    <s v="RM"/>
    <s v="erp"/>
    <n v="0"/>
    <n v="102387.4"/>
    <n v="452"/>
    <s v="19-08-2026"/>
    <s v="24AAACO3087C1ZT"/>
    <s v="storeppl"/>
    <s v="storeppl"/>
    <n v="9"/>
    <n v="9214.8700000000008"/>
    <n v="9"/>
    <n v="9214.8700000000008"/>
    <n v="0"/>
    <n v="0"/>
    <n v="0"/>
    <n v="682166264304"/>
    <d v="2026-08-19T00:00:00"/>
    <n v="695"/>
  </r>
  <r>
    <s v="Plastene Polyfilms Limited"/>
    <s v="20-08-2026"/>
    <s v="PPL/26-27/SII01213"/>
    <s v="WIP00023"/>
    <s v="PP UL Fabric With UV"/>
    <s v="PPL/RAW/26-27/447"/>
    <n v="1237.5"/>
    <n v="1237.5"/>
    <s v="Kgs"/>
    <n v="1237.5"/>
    <n v="0"/>
    <n v="1237.5"/>
    <s v="GJ12BY6521"/>
    <s v="K.P. Woven Pvt Ltd-Purchase"/>
    <s v="K.P. Woven Pvt Ltd-Purchase"/>
    <s v="KPV/D/623"/>
    <s v="19-08-2026"/>
    <s v="RAW MATERIAL"/>
    <s v="INDIGENOUS"/>
    <s v="RM 449"/>
    <n v="166.4"/>
    <n v="166.4"/>
    <s v="KPV/D/623"/>
    <s v="19-08-2026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242985.60000000001"/>
    <s v="SF"/>
    <s v="PP/PE Fabric"/>
    <x v="0"/>
    <s v="RM"/>
    <s v="erp"/>
    <n v="0"/>
    <n v="205920"/>
    <n v="453"/>
    <s v="20-08-2026"/>
    <s v="24AAECK6307M1ZF"/>
    <s v="storeppl"/>
    <s v="storeppl"/>
    <n v="9"/>
    <n v="18532.8"/>
    <n v="9"/>
    <n v="18532.8"/>
    <n v="0"/>
    <n v="0"/>
    <n v="242985.60000000001"/>
    <n v="602166165412"/>
    <d v="2026-08-19T00:00:00"/>
    <n v="1237.5"/>
  </r>
  <r>
    <s v="Plastene Polyfilms Limited"/>
    <s v="20-08-2026"/>
    <s v="PPL/26-27/SII01214"/>
    <s v="RAW05951"/>
    <s v="PP Tapes"/>
    <s v="PPL/RAW/26-27/448"/>
    <n v="1733"/>
    <n v="1733"/>
    <s v="Kgs"/>
    <n v="1733"/>
    <n v="0"/>
    <n v="1733"/>
    <s v="GJ12X1249"/>
    <s v="Plastene India ltd - Unit 1-Purchase"/>
    <s v="Plastene India ltd - Unit 1-Purchase"/>
    <s v="PIL1/D/1434"/>
    <s v="20-08-2026"/>
    <s v="RAW MATERIAL"/>
    <s v="INDIGENOUS"/>
    <s v="RM 450"/>
    <n v="132.32"/>
    <n v="132.32"/>
    <s v="PIL1/D/1434"/>
    <s v="20-08-2026"/>
    <s v="BOBBIN 1405 PIPE"/>
    <n v="0"/>
    <m/>
    <n v="0"/>
    <n v="0"/>
    <n v="0"/>
    <n v="0"/>
    <n v="0"/>
    <n v="0"/>
    <n v="0"/>
    <s v="VAT"/>
    <n v="0"/>
    <n v="0"/>
    <n v="0"/>
    <n v="0"/>
    <n v="0"/>
    <m/>
    <n v="0"/>
    <n v="0"/>
    <n v="270586.46000000002"/>
    <s v="SF"/>
    <s v="Tape Stock"/>
    <x v="11"/>
    <s v="RM"/>
    <s v="erp"/>
    <n v="0"/>
    <n v="229310.56"/>
    <n v="454"/>
    <s v="20-08-2026"/>
    <s v="24AAACO3087C1ZT"/>
    <s v="storeppl"/>
    <s v="storeppl"/>
    <n v="9"/>
    <n v="20637.95"/>
    <n v="9"/>
    <n v="20637.95"/>
    <n v="0"/>
    <n v="0"/>
    <n v="270586.46000000002"/>
    <n v="682166653151"/>
    <d v="2026-08-20T00:00:00"/>
    <n v="1733"/>
  </r>
  <r>
    <s v="Plastene Polyfilms Limited"/>
    <s v="20-08-2026"/>
    <s v="PPL/26-27/SII01226"/>
    <s v="WIP00013"/>
    <s v="LDPE/LLDPE Bags/Liner"/>
    <s v="PPL/RAW/26-27/449"/>
    <n v="117.6"/>
    <n v="117.6"/>
    <s v="Kgs"/>
    <n v="117.6"/>
    <n v="0"/>
    <n v="117.6"/>
    <s v="GJ12X1249"/>
    <s v="Plastene India ltd - Unit 1-Purchase"/>
    <s v="Plastene India ltd - Unit 1-Purchase"/>
    <s v="PIL1/D/1436"/>
    <s v="20-08-2026"/>
    <s v="RAW MATERIAL"/>
    <s v="INDIGENOUS"/>
    <s v="RM 451"/>
    <n v="200.86"/>
    <n v="200.86000149927"/>
    <s v="PIL1/D/1436"/>
    <s v="20-08-2026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535887.6"/>
    <s v="SF"/>
    <s v="Liners"/>
    <x v="5"/>
    <s v="RM"/>
    <s v="erp"/>
    <n v="0"/>
    <n v="23621.14"/>
    <n v="455"/>
    <s v="20-08-2026"/>
    <s v="24AAACO3087C1ZT"/>
    <s v="storeppl"/>
    <s v="storeppl"/>
    <n v="9"/>
    <n v="2125.9"/>
    <n v="9"/>
    <n v="2125.9"/>
    <n v="0"/>
    <n v="0"/>
    <n v="535887.6"/>
    <n v="632166675639"/>
    <d v="2026-08-20T00:00:00"/>
    <n v="117.6"/>
  </r>
  <r>
    <s v="Plastene Polyfilms Limited"/>
    <s v="20-08-2026"/>
    <s v="PPL/26-27/SII01226"/>
    <s v="WIP00023"/>
    <s v="PP UL Fabric With UV"/>
    <s v="PPL/RAW/26-27/449"/>
    <n v="729"/>
    <n v="729"/>
    <s v="Kgs"/>
    <n v="729"/>
    <n v="0"/>
    <n v="729"/>
    <s v="GJ12X1249"/>
    <s v="Plastene India ltd - Unit 1-Purchase"/>
    <s v="Plastene India ltd - Unit 1-Purchase"/>
    <s v="PIL1/D/1436"/>
    <s v="20-08-2026"/>
    <s v="RAW MATERIAL"/>
    <s v="INDIGENOUS"/>
    <s v="RM 451"/>
    <n v="147.32"/>
    <n v="147.320001099634"/>
    <s v="PIL1/D/1436"/>
    <s v="20-08-2026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535887.6"/>
    <s v="SF"/>
    <s v="PP/PE Fabric"/>
    <x v="0"/>
    <s v="RM"/>
    <s v="erp"/>
    <n v="0"/>
    <n v="107396.28"/>
    <n v="455"/>
    <s v="20-08-2026"/>
    <s v="24AAACO3087C1ZT"/>
    <s v="storeppl"/>
    <s v="storeppl"/>
    <n v="9"/>
    <n v="9665.67"/>
    <n v="9"/>
    <n v="9665.67"/>
    <n v="0"/>
    <n v="0"/>
    <n v="0"/>
    <n v="632166675639"/>
    <d v="2026-08-20T00:00:00"/>
    <n v="729"/>
  </r>
  <r>
    <s v="Plastene Polyfilms Limited"/>
    <s v="20-08-2026"/>
    <s v="PPL/26-27/SII01226"/>
    <s v="WIP00023"/>
    <s v="PP UL Fabric With UV"/>
    <s v="PPL/RAW/26-27/449"/>
    <n v="442"/>
    <n v="442"/>
    <s v="Kgs"/>
    <n v="442"/>
    <n v="0"/>
    <n v="442"/>
    <s v="GJ12X1249"/>
    <s v="Plastene India ltd - Unit 1-Purchase"/>
    <s v="Plastene India ltd - Unit 1-Purchase"/>
    <s v="PIL1/D/1436"/>
    <s v="20-08-2026"/>
    <s v="RAW MATERIAL"/>
    <s v="INDIGENOUS"/>
    <s v="RM 451"/>
    <n v="142.32"/>
    <n v="142.320001062312"/>
    <s v="PIL1/D/1436"/>
    <s v="20-08-2026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535887.6"/>
    <s v="SF"/>
    <s v="PP/PE Fabric"/>
    <x v="0"/>
    <s v="RM"/>
    <s v="erp"/>
    <n v="0"/>
    <n v="62905.440000000002"/>
    <n v="455"/>
    <s v="20-08-2026"/>
    <s v="24AAACO3087C1ZT"/>
    <s v="storeppl"/>
    <s v="storeppl"/>
    <n v="9"/>
    <n v="5661.49"/>
    <n v="9"/>
    <n v="5661.49"/>
    <n v="0"/>
    <n v="0"/>
    <n v="0"/>
    <n v="632166675639"/>
    <d v="2026-08-20T00:00:00"/>
    <n v="442"/>
  </r>
  <r>
    <s v="Plastene Polyfilms Limited"/>
    <s v="20-08-2026"/>
    <s v="PPL/26-27/SII01226"/>
    <s v="WIP00032"/>
    <s v="Webbing"/>
    <s v="PPL/RAW/26-27/449"/>
    <n v="256"/>
    <n v="256"/>
    <s v="Kgs"/>
    <n v="256"/>
    <n v="0"/>
    <n v="256"/>
    <s v="GJ12X1249"/>
    <s v="Plastene India ltd - Unit 1-Purchase"/>
    <s v="Plastene India ltd - Unit 1-Purchase"/>
    <s v="PIL1/D/1436"/>
    <s v="20-08-2026"/>
    <s v="RAW MATERIAL"/>
    <s v="INDIGENOUS"/>
    <s v="RM 451"/>
    <n v="165.32"/>
    <n v="165.32000123399001"/>
    <s v="PIL1/D/1436"/>
    <s v="20-08-2026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535887.6"/>
    <s v="SF"/>
    <s v="Webbing"/>
    <x v="2"/>
    <s v="RM"/>
    <s v="erp"/>
    <n v="0"/>
    <n v="42321.919999999998"/>
    <n v="455"/>
    <s v="20-08-2026"/>
    <s v="24AAACO3087C1ZT"/>
    <s v="storeppl"/>
    <s v="storeppl"/>
    <n v="9"/>
    <n v="3808.97"/>
    <n v="9"/>
    <n v="3808.97"/>
    <n v="0"/>
    <n v="0"/>
    <n v="0"/>
    <n v="632166675639"/>
    <d v="2026-08-20T00:00:00"/>
    <n v="256"/>
  </r>
  <r>
    <s v="Plastene Polyfilms Limited"/>
    <s v="20-08-2026"/>
    <s v="PPL/26-27/SII01226"/>
    <s v="WIP00032"/>
    <s v="Webbing"/>
    <s v="PPL/RAW/26-27/449"/>
    <n v="452.5"/>
    <n v="452.5"/>
    <s v="Kgs"/>
    <n v="452.5"/>
    <n v="0"/>
    <n v="452.5"/>
    <s v="GJ12X1249"/>
    <s v="Plastene India ltd - Unit 1-Purchase"/>
    <s v="Plastene India ltd - Unit 1-Purchase"/>
    <s v="PIL1/D/1436"/>
    <s v="20-08-2026"/>
    <s v="RAW MATERIAL"/>
    <s v="INDIGENOUS"/>
    <s v="RM 451"/>
    <n v="147.32"/>
    <n v="147.320001099634"/>
    <s v="PIL1/D/1436"/>
    <s v="20-08-2026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535887.6"/>
    <s v="SF"/>
    <s v="Webbing"/>
    <x v="2"/>
    <s v="RM"/>
    <s v="erp"/>
    <n v="0"/>
    <n v="66662.3"/>
    <n v="455"/>
    <s v="20-08-2026"/>
    <s v="24AAACO3087C1ZT"/>
    <s v="storeppl"/>
    <s v="storeppl"/>
    <n v="9"/>
    <n v="5999.61"/>
    <n v="9"/>
    <n v="5999.61"/>
    <n v="0"/>
    <n v="0"/>
    <n v="0"/>
    <n v="632166675639"/>
    <d v="2026-08-20T00:00:00"/>
    <n v="452.5"/>
  </r>
  <r>
    <s v="Plastene Polyfilms Limited"/>
    <s v="20-08-2026"/>
    <s v="PPL/26-27/SII01226"/>
    <s v="WIP00032"/>
    <s v="Webbing"/>
    <s v="PPL/RAW/26-27/449"/>
    <n v="555.9"/>
    <n v="555.9"/>
    <s v="Kgs"/>
    <n v="555.9"/>
    <n v="0"/>
    <n v="555.9"/>
    <s v="GJ12X1249"/>
    <s v="Plastene India ltd - Unit 1-Purchase"/>
    <s v="Plastene India ltd - Unit 1-Purchase"/>
    <s v="PIL1/D/1436"/>
    <s v="20-08-2026"/>
    <s v="RAW MATERIAL"/>
    <s v="INDIGENOUS"/>
    <s v="RM 451"/>
    <n v="144.32"/>
    <n v="144.32000107724099"/>
    <s v="PIL1/D/1436"/>
    <s v="20-08-2026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535887.6"/>
    <s v="SF"/>
    <s v="Webbing"/>
    <x v="2"/>
    <s v="RM"/>
    <s v="erp"/>
    <n v="0"/>
    <n v="80227.490000000005"/>
    <n v="455"/>
    <s v="20-08-2026"/>
    <s v="24AAACO3087C1ZT"/>
    <s v="storeppl"/>
    <s v="storeppl"/>
    <n v="9"/>
    <n v="7220.47"/>
    <n v="9"/>
    <n v="7220.47"/>
    <n v="0"/>
    <n v="0"/>
    <n v="0"/>
    <n v="632166675639"/>
    <d v="2026-08-20T00:00:00"/>
    <n v="555.9"/>
  </r>
  <r>
    <s v="Plastene Polyfilms Limited"/>
    <s v="20-08-2026"/>
    <s v="PPL/26-27/SII01226"/>
    <s v="WIP00151"/>
    <s v="PP MF Yarn Twisted 1000 UV NW"/>
    <s v="PPL/RAW/26-27/449"/>
    <n v="517.1"/>
    <n v="517.1"/>
    <s v="Kgs"/>
    <n v="517.1"/>
    <n v="0"/>
    <n v="517.1"/>
    <s v="GJ12X1249"/>
    <s v="Plastene India ltd - Unit 1-Purchase"/>
    <s v="Plastene India ltd - Unit 1-Purchase"/>
    <s v="PIL1/D/1436"/>
    <s v="20-08-2026"/>
    <s v="RAW MATERIAL"/>
    <s v="INDIGENOUS"/>
    <s v="RM 451"/>
    <n v="154.32"/>
    <n v="154.32000115188299"/>
    <s v="PIL1/D/1436"/>
    <s v="20-08-2026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535887.6"/>
    <s v="SF"/>
    <s v="Yarn All"/>
    <x v="9"/>
    <s v="RM"/>
    <m/>
    <n v="0"/>
    <n v="79798.87"/>
    <n v="455"/>
    <s v="20-08-2026"/>
    <s v="24AAACO3087C1ZT"/>
    <s v="storeppl"/>
    <s v="storeppl"/>
    <n v="2.5"/>
    <n v="1994.97"/>
    <n v="2.5"/>
    <n v="1994.97"/>
    <n v="0"/>
    <n v="0"/>
    <n v="0"/>
    <n v="632166675639"/>
    <d v="2026-08-20T00:00:00"/>
    <n v="517.1"/>
  </r>
  <r>
    <s v="Plastene Polyfilms Limited"/>
    <s v="21-08-2026"/>
    <s v="PPL/26-27/SII01227"/>
    <s v="WIP00032"/>
    <s v="Webbing"/>
    <s v="PPL/RAW/26-27/450"/>
    <n v="103.9"/>
    <n v="103.9"/>
    <s v="Kgs"/>
    <n v="103.9"/>
    <n v="0"/>
    <n v="103.9"/>
    <s v="GJ39T1656"/>
    <s v="Plastene India ltd - Unit 1-Purchase"/>
    <s v="Plastene India ltd - Unit 1-Purchase"/>
    <s v="PIL1/D/1440"/>
    <s v="21-08-2026"/>
    <s v="RAW MATERIAL"/>
    <s v="INDIGENOUS"/>
    <s v="RM 452"/>
    <n v="147.32"/>
    <n v="147.320016312946"/>
    <s v="PIL1/D/1440"/>
    <s v="21-08-2026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18061.73"/>
    <s v="SF"/>
    <s v="Webbing"/>
    <x v="2"/>
    <s v="RM"/>
    <s v="erp"/>
    <n v="0"/>
    <n v="15306.55"/>
    <n v="457"/>
    <s v="21-08-2026"/>
    <s v="24AAACO3087C1ZT"/>
    <s v="storeppl"/>
    <s v="storeppl"/>
    <n v="9"/>
    <n v="1377.59"/>
    <n v="9"/>
    <n v="1377.59"/>
    <n v="0"/>
    <n v="0"/>
    <n v="18061.73"/>
    <n v="692167226041"/>
    <d v="2026-08-21T00:00:00"/>
    <n v="103.9"/>
  </r>
  <r>
    <s v="Plastene Polyfilms Limited"/>
    <s v="21-08-2026"/>
    <s v="PPL/26-27/SII01229"/>
    <s v="WIP00002"/>
    <s v="RP Granules"/>
    <s v="PPL/RAW/26-27/451"/>
    <n v="3425"/>
    <n v="3425"/>
    <s v="Kgs"/>
    <n v="3425"/>
    <n v="0"/>
    <n v="3425"/>
    <s v="GJ12X1249"/>
    <s v="Plastene India ltd - Unit 1-Purchase"/>
    <s v="Plastene India ltd - Unit 1-Purchase"/>
    <s v="PIL1/D/1443"/>
    <s v="21-08-2026"/>
    <s v="RAW MATERIAL"/>
    <s v="INDIGENOUS"/>
    <s v="RM 453"/>
    <n v="105"/>
    <n v="105"/>
    <s v="PIL1/D/1443"/>
    <s v="21-08-2026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424357.5"/>
    <s v="SF"/>
    <s v="RP Granules"/>
    <x v="14"/>
    <s v="RM"/>
    <s v="erp"/>
    <n v="0"/>
    <n v="359625"/>
    <n v="458"/>
    <s v="21-08-2026"/>
    <s v="24AAACO3087C1ZT"/>
    <s v="storeppl"/>
    <s v="storeppl"/>
    <n v="9"/>
    <n v="32366.25"/>
    <n v="9"/>
    <n v="32366.25"/>
    <n v="0"/>
    <n v="0"/>
    <n v="424357.5"/>
    <n v="662167596693"/>
    <d v="2026-08-21T00:00:00"/>
    <n v="3425"/>
  </r>
  <r>
    <s v="Plastene Polyfilms Limited"/>
    <s v="21-08-2026"/>
    <s v="PPL/26-27/SII01232"/>
    <s v="WIP00023"/>
    <s v="PP UL Fabric With UV"/>
    <s v="PPL/RAW/26-27/452"/>
    <n v="402"/>
    <n v="402"/>
    <s v="Kgs"/>
    <n v="402"/>
    <n v="0"/>
    <n v="402"/>
    <s v="GJ12X1249"/>
    <s v="Plastene India ltd - Unit 1-Purchase"/>
    <s v="Plastene India ltd - Unit 1-Purchase"/>
    <s v="PIL1/D/1446"/>
    <s v="21-08-2026"/>
    <s v="RAW MATERIAL"/>
    <s v="INDIGENOUS"/>
    <s v="RM 454"/>
    <n v="142.32"/>
    <n v="142.32000024244201"/>
    <s v="PIL1/D/1446"/>
    <s v="21-08-2026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1174053.31"/>
    <s v="SF"/>
    <s v="PP/PE Fabric"/>
    <x v="0"/>
    <s v="RM"/>
    <s v="erp"/>
    <n v="0"/>
    <n v="57212.639999999999"/>
    <n v="459"/>
    <s v="21-08-2026"/>
    <s v="24AAACO3087C1ZT"/>
    <s v="storeppl"/>
    <s v="storeppl"/>
    <n v="9"/>
    <n v="5149.1400000000003"/>
    <n v="9"/>
    <n v="5149.1400000000003"/>
    <n v="0"/>
    <n v="0"/>
    <n v="1174053.31"/>
    <n v="602167773128"/>
    <d v="2026-08-21T00:00:00"/>
    <n v="402"/>
  </r>
  <r>
    <s v="Plastene Polyfilms Limited"/>
    <s v="21-08-2026"/>
    <s v="PPL/26-27/SII01232"/>
    <s v="WIP00023"/>
    <s v="PP UL Fabric With UV"/>
    <s v="PPL/RAW/26-27/452"/>
    <n v="1414"/>
    <n v="1414"/>
    <s v="Kgs"/>
    <n v="1414"/>
    <n v="0"/>
    <n v="1414"/>
    <s v="GJ12X1249"/>
    <s v="Plastene India ltd - Unit 1-Purchase"/>
    <s v="Plastene India ltd - Unit 1-Purchase"/>
    <s v="PIL1/D/1446"/>
    <s v="21-08-2026"/>
    <s v="RAW MATERIAL"/>
    <s v="INDIGENOUS"/>
    <s v="RM 454"/>
    <n v="144.32"/>
    <n v="144.320000245849"/>
    <s v="PIL1/D/1446"/>
    <s v="21-08-2026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1174053.31"/>
    <s v="SF"/>
    <s v="PP/PE Fabric"/>
    <x v="0"/>
    <s v="RM"/>
    <s v="erp"/>
    <n v="0"/>
    <n v="204068.48000000001"/>
    <n v="459"/>
    <s v="21-08-2026"/>
    <s v="24AAACO3087C1ZT"/>
    <s v="storeppl"/>
    <s v="storeppl"/>
    <n v="9"/>
    <n v="18366.16"/>
    <n v="9"/>
    <n v="18366.16"/>
    <n v="0"/>
    <n v="0"/>
    <n v="0"/>
    <n v="602167773128"/>
    <d v="2026-08-21T00:00:00"/>
    <n v="1414"/>
  </r>
  <r>
    <s v="Plastene Polyfilms Limited"/>
    <s v="21-08-2026"/>
    <s v="PPL/26-27/SII01232"/>
    <s v="WIP00032"/>
    <s v="Webbing"/>
    <s v="PPL/RAW/26-27/452"/>
    <n v="212.8"/>
    <n v="212.8"/>
    <s v="Kgs"/>
    <n v="212.8"/>
    <n v="0"/>
    <n v="212.8"/>
    <s v="GJ12X1249"/>
    <s v="Plastene India ltd - Unit 1-Purchase"/>
    <s v="Plastene India ltd - Unit 1-Purchase"/>
    <s v="PIL1/D/1446"/>
    <s v="21-08-2026"/>
    <s v="RAW MATERIAL"/>
    <s v="INDIGENOUS"/>
    <s v="RM 454"/>
    <n v="165.32"/>
    <n v="165.32000028162301"/>
    <s v="PIL1/D/1446"/>
    <s v="21-08-2026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1174053.31"/>
    <s v="SF"/>
    <s v="Webbing"/>
    <x v="2"/>
    <s v="RM"/>
    <s v="erp"/>
    <n v="0"/>
    <n v="35180.1"/>
    <n v="459"/>
    <s v="21-08-2026"/>
    <s v="24AAACO3087C1ZT"/>
    <s v="storeppl"/>
    <s v="storeppl"/>
    <n v="9"/>
    <n v="3166.21"/>
    <n v="9"/>
    <n v="3166.21"/>
    <n v="0"/>
    <n v="0"/>
    <n v="0"/>
    <n v="602167773128"/>
    <d v="2026-08-21T00:00:00"/>
    <n v="212.8"/>
  </r>
  <r>
    <s v="Plastene Polyfilms Limited"/>
    <s v="21-08-2026"/>
    <s v="PPL/26-27/SII01232"/>
    <s v="WIP00032"/>
    <s v="Webbing"/>
    <s v="PPL/RAW/26-27/452"/>
    <n v="1776.5"/>
    <n v="1776.5"/>
    <s v="Kgs"/>
    <n v="1776.5"/>
    <n v="0"/>
    <n v="1776.5"/>
    <s v="GJ12X1249"/>
    <s v="Plastene India ltd - Unit 1-Purchase"/>
    <s v="Plastene India ltd - Unit 1-Purchase"/>
    <s v="PIL1/D/1446"/>
    <s v="21-08-2026"/>
    <s v="RAW MATERIAL"/>
    <s v="INDIGENOUS"/>
    <s v="RM 454"/>
    <n v="147.32"/>
    <n v="147.32000025095999"/>
    <s v="PIL1/D/1446"/>
    <s v="21-08-2026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1174053.31"/>
    <s v="SF"/>
    <s v="Webbing"/>
    <x v="2"/>
    <s v="RM"/>
    <s v="erp"/>
    <n v="0"/>
    <n v="261713.98"/>
    <n v="459"/>
    <s v="21-08-2026"/>
    <s v="24AAACO3087C1ZT"/>
    <s v="storeppl"/>
    <s v="storeppl"/>
    <n v="9"/>
    <n v="23554.26"/>
    <n v="9"/>
    <n v="23554.26"/>
    <n v="0"/>
    <n v="0"/>
    <n v="0"/>
    <n v="602167773128"/>
    <d v="2026-08-21T00:00:00"/>
    <n v="1776.5"/>
  </r>
  <r>
    <s v="Plastene Polyfilms Limited"/>
    <s v="21-08-2026"/>
    <s v="PPL/26-27/SII01232"/>
    <s v="WIP00032"/>
    <s v="Webbing"/>
    <s v="PPL/RAW/26-27/452"/>
    <n v="446.1"/>
    <n v="446.1"/>
    <s v="Kgs"/>
    <n v="446.1"/>
    <n v="0"/>
    <n v="446.1"/>
    <s v="GJ12X1249"/>
    <s v="Plastene India ltd - Unit 1-Purchase"/>
    <s v="Plastene India ltd - Unit 1-Purchase"/>
    <s v="PIL1/D/1446"/>
    <s v="21-08-2026"/>
    <s v="RAW MATERIAL"/>
    <s v="INDIGENOUS"/>
    <s v="RM 454"/>
    <n v="144.32"/>
    <n v="144.320000245849"/>
    <s v="PIL1/D/1446"/>
    <s v="21-08-2026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1174053.31"/>
    <s v="SF"/>
    <s v="Webbing"/>
    <x v="2"/>
    <s v="RM"/>
    <s v="erp"/>
    <n v="0"/>
    <n v="64381.15"/>
    <n v="459"/>
    <s v="21-08-2026"/>
    <s v="24AAACO3087C1ZT"/>
    <s v="storeppl"/>
    <s v="storeppl"/>
    <n v="9"/>
    <n v="5794.3"/>
    <n v="9"/>
    <n v="5794.3"/>
    <n v="0"/>
    <n v="0"/>
    <n v="0"/>
    <n v="602167773128"/>
    <d v="2026-08-21T00:00:00"/>
    <n v="446.1"/>
  </r>
  <r>
    <s v="Plastene Polyfilms Limited"/>
    <s v="21-08-2026"/>
    <s v="PPL/26-27/SII01232"/>
    <s v="WIP00025"/>
    <s v="PP Lam Fabric With UV"/>
    <s v="PPL/RAW/26-27/452"/>
    <n v="2494"/>
    <n v="2494"/>
    <s v="Kgs"/>
    <n v="2494"/>
    <n v="0"/>
    <n v="2494"/>
    <s v="GJ12X1249"/>
    <s v="Plastene India ltd - Unit 1-Purchase"/>
    <s v="Plastene India ltd - Unit 1-Purchase"/>
    <s v="PIL1/D/1446"/>
    <s v="21-08-2026"/>
    <s v="RAW MATERIAL"/>
    <s v="INDIGENOUS"/>
    <s v="RM 454"/>
    <n v="149.32"/>
    <n v="149.32000025436699"/>
    <s v="PIL1/D/1446"/>
    <s v="21-08-2026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1174053.31"/>
    <s v="SF"/>
    <s v="PP/PE Fabric"/>
    <x v="1"/>
    <s v="RM"/>
    <s v="erp"/>
    <n v="0"/>
    <n v="372404.08"/>
    <n v="459"/>
    <s v="21-08-2026"/>
    <s v="24AAACO3087C1ZT"/>
    <s v="storeppl"/>
    <s v="storeppl"/>
    <n v="9"/>
    <n v="33516.370000000003"/>
    <n v="9"/>
    <n v="33516.370000000003"/>
    <n v="0"/>
    <n v="0"/>
    <n v="0"/>
    <n v="602167773128"/>
    <d v="2026-08-21T00:00:00"/>
    <n v="2494"/>
  </r>
  <r>
    <s v="Plastene Polyfilms Limited"/>
    <s v="21-08-2026"/>
    <s v="PPL/26-27/SII01233"/>
    <s v="RMC00125"/>
    <s v="Ink Vyankatesh Black VLX 579 Tape Tested"/>
    <s v="PPL/RAW/26-27/400"/>
    <n v="200"/>
    <n v="200"/>
    <s v="Kgs"/>
    <n v="200"/>
    <n v="0"/>
    <n v="200"/>
    <s v="GJ08Y7248"/>
    <s v="Vyankatesh Udyog (I) Pvt Ltd - Purchase"/>
    <s v="Vyankatesh Udyog (I) Pvt Ltd - Purchase"/>
    <s v="1453/26-27"/>
    <d v="2026-11-08T00:00:00"/>
    <s v="RAW MATERIAL"/>
    <s v="INDIGENOUS"/>
    <s v="RM 455"/>
    <n v="232"/>
    <n v="246.684900547084"/>
    <s v="1453/26-27"/>
    <d v="2026-11-08T00:00:00"/>
    <m/>
    <n v="0"/>
    <m/>
    <s v="V-Trans ( India ) Ltd."/>
    <n v="4102516761"/>
    <n v="0"/>
    <n v="0"/>
    <n v="0"/>
    <n v="0"/>
    <n v="0"/>
    <s v="VAT"/>
    <n v="0"/>
    <n v="0"/>
    <n v="0"/>
    <n v="0"/>
    <n v="0"/>
    <m/>
    <n v="0"/>
    <n v="0"/>
    <n v="628551"/>
    <s v="RM Consumables"/>
    <s v="Ink"/>
    <x v="15"/>
    <s v="RM Consumables"/>
    <m/>
    <n v="0"/>
    <n v="49336.98"/>
    <n v="456"/>
    <s v="20-08-2026"/>
    <s v="27AAECV8365Q1ZC"/>
    <s v="storeppl"/>
    <s v="storegrp"/>
    <n v="0"/>
    <n v="0"/>
    <n v="0"/>
    <n v="0"/>
    <n v="18"/>
    <n v="8352"/>
    <n v="628551"/>
    <n v="292263182290"/>
    <d v="2026-08-11T00:00:00"/>
    <n v="200"/>
  </r>
  <r>
    <s v="Plastene Polyfilms Limited"/>
    <s v="21-08-2026"/>
    <s v="PPL/26-27/SII01233"/>
    <s v="RMC00124"/>
    <s v="Ink Vyankatesh White VLX 624 Tape Tested"/>
    <s v="PPL/RAW/26-27/400"/>
    <n v="200"/>
    <n v="200"/>
    <s v="Kgs"/>
    <n v="200"/>
    <n v="0"/>
    <n v="200"/>
    <s v="GJ08Y7248"/>
    <s v="Vyankatesh Udyog (I) Pvt Ltd - Purchase"/>
    <s v="Vyankatesh Udyog (I) Pvt Ltd - Purchase"/>
    <s v="1453/26-27"/>
    <d v="2026-11-08T00:00:00"/>
    <s v="RAW MATERIAL"/>
    <s v="INDIGENOUS"/>
    <s v="RM 455"/>
    <n v="292"/>
    <n v="302.73926769967699"/>
    <s v="1453/26-27"/>
    <d v="2026-11-08T00:00:00"/>
    <m/>
    <n v="0"/>
    <m/>
    <s v="V-Trans ( India ) Ltd."/>
    <n v="4102516761"/>
    <n v="0"/>
    <n v="0"/>
    <n v="0"/>
    <n v="0"/>
    <n v="0"/>
    <s v="VAT"/>
    <n v="0"/>
    <n v="0"/>
    <n v="0"/>
    <n v="0"/>
    <n v="0"/>
    <m/>
    <n v="0"/>
    <n v="0"/>
    <n v="628551"/>
    <s v="RM Consumables"/>
    <s v="Ink"/>
    <x v="15"/>
    <s v="RM Consumables"/>
    <m/>
    <n v="0"/>
    <n v="60547.85"/>
    <n v="456"/>
    <s v="20-08-2026"/>
    <s v="27AAECV8365Q1ZC"/>
    <s v="storeppl"/>
    <s v="storegrp"/>
    <n v="0"/>
    <n v="0"/>
    <n v="0"/>
    <n v="0"/>
    <n v="18"/>
    <n v="10512"/>
    <n v="0"/>
    <n v="292263182290"/>
    <d v="2026-08-11T00:00:00"/>
    <n v="200"/>
  </r>
  <r>
    <s v="Plastene Polyfilms Limited"/>
    <s v="21-08-2026"/>
    <s v="PPL/26-27/SII01233"/>
    <s v="RAW05727"/>
    <s v="Ink Vyankatesh Poly Process Blue VLX 643"/>
    <s v="PPL/RAW/26-27/400"/>
    <n v="150"/>
    <n v="150"/>
    <s v="Kgs"/>
    <n v="150"/>
    <n v="0"/>
    <n v="150"/>
    <s v="GJ08Y7248"/>
    <s v="Vyankatesh Udyog (I) Pvt Ltd - Purchase"/>
    <s v="Vyankatesh Udyog (I) Pvt Ltd - Purchase"/>
    <s v="1453/26-27"/>
    <d v="2026-11-08T00:00:00"/>
    <s v="RAW MATERIAL"/>
    <s v="INDIGENOUS"/>
    <s v="RM 455"/>
    <n v="326"/>
    <n v="344.79748066580999"/>
    <s v="1453/26-27"/>
    <d v="2026-11-08T00:00:00"/>
    <m/>
    <n v="0"/>
    <m/>
    <s v="V-Trans ( India ) Ltd."/>
    <n v="4102516761"/>
    <n v="0"/>
    <n v="0"/>
    <n v="0"/>
    <n v="0"/>
    <n v="0"/>
    <s v="VAT"/>
    <n v="0"/>
    <n v="0"/>
    <n v="0"/>
    <n v="0"/>
    <n v="0"/>
    <m/>
    <n v="0"/>
    <n v="0"/>
    <n v="628551"/>
    <s v="RM Consumables"/>
    <s v="Ink"/>
    <x v="15"/>
    <s v="RM Consumables"/>
    <s v="erp"/>
    <n v="0"/>
    <n v="51719.62"/>
    <n v="456"/>
    <s v="20-08-2026"/>
    <s v="27AAECV8365Q1ZC"/>
    <s v="storeppl"/>
    <s v="storegrp"/>
    <n v="0"/>
    <n v="0"/>
    <n v="0"/>
    <n v="0"/>
    <n v="18"/>
    <n v="8802"/>
    <n v="0"/>
    <n v="292263182290"/>
    <d v="2026-08-11T00:00:00"/>
    <n v="150"/>
  </r>
  <r>
    <s v="Plastene Polyfilms Limited"/>
    <s v="21-08-2026"/>
    <s v="PPL/26-27/SII01233"/>
    <s v="RAW05734"/>
    <s v="Ink Vyankatesh Poly Warm Red C VLX 607"/>
    <s v="PPL/RAW/26-27/400"/>
    <n v="100"/>
    <n v="100"/>
    <s v="Kgs"/>
    <n v="100"/>
    <n v="0"/>
    <n v="100"/>
    <s v="GJ08Y7248"/>
    <s v="Vyankatesh Udyog (I) Pvt Ltd - Purchase"/>
    <s v="Vyankatesh Udyog (I) Pvt Ltd - Purchase"/>
    <s v="1453/26-27"/>
    <d v="2026-11-08T00:00:00"/>
    <s v="RAW MATERIAL"/>
    <s v="INDIGENOUS"/>
    <s v="RM 455"/>
    <n v="300"/>
    <n v="330.54376216102497"/>
    <s v="1453/26-27"/>
    <d v="2026-11-08T00:00:00"/>
    <m/>
    <n v="0"/>
    <m/>
    <s v="V-Trans ( India ) Ltd."/>
    <n v="4102516761"/>
    <n v="0"/>
    <n v="0"/>
    <n v="0"/>
    <n v="0"/>
    <n v="0"/>
    <s v="VAT"/>
    <n v="0"/>
    <n v="0"/>
    <n v="0"/>
    <n v="0"/>
    <n v="0"/>
    <m/>
    <n v="0"/>
    <n v="0"/>
    <n v="628551"/>
    <s v="RM Consumables"/>
    <s v="Ink"/>
    <x v="15"/>
    <s v="RM Consumables"/>
    <s v="erp"/>
    <n v="0"/>
    <n v="33054.379999999997"/>
    <n v="456"/>
    <s v="20-08-2026"/>
    <s v="27AAECV8365Q1ZC"/>
    <s v="storeppl"/>
    <s v="storegrp"/>
    <n v="0"/>
    <n v="0"/>
    <n v="0"/>
    <n v="0"/>
    <n v="18"/>
    <n v="5400"/>
    <n v="0"/>
    <n v="292263182290"/>
    <d v="2026-08-11T00:00:00"/>
    <n v="100"/>
  </r>
  <r>
    <s v="Plastene Polyfilms Limited"/>
    <s v="21-08-2026"/>
    <s v="PPL/26-27/SII01233"/>
    <s v="RAW05754"/>
    <s v="Ink Vyankatesh Poly Blue 072C  VLX 505"/>
    <s v="PPL/RAW/26-27/400"/>
    <n v="100"/>
    <n v="100"/>
    <s v="Kgs"/>
    <n v="100"/>
    <n v="0"/>
    <n v="100"/>
    <s v="GJ08Y7248"/>
    <s v="Vyankatesh Udyog (I) Pvt Ltd - Purchase"/>
    <s v="Vyankatesh Udyog (I) Pvt Ltd - Purchase"/>
    <s v="1453/26-27"/>
    <d v="2026-11-08T00:00:00"/>
    <s v="RAW MATERIAL"/>
    <s v="INDIGENOUS"/>
    <s v="RM 455"/>
    <n v="340"/>
    <n v="371.33558061545398"/>
    <s v="1453/26-27"/>
    <d v="2026-11-08T00:00:00"/>
    <m/>
    <n v="0"/>
    <m/>
    <s v="V-Trans ( India ) Ltd."/>
    <n v="4102516761"/>
    <n v="0"/>
    <n v="0"/>
    <n v="0"/>
    <n v="0"/>
    <n v="0"/>
    <s v="VAT"/>
    <n v="0"/>
    <n v="0"/>
    <n v="0"/>
    <n v="0"/>
    <n v="0"/>
    <m/>
    <n v="0"/>
    <n v="0"/>
    <n v="628551"/>
    <s v="RM Consumables"/>
    <s v="Ink"/>
    <x v="15"/>
    <s v="RM Consumables"/>
    <s v="erp"/>
    <n v="0"/>
    <n v="37133.56"/>
    <n v="456"/>
    <s v="20-08-2026"/>
    <s v="27AAECV8365Q1ZC"/>
    <s v="storeppl"/>
    <s v="storegrp"/>
    <n v="0"/>
    <n v="0"/>
    <n v="0"/>
    <n v="0"/>
    <n v="18"/>
    <n v="6120"/>
    <n v="0"/>
    <n v="292263182290"/>
    <d v="2026-08-11T00:00:00"/>
    <n v="100"/>
  </r>
  <r>
    <s v="Plastene Polyfilms Limited"/>
    <s v="21-08-2026"/>
    <s v="PPL/26-27/SII01233"/>
    <s v="RAW05764"/>
    <s v="Thinner Vyankatesh Thinner"/>
    <s v="PPL/RAW/26-27/400"/>
    <n v="2040"/>
    <n v="2040"/>
    <s v="Kgs"/>
    <n v="2040"/>
    <n v="0"/>
    <n v="2040"/>
    <s v="GJ08Y7248"/>
    <s v="Vyankatesh Udyog (I) Pvt Ltd - Purchase"/>
    <s v="Vyankatesh Udyog (I) Pvt Ltd - Purchase"/>
    <s v="1453/26-27"/>
    <d v="2026-11-08T00:00:00"/>
    <s v="RAW MATERIAL"/>
    <s v="INDIGENOUS"/>
    <s v="RM 455"/>
    <n v="118"/>
    <n v="88.721340725560495"/>
    <s v="1453/26-27"/>
    <d v="2026-11-08T00:00:00"/>
    <m/>
    <n v="0"/>
    <m/>
    <s v="V-Trans ( India ) Ltd."/>
    <n v="4102516761"/>
    <n v="0"/>
    <n v="0"/>
    <n v="0"/>
    <n v="0"/>
    <n v="0"/>
    <s v="VAT"/>
    <n v="0"/>
    <n v="0"/>
    <n v="0"/>
    <n v="0"/>
    <n v="0"/>
    <m/>
    <n v="0"/>
    <n v="0"/>
    <n v="628551"/>
    <s v="RM Consumables"/>
    <s v="Ink"/>
    <x v="16"/>
    <s v="RM Consumables"/>
    <s v="erp"/>
    <n v="0"/>
    <n v="180991.54"/>
    <n v="456"/>
    <s v="20-08-2026"/>
    <s v="27AAECV8365Q1ZC"/>
    <s v="storeppl"/>
    <s v="storegrp"/>
    <n v="0"/>
    <n v="0"/>
    <n v="0"/>
    <n v="0"/>
    <n v="18"/>
    <n v="43329.599999999999"/>
    <n v="0"/>
    <n v="292263182290"/>
    <d v="2026-08-11T00:00:00"/>
    <n v="2040"/>
  </r>
  <r>
    <s v="Plastene Polyfilms Limited"/>
    <s v="21-08-2026"/>
    <s v="PPL/26-27/SII01233"/>
    <s v="RAW05728"/>
    <s v="Ink Vyankatesh Poly Process Yellow VLX 671"/>
    <s v="PPL/RAW/26-27/400"/>
    <n v="250"/>
    <n v="250"/>
    <s v="Kgs"/>
    <n v="250"/>
    <n v="0"/>
    <n v="250"/>
    <s v="GJ08Y7248"/>
    <s v="Vyankatesh Udyog (I) Pvt Ltd - Purchase"/>
    <s v="Vyankatesh Udyog (I) Pvt Ltd - Purchase"/>
    <s v="1453/26-27"/>
    <d v="2026-11-08T00:00:00"/>
    <s v="RAW MATERIAL"/>
    <s v="INDIGENOUS"/>
    <s v="RM 455"/>
    <n v="297"/>
    <n v="298.10315302008098"/>
    <s v="1453/26-27"/>
    <d v="2026-11-08T00:00:00"/>
    <m/>
    <n v="0"/>
    <m/>
    <s v="V-Trans ( India ) Ltd."/>
    <n v="4102516761"/>
    <n v="0"/>
    <n v="0"/>
    <n v="0"/>
    <n v="0"/>
    <n v="0"/>
    <s v="VAT"/>
    <n v="0"/>
    <n v="0"/>
    <n v="0"/>
    <n v="0"/>
    <n v="0"/>
    <m/>
    <n v="0"/>
    <n v="0"/>
    <n v="628551"/>
    <s v="RM Consumables"/>
    <s v="Ink"/>
    <x v="15"/>
    <s v="RM Consumables"/>
    <s v="erp"/>
    <n v="0"/>
    <n v="74525.789999999994"/>
    <n v="456"/>
    <s v="20-08-2026"/>
    <s v="27AAECV8365Q1ZC"/>
    <s v="storeppl"/>
    <s v="storegrp"/>
    <n v="0"/>
    <n v="0"/>
    <n v="0"/>
    <n v="0"/>
    <n v="18"/>
    <n v="13365"/>
    <n v="0"/>
    <n v="292263182290"/>
    <d v="2026-08-11T00:00:00"/>
    <n v="250"/>
  </r>
  <r>
    <s v="Plastene Polyfilms Limited"/>
    <s v="22-08-2026"/>
    <s v="PPL/26-27/SII01235"/>
    <s v="WIP00023"/>
    <s v="PP UL Fabric With UV"/>
    <s v="PPL/RAW/26-27/453"/>
    <n v="1927"/>
    <n v="1927"/>
    <s v="Kgs"/>
    <n v="1927"/>
    <n v="0"/>
    <n v="1927"/>
    <s v="GJ01LT7680"/>
    <s v="HCP Plastene Bulkpack Limited - Purchase"/>
    <s v="HCP Plastene Bulkpack Limited - Purchase"/>
    <s v="HPBL/D/519"/>
    <s v="21-08-2026"/>
    <s v="RAW MATERIAL"/>
    <s v="INDIGENOUS"/>
    <s v="RM 456"/>
    <n v="156.49"/>
    <n v="156.49"/>
    <s v="HPBL/D/519"/>
    <s v="21-08-2026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355836.35"/>
    <s v="SF"/>
    <s v="PP/PE Fabric"/>
    <x v="0"/>
    <s v="RM"/>
    <s v="erp"/>
    <n v="0"/>
    <n v="301556.23"/>
    <n v="460"/>
    <s v="22-08-2026"/>
    <s v="24AABCG1282C2Z6"/>
    <s v="storeppl"/>
    <s v="storeppl"/>
    <n v="9"/>
    <n v="27140.06"/>
    <n v="9"/>
    <n v="27140.06"/>
    <n v="0"/>
    <n v="0"/>
    <n v="355836.35"/>
    <n v="632167582060"/>
    <d v="2026-08-21T00:00:00"/>
    <n v="1927"/>
  </r>
  <r>
    <s v="Plastene Polyfilms Limited"/>
    <s v="22-08-2026"/>
    <s v="PPL/26-27/SII01237"/>
    <s v="WIP00023"/>
    <s v="PP UL Fabric With UV"/>
    <s v="PPL/RAW/26-27/454"/>
    <n v="2704"/>
    <n v="2704"/>
    <s v="Kgs"/>
    <n v="2704"/>
    <n v="0"/>
    <n v="2704"/>
    <s v="GJ24X6976"/>
    <s v="Plastene India ltd - Unit 2-Purchase"/>
    <s v="Plastene India ltd - Unit 2-Purchase"/>
    <s v="PIL2/D/521"/>
    <s v="21-08-2026"/>
    <s v="RAW MATERIAL"/>
    <s v="INDIGENOUS"/>
    <s v="RM 457"/>
    <n v="122"/>
    <n v="122"/>
    <s v="PIL2/D/521"/>
    <s v="21-08-2026"/>
    <s v="."/>
    <s v="."/>
    <m/>
    <s v="SHREENA ROADWAYS"/>
    <n v="2575"/>
    <n v="0"/>
    <n v="0"/>
    <n v="0"/>
    <n v="0"/>
    <n v="0"/>
    <s v="VAT"/>
    <n v="0"/>
    <n v="0"/>
    <n v="0"/>
    <n v="0"/>
    <n v="0"/>
    <m/>
    <n v="0"/>
    <n v="0"/>
    <n v="561825.84"/>
    <s v="SF"/>
    <s v="PP/PE Fabric"/>
    <x v="0"/>
    <s v="RM"/>
    <s v="erp"/>
    <n v="0"/>
    <n v="329888"/>
    <n v="461"/>
    <s v="22-08-2026"/>
    <s v="24AAACO3087C1ZT"/>
    <s v="storeppl"/>
    <s v="storeppl"/>
    <n v="9"/>
    <n v="29689.919999999998"/>
    <n v="9"/>
    <n v="29689.919999999998"/>
    <n v="0"/>
    <n v="0"/>
    <n v="561825.84"/>
    <n v="692167749353"/>
    <d v="2026-08-21T00:00:00"/>
    <n v="2704"/>
  </r>
  <r>
    <s v="Plastene Polyfilms Limited"/>
    <s v="22-08-2026"/>
    <s v="PPL/26-27/SII01237"/>
    <s v="SMF00154"/>
    <s v="PP Conductive Tape 1100 Black"/>
    <s v="PPL/RAW/26-27/454"/>
    <n v="331.6"/>
    <n v="331.6"/>
    <s v="Kgs"/>
    <n v="331.6"/>
    <n v="0"/>
    <n v="331.6"/>
    <s v="GJ24X6976"/>
    <s v="Plastene India ltd - Unit 2-Purchase"/>
    <s v="Plastene India ltd - Unit 2-Purchase"/>
    <s v="PIL2/D/521"/>
    <s v="21-08-2026"/>
    <s v="RAW MATERIAL"/>
    <s v="INDIGENOUS"/>
    <s v="RM 457"/>
    <n v="441"/>
    <n v="441"/>
    <s v="PIL2/D/521"/>
    <s v="21-08-2026"/>
    <s v="."/>
    <s v="."/>
    <m/>
    <s v="SHREENA ROADWAYS"/>
    <n v="2575"/>
    <n v="0"/>
    <n v="0"/>
    <n v="0"/>
    <n v="0"/>
    <n v="0"/>
    <s v="VAT"/>
    <n v="0"/>
    <n v="0"/>
    <n v="0"/>
    <n v="0"/>
    <n v="0"/>
    <m/>
    <n v="0"/>
    <n v="0"/>
    <n v="561825.84"/>
    <s v="SF"/>
    <s v="Yarn All"/>
    <x v="9"/>
    <s v="RM"/>
    <s v="erp"/>
    <n v="0"/>
    <n v="146235.6"/>
    <n v="461"/>
    <s v="22-08-2026"/>
    <s v="24AAACO3087C1ZT"/>
    <s v="storeppl"/>
    <s v="storeppl"/>
    <n v="9"/>
    <n v="13161.2"/>
    <n v="9"/>
    <n v="13161.2"/>
    <n v="0"/>
    <n v="0"/>
    <n v="0"/>
    <n v="692167749353"/>
    <d v="2026-08-21T00:00:00"/>
    <n v="331.6"/>
  </r>
  <r>
    <s v="Plastene Polyfilms Limited"/>
    <s v="22-08-2026"/>
    <s v="PPL/26-27/SII01241"/>
    <s v="RAW06013"/>
    <s v="Filler Soltex PTUFF23"/>
    <s v="PPL/RAW/26-27/456"/>
    <n v="1500"/>
    <n v="1500"/>
    <s v="Kgs"/>
    <n v="1500"/>
    <n v="0"/>
    <n v="1500"/>
    <s v="GJ12X1249"/>
    <s v="Plastene India ltd - Unit 1-Purchase"/>
    <s v="Plastene India ltd - Unit 1-Purchase"/>
    <s v="PIL1/D/1451"/>
    <s v="22-08-2026"/>
    <s v="RAW MATERIAL"/>
    <s v="INDIGENOUS"/>
    <s v="RM 458"/>
    <n v="40.5"/>
    <n v="40.5"/>
    <s v="PIL1/D/1451"/>
    <s v="22-08-2026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1176475.6399999999"/>
    <s v="RM"/>
    <s v="Granules"/>
    <x v="12"/>
    <s v="RM"/>
    <s v="anil"/>
    <n v="0"/>
    <n v="60750"/>
    <n v="463"/>
    <s v="22-08-2026"/>
    <s v="24AAACO3087C1ZT"/>
    <s v="storeppl"/>
    <s v="storeppl"/>
    <n v="9"/>
    <n v="5467.5"/>
    <n v="9"/>
    <n v="5467.5"/>
    <n v="0"/>
    <n v="0"/>
    <n v="1176475.6399999999"/>
    <n v="692168135944"/>
    <d v="2026-08-22T00:00:00"/>
    <n v="1500"/>
  </r>
  <r>
    <s v="Plastene Polyfilms Limited"/>
    <s v="22-08-2026"/>
    <s v="PPL/26-27/SII01241"/>
    <s v="WIP00025"/>
    <s v="PP Lam Fabric With UV"/>
    <s v="PPL/RAW/26-27/456"/>
    <n v="4991"/>
    <n v="4991"/>
    <s v="Kgs"/>
    <n v="4991"/>
    <n v="0"/>
    <n v="4991"/>
    <s v="GJ12X1249"/>
    <s v="Plastene India ltd - Unit 1-Purchase"/>
    <s v="Plastene India ltd - Unit 1-Purchase"/>
    <s v="PIL1/D/1451"/>
    <s v="22-08-2026"/>
    <s v="RAW MATERIAL"/>
    <s v="INDIGENOUS"/>
    <s v="RM 458"/>
    <n v="149.32"/>
    <n v="149.32"/>
    <s v="PIL1/D/1451"/>
    <s v="22-08-2026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1176475.6399999999"/>
    <s v="SF"/>
    <s v="PP/PE Fabric"/>
    <x v="1"/>
    <s v="RM"/>
    <s v="erp"/>
    <n v="0"/>
    <n v="745256.12"/>
    <n v="463"/>
    <s v="22-08-2026"/>
    <s v="24AAACO3087C1ZT"/>
    <s v="storeppl"/>
    <s v="storeppl"/>
    <n v="9"/>
    <n v="67073.05"/>
    <n v="9"/>
    <n v="67073.05"/>
    <n v="0"/>
    <n v="0"/>
    <n v="0"/>
    <n v="692168135944"/>
    <d v="2026-08-22T00:00:00"/>
    <n v="4991"/>
  </r>
  <r>
    <s v="Plastene Polyfilms Limited"/>
    <s v="22-08-2026"/>
    <s v="PPL/26-27/SII01241"/>
    <s v="WIP00032"/>
    <s v="Webbing"/>
    <s v="PPL/RAW/26-27/456"/>
    <n v="231.8"/>
    <n v="231.8"/>
    <s v="Kgs"/>
    <n v="231.8"/>
    <n v="0"/>
    <n v="231.8"/>
    <s v="GJ12X1249"/>
    <s v="Plastene India ltd - Unit 1-Purchase"/>
    <s v="Plastene India ltd - Unit 1-Purchase"/>
    <s v="PIL1/D/1451"/>
    <s v="22-08-2026"/>
    <s v="RAW MATERIAL"/>
    <s v="INDIGENOUS"/>
    <s v="RM 458"/>
    <n v="165.32"/>
    <n v="165.32"/>
    <s v="PIL1/D/1451"/>
    <s v="22-08-2026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1176475.6399999999"/>
    <s v="SF"/>
    <s v="Webbing"/>
    <x v="2"/>
    <s v="RM"/>
    <s v="erp"/>
    <n v="0"/>
    <n v="38321.18"/>
    <n v="463"/>
    <s v="22-08-2026"/>
    <s v="24AAACO3087C1ZT"/>
    <s v="storeppl"/>
    <s v="storeppl"/>
    <n v="9"/>
    <n v="3448.91"/>
    <n v="9"/>
    <n v="3448.91"/>
    <n v="0"/>
    <n v="0"/>
    <n v="0"/>
    <n v="692168135944"/>
    <d v="2026-08-22T00:00:00"/>
    <n v="231.8"/>
  </r>
  <r>
    <s v="Plastene Polyfilms Limited"/>
    <s v="22-08-2026"/>
    <s v="PPL/26-27/SII01241"/>
    <s v="WIP00032"/>
    <s v="Webbing"/>
    <s v="PPL/RAW/26-27/456"/>
    <n v="676.5"/>
    <n v="676.5"/>
    <s v="Kgs"/>
    <n v="676.5"/>
    <n v="0"/>
    <n v="676.5"/>
    <s v="GJ12X1249"/>
    <s v="Plastene India ltd - Unit 1-Purchase"/>
    <s v="Plastene India ltd - Unit 1-Purchase"/>
    <s v="PIL1/D/1451"/>
    <s v="22-08-2026"/>
    <s v="RAW MATERIAL"/>
    <s v="INDIGENOUS"/>
    <s v="RM 458"/>
    <n v="144.32"/>
    <n v="144.32"/>
    <s v="PIL1/D/1451"/>
    <s v="22-08-2026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1176475.6399999999"/>
    <s v="SF"/>
    <s v="Webbing"/>
    <x v="2"/>
    <s v="RM"/>
    <s v="erp"/>
    <n v="0"/>
    <n v="97632.48"/>
    <n v="463"/>
    <s v="22-08-2026"/>
    <s v="24AAACO3087C1ZT"/>
    <s v="storeppl"/>
    <s v="storeppl"/>
    <n v="9"/>
    <n v="8786.92"/>
    <n v="9"/>
    <n v="8786.92"/>
    <n v="0"/>
    <n v="0"/>
    <n v="0"/>
    <n v="692168135944"/>
    <d v="2026-08-22T00:00:00"/>
    <n v="676.5"/>
  </r>
  <r>
    <s v="Plastene Polyfilms Limited"/>
    <s v="22-08-2026"/>
    <s v="PPL/26-27/SII01241"/>
    <s v="WIP00032"/>
    <s v="Webbing"/>
    <s v="PPL/RAW/26-27/456"/>
    <n v="373.7"/>
    <n v="373.7"/>
    <s v="Kgs"/>
    <n v="373.7"/>
    <n v="0"/>
    <n v="373.7"/>
    <s v="GJ12X1249"/>
    <s v="Plastene India ltd - Unit 1-Purchase"/>
    <s v="Plastene India ltd - Unit 1-Purchase"/>
    <s v="PIL1/D/1451"/>
    <s v="22-08-2026"/>
    <s v="RAW MATERIAL"/>
    <s v="INDIGENOUS"/>
    <s v="RM 458"/>
    <n v="147.32"/>
    <n v="147.32"/>
    <s v="PIL1/D/1451"/>
    <s v="22-08-2026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1176475.6399999999"/>
    <s v="SF"/>
    <s v="Webbing"/>
    <x v="2"/>
    <s v="RM"/>
    <s v="erp"/>
    <n v="0"/>
    <n v="55053.48"/>
    <n v="463"/>
    <s v="22-08-2026"/>
    <s v="24AAACO3087C1ZT"/>
    <s v="storeppl"/>
    <s v="storeppl"/>
    <n v="9"/>
    <n v="4954.8100000000004"/>
    <n v="9"/>
    <n v="4954.8100000000004"/>
    <n v="0"/>
    <n v="0"/>
    <n v="0"/>
    <n v="692168135944"/>
    <d v="2026-08-22T00:00:00"/>
    <n v="373.7"/>
  </r>
  <r>
    <s v="Plastene Polyfilms Limited"/>
    <s v="22-08-2026"/>
    <s v="PPL/26-27/SII01242"/>
    <s v="WIP00017"/>
    <s v="Polyester Yarn Twisted"/>
    <s v="PPL/RAW/26-27/455"/>
    <n v="1161.1300000000001"/>
    <n v="1161.1300000000001"/>
    <s v="Kgs"/>
    <n v="1161.1300000000001"/>
    <n v="0"/>
    <n v="1161.1300000000001"/>
    <s v="GJ33T5999"/>
    <s v="Plastene India ltd - Unit 2-Purchase"/>
    <s v="Plastene India ltd - Unit 2-Purchase"/>
    <s v="PIL2/D/523"/>
    <s v="22-08-2026"/>
    <s v="RAW MATERIAL"/>
    <s v="INDIGENOUS"/>
    <s v="RM 459"/>
    <n v="153.4"/>
    <n v="153.39999956211"/>
    <s v="PIL2/D/523"/>
    <s v="22-08-2026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1401263.61"/>
    <s v="SF"/>
    <s v="Yarn All"/>
    <x v="9"/>
    <s v="RM"/>
    <s v="erp"/>
    <n v="0"/>
    <n v="178117.34"/>
    <n v="462"/>
    <s v="22-08-2026"/>
    <s v="24AAACO3087C1ZT"/>
    <s v="storeppl"/>
    <s v="storeppl"/>
    <n v="2.5"/>
    <n v="4452.93"/>
    <n v="2.5"/>
    <n v="4452.93"/>
    <n v="0"/>
    <n v="0"/>
    <n v="1401263.61"/>
    <n v="642167598114"/>
    <d v="2026-08-21T00:00:00"/>
    <n v="1161.1300000000001"/>
  </r>
  <r>
    <s v="Plastene Polyfilms Limited"/>
    <s v="22-08-2026"/>
    <s v="PPL/26-27/SII01242"/>
    <s v="WIP00022"/>
    <s v="Filler Cord"/>
    <s v="PPL/RAW/26-27/455"/>
    <n v="6727.28"/>
    <n v="6727.28"/>
    <s v="Kgs"/>
    <n v="6727.28"/>
    <n v="0"/>
    <n v="6727.28"/>
    <s v="GJ33T5999"/>
    <s v="Plastene India ltd - Unit 2-Purchase"/>
    <s v="Plastene India ltd - Unit 2-Purchase"/>
    <s v="PIL2/D/523"/>
    <s v="22-08-2026"/>
    <s v="RAW MATERIAL"/>
    <s v="INDIGENOUS"/>
    <s v="RM 459"/>
    <n v="171.9"/>
    <n v="171.89999950929999"/>
    <s v="PIL2/D/523"/>
    <s v="22-08-2026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1401263.61"/>
    <s v="SF"/>
    <s v="Yarn All"/>
    <x v="9"/>
    <s v="RM"/>
    <s v="erp"/>
    <n v="0"/>
    <n v="1156419.43"/>
    <n v="462"/>
    <s v="22-08-2026"/>
    <s v="24AAACO3087C1ZT"/>
    <s v="storeppl"/>
    <s v="storeppl"/>
    <n v="2.5"/>
    <n v="28910.49"/>
    <n v="2.5"/>
    <n v="28910.49"/>
    <n v="0"/>
    <n v="0"/>
    <n v="0"/>
    <n v="642167598114"/>
    <d v="2026-08-21T00:00:00"/>
    <n v="6727.28"/>
  </r>
  <r>
    <s v="Plastene Polyfilms Limited"/>
    <s v="23-08-2026"/>
    <s v="PPL/26-27/SII01252"/>
    <s v="WIP00032"/>
    <s v="Webbing"/>
    <s v="PPL/RAW/26-27/457"/>
    <n v="1568.3"/>
    <n v="1568.3"/>
    <s v="Kgs"/>
    <n v="1568.3"/>
    <n v="0"/>
    <n v="1568.3"/>
    <s v="GJ08AY2968"/>
    <s v="Plastene India ltd - Unit 2-Purchase"/>
    <s v="Plastene India ltd - Unit 2-Purchase"/>
    <s v="PIL2/D/527"/>
    <s v="22-08-2026"/>
    <s v="RAW MATERIAL"/>
    <s v="INDIGENOUS"/>
    <s v="RM 460"/>
    <n v="160.4"/>
    <n v="160.4"/>
    <s v="PIL2/D/527"/>
    <s v="22-08-2026"/>
    <s v="."/>
    <s v="."/>
    <m/>
    <s v="SHREENA ROADWAYS"/>
    <n v="2577"/>
    <n v="0"/>
    <n v="0"/>
    <n v="0"/>
    <n v="0"/>
    <n v="0"/>
    <s v="VAT"/>
    <n v="0"/>
    <n v="0"/>
    <n v="0"/>
    <n v="0"/>
    <n v="0"/>
    <m/>
    <n v="0"/>
    <n v="0"/>
    <n v="373863.67999999999"/>
    <s v="SF"/>
    <s v="Webbing"/>
    <x v="2"/>
    <s v="RM"/>
    <s v="erp"/>
    <n v="0"/>
    <n v="251555.32"/>
    <n v="464"/>
    <s v="23-08-2026"/>
    <s v="24AAACO3087C1ZT"/>
    <s v="storeppl"/>
    <s v="storeppl"/>
    <n v="9"/>
    <n v="22639.98"/>
    <n v="9"/>
    <n v="22639.98"/>
    <n v="0"/>
    <n v="0"/>
    <n v="373863.67999999999"/>
    <n v="662168328756"/>
    <d v="2026-08-22T00:00:00"/>
    <n v="1568.3"/>
  </r>
  <r>
    <s v="Plastene Polyfilms Limited"/>
    <s v="23-08-2026"/>
    <s v="PPL/26-27/SII01252"/>
    <s v="WIP00032"/>
    <s v="Webbing"/>
    <s v="PPL/RAW/26-27/457"/>
    <n v="399.5"/>
    <n v="399.5"/>
    <s v="Kgs"/>
    <n v="399.5"/>
    <n v="0"/>
    <n v="399.5"/>
    <s v="GJ08AY2968"/>
    <s v="Plastene India ltd - Unit 2-Purchase"/>
    <s v="Plastene India ltd - Unit 2-Purchase"/>
    <s v="PIL2/D/527"/>
    <s v="22-08-2026"/>
    <s v="RAW MATERIAL"/>
    <s v="INDIGENOUS"/>
    <s v="RM 460"/>
    <n v="163.4"/>
    <n v="163.4"/>
    <s v="PIL2/D/527"/>
    <s v="22-08-2026"/>
    <s v="."/>
    <s v="."/>
    <m/>
    <s v="SHREENA ROADWAYS"/>
    <n v="2577"/>
    <n v="0"/>
    <n v="0"/>
    <n v="0"/>
    <n v="0"/>
    <n v="0"/>
    <s v="VAT"/>
    <n v="0"/>
    <n v="0"/>
    <n v="0"/>
    <n v="0"/>
    <n v="0"/>
    <m/>
    <n v="0"/>
    <n v="0"/>
    <n v="373863.67999999999"/>
    <s v="SF"/>
    <s v="Webbing"/>
    <x v="2"/>
    <s v="RM"/>
    <s v="erp"/>
    <n v="0"/>
    <n v="65278.3"/>
    <n v="464"/>
    <s v="23-08-2026"/>
    <s v="24AAACO3087C1ZT"/>
    <s v="storeppl"/>
    <s v="storeppl"/>
    <n v="9"/>
    <n v="5875.05"/>
    <n v="9"/>
    <n v="5875.05"/>
    <n v="0"/>
    <n v="0"/>
    <n v="0"/>
    <n v="662168328756"/>
    <d v="2026-08-22T00:00:00"/>
    <n v="399.5"/>
  </r>
  <r>
    <s v="Plastene Polyfilms Limited"/>
    <s v="23-08-2026"/>
    <s v="PPL/26-27/SII01253"/>
    <s v="WIP00151"/>
    <s v="PP MF Yarn Twisted 1000 UV NW"/>
    <s v="PPL/RAW/26-27/458"/>
    <n v="832.6"/>
    <n v="832.6"/>
    <s v="Kgs"/>
    <n v="832.6"/>
    <n v="0"/>
    <n v="832.6"/>
    <s v="GJ12X1249"/>
    <s v="Plastene India ltd - Unit 1-Purchase"/>
    <s v="Plastene India ltd - Unit 1-Purchase"/>
    <s v="PIL1/D/1459"/>
    <s v="23-08-2026"/>
    <s v="RAW MATERIAL"/>
    <s v="INDIGENOUS"/>
    <s v="RM 461"/>
    <n v="154.32"/>
    <n v="154.319997712272"/>
    <s v="PIL1/D/1459"/>
    <s v="23-08-2026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134911.17000000001"/>
    <s v="SF"/>
    <s v="Yarn All"/>
    <x v="9"/>
    <s v="RM"/>
    <m/>
    <n v="0"/>
    <n v="128486.83"/>
    <n v="465"/>
    <s v="23-08-2026"/>
    <s v="24AAACO3087C1ZT"/>
    <s v="storeppl"/>
    <s v="storeppl"/>
    <n v="2.5"/>
    <n v="3212.17"/>
    <n v="2.5"/>
    <n v="3212.17"/>
    <n v="0"/>
    <n v="0"/>
    <n v="134911.17000000001"/>
    <n v="622168652442"/>
    <d v="2026-08-23T00:00:00"/>
    <n v="832.6"/>
  </r>
  <r>
    <s v="Plastene Polyfilms Limited"/>
    <s v="23-08-2026"/>
    <s v="PPL/26-27/SII01254"/>
    <s v="WIP00032"/>
    <s v="Webbing"/>
    <s v="PPL/RAW/26-27/459"/>
    <n v="66.2"/>
    <n v="66.2"/>
    <s v="Kgs"/>
    <n v="66.2"/>
    <n v="0"/>
    <n v="66.2"/>
    <s v="GJ39T1656"/>
    <s v="Plastene India ltd - Unit 1-Purchase"/>
    <s v="Plastene India ltd - Unit 1-Purchase"/>
    <s v="PIL1/D/1464"/>
    <s v="23-08-2026"/>
    <s v="RAW MATERIAL"/>
    <s v="INDIGENOUS"/>
    <s v="RM 462"/>
    <n v="147.32"/>
    <n v="147.31994879407799"/>
    <s v="PIL1/D/1464"/>
    <s v="23-08-2026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11508.04"/>
    <s v="SF"/>
    <s v="Webbing"/>
    <x v="2"/>
    <s v="RM"/>
    <s v="erp"/>
    <n v="0"/>
    <n v="9752.58"/>
    <n v="467"/>
    <s v="23-08-2026"/>
    <s v="24AAACO3087C1ZT"/>
    <s v="storeppl"/>
    <s v="storeppl"/>
    <n v="9"/>
    <n v="877.73"/>
    <n v="9"/>
    <n v="877.73"/>
    <n v="0"/>
    <n v="0"/>
    <n v="11508.04"/>
    <n v="692168741192"/>
    <d v="2026-08-23T00:00:00"/>
    <n v="66.2"/>
  </r>
  <r>
    <s v="Plastene Polyfilms Limited"/>
    <s v="23-08-2026"/>
    <s v="PPL/26-27/SII01255"/>
    <s v="WIP00023"/>
    <s v="PP UL Fabric With UV"/>
    <s v="PPL/RAW/26-27/460"/>
    <n v="473"/>
    <n v="473"/>
    <s v="Kgs"/>
    <n v="473"/>
    <n v="0"/>
    <n v="473"/>
    <s v="GJ39T3060"/>
    <s v="HCP Plastene Bulkpack Limited - Purchase"/>
    <s v="HCP Plastene Bulkpack Limited - Purchase"/>
    <s v="HPBL/D/523"/>
    <s v="22-08-2026"/>
    <s v="RAW MATERIAL"/>
    <s v="INDIGENOUS"/>
    <s v="RM 463"/>
    <n v="159.49"/>
    <n v="159.49"/>
    <s v="HPBL/D/523"/>
    <s v="22-08-2026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461104.02"/>
    <s v="SF"/>
    <s v="PP/PE Fabric"/>
    <x v="0"/>
    <s v="RM"/>
    <s v="erp"/>
    <n v="0"/>
    <n v="75438.77"/>
    <n v="466"/>
    <s v="23-08-2026"/>
    <s v="24AABCG1282C2Z6"/>
    <s v="storeppl"/>
    <s v="storeppl"/>
    <n v="9"/>
    <n v="6789.49"/>
    <n v="9"/>
    <n v="6789.49"/>
    <n v="0"/>
    <n v="0"/>
    <n v="461104.02"/>
    <n v="642168408643"/>
    <d v="2026-08-22T00:00:00"/>
    <n v="473"/>
  </r>
  <r>
    <s v="Plastene Polyfilms Limited"/>
    <s v="23-08-2026"/>
    <s v="PPL/26-27/SII01255"/>
    <s v="WIP00023"/>
    <s v="PP UL Fabric With UV"/>
    <s v="PPL/RAW/26-27/460"/>
    <n v="2015"/>
    <n v="2015"/>
    <s v="Kgs"/>
    <n v="2015"/>
    <n v="0"/>
    <n v="2015"/>
    <s v="GJ39T3060"/>
    <s v="HCP Plastene Bulkpack Limited - Purchase"/>
    <s v="HCP Plastene Bulkpack Limited - Purchase"/>
    <s v="HPBL/D/523"/>
    <s v="22-08-2026"/>
    <s v="RAW MATERIAL"/>
    <s v="INDIGENOUS"/>
    <s v="RM 463"/>
    <n v="156.49"/>
    <n v="156.49"/>
    <s v="HPBL/D/523"/>
    <s v="22-08-2026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461104.02"/>
    <s v="SF"/>
    <s v="PP/PE Fabric"/>
    <x v="0"/>
    <s v="RM"/>
    <s v="erp"/>
    <n v="0"/>
    <n v="315327.34999999998"/>
    <n v="466"/>
    <s v="23-08-2026"/>
    <s v="24AABCG1282C2Z6"/>
    <s v="storeppl"/>
    <s v="storeppl"/>
    <n v="9"/>
    <n v="28379.46"/>
    <n v="9"/>
    <n v="28379.46"/>
    <n v="0"/>
    <n v="0"/>
    <n v="0"/>
    <n v="642168408643"/>
    <d v="2026-08-22T00:00:00"/>
    <n v="2015"/>
  </r>
  <r>
    <s v="Plastene Polyfilms Limited"/>
    <s v="23-08-2026"/>
    <s v="PPL/26-27/SII01257"/>
    <s v="WIP00023"/>
    <s v="PP UL Fabric With UV"/>
    <s v="PPL/RAW/26-27/461"/>
    <n v="489"/>
    <n v="489"/>
    <s v="Kgs"/>
    <n v="489"/>
    <n v="0"/>
    <n v="489"/>
    <s v="GJ12X1249"/>
    <s v="Plastene India ltd - Unit 1-Purchase"/>
    <s v="Plastene India ltd - Unit 1-Purchase"/>
    <s v="PIL1/D/1468"/>
    <s v="23-08-2026"/>
    <s v="RAW MATERIAL"/>
    <s v="INDIGENOUS"/>
    <s v="RM 464"/>
    <n v="147.32"/>
    <n v="147.31999924286399"/>
    <s v="PIL1/D/1468"/>
    <s v="23-08-2026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389150.49"/>
    <s v="SF"/>
    <s v="PP/PE Fabric"/>
    <x v="0"/>
    <s v="RM"/>
    <s v="erp"/>
    <n v="0"/>
    <n v="72039.48"/>
    <n v="468"/>
    <s v="23-08-2026"/>
    <s v="24AAACO3087C1ZT"/>
    <s v="storeppl"/>
    <s v="storeppl"/>
    <n v="9"/>
    <n v="6483.55"/>
    <n v="9"/>
    <n v="6483.55"/>
    <n v="0"/>
    <n v="0"/>
    <n v="389150.49"/>
    <n v="652168818212"/>
    <d v="2026-08-23T00:00:00"/>
    <n v="489"/>
  </r>
  <r>
    <s v="Plastene Polyfilms Limited"/>
    <s v="23-08-2026"/>
    <s v="PPL/26-27/SII01257"/>
    <s v="WIP00032"/>
    <s v="Webbing"/>
    <s v="PPL/RAW/26-27/461"/>
    <n v="247.6"/>
    <n v="247.6"/>
    <s v="Kgs"/>
    <n v="247.6"/>
    <n v="0"/>
    <n v="247.6"/>
    <s v="GJ12X1249"/>
    <s v="Plastene India ltd - Unit 1-Purchase"/>
    <s v="Plastene India ltd - Unit 1-Purchase"/>
    <s v="PIL1/D/1468"/>
    <s v="23-08-2026"/>
    <s v="RAW MATERIAL"/>
    <s v="INDIGENOUS"/>
    <s v="RM 464"/>
    <n v="165.32"/>
    <n v="165.31999915035399"/>
    <s v="PIL1/D/1468"/>
    <s v="23-08-2026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389150.49"/>
    <s v="SF"/>
    <s v="Webbing"/>
    <x v="2"/>
    <s v="RM"/>
    <s v="erp"/>
    <n v="0"/>
    <n v="40933.230000000003"/>
    <n v="468"/>
    <s v="23-08-2026"/>
    <s v="24AAACO3087C1ZT"/>
    <s v="storeppl"/>
    <s v="storeppl"/>
    <n v="9"/>
    <n v="3683.99"/>
    <n v="9"/>
    <n v="3683.99"/>
    <n v="0"/>
    <n v="0"/>
    <n v="0"/>
    <n v="652168818212"/>
    <d v="2026-08-23T00:00:00"/>
    <n v="247.6"/>
  </r>
  <r>
    <s v="Plastene Polyfilms Limited"/>
    <s v="23-08-2026"/>
    <s v="PPL/26-27/SII01257"/>
    <s v="WIP00032"/>
    <s v="Webbing"/>
    <s v="PPL/RAW/26-27/461"/>
    <n v="361.5"/>
    <n v="361.5"/>
    <s v="Kgs"/>
    <n v="361.5"/>
    <n v="0"/>
    <n v="361.5"/>
    <s v="GJ12X1249"/>
    <s v="Plastene India ltd - Unit 1-Purchase"/>
    <s v="Plastene India ltd - Unit 1-Purchase"/>
    <s v="PIL1/D/1468"/>
    <s v="23-08-2026"/>
    <s v="RAW MATERIAL"/>
    <s v="INDIGENOUS"/>
    <s v="RM 464"/>
    <n v="147.32"/>
    <n v="147.31999924286399"/>
    <s v="PIL1/D/1468"/>
    <s v="23-08-2026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389150.49"/>
    <s v="SF"/>
    <s v="Webbing"/>
    <x v="2"/>
    <s v="RM"/>
    <s v="erp"/>
    <n v="0"/>
    <n v="53256.18"/>
    <n v="468"/>
    <s v="23-08-2026"/>
    <s v="24AAACO3087C1ZT"/>
    <s v="storeppl"/>
    <s v="storeppl"/>
    <n v="9"/>
    <n v="4793.0600000000004"/>
    <n v="9"/>
    <n v="4793.0600000000004"/>
    <n v="0"/>
    <n v="0"/>
    <n v="0"/>
    <n v="652168818212"/>
    <d v="2026-08-23T00:00:00"/>
    <n v="361.5"/>
  </r>
  <r>
    <s v="Plastene Polyfilms Limited"/>
    <s v="23-08-2026"/>
    <s v="PPL/26-27/SII01257"/>
    <s v="WIP00032"/>
    <s v="Webbing"/>
    <s v="PPL/RAW/26-27/461"/>
    <n v="629.5"/>
    <n v="629.5"/>
    <s v="Kgs"/>
    <n v="629.5"/>
    <n v="0"/>
    <n v="629.5"/>
    <s v="GJ12X1249"/>
    <s v="Plastene India ltd - Unit 1-Purchase"/>
    <s v="Plastene India ltd - Unit 1-Purchase"/>
    <s v="PIL1/D/1468"/>
    <s v="23-08-2026"/>
    <s v="RAW MATERIAL"/>
    <s v="INDIGENOUS"/>
    <s v="RM 464"/>
    <n v="144.32"/>
    <n v="144.319999258282"/>
    <s v="PIL1/D/1468"/>
    <s v="23-08-2026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389150.49"/>
    <s v="SF"/>
    <s v="Webbing"/>
    <x v="2"/>
    <s v="RM"/>
    <s v="erp"/>
    <n v="0"/>
    <n v="90849.44"/>
    <n v="468"/>
    <s v="23-08-2026"/>
    <s v="24AAACO3087C1ZT"/>
    <s v="storeppl"/>
    <s v="storeppl"/>
    <n v="9"/>
    <n v="8176.45"/>
    <n v="9"/>
    <n v="8176.45"/>
    <n v="0"/>
    <n v="0"/>
    <n v="0"/>
    <n v="652168818212"/>
    <d v="2026-08-23T00:00:00"/>
    <n v="629.5"/>
  </r>
  <r>
    <s v="Plastene Polyfilms Limited"/>
    <s v="23-08-2026"/>
    <s v="PPL/26-27/SII01257"/>
    <s v="WIP00181"/>
    <s v="PP MF Yarn Twisted 2500 Denier UV NW"/>
    <s v="PPL/RAW/26-27/461"/>
    <n v="529.5"/>
    <n v="529.5"/>
    <s v="Kgs"/>
    <n v="529.5"/>
    <n v="0"/>
    <n v="529.5"/>
    <s v="GJ12X1249"/>
    <s v="Plastene India ltd - Unit 1-Purchase"/>
    <s v="Plastene India ltd - Unit 1-Purchase"/>
    <s v="PIL1/D/1468"/>
    <s v="23-08-2026"/>
    <s v="RAW MATERIAL"/>
    <s v="INDIGENOUS"/>
    <s v="RM 464"/>
    <n v="154.32"/>
    <n v="154.31999920688801"/>
    <s v="PIL1/D/1468"/>
    <s v="23-08-2026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389150.49"/>
    <s v="SF"/>
    <s v="Yarn All"/>
    <x v="9"/>
    <s v="RM"/>
    <m/>
    <n v="0"/>
    <n v="81712.44"/>
    <n v="468"/>
    <s v="23-08-2026"/>
    <s v="24AAACO3087C1ZT"/>
    <s v="storeppl"/>
    <s v="storeppl"/>
    <n v="2.5"/>
    <n v="2042.81"/>
    <n v="2.5"/>
    <n v="2042.81"/>
    <n v="0"/>
    <n v="0"/>
    <n v="0"/>
    <n v="652168818212"/>
    <d v="2026-08-23T00:00:00"/>
    <n v="529.5"/>
  </r>
  <r>
    <s v="Plastene Polyfilms Limited"/>
    <s v="24-08-2026"/>
    <s v="PPL/26-27/SII01261"/>
    <s v="FIG00001"/>
    <s v="FIBC WIP"/>
    <s v="PPL/RAW/26-27/462"/>
    <n v="2"/>
    <n v="2"/>
    <s v="Kgs"/>
    <n v="2"/>
    <n v="0"/>
    <n v="2"/>
    <s v="GJ12BT5713"/>
    <s v="Plastene India ltd - Unit 2-Purchase"/>
    <s v="Plastene India ltd - Unit 2-Purchase"/>
    <s v="PIL2/D/529"/>
    <s v="23-08-2026"/>
    <s v="RAW MATERIAL"/>
    <s v="INDIGENOUS"/>
    <s v="RM 465"/>
    <n v="163.4"/>
    <n v="163.4"/>
    <s v="PIL2/D/529"/>
    <s v="23-08-2026"/>
    <s v="WEBBING SAMPLE"/>
    <s v="."/>
    <m/>
    <s v="."/>
    <s v="."/>
    <n v="0"/>
    <n v="0"/>
    <n v="0"/>
    <n v="0"/>
    <n v="0"/>
    <s v="VAT"/>
    <n v="0"/>
    <n v="0"/>
    <n v="0"/>
    <n v="0"/>
    <n v="0"/>
    <m/>
    <n v="0"/>
    <n v="0"/>
    <n v="385.62"/>
    <s v="FG"/>
    <s v="FIBC WIP"/>
    <x v="6"/>
    <s v="RM"/>
    <s v="erp"/>
    <n v="0"/>
    <n v="326.8"/>
    <n v="470"/>
    <s v="24-08-2026"/>
    <s v="24AAACO3087C1ZT"/>
    <s v="storeppl"/>
    <s v="storeppl"/>
    <n v="9"/>
    <n v="29.41"/>
    <n v="9"/>
    <n v="29.41"/>
    <n v="0"/>
    <n v="0"/>
    <n v="385.62"/>
    <n v="622168706468"/>
    <d v="2026-08-23T00:00:00"/>
    <n v="2"/>
  </r>
  <r>
    <s v="Plastene Polyfilms Limited"/>
    <s v="24-08-2026"/>
    <s v="PPL/26-27/SII01262"/>
    <s v="WIP00003"/>
    <s v="FIBC Bags With UV With Liner"/>
    <s v="PPL/RAW/26-27/463"/>
    <n v="2971"/>
    <n v="2971"/>
    <s v="Kgs"/>
    <n v="2971"/>
    <n v="0"/>
    <n v="2971"/>
    <s v="GJ12BT5713"/>
    <s v="Plastene India ltd - Unit 2-Purchase"/>
    <s v="Plastene India ltd - Unit 2-Purchase"/>
    <s v="PIL2/D/528"/>
    <s v="22-08-2026"/>
    <s v="RAW MATERIAL"/>
    <s v="INDIGENOUS"/>
    <s v="RM 466"/>
    <n v="276.48"/>
    <n v="276.48"/>
    <s v="PIL2/D/528"/>
    <s v="22-08-2026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4769640.37"/>
    <s v="FG"/>
    <s v="FIBC Bags"/>
    <x v="7"/>
    <s v="RM"/>
    <s v="erp"/>
    <n v="0"/>
    <n v="821422.07999999996"/>
    <n v="469"/>
    <s v="24-08-2026"/>
    <s v="24AAACO3087C1ZT"/>
    <s v="storeppl"/>
    <s v="storeppl"/>
    <n v="9"/>
    <n v="73927.990000000005"/>
    <n v="9"/>
    <n v="73927.990000000005"/>
    <n v="0"/>
    <n v="0"/>
    <n v="4769640.37"/>
    <n v="622168373006"/>
    <d v="2026-08-22T00:00:00"/>
    <n v="2971"/>
  </r>
  <r>
    <s v="Plastene Polyfilms Limited"/>
    <s v="24-08-2026"/>
    <s v="PPL/26-27/SII01262"/>
    <s v="WIP00004"/>
    <s v="FIBC Bags With UV Without Liner"/>
    <s v="PPL/RAW/26-27/463"/>
    <n v="6617"/>
    <n v="6617"/>
    <s v="Kgs"/>
    <n v="6617"/>
    <n v="0"/>
    <n v="6617"/>
    <s v="GJ12BT5713"/>
    <s v="Plastene India ltd - Unit 2-Purchase"/>
    <s v="Plastene India ltd - Unit 2-Purchase"/>
    <s v="PIL2/D/528"/>
    <s v="22-08-2026"/>
    <s v="RAW MATERIAL"/>
    <s v="INDIGENOUS"/>
    <s v="RM 466"/>
    <n v="213.33"/>
    <n v="213.33"/>
    <s v="PIL2/D/528"/>
    <s v="22-08-2026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4769640.37"/>
    <s v="FG"/>
    <s v="FIBC Bags"/>
    <x v="7"/>
    <s v="RM"/>
    <s v="erp"/>
    <n v="0"/>
    <n v="1411604.61"/>
    <n v="469"/>
    <s v="24-08-2026"/>
    <s v="24AAACO3087C1ZT"/>
    <s v="storeppl"/>
    <s v="storeppl"/>
    <n v="9"/>
    <n v="127044.41"/>
    <n v="9"/>
    <n v="127044.41"/>
    <n v="0"/>
    <n v="0"/>
    <n v="0"/>
    <n v="622168373006"/>
    <d v="2026-08-22T00:00:00"/>
    <n v="6617"/>
  </r>
  <r>
    <s v="Plastene Polyfilms Limited"/>
    <s v="24-08-2026"/>
    <s v="PPL/26-27/SII01262"/>
    <s v="WIP00004"/>
    <s v="FIBC Bags With UV Without Liner"/>
    <s v="PPL/RAW/26-27/463"/>
    <n v="1705"/>
    <n v="1705"/>
    <s v="Kgs"/>
    <n v="1705"/>
    <n v="0"/>
    <n v="1705"/>
    <s v="GJ12BT5713"/>
    <s v="Plastene India ltd - Unit 2-Purchase"/>
    <s v="Plastene India ltd - Unit 2-Purchase"/>
    <s v="PIL2/D/528"/>
    <s v="22-08-2026"/>
    <s v="RAW MATERIAL"/>
    <s v="INDIGENOUS"/>
    <s v="RM 466"/>
    <n v="218.3"/>
    <n v="218.3"/>
    <s v="PIL2/D/528"/>
    <s v="22-08-2026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4769640.37"/>
    <s v="FG"/>
    <s v="FIBC Bags"/>
    <x v="7"/>
    <s v="RM"/>
    <s v="erp"/>
    <n v="0"/>
    <n v="372201.5"/>
    <n v="469"/>
    <s v="24-08-2026"/>
    <s v="24AAACO3087C1ZT"/>
    <s v="storeppl"/>
    <s v="storeppl"/>
    <n v="9"/>
    <n v="33498.14"/>
    <n v="9"/>
    <n v="33498.14"/>
    <n v="0"/>
    <n v="0"/>
    <n v="0"/>
    <n v="622168373006"/>
    <d v="2026-08-22T00:00:00"/>
    <n v="1705"/>
  </r>
  <r>
    <s v="Plastene Polyfilms Limited"/>
    <s v="24-08-2026"/>
    <s v="PPL/26-27/SII01262"/>
    <s v="WIP00004"/>
    <s v="FIBC Bags With UV Without Liner"/>
    <s v="PPL/RAW/26-27/463"/>
    <n v="1326"/>
    <n v="1326"/>
    <s v="Kgs"/>
    <n v="1326"/>
    <n v="0"/>
    <n v="1326"/>
    <s v="GJ12BT5713"/>
    <s v="Plastene India ltd - Unit 2-Purchase"/>
    <s v="Plastene India ltd - Unit 2-Purchase"/>
    <s v="PIL2/D/528"/>
    <s v="22-08-2026"/>
    <s v="RAW MATERIAL"/>
    <s v="INDIGENOUS"/>
    <s v="RM 466"/>
    <n v="212.49"/>
    <n v="212.49"/>
    <s v="PIL2/D/528"/>
    <s v="22-08-2026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4769640.37"/>
    <s v="FG"/>
    <s v="FIBC Bags"/>
    <x v="7"/>
    <s v="RM"/>
    <s v="erp"/>
    <n v="0"/>
    <n v="281761.74"/>
    <n v="469"/>
    <s v="24-08-2026"/>
    <s v="24AAACO3087C1ZT"/>
    <s v="storeppl"/>
    <s v="storeppl"/>
    <n v="9"/>
    <n v="25358.560000000001"/>
    <n v="9"/>
    <n v="25358.560000000001"/>
    <n v="0"/>
    <n v="0"/>
    <n v="0"/>
    <n v="622168373006"/>
    <d v="2026-08-22T00:00:00"/>
    <n v="1326"/>
  </r>
  <r>
    <s v="Plastene Polyfilms Limited"/>
    <s v="24-08-2026"/>
    <s v="PPL/26-27/SII01262"/>
    <s v="WIP00004"/>
    <s v="FIBC Bags With UV Without Liner"/>
    <s v="PPL/RAW/26-27/463"/>
    <n v="3692"/>
    <n v="3692"/>
    <s v="Kgs"/>
    <n v="3692"/>
    <n v="0"/>
    <n v="3692"/>
    <s v="GJ12BT5713"/>
    <s v="Plastene India ltd - Unit 2-Purchase"/>
    <s v="Plastene India ltd - Unit 2-Purchase"/>
    <s v="PIL2/D/528"/>
    <s v="22-08-2026"/>
    <s v="RAW MATERIAL"/>
    <s v="INDIGENOUS"/>
    <s v="RM 466"/>
    <n v="210.38"/>
    <n v="210.38"/>
    <s v="PIL2/D/528"/>
    <s v="22-08-2026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4769640.37"/>
    <s v="FG"/>
    <s v="FIBC Bags"/>
    <x v="7"/>
    <s v="RM"/>
    <s v="erp"/>
    <n v="0"/>
    <n v="776722.96"/>
    <n v="469"/>
    <s v="24-08-2026"/>
    <s v="24AAACO3087C1ZT"/>
    <s v="storeppl"/>
    <s v="storeppl"/>
    <n v="9"/>
    <n v="69905.070000000007"/>
    <n v="9"/>
    <n v="69905.070000000007"/>
    <n v="0"/>
    <n v="0"/>
    <n v="0"/>
    <n v="622168373006"/>
    <d v="2026-08-22T00:00:00"/>
    <n v="3692"/>
  </r>
  <r>
    <s v="Plastene Polyfilms Limited"/>
    <s v="24-08-2026"/>
    <s v="PPL/26-27/SII01262"/>
    <s v="WIP00004"/>
    <s v="FIBC Bags With UV Without Liner"/>
    <s v="PPL/RAW/26-27/463"/>
    <n v="1770"/>
    <n v="1770"/>
    <s v="Kgs"/>
    <n v="1770"/>
    <n v="0"/>
    <n v="1770"/>
    <s v="GJ12BT5713"/>
    <s v="Plastene India ltd - Unit 2-Purchase"/>
    <s v="Plastene India ltd - Unit 2-Purchase"/>
    <s v="PIL2/D/528"/>
    <s v="22-08-2026"/>
    <s v="RAW MATERIAL"/>
    <s v="INDIGENOUS"/>
    <s v="RM 466"/>
    <n v="213.76"/>
    <n v="213.76"/>
    <s v="PIL2/D/528"/>
    <s v="22-08-2026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4769640.37"/>
    <s v="FG"/>
    <s v="FIBC Bags"/>
    <x v="7"/>
    <s v="RM"/>
    <s v="erp"/>
    <n v="0"/>
    <n v="378355.20000000001"/>
    <n v="469"/>
    <s v="24-08-2026"/>
    <s v="24AAACO3087C1ZT"/>
    <s v="storeppl"/>
    <s v="storeppl"/>
    <n v="9"/>
    <n v="34051.97"/>
    <n v="9"/>
    <n v="34051.97"/>
    <n v="0"/>
    <n v="0"/>
    <n v="0"/>
    <n v="622168373006"/>
    <d v="2026-08-22T00:00:00"/>
    <n v="1770"/>
  </r>
  <r>
    <s v="Plastene Polyfilms Limited"/>
    <s v="24-08-2026"/>
    <s v="PPL/26-27/SII01264"/>
    <s v="WIP00023"/>
    <s v="PP UL Fabric With UV"/>
    <s v="PPL/RAW/26-27/464"/>
    <n v="481.8"/>
    <n v="481.8"/>
    <s v="Kgs"/>
    <n v="481.8"/>
    <n v="0"/>
    <n v="481.8"/>
    <s v="GJ06AX2024"/>
    <s v="K.P. Woven Pvt Ltd-Purchase"/>
    <s v="K.P. Woven Pvt Ltd-Purchase"/>
    <s v="KPV/D/650"/>
    <s v="23-08-2026"/>
    <s v="RAW MATERIAL"/>
    <s v="INDIGENOUS"/>
    <s v="RM 467"/>
    <n v="188.4"/>
    <n v="188.4"/>
    <s v="KPV/D/650"/>
    <s v="23-08-2026"/>
    <s v="."/>
    <s v="."/>
    <m/>
    <s v="Kutch Ratnam Raodways"/>
    <n v="605"/>
    <n v="0"/>
    <n v="0"/>
    <n v="0"/>
    <n v="0"/>
    <n v="0"/>
    <s v="VAT"/>
    <n v="0"/>
    <n v="0"/>
    <n v="0"/>
    <n v="0"/>
    <n v="0"/>
    <m/>
    <n v="0"/>
    <n v="0"/>
    <n v="320513.59999999998"/>
    <s v="SF"/>
    <s v="PP/PE Fabric"/>
    <x v="0"/>
    <s v="RM"/>
    <s v="erp"/>
    <n v="0"/>
    <n v="90771.12"/>
    <n v="471"/>
    <s v="24-08-2026"/>
    <s v="24AAECK6307M1ZF"/>
    <s v="storeppl"/>
    <s v="storeppl"/>
    <n v="9"/>
    <n v="8169.4"/>
    <n v="9"/>
    <n v="8169.4"/>
    <n v="0"/>
    <n v="0"/>
    <n v="320513.59999999998"/>
    <n v="682168772102"/>
    <d v="2026-08-23T00:00:00"/>
    <n v="481.8"/>
  </r>
  <r>
    <s v="Plastene Polyfilms Limited"/>
    <s v="24-08-2026"/>
    <s v="PPL/26-27/SII01264"/>
    <s v="SMF00052"/>
    <s v="PP Fibrillated Tape Twisted 3200 Blue"/>
    <s v="PPL/RAW/26-27/464"/>
    <n v="808"/>
    <n v="808"/>
    <s v="Kgs"/>
    <n v="808"/>
    <n v="0"/>
    <n v="808"/>
    <s v="GJ06AX2024"/>
    <s v="K.P. Woven Pvt Ltd-Purchase"/>
    <s v="K.P. Woven Pvt Ltd-Purchase"/>
    <s v="KPV/D/650"/>
    <s v="23-08-2026"/>
    <s v="RAW MATERIAL"/>
    <s v="INDIGENOUS"/>
    <s v="RM 467"/>
    <n v="159.4"/>
    <n v="159.4"/>
    <s v="KPV/D/650"/>
    <s v="23-08-2026"/>
    <s v="."/>
    <s v="."/>
    <m/>
    <s v="Kutch Ratnam Raodways"/>
    <n v="605"/>
    <n v="0"/>
    <n v="0"/>
    <n v="0"/>
    <n v="0"/>
    <n v="0"/>
    <s v="VAT"/>
    <n v="0"/>
    <n v="0"/>
    <n v="0"/>
    <n v="0"/>
    <n v="0"/>
    <m/>
    <n v="0"/>
    <n v="0"/>
    <n v="320513.59999999998"/>
    <s v="SF"/>
    <s v="Yarn All"/>
    <x v="9"/>
    <s v="RM"/>
    <s v="erp"/>
    <n v="0"/>
    <n v="128795.2"/>
    <n v="471"/>
    <s v="24-08-2026"/>
    <s v="24AAECK6307M1ZF"/>
    <s v="storeppl"/>
    <s v="storeppl"/>
    <n v="2.5"/>
    <n v="3219.88"/>
    <n v="2.5"/>
    <n v="3219.88"/>
    <n v="0"/>
    <n v="0"/>
    <n v="0"/>
    <n v="682168772102"/>
    <d v="2026-08-23T00:00:00"/>
    <n v="808"/>
  </r>
  <r>
    <s v="Plastene Polyfilms Limited"/>
    <s v="24-08-2026"/>
    <s v="PPL/26-27/SII01264"/>
    <s v="SMF00054"/>
    <s v="PP Fibrillated Tape Twisted 3200 MW"/>
    <s v="PPL/RAW/26-27/464"/>
    <n v="476"/>
    <n v="476"/>
    <s v="Kgs"/>
    <n v="476"/>
    <n v="0"/>
    <n v="476"/>
    <s v="GJ06AX2024"/>
    <s v="K.P. Woven Pvt Ltd-Purchase"/>
    <s v="K.P. Woven Pvt Ltd-Purchase"/>
    <s v="KPV/D/650"/>
    <s v="23-08-2026"/>
    <s v="RAW MATERIAL"/>
    <s v="INDIGENOUS"/>
    <s v="RM 467"/>
    <n v="156.4"/>
    <n v="156.4"/>
    <s v="KPV/D/650"/>
    <s v="23-08-2026"/>
    <s v="."/>
    <s v="."/>
    <m/>
    <s v="Kutch Ratnam Raodways"/>
    <n v="605"/>
    <n v="0"/>
    <n v="0"/>
    <n v="0"/>
    <n v="0"/>
    <n v="0"/>
    <s v="VAT"/>
    <n v="0"/>
    <n v="0"/>
    <n v="0"/>
    <n v="0"/>
    <n v="0"/>
    <m/>
    <n v="0"/>
    <n v="0"/>
    <n v="320513.59999999998"/>
    <s v="SF"/>
    <s v="Yarn All"/>
    <x v="9"/>
    <s v="RM"/>
    <s v="erp"/>
    <n v="0"/>
    <n v="74446.399999999994"/>
    <n v="471"/>
    <s v="24-08-2026"/>
    <s v="24AAECK6307M1ZF"/>
    <s v="storeppl"/>
    <s v="storeppl"/>
    <n v="2.5"/>
    <n v="1861.16"/>
    <n v="2.5"/>
    <n v="1861.16"/>
    <n v="0"/>
    <n v="0"/>
    <n v="0"/>
    <n v="682168772102"/>
    <d v="2026-08-23T00:00:00"/>
    <n v="476"/>
  </r>
  <r>
    <s v="Plastene Polyfilms Limited"/>
    <s v="24-08-2026"/>
    <s v="PPL/26-27/SII01265"/>
    <s v="RAW06013"/>
    <s v="Filler Soltex PTUFF23"/>
    <s v="PPL/RAW/26-27/465"/>
    <n v="3000"/>
    <n v="3000"/>
    <s v="Kgs"/>
    <n v="3000"/>
    <n v="0"/>
    <n v="3000"/>
    <s v="GJ12X1249"/>
    <s v="Plastene India ltd - Unit 1-Purchase"/>
    <s v="Plastene India ltd - Unit 1-Purchase"/>
    <s v="PIL1/D/1471"/>
    <s v="24-08-2026"/>
    <s v="RAW MATERIAL"/>
    <s v="INDIGENOUS"/>
    <s v="RM 468"/>
    <n v="40.5"/>
    <n v="40.5"/>
    <s v="PIL1/D/1471"/>
    <s v="24-08-2026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143370"/>
    <s v="RM"/>
    <s v="Granules"/>
    <x v="12"/>
    <s v="RM"/>
    <s v="anil"/>
    <n v="0"/>
    <n v="121500"/>
    <n v="473"/>
    <s v="24-08-2026"/>
    <s v="24AAACO3087C1ZT"/>
    <s v="storeppl"/>
    <s v="storeppl"/>
    <n v="9"/>
    <n v="10935"/>
    <n v="9"/>
    <n v="10935"/>
    <n v="0"/>
    <n v="0"/>
    <n v="143370"/>
    <n v="692169002168"/>
    <d v="2026-08-24T00:00:00"/>
    <n v="3000"/>
  </r>
  <r>
    <s v="Plastene Polyfilms Limited"/>
    <s v="24-08-2026"/>
    <s v="PPL/26-27/SII01266"/>
    <s v="WIP00032"/>
    <s v="Webbing"/>
    <s v="PPL/RAW/26-27/466"/>
    <n v="139.80000000000001"/>
    <n v="139.80000000000001"/>
    <s v="Kgs"/>
    <n v="139.80000000000001"/>
    <n v="0"/>
    <n v="139.80000000000001"/>
    <s v="GJ12X1249"/>
    <s v="Plastene India ltd - Unit 1-Purchase"/>
    <s v="Plastene India ltd - Unit 1-Purchase"/>
    <s v="PIL1/D/1472"/>
    <s v="24-08-2026"/>
    <s v="RAW MATERIAL"/>
    <s v="INDIGENOUS"/>
    <s v="RM 469"/>
    <n v="165.32"/>
    <n v="165.32"/>
    <s v="PIL1/D/1472"/>
    <s v="24-08-2026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281284.84000000003"/>
    <s v="SF"/>
    <s v="Webbing"/>
    <x v="2"/>
    <s v="RM"/>
    <s v="erp"/>
    <n v="0"/>
    <n v="23111.74"/>
    <n v="472"/>
    <s v="24-08-2026"/>
    <s v="24AAACO3087C1ZT"/>
    <s v="storeppl"/>
    <s v="storeppl"/>
    <n v="9"/>
    <n v="2080.06"/>
    <n v="9"/>
    <n v="2080.06"/>
    <n v="0"/>
    <n v="0"/>
    <n v="281284.84000000003"/>
    <n v="652169010099"/>
    <d v="2026-08-24T00:00:00"/>
    <n v="139.80000000000001"/>
  </r>
  <r>
    <s v="Plastene Polyfilms Limited"/>
    <s v="24-08-2026"/>
    <s v="PPL/26-27/SII01266"/>
    <s v="WIP00032"/>
    <s v="Webbing"/>
    <s v="PPL/RAW/26-27/466"/>
    <n v="515.20000000000005"/>
    <n v="515.20000000000005"/>
    <s v="Kgs"/>
    <n v="515.20000000000005"/>
    <n v="0"/>
    <n v="515.20000000000005"/>
    <s v="GJ12X1249"/>
    <s v="Plastene India ltd - Unit 1-Purchase"/>
    <s v="Plastene India ltd - Unit 1-Purchase"/>
    <s v="PIL1/D/1472"/>
    <s v="24-08-2026"/>
    <s v="RAW MATERIAL"/>
    <s v="INDIGENOUS"/>
    <s v="RM 469"/>
    <n v="144.32"/>
    <n v="144.32"/>
    <s v="PIL1/D/1472"/>
    <s v="24-08-2026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281284.84000000003"/>
    <s v="SF"/>
    <s v="Webbing"/>
    <x v="2"/>
    <s v="RM"/>
    <s v="erp"/>
    <n v="0"/>
    <n v="74353.66"/>
    <n v="472"/>
    <s v="24-08-2026"/>
    <s v="24AAACO3087C1ZT"/>
    <s v="storeppl"/>
    <s v="storeppl"/>
    <n v="9"/>
    <n v="6691.83"/>
    <n v="9"/>
    <n v="6691.83"/>
    <n v="0"/>
    <n v="0"/>
    <n v="0"/>
    <n v="652169010099"/>
    <d v="2026-08-24T00:00:00"/>
    <n v="515.20000000000005"/>
  </r>
  <r>
    <s v="Plastene Polyfilms Limited"/>
    <s v="24-08-2026"/>
    <s v="PPL/26-27/SII01266"/>
    <s v="WIP00032"/>
    <s v="Webbing"/>
    <s v="PPL/RAW/26-27/466"/>
    <n v="956.5"/>
    <n v="956.5"/>
    <s v="Kgs"/>
    <n v="956.5"/>
    <n v="0"/>
    <n v="956.5"/>
    <s v="GJ12X1249"/>
    <s v="Plastene India ltd - Unit 1-Purchase"/>
    <s v="Plastene India ltd - Unit 1-Purchase"/>
    <s v="PIL1/D/1472"/>
    <s v="24-08-2026"/>
    <s v="RAW MATERIAL"/>
    <s v="INDIGENOUS"/>
    <s v="RM 469"/>
    <n v="147.32"/>
    <n v="147.32"/>
    <s v="PIL1/D/1472"/>
    <s v="24-08-2026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281284.84000000003"/>
    <s v="SF"/>
    <s v="Webbing"/>
    <x v="2"/>
    <s v="RM"/>
    <s v="erp"/>
    <n v="0"/>
    <n v="140911.57999999999"/>
    <n v="472"/>
    <s v="24-08-2026"/>
    <s v="24AAACO3087C1ZT"/>
    <s v="storeppl"/>
    <s v="storeppl"/>
    <n v="9"/>
    <n v="12682.04"/>
    <n v="9"/>
    <n v="12682.04"/>
    <n v="0"/>
    <n v="0"/>
    <n v="0"/>
    <n v="652169010099"/>
    <d v="2026-08-24T00:00:00"/>
    <n v="956.5"/>
  </r>
  <r>
    <s v="Plastene Polyfilms Limited"/>
    <s v="24-08-2026"/>
    <s v="PPL/26-27/SII01268"/>
    <s v="RAW06298"/>
    <s v="PP JINNENG HP550J"/>
    <s v="PPL/26-27/IMP/3"/>
    <n v="140000"/>
    <n v="140000"/>
    <s v="Kgs"/>
    <n v="140000"/>
    <n v="0"/>
    <n v="140000"/>
    <s v="GJ14Z2305-GJ39TA3718-GJ39TA0541-GJ39TB2440-GJ39TA5410"/>
    <s v="HCP Enterprise Ltd-Purchase"/>
    <s v="HCP Enterprise Ltd-Purchase"/>
    <s v="HCP/26-27/HSS/35"/>
    <d v="2026-08-08T00:00:00"/>
    <s v="RAW MATERIAL"/>
    <s v="IMPORT/HIGH SEA SALES"/>
    <s v="RMIMP 5"/>
    <n v="102.35"/>
    <n v="102.35"/>
    <s v="HCP/26-27/HSS/35"/>
    <d v="2026-08-08T00:00:00"/>
    <m/>
    <n v="0"/>
    <m/>
    <s v="JAI AMBE TRANSMOVER PVT LTD"/>
    <s v="3592-3593-3629-3549-3551"/>
    <n v="0"/>
    <n v="0"/>
    <n v="0"/>
    <n v="0"/>
    <n v="0"/>
    <s v="VAT"/>
    <n v="0"/>
    <n v="0"/>
    <n v="0"/>
    <n v="0"/>
    <n v="0"/>
    <m/>
    <n v="0"/>
    <n v="0"/>
    <n v="14329000"/>
    <s v="RM"/>
    <s v="Granules"/>
    <x v="4"/>
    <s v="RM"/>
    <m/>
    <n v="0"/>
    <n v="14329000"/>
    <n v="474"/>
    <s v="24-08-2026"/>
    <s v="24AAACC7815N1ZI"/>
    <s v="storeppl"/>
    <m/>
    <n v="0"/>
    <n v="0"/>
    <n v="0"/>
    <n v="0"/>
    <n v="0"/>
    <n v="0"/>
    <n v="14329000"/>
    <n v="692166228598"/>
    <d v="2026-08-23T16:42:13"/>
    <n v="140000"/>
  </r>
  <r>
    <s v="Plastene Polyfilms Limited"/>
    <s v="24-08-2026"/>
    <s v="PPL/26-27/SII01270"/>
    <s v="RAW05951"/>
    <s v="PP Tapes"/>
    <s v="PPL/RAW/26-27/467"/>
    <n v="1244"/>
    <n v="1244"/>
    <s v="Kgs"/>
    <n v="1244"/>
    <n v="0"/>
    <n v="1244"/>
    <s v="GJ12X1249"/>
    <s v="Plastene India ltd - Unit 1-Purchase"/>
    <s v="Plastene India ltd - Unit 1-Purchase"/>
    <s v="PIL1/D/1478"/>
    <s v="24-08-2026"/>
    <s v="RAW MATERIAL"/>
    <s v="INDIGENOUS"/>
    <s v="RM 470"/>
    <n v="135.32"/>
    <n v="135.32"/>
    <s v="PIL1/D/1478"/>
    <s v="24-08-2026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774723.28"/>
    <s v="SF"/>
    <s v="Tape Stock"/>
    <x v="11"/>
    <s v="RM"/>
    <s v="erp"/>
    <n v="0"/>
    <n v="168338.08"/>
    <n v="475"/>
    <s v="24-08-2026"/>
    <s v="24AAACO3087C1ZT"/>
    <s v="storeppl"/>
    <s v="storeppl"/>
    <n v="9"/>
    <n v="15150.43"/>
    <n v="9"/>
    <n v="15150.43"/>
    <n v="0"/>
    <n v="0"/>
    <n v="774723.28"/>
    <n v="622169360557"/>
    <d v="2026-08-24T00:00:00"/>
    <n v="1244"/>
  </r>
  <r>
    <s v="Plastene Polyfilms Limited"/>
    <s v="24-08-2026"/>
    <s v="PPL/26-27/SII01270"/>
    <s v="WIP00023"/>
    <s v="PP UL Fabric With UV"/>
    <s v="PPL/RAW/26-27/467"/>
    <n v="582"/>
    <n v="582"/>
    <s v="Kgs"/>
    <n v="582"/>
    <n v="0"/>
    <n v="582"/>
    <s v="GJ12X1249"/>
    <s v="Plastene India ltd - Unit 1-Purchase"/>
    <s v="Plastene India ltd - Unit 1-Purchase"/>
    <s v="PIL1/D/1478"/>
    <s v="24-08-2026"/>
    <s v="RAW MATERIAL"/>
    <s v="INDIGENOUS"/>
    <s v="RM 470"/>
    <n v="142.32"/>
    <n v="142.32"/>
    <s v="PIL1/D/1478"/>
    <s v="24-08-2026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774723.28"/>
    <s v="SF"/>
    <s v="PP/PE Fabric"/>
    <x v="0"/>
    <s v="RM"/>
    <s v="erp"/>
    <n v="0"/>
    <n v="82830.240000000005"/>
    <n v="475"/>
    <s v="24-08-2026"/>
    <s v="24AAACO3087C1ZT"/>
    <s v="storeppl"/>
    <s v="storeppl"/>
    <n v="9"/>
    <n v="7454.72"/>
    <n v="9"/>
    <n v="7454.72"/>
    <n v="0"/>
    <n v="0"/>
    <n v="0"/>
    <n v="622169360557"/>
    <d v="2026-08-24T00:00:00"/>
    <n v="582"/>
  </r>
  <r>
    <s v="Plastene Polyfilms Limited"/>
    <s v="24-08-2026"/>
    <s v="PPL/26-27/SII01270"/>
    <s v="WIP00025"/>
    <s v="PP Lam Fabric With UV"/>
    <s v="PPL/RAW/26-27/467"/>
    <n v="2056"/>
    <n v="2056"/>
    <s v="Kgs"/>
    <n v="2056"/>
    <n v="0"/>
    <n v="2056"/>
    <s v="GJ12X1249"/>
    <s v="Plastene India ltd - Unit 1-Purchase"/>
    <s v="Plastene India ltd - Unit 1-Purchase"/>
    <s v="PIL1/D/1478"/>
    <s v="24-08-2026"/>
    <s v="RAW MATERIAL"/>
    <s v="INDIGENOUS"/>
    <s v="RM 470"/>
    <n v="149.32"/>
    <n v="149.32"/>
    <s v="PIL1/D/1478"/>
    <s v="24-08-2026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774723.28"/>
    <s v="SF"/>
    <s v="PP/PE Fabric"/>
    <x v="1"/>
    <s v="RM"/>
    <s v="erp"/>
    <n v="0"/>
    <n v="307001.92"/>
    <n v="475"/>
    <s v="24-08-2026"/>
    <s v="24AAACO3087C1ZT"/>
    <s v="storeppl"/>
    <s v="storeppl"/>
    <n v="9"/>
    <n v="27630.17"/>
    <n v="9"/>
    <n v="27630.17"/>
    <n v="0"/>
    <n v="0"/>
    <n v="0"/>
    <n v="622169360557"/>
    <d v="2026-08-24T00:00:00"/>
    <n v="2056"/>
  </r>
  <r>
    <s v="Plastene Polyfilms Limited"/>
    <s v="24-08-2026"/>
    <s v="PPL/26-27/SII01270"/>
    <s v="WIP00025"/>
    <s v="PP Lam Fabric With UV"/>
    <s v="PPL/RAW/26-27/467"/>
    <n v="581"/>
    <n v="581"/>
    <s v="Kgs"/>
    <n v="581"/>
    <n v="0"/>
    <n v="581"/>
    <s v="GJ12X1249"/>
    <s v="Plastene India ltd - Unit 1-Purchase"/>
    <s v="Plastene India ltd - Unit 1-Purchase"/>
    <s v="PIL1/D/1478"/>
    <s v="24-08-2026"/>
    <s v="RAW MATERIAL"/>
    <s v="INDIGENOUS"/>
    <s v="RM 470"/>
    <n v="169.32"/>
    <n v="169.32"/>
    <s v="PIL1/D/1478"/>
    <s v="24-08-2026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774723.28"/>
    <s v="SF"/>
    <s v="PP/PE Fabric"/>
    <x v="1"/>
    <s v="RM"/>
    <s v="erp"/>
    <n v="0"/>
    <n v="98374.92"/>
    <n v="475"/>
    <s v="24-08-2026"/>
    <s v="24AAACO3087C1ZT"/>
    <s v="storeppl"/>
    <s v="storeppl"/>
    <n v="9"/>
    <n v="8853.74"/>
    <n v="9"/>
    <n v="8853.74"/>
    <n v="0"/>
    <n v="0"/>
    <n v="0"/>
    <n v="622169360557"/>
    <d v="2026-08-24T00:00:00"/>
    <n v="581"/>
  </r>
  <r>
    <s v="Plastene Polyfilms Limited"/>
    <s v="25-08-2026"/>
    <s v="PPL/26-27/SII01280"/>
    <s v="WIP00032"/>
    <s v="Webbing"/>
    <s v="PPL/RAW/26-27/468"/>
    <n v="290"/>
    <n v="290"/>
    <s v="Kgs"/>
    <n v="290"/>
    <n v="0"/>
    <n v="290"/>
    <s v="GJ09X0572"/>
    <s v="Plastene India ltd - Unit 1-Purchase"/>
    <s v="Plastene India ltd - Unit 1-Purchase"/>
    <s v="PIL1/D/1483"/>
    <s v="25-08-2026"/>
    <s v="RAW MATERIAL"/>
    <s v="INDIGENOUS"/>
    <s v="RM 471"/>
    <n v="147.32"/>
    <n v="147.32"/>
    <s v="PIL1/D/1483"/>
    <s v="25-08-2026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187282.04"/>
    <s v="SF"/>
    <s v="Webbing"/>
    <x v="2"/>
    <s v="RM"/>
    <s v="erp"/>
    <n v="0"/>
    <n v="42722.8"/>
    <n v="476"/>
    <s v="25-08-2026"/>
    <s v="24AAACO3087C1ZT"/>
    <s v="storeppl"/>
    <s v="storeppl"/>
    <n v="9"/>
    <n v="3845.05"/>
    <n v="9"/>
    <n v="3845.05"/>
    <n v="0"/>
    <n v="0"/>
    <n v="187282.04"/>
    <n v="602169712877"/>
    <d v="2026-08-25T00:00:00"/>
    <n v="290"/>
  </r>
  <r>
    <s v="Plastene Polyfilms Limited"/>
    <s v="25-08-2026"/>
    <s v="PPL/26-27/SII01280"/>
    <s v="WIP00023"/>
    <s v="PP UL Fabric With UV"/>
    <s v="PPL/RAW/26-27/468"/>
    <n v="815"/>
    <n v="815"/>
    <s v="Kgs"/>
    <n v="815"/>
    <n v="0"/>
    <n v="815"/>
    <s v="GJ09X0572"/>
    <s v="Plastene India ltd - Unit 1-Purchase"/>
    <s v="Plastene India ltd - Unit 1-Purchase"/>
    <s v="PIL1/D/1483"/>
    <s v="25-08-2026"/>
    <s v="RAW MATERIAL"/>
    <s v="INDIGENOUS"/>
    <s v="RM 471"/>
    <n v="142.32"/>
    <n v="142.32"/>
    <s v="PIL1/D/1483"/>
    <s v="25-08-2026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187282.04"/>
    <s v="SF"/>
    <s v="PP/PE Fabric"/>
    <x v="0"/>
    <s v="RM"/>
    <s v="erp"/>
    <n v="0"/>
    <n v="115990.8"/>
    <n v="476"/>
    <s v="25-08-2026"/>
    <s v="24AAACO3087C1ZT"/>
    <s v="storeppl"/>
    <s v="storeppl"/>
    <n v="9"/>
    <n v="10439.17"/>
    <n v="9"/>
    <n v="10439.17"/>
    <n v="0"/>
    <n v="0"/>
    <n v="0"/>
    <n v="602169712877"/>
    <d v="2026-08-25T00:00:00"/>
    <n v="815"/>
  </r>
  <r>
    <s v="Plastene Polyfilms Limited"/>
    <s v="25-08-2026"/>
    <s v="PPL/26-27/SII01285"/>
    <s v="WIP00023"/>
    <s v="PP UL Fabric With UV"/>
    <s v="PPL/RAW/26-27/470"/>
    <n v="659"/>
    <n v="659"/>
    <s v="Kgs"/>
    <n v="659"/>
    <n v="0"/>
    <n v="659"/>
    <s v="GJ12X1249"/>
    <s v="Plastene India ltd - Unit 1-Purchase"/>
    <s v="Plastene India ltd - Unit 1-Purchase"/>
    <s v="PIL1/D/1487"/>
    <s v="25-08-2026"/>
    <s v="RAW MATERIAL"/>
    <s v="INDIGENOUS"/>
    <s v="RM 472"/>
    <n v="147.32"/>
    <n v="147.32000025818499"/>
    <s v="PIL1/D/1487"/>
    <s v="25-08-2026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1141196.8799999999"/>
    <s v="SF"/>
    <s v="PP/PE Fabric"/>
    <x v="0"/>
    <s v="RM"/>
    <s v="erp"/>
    <n v="0"/>
    <n v="97083.88"/>
    <n v="477"/>
    <s v="25-08-2026"/>
    <s v="24AAACO3087C1ZT"/>
    <s v="storeppl"/>
    <s v="storeppl"/>
    <n v="9"/>
    <n v="8737.5499999999993"/>
    <n v="9"/>
    <n v="8737.5499999999993"/>
    <n v="0"/>
    <n v="0"/>
    <n v="1141196.8799999999"/>
    <n v="612170015979"/>
    <d v="2026-08-25T00:00:00"/>
    <n v="659"/>
  </r>
  <r>
    <s v="Plastene Polyfilms Limited"/>
    <s v="25-08-2026"/>
    <s v="PPL/26-27/SII01285"/>
    <s v="WIP00013"/>
    <s v="LDPE/LLDPE Bags/Liner"/>
    <s v="PPL/RAW/26-27/470"/>
    <n v="573"/>
    <n v="573"/>
    <s v="Kgs"/>
    <n v="573"/>
    <n v="0"/>
    <n v="573"/>
    <s v="GJ12X1249"/>
    <s v="Plastene India ltd - Unit 1-Purchase"/>
    <s v="Plastene India ltd - Unit 1-Purchase"/>
    <s v="PIL1/D/1487"/>
    <s v="25-08-2026"/>
    <s v="RAW MATERIAL"/>
    <s v="INDIGENOUS"/>
    <s v="RM 472"/>
    <n v="200.86"/>
    <n v="200.86000035201599"/>
    <s v="PIL1/D/1487"/>
    <s v="25-08-2026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1141196.8799999999"/>
    <s v="SF"/>
    <s v="Liners"/>
    <x v="5"/>
    <s v="RM"/>
    <s v="erp"/>
    <n v="0"/>
    <n v="115092.78"/>
    <n v="477"/>
    <s v="25-08-2026"/>
    <s v="24AAACO3087C1ZT"/>
    <s v="storeppl"/>
    <s v="storeppl"/>
    <n v="9"/>
    <n v="10358.35"/>
    <n v="9"/>
    <n v="10358.35"/>
    <n v="0"/>
    <n v="0"/>
    <n v="0"/>
    <n v="612170015979"/>
    <d v="2026-08-25T00:00:00"/>
    <n v="573"/>
  </r>
  <r>
    <s v="Plastene Polyfilms Limited"/>
    <s v="25-08-2026"/>
    <s v="PPL/26-27/SII01285"/>
    <s v="WIP00013"/>
    <s v="LDPE/LLDPE Bags/Liner"/>
    <s v="PPL/RAW/26-27/470"/>
    <n v="469"/>
    <n v="469"/>
    <s v="Kgs"/>
    <n v="469"/>
    <n v="0"/>
    <n v="469"/>
    <s v="GJ12X1249"/>
    <s v="Plastene India ltd - Unit 1-Purchase"/>
    <s v="Plastene India ltd - Unit 1-Purchase"/>
    <s v="PIL1/D/1487"/>
    <s v="25-08-2026"/>
    <s v="RAW MATERIAL"/>
    <s v="INDIGENOUS"/>
    <s v="RM 472"/>
    <n v="180.86"/>
    <n v="180.860000316965"/>
    <s v="PIL1/D/1487"/>
    <s v="25-08-2026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1141196.8799999999"/>
    <s v="SF"/>
    <s v="Liners"/>
    <x v="5"/>
    <s v="RM"/>
    <s v="erp"/>
    <n v="0"/>
    <n v="84823.34"/>
    <n v="477"/>
    <s v="25-08-2026"/>
    <s v="24AAACO3087C1ZT"/>
    <s v="storeppl"/>
    <s v="storeppl"/>
    <n v="9"/>
    <n v="7634.1"/>
    <n v="9"/>
    <n v="7634.1"/>
    <n v="0"/>
    <n v="0"/>
    <n v="0"/>
    <n v="612170015979"/>
    <d v="2026-08-25T00:00:00"/>
    <n v="469"/>
  </r>
  <r>
    <s v="Plastene Polyfilms Limited"/>
    <s v="25-08-2026"/>
    <s v="PPL/26-27/SII01285"/>
    <s v="WIP00032"/>
    <s v="Webbing"/>
    <s v="PPL/RAW/26-27/470"/>
    <n v="265"/>
    <n v="265"/>
    <s v="Kgs"/>
    <n v="265"/>
    <n v="0"/>
    <n v="265"/>
    <s v="GJ12X1249"/>
    <s v="Plastene India ltd - Unit 1-Purchase"/>
    <s v="Plastene India ltd - Unit 1-Purchase"/>
    <s v="PIL1/D/1487"/>
    <s v="25-08-2026"/>
    <s v="RAW MATERIAL"/>
    <s v="INDIGENOUS"/>
    <s v="RM 472"/>
    <n v="165.32"/>
    <n v="165.32000028973101"/>
    <s v="PIL1/D/1487"/>
    <s v="25-08-2026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1141196.8799999999"/>
    <s v="SF"/>
    <s v="Webbing"/>
    <x v="2"/>
    <s v="RM"/>
    <s v="erp"/>
    <n v="0"/>
    <n v="43809.8"/>
    <n v="477"/>
    <s v="25-08-2026"/>
    <s v="24AAACO3087C1ZT"/>
    <s v="storeppl"/>
    <s v="storeppl"/>
    <n v="9"/>
    <n v="3942.88"/>
    <n v="9"/>
    <n v="3942.88"/>
    <n v="0"/>
    <n v="0"/>
    <n v="0"/>
    <n v="612170015979"/>
    <d v="2026-08-25T00:00:00"/>
    <n v="265"/>
  </r>
  <r>
    <s v="Plastene Polyfilms Limited"/>
    <s v="25-08-2026"/>
    <s v="PPL/26-27/SII01285"/>
    <s v="WIP00032"/>
    <s v="Webbing"/>
    <s v="PPL/RAW/26-27/470"/>
    <n v="404"/>
    <n v="404"/>
    <s v="Kgs"/>
    <n v="404"/>
    <n v="0"/>
    <n v="404"/>
    <s v="GJ12X1249"/>
    <s v="Plastene India ltd - Unit 1-Purchase"/>
    <s v="Plastene India ltd - Unit 1-Purchase"/>
    <s v="PIL1/D/1487"/>
    <s v="25-08-2026"/>
    <s v="RAW MATERIAL"/>
    <s v="INDIGENOUS"/>
    <s v="RM 472"/>
    <n v="144.32"/>
    <n v="144.320000252927"/>
    <s v="PIL1/D/1487"/>
    <s v="25-08-2026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1141196.8799999999"/>
    <s v="SF"/>
    <s v="Webbing"/>
    <x v="2"/>
    <s v="RM"/>
    <s v="erp"/>
    <n v="0"/>
    <n v="58305.279999999999"/>
    <n v="477"/>
    <s v="25-08-2026"/>
    <s v="24AAACO3087C1ZT"/>
    <s v="storeppl"/>
    <s v="storeppl"/>
    <n v="9"/>
    <n v="5247.48"/>
    <n v="9"/>
    <n v="5247.48"/>
    <n v="0"/>
    <n v="0"/>
    <n v="0"/>
    <n v="612170015979"/>
    <d v="2026-08-25T00:00:00"/>
    <n v="404"/>
  </r>
  <r>
    <s v="Plastene Polyfilms Limited"/>
    <s v="25-08-2026"/>
    <s v="PPL/26-27/SII01285"/>
    <s v="WIP00032"/>
    <s v="Webbing"/>
    <s v="PPL/RAW/26-27/470"/>
    <n v="1330.2"/>
    <n v="1330.2"/>
    <s v="Kgs"/>
    <n v="1330.2"/>
    <n v="0"/>
    <n v="1330.2"/>
    <s v="GJ12X1249"/>
    <s v="Plastene India ltd - Unit 1-Purchase"/>
    <s v="Plastene India ltd - Unit 1-Purchase"/>
    <s v="PIL1/D/1487"/>
    <s v="25-08-2026"/>
    <s v="RAW MATERIAL"/>
    <s v="INDIGENOUS"/>
    <s v="RM 472"/>
    <n v="147.32"/>
    <n v="147.32000025818499"/>
    <s v="PIL1/D/1487"/>
    <s v="25-08-2026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1141196.8799999999"/>
    <s v="SF"/>
    <s v="Webbing"/>
    <x v="2"/>
    <s v="RM"/>
    <s v="erp"/>
    <n v="0"/>
    <n v="195965.06"/>
    <n v="477"/>
    <s v="25-08-2026"/>
    <s v="24AAACO3087C1ZT"/>
    <s v="storeppl"/>
    <s v="storeppl"/>
    <n v="9"/>
    <n v="17636.86"/>
    <n v="9"/>
    <n v="17636.86"/>
    <n v="0"/>
    <n v="0"/>
    <n v="0"/>
    <n v="612170015979"/>
    <d v="2026-08-25T00:00:00"/>
    <n v="1330.2"/>
  </r>
  <r>
    <s v="Plastene Polyfilms Limited"/>
    <s v="25-08-2026"/>
    <s v="PPL/26-27/SII01285"/>
    <s v="WIP00025"/>
    <s v="PP Lam Fabric With UV"/>
    <s v="PPL/RAW/26-27/470"/>
    <n v="1291"/>
    <n v="1291"/>
    <s v="Kgs"/>
    <n v="1291"/>
    <n v="0"/>
    <n v="1291"/>
    <s v="GJ12X1249"/>
    <s v="Plastene India ltd - Unit 1-Purchase"/>
    <s v="Plastene India ltd - Unit 1-Purchase"/>
    <s v="PIL1/D/1487"/>
    <s v="25-08-2026"/>
    <s v="RAW MATERIAL"/>
    <s v="INDIGENOUS"/>
    <s v="RM 472"/>
    <n v="149.32"/>
    <n v="149.32000026169001"/>
    <s v="PIL1/D/1487"/>
    <s v="25-08-2026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1141196.8799999999"/>
    <s v="SF"/>
    <s v="PP/PE Fabric"/>
    <x v="1"/>
    <s v="RM"/>
    <s v="erp"/>
    <n v="0"/>
    <n v="192772.12"/>
    <n v="477"/>
    <s v="25-08-2026"/>
    <s v="24AAACO3087C1ZT"/>
    <s v="storeppl"/>
    <s v="storeppl"/>
    <n v="9"/>
    <n v="17349.490000000002"/>
    <n v="9"/>
    <n v="17349.490000000002"/>
    <n v="0"/>
    <n v="0"/>
    <n v="0"/>
    <n v="612170015979"/>
    <d v="2026-08-25T00:00:00"/>
    <n v="1291"/>
  </r>
  <r>
    <s v="Plastene Polyfilms Limited"/>
    <s v="25-08-2026"/>
    <s v="PPL/26-27/SII01285"/>
    <s v="WIP00151"/>
    <s v="PP MF Yarn Twisted 1000 UV NW"/>
    <s v="PPL/RAW/26-27/470"/>
    <n v="892.9"/>
    <n v="892.9"/>
    <s v="Kgs"/>
    <n v="892.9"/>
    <n v="0"/>
    <n v="892.9"/>
    <s v="GJ12X1249"/>
    <s v="Plastene India ltd - Unit 1-Purchase"/>
    <s v="Plastene India ltd - Unit 1-Purchase"/>
    <s v="PIL1/D/1487"/>
    <s v="25-08-2026"/>
    <s v="RAW MATERIAL"/>
    <s v="INDIGENOUS"/>
    <s v="RM 472"/>
    <n v="154.32"/>
    <n v="154.32000027045299"/>
    <s v="PIL1/D/1487"/>
    <s v="25-08-2026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1141196.8799999999"/>
    <s v="SF"/>
    <s v="Yarn All"/>
    <x v="9"/>
    <s v="RM"/>
    <m/>
    <n v="0"/>
    <n v="137792.32999999999"/>
    <n v="477"/>
    <s v="25-08-2026"/>
    <s v="24AAACO3087C1ZT"/>
    <s v="storeppl"/>
    <s v="storeppl"/>
    <n v="2.5"/>
    <n v="3444.81"/>
    <n v="2.5"/>
    <n v="3444.81"/>
    <n v="0"/>
    <n v="0"/>
    <n v="0"/>
    <n v="612170015979"/>
    <d v="2026-08-25T00:00:00"/>
    <n v="892.9"/>
  </r>
  <r>
    <s v="Plastene Polyfilms Limited"/>
    <s v="25-08-2026"/>
    <s v="PPL/26-27/SII01285"/>
    <s v="WIP00193"/>
    <s v="PP MF Yarn Twisted 3000 Denier UV Deep Blue"/>
    <s v="PPL/RAW/26-27/470"/>
    <n v="204.5"/>
    <n v="204.5"/>
    <s v="Kgs"/>
    <n v="204.5"/>
    <n v="0"/>
    <n v="204.5"/>
    <s v="GJ12X1249"/>
    <s v="Plastene India ltd - Unit 1-Purchase"/>
    <s v="Plastene India ltd - Unit 1-Purchase"/>
    <s v="PIL1/D/1487"/>
    <s v="25-08-2026"/>
    <s v="RAW MATERIAL"/>
    <s v="INDIGENOUS"/>
    <s v="RM 472"/>
    <n v="157.32"/>
    <n v="157.32000027570999"/>
    <s v="PIL1/D/1487"/>
    <s v="25-08-2026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1141196.8799999999"/>
    <s v="SF"/>
    <s v="Yarn All"/>
    <x v="9"/>
    <s v="RM"/>
    <m/>
    <n v="0"/>
    <n v="32171.94"/>
    <n v="477"/>
    <s v="25-08-2026"/>
    <s v="24AAACO3087C1ZT"/>
    <s v="storeppl"/>
    <s v="storeppl"/>
    <n v="2.5"/>
    <n v="804.3"/>
    <n v="2.5"/>
    <n v="804.3"/>
    <n v="0"/>
    <n v="0"/>
    <n v="0"/>
    <n v="612170015979"/>
    <d v="2026-08-25T00:00:00"/>
    <n v="204.5"/>
  </r>
  <r>
    <s v="Plastene Polyfilms Limited"/>
    <s v="25-08-2026"/>
    <s v="PPL/26-27/SII01285"/>
    <s v="WIP00236"/>
    <s v="PP Braided Rope MW 6 to 8 GPM"/>
    <s v="PPL/RAW/26-27/470"/>
    <n v="198.3"/>
    <n v="198.3"/>
    <s v="Kgs"/>
    <n v="198.3"/>
    <n v="0"/>
    <n v="198.3"/>
    <s v="GJ12X1249"/>
    <s v="Plastene India ltd - Unit 1-Purchase"/>
    <s v="Plastene India ltd - Unit 1-Purchase"/>
    <s v="PIL1/D/1487"/>
    <s v="25-08-2026"/>
    <s v="RAW MATERIAL"/>
    <s v="INDIGENOUS"/>
    <s v="RM 472"/>
    <n v="158.82"/>
    <n v="158.82000027833899"/>
    <s v="PIL1/D/1487"/>
    <s v="25-08-2026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1141196.8799999999"/>
    <s v="SF"/>
    <s v="Yarn All"/>
    <x v="9"/>
    <s v="RM"/>
    <s v="erp"/>
    <n v="0"/>
    <n v="31494.01"/>
    <n v="477"/>
    <s v="25-08-2026"/>
    <s v="24AAACO3087C1ZT"/>
    <s v="storeppl"/>
    <s v="storeppl"/>
    <n v="2.5"/>
    <n v="787.35"/>
    <n v="2.5"/>
    <n v="787.35"/>
    <n v="0"/>
    <n v="0"/>
    <n v="0"/>
    <n v="612170015979"/>
    <d v="2026-08-25T00:00:00"/>
    <n v="198.3"/>
  </r>
  <r>
    <s v="Plastene Polyfilms Limited"/>
    <s v="26-08-2026"/>
    <s v="PPL/26-27/SII01290"/>
    <s v="WIP00032"/>
    <s v="Webbing"/>
    <s v="PPL/RAW/26-27/471"/>
    <n v="146.9"/>
    <n v="146.9"/>
    <s v="Kgs"/>
    <n v="146.9"/>
    <n v="0"/>
    <n v="146.9"/>
    <s v="GJ39T1656"/>
    <s v="Plastene India ltd - Unit 1-Purchase"/>
    <s v="Plastene India ltd - Unit 1-Purchase"/>
    <s v="PIL1/D/1496"/>
    <s v="26-08-2026"/>
    <s v="RAW MATERIAL"/>
    <s v="INDIGENOUS"/>
    <s v="RM 473"/>
    <n v="147.32"/>
    <n v="147.320011537883"/>
    <s v="PIL1/D/1496"/>
    <s v="26-08-2026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25536.75"/>
    <s v="SF"/>
    <s v="Webbing"/>
    <x v="2"/>
    <s v="RM"/>
    <s v="erp"/>
    <n v="0"/>
    <n v="21641.31"/>
    <n v="478"/>
    <s v="26-08-2026"/>
    <s v="24AAACO3087C1ZT"/>
    <s v="storeppl"/>
    <s v="storeppl"/>
    <n v="9"/>
    <n v="1947.72"/>
    <n v="9"/>
    <n v="1947.72"/>
    <n v="0"/>
    <n v="0"/>
    <n v="25536.75"/>
    <n v="682170510491"/>
    <d v="2026-08-26T00:00:00"/>
    <n v="146.9"/>
  </r>
  <r>
    <s v="Plastene Polyfilms Limited"/>
    <s v="26-08-2026"/>
    <s v="PPL/26-27/SII01293"/>
    <s v="WIP00032"/>
    <s v="Webbing"/>
    <s v="PPL/RAW/26-27/473"/>
    <n v="1060"/>
    <n v="1060"/>
    <s v="Kgs"/>
    <n v="1060"/>
    <n v="0"/>
    <n v="1060"/>
    <s v="GJ12BY8900"/>
    <s v="K.P. Woven Pvt Ltd-Purchase"/>
    <s v="K.P. Woven Pvt Ltd-Purchase"/>
    <s v="KPV/D/670"/>
    <s v="25-08-2026"/>
    <s v="RAW MATERIAL"/>
    <s v="INDIGENOUS"/>
    <s v="RM 474"/>
    <n v="163.4"/>
    <n v="163.4"/>
    <s v="KPV/D/670"/>
    <s v="25-08-2026"/>
    <m/>
    <n v="0"/>
    <m/>
    <s v="G NAAM  LOGISTICS"/>
    <n v="1942"/>
    <n v="0"/>
    <n v="0"/>
    <n v="0"/>
    <n v="0"/>
    <n v="0"/>
    <s v="VAT"/>
    <n v="0"/>
    <n v="0"/>
    <n v="0"/>
    <n v="0"/>
    <n v="0"/>
    <m/>
    <n v="0"/>
    <n v="0"/>
    <n v="596718.24"/>
    <s v="SF"/>
    <s v="Webbing"/>
    <x v="2"/>
    <s v="RM"/>
    <s v="erp"/>
    <n v="0"/>
    <n v="173204"/>
    <n v="479"/>
    <s v="26-08-2026"/>
    <s v="24AAECK6307M1ZF"/>
    <s v="storeppl"/>
    <s v="storeppl"/>
    <n v="9"/>
    <n v="15588.36"/>
    <n v="9"/>
    <n v="15588.36"/>
    <n v="0"/>
    <n v="0"/>
    <n v="596718.24"/>
    <n v="642170232902"/>
    <d v="2026-08-25T00:00:00"/>
    <n v="1060"/>
  </r>
  <r>
    <s v="Plastene Polyfilms Limited"/>
    <s v="26-08-2026"/>
    <s v="PPL/26-27/SII01293"/>
    <s v="WIP00032"/>
    <s v="Webbing"/>
    <s v="PPL/RAW/26-27/473"/>
    <n v="290"/>
    <n v="290"/>
    <s v="Kgs"/>
    <n v="290"/>
    <n v="0"/>
    <n v="290"/>
    <s v="GJ12BY8900"/>
    <s v="K.P. Woven Pvt Ltd-Purchase"/>
    <s v="K.P. Woven Pvt Ltd-Purchase"/>
    <s v="KPV/D/670"/>
    <s v="25-08-2026"/>
    <s v="RAW MATERIAL"/>
    <s v="INDIGENOUS"/>
    <s v="RM 474"/>
    <n v="163.4"/>
    <n v="163.4"/>
    <s v="KPV/D/670"/>
    <s v="25-08-2026"/>
    <m/>
    <n v="0"/>
    <m/>
    <s v="G NAAM  LOGISTICS"/>
    <n v="1942"/>
    <n v="0"/>
    <n v="0"/>
    <n v="0"/>
    <n v="0"/>
    <n v="0"/>
    <s v="VAT"/>
    <n v="0"/>
    <n v="0"/>
    <n v="0"/>
    <n v="0"/>
    <n v="0"/>
    <m/>
    <n v="0"/>
    <n v="0"/>
    <n v="596718.24"/>
    <s v="SF"/>
    <s v="Webbing"/>
    <x v="2"/>
    <s v="RM"/>
    <s v="erp"/>
    <n v="0"/>
    <n v="47386"/>
    <n v="479"/>
    <s v="26-08-2026"/>
    <s v="24AAECK6307M1ZF"/>
    <s v="storeppl"/>
    <s v="storeppl"/>
    <n v="9"/>
    <n v="4264.74"/>
    <n v="9"/>
    <n v="4264.74"/>
    <n v="0"/>
    <n v="0"/>
    <n v="0"/>
    <n v="642170232902"/>
    <d v="2026-08-25T00:00:00"/>
    <n v="290"/>
  </r>
  <r>
    <s v="Plastene Polyfilms Limited"/>
    <s v="26-08-2026"/>
    <s v="PPL/26-27/SII01293"/>
    <s v="WIP00032"/>
    <s v="Webbing"/>
    <s v="PPL/RAW/26-27/473"/>
    <n v="470"/>
    <n v="470"/>
    <s v="Kgs"/>
    <n v="470"/>
    <n v="0"/>
    <n v="470"/>
    <s v="GJ12BY8900"/>
    <s v="K.P. Woven Pvt Ltd-Purchase"/>
    <s v="K.P. Woven Pvt Ltd-Purchase"/>
    <s v="KPV/D/670"/>
    <s v="25-08-2026"/>
    <s v="RAW MATERIAL"/>
    <s v="INDIGENOUS"/>
    <s v="RM 474"/>
    <n v="160.4"/>
    <n v="160.4"/>
    <s v="KPV/D/670"/>
    <s v="25-08-2026"/>
    <m/>
    <n v="0"/>
    <m/>
    <s v="G NAAM  LOGISTICS"/>
    <n v="1942"/>
    <n v="0"/>
    <n v="0"/>
    <n v="0"/>
    <n v="0"/>
    <n v="0"/>
    <s v="VAT"/>
    <n v="0"/>
    <n v="0"/>
    <n v="0"/>
    <n v="0"/>
    <n v="0"/>
    <m/>
    <n v="0"/>
    <n v="0"/>
    <n v="596718.24"/>
    <s v="SF"/>
    <s v="Webbing"/>
    <x v="2"/>
    <s v="RM"/>
    <s v="erp"/>
    <n v="0"/>
    <n v="75388"/>
    <n v="479"/>
    <s v="26-08-2026"/>
    <s v="24AAECK6307M1ZF"/>
    <s v="storeppl"/>
    <s v="storeppl"/>
    <n v="9"/>
    <n v="6784.92"/>
    <n v="9"/>
    <n v="6784.92"/>
    <n v="0"/>
    <n v="0"/>
    <n v="0"/>
    <n v="642170232902"/>
    <d v="2026-08-25T00:00:00"/>
    <n v="470"/>
  </r>
  <r>
    <s v="Plastene Polyfilms Limited"/>
    <s v="26-08-2026"/>
    <s v="PPL/26-27/SII01293"/>
    <s v="SMF00054"/>
    <s v="PP Fibrillated Tape Twisted 3200 MW"/>
    <s v="PPL/RAW/26-27/473"/>
    <n v="768"/>
    <n v="768"/>
    <s v="Kgs"/>
    <n v="768"/>
    <n v="0"/>
    <n v="768"/>
    <s v="GJ12BY8900"/>
    <s v="K.P. Woven Pvt Ltd-Purchase"/>
    <s v="K.P. Woven Pvt Ltd-Purchase"/>
    <s v="KPV/D/670"/>
    <s v="25-08-2026"/>
    <s v="RAW MATERIAL"/>
    <s v="INDIGENOUS"/>
    <s v="RM 474"/>
    <n v="156.4"/>
    <n v="156.4"/>
    <s v="KPV/D/670"/>
    <s v="25-08-2026"/>
    <m/>
    <n v="0"/>
    <m/>
    <s v="G NAAM  LOGISTICS"/>
    <n v="1942"/>
    <n v="0"/>
    <n v="0"/>
    <n v="0"/>
    <n v="0"/>
    <n v="0"/>
    <s v="VAT"/>
    <n v="0"/>
    <n v="0"/>
    <n v="0"/>
    <n v="0"/>
    <n v="0"/>
    <m/>
    <n v="0"/>
    <n v="0"/>
    <n v="596718.24"/>
    <s v="SF"/>
    <s v="Yarn All"/>
    <x v="9"/>
    <s v="RM"/>
    <s v="erp"/>
    <n v="0"/>
    <n v="120115.2"/>
    <n v="479"/>
    <s v="26-08-2026"/>
    <s v="24AAECK6307M1ZF"/>
    <s v="storeppl"/>
    <s v="storeppl"/>
    <n v="2.5"/>
    <n v="3002.88"/>
    <n v="2.5"/>
    <n v="3002.88"/>
    <n v="0"/>
    <n v="0"/>
    <n v="0"/>
    <n v="642170232902"/>
    <d v="2026-08-25T00:00:00"/>
    <n v="768"/>
  </r>
  <r>
    <s v="Plastene Polyfilms Limited"/>
    <s v="26-08-2026"/>
    <s v="PPL/26-27/SII01293"/>
    <s v="SMF00052"/>
    <s v="PP Fibrillated Tape Twisted 3200 Blue"/>
    <s v="PPL/RAW/26-27/473"/>
    <n v="725"/>
    <n v="725"/>
    <s v="Kgs"/>
    <n v="725"/>
    <n v="0"/>
    <n v="725"/>
    <s v="GJ12BY8900"/>
    <s v="K.P. Woven Pvt Ltd-Purchase"/>
    <s v="K.P. Woven Pvt Ltd-Purchase"/>
    <s v="KPV/D/670"/>
    <s v="25-08-2026"/>
    <s v="RAW MATERIAL"/>
    <s v="INDIGENOUS"/>
    <s v="RM 474"/>
    <n v="159.4"/>
    <n v="159.4"/>
    <s v="KPV/D/670"/>
    <s v="25-08-2026"/>
    <m/>
    <n v="0"/>
    <m/>
    <s v="G NAAM  LOGISTICS"/>
    <n v="1942"/>
    <n v="0"/>
    <n v="0"/>
    <n v="0"/>
    <n v="0"/>
    <n v="0"/>
    <s v="VAT"/>
    <n v="0"/>
    <n v="0"/>
    <n v="0"/>
    <n v="0"/>
    <n v="0"/>
    <m/>
    <n v="0"/>
    <n v="0"/>
    <n v="596718.24"/>
    <s v="SF"/>
    <s v="Yarn All"/>
    <x v="9"/>
    <s v="RM"/>
    <s v="erp"/>
    <n v="0"/>
    <n v="115565"/>
    <n v="479"/>
    <s v="26-08-2026"/>
    <s v="24AAECK6307M1ZF"/>
    <s v="storeppl"/>
    <s v="storeppl"/>
    <n v="2.5"/>
    <n v="2889.12"/>
    <n v="2.5"/>
    <n v="2889.12"/>
    <n v="0"/>
    <n v="0"/>
    <n v="0"/>
    <n v="642170232902"/>
    <d v="2026-08-25T00:00:00"/>
    <n v="725"/>
  </r>
  <r>
    <s v="Plastene Polyfilms Limited"/>
    <s v="26-08-2026"/>
    <s v="PPL/26-27/SII01294"/>
    <s v="WIP00032"/>
    <s v="Webbing"/>
    <s v="PPL/RAW/26-27/472"/>
    <n v="112.8"/>
    <n v="112.8"/>
    <s v="Kgs"/>
    <n v="112.8"/>
    <n v="0"/>
    <n v="112.8"/>
    <s v="GJ12X1249"/>
    <s v="Plastene India ltd - Unit 1-Purchase"/>
    <s v="Plastene India ltd - Unit 1-Purchase"/>
    <s v="PIL1/D/1501"/>
    <s v="26-08-2026"/>
    <s v="RAW MATERIAL"/>
    <s v="INDIGENOUS"/>
    <s v="RM 475"/>
    <n v="165.32"/>
    <n v="165.320001701926"/>
    <s v="PIL1/D/1501"/>
    <s v="26-08-2026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582821.93000000005"/>
    <s v="SF"/>
    <s v="Webbing"/>
    <x v="2"/>
    <s v="RM"/>
    <s v="erp"/>
    <n v="0"/>
    <n v="18648.099999999999"/>
    <n v="480"/>
    <s v="26-08-2026"/>
    <s v="24AAACO3087C1ZT"/>
    <s v="storeppl"/>
    <s v="storeppl"/>
    <n v="9"/>
    <n v="1678.33"/>
    <n v="9"/>
    <n v="1678.33"/>
    <n v="0"/>
    <n v="0"/>
    <n v="582821.93000000005"/>
    <n v="692170822047"/>
    <d v="2026-08-26T00:00:00"/>
    <n v="112.8"/>
  </r>
  <r>
    <s v="Plastene Polyfilms Limited"/>
    <s v="26-08-2026"/>
    <s v="PPL/26-27/SII01294"/>
    <s v="WIP00032"/>
    <s v="Webbing"/>
    <s v="PPL/RAW/26-27/472"/>
    <n v="405.8"/>
    <n v="405.8"/>
    <s v="Kgs"/>
    <n v="405.8"/>
    <n v="0"/>
    <n v="405.8"/>
    <s v="GJ12X1249"/>
    <s v="Plastene India ltd - Unit 1-Purchase"/>
    <s v="Plastene India ltd - Unit 1-Purchase"/>
    <s v="PIL1/D/1501"/>
    <s v="26-08-2026"/>
    <s v="RAW MATERIAL"/>
    <s v="INDIGENOUS"/>
    <s v="RM 475"/>
    <n v="147.32"/>
    <n v="147.32000151662101"/>
    <s v="PIL1/D/1501"/>
    <s v="26-08-2026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582821.93000000005"/>
    <s v="SF"/>
    <s v="Webbing"/>
    <x v="2"/>
    <s v="RM"/>
    <s v="erp"/>
    <n v="0"/>
    <n v="59782.46"/>
    <n v="480"/>
    <s v="26-08-2026"/>
    <s v="24AAACO3087C1ZT"/>
    <s v="storeppl"/>
    <s v="storeppl"/>
    <n v="9"/>
    <n v="5380.42"/>
    <n v="9"/>
    <n v="5380.42"/>
    <n v="0"/>
    <n v="0"/>
    <n v="0"/>
    <n v="692170822047"/>
    <d v="2026-08-26T00:00:00"/>
    <n v="405.8"/>
  </r>
  <r>
    <s v="Plastene Polyfilms Limited"/>
    <s v="26-08-2026"/>
    <s v="PPL/26-27/SII01294"/>
    <s v="WIP00032"/>
    <s v="Webbing"/>
    <s v="PPL/RAW/26-27/472"/>
    <n v="467.6"/>
    <n v="467.6"/>
    <s v="Kgs"/>
    <n v="467.6"/>
    <n v="0"/>
    <n v="467.6"/>
    <s v="GJ12X1249"/>
    <s v="Plastene India ltd - Unit 1-Purchase"/>
    <s v="Plastene India ltd - Unit 1-Purchase"/>
    <s v="PIL1/D/1501"/>
    <s v="26-08-2026"/>
    <s v="RAW MATERIAL"/>
    <s v="INDIGENOUS"/>
    <s v="RM 475"/>
    <n v="144.32"/>
    <n v="144.32000148573701"/>
    <s v="PIL1/D/1501"/>
    <s v="26-08-2026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582821.93000000005"/>
    <s v="SF"/>
    <s v="Webbing"/>
    <x v="2"/>
    <s v="RM"/>
    <s v="erp"/>
    <n v="0"/>
    <n v="67484.03"/>
    <n v="480"/>
    <s v="26-08-2026"/>
    <s v="24AAACO3087C1ZT"/>
    <s v="storeppl"/>
    <s v="storeppl"/>
    <n v="9"/>
    <n v="6073.56"/>
    <n v="9"/>
    <n v="6073.56"/>
    <n v="0"/>
    <n v="0"/>
    <n v="0"/>
    <n v="692170822047"/>
    <d v="2026-08-26T00:00:00"/>
    <n v="467.6"/>
  </r>
  <r>
    <s v="Plastene Polyfilms Limited"/>
    <s v="26-08-2026"/>
    <s v="PPL/26-27/SII01294"/>
    <s v="WIP00025"/>
    <s v="PP Lam Fabric With UV"/>
    <s v="PPL/RAW/26-27/472"/>
    <n v="1246"/>
    <n v="1246"/>
    <s v="Kgs"/>
    <n v="1246"/>
    <n v="0"/>
    <n v="1246"/>
    <s v="GJ12X1249"/>
    <s v="Plastene India ltd - Unit 1-Purchase"/>
    <s v="Plastene India ltd - Unit 1-Purchase"/>
    <s v="PIL1/D/1501"/>
    <s v="26-08-2026"/>
    <s v="RAW MATERIAL"/>
    <s v="INDIGENOUS"/>
    <s v="RM 475"/>
    <n v="149.32"/>
    <n v="149.320001537211"/>
    <s v="PIL1/D/1501"/>
    <s v="26-08-2026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582821.93000000005"/>
    <s v="SF"/>
    <s v="PP/PE Fabric"/>
    <x v="1"/>
    <s v="RM"/>
    <s v="erp"/>
    <n v="0"/>
    <n v="186052.72"/>
    <n v="480"/>
    <s v="26-08-2026"/>
    <s v="24AAACO3087C1ZT"/>
    <s v="storeppl"/>
    <s v="storeppl"/>
    <n v="9"/>
    <n v="16744.740000000002"/>
    <n v="9"/>
    <n v="16744.740000000002"/>
    <n v="0"/>
    <n v="0"/>
    <n v="0"/>
    <n v="692170822047"/>
    <d v="2026-08-26T00:00:00"/>
    <n v="1246"/>
  </r>
  <r>
    <s v="Plastene Polyfilms Limited"/>
    <s v="26-08-2026"/>
    <s v="PPL/26-27/SII01294"/>
    <s v="WIP00025"/>
    <s v="PP Lam Fabric With UV"/>
    <s v="PPL/RAW/26-27/472"/>
    <n v="480"/>
    <n v="480"/>
    <s v="Kgs"/>
    <n v="480"/>
    <n v="0"/>
    <n v="480"/>
    <s v="GJ12X1249"/>
    <s v="Plastene India ltd - Unit 1-Purchase"/>
    <s v="Plastene India ltd - Unit 1-Purchase"/>
    <s v="PIL1/D/1501"/>
    <s v="26-08-2026"/>
    <s v="RAW MATERIAL"/>
    <s v="INDIGENOUS"/>
    <s v="RM 475"/>
    <n v="174.32"/>
    <n v="174.32000179457901"/>
    <s v="PIL1/D/1501"/>
    <s v="26-08-2026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582821.93000000005"/>
    <s v="SF"/>
    <s v="PP/PE Fabric"/>
    <x v="1"/>
    <s v="RM"/>
    <s v="erp"/>
    <n v="0"/>
    <n v="83673.600000000006"/>
    <n v="480"/>
    <s v="26-08-2026"/>
    <s v="24AAACO3087C1ZT"/>
    <s v="storeppl"/>
    <s v="storeppl"/>
    <n v="9"/>
    <n v="7530.62"/>
    <n v="9"/>
    <n v="7530.62"/>
    <n v="0"/>
    <n v="0"/>
    <n v="0"/>
    <n v="692170822047"/>
    <d v="2026-08-26T00:00:00"/>
    <n v="480"/>
  </r>
  <r>
    <s v="Plastene Polyfilms Limited"/>
    <s v="26-08-2026"/>
    <s v="PPL/26-27/SII01294"/>
    <s v="WIP00023"/>
    <s v="PP UL Fabric With UV"/>
    <s v="PPL/RAW/26-27/472"/>
    <n v="550"/>
    <n v="550"/>
    <s v="Kgs"/>
    <n v="550"/>
    <n v="0"/>
    <n v="550"/>
    <s v="GJ12X1249"/>
    <s v="Plastene India ltd - Unit 1-Purchase"/>
    <s v="Plastene India ltd - Unit 1-Purchase"/>
    <s v="PIL1/D/1501"/>
    <s v="26-08-2026"/>
    <s v="RAW MATERIAL"/>
    <s v="INDIGENOUS"/>
    <s v="RM 475"/>
    <n v="142.32"/>
    <n v="142.32000146514699"/>
    <s v="PIL1/D/1501"/>
    <s v="26-08-2026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582821.93000000005"/>
    <s v="SF"/>
    <s v="PP/PE Fabric"/>
    <x v="0"/>
    <s v="RM"/>
    <s v="erp"/>
    <n v="0"/>
    <n v="78276"/>
    <n v="480"/>
    <s v="26-08-2026"/>
    <s v="24AAACO3087C1ZT"/>
    <s v="storeppl"/>
    <s v="storeppl"/>
    <n v="9"/>
    <n v="7044.84"/>
    <n v="9"/>
    <n v="7044.84"/>
    <n v="0"/>
    <n v="0"/>
    <n v="0"/>
    <n v="692170822047"/>
    <d v="2026-08-26T00:00:00"/>
    <n v="550"/>
  </r>
  <r>
    <s v="Plastene Polyfilms Limited"/>
    <s v="26-08-2026"/>
    <s v="PPL/26-27/SII01295"/>
    <s v="RAW05951"/>
    <s v="PP Tapes"/>
    <s v="PPL/RAW/26-27/472"/>
    <n v="702"/>
    <n v="702"/>
    <s v="Kgs"/>
    <n v="702"/>
    <n v="0"/>
    <n v="702"/>
    <s v="GJ12X1249"/>
    <s v="Plastene India ltd - Unit 1-Purchase"/>
    <s v="Plastene India ltd - Unit 1-Purchase"/>
    <s v="PIL1/D/1503"/>
    <s v="26-08-2026"/>
    <s v="RAW MATERIAL"/>
    <s v="INDIGENOUS"/>
    <s v="RM 476"/>
    <n v="132.32"/>
    <n v="132.32"/>
    <s v="PIL1/D/1503"/>
    <s v="26-08-2026"/>
    <s v="630 BOBBIN"/>
    <n v="0"/>
    <m/>
    <n v="0"/>
    <n v="0"/>
    <n v="0"/>
    <n v="0"/>
    <n v="0"/>
    <n v="0"/>
    <n v="0"/>
    <s v="VAT"/>
    <n v="0"/>
    <n v="0"/>
    <n v="0"/>
    <n v="0"/>
    <n v="0"/>
    <m/>
    <n v="0"/>
    <n v="0"/>
    <n v="109608.6"/>
    <s v="SF"/>
    <s v="Tape Stock"/>
    <x v="11"/>
    <s v="RM"/>
    <s v="erp"/>
    <n v="0"/>
    <n v="92888.639999999999"/>
    <n v="481"/>
    <s v="26-08-2026"/>
    <s v="24AAACO3087C1ZT"/>
    <s v="storeppl"/>
    <s v="storeppl"/>
    <n v="9"/>
    <n v="8359.98"/>
    <n v="9"/>
    <n v="8359.98"/>
    <n v="0"/>
    <n v="0"/>
    <n v="109608.6"/>
    <n v="682170868473"/>
    <d v="2026-08-26T00:00:00"/>
    <n v="702"/>
  </r>
  <r>
    <s v="Plastene Polyfilms Limited"/>
    <s v="27-08-2026"/>
    <s v="PPL/26-27/SII01296"/>
    <s v="WIP00023"/>
    <s v="PP UL Fabric With UV"/>
    <s v="PPL/RAW/26-27/474"/>
    <n v="3922"/>
    <n v="3922"/>
    <s v="Kgs"/>
    <n v="3922"/>
    <n v="0"/>
    <n v="3922"/>
    <s v="GJ17XX0310"/>
    <s v="HCP Plastene Bulkpack Limited - Purchase"/>
    <s v="HCP Plastene Bulkpack Limited - Purchase"/>
    <s v="HPBL/D/535"/>
    <s v="26-08-2026"/>
    <s v="RAW MATERIAL"/>
    <s v="INDIGENOUS"/>
    <s v="RM 477"/>
    <n v="156.49"/>
    <n v="156.49"/>
    <s v="HPBL/D/535"/>
    <s v="26-08-2026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724229.46"/>
    <s v="SF"/>
    <s v="PP/PE Fabric"/>
    <x v="0"/>
    <s v="RM"/>
    <s v="erp"/>
    <n v="0"/>
    <n v="613753.78"/>
    <n v="484"/>
    <s v="27-08-2026"/>
    <s v="24AABCG1282C2Z6"/>
    <s v="storeppl"/>
    <s v="storeppl"/>
    <n v="9"/>
    <n v="55237.84"/>
    <n v="9"/>
    <n v="55237.84"/>
    <n v="0"/>
    <n v="0"/>
    <n v="724229.46"/>
    <n v="662170517483"/>
    <d v="2026-08-26T00:00:00"/>
    <n v="3922"/>
  </r>
  <r>
    <s v="Plastene Polyfilms Limited"/>
    <s v="27-08-2026"/>
    <s v="PPL/26-27/SII01297"/>
    <s v="WIP00037"/>
    <s v="PP UL Bags With UV"/>
    <s v="PPL/RAW/26-27/475"/>
    <n v="1907"/>
    <n v="1907"/>
    <s v="Kgs"/>
    <n v="1907"/>
    <n v="0"/>
    <n v="1907"/>
    <s v="GJ17XX0310"/>
    <s v="HCP Plastene Bulkpack Limited - Purchase"/>
    <s v="HCP Plastene Bulkpack Limited - Purchase"/>
    <s v="HPBL/D/534"/>
    <s v="26-08-2026"/>
    <s v="RAW MATERIAL"/>
    <s v="INDIGENOUS"/>
    <s v="RM 478"/>
    <n v="219.61"/>
    <n v="219.61"/>
    <s v="HPBL/D/534"/>
    <s v="26-08-2026"/>
    <s v="."/>
    <s v="."/>
    <m/>
    <s v="SHREENA ROADWAYS"/>
    <n v="2735"/>
    <n v="0"/>
    <n v="0"/>
    <n v="0"/>
    <n v="0"/>
    <n v="0"/>
    <s v="VAT"/>
    <n v="0"/>
    <n v="0"/>
    <n v="0"/>
    <n v="0"/>
    <n v="0"/>
    <m/>
    <n v="0"/>
    <n v="0"/>
    <n v="494179.59"/>
    <s v="FG"/>
    <s v="Small Bags"/>
    <x v="8"/>
    <s v="RM"/>
    <s v="erp"/>
    <n v="0"/>
    <n v="418796.27"/>
    <n v="483"/>
    <s v="27-08-2026"/>
    <s v="24AABCG1282C2Z6"/>
    <s v="storeppl"/>
    <s v="storeppl"/>
    <n v="9"/>
    <n v="37691.660000000003"/>
    <n v="9"/>
    <n v="37691.660000000003"/>
    <n v="0"/>
    <n v="0"/>
    <n v="494179.59"/>
    <n v="622170461683"/>
    <d v="2026-08-26T00:00:00"/>
    <n v="1907"/>
  </r>
  <r>
    <s v="Plastene Polyfilms Limited"/>
    <s v="27-08-2026"/>
    <s v="PPL/26-27/SII01298"/>
    <s v="WIP00004"/>
    <s v="FIBC Bags With UV Without Liner"/>
    <s v="PPL/RAW/26-27/476"/>
    <n v="5717.3"/>
    <n v="5717.3"/>
    <s v="Kgs"/>
    <n v="5717.3"/>
    <n v="0"/>
    <n v="5717.3"/>
    <s v="GJ06AX2024"/>
    <s v="K.P. Woven Pvt Ltd-Purchase"/>
    <s v="K.P. Woven Pvt Ltd-Purchase"/>
    <s v="KPV/D/678"/>
    <s v="26-08-2026"/>
    <s v="RAW MATERIAL"/>
    <s v="INDIGENOUS"/>
    <s v="RM 479"/>
    <n v="255.75"/>
    <n v="255.75000055452099"/>
    <s v="KPV/D/678"/>
    <s v="26-08-2026"/>
    <s v="."/>
    <s v="."/>
    <m/>
    <s v="SHREENA ROADWAYS"/>
    <n v="2679"/>
    <n v="0"/>
    <n v="0"/>
    <n v="0"/>
    <n v="0"/>
    <n v="0"/>
    <s v="VAT"/>
    <n v="0"/>
    <n v="0"/>
    <n v="0"/>
    <n v="0"/>
    <n v="0"/>
    <m/>
    <n v="0"/>
    <n v="0"/>
    <n v="2306044.94"/>
    <s v="FG"/>
    <s v="FIBC Bags"/>
    <x v="7"/>
    <s v="RM"/>
    <s v="erp"/>
    <n v="0"/>
    <n v="1462199.48"/>
    <n v="482"/>
    <s v="27-08-2026"/>
    <s v="24AAECK6307M1ZF"/>
    <s v="storeppl"/>
    <s v="storeppl"/>
    <n v="9"/>
    <n v="131597.95000000001"/>
    <n v="9"/>
    <n v="131597.95000000001"/>
    <n v="0"/>
    <n v="0"/>
    <n v="2306044.94"/>
    <n v="612170781885"/>
    <d v="2026-08-26T00:00:00"/>
    <n v="5717.3"/>
  </r>
  <r>
    <s v="Plastene Polyfilms Limited"/>
    <s v="27-08-2026"/>
    <s v="PPL/26-27/SII01298"/>
    <s v="WIP00004"/>
    <s v="FIBC Bags With UV Without Liner"/>
    <s v="PPL/RAW/26-27/476"/>
    <n v="2115"/>
    <n v="2115"/>
    <s v="Kgs"/>
    <n v="2115"/>
    <n v="0"/>
    <n v="2115"/>
    <s v="GJ06AX2024"/>
    <s v="K.P. Woven Pvt Ltd-Purchase"/>
    <s v="K.P. Woven Pvt Ltd-Purchase"/>
    <s v="KPV/D/678"/>
    <s v="26-08-2026"/>
    <s v="RAW MATERIAL"/>
    <s v="INDIGENOUS"/>
    <s v="RM 479"/>
    <n v="232.66"/>
    <n v="232.660000504457"/>
    <s v="KPV/D/678"/>
    <s v="26-08-2026"/>
    <s v="."/>
    <s v="."/>
    <m/>
    <s v="SHREENA ROADWAYS"/>
    <n v="2679"/>
    <n v="0"/>
    <n v="0"/>
    <n v="0"/>
    <n v="0"/>
    <n v="0"/>
    <s v="VAT"/>
    <n v="0"/>
    <n v="0"/>
    <n v="0"/>
    <n v="0"/>
    <n v="0"/>
    <m/>
    <n v="0"/>
    <n v="0"/>
    <n v="2306044.94"/>
    <s v="FG"/>
    <s v="FIBC Bags"/>
    <x v="7"/>
    <s v="RM"/>
    <s v="erp"/>
    <n v="0"/>
    <n v="492075.9"/>
    <n v="482"/>
    <s v="27-08-2026"/>
    <s v="24AAECK6307M1ZF"/>
    <s v="storeppl"/>
    <s v="storeppl"/>
    <n v="9"/>
    <n v="44286.83"/>
    <n v="9"/>
    <n v="44286.83"/>
    <n v="0"/>
    <n v="0"/>
    <n v="0"/>
    <n v="612170781885"/>
    <d v="2026-08-26T00:00:00"/>
    <n v="2115"/>
  </r>
  <r>
    <s v="Plastene Polyfilms Limited"/>
    <s v="27-08-2026"/>
    <s v="PPL/26-27/SII01301"/>
    <s v="RAW05951"/>
    <s v="PP Tapes"/>
    <s v="PPL/RAW/26-27/477"/>
    <n v="770"/>
    <n v="770"/>
    <s v="Kgs"/>
    <n v="770"/>
    <n v="0"/>
    <n v="770"/>
    <s v="GJ12X1249"/>
    <s v="Plastene India ltd - Unit 1-Purchase"/>
    <s v="Plastene India ltd - Unit 1-Purchase"/>
    <s v="PIL1/D/1508"/>
    <s v="27-08-2026"/>
    <s v="RAW MATERIAL"/>
    <s v="INDIGENOUS"/>
    <s v="RM 480"/>
    <n v="132.32"/>
    <n v="132.32"/>
    <s v="PIL1/D/1508"/>
    <s v="27-08-2026"/>
    <s v="630 BOBBIN"/>
    <n v="0"/>
    <m/>
    <n v="0"/>
    <n v="0"/>
    <n v="0"/>
    <n v="0"/>
    <n v="0"/>
    <n v="0"/>
    <n v="0"/>
    <s v="VAT"/>
    <n v="0"/>
    <n v="0"/>
    <n v="0"/>
    <n v="0"/>
    <n v="0"/>
    <m/>
    <n v="0"/>
    <n v="0"/>
    <n v="120225.96"/>
    <s v="SF"/>
    <s v="Tape Stock"/>
    <x v="11"/>
    <s v="RM"/>
    <s v="erp"/>
    <n v="0"/>
    <n v="101886.39999999999"/>
    <n v="485"/>
    <s v="27-08-2026"/>
    <s v="24AAACO3087C1ZT"/>
    <s v="storeppl"/>
    <s v="storeppl"/>
    <n v="9"/>
    <n v="9169.7800000000007"/>
    <n v="9"/>
    <n v="9169.7800000000007"/>
    <n v="0"/>
    <n v="0"/>
    <n v="120225.96"/>
    <n v="612171221869"/>
    <d v="2026-08-27T00:00:00"/>
    <n v="770"/>
  </r>
  <r>
    <s v="Plastene Polyfilms Limited"/>
    <s v="27-08-2026"/>
    <s v="PPL/26-27/SII01302"/>
    <s v="RAW06013"/>
    <s v="Filler Soltex PTUFF23"/>
    <s v="PPL/RAW/26-27/478"/>
    <n v="3000"/>
    <n v="3000"/>
    <s v="Kgs"/>
    <n v="3000"/>
    <n v="0"/>
    <n v="3000"/>
    <s v="GJ12X1249"/>
    <s v="Plastene India ltd - Unit 1-Purchase"/>
    <s v="Plastene India ltd - Unit 1-Purchase"/>
    <s v="PIL1/D/1507"/>
    <s v="27-08-2026"/>
    <s v="RAW MATERIAL"/>
    <s v="INDIGENOUS"/>
    <s v="RM 481"/>
    <n v="40.5"/>
    <n v="40.5"/>
    <s v="PIL1/D/1507"/>
    <s v="27-08-2026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143370"/>
    <s v="RM"/>
    <s v="Granules"/>
    <x v="12"/>
    <s v="RM"/>
    <s v="anil"/>
    <n v="0"/>
    <n v="121500"/>
    <n v="486"/>
    <s v="27-08-2026"/>
    <s v="24AAACO3087C1ZT"/>
    <s v="storeppl"/>
    <s v="storeppl"/>
    <n v="9"/>
    <n v="10935"/>
    <n v="9"/>
    <n v="10935"/>
    <n v="0"/>
    <n v="0"/>
    <n v="143370"/>
    <n v="612171208680"/>
    <d v="2026-08-27T00:00:00"/>
    <n v="3000"/>
  </r>
  <r>
    <s v="Plastene Polyfilms Limited"/>
    <s v="27-08-2026"/>
    <s v="PPL/26-27/SII01306"/>
    <s v="WIP00025"/>
    <s v="PP Lam Fabric With UV"/>
    <s v="PPL/RAW/26-27/479"/>
    <n v="3477"/>
    <n v="3477"/>
    <s v="Kgs"/>
    <n v="3477"/>
    <n v="0"/>
    <n v="3477"/>
    <s v="GJ12X1249"/>
    <s v="Plastene India ltd - Unit 1-Purchase"/>
    <s v="Plastene India ltd - Unit 1-Purchase"/>
    <s v="PIL1/D/1514"/>
    <s v="27-08-2026"/>
    <s v="RAW MATERIAL"/>
    <s v="INDIGENOUS"/>
    <s v="RM 482"/>
    <n v="149.32"/>
    <n v="149.319998863828"/>
    <s v="PIL1/D/1514"/>
    <s v="27-08-2026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788542.39"/>
    <s v="SF"/>
    <s v="PP/PE Fabric"/>
    <x v="1"/>
    <s v="RM"/>
    <s v="erp"/>
    <n v="0"/>
    <n v="519185.64"/>
    <n v="487"/>
    <s v="27-08-2026"/>
    <s v="24AAACO3087C1ZT"/>
    <s v="storeppl"/>
    <s v="storeppl"/>
    <n v="9"/>
    <n v="46726.71"/>
    <n v="9"/>
    <n v="46726.71"/>
    <n v="0"/>
    <n v="0"/>
    <n v="788542.39"/>
    <n v="632171528612"/>
    <d v="2026-08-27T00:00:00"/>
    <n v="3477"/>
  </r>
  <r>
    <s v="Plastene Polyfilms Limited"/>
    <s v="27-08-2026"/>
    <s v="PPL/26-27/SII01306"/>
    <s v="WIP00032"/>
    <s v="Webbing"/>
    <s v="PPL/RAW/26-27/479"/>
    <n v="201.2"/>
    <n v="201.2"/>
    <s v="Kgs"/>
    <n v="201.2"/>
    <n v="0"/>
    <n v="201.2"/>
    <s v="GJ12X1249"/>
    <s v="Plastene India ltd - Unit 1-Purchase"/>
    <s v="Plastene India ltd - Unit 1-Purchase"/>
    <s v="PIL1/D/1514"/>
    <s v="27-08-2026"/>
    <s v="RAW MATERIAL"/>
    <s v="INDIGENOUS"/>
    <s v="RM 482"/>
    <n v="165.32"/>
    <n v="165.31999874208401"/>
    <s v="PIL1/D/1514"/>
    <s v="27-08-2026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788542.39"/>
    <s v="SF"/>
    <s v="Webbing"/>
    <x v="2"/>
    <s v="RM"/>
    <s v="erp"/>
    <n v="0"/>
    <n v="33262.379999999997"/>
    <n v="487"/>
    <s v="27-08-2026"/>
    <s v="24AAACO3087C1ZT"/>
    <s v="storeppl"/>
    <s v="storeppl"/>
    <n v="9"/>
    <n v="2993.61"/>
    <n v="9"/>
    <n v="2993.61"/>
    <n v="0"/>
    <n v="0"/>
    <n v="0"/>
    <n v="632171528612"/>
    <d v="2026-08-27T00:00:00"/>
    <n v="201.2"/>
  </r>
  <r>
    <s v="Plastene Polyfilms Limited"/>
    <s v="27-08-2026"/>
    <s v="PPL/26-27/SII01306"/>
    <s v="WIP00032"/>
    <s v="Webbing"/>
    <s v="PPL/RAW/26-27/479"/>
    <n v="786.1"/>
    <n v="786.1"/>
    <s v="Kgs"/>
    <n v="786.1"/>
    <n v="0"/>
    <n v="786.1"/>
    <s v="GJ12X1249"/>
    <s v="Plastene India ltd - Unit 1-Purchase"/>
    <s v="Plastene India ltd - Unit 1-Purchase"/>
    <s v="PIL1/D/1514"/>
    <s v="27-08-2026"/>
    <s v="RAW MATERIAL"/>
    <s v="INDIGENOUS"/>
    <s v="RM 482"/>
    <n v="147.32"/>
    <n v="147.31999887904601"/>
    <s v="PIL1/D/1514"/>
    <s v="27-08-2026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788542.39"/>
    <s v="SF"/>
    <s v="Webbing"/>
    <x v="2"/>
    <s v="RM"/>
    <s v="erp"/>
    <n v="0"/>
    <n v="115808.25"/>
    <n v="487"/>
    <s v="27-08-2026"/>
    <s v="24AAACO3087C1ZT"/>
    <s v="storeppl"/>
    <s v="storeppl"/>
    <n v="9"/>
    <n v="10422.74"/>
    <n v="9"/>
    <n v="10422.74"/>
    <n v="0"/>
    <n v="0"/>
    <n v="0"/>
    <n v="632171528612"/>
    <d v="2026-08-27T00:00:00"/>
    <n v="786.1"/>
  </r>
  <r>
    <s v="Plastene Polyfilms Limited"/>
    <s v="27-08-2026"/>
    <s v="PPL/26-27/SII01307"/>
    <s v="WIP00013"/>
    <s v="LDPE/LLDPE Bags/Liner"/>
    <s v="PPL/RAW/26-27/480"/>
    <n v="1093"/>
    <n v="1093"/>
    <s v="Kgs"/>
    <n v="1093"/>
    <n v="0"/>
    <n v="1093"/>
    <s v="GJ39T3060"/>
    <s v="HCP Plastene Bulkpack Limited - Purchase"/>
    <s v="HCP Plastene Bulkpack Limited - Purchase"/>
    <s v="HPBL/D/525"/>
    <s v="23-08-2026"/>
    <s v="RAW MATERIAL"/>
    <s v="INDIGENOUS"/>
    <s v="RM 483"/>
    <n v="170.95"/>
    <n v="170.95"/>
    <s v="HPBL/D/525"/>
    <s v="23-08-2026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220481.05"/>
    <s v="SF"/>
    <s v="Liners"/>
    <x v="5"/>
    <s v="RM"/>
    <s v="erp"/>
    <n v="0"/>
    <n v="186848.35"/>
    <n v="488"/>
    <d v="2026-07-08T00:00:00"/>
    <s v="24AABCG1282C2Z6"/>
    <s v="storeppl"/>
    <s v="storeppl"/>
    <n v="9"/>
    <n v="16816.349999999999"/>
    <n v="9"/>
    <n v="16816.349999999999"/>
    <n v="0"/>
    <n v="0"/>
    <n v="220481.05"/>
    <n v="602168711635"/>
    <d v="2026-08-23T00:00:00"/>
    <n v="1093"/>
  </r>
  <r>
    <s v="Plastene Polyfilms Limited"/>
    <s v="28-08-2026"/>
    <s v="PPL/26-27/SII01316"/>
    <s v="WIP00023"/>
    <s v="PP UL Fabric With UV"/>
    <s v="PPL/RAW/26-27/481"/>
    <n v="2957"/>
    <n v="2957"/>
    <s v="Kgs"/>
    <n v="2957"/>
    <n v="0"/>
    <n v="2957"/>
    <s v="GJ09Z0572"/>
    <s v="Plastene India ltd - Unit 1-Purchase"/>
    <s v="Plastene India ltd - Unit 1-Purchase"/>
    <s v="PIL1/D/1519"/>
    <s v="28-08-2026"/>
    <s v="RAW MATERIAL"/>
    <s v="INDIGENOUS"/>
    <s v="RM 484"/>
    <n v="144.32"/>
    <n v="144.32"/>
    <s v="PIL1/D/1519"/>
    <s v="28-08-2026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662209.30000000005"/>
    <s v="SF"/>
    <s v="PP/PE Fabric"/>
    <x v="0"/>
    <s v="RM"/>
    <s v="erp"/>
    <n v="0"/>
    <n v="426754.24"/>
    <n v="489"/>
    <s v="28-08-2026"/>
    <s v="24AAACO3087C1ZT"/>
    <s v="storeppl"/>
    <s v="storeppl"/>
    <n v="9"/>
    <n v="38407.879999999997"/>
    <n v="9"/>
    <n v="38407.879999999997"/>
    <n v="0"/>
    <n v="0"/>
    <n v="662209.30000000005"/>
    <n v="622171825804"/>
    <d v="2026-08-28T00:00:00"/>
    <n v="2957"/>
  </r>
  <r>
    <s v="Plastene Polyfilms Limited"/>
    <s v="28-08-2026"/>
    <s v="PPL/26-27/SII01316"/>
    <s v="WIP00023"/>
    <s v="PP UL Fabric With UV"/>
    <s v="PPL/RAW/26-27/481"/>
    <n v="794"/>
    <n v="794"/>
    <s v="Kgs"/>
    <n v="794"/>
    <n v="0"/>
    <n v="794"/>
    <s v="GJ09Z0572"/>
    <s v="Plastene India ltd - Unit 1-Purchase"/>
    <s v="Plastene India ltd - Unit 1-Purchase"/>
    <s v="PIL1/D/1519"/>
    <s v="28-08-2026"/>
    <s v="RAW MATERIAL"/>
    <s v="INDIGENOUS"/>
    <s v="RM 484"/>
    <n v="169.32"/>
    <n v="169.32"/>
    <s v="PIL1/D/1519"/>
    <s v="28-08-2026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662209.30000000005"/>
    <s v="SF"/>
    <s v="PP/PE Fabric"/>
    <x v="0"/>
    <s v="RM"/>
    <s v="erp"/>
    <n v="0"/>
    <n v="134440.07999999999"/>
    <n v="489"/>
    <s v="28-08-2026"/>
    <s v="24AAACO3087C1ZT"/>
    <s v="storeppl"/>
    <s v="storeppl"/>
    <n v="9"/>
    <n v="12099.61"/>
    <n v="9"/>
    <n v="12099.61"/>
    <n v="0"/>
    <n v="0"/>
    <n v="0"/>
    <n v="622171825804"/>
    <d v="2026-08-28T00:00:00"/>
    <n v="794"/>
  </r>
  <r>
    <s v="Plastene Polyfilms Limited"/>
    <s v="28-08-2026"/>
    <s v="PPL/26-27/SII01318"/>
    <s v="WIP00023"/>
    <s v="PP UL Fabric With UV"/>
    <s v="PPL/RAW/26-27/482"/>
    <n v="5241"/>
    <n v="5241"/>
    <s v="Kgs"/>
    <n v="5241"/>
    <n v="0"/>
    <n v="5241"/>
    <s v="GJ12X1249"/>
    <s v="Plastene India ltd - Unit 1-Purchase"/>
    <s v="Plastene India ltd - Unit 1-Purchase"/>
    <s v="PIL1/D/1526"/>
    <s v="28-08-2026"/>
    <s v="RAW MATERIAL"/>
    <s v="INDIGENOUS"/>
    <s v="RM 485"/>
    <n v="147.32"/>
    <n v="147.319999292029"/>
    <s v="PIL1/D/1526"/>
    <s v="28-08-2026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1664701.45"/>
    <s v="SF"/>
    <s v="PP/PE Fabric"/>
    <x v="0"/>
    <s v="RM"/>
    <s v="erp"/>
    <n v="0"/>
    <n v="772104.12"/>
    <n v="490"/>
    <s v="28-08-2026"/>
    <s v="24AAACO3087C1ZT"/>
    <s v="storeppl"/>
    <s v="storeppl"/>
    <n v="9"/>
    <n v="69489.37"/>
    <n v="9"/>
    <n v="69489.37"/>
    <n v="0"/>
    <n v="0"/>
    <n v="1664701.45"/>
    <n v="672171905408"/>
    <d v="2026-08-28T00:00:00"/>
    <n v="5241"/>
  </r>
  <r>
    <s v="Plastene Polyfilms Limited"/>
    <s v="28-08-2026"/>
    <s v="PPL/26-27/SII01318"/>
    <s v="WIP00023"/>
    <s v="PP UL Fabric With UV"/>
    <s v="PPL/RAW/26-27/482"/>
    <n v="584"/>
    <n v="584"/>
    <s v="Kgs"/>
    <n v="584"/>
    <n v="0"/>
    <n v="584"/>
    <s v="GJ12X1249"/>
    <s v="Plastene India ltd - Unit 1-Purchase"/>
    <s v="Plastene India ltd - Unit 1-Purchase"/>
    <s v="PIL1/D/1526"/>
    <s v="28-08-2026"/>
    <s v="RAW MATERIAL"/>
    <s v="INDIGENOUS"/>
    <s v="RM 485"/>
    <n v="142.32"/>
    <n v="142.31999931605799"/>
    <s v="PIL1/D/1526"/>
    <s v="28-08-2026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1664701.45"/>
    <s v="SF"/>
    <s v="PP/PE Fabric"/>
    <x v="0"/>
    <s v="RM"/>
    <s v="erp"/>
    <n v="0"/>
    <n v="83114.880000000005"/>
    <n v="490"/>
    <s v="28-08-2026"/>
    <s v="24AAACO3087C1ZT"/>
    <s v="storeppl"/>
    <s v="storeppl"/>
    <n v="9"/>
    <n v="7480.34"/>
    <n v="9"/>
    <n v="7480.34"/>
    <n v="0"/>
    <n v="0"/>
    <n v="0"/>
    <n v="672171905408"/>
    <d v="2026-08-28T00:00:00"/>
    <n v="584"/>
  </r>
  <r>
    <s v="Plastene Polyfilms Limited"/>
    <s v="28-08-2026"/>
    <s v="PPL/26-27/SII01318"/>
    <s v="WIP00025"/>
    <s v="PP Lam Fabric With UV"/>
    <s v="PPL/RAW/26-27/482"/>
    <n v="2057"/>
    <n v="2057"/>
    <s v="Kgs"/>
    <n v="2057"/>
    <n v="0"/>
    <n v="2057"/>
    <s v="GJ12X1249"/>
    <s v="Plastene India ltd - Unit 1-Purchase"/>
    <s v="Plastene India ltd - Unit 1-Purchase"/>
    <s v="PIL1/D/1526"/>
    <s v="28-08-2026"/>
    <s v="RAW MATERIAL"/>
    <s v="INDIGENOUS"/>
    <s v="RM 485"/>
    <n v="149.32"/>
    <n v="149.319999282418"/>
    <s v="PIL1/D/1526"/>
    <s v="28-08-2026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1664701.45"/>
    <s v="SF"/>
    <s v="PP/PE Fabric"/>
    <x v="1"/>
    <s v="RM"/>
    <s v="erp"/>
    <n v="0"/>
    <n v="307151.24"/>
    <n v="490"/>
    <s v="28-08-2026"/>
    <s v="24AAACO3087C1ZT"/>
    <s v="storeppl"/>
    <s v="storeppl"/>
    <n v="9"/>
    <n v="27643.61"/>
    <n v="9"/>
    <n v="27643.61"/>
    <n v="0"/>
    <n v="0"/>
    <n v="0"/>
    <n v="672171905408"/>
    <d v="2026-08-28T00:00:00"/>
    <n v="2057"/>
  </r>
  <r>
    <s v="Plastene Polyfilms Limited"/>
    <s v="28-08-2026"/>
    <s v="PPL/26-27/SII01318"/>
    <s v="WIP00032"/>
    <s v="Webbing"/>
    <s v="PPL/RAW/26-27/482"/>
    <n v="217.2"/>
    <n v="217.2"/>
    <s v="Kgs"/>
    <n v="217.2"/>
    <n v="0"/>
    <n v="217.2"/>
    <s v="GJ12X1249"/>
    <s v="Plastene India ltd - Unit 1-Purchase"/>
    <s v="Plastene India ltd - Unit 1-Purchase"/>
    <s v="PIL1/D/1526"/>
    <s v="28-08-2026"/>
    <s v="RAW MATERIAL"/>
    <s v="INDIGENOUS"/>
    <s v="RM 485"/>
    <n v="165.32"/>
    <n v="165.31999920552701"/>
    <s v="PIL1/D/1526"/>
    <s v="28-08-2026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1664701.45"/>
    <s v="SF"/>
    <s v="Webbing"/>
    <x v="2"/>
    <s v="RM"/>
    <s v="erp"/>
    <n v="0"/>
    <n v="35907.5"/>
    <n v="490"/>
    <s v="28-08-2026"/>
    <s v="24AAACO3087C1ZT"/>
    <s v="storeppl"/>
    <s v="storeppl"/>
    <n v="9"/>
    <n v="3231.68"/>
    <n v="9"/>
    <n v="3231.68"/>
    <n v="0"/>
    <n v="0"/>
    <n v="0"/>
    <n v="672171905408"/>
    <d v="2026-08-28T00:00:00"/>
    <n v="217.2"/>
  </r>
  <r>
    <s v="Plastene Polyfilms Limited"/>
    <s v="28-08-2026"/>
    <s v="PPL/26-27/SII01318"/>
    <s v="WIP00032"/>
    <s v="Webbing"/>
    <s v="PPL/RAW/26-27/482"/>
    <n v="1014.7"/>
    <n v="1014.7"/>
    <s v="Kgs"/>
    <n v="1014.7"/>
    <n v="0"/>
    <n v="1014.7"/>
    <s v="GJ12X1249"/>
    <s v="Plastene India ltd - Unit 1-Purchase"/>
    <s v="Plastene India ltd - Unit 1-Purchase"/>
    <s v="PIL1/D/1526"/>
    <s v="28-08-2026"/>
    <s v="RAW MATERIAL"/>
    <s v="INDIGENOUS"/>
    <s v="RM 485"/>
    <n v="147.32"/>
    <n v="147.319999292029"/>
    <s v="PIL1/D/1526"/>
    <s v="28-08-2026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1664701.45"/>
    <s v="SF"/>
    <s v="Webbing"/>
    <x v="2"/>
    <s v="RM"/>
    <s v="erp"/>
    <n v="0"/>
    <n v="149485.6"/>
    <n v="490"/>
    <s v="28-08-2026"/>
    <s v="24AAACO3087C1ZT"/>
    <s v="storeppl"/>
    <s v="storeppl"/>
    <n v="9"/>
    <n v="13453.7"/>
    <n v="9"/>
    <n v="13453.7"/>
    <n v="0"/>
    <n v="0"/>
    <n v="0"/>
    <n v="672171905408"/>
    <d v="2026-08-28T00:00:00"/>
    <n v="1014.7"/>
  </r>
  <r>
    <s v="Plastene Polyfilms Limited"/>
    <s v="28-08-2026"/>
    <s v="PPL/26-27/SII01318"/>
    <s v="WIP00032"/>
    <s v="Webbing"/>
    <s v="PPL/RAW/26-27/482"/>
    <n v="15.8"/>
    <n v="15.8"/>
    <s v="Kgs"/>
    <n v="15.8"/>
    <n v="0"/>
    <n v="15.8"/>
    <s v="GJ12X1249"/>
    <s v="Plastene India ltd - Unit 1-Purchase"/>
    <s v="Plastene India ltd - Unit 1-Purchase"/>
    <s v="PIL1/D/1526"/>
    <s v="28-08-2026"/>
    <s v="RAW MATERIAL"/>
    <s v="INDIGENOUS"/>
    <s v="RM 485"/>
    <n v="144.32"/>
    <n v="144.31999930644599"/>
    <s v="PIL1/D/1526"/>
    <s v="28-08-2026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1664701.45"/>
    <s v="SF"/>
    <s v="Webbing"/>
    <x v="2"/>
    <s v="RM"/>
    <s v="erp"/>
    <n v="0"/>
    <n v="2280.2600000000002"/>
    <n v="490"/>
    <s v="28-08-2026"/>
    <s v="24AAACO3087C1ZT"/>
    <s v="storeppl"/>
    <s v="storeppl"/>
    <n v="9"/>
    <n v="205.22"/>
    <n v="9"/>
    <n v="205.22"/>
    <n v="0"/>
    <n v="0"/>
    <n v="0"/>
    <n v="672171905408"/>
    <d v="2026-08-28T00:00:00"/>
    <n v="15.8"/>
  </r>
  <r>
    <s v="Plastene Polyfilms Limited"/>
    <s v="28-08-2026"/>
    <s v="PPL/26-27/SII01318"/>
    <s v="RAW05124"/>
    <s v="LDPE/LLDPE Film"/>
    <s v="PPL/RAW/26-27/482"/>
    <n v="363.9"/>
    <n v="363.9"/>
    <s v="Kgs"/>
    <n v="363.9"/>
    <n v="0"/>
    <n v="363.9"/>
    <s v="GJ12X1249"/>
    <s v="Plastene India ltd - Unit 1-Purchase"/>
    <s v="Plastene India ltd - Unit 1-Purchase"/>
    <s v="PIL1/D/1526"/>
    <s v="28-08-2026"/>
    <s v="RAW MATERIAL"/>
    <s v="INDIGENOUS"/>
    <s v="RM 485"/>
    <n v="166.86"/>
    <n v="166.85999919812701"/>
    <s v="PIL1/D/1526"/>
    <s v="28-08-2026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1664701.45"/>
    <s v="SF"/>
    <s v="Films All (SF)"/>
    <x v="13"/>
    <s v="RM"/>
    <s v="erp"/>
    <n v="0"/>
    <n v="60720.35"/>
    <n v="490"/>
    <s v="28-08-2026"/>
    <s v="24AAACO3087C1ZT"/>
    <s v="storeppl"/>
    <s v="storeppl"/>
    <n v="9"/>
    <n v="5464.83"/>
    <n v="9"/>
    <n v="5464.83"/>
    <n v="0"/>
    <n v="0"/>
    <n v="0"/>
    <n v="672171905408"/>
    <d v="2026-08-28T00:00:00"/>
    <n v="363.9"/>
  </r>
  <r>
    <s v="Plastene Polyfilms Limited"/>
    <s v="28-08-2026"/>
    <s v="PPL/26-27/SII01319"/>
    <s v="FIG00001"/>
    <s v="FIBC WIP"/>
    <s v="PPL/RAW/26-27/483"/>
    <n v="344"/>
    <n v="344"/>
    <s v="Kgs"/>
    <n v="344"/>
    <n v="0"/>
    <n v="344"/>
    <s v="GJ12BT2409"/>
    <s v="Hcp Plastene Bulkpack Ltd (Unit-Iv) - Purchase"/>
    <s v="Hcp Plastene Bulkpack Ltd (Unit-Iv) - Purchase"/>
    <s v="HPBL4/D/243"/>
    <s v="26-08-2026"/>
    <s v="RAW MATERIAL"/>
    <s v="INDIGENOUS"/>
    <s v="RM 486"/>
    <n v="149.32"/>
    <n v="149.32"/>
    <s v="HPBL4/D/243"/>
    <s v="26-08-2026"/>
    <s v="PP WOVEN FABRIC BLUE COLOUR"/>
    <s v="."/>
    <m/>
    <s v="."/>
    <s v="."/>
    <n v="0"/>
    <n v="0"/>
    <n v="0"/>
    <n v="0"/>
    <n v="0"/>
    <s v="VAT"/>
    <n v="0"/>
    <n v="0"/>
    <n v="0"/>
    <n v="0"/>
    <n v="0"/>
    <m/>
    <n v="0"/>
    <n v="0"/>
    <n v="60611.98"/>
    <s v="FG"/>
    <s v="FIBC WIP"/>
    <x v="6"/>
    <s v="RM"/>
    <s v="erp"/>
    <n v="0"/>
    <n v="51366.080000000002"/>
    <n v="491"/>
    <s v="28-08-2026"/>
    <s v="24AABCG1282C2Z6"/>
    <s v="storeppl"/>
    <s v="storeppl"/>
    <n v="9"/>
    <n v="4622.95"/>
    <n v="9"/>
    <n v="4622.95"/>
    <n v="0"/>
    <n v="0"/>
    <n v="60611.98"/>
    <n v="632170479126"/>
    <d v="2026-08-26T00:00:00"/>
    <n v="344"/>
  </r>
  <r>
    <s v="Plastene Polyfilms Limited"/>
    <s v="29-08-2026"/>
    <s v="PPL/26-27/SII01324"/>
    <s v="WIP00032"/>
    <s v="Webbing"/>
    <s v="PPL/RAW/26-27/484"/>
    <n v="183.1"/>
    <n v="183.1"/>
    <s v="Kgs"/>
    <n v="183.1"/>
    <n v="0"/>
    <n v="183.1"/>
    <s v="GJ12X1249"/>
    <s v="Plastene India ltd - Unit 1-Purchase"/>
    <s v="Plastene India ltd - Unit 1-Purchase"/>
    <s v="PIL1/D/1536"/>
    <s v="29-08-2026"/>
    <s v="RAW MATERIAL"/>
    <s v="INDIGENOUS"/>
    <s v="RM 487"/>
    <n v="165.32"/>
    <n v="165.319998559308"/>
    <s v="PIL1/D/1536"/>
    <s v="29-08-2026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1147503.99"/>
    <s v="SF"/>
    <s v="Webbing"/>
    <x v="2"/>
    <s v="RM"/>
    <s v="erp"/>
    <n v="0"/>
    <n v="30270.09"/>
    <n v="492"/>
    <s v="29-08-2026"/>
    <s v="24AAACO3087C1ZT"/>
    <s v="storeppl"/>
    <s v="storeppl"/>
    <n v="9"/>
    <n v="2724.31"/>
    <n v="9"/>
    <n v="2724.31"/>
    <n v="0"/>
    <n v="0"/>
    <n v="1147503.99"/>
    <n v="692172472712"/>
    <d v="2026-08-29T00:00:00"/>
    <n v="183.1"/>
  </r>
  <r>
    <s v="Plastene Polyfilms Limited"/>
    <s v="29-08-2026"/>
    <s v="PPL/26-27/SII01324"/>
    <s v="WIP00032"/>
    <s v="Webbing"/>
    <s v="PPL/RAW/26-27/484"/>
    <n v="1276.5"/>
    <n v="1276.5"/>
    <s v="Kgs"/>
    <n v="1276.5"/>
    <n v="0"/>
    <n v="1276.5"/>
    <s v="GJ12X1249"/>
    <s v="Plastene India ltd - Unit 1-Purchase"/>
    <s v="Plastene India ltd - Unit 1-Purchase"/>
    <s v="PIL1/D/1536"/>
    <s v="29-08-2026"/>
    <s v="RAW MATERIAL"/>
    <s v="INDIGENOUS"/>
    <s v="RM 487"/>
    <n v="147.32"/>
    <n v="147.31999871617001"/>
    <s v="PIL1/D/1536"/>
    <s v="29-08-2026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1147503.99"/>
    <s v="SF"/>
    <s v="Webbing"/>
    <x v="2"/>
    <s v="RM"/>
    <s v="erp"/>
    <n v="0"/>
    <n v="188053.98"/>
    <n v="492"/>
    <s v="29-08-2026"/>
    <s v="24AAACO3087C1ZT"/>
    <s v="storeppl"/>
    <s v="storeppl"/>
    <n v="9"/>
    <n v="16924.86"/>
    <n v="9"/>
    <n v="16924.86"/>
    <n v="0"/>
    <n v="0"/>
    <n v="0"/>
    <n v="692172472712"/>
    <d v="2026-08-29T00:00:00"/>
    <n v="1276.5"/>
  </r>
  <r>
    <s v="Plastene Polyfilms Limited"/>
    <s v="29-08-2026"/>
    <s v="PPL/26-27/SII01324"/>
    <s v="WIP00032"/>
    <s v="Webbing"/>
    <s v="PPL/RAW/26-27/484"/>
    <n v="82.5"/>
    <n v="82.5"/>
    <s v="Kgs"/>
    <n v="82.5"/>
    <n v="0"/>
    <n v="82.5"/>
    <s v="GJ12X1249"/>
    <s v="Plastene India ltd - Unit 1-Purchase"/>
    <s v="Plastene India ltd - Unit 1-Purchase"/>
    <s v="PIL1/D/1536"/>
    <s v="29-08-2026"/>
    <s v="RAW MATERIAL"/>
    <s v="INDIGENOUS"/>
    <s v="RM 487"/>
    <n v="144.32"/>
    <n v="144.319998742314"/>
    <s v="PIL1/D/1536"/>
    <s v="29-08-2026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1147503.99"/>
    <s v="SF"/>
    <s v="Webbing"/>
    <x v="2"/>
    <s v="RM"/>
    <s v="erp"/>
    <n v="0"/>
    <n v="11906.4"/>
    <n v="492"/>
    <s v="29-08-2026"/>
    <s v="24AAACO3087C1ZT"/>
    <s v="storeppl"/>
    <s v="storeppl"/>
    <n v="9"/>
    <n v="1071.58"/>
    <n v="9"/>
    <n v="1071.58"/>
    <n v="0"/>
    <n v="0"/>
    <n v="0"/>
    <n v="692172472712"/>
    <d v="2026-08-29T00:00:00"/>
    <n v="82.5"/>
  </r>
  <r>
    <s v="Plastene Polyfilms Limited"/>
    <s v="29-08-2026"/>
    <s v="PPL/26-27/SII01324"/>
    <s v="WIP00025"/>
    <s v="PP Lam Fabric With UV"/>
    <s v="PPL/RAW/26-27/484"/>
    <n v="1872"/>
    <n v="1872"/>
    <s v="Kgs"/>
    <n v="1872"/>
    <n v="0"/>
    <n v="1872"/>
    <s v="GJ12X1249"/>
    <s v="Plastene India ltd - Unit 1-Purchase"/>
    <s v="Plastene India ltd - Unit 1-Purchase"/>
    <s v="PIL1/D/1536"/>
    <s v="29-08-2026"/>
    <s v="RAW MATERIAL"/>
    <s v="INDIGENOUS"/>
    <s v="RM 487"/>
    <n v="149.32"/>
    <n v="149.31999869874099"/>
    <s v="PIL1/D/1536"/>
    <s v="29-08-2026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1147503.99"/>
    <s v="SF"/>
    <s v="PP/PE Fabric"/>
    <x v="1"/>
    <s v="RM"/>
    <s v="erp"/>
    <n v="0"/>
    <n v="279527.03999999998"/>
    <n v="492"/>
    <s v="29-08-2026"/>
    <s v="24AAACO3087C1ZT"/>
    <s v="storeppl"/>
    <s v="storeppl"/>
    <n v="9"/>
    <n v="25157.43"/>
    <n v="9"/>
    <n v="25157.43"/>
    <n v="0"/>
    <n v="0"/>
    <n v="0"/>
    <n v="692172472712"/>
    <d v="2026-08-29T00:00:00"/>
    <n v="1872"/>
  </r>
  <r>
    <s v="Plastene Polyfilms Limited"/>
    <s v="29-08-2026"/>
    <s v="PPL/26-27/SII01324"/>
    <s v="WIP00023"/>
    <s v="PP UL Fabric With UV"/>
    <s v="PPL/RAW/26-27/484"/>
    <n v="1945"/>
    <n v="1945"/>
    <s v="Kgs"/>
    <n v="1945"/>
    <n v="0"/>
    <n v="1945"/>
    <s v="GJ12X1249"/>
    <s v="Plastene India ltd - Unit 1-Purchase"/>
    <s v="Plastene India ltd - Unit 1-Purchase"/>
    <s v="PIL1/D/1536"/>
    <s v="29-08-2026"/>
    <s v="RAW MATERIAL"/>
    <s v="INDIGENOUS"/>
    <s v="RM 487"/>
    <n v="147.32"/>
    <n v="147.31999871617001"/>
    <s v="PIL1/D/1536"/>
    <s v="29-08-2026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1147503.99"/>
    <s v="SF"/>
    <s v="PP/PE Fabric"/>
    <x v="0"/>
    <s v="RM"/>
    <s v="erp"/>
    <n v="0"/>
    <n v="286537.40000000002"/>
    <n v="492"/>
    <s v="29-08-2026"/>
    <s v="24AAACO3087C1ZT"/>
    <s v="storeppl"/>
    <s v="storeppl"/>
    <n v="9"/>
    <n v="25788.37"/>
    <n v="9"/>
    <n v="25788.37"/>
    <n v="0"/>
    <n v="0"/>
    <n v="0"/>
    <n v="692172472712"/>
    <d v="2026-08-29T00:00:00"/>
    <n v="1945"/>
  </r>
  <r>
    <s v="Plastene Polyfilms Limited"/>
    <s v="29-08-2026"/>
    <s v="PPL/26-27/SII01324"/>
    <s v="WIP00191"/>
    <s v="PP MF Yarn Twisted 3000 Denier UV NW"/>
    <s v="PPL/RAW/26-27/484"/>
    <n v="401.7"/>
    <n v="401.7"/>
    <s v="Kgs"/>
    <n v="401.7"/>
    <n v="0"/>
    <n v="401.7"/>
    <s v="GJ12X1249"/>
    <s v="Plastene India ltd - Unit 1-Purchase"/>
    <s v="Plastene India ltd - Unit 1-Purchase"/>
    <s v="PIL1/D/1536"/>
    <s v="29-08-2026"/>
    <s v="RAW MATERIAL"/>
    <s v="INDIGENOUS"/>
    <s v="RM 487"/>
    <n v="154.32"/>
    <n v="154.31999865516801"/>
    <s v="PIL1/D/1536"/>
    <s v="29-08-2026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1147503.99"/>
    <s v="SF"/>
    <s v="Yarn All"/>
    <x v="9"/>
    <s v="RM"/>
    <m/>
    <n v="0"/>
    <n v="61990.34"/>
    <n v="492"/>
    <s v="29-08-2026"/>
    <s v="24AAACO3087C1ZT"/>
    <s v="storeppl"/>
    <s v="storeppl"/>
    <n v="2.5"/>
    <n v="1549.76"/>
    <n v="2.5"/>
    <n v="1549.76"/>
    <n v="0"/>
    <n v="0"/>
    <n v="0"/>
    <n v="692172472712"/>
    <d v="2026-08-29T00:00:00"/>
    <n v="401.7"/>
  </r>
  <r>
    <s v="Plastene Polyfilms Limited"/>
    <s v="29-08-2026"/>
    <s v="PPL/26-27/SII01324"/>
    <s v="WIP00151"/>
    <s v="PP MF Yarn Twisted 1000 UV NW"/>
    <s v="PPL/RAW/26-27/484"/>
    <n v="881.2"/>
    <n v="881.2"/>
    <s v="Kgs"/>
    <n v="881.2"/>
    <n v="0"/>
    <n v="881.2"/>
    <s v="GJ12X1249"/>
    <s v="Plastene India ltd - Unit 1-Purchase"/>
    <s v="Plastene India ltd - Unit 1-Purchase"/>
    <s v="PIL1/D/1536"/>
    <s v="29-08-2026"/>
    <s v="RAW MATERIAL"/>
    <s v="INDIGENOUS"/>
    <s v="RM 487"/>
    <n v="154.32"/>
    <n v="154.31999865516801"/>
    <s v="PIL1/D/1536"/>
    <s v="29-08-2026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1147503.99"/>
    <s v="SF"/>
    <s v="Yarn All"/>
    <x v="9"/>
    <s v="RM"/>
    <m/>
    <n v="0"/>
    <n v="135986.78"/>
    <n v="492"/>
    <s v="29-08-2026"/>
    <s v="24AAACO3087C1ZT"/>
    <s v="storeppl"/>
    <s v="storeppl"/>
    <n v="2.5"/>
    <n v="3399.67"/>
    <n v="2.5"/>
    <n v="3399.67"/>
    <n v="0"/>
    <n v="0"/>
    <n v="0"/>
    <n v="692172472712"/>
    <d v="2026-08-29T00:00:00"/>
    <n v="881.2"/>
  </r>
  <r>
    <s v="Plastene Polyfilms Limited"/>
    <s v="30-08-2026"/>
    <s v="PPL/26-27/SII01325"/>
    <s v="WIP00023"/>
    <s v="PP UL Fabric With UV"/>
    <s v="PPL/RAW/26-27/485"/>
    <n v="8863"/>
    <n v="8863"/>
    <s v="Kgs"/>
    <n v="8863"/>
    <n v="0"/>
    <n v="8863"/>
    <s v="GJ12BY5178"/>
    <s v="HCP Plastene Bulkpack Limited - Purchase"/>
    <s v="HCP Plastene Bulkpack Limited - Purchase"/>
    <s v="HPBL/D/544"/>
    <s v="29-08-2026"/>
    <s v="RAW MATERIAL"/>
    <s v="INDIGENOUS"/>
    <s v="RM 488"/>
    <n v="156.49"/>
    <n v="156.49"/>
    <s v="HPBL/D/544"/>
    <s v="29-08-2026"/>
    <s v="."/>
    <s v="."/>
    <m/>
    <s v="SHREENA ROADWAYS"/>
    <n v="2740"/>
    <n v="0"/>
    <n v="0"/>
    <n v="0"/>
    <n v="0"/>
    <n v="0"/>
    <s v="VAT"/>
    <n v="0"/>
    <n v="0"/>
    <n v="0"/>
    <n v="0"/>
    <n v="0"/>
    <m/>
    <n v="0"/>
    <n v="0"/>
    <n v="1785294"/>
    <s v="SF"/>
    <s v="PP/PE Fabric"/>
    <x v="0"/>
    <s v="RM"/>
    <s v="erp"/>
    <n v="0"/>
    <n v="1386970.87"/>
    <n v="493"/>
    <s v="30-08-2026"/>
    <s v="24AABCG1282C2Z6"/>
    <s v="storeppl"/>
    <s v="storeppl"/>
    <n v="9"/>
    <n v="124827.38"/>
    <n v="9"/>
    <n v="124827.38"/>
    <n v="0"/>
    <n v="0"/>
    <n v="1785294"/>
    <n v="602172295068"/>
    <d v="2026-08-29T00:00:00"/>
    <n v="8863"/>
  </r>
  <r>
    <s v="Plastene Polyfilms Limited"/>
    <s v="30-08-2026"/>
    <s v="PPL/26-27/SII01325"/>
    <s v="WIP00013"/>
    <s v="LDPE/LLDPE Bags/Liner"/>
    <s v="PPL/RAW/26-27/485"/>
    <n v="737"/>
    <n v="737"/>
    <s v="Kgs"/>
    <n v="737"/>
    <n v="0"/>
    <n v="737"/>
    <s v="GJ12BY5178"/>
    <s v="HCP Plastene Bulkpack Limited - Purchase"/>
    <s v="HCP Plastene Bulkpack Limited - Purchase"/>
    <s v="HPBL/D/544"/>
    <s v="29-08-2026"/>
    <s v="RAW MATERIAL"/>
    <s v="INDIGENOUS"/>
    <s v="RM 488"/>
    <n v="170.95"/>
    <n v="170.95"/>
    <s v="HPBL/D/544"/>
    <s v="29-08-2026"/>
    <s v="."/>
    <s v="."/>
    <m/>
    <s v="SHREENA ROADWAYS"/>
    <n v="2740"/>
    <n v="0"/>
    <n v="0"/>
    <n v="0"/>
    <n v="0"/>
    <n v="0"/>
    <s v="VAT"/>
    <n v="0"/>
    <n v="0"/>
    <n v="0"/>
    <n v="0"/>
    <n v="0"/>
    <m/>
    <n v="0"/>
    <n v="0"/>
    <n v="1785294"/>
    <s v="SF"/>
    <s v="Liners"/>
    <x v="5"/>
    <s v="RM"/>
    <s v="erp"/>
    <n v="0"/>
    <n v="125990.15"/>
    <n v="493"/>
    <s v="30-08-2026"/>
    <s v="24AABCG1282C2Z6"/>
    <s v="storeppl"/>
    <s v="storeppl"/>
    <n v="9"/>
    <n v="11339.11"/>
    <n v="9"/>
    <n v="11339.11"/>
    <n v="0"/>
    <n v="0"/>
    <n v="0"/>
    <n v="602172295068"/>
    <d v="2026-08-29T00:00:00"/>
    <n v="737"/>
  </r>
  <r>
    <s v="Plastene Polyfilms Limited"/>
    <s v="30-08-2026"/>
    <s v="PPL/26-27/SII01327"/>
    <s v="WIP00023"/>
    <s v="PP UL Fabric With UV"/>
    <s v="PPL/RAW/26-27/486"/>
    <n v="622"/>
    <n v="622"/>
    <s v="Kgs"/>
    <n v="622"/>
    <n v="0"/>
    <n v="622"/>
    <s v="GJ12X1249"/>
    <s v="Plastene India ltd - Unit 1-Purchase"/>
    <s v="Plastene India ltd - Unit 1-Purchase"/>
    <s v="PIL1/D/1541"/>
    <s v="30-08-2026"/>
    <s v="RAW MATERIAL"/>
    <s v="INDIGENOUS"/>
    <s v="RM 489"/>
    <n v="147.32"/>
    <n v="147.319998718948"/>
    <s v="PIL1/D/1541"/>
    <s v="30-08-2026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459997.04"/>
    <s v="SF"/>
    <s v="PP/PE Fabric"/>
    <x v="0"/>
    <s v="RM"/>
    <s v="erp"/>
    <n v="0"/>
    <n v="91633.04"/>
    <n v="494"/>
    <s v="30-08-2026"/>
    <s v="24AAACO3087C1ZT"/>
    <s v="storeppl"/>
    <s v="storeppl"/>
    <n v="9"/>
    <n v="8246.9699999999993"/>
    <n v="9"/>
    <n v="8246.9699999999993"/>
    <n v="0"/>
    <n v="0"/>
    <n v="459997.04"/>
    <n v="692172886223"/>
    <d v="2026-08-30T00:00:00"/>
    <n v="622"/>
  </r>
  <r>
    <s v="Plastene Polyfilms Limited"/>
    <s v="30-08-2026"/>
    <s v="PPL/26-27/SII01327"/>
    <s v="WIP00023"/>
    <s v="PP UL Fabric With UV"/>
    <s v="PPL/RAW/26-27/486"/>
    <n v="641"/>
    <n v="641"/>
    <s v="Kgs"/>
    <n v="641"/>
    <n v="0"/>
    <n v="641"/>
    <s v="GJ12X1249"/>
    <s v="Plastene India ltd - Unit 1-Purchase"/>
    <s v="Plastene India ltd - Unit 1-Purchase"/>
    <s v="PIL1/D/1541"/>
    <s v="30-08-2026"/>
    <s v="RAW MATERIAL"/>
    <s v="INDIGENOUS"/>
    <s v="RM 489"/>
    <n v="142.32"/>
    <n v="142.31999876242699"/>
    <s v="PIL1/D/1541"/>
    <s v="30-08-2026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459997.04"/>
    <s v="SF"/>
    <s v="PP/PE Fabric"/>
    <x v="0"/>
    <s v="RM"/>
    <s v="erp"/>
    <n v="0"/>
    <n v="91227.12"/>
    <n v="494"/>
    <s v="30-08-2026"/>
    <s v="24AAACO3087C1ZT"/>
    <s v="storeppl"/>
    <s v="storeppl"/>
    <n v="9"/>
    <n v="8210.44"/>
    <n v="9"/>
    <n v="8210.44"/>
    <n v="0"/>
    <n v="0"/>
    <n v="0"/>
    <n v="692172886223"/>
    <d v="2026-08-30T00:00:00"/>
    <n v="641"/>
  </r>
  <r>
    <s v="Plastene Polyfilms Limited"/>
    <s v="30-08-2026"/>
    <s v="PPL/26-27/SII01327"/>
    <s v="WIP00025"/>
    <s v="PP Lam Fabric With UV"/>
    <s v="PPL/RAW/26-27/486"/>
    <n v="60"/>
    <n v="60"/>
    <s v="Kgs"/>
    <n v="60"/>
    <n v="0"/>
    <n v="60"/>
    <s v="GJ12X1249"/>
    <s v="Plastene India ltd - Unit 1-Purchase"/>
    <s v="Plastene India ltd - Unit 1-Purchase"/>
    <s v="PIL1/D/1541"/>
    <s v="30-08-2026"/>
    <s v="RAW MATERIAL"/>
    <s v="INDIGENOUS"/>
    <s v="RM 489"/>
    <n v="149.32"/>
    <n v="149.31999870155701"/>
    <s v="PIL1/D/1541"/>
    <s v="30-08-2026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459997.04"/>
    <s v="SF"/>
    <s v="PP/PE Fabric"/>
    <x v="1"/>
    <s v="RM"/>
    <s v="erp"/>
    <n v="0"/>
    <n v="8959.2000000000007"/>
    <n v="494"/>
    <s v="30-08-2026"/>
    <s v="24AAACO3087C1ZT"/>
    <s v="storeppl"/>
    <s v="storeppl"/>
    <n v="9"/>
    <n v="806.33"/>
    <n v="9"/>
    <n v="806.33"/>
    <n v="0"/>
    <n v="0"/>
    <n v="0"/>
    <n v="692172886223"/>
    <d v="2026-08-30T00:00:00"/>
    <n v="60"/>
  </r>
  <r>
    <s v="Plastene Polyfilms Limited"/>
    <s v="30-08-2026"/>
    <s v="PPL/26-27/SII01327"/>
    <s v="WIP00032"/>
    <s v="Webbing"/>
    <s v="PPL/RAW/26-27/486"/>
    <n v="198.1"/>
    <n v="198.1"/>
    <s v="Kgs"/>
    <n v="198.1"/>
    <n v="0"/>
    <n v="198.1"/>
    <s v="GJ12X1249"/>
    <s v="Plastene India ltd - Unit 1-Purchase"/>
    <s v="Plastene India ltd - Unit 1-Purchase"/>
    <s v="PIL1/D/1541"/>
    <s v="30-08-2026"/>
    <s v="RAW MATERIAL"/>
    <s v="INDIGENOUS"/>
    <s v="RM 489"/>
    <n v="165.32"/>
    <n v="165.31999856242601"/>
    <s v="PIL1/D/1541"/>
    <s v="30-08-2026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459997.04"/>
    <s v="SF"/>
    <s v="Webbing"/>
    <x v="2"/>
    <s v="RM"/>
    <s v="erp"/>
    <n v="0"/>
    <n v="32749.89"/>
    <n v="494"/>
    <s v="30-08-2026"/>
    <s v="24AAACO3087C1ZT"/>
    <s v="storeppl"/>
    <s v="storeppl"/>
    <n v="9"/>
    <n v="2947.49"/>
    <n v="9"/>
    <n v="2947.49"/>
    <n v="0"/>
    <n v="0"/>
    <n v="0"/>
    <n v="692172886223"/>
    <d v="2026-08-30T00:00:00"/>
    <n v="198.1"/>
  </r>
  <r>
    <s v="Plastene Polyfilms Limited"/>
    <s v="30-08-2026"/>
    <s v="PPL/26-27/SII01327"/>
    <s v="WIP00032"/>
    <s v="Webbing"/>
    <s v="PPL/RAW/26-27/486"/>
    <n v="1033.5999999999999"/>
    <n v="1033.5999999999999"/>
    <s v="Kgs"/>
    <n v="1033.5999999999999"/>
    <n v="0"/>
    <n v="1033.5999999999999"/>
    <s v="GJ12X1249"/>
    <s v="Plastene India ltd - Unit 1-Purchase"/>
    <s v="Plastene India ltd - Unit 1-Purchase"/>
    <s v="PIL1/D/1541"/>
    <s v="30-08-2026"/>
    <s v="RAW MATERIAL"/>
    <s v="INDIGENOUS"/>
    <s v="RM 489"/>
    <n v="147.32"/>
    <n v="147.319998718948"/>
    <s v="PIL1/D/1541"/>
    <s v="30-08-2026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459997.04"/>
    <s v="SF"/>
    <s v="Webbing"/>
    <x v="2"/>
    <s v="RM"/>
    <s v="erp"/>
    <n v="0"/>
    <n v="152269.95000000001"/>
    <n v="494"/>
    <s v="30-08-2026"/>
    <s v="24AAACO3087C1ZT"/>
    <s v="storeppl"/>
    <s v="storeppl"/>
    <n v="9"/>
    <n v="13704.3"/>
    <n v="9"/>
    <n v="13704.3"/>
    <n v="0"/>
    <n v="0"/>
    <n v="0"/>
    <n v="692172886223"/>
    <d v="2026-08-30T00:00:00"/>
    <n v="1033.5999999999999"/>
  </r>
  <r>
    <s v="Plastene Polyfilms Limited"/>
    <s v="30-08-2026"/>
    <s v="PPL/26-27/SII01327"/>
    <s v="WIP00032"/>
    <s v="Webbing"/>
    <s v="PPL/RAW/26-27/486"/>
    <n v="90"/>
    <n v="90"/>
    <s v="Kgs"/>
    <n v="90"/>
    <n v="0"/>
    <n v="90"/>
    <s v="GJ12X1249"/>
    <s v="Plastene India ltd - Unit 1-Purchase"/>
    <s v="Plastene India ltd - Unit 1-Purchase"/>
    <s v="PIL1/D/1541"/>
    <s v="30-08-2026"/>
    <s v="RAW MATERIAL"/>
    <s v="INDIGENOUS"/>
    <s v="RM 489"/>
    <n v="144.32"/>
    <n v="144.31999874503501"/>
    <s v="PIL1/D/1541"/>
    <s v="30-08-2026"/>
    <s v="."/>
    <s v="."/>
    <m/>
    <s v="."/>
    <s v="."/>
    <n v="0"/>
    <n v="0"/>
    <n v="0"/>
    <n v="0"/>
    <n v="0"/>
    <s v="VAT"/>
    <n v="0"/>
    <n v="0"/>
    <n v="0"/>
    <n v="0"/>
    <n v="0"/>
    <m/>
    <n v="0"/>
    <n v="0"/>
    <n v="459997.04"/>
    <s v="SF"/>
    <s v="Webbing"/>
    <x v="2"/>
    <s v="RM"/>
    <s v="erp"/>
    <n v="0"/>
    <n v="12988.8"/>
    <n v="494"/>
    <s v="30-08-2026"/>
    <s v="24AAACO3087C1ZT"/>
    <s v="storeppl"/>
    <s v="storeppl"/>
    <n v="9"/>
    <n v="1168.99"/>
    <n v="9"/>
    <n v="1168.99"/>
    <n v="0"/>
    <n v="0"/>
    <n v="0"/>
    <n v="692172886223"/>
    <d v="2026-08-30T00:00:00"/>
    <n v="90"/>
  </r>
  <r>
    <s v="Plastene Polyfilms Limited"/>
    <s v="31-08-2026"/>
    <s v="PPL/26-27/SII01333"/>
    <s v="WIP00013"/>
    <s v="LDPE/LLDPE Bags/Liner"/>
    <s v="PPL/RAW/26-27/488"/>
    <n v="186.6"/>
    <n v="186.6"/>
    <s v="Kgs"/>
    <n v="186.6"/>
    <n v="0"/>
    <n v="186.6"/>
    <s v="GJ12X1249"/>
    <s v="Plastene India ltd - Unit 1-Purchase"/>
    <s v="Plastene India ltd - Unit 1-Purchase"/>
    <s v="PIL1/D/1548"/>
    <s v="31-08-2026"/>
    <s v="RAW MATERIAL"/>
    <s v="INDIGENOUS"/>
    <s v="RM 490"/>
    <n v="176.86"/>
    <n v="176.86001816629101"/>
    <s v="PIL1/D/1548"/>
    <s v="31-08-2026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38942.46"/>
    <s v="SF"/>
    <s v="Liners"/>
    <x v="5"/>
    <s v="RM"/>
    <s v="erp"/>
    <n v="0"/>
    <n v="33002.080000000002"/>
    <n v="497"/>
    <s v="31-08-2026"/>
    <s v="24AAACO3087C1ZT"/>
    <s v="storeppl"/>
    <s v="storeppl"/>
    <n v="9"/>
    <n v="2970.19"/>
    <n v="9"/>
    <n v="2970.19"/>
    <n v="0"/>
    <n v="0"/>
    <n v="38942.46"/>
    <n v="612173330613"/>
    <d v="2026-08-31T00:00:00"/>
    <n v="186.6"/>
  </r>
  <r>
    <s v="Plastene Polyfilms Limited"/>
    <s v="31-08-2026"/>
    <s v="PPL/26-27/SII01334"/>
    <s v="RAW05075"/>
    <s v="MB Karnavati Polyplast Blue"/>
    <s v="PPL/RAW/26-27/489"/>
    <n v="75"/>
    <n v="75"/>
    <s v="Kgs"/>
    <n v="75"/>
    <n v="0"/>
    <n v="75"/>
    <s v="GJ12X1249"/>
    <s v="Plastene India ltd - Unit 1-Purchase"/>
    <s v="Plastene India ltd - Unit 1-Purchase"/>
    <s v="PIL1/D/1547"/>
    <s v="31-08-2026"/>
    <s v="RAW MATERIAL"/>
    <s v="INDIGENOUS"/>
    <s v="RM 491"/>
    <n v="272"/>
    <n v="272"/>
    <s v="PIL1/D/1547"/>
    <s v="31-08-2026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159477"/>
    <s v="RM"/>
    <s v="Granules"/>
    <x v="10"/>
    <s v="RM"/>
    <s v="erp"/>
    <n v="0"/>
    <n v="20400"/>
    <n v="498"/>
    <s v="31-08-2026"/>
    <s v="24AAACO3087C1ZT"/>
    <s v="storeppl"/>
    <s v="storeppl"/>
    <n v="9"/>
    <n v="1836"/>
    <n v="9"/>
    <n v="1836"/>
    <n v="0"/>
    <n v="0"/>
    <n v="159477"/>
    <n v="652173310109"/>
    <d v="2026-08-31T00:00:00"/>
    <n v="75"/>
  </r>
  <r>
    <s v="Plastene Polyfilms Limited"/>
    <s v="31-08-2026"/>
    <s v="PPL/26-27/SII01334"/>
    <s v="RAW06198"/>
    <s v="UV PIL NFG 20LD"/>
    <s v="PPL/RAW/26-27/489"/>
    <n v="500"/>
    <n v="500"/>
    <s v="Kgs"/>
    <n v="500"/>
    <n v="0"/>
    <n v="500"/>
    <s v="GJ12X1249"/>
    <s v="Plastene India ltd - Unit 1-Purchase"/>
    <s v="Plastene India ltd - Unit 1-Purchase"/>
    <s v="PIL1/D/1547"/>
    <s v="31-08-2026"/>
    <s v="RAW MATERIAL"/>
    <s v="INDIGENOUS"/>
    <s v="RM 491"/>
    <n v="183"/>
    <n v="183"/>
    <s v="PIL1/D/1547"/>
    <s v="31-08-2026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159477"/>
    <s v="RM"/>
    <s v="Granules"/>
    <x v="10"/>
    <s v="RM"/>
    <s v="erp"/>
    <n v="0"/>
    <n v="91500"/>
    <n v="498"/>
    <s v="31-08-2026"/>
    <s v="24AAACO3087C1ZT"/>
    <s v="storeppl"/>
    <s v="storeppl"/>
    <n v="9"/>
    <n v="8235"/>
    <n v="9"/>
    <n v="8235"/>
    <n v="0"/>
    <n v="0"/>
    <n v="0"/>
    <n v="652173310109"/>
    <d v="2026-08-31T00:00:00"/>
    <n v="500"/>
  </r>
  <r>
    <s v="Plastene Polyfilms Limited"/>
    <s v="31-08-2026"/>
    <s v="PPL/26-27/SII01334"/>
    <s v="RAW06279"/>
    <s v="MB Colman Shiny Black ( RD Black-01 )"/>
    <s v="PPL/RAW/26-27/489"/>
    <n v="150"/>
    <n v="150"/>
    <s v="Kgs"/>
    <n v="150"/>
    <n v="0"/>
    <n v="150"/>
    <s v="GJ12X1249"/>
    <s v="Plastene India ltd - Unit 1-Purchase"/>
    <s v="Plastene India ltd - Unit 1-Purchase"/>
    <s v="PIL1/D/1547"/>
    <s v="31-08-2026"/>
    <s v="RAW MATERIAL"/>
    <s v="INDIGENOUS"/>
    <s v="RM 491"/>
    <n v="155"/>
    <n v="155"/>
    <s v="PIL1/D/1547"/>
    <s v="31-08-2026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159477"/>
    <s v="RM"/>
    <s v="Granules"/>
    <x v="10"/>
    <s v="RM"/>
    <m/>
    <n v="0"/>
    <n v="23250"/>
    <n v="498"/>
    <s v="31-08-2026"/>
    <s v="24AAACO3087C1ZT"/>
    <s v="storeppl"/>
    <s v="storeppl"/>
    <n v="9"/>
    <n v="2092.5"/>
    <n v="9"/>
    <n v="2092.5"/>
    <n v="0"/>
    <n v="0"/>
    <n v="0"/>
    <n v="652173310109"/>
    <d v="2026-08-31T00:00:00"/>
    <n v="150"/>
  </r>
  <r>
    <s v="Plastene Polyfilms Limited"/>
    <s v="31-08-2026"/>
    <s v="PPL/26-27/SII01335"/>
    <s v="RAW05951"/>
    <s v="PP Tapes"/>
    <s v="PPL/RAW/26-27/490"/>
    <n v="848"/>
    <n v="848"/>
    <s v="Kgs"/>
    <n v="848"/>
    <n v="0"/>
    <n v="848"/>
    <s v="GJ12X1249"/>
    <s v="Plastene India ltd - Unit 1-Purchase"/>
    <s v="Plastene India ltd - Unit 1-Purchase"/>
    <s v="PIL1/D/1546"/>
    <s v="31-08-2026"/>
    <s v="RAW MATERIAL"/>
    <s v="INDIGENOUS"/>
    <s v="RM 492"/>
    <n v="135.32"/>
    <n v="135.31999870682799"/>
    <s v="PIL1/D/1546"/>
    <s v="31-08-2026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837135.34"/>
    <s v="SF"/>
    <s v="Tape Stock"/>
    <x v="11"/>
    <s v="RM"/>
    <s v="erp"/>
    <n v="0"/>
    <n v="114751.36"/>
    <n v="496"/>
    <s v="31-08-2026"/>
    <s v="24AAACO3087C1ZT"/>
    <s v="storeppl"/>
    <s v="storeppl"/>
    <n v="9"/>
    <n v="10327.620000000001"/>
    <n v="9"/>
    <n v="10327.620000000001"/>
    <n v="0"/>
    <n v="0"/>
    <n v="837135.34"/>
    <n v="672173290188"/>
    <d v="2026-08-31T00:00:00"/>
    <n v="848"/>
  </r>
  <r>
    <s v="Plastene Polyfilms Limited"/>
    <s v="31-08-2026"/>
    <s v="PPL/26-27/SII01335"/>
    <s v="WIP00032"/>
    <s v="Webbing"/>
    <s v="PPL/RAW/26-27/490"/>
    <n v="170.2"/>
    <n v="170.2"/>
    <s v="Kgs"/>
    <n v="170.2"/>
    <n v="0"/>
    <n v="170.2"/>
    <s v="GJ12X1249"/>
    <s v="Plastene India ltd - Unit 1-Purchase"/>
    <s v="Plastene India ltd - Unit 1-Purchase"/>
    <s v="PIL1/D/1546"/>
    <s v="31-08-2026"/>
    <s v="RAW MATERIAL"/>
    <s v="INDIGENOUS"/>
    <s v="RM 492"/>
    <n v="165.32"/>
    <n v="165.31999842013599"/>
    <s v="PIL1/D/1546"/>
    <s v="31-08-2026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837135.34"/>
    <s v="SF"/>
    <s v="Webbing"/>
    <x v="2"/>
    <s v="RM"/>
    <s v="erp"/>
    <n v="0"/>
    <n v="28137.46"/>
    <n v="496"/>
    <s v="31-08-2026"/>
    <s v="24AAACO3087C1ZT"/>
    <s v="storeppl"/>
    <s v="storeppl"/>
    <n v="9"/>
    <n v="2532.37"/>
    <n v="9"/>
    <n v="2532.37"/>
    <n v="0"/>
    <n v="0"/>
    <n v="0"/>
    <n v="672173290188"/>
    <d v="2026-08-31T00:00:00"/>
    <n v="170.2"/>
  </r>
  <r>
    <s v="Plastene Polyfilms Limited"/>
    <s v="31-08-2026"/>
    <s v="PPL/26-27/SII01335"/>
    <s v="WIP00032"/>
    <s v="Webbing"/>
    <s v="PPL/RAW/26-27/490"/>
    <n v="53.1"/>
    <n v="53.1"/>
    <s v="Kgs"/>
    <n v="53.1"/>
    <n v="0"/>
    <n v="53.1"/>
    <s v="GJ12X1249"/>
    <s v="Plastene India ltd - Unit 1-Purchase"/>
    <s v="Plastene India ltd - Unit 1-Purchase"/>
    <s v="PIL1/D/1546"/>
    <s v="31-08-2026"/>
    <s v="RAW MATERIAL"/>
    <s v="INDIGENOUS"/>
    <s v="RM 492"/>
    <n v="144.32"/>
    <n v="144.31999862082"/>
    <s v="PIL1/D/1546"/>
    <s v="31-08-2026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837135.34"/>
    <s v="SF"/>
    <s v="Webbing"/>
    <x v="2"/>
    <s v="RM"/>
    <s v="erp"/>
    <n v="0"/>
    <n v="7663.39"/>
    <n v="496"/>
    <s v="31-08-2026"/>
    <s v="24AAACO3087C1ZT"/>
    <s v="storeppl"/>
    <s v="storeppl"/>
    <n v="9"/>
    <n v="689.71"/>
    <n v="9"/>
    <n v="689.71"/>
    <n v="0"/>
    <n v="0"/>
    <n v="0"/>
    <n v="672173290188"/>
    <d v="2026-08-31T00:00:00"/>
    <n v="53.1"/>
  </r>
  <r>
    <s v="Plastene Polyfilms Limited"/>
    <s v="31-08-2026"/>
    <s v="PPL/26-27/SII01335"/>
    <s v="WIP00032"/>
    <s v="Webbing"/>
    <s v="PPL/RAW/26-27/490"/>
    <n v="677.1"/>
    <n v="677.1"/>
    <s v="Kgs"/>
    <n v="677.1"/>
    <n v="0"/>
    <n v="677.1"/>
    <s v="GJ12X1249"/>
    <s v="Plastene India ltd - Unit 1-Purchase"/>
    <s v="Plastene India ltd - Unit 1-Purchase"/>
    <s v="PIL1/D/1546"/>
    <s v="31-08-2026"/>
    <s v="RAW MATERIAL"/>
    <s v="INDIGENOUS"/>
    <s v="RM 492"/>
    <n v="147.32"/>
    <n v="147.31999859215099"/>
    <s v="PIL1/D/1546"/>
    <s v="31-08-2026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837135.34"/>
    <s v="SF"/>
    <s v="Webbing"/>
    <x v="2"/>
    <s v="RM"/>
    <s v="erp"/>
    <n v="0"/>
    <n v="99750.37"/>
    <n v="496"/>
    <s v="31-08-2026"/>
    <s v="24AAACO3087C1ZT"/>
    <s v="storeppl"/>
    <s v="storeppl"/>
    <n v="9"/>
    <n v="8977.5300000000007"/>
    <n v="9"/>
    <n v="8977.5300000000007"/>
    <n v="0"/>
    <n v="0"/>
    <n v="0"/>
    <n v="672173290188"/>
    <d v="2026-08-31T00:00:00"/>
    <n v="677.1"/>
  </r>
  <r>
    <s v="Plastene Polyfilms Limited"/>
    <s v="31-08-2026"/>
    <s v="PPL/26-27/SII01335"/>
    <s v="WIP00025"/>
    <s v="PP Lam Fabric With UV"/>
    <s v="PPL/RAW/26-27/490"/>
    <n v="1396"/>
    <n v="1396"/>
    <s v="Kgs"/>
    <n v="1396"/>
    <n v="0"/>
    <n v="1396"/>
    <s v="GJ12X1249"/>
    <s v="Plastene India ltd - Unit 1-Purchase"/>
    <s v="Plastene India ltd - Unit 1-Purchase"/>
    <s v="PIL1/D/1546"/>
    <s v="31-08-2026"/>
    <s v="RAW MATERIAL"/>
    <s v="INDIGENOUS"/>
    <s v="RM 492"/>
    <n v="149.32"/>
    <n v="149.31999857303799"/>
    <s v="PIL1/D/1546"/>
    <s v="31-08-2026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837135.34"/>
    <s v="SF"/>
    <s v="PP/PE Fabric"/>
    <x v="1"/>
    <s v="RM"/>
    <s v="erp"/>
    <n v="0"/>
    <n v="208450.72"/>
    <n v="496"/>
    <s v="31-08-2026"/>
    <s v="24AAACO3087C1ZT"/>
    <s v="storeppl"/>
    <s v="storeppl"/>
    <n v="9"/>
    <n v="18760.560000000001"/>
    <n v="9"/>
    <n v="18760.560000000001"/>
    <n v="0"/>
    <n v="0"/>
    <n v="0"/>
    <n v="672173290188"/>
    <d v="2026-08-31T00:00:00"/>
    <n v="1396"/>
  </r>
  <r>
    <s v="Plastene Polyfilms Limited"/>
    <s v="31-08-2026"/>
    <s v="PPL/26-27/SII01335"/>
    <s v="WIP00023"/>
    <s v="PP UL Fabric With UV"/>
    <s v="PPL/RAW/26-27/490"/>
    <n v="1264"/>
    <n v="1264"/>
    <s v="Kgs"/>
    <n v="1264"/>
    <n v="0"/>
    <n v="1264"/>
    <s v="GJ12X1249"/>
    <s v="Plastene India ltd - Unit 1-Purchase"/>
    <s v="Plastene India ltd - Unit 1-Purchase"/>
    <s v="PIL1/D/1546"/>
    <s v="31-08-2026"/>
    <s v="RAW MATERIAL"/>
    <s v="INDIGENOUS"/>
    <s v="RM 492"/>
    <n v="147.32"/>
    <n v="147.31999859215099"/>
    <s v="PIL1/D/1546"/>
    <s v="31-08-2026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837135.34"/>
    <s v="SF"/>
    <s v="PP/PE Fabric"/>
    <x v="0"/>
    <s v="RM"/>
    <s v="erp"/>
    <n v="0"/>
    <n v="186212.48000000001"/>
    <n v="496"/>
    <s v="31-08-2026"/>
    <s v="24AAACO3087C1ZT"/>
    <s v="storeppl"/>
    <s v="storeppl"/>
    <n v="9"/>
    <n v="16759.12"/>
    <n v="9"/>
    <n v="16759.12"/>
    <n v="0"/>
    <n v="0"/>
    <n v="0"/>
    <n v="672173290188"/>
    <d v="2026-08-31T00:00:00"/>
    <n v="1264"/>
  </r>
  <r>
    <s v="Plastene Polyfilms Limited"/>
    <s v="31-08-2026"/>
    <s v="PPL/26-27/SII01335"/>
    <s v="WIP00023"/>
    <s v="PP UL Fabric With UV"/>
    <s v="PPL/RAW/26-27/490"/>
    <n v="453"/>
    <n v="453"/>
    <s v="Kgs"/>
    <n v="453"/>
    <n v="0"/>
    <n v="453"/>
    <s v="GJ12X1249"/>
    <s v="Plastene India ltd - Unit 1-Purchase"/>
    <s v="Plastene India ltd - Unit 1-Purchase"/>
    <s v="PIL1/D/1546"/>
    <s v="31-08-2026"/>
    <s v="RAW MATERIAL"/>
    <s v="INDIGENOUS"/>
    <s v="RM 492"/>
    <n v="142.32"/>
    <n v="142.319998639933"/>
    <s v="PIL1/D/1546"/>
    <s v="31-08-2026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837135.34"/>
    <s v="SF"/>
    <s v="PP/PE Fabric"/>
    <x v="0"/>
    <s v="RM"/>
    <s v="erp"/>
    <n v="0"/>
    <n v="64470.96"/>
    <n v="496"/>
    <s v="31-08-2026"/>
    <s v="24AAACO3087C1ZT"/>
    <s v="storeppl"/>
    <s v="storeppl"/>
    <n v="9"/>
    <n v="5802.39"/>
    <n v="9"/>
    <n v="5802.39"/>
    <n v="0"/>
    <n v="0"/>
    <n v="0"/>
    <n v="672173290188"/>
    <d v="2026-08-31T00:00:00"/>
    <n v="453"/>
  </r>
  <r>
    <s v="Plastene Polyfilms Limited"/>
    <s v="31-08-2026"/>
    <s v="PPL/26-27/SII01336"/>
    <s v="WIP00023"/>
    <s v="PP UL Fabric With UV"/>
    <s v="PPL/RAW/26-27/487"/>
    <n v="4951"/>
    <n v="4951"/>
    <s v="Kgs"/>
    <n v="4951"/>
    <n v="0"/>
    <n v="4951"/>
    <s v="GJ39TB1131"/>
    <s v="Plastene India ltd - Unit 2-Purchase"/>
    <s v="Plastene India ltd - Unit 2-Purchase"/>
    <s v="PIL2/D/554"/>
    <s v="30-08-2026"/>
    <s v="RAW MATERIAL"/>
    <s v="INDIGENOUS"/>
    <s v="RM 493"/>
    <n v="122"/>
    <n v="122"/>
    <s v="PIL2/D/554"/>
    <s v="30-08-2026"/>
    <m/>
    <n v="0"/>
    <m/>
    <s v="Kutch  Ratnam Roadways"/>
    <n v="629"/>
    <n v="0"/>
    <n v="0"/>
    <n v="0"/>
    <n v="0"/>
    <n v="0"/>
    <s v="VAT"/>
    <n v="0"/>
    <n v="0"/>
    <n v="0"/>
    <n v="0"/>
    <n v="0"/>
    <m/>
    <n v="0"/>
    <n v="0"/>
    <n v="712745.96"/>
    <s v="SF"/>
    <s v="PP/PE Fabric"/>
    <x v="0"/>
    <s v="RM"/>
    <s v="erp"/>
    <n v="0"/>
    <n v="604022"/>
    <n v="495"/>
    <s v="31-08-2026"/>
    <s v="24AAACO3087C1ZT"/>
    <s v="storeppl"/>
    <s v="storeppl"/>
    <n v="9"/>
    <n v="54361.98"/>
    <n v="9"/>
    <n v="54361.98"/>
    <n v="0"/>
    <n v="0"/>
    <n v="712745.96"/>
    <n v="622172674515"/>
    <d v="2026-08-30T00:00:00"/>
    <n v="4951"/>
  </r>
  <r>
    <s v="Plastene Polyfilms Limited"/>
    <s v="31-08-2026"/>
    <s v="PPL/26-27/SII01337"/>
    <s v="RAW05127"/>
    <s v="PP Basell 456J"/>
    <s v="PPL/RAW/26-27/491"/>
    <n v="23000"/>
    <n v="23000"/>
    <s v="Kgs"/>
    <n v="23000"/>
    <n v="0"/>
    <n v="23000"/>
    <s v="GJ12AT5094"/>
    <s v="Plastene India ltd - Unit 1-Purchase"/>
    <s v="Plastene India ltd - Unit 1-Purchase"/>
    <s v="PIL1/D/1549"/>
    <s v="31-08-2026"/>
    <s v="RAW MATERIAL"/>
    <s v="INDIGENOUS"/>
    <s v="RM 494"/>
    <n v="141"/>
    <n v="141"/>
    <s v="PIL1/D/1549"/>
    <s v="31-08-2026"/>
    <m/>
    <n v="0"/>
    <m/>
    <n v="0"/>
    <n v="0"/>
    <n v="0"/>
    <n v="0"/>
    <n v="0"/>
    <n v="0"/>
    <n v="0"/>
    <s v="VAT"/>
    <n v="0"/>
    <n v="0"/>
    <n v="0"/>
    <n v="0"/>
    <n v="0"/>
    <m/>
    <n v="0"/>
    <n v="0"/>
    <n v="3826740"/>
    <s v="RM"/>
    <s v="Granules"/>
    <x v="4"/>
    <s v="RM"/>
    <s v="erp"/>
    <n v="0"/>
    <n v="3243000"/>
    <n v="499"/>
    <s v="31-08-2026"/>
    <s v="24AAACO3087C1ZT"/>
    <s v="storeppl"/>
    <s v="storeppl"/>
    <n v="9"/>
    <n v="291870"/>
    <n v="9"/>
    <n v="291870"/>
    <n v="0"/>
    <n v="0"/>
    <n v="3826740"/>
    <n v="0"/>
    <d v="2026-08-31T00:00:00"/>
    <n v="23000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7"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7"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7"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7"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7"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7"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7"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7"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7"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7"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7"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7"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7"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7"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7"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7"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7"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7"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7"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7"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7"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7"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7"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7"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7"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7"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7"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7"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7"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7"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7"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7"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7"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7"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7"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7"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7"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7"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7"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7"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7"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7"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7"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6" indent="0" outline="1" outlineData="1" multipleFieldFilters="0">
  <location ref="G3:I21" firstHeaderRow="0" firstDataRow="1" firstDataCol="1"/>
  <pivotFields count="5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8">
        <item x="0"/>
        <item x="10"/>
        <item x="11"/>
        <item x="7"/>
        <item x="1"/>
        <item x="3"/>
        <item x="6"/>
        <item x="4"/>
        <item x="8"/>
        <item x="2"/>
        <item x="5"/>
        <item x="14"/>
        <item x="12"/>
        <item x="9"/>
        <item x="13"/>
        <item x="15"/>
        <item x="16"/>
        <item t="default"/>
      </items>
    </pivotField>
  </pivotFields>
  <rowFields count="1">
    <field x="52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etwt" fld="11" baseField="52" baseItem="0"/>
    <dataField name="Sum of Amount" fld="10" baseField="52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6" indent="0" outline="1" outlineData="1" multipleFieldFilters="0">
  <location ref="A3:C22" firstHeaderRow="0" firstDataRow="1" firstDataCol="1"/>
  <pivotFields count="3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9">
        <item x="3"/>
        <item x="9"/>
        <item x="12"/>
        <item x="7"/>
        <item x="4"/>
        <item x="1"/>
        <item x="8"/>
        <item x="2"/>
        <item x="10"/>
        <item x="0"/>
        <item x="5"/>
        <item x="15"/>
        <item x="13"/>
        <item x="11"/>
        <item x="14"/>
        <item x="16"/>
        <item x="6"/>
        <item x="17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 defaultSubtotal="0"/>
  </pivotFields>
  <rowFields count="1">
    <field x="9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et Wt" fld="30" baseField="9" baseItem="0"/>
    <dataField name="Sum of Amount" fld="13" baseField="9" baseItem="0"/>
  </dataFields>
  <formats count="12">
    <format dxfId="25">
      <pivotArea collapsedLevelsAreSubtotals="1" fieldPosition="0">
        <references count="2">
          <reference field="4294967294" count="1" selected="0">
            <x v="0"/>
          </reference>
          <reference field="9" count="2">
            <x v="0"/>
            <x v="1"/>
          </reference>
        </references>
      </pivotArea>
    </format>
    <format dxfId="24">
      <pivotArea collapsedLevelsAreSubtotals="1" fieldPosition="0">
        <references count="2">
          <reference field="4294967294" count="1" selected="0">
            <x v="0"/>
          </reference>
          <reference field="9" count="1">
            <x v="0"/>
          </reference>
        </references>
      </pivotArea>
    </format>
    <format dxfId="23">
      <pivotArea collapsedLevelsAreSubtotals="1" fieldPosition="0">
        <references count="2">
          <reference field="4294967294" count="1" selected="0">
            <x v="0"/>
          </reference>
          <reference field="9" count="1">
            <x v="1"/>
          </reference>
        </references>
      </pivotArea>
    </format>
    <format dxfId="22">
      <pivotArea collapsedLevelsAreSubtotals="1" fieldPosition="0">
        <references count="2">
          <reference field="4294967294" count="1" selected="0">
            <x v="0"/>
          </reference>
          <reference field="9" count="1">
            <x v="2"/>
          </reference>
        </references>
      </pivotArea>
    </format>
    <format dxfId="21">
      <pivotArea collapsedLevelsAreSubtotals="1" fieldPosition="0">
        <references count="2">
          <reference field="4294967294" count="1" selected="0">
            <x v="0"/>
          </reference>
          <reference field="9" count="1">
            <x v="3"/>
          </reference>
        </references>
      </pivotArea>
    </format>
    <format dxfId="20">
      <pivotArea collapsedLevelsAreSubtotals="1" fieldPosition="0">
        <references count="2">
          <reference field="4294967294" count="1" selected="0">
            <x v="0"/>
          </reference>
          <reference field="9" count="1">
            <x v="4"/>
          </reference>
        </references>
      </pivotArea>
    </format>
    <format dxfId="19">
      <pivotArea collapsedLevelsAreSubtotals="1" fieldPosition="0">
        <references count="2">
          <reference field="4294967294" count="1" selected="0">
            <x v="0"/>
          </reference>
          <reference field="9" count="1">
            <x v="6"/>
          </reference>
        </references>
      </pivotArea>
    </format>
    <format dxfId="18">
      <pivotArea collapsedLevelsAreSubtotals="1" fieldPosition="0">
        <references count="2">
          <reference field="4294967294" count="1" selected="0">
            <x v="0"/>
          </reference>
          <reference field="9" count="1">
            <x v="8"/>
          </reference>
        </references>
      </pivotArea>
    </format>
    <format dxfId="17">
      <pivotArea collapsedLevelsAreSubtotals="1" fieldPosition="0">
        <references count="2">
          <reference field="4294967294" count="1" selected="0">
            <x v="0"/>
          </reference>
          <reference field="9" count="1">
            <x v="10"/>
          </reference>
        </references>
      </pivotArea>
    </format>
    <format dxfId="16">
      <pivotArea collapsedLevelsAreSubtotals="1" fieldPosition="0">
        <references count="2">
          <reference field="4294967294" count="1" selected="0">
            <x v="0"/>
          </reference>
          <reference field="9" count="1">
            <x v="11"/>
          </reference>
        </references>
      </pivotArea>
    </format>
    <format dxfId="15">
      <pivotArea collapsedLevelsAreSubtotals="1" fieldPosition="0">
        <references count="2">
          <reference field="4294967294" count="1" selected="0">
            <x v="0"/>
          </reference>
          <reference field="9" count="1">
            <x v="12"/>
          </reference>
        </references>
      </pivotArea>
    </format>
    <format dxfId="14">
      <pivotArea collapsedLevelsAreSubtotals="1" fieldPosition="0">
        <references count="2">
          <reference field="4294967294" count="1" selected="0">
            <x v="0"/>
          </reference>
          <reference field="9" count="1">
            <x v="13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12" applyNumberFormats="0" applyBorderFormats="0" applyFontFormats="0" applyPatternFormats="0" applyAlignmentFormats="0" applyWidthHeightFormats="1" dataCaption="Values" updatedVersion="5" minRefreshableVersion="3" useAutoFormatting="1" itemPrintTitles="1" createdVersion="6" indent="0" outline="1" outlineData="1" multipleFieldFilters="0">
  <location ref="G3:I22" firstHeaderRow="0" firstDataRow="1" firstDataCol="1"/>
  <pivotFields count="6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1">
        <item x="4"/>
        <item x="3"/>
        <item x="10"/>
        <item x="12"/>
        <item x="14"/>
        <item x="9"/>
        <item x="13"/>
        <item x="5"/>
        <item x="7"/>
        <item x="8"/>
        <item x="6"/>
        <item x="0"/>
        <item x="1"/>
        <item x="2"/>
        <item x="11"/>
        <item x="16"/>
        <item x="15"/>
        <item x="17"/>
        <item m="1" x="19"/>
        <item m="1" x="18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46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etwt" fld="65" baseField="46" baseItem="0"/>
    <dataField name="Sum of Basic Amount" fld="50" baseField="46" baseItem="0"/>
  </dataFields>
  <formats count="14">
    <format dxfId="13">
      <pivotArea collapsedLevelsAreSubtotals="1" fieldPosition="0">
        <references count="2">
          <reference field="4294967294" count="1" selected="0">
            <x v="0"/>
          </reference>
          <reference field="46" count="1">
            <x v="0"/>
          </reference>
        </references>
      </pivotArea>
    </format>
    <format dxfId="12">
      <pivotArea collapsedLevelsAreSubtotals="1" fieldPosition="0">
        <references count="2">
          <reference field="4294967294" count="1" selected="0">
            <x v="0"/>
          </reference>
          <reference field="46" count="1">
            <x v="2"/>
          </reference>
        </references>
      </pivotArea>
    </format>
    <format dxfId="11">
      <pivotArea collapsedLevelsAreSubtotals="1" fieldPosition="0">
        <references count="2">
          <reference field="4294967294" count="1" selected="0">
            <x v="0"/>
          </reference>
          <reference field="46" count="1">
            <x v="3"/>
          </reference>
        </references>
      </pivotArea>
    </format>
    <format dxfId="10">
      <pivotArea collapsedLevelsAreSubtotals="1" fieldPosition="0">
        <references count="2">
          <reference field="4294967294" count="1" selected="0">
            <x v="0"/>
          </reference>
          <reference field="46" count="1">
            <x v="4"/>
          </reference>
        </references>
      </pivotArea>
    </format>
    <format dxfId="9">
      <pivotArea collapsedLevelsAreSubtotals="1" fieldPosition="0">
        <references count="2">
          <reference field="4294967294" count="1" selected="0">
            <x v="0"/>
          </reference>
          <reference field="46" count="1">
            <x v="5"/>
          </reference>
        </references>
      </pivotArea>
    </format>
    <format dxfId="8">
      <pivotArea collapsedLevelsAreSubtotals="1" fieldPosition="0">
        <references count="2">
          <reference field="4294967294" count="1" selected="0">
            <x v="0"/>
          </reference>
          <reference field="46" count="1">
            <x v="6"/>
          </reference>
        </references>
      </pivotArea>
    </format>
    <format dxfId="7">
      <pivotArea collapsedLevelsAreSubtotals="1" fieldPosition="0">
        <references count="2">
          <reference field="4294967294" count="1" selected="0">
            <x v="0"/>
          </reference>
          <reference field="46" count="1">
            <x v="7"/>
          </reference>
        </references>
      </pivotArea>
    </format>
    <format dxfId="6">
      <pivotArea collapsedLevelsAreSubtotals="1" fieldPosition="0">
        <references count="2">
          <reference field="4294967294" count="1" selected="0">
            <x v="0"/>
          </reference>
          <reference field="46" count="1">
            <x v="10"/>
          </reference>
        </references>
      </pivotArea>
    </format>
    <format dxfId="5">
      <pivotArea collapsedLevelsAreSubtotals="1" fieldPosition="0">
        <references count="2">
          <reference field="4294967294" count="1" selected="0">
            <x v="0"/>
          </reference>
          <reference field="46" count="1">
            <x v="11"/>
          </reference>
        </references>
      </pivotArea>
    </format>
    <format dxfId="4">
      <pivotArea collapsedLevelsAreSubtotals="1" fieldPosition="0">
        <references count="2">
          <reference field="4294967294" count="1" selected="0">
            <x v="0"/>
          </reference>
          <reference field="46" count="1">
            <x v="12"/>
          </reference>
        </references>
      </pivotArea>
    </format>
    <format dxfId="3">
      <pivotArea collapsedLevelsAreSubtotals="1" fieldPosition="0">
        <references count="2">
          <reference field="4294967294" count="1" selected="0">
            <x v="0"/>
          </reference>
          <reference field="46" count="1">
            <x v="13"/>
          </reference>
        </references>
      </pivotArea>
    </format>
    <format dxfId="2">
      <pivotArea collapsedLevelsAreSubtotals="1" fieldPosition="0">
        <references count="2">
          <reference field="4294967294" count="1" selected="0">
            <x v="0"/>
          </reference>
          <reference field="46" count="1">
            <x v="14"/>
          </reference>
        </references>
      </pivotArea>
    </format>
    <format dxfId="1">
      <pivotArea collapsedLevelsAreSubtotals="1" fieldPosition="0">
        <references count="2">
          <reference field="4294967294" count="1" selected="0">
            <x v="0"/>
          </reference>
          <reference field="46" count="1">
            <x v="15"/>
          </reference>
        </references>
      </pivotArea>
    </format>
    <format dxfId="0">
      <pivotArea collapsedLevelsAreSubtotals="1" fieldPosition="0">
        <references count="2">
          <reference field="4294967294" count="1" selected="0">
            <x v="0"/>
          </reference>
          <reference field="46" count="1">
            <x v="16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" cacheId="9" applyNumberFormats="0" applyBorderFormats="0" applyFontFormats="0" applyPatternFormats="0" applyAlignmentFormats="0" applyWidthHeightFormats="1" dataCaption="Values" updatedVersion="5" minRefreshableVersion="3" useAutoFormatting="1" itemPrintTitles="1" createdVersion="6" indent="0" outline="1" outlineData="1" multipleFieldFilters="0">
  <location ref="A3:C23" firstHeaderRow="0" firstDataRow="1" firstDataCol="1"/>
  <pivotFields count="3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0">
        <item x="3"/>
        <item x="4"/>
        <item x="10"/>
        <item x="12"/>
        <item x="14"/>
        <item x="9"/>
        <item x="13"/>
        <item x="5"/>
        <item x="8"/>
        <item x="7"/>
        <item x="6"/>
        <item x="0"/>
        <item x="1"/>
        <item x="2"/>
        <item x="11"/>
        <item x="16"/>
        <item x="15"/>
        <item x="17"/>
        <item x="18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 defaultSubtotal="0"/>
  </pivotFields>
  <rowFields count="1">
    <field x="9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et Wt" fld="30" baseField="9" baseItem="0"/>
    <dataField name="Sum of Amount" fld="13" baseField="9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tabSelected="1" workbookViewId="0">
      <selection activeCell="E11" sqref="E11"/>
    </sheetView>
  </sheetViews>
  <sheetFormatPr defaultRowHeight="15" x14ac:dyDescent="0.25"/>
  <cols>
    <col min="1" max="1" width="19.7109375" customWidth="1"/>
    <col min="2" max="2" width="14.140625" customWidth="1"/>
    <col min="3" max="3" width="14.85546875" customWidth="1"/>
    <col min="4" max="4" width="3.42578125" customWidth="1"/>
    <col min="5" max="5" width="12" bestFit="1" customWidth="1"/>
    <col min="7" max="7" width="19.7109375" customWidth="1"/>
    <col min="8" max="8" width="13.28515625" customWidth="1"/>
    <col min="9" max="9" width="14.85546875" customWidth="1"/>
  </cols>
  <sheetData>
    <row r="1" spans="1:10" x14ac:dyDescent="0.25">
      <c r="C1" s="14" t="s">
        <v>630</v>
      </c>
    </row>
    <row r="2" spans="1:10" x14ac:dyDescent="0.25">
      <c r="A2" s="7" t="s">
        <v>146</v>
      </c>
      <c r="G2" s="7" t="s">
        <v>148</v>
      </c>
    </row>
    <row r="3" spans="1:10" x14ac:dyDescent="0.25">
      <c r="A3" s="11" t="s">
        <v>141</v>
      </c>
      <c r="B3" t="s">
        <v>144</v>
      </c>
      <c r="C3" t="s">
        <v>145</v>
      </c>
      <c r="G3" s="11" t="s">
        <v>141</v>
      </c>
      <c r="H3" t="s">
        <v>147</v>
      </c>
      <c r="I3" t="s">
        <v>145</v>
      </c>
    </row>
    <row r="4" spans="1:10" x14ac:dyDescent="0.25">
      <c r="A4" s="12" t="s">
        <v>152</v>
      </c>
      <c r="B4" s="24">
        <v>420226.2</v>
      </c>
      <c r="C4" s="13">
        <v>94189259.830000013</v>
      </c>
      <c r="E4">
        <f>+GETPIVOTDATA("Sum of Net Wt",$A$3,"Sub Grup","FIBC Bags")+GETPIVOTDATA("Sum of Net Wt",$A$3,"Sub Grup","FIBC Bags-Export")+GETPIVOTDATA("Sum of Net Wt",$A$3,"Sub Grup","PP Bags")</f>
        <v>489569.4</v>
      </c>
      <c r="G4" s="12" t="s">
        <v>152</v>
      </c>
      <c r="H4" s="13">
        <v>420226.2</v>
      </c>
      <c r="I4" s="13">
        <v>94189259.830000013</v>
      </c>
      <c r="J4">
        <f>+GETPIVOTDATA("Sum of Net Wt",$A$3,"Sub Grup","FIBC Bags")-GETPIVOTDATA("Sum of Netwt",$G$3,"Subgroupname","FIBC Bags")</f>
        <v>0</v>
      </c>
    </row>
    <row r="5" spans="1:10" x14ac:dyDescent="0.25">
      <c r="A5" s="12" t="s">
        <v>162</v>
      </c>
      <c r="B5" s="24">
        <v>66292</v>
      </c>
      <c r="C5" s="13">
        <v>13635149.859999999</v>
      </c>
      <c r="E5">
        <f>+GETPIVOTDATA("Sum of Amount",$A$3,"Sub Grup","FIBC Bags")+GETPIVOTDATA("Sum of Amount",$A$3,"Sub Grup","FIBC Bags-Export")+GETPIVOTDATA("Sum of Amount",$A$3,"Sub Grup","PP Bags")</f>
        <v>108543015.82000001</v>
      </c>
      <c r="G5" s="12" t="s">
        <v>162</v>
      </c>
      <c r="H5" s="13">
        <v>66292</v>
      </c>
      <c r="I5" s="13">
        <v>13635149.859999979</v>
      </c>
      <c r="J5">
        <f>+GETPIVOTDATA("Sum of Net Wt",$A$3,"Sub Grup","FIBC Bags-Export")-GETPIVOTDATA("Sum of Netwt",$G$3,"Subgroupname","FIBC Bags-Export")</f>
        <v>0</v>
      </c>
    </row>
    <row r="6" spans="1:10" x14ac:dyDescent="0.25">
      <c r="A6" s="12" t="s">
        <v>287</v>
      </c>
      <c r="B6" s="24">
        <v>3051.2</v>
      </c>
      <c r="C6" s="13">
        <v>718606.13</v>
      </c>
      <c r="E6">
        <f>+E5/E4</f>
        <v>221.71119318323409</v>
      </c>
      <c r="G6" s="12" t="s">
        <v>287</v>
      </c>
      <c r="H6" s="13">
        <v>3051.2</v>
      </c>
      <c r="I6" s="13">
        <v>718606.13</v>
      </c>
      <c r="J6">
        <f>+GETPIVOTDATA("Sum of Net Wt",$A$3,"Sub Grup","PP Bags")-GETPIVOTDATA("Sum of Netwt",$G$3,"Subgroupname","PP Bags")</f>
        <v>0</v>
      </c>
    </row>
    <row r="7" spans="1:10" x14ac:dyDescent="0.25">
      <c r="A7" s="12" t="s">
        <v>153</v>
      </c>
      <c r="B7" s="24">
        <v>3943</v>
      </c>
      <c r="C7" s="13">
        <v>479765.93999999994</v>
      </c>
      <c r="G7" s="12" t="s">
        <v>153</v>
      </c>
      <c r="H7" s="13">
        <v>3943</v>
      </c>
      <c r="I7" s="13">
        <v>479765.93999999994</v>
      </c>
      <c r="J7">
        <f>+GETPIVOTDATA("Sum of Net Wt",$A$3,"Sub Grup","FIBC WIP")-GETPIVOTDATA("Sum of Netwt",$G$3,"Subgroupname","FIBC WIP")</f>
        <v>0</v>
      </c>
    </row>
    <row r="8" spans="1:10" x14ac:dyDescent="0.25">
      <c r="A8" s="12" t="s">
        <v>155</v>
      </c>
      <c r="B8" s="24">
        <v>13388.400000000001</v>
      </c>
      <c r="C8" s="13">
        <v>1911081.3900000004</v>
      </c>
      <c r="G8" s="12" t="s">
        <v>155</v>
      </c>
      <c r="H8" s="13">
        <v>13388.400000000001</v>
      </c>
      <c r="I8" s="13">
        <v>1911081.3900000006</v>
      </c>
      <c r="J8">
        <f>+GETPIVOTDATA("Sum of Net Wt",$A$3,"Sub Grup","PP UL Fabric")-GETPIVOTDATA("Sum of Netwt",$G$3,"Subgroupname","PP UL Fabric")</f>
        <v>0</v>
      </c>
    </row>
    <row r="9" spans="1:10" x14ac:dyDescent="0.25">
      <c r="A9" s="12" t="s">
        <v>297</v>
      </c>
      <c r="B9" s="13">
        <v>1640</v>
      </c>
      <c r="C9" s="13">
        <v>225374.19</v>
      </c>
      <c r="G9" s="12" t="s">
        <v>297</v>
      </c>
      <c r="H9" s="13">
        <v>1640</v>
      </c>
      <c r="I9" s="13">
        <v>225374.18999999989</v>
      </c>
      <c r="J9">
        <f>+GETPIVOTDATA("Sum of Net Wt",$A$3,"Sub Grup","PP UL Fabric-Export")-GETPIVOTDATA("Sum of Netwt",$G$3,"Subgroupname","PP UL Fabric-Export")</f>
        <v>0</v>
      </c>
    </row>
    <row r="10" spans="1:10" x14ac:dyDescent="0.25">
      <c r="A10" s="12" t="s">
        <v>156</v>
      </c>
      <c r="B10" s="24">
        <v>40045</v>
      </c>
      <c r="C10" s="13">
        <v>3558151.66</v>
      </c>
      <c r="G10" s="12" t="s">
        <v>156</v>
      </c>
      <c r="H10" s="13">
        <v>40045</v>
      </c>
      <c r="I10" s="13">
        <v>3558151.66</v>
      </c>
      <c r="J10">
        <f>+GETPIVOTDATA("Sum of Net Wt",$A$3,"Sub Grup","PP Lam Fabric")-GETPIVOTDATA("Sum of Netwt",$G$3,"Subgroupname","PP Lam Fabric")</f>
        <v>0</v>
      </c>
    </row>
    <row r="11" spans="1:10" x14ac:dyDescent="0.25">
      <c r="A11" s="12" t="s">
        <v>298</v>
      </c>
      <c r="B11" s="13">
        <v>5428</v>
      </c>
      <c r="C11" s="13">
        <v>738665.32000000007</v>
      </c>
      <c r="G11" s="12" t="s">
        <v>298</v>
      </c>
      <c r="H11" s="13">
        <v>5428</v>
      </c>
      <c r="I11" s="13">
        <v>738665.32000000007</v>
      </c>
      <c r="J11">
        <f>+GETPIVOTDATA("Sum of Net Wt",$A$3,"Sub Grup","PP Lam Fabric-Export")-GETPIVOTDATA("Sum of Netwt",$G$3,"Subgroupname","PP Lam Fabric-Export")</f>
        <v>0</v>
      </c>
    </row>
    <row r="12" spans="1:10" x14ac:dyDescent="0.25">
      <c r="A12" s="12" t="s">
        <v>154</v>
      </c>
      <c r="B12" s="24">
        <v>3954</v>
      </c>
      <c r="C12" s="13">
        <v>539463.19999999995</v>
      </c>
      <c r="G12" s="12" t="s">
        <v>154</v>
      </c>
      <c r="H12" s="13">
        <v>3954</v>
      </c>
      <c r="I12" s="13">
        <v>539463.19999999995</v>
      </c>
      <c r="J12">
        <f>+GETPIVOTDATA("Sum of Net Wt",$A$3,"Sub Grup","PP Webbing")-GETPIVOTDATA("Sum of Netwt",$G$3,"Subgroupname","PP Webbing")</f>
        <v>0</v>
      </c>
    </row>
    <row r="13" spans="1:10" x14ac:dyDescent="0.25">
      <c r="A13" s="12" t="s">
        <v>578</v>
      </c>
      <c r="B13" s="13">
        <v>1192.2</v>
      </c>
      <c r="C13" s="13">
        <v>169216.88400000002</v>
      </c>
      <c r="G13" s="12" t="s">
        <v>578</v>
      </c>
      <c r="H13" s="13">
        <v>1192.2</v>
      </c>
      <c r="I13" s="13">
        <v>169216.88400000002</v>
      </c>
      <c r="J13">
        <f>+GETPIVOTDATA("Sum of Net Wt",$A$3,"Sub Grup","PP Webbing-Export")-GETPIVOTDATA("Sum of Netwt",$G$3,"Subgroupname","PP Webbing-Export")</f>
        <v>0</v>
      </c>
    </row>
    <row r="14" spans="1:10" x14ac:dyDescent="0.25">
      <c r="A14" s="12" t="s">
        <v>158</v>
      </c>
      <c r="B14" s="24">
        <v>345.72999999999996</v>
      </c>
      <c r="C14" s="13">
        <v>91928.26</v>
      </c>
      <c r="G14" s="12" t="s">
        <v>158</v>
      </c>
      <c r="H14" s="13">
        <v>345.72999999999996</v>
      </c>
      <c r="I14" s="13">
        <v>91928.26</v>
      </c>
      <c r="J14">
        <f>+GETPIVOTDATA("Sum of Net Wt",$A$3,"Sub Grup","PE Film")-GETPIVOTDATA("Sum of Netwt",$G$3,"Subgroupname","PE Film")</f>
        <v>0</v>
      </c>
    </row>
    <row r="15" spans="1:10" x14ac:dyDescent="0.25">
      <c r="A15" s="12" t="s">
        <v>159</v>
      </c>
      <c r="B15" s="24">
        <v>213.5</v>
      </c>
      <c r="C15" s="13">
        <v>46169.99</v>
      </c>
      <c r="G15" s="12" t="s">
        <v>159</v>
      </c>
      <c r="H15" s="13">
        <v>213.5</v>
      </c>
      <c r="I15" s="13">
        <v>46169.99</v>
      </c>
      <c r="J15">
        <f>+GETPIVOTDATA("Sum of Net Wt",$A$3,"Sub Grup","LDPE/LLDPE Bags")-GETPIVOTDATA("Sum of Netwt",$G$3,"Subgroupname","LDPE/LLDPE Bags")</f>
        <v>0</v>
      </c>
    </row>
    <row r="16" spans="1:10" x14ac:dyDescent="0.25">
      <c r="A16" s="12" t="s">
        <v>157</v>
      </c>
      <c r="B16" s="24">
        <v>9628.1099999999988</v>
      </c>
      <c r="C16" s="13">
        <v>1665268.04</v>
      </c>
      <c r="G16" s="12" t="s">
        <v>157</v>
      </c>
      <c r="H16" s="13">
        <v>9628.1099999999988</v>
      </c>
      <c r="I16" s="13">
        <v>1665268.04</v>
      </c>
      <c r="J16">
        <f>+GETPIVOTDATA("Sum of Net Wt",$A$3,"Sub Grup","PP Yarn")-GETPIVOTDATA("Sum of Netwt",$G$3,"Subgroupname","PP Yarn")</f>
        <v>0</v>
      </c>
    </row>
    <row r="17" spans="1:10" x14ac:dyDescent="0.25">
      <c r="A17" s="12" t="s">
        <v>161</v>
      </c>
      <c r="B17" s="24">
        <v>4095.2</v>
      </c>
      <c r="C17" s="13">
        <v>486015.09</v>
      </c>
      <c r="G17" s="12" t="s">
        <v>161</v>
      </c>
      <c r="H17" s="13">
        <v>4095.2</v>
      </c>
      <c r="I17" s="13">
        <v>486015.09</v>
      </c>
      <c r="J17">
        <f>+GETPIVOTDATA("Sum of Net Wt",$A$3,"Sub Grup","PP Tapes")-GETPIVOTDATA("Sum of Netwt",$G$3,"Subgroupname","PP Tapes")</f>
        <v>0</v>
      </c>
    </row>
    <row r="18" spans="1:10" x14ac:dyDescent="0.25">
      <c r="A18" s="12" t="s">
        <v>277</v>
      </c>
      <c r="B18" s="13">
        <v>1590</v>
      </c>
      <c r="C18" s="13">
        <v>39750</v>
      </c>
      <c r="G18" s="12" t="s">
        <v>277</v>
      </c>
      <c r="H18" s="13">
        <v>1590</v>
      </c>
      <c r="I18" s="13">
        <v>39750</v>
      </c>
      <c r="J18">
        <f>+GETPIVOTDATA("Sum of Net Wt",$A$3,"Sub Grup","Wastage/Scrap")-GETPIVOTDATA("Sum of Netwt",$G$3,"Subgroupname","Wastage/Scrap")</f>
        <v>0</v>
      </c>
    </row>
    <row r="19" spans="1:10" x14ac:dyDescent="0.25">
      <c r="A19" s="12" t="s">
        <v>314</v>
      </c>
      <c r="B19" s="13">
        <v>2500</v>
      </c>
      <c r="C19" s="13">
        <v>165000</v>
      </c>
      <c r="G19" s="12" t="s">
        <v>314</v>
      </c>
      <c r="H19" s="13">
        <v>2500</v>
      </c>
      <c r="I19" s="13">
        <v>165000</v>
      </c>
      <c r="J19">
        <f>+GETPIVOTDATA("Sum of Net Wt",$A$3,"Sub Grup","RP Granules")-GETPIVOTDATA("Sum of Netwt",$G$3,"Subgroupname","RP Granules")</f>
        <v>0</v>
      </c>
    </row>
    <row r="20" spans="1:10" x14ac:dyDescent="0.25">
      <c r="A20" s="12" t="s">
        <v>163</v>
      </c>
      <c r="B20" s="13">
        <v>134181</v>
      </c>
      <c r="C20" s="13">
        <v>33563306.280549951</v>
      </c>
      <c r="G20" s="12" t="s">
        <v>142</v>
      </c>
      <c r="H20" s="13"/>
      <c r="I20" s="13"/>
    </row>
    <row r="21" spans="1:10" x14ac:dyDescent="0.25">
      <c r="A21" s="12" t="s">
        <v>142</v>
      </c>
      <c r="B21" s="13"/>
      <c r="C21" s="13"/>
      <c r="G21" s="12" t="s">
        <v>143</v>
      </c>
      <c r="H21" s="13">
        <v>577532.53999999992</v>
      </c>
      <c r="I21" s="13">
        <v>118658865.78399999</v>
      </c>
    </row>
    <row r="22" spans="1:10" x14ac:dyDescent="0.25">
      <c r="A22" s="12" t="s">
        <v>143</v>
      </c>
      <c r="B22" s="13">
        <v>711713.53999999992</v>
      </c>
      <c r="C22" s="13">
        <v>152222172.06454995</v>
      </c>
    </row>
  </sheetData>
  <pageMargins left="0.7" right="0.7" top="0.75" bottom="0.75" header="0.3" footer="0.3"/>
  <pageSetup paperSize="9" orientation="portrait" verticalDpi="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workbookViewId="0">
      <selection activeCell="E12" sqref="E12"/>
    </sheetView>
  </sheetViews>
  <sheetFormatPr defaultRowHeight="15" x14ac:dyDescent="0.25"/>
  <cols>
    <col min="1" max="1" width="15.85546875" customWidth="1"/>
    <col min="2" max="2" width="14.140625" bestFit="1" customWidth="1"/>
    <col min="3" max="3" width="14.85546875" bestFit="1" customWidth="1"/>
    <col min="7" max="7" width="15.85546875" customWidth="1"/>
    <col min="8" max="8" width="12.85546875" customWidth="1"/>
    <col min="9" max="9" width="19.85546875" customWidth="1"/>
    <col min="10" max="10" width="12.7109375" bestFit="1" customWidth="1"/>
  </cols>
  <sheetData>
    <row r="1" spans="1:13" x14ac:dyDescent="0.25">
      <c r="C1" s="14" t="s">
        <v>630</v>
      </c>
    </row>
    <row r="2" spans="1:13" x14ac:dyDescent="0.25">
      <c r="A2" s="7" t="s">
        <v>146</v>
      </c>
      <c r="G2" s="7" t="s">
        <v>149</v>
      </c>
    </row>
    <row r="3" spans="1:13" x14ac:dyDescent="0.25">
      <c r="A3" s="11" t="s">
        <v>141</v>
      </c>
      <c r="B3" t="s">
        <v>144</v>
      </c>
      <c r="C3" t="s">
        <v>145</v>
      </c>
      <c r="G3" s="11" t="s">
        <v>141</v>
      </c>
      <c r="H3" t="s">
        <v>150</v>
      </c>
      <c r="I3" t="s">
        <v>151</v>
      </c>
    </row>
    <row r="4" spans="1:13" x14ac:dyDescent="0.25">
      <c r="A4" s="12" t="s">
        <v>166</v>
      </c>
      <c r="B4" s="13">
        <v>169375</v>
      </c>
      <c r="C4" s="13">
        <v>18483985</v>
      </c>
      <c r="D4" s="19">
        <f>+GETPIVOTDATA("Sum of Amount",$A$3,"Sub Grup","PP Granules")/GETPIVOTDATA("Sum of Net Wt",$A$3,"Sub Grup","PP Granules")</f>
        <v>109.13053874538745</v>
      </c>
      <c r="G4" s="12" t="s">
        <v>166</v>
      </c>
      <c r="H4" s="24">
        <v>169375</v>
      </c>
      <c r="I4" s="13">
        <v>18483985</v>
      </c>
      <c r="J4">
        <f>+GETPIVOTDATA("Sum of Net Wt",$A$3,"Sub Grup","PP Granules")-GETPIVOTDATA("Sum of netwt",$G$3,"SubGroupName","PP Granules")</f>
        <v>0</v>
      </c>
      <c r="K4" s="16"/>
      <c r="L4" s="16"/>
      <c r="M4" s="16"/>
    </row>
    <row r="5" spans="1:13" x14ac:dyDescent="0.25">
      <c r="A5" s="12" t="s">
        <v>316</v>
      </c>
      <c r="B5" s="13">
        <v>2750</v>
      </c>
      <c r="C5" s="13">
        <v>360112.5</v>
      </c>
      <c r="G5" s="12" t="s">
        <v>316</v>
      </c>
      <c r="H5" s="13">
        <v>2750</v>
      </c>
      <c r="I5" s="13">
        <v>360112.5</v>
      </c>
      <c r="J5">
        <f>+GETPIVOTDATA("Sum of Net Wt",$A$3,"Sub Grup","LDPE Granules")-GETPIVOTDATA("Sum of netwt",$G$3,"SubGroupName","LDPE Granules")</f>
        <v>0</v>
      </c>
    </row>
    <row r="6" spans="1:13" x14ac:dyDescent="0.25">
      <c r="A6" s="12" t="s">
        <v>313</v>
      </c>
      <c r="B6" s="13">
        <v>8325</v>
      </c>
      <c r="C6" s="13">
        <v>1516450</v>
      </c>
      <c r="G6" s="12" t="s">
        <v>313</v>
      </c>
      <c r="H6" s="24">
        <v>8325</v>
      </c>
      <c r="I6" s="13">
        <v>1516450</v>
      </c>
      <c r="J6">
        <f>+GETPIVOTDATA("Sum of Net Wt",$A$3,"Sub Grup","Masterbatch")-GETPIVOTDATA("Sum of netwt",$G$3,"SubGroupName","Masterbatch")</f>
        <v>0</v>
      </c>
    </row>
    <row r="7" spans="1:13" x14ac:dyDescent="0.25">
      <c r="A7" s="12" t="s">
        <v>164</v>
      </c>
      <c r="B7" s="13">
        <v>17500</v>
      </c>
      <c r="C7" s="13">
        <v>708750</v>
      </c>
      <c r="G7" s="12" t="s">
        <v>164</v>
      </c>
      <c r="H7" s="24">
        <v>17500</v>
      </c>
      <c r="I7" s="13">
        <v>708750</v>
      </c>
      <c r="J7">
        <f>+GETPIVOTDATA("Sum of Net Wt",$A$3,"Sub Grup","Filler")-GETPIVOTDATA("Sum of netwt",$G$3,"SubGroupName","Filler")</f>
        <v>0</v>
      </c>
    </row>
    <row r="8" spans="1:13" x14ac:dyDescent="0.25">
      <c r="A8" s="12" t="s">
        <v>314</v>
      </c>
      <c r="B8" s="13">
        <v>11425</v>
      </c>
      <c r="C8" s="13">
        <v>1199625</v>
      </c>
      <c r="G8" s="12" t="s">
        <v>314</v>
      </c>
      <c r="H8" s="24">
        <v>11425</v>
      </c>
      <c r="I8" s="13">
        <v>1199625</v>
      </c>
      <c r="J8">
        <f>+GETPIVOTDATA("Sum of Net Wt",$A$3,"Sub Grup","RP Granules")-GETPIVOTDATA("Sum of netwt",$G$3,"SubGroupName","RP Granules")</f>
        <v>0</v>
      </c>
    </row>
    <row r="9" spans="1:13" x14ac:dyDescent="0.25">
      <c r="A9" s="12" t="s">
        <v>157</v>
      </c>
      <c r="B9" s="13">
        <v>41262.770000000004</v>
      </c>
      <c r="C9" s="13">
        <v>6643931.9600000018</v>
      </c>
      <c r="G9" s="12" t="s">
        <v>157</v>
      </c>
      <c r="H9" s="24">
        <v>41262.770000000004</v>
      </c>
      <c r="I9" s="13">
        <v>6643931.9200000009</v>
      </c>
      <c r="J9" s="15">
        <f>+GETPIVOTDATA("Sum of Net Wt",$A$3,"Sub Grup","PP Yarn")-GETPIVOTDATA("Sum of netwt",$G$3,"SubGroupName","PP Yarn")</f>
        <v>0</v>
      </c>
    </row>
    <row r="10" spans="1:13" x14ac:dyDescent="0.25">
      <c r="A10" s="12" t="s">
        <v>158</v>
      </c>
      <c r="B10" s="13">
        <v>1031</v>
      </c>
      <c r="C10" s="13">
        <v>171629.41</v>
      </c>
      <c r="G10" s="12" t="s">
        <v>158</v>
      </c>
      <c r="H10" s="24">
        <v>1031</v>
      </c>
      <c r="I10" s="13">
        <v>171629.42</v>
      </c>
      <c r="J10" s="15">
        <f>+GETPIVOTDATA("Sum of Net Wt",$A$3,"Sub Grup","PE Film")-GETPIVOTDATA("Sum of netwt",$G$3,"SubGroupName","PE Film")</f>
        <v>0</v>
      </c>
    </row>
    <row r="11" spans="1:13" x14ac:dyDescent="0.25">
      <c r="A11" s="12" t="s">
        <v>159</v>
      </c>
      <c r="B11" s="13">
        <v>9609.126000000002</v>
      </c>
      <c r="C11" s="13">
        <v>1908209.3699999999</v>
      </c>
      <c r="G11" s="12" t="s">
        <v>159</v>
      </c>
      <c r="H11" s="24">
        <v>9053.9</v>
      </c>
      <c r="I11" s="13">
        <v>1646340.1900000002</v>
      </c>
      <c r="J11" s="15">
        <f>+GETPIVOTDATA("Sum of Net Wt",$A$3,"Sub Grup","LDPE/LLDPE Bags")-GETPIVOTDATA("Sum of netwt",$G$3,"SubGroupName","LDPE/LLDPE Bags")-'PE Labels'!M16</f>
        <v>2.3874235921539366E-12</v>
      </c>
    </row>
    <row r="12" spans="1:13" x14ac:dyDescent="0.25">
      <c r="A12" s="12" t="s">
        <v>152</v>
      </c>
      <c r="B12" s="13">
        <v>122343.50000000001</v>
      </c>
      <c r="C12" s="13">
        <v>28301289.949999996</v>
      </c>
      <c r="G12" s="12" t="s">
        <v>152</v>
      </c>
      <c r="H12" s="13">
        <v>122343.50000000001</v>
      </c>
      <c r="I12" s="13">
        <v>28923764.959999997</v>
      </c>
      <c r="J12" s="15">
        <f>+GETPIVOTDATA("Sum of Net Wt",$A$3,"Sub Grup","FIBC Bags")-GETPIVOTDATA("Sum of netwt",$G$3,"SubGroupName","FIBC Bags")</f>
        <v>0</v>
      </c>
    </row>
    <row r="13" spans="1:13" x14ac:dyDescent="0.25">
      <c r="A13" s="12" t="s">
        <v>287</v>
      </c>
      <c r="B13" s="13">
        <v>4958.2</v>
      </c>
      <c r="C13" s="13">
        <v>1137402.4100000001</v>
      </c>
      <c r="G13" s="12" t="s">
        <v>287</v>
      </c>
      <c r="H13" s="13">
        <v>4958.2</v>
      </c>
      <c r="I13" s="13">
        <v>1137402.4100000001</v>
      </c>
      <c r="J13">
        <f>+GETPIVOTDATA("Sum of Net Wt",$A$3,"Sub Grup","PP Bags")-GETPIVOTDATA("Sum of netwt",$G$3,"SubGroupName","PP Bags")</f>
        <v>0</v>
      </c>
    </row>
    <row r="14" spans="1:13" x14ac:dyDescent="0.25">
      <c r="A14" s="12" t="s">
        <v>153</v>
      </c>
      <c r="B14" s="13">
        <v>968</v>
      </c>
      <c r="C14" s="13">
        <v>142257.44</v>
      </c>
      <c r="G14" s="12" t="s">
        <v>153</v>
      </c>
      <c r="H14" s="24">
        <v>968</v>
      </c>
      <c r="I14" s="13">
        <v>142257.44</v>
      </c>
      <c r="J14">
        <f>+GETPIVOTDATA("Sum of Net Wt",$A$3,"Sub Grup","FIBC WIP")-GETPIVOTDATA("Sum of netwt",$G$3,"SubGroupName","FIBC WIP")</f>
        <v>0</v>
      </c>
    </row>
    <row r="15" spans="1:13" x14ac:dyDescent="0.25">
      <c r="A15" s="12" t="s">
        <v>155</v>
      </c>
      <c r="B15" s="13">
        <v>120430.7</v>
      </c>
      <c r="C15" s="13">
        <v>17743871.59</v>
      </c>
      <c r="G15" s="12" t="s">
        <v>155</v>
      </c>
      <c r="H15" s="24">
        <v>120430.7</v>
      </c>
      <c r="I15" s="13">
        <v>17743871.59</v>
      </c>
      <c r="J15">
        <f>+GETPIVOTDATA("Sum of Net Wt",$A$3,"Sub Grup","PP UL Fabric")-GETPIVOTDATA("Sum of netwt",$G$3,"SubGroupName","PP UL Fabric")</f>
        <v>0</v>
      </c>
    </row>
    <row r="16" spans="1:13" x14ac:dyDescent="0.25">
      <c r="A16" s="12" t="s">
        <v>156</v>
      </c>
      <c r="B16" s="13">
        <v>53369</v>
      </c>
      <c r="C16" s="13">
        <v>7975299.4799999995</v>
      </c>
      <c r="G16" s="12" t="s">
        <v>156</v>
      </c>
      <c r="H16" s="24">
        <v>53369</v>
      </c>
      <c r="I16" s="13">
        <v>7975299.4899999993</v>
      </c>
      <c r="J16" s="15">
        <f>+GETPIVOTDATA("Sum of Net Wt",$A$3,"Sub Grup","PP Lam Fabric")-GETPIVOTDATA("Sum of netwt",$G$3,"SubGroupName","PP Lam Fabric")</f>
        <v>0</v>
      </c>
    </row>
    <row r="17" spans="1:10" x14ac:dyDescent="0.25">
      <c r="A17" s="12" t="s">
        <v>154</v>
      </c>
      <c r="B17" s="13">
        <v>41013.539999999986</v>
      </c>
      <c r="C17" s="13">
        <v>6115758.7699999986</v>
      </c>
      <c r="G17" s="12" t="s">
        <v>154</v>
      </c>
      <c r="H17" s="24">
        <v>41013.539999999986</v>
      </c>
      <c r="I17" s="13">
        <v>6115758.8099999977</v>
      </c>
      <c r="J17">
        <f>+GETPIVOTDATA("Sum of Net Wt",$A$3,"Sub Grup","PP Webbing")-GETPIVOTDATA("Sum of netwt",$G$3,"SubGroupName","PP Webbing")</f>
        <v>0</v>
      </c>
    </row>
    <row r="18" spans="1:10" x14ac:dyDescent="0.25">
      <c r="A18" s="12" t="s">
        <v>161</v>
      </c>
      <c r="B18" s="13">
        <v>8193.9</v>
      </c>
      <c r="C18" s="13">
        <v>1118964.8500000001</v>
      </c>
      <c r="G18" s="12" t="s">
        <v>161</v>
      </c>
      <c r="H18" s="24">
        <v>8193.9</v>
      </c>
      <c r="I18" s="13">
        <v>1118964.8400000001</v>
      </c>
      <c r="J18">
        <f>+GETPIVOTDATA("Sum of Net Wt",$A$3,"Sub Grup","PP Tapes")-GETPIVOTDATA("Sum of netwt",$G$3,"SubGroupName","PP Tapes")</f>
        <v>0</v>
      </c>
    </row>
    <row r="19" spans="1:10" x14ac:dyDescent="0.25">
      <c r="A19" s="12" t="s">
        <v>165</v>
      </c>
      <c r="B19" s="13">
        <v>2040</v>
      </c>
      <c r="C19" s="13">
        <v>240720</v>
      </c>
      <c r="G19" s="12" t="s">
        <v>165</v>
      </c>
      <c r="H19" s="24">
        <v>2040</v>
      </c>
      <c r="I19" s="13">
        <v>180991.54</v>
      </c>
      <c r="J19">
        <f>+GETPIVOTDATA("Sum of Net Wt",$A$3,"Sub Grup","Thinner")-GETPIVOTDATA("Sum of netwt",$G$3,"SubGroupName","Thinner")</f>
        <v>0</v>
      </c>
    </row>
    <row r="20" spans="1:10" x14ac:dyDescent="0.25">
      <c r="A20" s="12" t="s">
        <v>160</v>
      </c>
      <c r="B20" s="13">
        <v>1000</v>
      </c>
      <c r="C20" s="13">
        <v>291950</v>
      </c>
      <c r="G20" s="12" t="s">
        <v>160</v>
      </c>
      <c r="H20" s="24">
        <v>1000</v>
      </c>
      <c r="I20" s="13">
        <v>306318.18</v>
      </c>
      <c r="J20">
        <f>+GETPIVOTDATA("Sum of Net Wt",$A$3,"Sub Grup","Ink")-GETPIVOTDATA("Sum of netwt",$G$3,"SubGroupName","Ink")</f>
        <v>0</v>
      </c>
    </row>
    <row r="21" spans="1:10" x14ac:dyDescent="0.25">
      <c r="A21" s="12" t="s">
        <v>163</v>
      </c>
      <c r="B21" s="13">
        <v>134181</v>
      </c>
      <c r="C21" s="13">
        <v>33230995.350000001</v>
      </c>
      <c r="G21" s="12" t="s">
        <v>142</v>
      </c>
      <c r="H21" s="13"/>
      <c r="I21" s="13"/>
    </row>
    <row r="22" spans="1:10" x14ac:dyDescent="0.25">
      <c r="A22" s="12" t="s">
        <v>142</v>
      </c>
      <c r="B22" s="13"/>
      <c r="C22" s="13"/>
      <c r="G22" s="12" t="s">
        <v>143</v>
      </c>
      <c r="H22" s="13">
        <v>615039.51000000013</v>
      </c>
      <c r="I22" s="13">
        <v>94375453.290000021</v>
      </c>
    </row>
    <row r="23" spans="1:10" x14ac:dyDescent="0.25">
      <c r="A23" s="12" t="s">
        <v>143</v>
      </c>
      <c r="B23" s="13">
        <v>749775.73600000015</v>
      </c>
      <c r="C23" s="13">
        <v>127291203.07999998</v>
      </c>
    </row>
  </sheetData>
  <pageMargins left="0.7" right="0.7" top="0.75" bottom="0.75" header="0.3" footer="0.3"/>
  <pageSetup paperSize="9" orientation="portrait" verticalDpi="0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G215"/>
  <sheetViews>
    <sheetView topLeftCell="D1" workbookViewId="0">
      <selection activeCell="Q220" sqref="Q220"/>
    </sheetView>
  </sheetViews>
  <sheetFormatPr defaultRowHeight="15" x14ac:dyDescent="0.25"/>
  <cols>
    <col min="1" max="1" width="9.28515625" style="6" customWidth="1"/>
    <col min="2" max="2" width="11.28515625" style="8" customWidth="1"/>
    <col min="3" max="3" width="34.42578125" style="8" customWidth="1"/>
    <col min="4" max="4" width="16.140625" style="8" customWidth="1"/>
    <col min="5" max="5" width="16" style="8" bestFit="1" customWidth="1"/>
    <col min="6" max="6" width="38.42578125" style="8" bestFit="1" customWidth="1"/>
    <col min="7" max="7" width="19.7109375" style="8" customWidth="1"/>
    <col min="8" max="8" width="12.28515625" style="8" customWidth="1"/>
    <col min="9" max="9" width="12.85546875" style="8" customWidth="1"/>
    <col min="10" max="10" width="19.140625" style="8" customWidth="1"/>
    <col min="11" max="11" width="20.140625" style="8" customWidth="1"/>
    <col min="12" max="12" width="22.42578125" style="8" bestFit="1" customWidth="1"/>
    <col min="13" max="13" width="35" style="8" customWidth="1"/>
    <col min="14" max="14" width="14.85546875" style="18" customWidth="1"/>
    <col min="15" max="15" width="15.7109375" style="2" customWidth="1"/>
    <col min="16" max="16" width="41.28515625" style="8" customWidth="1"/>
    <col min="17" max="17" width="16" style="8" bestFit="1" customWidth="1"/>
    <col min="18" max="26" width="9.140625" style="8"/>
    <col min="27" max="27" width="18.5703125" style="8" bestFit="1" customWidth="1"/>
    <col min="28" max="31" width="9.140625" style="8"/>
    <col min="32" max="32" width="12.42578125" style="8" customWidth="1"/>
    <col min="33" max="33" width="9.140625" style="8"/>
    <col min="34" max="16384" width="9.140625" style="6"/>
  </cols>
  <sheetData>
    <row r="1" spans="1:33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4" t="s">
        <v>9</v>
      </c>
      <c r="L1" s="1" t="s">
        <v>10</v>
      </c>
      <c r="M1" s="1" t="s">
        <v>11</v>
      </c>
      <c r="N1" s="1" t="s">
        <v>12</v>
      </c>
      <c r="O1" s="5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4" t="s">
        <v>30</v>
      </c>
      <c r="AG1" s="1" t="s">
        <v>31</v>
      </c>
    </row>
    <row r="2" spans="1:33" hidden="1" x14ac:dyDescent="0.25">
      <c r="A2" s="22"/>
      <c r="B2" s="26">
        <v>46235</v>
      </c>
      <c r="C2" s="27" t="s">
        <v>204</v>
      </c>
      <c r="D2" s="27" t="s">
        <v>222</v>
      </c>
      <c r="E2" s="27" t="s">
        <v>321</v>
      </c>
      <c r="F2" s="27" t="s">
        <v>206</v>
      </c>
      <c r="G2" s="27" t="s">
        <v>321</v>
      </c>
      <c r="H2" s="26">
        <v>46235</v>
      </c>
      <c r="I2" s="27" t="s">
        <v>169</v>
      </c>
      <c r="J2" s="27" t="s">
        <v>181</v>
      </c>
      <c r="K2" s="27" t="s">
        <v>578</v>
      </c>
      <c r="L2" s="27" t="s">
        <v>154</v>
      </c>
      <c r="M2" s="27" t="s">
        <v>181</v>
      </c>
      <c r="N2" s="27">
        <v>507.2</v>
      </c>
      <c r="O2" s="27">
        <v>74289.584000000003</v>
      </c>
      <c r="P2" s="27" t="s">
        <v>181</v>
      </c>
      <c r="Q2" s="27">
        <v>222817.95</v>
      </c>
      <c r="R2" s="27"/>
      <c r="S2" s="27">
        <v>0</v>
      </c>
      <c r="T2" s="27"/>
      <c r="U2" s="27">
        <v>0</v>
      </c>
      <c r="V2" s="27"/>
      <c r="W2" s="27">
        <v>0</v>
      </c>
      <c r="X2" s="27">
        <v>0</v>
      </c>
      <c r="Y2" s="27">
        <v>0</v>
      </c>
      <c r="Z2" s="27">
        <v>0</v>
      </c>
      <c r="AA2" s="27" t="s">
        <v>208</v>
      </c>
      <c r="AB2" s="27" t="s">
        <v>184</v>
      </c>
      <c r="AC2" s="27">
        <v>39269080</v>
      </c>
      <c r="AD2" s="27" t="s">
        <v>201</v>
      </c>
      <c r="AE2" s="27">
        <v>1</v>
      </c>
      <c r="AF2" s="27">
        <v>507.2</v>
      </c>
      <c r="AG2" s="27" t="s">
        <v>202</v>
      </c>
    </row>
    <row r="3" spans="1:33" hidden="1" x14ac:dyDescent="0.25">
      <c r="A3" s="22"/>
      <c r="B3" s="26">
        <v>46235</v>
      </c>
      <c r="C3" s="27" t="s">
        <v>204</v>
      </c>
      <c r="D3" s="27" t="s">
        <v>222</v>
      </c>
      <c r="E3" s="27" t="s">
        <v>321</v>
      </c>
      <c r="F3" s="27" t="s">
        <v>206</v>
      </c>
      <c r="G3" s="27" t="s">
        <v>321</v>
      </c>
      <c r="H3" s="26">
        <v>46235</v>
      </c>
      <c r="I3" s="27" t="s">
        <v>169</v>
      </c>
      <c r="J3" s="27" t="s">
        <v>179</v>
      </c>
      <c r="K3" s="27" t="s">
        <v>297</v>
      </c>
      <c r="L3" s="27" t="s">
        <v>203</v>
      </c>
      <c r="M3" s="27" t="s">
        <v>183</v>
      </c>
      <c r="N3" s="27">
        <v>394</v>
      </c>
      <c r="O3" s="27">
        <v>58891.18</v>
      </c>
      <c r="P3" s="27" t="s">
        <v>322</v>
      </c>
      <c r="Q3" s="27">
        <v>0</v>
      </c>
      <c r="R3" s="27"/>
      <c r="S3" s="27">
        <v>0</v>
      </c>
      <c r="T3" s="27"/>
      <c r="U3" s="27">
        <v>0</v>
      </c>
      <c r="V3" s="27"/>
      <c r="W3" s="27">
        <v>0</v>
      </c>
      <c r="X3" s="27">
        <v>0</v>
      </c>
      <c r="Y3" s="27">
        <v>0</v>
      </c>
      <c r="Z3" s="27">
        <v>0</v>
      </c>
      <c r="AA3" s="27" t="s">
        <v>208</v>
      </c>
      <c r="AB3" s="27" t="s">
        <v>184</v>
      </c>
      <c r="AC3" s="27">
        <v>39269080</v>
      </c>
      <c r="AD3" s="27" t="s">
        <v>201</v>
      </c>
      <c r="AE3" s="27">
        <v>1</v>
      </c>
      <c r="AF3" s="27">
        <v>394</v>
      </c>
      <c r="AG3" s="27" t="s">
        <v>202</v>
      </c>
    </row>
    <row r="4" spans="1:33" hidden="1" x14ac:dyDescent="0.25">
      <c r="A4" s="22"/>
      <c r="B4" s="26">
        <v>46235</v>
      </c>
      <c r="C4" s="27" t="s">
        <v>204</v>
      </c>
      <c r="D4" s="27" t="s">
        <v>222</v>
      </c>
      <c r="E4" s="27" t="s">
        <v>321</v>
      </c>
      <c r="F4" s="27" t="s">
        <v>206</v>
      </c>
      <c r="G4" s="27" t="s">
        <v>321</v>
      </c>
      <c r="H4" s="26">
        <v>46235</v>
      </c>
      <c r="I4" s="27" t="s">
        <v>169</v>
      </c>
      <c r="J4" s="27" t="s">
        <v>179</v>
      </c>
      <c r="K4" s="27" t="s">
        <v>297</v>
      </c>
      <c r="L4" s="27" t="s">
        <v>203</v>
      </c>
      <c r="M4" s="27" t="s">
        <v>183</v>
      </c>
      <c r="N4" s="27">
        <v>477</v>
      </c>
      <c r="O4" s="27">
        <v>69866.19</v>
      </c>
      <c r="P4" s="27" t="s">
        <v>183</v>
      </c>
      <c r="Q4" s="27">
        <v>0</v>
      </c>
      <c r="R4" s="27"/>
      <c r="S4" s="27">
        <v>0</v>
      </c>
      <c r="T4" s="27"/>
      <c r="U4" s="27">
        <v>0</v>
      </c>
      <c r="V4" s="27"/>
      <c r="W4" s="27">
        <v>0</v>
      </c>
      <c r="X4" s="27">
        <v>0</v>
      </c>
      <c r="Y4" s="27">
        <v>0</v>
      </c>
      <c r="Z4" s="27">
        <v>0</v>
      </c>
      <c r="AA4" s="27" t="s">
        <v>208</v>
      </c>
      <c r="AB4" s="27" t="s">
        <v>184</v>
      </c>
      <c r="AC4" s="27">
        <v>39269080</v>
      </c>
      <c r="AD4" s="27" t="s">
        <v>201</v>
      </c>
      <c r="AE4" s="27">
        <v>1</v>
      </c>
      <c r="AF4" s="27">
        <v>477</v>
      </c>
      <c r="AG4" s="27" t="s">
        <v>202</v>
      </c>
    </row>
    <row r="5" spans="1:33" hidden="1" x14ac:dyDescent="0.25">
      <c r="A5" s="22"/>
      <c r="B5" s="26">
        <v>46235</v>
      </c>
      <c r="C5" s="27" t="s">
        <v>204</v>
      </c>
      <c r="D5" s="27" t="s">
        <v>222</v>
      </c>
      <c r="E5" s="27" t="s">
        <v>321</v>
      </c>
      <c r="F5" s="27" t="s">
        <v>206</v>
      </c>
      <c r="G5" s="27" t="s">
        <v>321</v>
      </c>
      <c r="H5" s="26">
        <v>46235</v>
      </c>
      <c r="I5" s="27" t="s">
        <v>169</v>
      </c>
      <c r="J5" s="27" t="s">
        <v>179</v>
      </c>
      <c r="K5" s="27" t="s">
        <v>298</v>
      </c>
      <c r="L5" s="27" t="s">
        <v>211</v>
      </c>
      <c r="M5" s="27" t="s">
        <v>178</v>
      </c>
      <c r="N5" s="27">
        <v>132</v>
      </c>
      <c r="O5" s="27">
        <v>19994.04</v>
      </c>
      <c r="P5" s="27" t="s">
        <v>323</v>
      </c>
      <c r="Q5" s="27">
        <v>0</v>
      </c>
      <c r="R5" s="27"/>
      <c r="S5" s="27">
        <v>0</v>
      </c>
      <c r="T5" s="27"/>
      <c r="U5" s="27">
        <v>0</v>
      </c>
      <c r="V5" s="27"/>
      <c r="W5" s="27">
        <v>0</v>
      </c>
      <c r="X5" s="27">
        <v>0</v>
      </c>
      <c r="Y5" s="27">
        <v>0</v>
      </c>
      <c r="Z5" s="27">
        <v>0</v>
      </c>
      <c r="AA5" s="27" t="s">
        <v>208</v>
      </c>
      <c r="AB5" s="27" t="s">
        <v>184</v>
      </c>
      <c r="AC5" s="27">
        <v>39269080</v>
      </c>
      <c r="AD5" s="27" t="s">
        <v>201</v>
      </c>
      <c r="AE5" s="27">
        <v>1</v>
      </c>
      <c r="AF5" s="27">
        <v>132</v>
      </c>
      <c r="AG5" s="27" t="s">
        <v>202</v>
      </c>
    </row>
    <row r="6" spans="1:33" hidden="1" x14ac:dyDescent="0.25">
      <c r="A6" s="22"/>
      <c r="B6" s="26">
        <v>46235</v>
      </c>
      <c r="C6" s="27" t="s">
        <v>212</v>
      </c>
      <c r="D6" s="27" t="s">
        <v>199</v>
      </c>
      <c r="E6" s="27">
        <v>435</v>
      </c>
      <c r="F6" s="27" t="s">
        <v>324</v>
      </c>
      <c r="G6" s="27" t="s">
        <v>325</v>
      </c>
      <c r="H6" s="26">
        <v>46235</v>
      </c>
      <c r="I6" s="27" t="s">
        <v>188</v>
      </c>
      <c r="J6" s="27" t="s">
        <v>152</v>
      </c>
      <c r="K6" s="27" t="s">
        <v>152</v>
      </c>
      <c r="L6" s="27" t="s">
        <v>200</v>
      </c>
      <c r="M6" s="27" t="s">
        <v>187</v>
      </c>
      <c r="N6" s="27">
        <v>1221</v>
      </c>
      <c r="O6" s="27">
        <v>283860</v>
      </c>
      <c r="P6" s="27" t="s">
        <v>326</v>
      </c>
      <c r="Q6" s="27">
        <v>334670.94</v>
      </c>
      <c r="R6" s="27">
        <v>9</v>
      </c>
      <c r="S6" s="27">
        <v>25547.4</v>
      </c>
      <c r="T6" s="27">
        <v>9</v>
      </c>
      <c r="U6" s="27">
        <v>25547.4</v>
      </c>
      <c r="V6" s="27">
        <v>0</v>
      </c>
      <c r="W6" s="27">
        <v>0</v>
      </c>
      <c r="X6" s="27">
        <v>0</v>
      </c>
      <c r="Y6" s="27">
        <v>51094.8</v>
      </c>
      <c r="Z6" s="27">
        <v>0</v>
      </c>
      <c r="AA6" s="27" t="s">
        <v>176</v>
      </c>
      <c r="AB6" s="27" t="s">
        <v>184</v>
      </c>
      <c r="AC6" s="27">
        <v>39232999</v>
      </c>
      <c r="AD6" s="27" t="s">
        <v>201</v>
      </c>
      <c r="AE6" s="27">
        <v>1</v>
      </c>
      <c r="AF6" s="27">
        <v>1221</v>
      </c>
      <c r="AG6" s="27" t="s">
        <v>202</v>
      </c>
    </row>
    <row r="7" spans="1:33" hidden="1" x14ac:dyDescent="0.25">
      <c r="A7" s="22"/>
      <c r="B7" s="26">
        <v>46235</v>
      </c>
      <c r="C7" s="27" t="s">
        <v>212</v>
      </c>
      <c r="D7" s="27" t="s">
        <v>199</v>
      </c>
      <c r="E7" s="27">
        <v>437</v>
      </c>
      <c r="F7" s="27" t="s">
        <v>324</v>
      </c>
      <c r="G7" s="27" t="s">
        <v>327</v>
      </c>
      <c r="H7" s="26">
        <v>46235</v>
      </c>
      <c r="I7" s="27" t="s">
        <v>169</v>
      </c>
      <c r="J7" s="27" t="s">
        <v>179</v>
      </c>
      <c r="K7" s="27" t="s">
        <v>155</v>
      </c>
      <c r="L7" s="27" t="s">
        <v>203</v>
      </c>
      <c r="M7" s="27" t="s">
        <v>183</v>
      </c>
      <c r="N7" s="27">
        <v>1070.3</v>
      </c>
      <c r="O7" s="27">
        <v>165618.22</v>
      </c>
      <c r="P7" s="27" t="s">
        <v>183</v>
      </c>
      <c r="Q7" s="27">
        <v>195263.88</v>
      </c>
      <c r="R7" s="27">
        <v>9</v>
      </c>
      <c r="S7" s="27">
        <v>14905.64</v>
      </c>
      <c r="T7" s="27">
        <v>9</v>
      </c>
      <c r="U7" s="27">
        <v>14905.64</v>
      </c>
      <c r="V7" s="27">
        <v>0</v>
      </c>
      <c r="W7" s="27">
        <v>0</v>
      </c>
      <c r="X7" s="27">
        <v>0</v>
      </c>
      <c r="Y7" s="27">
        <v>29811.279999999999</v>
      </c>
      <c r="Z7" s="27">
        <v>0</v>
      </c>
      <c r="AA7" s="27" t="s">
        <v>176</v>
      </c>
      <c r="AB7" s="27" t="s">
        <v>184</v>
      </c>
      <c r="AC7" s="27">
        <v>39269080</v>
      </c>
      <c r="AD7" s="27" t="s">
        <v>201</v>
      </c>
      <c r="AE7" s="27">
        <v>1</v>
      </c>
      <c r="AF7" s="27">
        <v>1070.3</v>
      </c>
      <c r="AG7" s="27" t="s">
        <v>202</v>
      </c>
    </row>
    <row r="8" spans="1:33" hidden="1" x14ac:dyDescent="0.25">
      <c r="A8" s="22"/>
      <c r="B8" s="26">
        <v>46236</v>
      </c>
      <c r="C8" s="27" t="s">
        <v>212</v>
      </c>
      <c r="D8" s="27" t="s">
        <v>199</v>
      </c>
      <c r="E8" s="27">
        <v>439</v>
      </c>
      <c r="F8" s="27" t="s">
        <v>223</v>
      </c>
      <c r="G8" s="27" t="s">
        <v>328</v>
      </c>
      <c r="H8" s="26">
        <v>46236</v>
      </c>
      <c r="I8" s="27" t="s">
        <v>169</v>
      </c>
      <c r="J8" s="27" t="s">
        <v>197</v>
      </c>
      <c r="K8" s="27" t="s">
        <v>158</v>
      </c>
      <c r="L8" s="27" t="s">
        <v>213</v>
      </c>
      <c r="M8" s="27" t="s">
        <v>196</v>
      </c>
      <c r="N8" s="27">
        <v>2.2999999999999998</v>
      </c>
      <c r="O8" s="27">
        <v>749.8</v>
      </c>
      <c r="P8" s="27" t="s">
        <v>196</v>
      </c>
      <c r="Q8" s="27">
        <v>13191.59</v>
      </c>
      <c r="R8" s="27">
        <v>9</v>
      </c>
      <c r="S8" s="27">
        <v>67.48</v>
      </c>
      <c r="T8" s="27">
        <v>9</v>
      </c>
      <c r="U8" s="27">
        <v>67.48</v>
      </c>
      <c r="V8" s="27">
        <v>0</v>
      </c>
      <c r="W8" s="27">
        <v>0</v>
      </c>
      <c r="X8" s="27">
        <v>0</v>
      </c>
      <c r="Y8" s="27">
        <v>134.96</v>
      </c>
      <c r="Z8" s="27">
        <v>0</v>
      </c>
      <c r="AA8" s="27" t="s">
        <v>176</v>
      </c>
      <c r="AB8" s="27" t="s">
        <v>184</v>
      </c>
      <c r="AC8" s="27">
        <v>39201019</v>
      </c>
      <c r="AD8" s="27" t="s">
        <v>201</v>
      </c>
      <c r="AE8" s="27">
        <v>1</v>
      </c>
      <c r="AF8" s="27">
        <v>2.2999999999999998</v>
      </c>
      <c r="AG8" s="27" t="s">
        <v>202</v>
      </c>
    </row>
    <row r="9" spans="1:33" hidden="1" x14ac:dyDescent="0.25">
      <c r="A9" s="22"/>
      <c r="B9" s="26">
        <v>46236</v>
      </c>
      <c r="C9" s="27" t="s">
        <v>212</v>
      </c>
      <c r="D9" s="27" t="s">
        <v>199</v>
      </c>
      <c r="E9" s="27">
        <v>439</v>
      </c>
      <c r="F9" s="27" t="s">
        <v>223</v>
      </c>
      <c r="G9" s="27" t="s">
        <v>328</v>
      </c>
      <c r="H9" s="26">
        <v>46236</v>
      </c>
      <c r="I9" s="27" t="s">
        <v>169</v>
      </c>
      <c r="J9" s="27" t="s">
        <v>197</v>
      </c>
      <c r="K9" s="27" t="s">
        <v>158</v>
      </c>
      <c r="L9" s="27" t="s">
        <v>213</v>
      </c>
      <c r="M9" s="27" t="s">
        <v>196</v>
      </c>
      <c r="N9" s="27">
        <v>36.5</v>
      </c>
      <c r="O9" s="27">
        <v>10439</v>
      </c>
      <c r="P9" s="27" t="s">
        <v>196</v>
      </c>
      <c r="Q9" s="27">
        <v>0</v>
      </c>
      <c r="R9" s="27">
        <v>9</v>
      </c>
      <c r="S9" s="27">
        <v>939.51</v>
      </c>
      <c r="T9" s="27">
        <v>9</v>
      </c>
      <c r="U9" s="27">
        <v>939.51</v>
      </c>
      <c r="V9" s="27">
        <v>0</v>
      </c>
      <c r="W9" s="27">
        <v>0</v>
      </c>
      <c r="X9" s="27">
        <v>0</v>
      </c>
      <c r="Y9" s="27">
        <v>1879.02</v>
      </c>
      <c r="Z9" s="27">
        <v>0</v>
      </c>
      <c r="AA9" s="27" t="s">
        <v>176</v>
      </c>
      <c r="AB9" s="27" t="s">
        <v>184</v>
      </c>
      <c r="AC9" s="27">
        <v>39201019</v>
      </c>
      <c r="AD9" s="27" t="s">
        <v>201</v>
      </c>
      <c r="AE9" s="27">
        <v>1</v>
      </c>
      <c r="AF9" s="27">
        <v>36.5</v>
      </c>
      <c r="AG9" s="27" t="s">
        <v>202</v>
      </c>
    </row>
    <row r="10" spans="1:33" hidden="1" x14ac:dyDescent="0.25">
      <c r="A10" s="22"/>
      <c r="B10" s="26">
        <v>46236</v>
      </c>
      <c r="C10" s="27" t="s">
        <v>212</v>
      </c>
      <c r="D10" s="27" t="s">
        <v>199</v>
      </c>
      <c r="E10" s="27">
        <v>440</v>
      </c>
      <c r="F10" s="27" t="s">
        <v>324</v>
      </c>
      <c r="G10" s="27" t="s">
        <v>329</v>
      </c>
      <c r="H10" s="26">
        <v>46236</v>
      </c>
      <c r="I10" s="27" t="s">
        <v>188</v>
      </c>
      <c r="J10" s="27" t="s">
        <v>152</v>
      </c>
      <c r="K10" s="27" t="s">
        <v>152</v>
      </c>
      <c r="L10" s="27" t="s">
        <v>200</v>
      </c>
      <c r="M10" s="27" t="s">
        <v>191</v>
      </c>
      <c r="N10" s="27">
        <v>2722</v>
      </c>
      <c r="O10" s="27">
        <v>603140.76</v>
      </c>
      <c r="P10" s="27" t="s">
        <v>330</v>
      </c>
      <c r="Q10" s="27">
        <v>5970696.6399999997</v>
      </c>
      <c r="R10" s="27">
        <v>9</v>
      </c>
      <c r="S10" s="27">
        <v>54282.67</v>
      </c>
      <c r="T10" s="27">
        <v>9</v>
      </c>
      <c r="U10" s="27">
        <v>54282.67</v>
      </c>
      <c r="V10" s="27">
        <v>0</v>
      </c>
      <c r="W10" s="27">
        <v>0</v>
      </c>
      <c r="X10" s="27">
        <v>0</v>
      </c>
      <c r="Y10" s="27">
        <v>108565.34</v>
      </c>
      <c r="Z10" s="27">
        <v>0</v>
      </c>
      <c r="AA10" s="27" t="s">
        <v>176</v>
      </c>
      <c r="AB10" s="27" t="s">
        <v>184</v>
      </c>
      <c r="AC10" s="27">
        <v>39232999</v>
      </c>
      <c r="AD10" s="27" t="s">
        <v>201</v>
      </c>
      <c r="AE10" s="27">
        <v>1</v>
      </c>
      <c r="AF10" s="27">
        <v>2722</v>
      </c>
      <c r="AG10" s="27" t="s">
        <v>202</v>
      </c>
    </row>
    <row r="11" spans="1:33" hidden="1" x14ac:dyDescent="0.25">
      <c r="A11" s="22"/>
      <c r="B11" s="26">
        <v>46236</v>
      </c>
      <c r="C11" s="27" t="s">
        <v>212</v>
      </c>
      <c r="D11" s="27" t="s">
        <v>199</v>
      </c>
      <c r="E11" s="27">
        <v>440</v>
      </c>
      <c r="F11" s="27" t="s">
        <v>324</v>
      </c>
      <c r="G11" s="27" t="s">
        <v>329</v>
      </c>
      <c r="H11" s="26">
        <v>46236</v>
      </c>
      <c r="I11" s="27" t="s">
        <v>188</v>
      </c>
      <c r="J11" s="27" t="s">
        <v>152</v>
      </c>
      <c r="K11" s="27" t="s">
        <v>152</v>
      </c>
      <c r="L11" s="27" t="s">
        <v>200</v>
      </c>
      <c r="M11" s="27" t="s">
        <v>191</v>
      </c>
      <c r="N11" s="27">
        <v>2700</v>
      </c>
      <c r="O11" s="27">
        <v>611010</v>
      </c>
      <c r="P11" s="27" t="s">
        <v>331</v>
      </c>
      <c r="Q11" s="27">
        <v>0</v>
      </c>
      <c r="R11" s="27">
        <v>9</v>
      </c>
      <c r="S11" s="27">
        <v>54990.9</v>
      </c>
      <c r="T11" s="27">
        <v>9</v>
      </c>
      <c r="U11" s="27">
        <v>54990.9</v>
      </c>
      <c r="V11" s="27">
        <v>0</v>
      </c>
      <c r="W11" s="27">
        <v>0</v>
      </c>
      <c r="X11" s="27">
        <v>0</v>
      </c>
      <c r="Y11" s="27">
        <v>109981.8</v>
      </c>
      <c r="Z11" s="27">
        <v>0</v>
      </c>
      <c r="AA11" s="27" t="s">
        <v>176</v>
      </c>
      <c r="AB11" s="27" t="s">
        <v>184</v>
      </c>
      <c r="AC11" s="27">
        <v>39232999</v>
      </c>
      <c r="AD11" s="27" t="s">
        <v>201</v>
      </c>
      <c r="AE11" s="27">
        <v>1</v>
      </c>
      <c r="AF11" s="27">
        <v>2700</v>
      </c>
      <c r="AG11" s="27" t="s">
        <v>202</v>
      </c>
    </row>
    <row r="12" spans="1:33" hidden="1" x14ac:dyDescent="0.25">
      <c r="A12" s="22"/>
      <c r="B12" s="26">
        <v>46236</v>
      </c>
      <c r="C12" s="27" t="s">
        <v>212</v>
      </c>
      <c r="D12" s="27" t="s">
        <v>199</v>
      </c>
      <c r="E12" s="27">
        <v>440</v>
      </c>
      <c r="F12" s="27" t="s">
        <v>324</v>
      </c>
      <c r="G12" s="27" t="s">
        <v>329</v>
      </c>
      <c r="H12" s="26">
        <v>46236</v>
      </c>
      <c r="I12" s="27" t="s">
        <v>188</v>
      </c>
      <c r="J12" s="27" t="s">
        <v>152</v>
      </c>
      <c r="K12" s="27" t="s">
        <v>152</v>
      </c>
      <c r="L12" s="27" t="s">
        <v>200</v>
      </c>
      <c r="M12" s="27" t="s">
        <v>187</v>
      </c>
      <c r="N12" s="27">
        <v>1295</v>
      </c>
      <c r="O12" s="27">
        <v>310074.8</v>
      </c>
      <c r="P12" s="27" t="s">
        <v>332</v>
      </c>
      <c r="Q12" s="27">
        <v>0</v>
      </c>
      <c r="R12" s="27">
        <v>9</v>
      </c>
      <c r="S12" s="27">
        <v>27906.73</v>
      </c>
      <c r="T12" s="27">
        <v>9</v>
      </c>
      <c r="U12" s="27">
        <v>27906.73</v>
      </c>
      <c r="V12" s="27">
        <v>0</v>
      </c>
      <c r="W12" s="27">
        <v>0</v>
      </c>
      <c r="X12" s="27">
        <v>0</v>
      </c>
      <c r="Y12" s="27">
        <v>55813.46</v>
      </c>
      <c r="Z12" s="27">
        <v>0</v>
      </c>
      <c r="AA12" s="27" t="s">
        <v>176</v>
      </c>
      <c r="AB12" s="27" t="s">
        <v>184</v>
      </c>
      <c r="AC12" s="27">
        <v>39232999</v>
      </c>
      <c r="AD12" s="27" t="s">
        <v>201</v>
      </c>
      <c r="AE12" s="27">
        <v>1</v>
      </c>
      <c r="AF12" s="27">
        <v>1295</v>
      </c>
      <c r="AG12" s="27" t="s">
        <v>202</v>
      </c>
    </row>
    <row r="13" spans="1:33" hidden="1" x14ac:dyDescent="0.25">
      <c r="A13" s="22"/>
      <c r="B13" s="26">
        <v>46236</v>
      </c>
      <c r="C13" s="27" t="s">
        <v>212</v>
      </c>
      <c r="D13" s="27" t="s">
        <v>199</v>
      </c>
      <c r="E13" s="27">
        <v>440</v>
      </c>
      <c r="F13" s="27" t="s">
        <v>324</v>
      </c>
      <c r="G13" s="27" t="s">
        <v>329</v>
      </c>
      <c r="H13" s="26">
        <v>46236</v>
      </c>
      <c r="I13" s="27" t="s">
        <v>188</v>
      </c>
      <c r="J13" s="27" t="s">
        <v>152</v>
      </c>
      <c r="K13" s="27" t="s">
        <v>152</v>
      </c>
      <c r="L13" s="27" t="s">
        <v>200</v>
      </c>
      <c r="M13" s="27" t="s">
        <v>187</v>
      </c>
      <c r="N13" s="27">
        <v>420</v>
      </c>
      <c r="O13" s="27">
        <v>100317</v>
      </c>
      <c r="P13" s="27" t="s">
        <v>333</v>
      </c>
      <c r="Q13" s="27">
        <v>0</v>
      </c>
      <c r="R13" s="27">
        <v>9</v>
      </c>
      <c r="S13" s="27">
        <v>9028.5300000000007</v>
      </c>
      <c r="T13" s="27">
        <v>9</v>
      </c>
      <c r="U13" s="27">
        <v>9028.5300000000007</v>
      </c>
      <c r="V13" s="27">
        <v>0</v>
      </c>
      <c r="W13" s="27">
        <v>0</v>
      </c>
      <c r="X13" s="27">
        <v>0</v>
      </c>
      <c r="Y13" s="27">
        <v>18057.060000000001</v>
      </c>
      <c r="Z13" s="27">
        <v>0</v>
      </c>
      <c r="AA13" s="27" t="s">
        <v>176</v>
      </c>
      <c r="AB13" s="27" t="s">
        <v>184</v>
      </c>
      <c r="AC13" s="27">
        <v>39232999</v>
      </c>
      <c r="AD13" s="27" t="s">
        <v>201</v>
      </c>
      <c r="AE13" s="27">
        <v>1</v>
      </c>
      <c r="AF13" s="27">
        <v>420</v>
      </c>
      <c r="AG13" s="27" t="s">
        <v>202</v>
      </c>
    </row>
    <row r="14" spans="1:33" hidden="1" x14ac:dyDescent="0.25">
      <c r="A14" s="22"/>
      <c r="B14" s="26">
        <v>46236</v>
      </c>
      <c r="C14" s="27" t="s">
        <v>212</v>
      </c>
      <c r="D14" s="27" t="s">
        <v>199</v>
      </c>
      <c r="E14" s="27">
        <v>440</v>
      </c>
      <c r="F14" s="27" t="s">
        <v>324</v>
      </c>
      <c r="G14" s="27" t="s">
        <v>329</v>
      </c>
      <c r="H14" s="26">
        <v>46236</v>
      </c>
      <c r="I14" s="27" t="s">
        <v>188</v>
      </c>
      <c r="J14" s="27" t="s">
        <v>152</v>
      </c>
      <c r="K14" s="27" t="s">
        <v>152</v>
      </c>
      <c r="L14" s="27" t="s">
        <v>200</v>
      </c>
      <c r="M14" s="27" t="s">
        <v>187</v>
      </c>
      <c r="N14" s="27">
        <v>443</v>
      </c>
      <c r="O14" s="27">
        <v>103910.08</v>
      </c>
      <c r="P14" s="27" t="s">
        <v>334</v>
      </c>
      <c r="Q14" s="27">
        <v>0</v>
      </c>
      <c r="R14" s="27">
        <v>9</v>
      </c>
      <c r="S14" s="27">
        <v>9351.91</v>
      </c>
      <c r="T14" s="27">
        <v>9</v>
      </c>
      <c r="U14" s="27">
        <v>9351.91</v>
      </c>
      <c r="V14" s="27">
        <v>0</v>
      </c>
      <c r="W14" s="27">
        <v>0</v>
      </c>
      <c r="X14" s="27">
        <v>0</v>
      </c>
      <c r="Y14" s="27">
        <v>18703.82</v>
      </c>
      <c r="Z14" s="27">
        <v>0</v>
      </c>
      <c r="AA14" s="27" t="s">
        <v>176</v>
      </c>
      <c r="AB14" s="27" t="s">
        <v>184</v>
      </c>
      <c r="AC14" s="27">
        <v>39232999</v>
      </c>
      <c r="AD14" s="27" t="s">
        <v>201</v>
      </c>
      <c r="AE14" s="27">
        <v>1</v>
      </c>
      <c r="AF14" s="27">
        <v>443</v>
      </c>
      <c r="AG14" s="27" t="s">
        <v>202</v>
      </c>
    </row>
    <row r="15" spans="1:33" hidden="1" x14ac:dyDescent="0.25">
      <c r="A15" s="22"/>
      <c r="B15" s="26">
        <v>46236</v>
      </c>
      <c r="C15" s="27" t="s">
        <v>212</v>
      </c>
      <c r="D15" s="27" t="s">
        <v>199</v>
      </c>
      <c r="E15" s="27">
        <v>440</v>
      </c>
      <c r="F15" s="27" t="s">
        <v>324</v>
      </c>
      <c r="G15" s="27" t="s">
        <v>329</v>
      </c>
      <c r="H15" s="26">
        <v>46236</v>
      </c>
      <c r="I15" s="27" t="s">
        <v>188</v>
      </c>
      <c r="J15" s="27" t="s">
        <v>152</v>
      </c>
      <c r="K15" s="27" t="s">
        <v>152</v>
      </c>
      <c r="L15" s="27" t="s">
        <v>200</v>
      </c>
      <c r="M15" s="27" t="s">
        <v>187</v>
      </c>
      <c r="N15" s="27">
        <v>880</v>
      </c>
      <c r="O15" s="27">
        <v>208120</v>
      </c>
      <c r="P15" s="27" t="s">
        <v>335</v>
      </c>
      <c r="Q15" s="27">
        <v>0</v>
      </c>
      <c r="R15" s="27">
        <v>9</v>
      </c>
      <c r="S15" s="27">
        <v>18730.8</v>
      </c>
      <c r="T15" s="27">
        <v>9</v>
      </c>
      <c r="U15" s="27">
        <v>18730.8</v>
      </c>
      <c r="V15" s="27">
        <v>0</v>
      </c>
      <c r="W15" s="27">
        <v>0</v>
      </c>
      <c r="X15" s="27">
        <v>0</v>
      </c>
      <c r="Y15" s="27">
        <v>37461.599999999999</v>
      </c>
      <c r="Z15" s="27">
        <v>0</v>
      </c>
      <c r="AA15" s="27" t="s">
        <v>176</v>
      </c>
      <c r="AB15" s="27" t="s">
        <v>184</v>
      </c>
      <c r="AC15" s="27">
        <v>39232999</v>
      </c>
      <c r="AD15" s="27" t="s">
        <v>201</v>
      </c>
      <c r="AE15" s="27">
        <v>1</v>
      </c>
      <c r="AF15" s="27">
        <v>880</v>
      </c>
      <c r="AG15" s="27" t="s">
        <v>202</v>
      </c>
    </row>
    <row r="16" spans="1:33" hidden="1" x14ac:dyDescent="0.25">
      <c r="A16" s="22"/>
      <c r="B16" s="26">
        <v>46236</v>
      </c>
      <c r="C16" s="27" t="s">
        <v>212</v>
      </c>
      <c r="D16" s="27" t="s">
        <v>199</v>
      </c>
      <c r="E16" s="27">
        <v>440</v>
      </c>
      <c r="F16" s="27" t="s">
        <v>324</v>
      </c>
      <c r="G16" s="27" t="s">
        <v>329</v>
      </c>
      <c r="H16" s="26">
        <v>46236</v>
      </c>
      <c r="I16" s="27" t="s">
        <v>188</v>
      </c>
      <c r="J16" s="27" t="s">
        <v>152</v>
      </c>
      <c r="K16" s="27" t="s">
        <v>152</v>
      </c>
      <c r="L16" s="27" t="s">
        <v>200</v>
      </c>
      <c r="M16" s="27" t="s">
        <v>187</v>
      </c>
      <c r="N16" s="27">
        <v>1036</v>
      </c>
      <c r="O16" s="27">
        <v>232219.4</v>
      </c>
      <c r="P16" s="27" t="s">
        <v>336</v>
      </c>
      <c r="Q16" s="27">
        <v>0</v>
      </c>
      <c r="R16" s="27">
        <v>9</v>
      </c>
      <c r="S16" s="27">
        <v>20899.75</v>
      </c>
      <c r="T16" s="27">
        <v>9</v>
      </c>
      <c r="U16" s="27">
        <v>20899.75</v>
      </c>
      <c r="V16" s="27">
        <v>0</v>
      </c>
      <c r="W16" s="27">
        <v>0</v>
      </c>
      <c r="X16" s="27">
        <v>0</v>
      </c>
      <c r="Y16" s="27">
        <v>41799.5</v>
      </c>
      <c r="Z16" s="27">
        <v>0</v>
      </c>
      <c r="AA16" s="27" t="s">
        <v>176</v>
      </c>
      <c r="AB16" s="27" t="s">
        <v>184</v>
      </c>
      <c r="AC16" s="27">
        <v>39232999</v>
      </c>
      <c r="AD16" s="27" t="s">
        <v>201</v>
      </c>
      <c r="AE16" s="27">
        <v>1</v>
      </c>
      <c r="AF16" s="27">
        <v>1036</v>
      </c>
      <c r="AG16" s="27" t="s">
        <v>202</v>
      </c>
    </row>
    <row r="17" spans="1:33" hidden="1" x14ac:dyDescent="0.25">
      <c r="A17" s="22"/>
      <c r="B17" s="26">
        <v>46236</v>
      </c>
      <c r="C17" s="27" t="s">
        <v>212</v>
      </c>
      <c r="D17" s="27" t="s">
        <v>199</v>
      </c>
      <c r="E17" s="27">
        <v>440</v>
      </c>
      <c r="F17" s="27" t="s">
        <v>324</v>
      </c>
      <c r="G17" s="27" t="s">
        <v>329</v>
      </c>
      <c r="H17" s="26">
        <v>46236</v>
      </c>
      <c r="I17" s="27" t="s">
        <v>188</v>
      </c>
      <c r="J17" s="27" t="s">
        <v>152</v>
      </c>
      <c r="K17" s="27" t="s">
        <v>152</v>
      </c>
      <c r="L17" s="27" t="s">
        <v>200</v>
      </c>
      <c r="M17" s="27" t="s">
        <v>187</v>
      </c>
      <c r="N17" s="27">
        <v>1315</v>
      </c>
      <c r="O17" s="27">
        <v>318756</v>
      </c>
      <c r="P17" s="27" t="s">
        <v>337</v>
      </c>
      <c r="Q17" s="27">
        <v>0</v>
      </c>
      <c r="R17" s="27">
        <v>9</v>
      </c>
      <c r="S17" s="27">
        <v>28688.04</v>
      </c>
      <c r="T17" s="27">
        <v>9</v>
      </c>
      <c r="U17" s="27">
        <v>28688.04</v>
      </c>
      <c r="V17" s="27">
        <v>0</v>
      </c>
      <c r="W17" s="27">
        <v>0</v>
      </c>
      <c r="X17" s="27">
        <v>0</v>
      </c>
      <c r="Y17" s="27">
        <v>57376.08</v>
      </c>
      <c r="Z17" s="27">
        <v>0</v>
      </c>
      <c r="AA17" s="27" t="s">
        <v>176</v>
      </c>
      <c r="AB17" s="27" t="s">
        <v>184</v>
      </c>
      <c r="AC17" s="27">
        <v>39232999</v>
      </c>
      <c r="AD17" s="27" t="s">
        <v>201</v>
      </c>
      <c r="AE17" s="27">
        <v>1</v>
      </c>
      <c r="AF17" s="27">
        <v>1315</v>
      </c>
      <c r="AG17" s="27" t="s">
        <v>202</v>
      </c>
    </row>
    <row r="18" spans="1:33" hidden="1" x14ac:dyDescent="0.25">
      <c r="A18" s="22"/>
      <c r="B18" s="26">
        <v>46236</v>
      </c>
      <c r="C18" s="27" t="s">
        <v>212</v>
      </c>
      <c r="D18" s="27" t="s">
        <v>199</v>
      </c>
      <c r="E18" s="27">
        <v>440</v>
      </c>
      <c r="F18" s="27" t="s">
        <v>324</v>
      </c>
      <c r="G18" s="27" t="s">
        <v>329</v>
      </c>
      <c r="H18" s="26">
        <v>46236</v>
      </c>
      <c r="I18" s="27" t="s">
        <v>188</v>
      </c>
      <c r="J18" s="27" t="s">
        <v>152</v>
      </c>
      <c r="K18" s="27" t="s">
        <v>152</v>
      </c>
      <c r="L18" s="27" t="s">
        <v>200</v>
      </c>
      <c r="M18" s="27" t="s">
        <v>187</v>
      </c>
      <c r="N18" s="27">
        <v>5348</v>
      </c>
      <c r="O18" s="27">
        <v>1397967.2</v>
      </c>
      <c r="P18" s="27" t="s">
        <v>338</v>
      </c>
      <c r="Q18" s="27">
        <v>0</v>
      </c>
      <c r="R18" s="27">
        <v>9</v>
      </c>
      <c r="S18" s="27">
        <v>125817.05</v>
      </c>
      <c r="T18" s="27">
        <v>9</v>
      </c>
      <c r="U18" s="27">
        <v>125817.05</v>
      </c>
      <c r="V18" s="27">
        <v>0</v>
      </c>
      <c r="W18" s="27">
        <v>0</v>
      </c>
      <c r="X18" s="27">
        <v>0</v>
      </c>
      <c r="Y18" s="27">
        <v>251634.1</v>
      </c>
      <c r="Z18" s="27">
        <v>0</v>
      </c>
      <c r="AA18" s="27" t="s">
        <v>176</v>
      </c>
      <c r="AB18" s="27" t="s">
        <v>184</v>
      </c>
      <c r="AC18" s="27">
        <v>39232999</v>
      </c>
      <c r="AD18" s="27" t="s">
        <v>201</v>
      </c>
      <c r="AE18" s="27">
        <v>1</v>
      </c>
      <c r="AF18" s="27">
        <v>5348</v>
      </c>
      <c r="AG18" s="27" t="s">
        <v>202</v>
      </c>
    </row>
    <row r="19" spans="1:33" hidden="1" x14ac:dyDescent="0.25">
      <c r="A19" s="22"/>
      <c r="B19" s="26">
        <v>46236</v>
      </c>
      <c r="C19" s="27" t="s">
        <v>212</v>
      </c>
      <c r="D19" s="27" t="s">
        <v>199</v>
      </c>
      <c r="E19" s="27">
        <v>440</v>
      </c>
      <c r="F19" s="27" t="s">
        <v>324</v>
      </c>
      <c r="G19" s="27" t="s">
        <v>329</v>
      </c>
      <c r="H19" s="26">
        <v>46236</v>
      </c>
      <c r="I19" s="27" t="s">
        <v>188</v>
      </c>
      <c r="J19" s="27" t="s">
        <v>152</v>
      </c>
      <c r="K19" s="27" t="s">
        <v>152</v>
      </c>
      <c r="L19" s="27" t="s">
        <v>200</v>
      </c>
      <c r="M19" s="27" t="s">
        <v>187</v>
      </c>
      <c r="N19" s="27">
        <v>4612</v>
      </c>
      <c r="O19" s="27">
        <v>1178688.8400000001</v>
      </c>
      <c r="P19" s="27" t="s">
        <v>339</v>
      </c>
      <c r="Q19" s="27">
        <v>0</v>
      </c>
      <c r="R19" s="27">
        <v>9</v>
      </c>
      <c r="S19" s="27">
        <v>106082</v>
      </c>
      <c r="T19" s="27">
        <v>9</v>
      </c>
      <c r="U19" s="27">
        <v>106082</v>
      </c>
      <c r="V19" s="27">
        <v>0</v>
      </c>
      <c r="W19" s="27">
        <v>0</v>
      </c>
      <c r="X19" s="27">
        <v>0</v>
      </c>
      <c r="Y19" s="27">
        <v>212164</v>
      </c>
      <c r="Z19" s="27">
        <v>0</v>
      </c>
      <c r="AA19" s="27" t="s">
        <v>176</v>
      </c>
      <c r="AB19" s="27" t="s">
        <v>184</v>
      </c>
      <c r="AC19" s="27">
        <v>39232999</v>
      </c>
      <c r="AD19" s="27" t="s">
        <v>201</v>
      </c>
      <c r="AE19" s="27">
        <v>1</v>
      </c>
      <c r="AF19" s="27">
        <v>4612</v>
      </c>
      <c r="AG19" s="27" t="s">
        <v>202</v>
      </c>
    </row>
    <row r="20" spans="1:33" hidden="1" x14ac:dyDescent="0.25">
      <c r="A20" s="22"/>
      <c r="B20" s="26">
        <v>46237</v>
      </c>
      <c r="C20" s="27" t="s">
        <v>210</v>
      </c>
      <c r="D20" s="27" t="s">
        <v>199</v>
      </c>
      <c r="E20" s="27">
        <v>441</v>
      </c>
      <c r="F20" s="27" t="s">
        <v>324</v>
      </c>
      <c r="G20" s="27" t="s">
        <v>340</v>
      </c>
      <c r="H20" s="26">
        <v>46237</v>
      </c>
      <c r="I20" s="27" t="s">
        <v>188</v>
      </c>
      <c r="J20" s="27" t="s">
        <v>152</v>
      </c>
      <c r="K20" s="27" t="s">
        <v>152</v>
      </c>
      <c r="L20" s="27" t="s">
        <v>200</v>
      </c>
      <c r="M20" s="27" t="s">
        <v>187</v>
      </c>
      <c r="N20" s="27">
        <v>1485</v>
      </c>
      <c r="O20" s="27">
        <v>314701.2</v>
      </c>
      <c r="P20" s="27" t="s">
        <v>341</v>
      </c>
      <c r="Q20" s="27">
        <v>6216275.5</v>
      </c>
      <c r="R20" s="27">
        <v>9</v>
      </c>
      <c r="S20" s="27">
        <v>28323.11</v>
      </c>
      <c r="T20" s="27">
        <v>9</v>
      </c>
      <c r="U20" s="27">
        <v>28323.11</v>
      </c>
      <c r="V20" s="27">
        <v>0</v>
      </c>
      <c r="W20" s="27">
        <v>0</v>
      </c>
      <c r="X20" s="27">
        <v>0</v>
      </c>
      <c r="Y20" s="27">
        <v>56646.22</v>
      </c>
      <c r="Z20" s="27">
        <v>0</v>
      </c>
      <c r="AA20" s="27" t="s">
        <v>171</v>
      </c>
      <c r="AB20" s="27" t="s">
        <v>184</v>
      </c>
      <c r="AC20" s="27">
        <v>39232999</v>
      </c>
      <c r="AD20" s="27" t="s">
        <v>201</v>
      </c>
      <c r="AE20" s="27">
        <v>1</v>
      </c>
      <c r="AF20" s="27">
        <v>1485</v>
      </c>
      <c r="AG20" s="27" t="s">
        <v>202</v>
      </c>
    </row>
    <row r="21" spans="1:33" hidden="1" x14ac:dyDescent="0.25">
      <c r="A21" s="22"/>
      <c r="B21" s="26">
        <v>46237</v>
      </c>
      <c r="C21" s="27" t="s">
        <v>210</v>
      </c>
      <c r="D21" s="27" t="s">
        <v>199</v>
      </c>
      <c r="E21" s="27">
        <v>441</v>
      </c>
      <c r="F21" s="27" t="s">
        <v>324</v>
      </c>
      <c r="G21" s="27" t="s">
        <v>340</v>
      </c>
      <c r="H21" s="26">
        <v>46237</v>
      </c>
      <c r="I21" s="27" t="s">
        <v>188</v>
      </c>
      <c r="J21" s="27" t="s">
        <v>152</v>
      </c>
      <c r="K21" s="27" t="s">
        <v>152</v>
      </c>
      <c r="L21" s="27" t="s">
        <v>200</v>
      </c>
      <c r="M21" s="27" t="s">
        <v>187</v>
      </c>
      <c r="N21" s="27">
        <v>12991</v>
      </c>
      <c r="O21" s="27">
        <v>3597467.72</v>
      </c>
      <c r="P21" s="27" t="s">
        <v>342</v>
      </c>
      <c r="Q21" s="27">
        <v>0</v>
      </c>
      <c r="R21" s="27">
        <v>9</v>
      </c>
      <c r="S21" s="27">
        <v>323772.09000000003</v>
      </c>
      <c r="T21" s="27">
        <v>9</v>
      </c>
      <c r="U21" s="27">
        <v>323772.09000000003</v>
      </c>
      <c r="V21" s="27">
        <v>0</v>
      </c>
      <c r="W21" s="27">
        <v>0</v>
      </c>
      <c r="X21" s="27">
        <v>0</v>
      </c>
      <c r="Y21" s="27">
        <v>647544.18000000005</v>
      </c>
      <c r="Z21" s="27">
        <v>0</v>
      </c>
      <c r="AA21" s="27" t="s">
        <v>171</v>
      </c>
      <c r="AB21" s="27" t="s">
        <v>184</v>
      </c>
      <c r="AC21" s="27">
        <v>39232999</v>
      </c>
      <c r="AD21" s="27" t="s">
        <v>201</v>
      </c>
      <c r="AE21" s="27">
        <v>1</v>
      </c>
      <c r="AF21" s="27">
        <v>12991</v>
      </c>
      <c r="AG21" s="27" t="s">
        <v>202</v>
      </c>
    </row>
    <row r="22" spans="1:33" hidden="1" x14ac:dyDescent="0.25">
      <c r="A22" s="22"/>
      <c r="B22" s="26">
        <v>46237</v>
      </c>
      <c r="C22" s="27" t="s">
        <v>210</v>
      </c>
      <c r="D22" s="27" t="s">
        <v>199</v>
      </c>
      <c r="E22" s="27">
        <v>441</v>
      </c>
      <c r="F22" s="27" t="s">
        <v>324</v>
      </c>
      <c r="G22" s="27" t="s">
        <v>340</v>
      </c>
      <c r="H22" s="26">
        <v>46237</v>
      </c>
      <c r="I22" s="27" t="s">
        <v>188</v>
      </c>
      <c r="J22" s="27" t="s">
        <v>152</v>
      </c>
      <c r="K22" s="27" t="s">
        <v>152</v>
      </c>
      <c r="L22" s="27" t="s">
        <v>200</v>
      </c>
      <c r="M22" s="27" t="s">
        <v>187</v>
      </c>
      <c r="N22" s="27">
        <v>826</v>
      </c>
      <c r="O22" s="27">
        <v>173236.98</v>
      </c>
      <c r="P22" s="27" t="s">
        <v>343</v>
      </c>
      <c r="Q22" s="27">
        <v>0</v>
      </c>
      <c r="R22" s="27">
        <v>9</v>
      </c>
      <c r="S22" s="27">
        <v>15591.33</v>
      </c>
      <c r="T22" s="27">
        <v>9</v>
      </c>
      <c r="U22" s="27">
        <v>15591.33</v>
      </c>
      <c r="V22" s="27">
        <v>0</v>
      </c>
      <c r="W22" s="27">
        <v>0</v>
      </c>
      <c r="X22" s="27">
        <v>0</v>
      </c>
      <c r="Y22" s="27">
        <v>31182.66</v>
      </c>
      <c r="Z22" s="27">
        <v>0</v>
      </c>
      <c r="AA22" s="27" t="s">
        <v>171</v>
      </c>
      <c r="AB22" s="27" t="s">
        <v>184</v>
      </c>
      <c r="AC22" s="27">
        <v>39232999</v>
      </c>
      <c r="AD22" s="27" t="s">
        <v>201</v>
      </c>
      <c r="AE22" s="27">
        <v>1</v>
      </c>
      <c r="AF22" s="27">
        <v>826</v>
      </c>
      <c r="AG22" s="27" t="s">
        <v>202</v>
      </c>
    </row>
    <row r="23" spans="1:33" hidden="1" x14ac:dyDescent="0.25">
      <c r="A23" s="22"/>
      <c r="B23" s="26">
        <v>46237</v>
      </c>
      <c r="C23" s="27" t="s">
        <v>210</v>
      </c>
      <c r="D23" s="27" t="s">
        <v>199</v>
      </c>
      <c r="E23" s="27">
        <v>441</v>
      </c>
      <c r="F23" s="27" t="s">
        <v>324</v>
      </c>
      <c r="G23" s="27" t="s">
        <v>340</v>
      </c>
      <c r="H23" s="26">
        <v>46237</v>
      </c>
      <c r="I23" s="27" t="s">
        <v>188</v>
      </c>
      <c r="J23" s="27" t="s">
        <v>152</v>
      </c>
      <c r="K23" s="27" t="s">
        <v>152</v>
      </c>
      <c r="L23" s="27" t="s">
        <v>200</v>
      </c>
      <c r="M23" s="27" t="s">
        <v>187</v>
      </c>
      <c r="N23" s="27">
        <v>5309</v>
      </c>
      <c r="O23" s="27">
        <v>1187092.3999999999</v>
      </c>
      <c r="P23" s="27" t="s">
        <v>344</v>
      </c>
      <c r="Q23" s="27">
        <v>0</v>
      </c>
      <c r="R23" s="27">
        <v>9</v>
      </c>
      <c r="S23" s="27">
        <v>106838.32</v>
      </c>
      <c r="T23" s="27">
        <v>9</v>
      </c>
      <c r="U23" s="27">
        <v>106838.32</v>
      </c>
      <c r="V23" s="27">
        <v>0</v>
      </c>
      <c r="W23" s="27">
        <v>0</v>
      </c>
      <c r="X23" s="27">
        <v>0</v>
      </c>
      <c r="Y23" s="27">
        <v>213676.64</v>
      </c>
      <c r="Z23" s="27">
        <v>0</v>
      </c>
      <c r="AA23" s="27" t="s">
        <v>171</v>
      </c>
      <c r="AB23" s="27" t="s">
        <v>184</v>
      </c>
      <c r="AC23" s="27">
        <v>39232999</v>
      </c>
      <c r="AD23" s="27" t="s">
        <v>201</v>
      </c>
      <c r="AE23" s="27">
        <v>1</v>
      </c>
      <c r="AF23" s="27">
        <v>5309</v>
      </c>
      <c r="AG23" s="27" t="s">
        <v>202</v>
      </c>
    </row>
    <row r="24" spans="1:33" hidden="1" x14ac:dyDescent="0.25">
      <c r="A24" s="22"/>
      <c r="B24" s="26">
        <v>46237</v>
      </c>
      <c r="C24" s="27" t="s">
        <v>212</v>
      </c>
      <c r="D24" s="27" t="s">
        <v>199</v>
      </c>
      <c r="E24" s="27">
        <v>442</v>
      </c>
      <c r="F24" s="27" t="s">
        <v>324</v>
      </c>
      <c r="G24" s="27" t="s">
        <v>345</v>
      </c>
      <c r="H24" s="26">
        <v>46237</v>
      </c>
      <c r="I24" s="27" t="s">
        <v>169</v>
      </c>
      <c r="J24" s="27" t="s">
        <v>179</v>
      </c>
      <c r="K24" s="27" t="s">
        <v>155</v>
      </c>
      <c r="L24" s="27" t="s">
        <v>203</v>
      </c>
      <c r="M24" s="27" t="s">
        <v>183</v>
      </c>
      <c r="N24" s="27">
        <v>658</v>
      </c>
      <c r="O24" s="27">
        <v>94804.64</v>
      </c>
      <c r="P24" s="27" t="s">
        <v>346</v>
      </c>
      <c r="Q24" s="27">
        <v>138941.84</v>
      </c>
      <c r="R24" s="27">
        <v>9</v>
      </c>
      <c r="S24" s="27">
        <v>8532.42</v>
      </c>
      <c r="T24" s="27">
        <v>9</v>
      </c>
      <c r="U24" s="27">
        <v>8532.42</v>
      </c>
      <c r="V24" s="27">
        <v>0</v>
      </c>
      <c r="W24" s="27">
        <v>0</v>
      </c>
      <c r="X24" s="27">
        <v>0</v>
      </c>
      <c r="Y24" s="27">
        <v>17064.84</v>
      </c>
      <c r="Z24" s="27">
        <v>0</v>
      </c>
      <c r="AA24" s="27" t="s">
        <v>176</v>
      </c>
      <c r="AB24" s="27" t="s">
        <v>184</v>
      </c>
      <c r="AC24" s="27">
        <v>39269080</v>
      </c>
      <c r="AD24" s="27" t="s">
        <v>201</v>
      </c>
      <c r="AE24" s="27">
        <v>1</v>
      </c>
      <c r="AF24" s="27">
        <v>658</v>
      </c>
      <c r="AG24" s="27" t="s">
        <v>202</v>
      </c>
    </row>
    <row r="25" spans="1:33" hidden="1" x14ac:dyDescent="0.25">
      <c r="A25" s="22"/>
      <c r="B25" s="26">
        <v>46237</v>
      </c>
      <c r="C25" s="27" t="s">
        <v>212</v>
      </c>
      <c r="D25" s="27" t="s">
        <v>199</v>
      </c>
      <c r="E25" s="27">
        <v>442</v>
      </c>
      <c r="F25" s="27" t="s">
        <v>324</v>
      </c>
      <c r="G25" s="27" t="s">
        <v>345</v>
      </c>
      <c r="H25" s="26">
        <v>46237</v>
      </c>
      <c r="I25" s="27" t="s">
        <v>169</v>
      </c>
      <c r="J25" s="27" t="s">
        <v>179</v>
      </c>
      <c r="K25" s="27" t="s">
        <v>155</v>
      </c>
      <c r="L25" s="27" t="s">
        <v>203</v>
      </c>
      <c r="M25" s="27" t="s">
        <v>183</v>
      </c>
      <c r="N25" s="27">
        <v>172.5</v>
      </c>
      <c r="O25" s="27">
        <v>23042.55</v>
      </c>
      <c r="P25" s="27" t="s">
        <v>347</v>
      </c>
      <c r="Q25" s="27">
        <v>0</v>
      </c>
      <c r="R25" s="27">
        <v>9</v>
      </c>
      <c r="S25" s="27">
        <v>2073.83</v>
      </c>
      <c r="T25" s="27">
        <v>9</v>
      </c>
      <c r="U25" s="27">
        <v>2073.83</v>
      </c>
      <c r="V25" s="27">
        <v>0</v>
      </c>
      <c r="W25" s="27">
        <v>0</v>
      </c>
      <c r="X25" s="27">
        <v>0</v>
      </c>
      <c r="Y25" s="27">
        <v>4147.66</v>
      </c>
      <c r="Z25" s="27">
        <v>0</v>
      </c>
      <c r="AA25" s="27" t="s">
        <v>176</v>
      </c>
      <c r="AB25" s="27" t="s">
        <v>184</v>
      </c>
      <c r="AC25" s="27">
        <v>39269080</v>
      </c>
      <c r="AD25" s="27" t="s">
        <v>201</v>
      </c>
      <c r="AE25" s="27">
        <v>1</v>
      </c>
      <c r="AF25" s="27">
        <v>172.5</v>
      </c>
      <c r="AG25" s="27" t="s">
        <v>202</v>
      </c>
    </row>
    <row r="26" spans="1:33" hidden="1" x14ac:dyDescent="0.25">
      <c r="A26" s="22"/>
      <c r="B26" s="26">
        <v>46238</v>
      </c>
      <c r="C26" s="27" t="s">
        <v>215</v>
      </c>
      <c r="D26" s="27" t="s">
        <v>205</v>
      </c>
      <c r="E26" s="27" t="s">
        <v>348</v>
      </c>
      <c r="F26" s="27" t="s">
        <v>216</v>
      </c>
      <c r="G26" s="27" t="s">
        <v>348</v>
      </c>
      <c r="H26" s="26">
        <v>46238</v>
      </c>
      <c r="I26" s="27" t="s">
        <v>188</v>
      </c>
      <c r="J26" s="27" t="s">
        <v>152</v>
      </c>
      <c r="K26" s="27" t="s">
        <v>163</v>
      </c>
      <c r="L26" s="27" t="s">
        <v>200</v>
      </c>
      <c r="M26" s="27" t="s">
        <v>187</v>
      </c>
      <c r="N26" s="27">
        <v>20011</v>
      </c>
      <c r="O26" s="27">
        <v>4831808.4723411752</v>
      </c>
      <c r="P26" s="27" t="s">
        <v>217</v>
      </c>
      <c r="Q26" s="27">
        <v>4831808.47</v>
      </c>
      <c r="R26" s="27">
        <v>0</v>
      </c>
      <c r="S26" s="27">
        <v>0</v>
      </c>
      <c r="T26" s="27">
        <v>0</v>
      </c>
      <c r="U26" s="27">
        <v>0</v>
      </c>
      <c r="V26" s="27">
        <v>0</v>
      </c>
      <c r="W26" s="27">
        <v>0</v>
      </c>
      <c r="X26" s="27">
        <v>0</v>
      </c>
      <c r="Y26" s="27">
        <v>0</v>
      </c>
      <c r="Z26" s="27">
        <v>0</v>
      </c>
      <c r="AA26" s="27" t="s">
        <v>214</v>
      </c>
      <c r="AB26" s="27" t="s">
        <v>184</v>
      </c>
      <c r="AC26" s="27">
        <v>63053200</v>
      </c>
      <c r="AD26" s="27" t="s">
        <v>209</v>
      </c>
      <c r="AE26" s="27">
        <v>95.45</v>
      </c>
      <c r="AF26" s="27">
        <v>20011</v>
      </c>
      <c r="AG26" s="27" t="s">
        <v>218</v>
      </c>
    </row>
    <row r="27" spans="1:33" hidden="1" x14ac:dyDescent="0.25">
      <c r="A27" s="22"/>
      <c r="B27" s="26">
        <v>46238</v>
      </c>
      <c r="C27" s="27" t="s">
        <v>215</v>
      </c>
      <c r="D27" s="27" t="s">
        <v>205</v>
      </c>
      <c r="E27" s="27" t="s">
        <v>349</v>
      </c>
      <c r="F27" s="27" t="s">
        <v>216</v>
      </c>
      <c r="G27" s="27" t="s">
        <v>349</v>
      </c>
      <c r="H27" s="26">
        <v>46238</v>
      </c>
      <c r="I27" s="27" t="s">
        <v>188</v>
      </c>
      <c r="J27" s="27" t="s">
        <v>152</v>
      </c>
      <c r="K27" s="27" t="s">
        <v>163</v>
      </c>
      <c r="L27" s="27" t="s">
        <v>200</v>
      </c>
      <c r="M27" s="27" t="s">
        <v>187</v>
      </c>
      <c r="N27" s="27">
        <v>18596</v>
      </c>
      <c r="O27" s="27">
        <v>4279577.1346642803</v>
      </c>
      <c r="P27" s="27" t="s">
        <v>217</v>
      </c>
      <c r="Q27" s="27">
        <v>4279577.13</v>
      </c>
      <c r="R27" s="27">
        <v>0</v>
      </c>
      <c r="S27" s="27">
        <v>0</v>
      </c>
      <c r="T27" s="27">
        <v>0</v>
      </c>
      <c r="U27" s="27">
        <v>0</v>
      </c>
      <c r="V27" s="27">
        <v>0</v>
      </c>
      <c r="W27" s="27">
        <v>0</v>
      </c>
      <c r="X27" s="27">
        <v>0</v>
      </c>
      <c r="Y27" s="27">
        <v>0</v>
      </c>
      <c r="Z27" s="27">
        <v>0</v>
      </c>
      <c r="AA27" s="27" t="s">
        <v>214</v>
      </c>
      <c r="AB27" s="27" t="s">
        <v>184</v>
      </c>
      <c r="AC27" s="27">
        <v>63053200</v>
      </c>
      <c r="AD27" s="27" t="s">
        <v>209</v>
      </c>
      <c r="AE27" s="27">
        <v>95.45</v>
      </c>
      <c r="AF27" s="27">
        <v>18596</v>
      </c>
      <c r="AG27" s="27" t="s">
        <v>218</v>
      </c>
    </row>
    <row r="28" spans="1:33" hidden="1" x14ac:dyDescent="0.25">
      <c r="A28" s="22"/>
      <c r="B28" s="26">
        <v>46238</v>
      </c>
      <c r="C28" s="27" t="s">
        <v>226</v>
      </c>
      <c r="D28" s="27" t="s">
        <v>199</v>
      </c>
      <c r="E28" s="27">
        <v>446</v>
      </c>
      <c r="F28" s="27" t="s">
        <v>324</v>
      </c>
      <c r="G28" s="27" t="s">
        <v>350</v>
      </c>
      <c r="H28" s="26">
        <v>46238</v>
      </c>
      <c r="I28" s="27" t="s">
        <v>188</v>
      </c>
      <c r="J28" s="27" t="s">
        <v>152</v>
      </c>
      <c r="K28" s="27" t="s">
        <v>152</v>
      </c>
      <c r="L28" s="27" t="s">
        <v>200</v>
      </c>
      <c r="M28" s="27" t="s">
        <v>187</v>
      </c>
      <c r="N28" s="27">
        <v>1759</v>
      </c>
      <c r="O28" s="27">
        <v>348651.39</v>
      </c>
      <c r="P28" s="27" t="s">
        <v>351</v>
      </c>
      <c r="Q28" s="27">
        <v>5111578.3099999996</v>
      </c>
      <c r="R28" s="27">
        <v>9</v>
      </c>
      <c r="S28" s="27">
        <v>31378.63</v>
      </c>
      <c r="T28" s="27">
        <v>9</v>
      </c>
      <c r="U28" s="27">
        <v>31378.63</v>
      </c>
      <c r="V28" s="27">
        <v>0</v>
      </c>
      <c r="W28" s="27">
        <v>0</v>
      </c>
      <c r="X28" s="27">
        <v>0</v>
      </c>
      <c r="Y28" s="27">
        <v>62757.26</v>
      </c>
      <c r="Z28" s="27">
        <v>0</v>
      </c>
      <c r="AA28" s="27" t="s">
        <v>185</v>
      </c>
      <c r="AB28" s="27" t="s">
        <v>184</v>
      </c>
      <c r="AC28" s="27">
        <v>63053200</v>
      </c>
      <c r="AD28" s="27" t="s">
        <v>201</v>
      </c>
      <c r="AE28" s="27">
        <v>1</v>
      </c>
      <c r="AF28" s="27">
        <v>1759</v>
      </c>
      <c r="AG28" s="27" t="s">
        <v>202</v>
      </c>
    </row>
    <row r="29" spans="1:33" hidden="1" x14ac:dyDescent="0.25">
      <c r="A29" s="22"/>
      <c r="B29" s="26">
        <v>46238</v>
      </c>
      <c r="C29" s="27" t="s">
        <v>226</v>
      </c>
      <c r="D29" s="27" t="s">
        <v>199</v>
      </c>
      <c r="E29" s="27">
        <v>446</v>
      </c>
      <c r="F29" s="27" t="s">
        <v>324</v>
      </c>
      <c r="G29" s="27" t="s">
        <v>350</v>
      </c>
      <c r="H29" s="26">
        <v>46238</v>
      </c>
      <c r="I29" s="27" t="s">
        <v>188</v>
      </c>
      <c r="J29" s="27" t="s">
        <v>152</v>
      </c>
      <c r="K29" s="27" t="s">
        <v>152</v>
      </c>
      <c r="L29" s="27" t="s">
        <v>200</v>
      </c>
      <c r="M29" s="27" t="s">
        <v>187</v>
      </c>
      <c r="N29" s="27">
        <v>8057</v>
      </c>
      <c r="O29" s="27">
        <v>1749335.84</v>
      </c>
      <c r="P29" s="27" t="s">
        <v>352</v>
      </c>
      <c r="Q29" s="27">
        <v>0</v>
      </c>
      <c r="R29" s="27">
        <v>9</v>
      </c>
      <c r="S29" s="27">
        <v>157440.23000000001</v>
      </c>
      <c r="T29" s="27">
        <v>9</v>
      </c>
      <c r="U29" s="27">
        <v>157440.23000000001</v>
      </c>
      <c r="V29" s="27">
        <v>0</v>
      </c>
      <c r="W29" s="27">
        <v>0</v>
      </c>
      <c r="X29" s="27">
        <v>0</v>
      </c>
      <c r="Y29" s="27">
        <v>314880.46000000002</v>
      </c>
      <c r="Z29" s="27">
        <v>0</v>
      </c>
      <c r="AA29" s="27" t="s">
        <v>185</v>
      </c>
      <c r="AB29" s="27" t="s">
        <v>184</v>
      </c>
      <c r="AC29" s="27">
        <v>63053200</v>
      </c>
      <c r="AD29" s="27" t="s">
        <v>201</v>
      </c>
      <c r="AE29" s="27">
        <v>1</v>
      </c>
      <c r="AF29" s="27">
        <v>8057</v>
      </c>
      <c r="AG29" s="27" t="s">
        <v>202</v>
      </c>
    </row>
    <row r="30" spans="1:33" hidden="1" x14ac:dyDescent="0.25">
      <c r="A30" s="22"/>
      <c r="B30" s="26">
        <v>46238</v>
      </c>
      <c r="C30" s="27" t="s">
        <v>226</v>
      </c>
      <c r="D30" s="27" t="s">
        <v>199</v>
      </c>
      <c r="E30" s="27">
        <v>446</v>
      </c>
      <c r="F30" s="27" t="s">
        <v>324</v>
      </c>
      <c r="G30" s="27" t="s">
        <v>350</v>
      </c>
      <c r="H30" s="26">
        <v>46238</v>
      </c>
      <c r="I30" s="27" t="s">
        <v>188</v>
      </c>
      <c r="J30" s="27" t="s">
        <v>152</v>
      </c>
      <c r="K30" s="27" t="s">
        <v>152</v>
      </c>
      <c r="L30" s="27" t="s">
        <v>200</v>
      </c>
      <c r="M30" s="27" t="s">
        <v>187</v>
      </c>
      <c r="N30" s="27">
        <v>1624</v>
      </c>
      <c r="O30" s="27">
        <v>348364.24</v>
      </c>
      <c r="P30" s="27" t="s">
        <v>353</v>
      </c>
      <c r="Q30" s="27">
        <v>0</v>
      </c>
      <c r="R30" s="27">
        <v>9</v>
      </c>
      <c r="S30" s="27">
        <v>31352.78</v>
      </c>
      <c r="T30" s="27">
        <v>9</v>
      </c>
      <c r="U30" s="27">
        <v>31352.78</v>
      </c>
      <c r="V30" s="27">
        <v>0</v>
      </c>
      <c r="W30" s="27">
        <v>0</v>
      </c>
      <c r="X30" s="27">
        <v>0</v>
      </c>
      <c r="Y30" s="27">
        <v>62705.56</v>
      </c>
      <c r="Z30" s="27">
        <v>0</v>
      </c>
      <c r="AA30" s="27" t="s">
        <v>185</v>
      </c>
      <c r="AB30" s="27" t="s">
        <v>184</v>
      </c>
      <c r="AC30" s="27">
        <v>63053200</v>
      </c>
      <c r="AD30" s="27" t="s">
        <v>201</v>
      </c>
      <c r="AE30" s="27">
        <v>1</v>
      </c>
      <c r="AF30" s="27">
        <v>1624</v>
      </c>
      <c r="AG30" s="27" t="s">
        <v>202</v>
      </c>
    </row>
    <row r="31" spans="1:33" hidden="1" x14ac:dyDescent="0.25">
      <c r="A31" s="22"/>
      <c r="B31" s="26">
        <v>46238</v>
      </c>
      <c r="C31" s="27" t="s">
        <v>226</v>
      </c>
      <c r="D31" s="27" t="s">
        <v>199</v>
      </c>
      <c r="E31" s="27">
        <v>446</v>
      </c>
      <c r="F31" s="27" t="s">
        <v>324</v>
      </c>
      <c r="G31" s="27" t="s">
        <v>350</v>
      </c>
      <c r="H31" s="26">
        <v>46238</v>
      </c>
      <c r="I31" s="27" t="s">
        <v>188</v>
      </c>
      <c r="J31" s="27" t="s">
        <v>152</v>
      </c>
      <c r="K31" s="27" t="s">
        <v>152</v>
      </c>
      <c r="L31" s="27" t="s">
        <v>200</v>
      </c>
      <c r="M31" s="27" t="s">
        <v>187</v>
      </c>
      <c r="N31" s="27">
        <v>881</v>
      </c>
      <c r="O31" s="27">
        <v>167654.29999999999</v>
      </c>
      <c r="P31" s="27" t="s">
        <v>354</v>
      </c>
      <c r="Q31" s="27">
        <v>0</v>
      </c>
      <c r="R31" s="27">
        <v>9</v>
      </c>
      <c r="S31" s="27">
        <v>15088.89</v>
      </c>
      <c r="T31" s="27">
        <v>9</v>
      </c>
      <c r="U31" s="27">
        <v>15088.89</v>
      </c>
      <c r="V31" s="27">
        <v>0</v>
      </c>
      <c r="W31" s="27">
        <v>0</v>
      </c>
      <c r="X31" s="27">
        <v>0</v>
      </c>
      <c r="Y31" s="27">
        <v>30177.78</v>
      </c>
      <c r="Z31" s="27">
        <v>0</v>
      </c>
      <c r="AA31" s="27" t="s">
        <v>185</v>
      </c>
      <c r="AB31" s="27" t="s">
        <v>184</v>
      </c>
      <c r="AC31" s="27">
        <v>63053200</v>
      </c>
      <c r="AD31" s="27" t="s">
        <v>201</v>
      </c>
      <c r="AE31" s="27">
        <v>1</v>
      </c>
      <c r="AF31" s="27">
        <v>881</v>
      </c>
      <c r="AG31" s="27" t="s">
        <v>202</v>
      </c>
    </row>
    <row r="32" spans="1:33" hidden="1" x14ac:dyDescent="0.25">
      <c r="A32" s="22"/>
      <c r="B32" s="26">
        <v>46238</v>
      </c>
      <c r="C32" s="27" t="s">
        <v>226</v>
      </c>
      <c r="D32" s="27" t="s">
        <v>199</v>
      </c>
      <c r="E32" s="27">
        <v>446</v>
      </c>
      <c r="F32" s="27" t="s">
        <v>324</v>
      </c>
      <c r="G32" s="27" t="s">
        <v>350</v>
      </c>
      <c r="H32" s="26">
        <v>46238</v>
      </c>
      <c r="I32" s="27" t="s">
        <v>188</v>
      </c>
      <c r="J32" s="27" t="s">
        <v>152</v>
      </c>
      <c r="K32" s="27" t="s">
        <v>152</v>
      </c>
      <c r="L32" s="27" t="s">
        <v>200</v>
      </c>
      <c r="M32" s="27" t="s">
        <v>191</v>
      </c>
      <c r="N32" s="27">
        <v>4168</v>
      </c>
      <c r="O32" s="27">
        <v>1021576.8</v>
      </c>
      <c r="P32" s="27" t="s">
        <v>355</v>
      </c>
      <c r="Q32" s="27">
        <v>0</v>
      </c>
      <c r="R32" s="27">
        <v>9</v>
      </c>
      <c r="S32" s="27">
        <v>91941.91</v>
      </c>
      <c r="T32" s="27">
        <v>9</v>
      </c>
      <c r="U32" s="27">
        <v>91941.91</v>
      </c>
      <c r="V32" s="27">
        <v>0</v>
      </c>
      <c r="W32" s="27">
        <v>0</v>
      </c>
      <c r="X32" s="27">
        <v>0</v>
      </c>
      <c r="Y32" s="27">
        <v>183883.82</v>
      </c>
      <c r="Z32" s="27">
        <v>0</v>
      </c>
      <c r="AA32" s="27" t="s">
        <v>185</v>
      </c>
      <c r="AB32" s="27" t="s">
        <v>184</v>
      </c>
      <c r="AC32" s="27">
        <v>63053200</v>
      </c>
      <c r="AD32" s="27" t="s">
        <v>201</v>
      </c>
      <c r="AE32" s="27">
        <v>1</v>
      </c>
      <c r="AF32" s="27">
        <v>4168</v>
      </c>
      <c r="AG32" s="27" t="s">
        <v>202</v>
      </c>
    </row>
    <row r="33" spans="1:33" hidden="1" x14ac:dyDescent="0.25">
      <c r="A33" s="22"/>
      <c r="B33" s="26">
        <v>46238</v>
      </c>
      <c r="C33" s="27" t="s">
        <v>226</v>
      </c>
      <c r="D33" s="27" t="s">
        <v>199</v>
      </c>
      <c r="E33" s="27">
        <v>446</v>
      </c>
      <c r="F33" s="27" t="s">
        <v>324</v>
      </c>
      <c r="G33" s="27" t="s">
        <v>350</v>
      </c>
      <c r="H33" s="26">
        <v>46238</v>
      </c>
      <c r="I33" s="27" t="s">
        <v>188</v>
      </c>
      <c r="J33" s="27" t="s">
        <v>152</v>
      </c>
      <c r="K33" s="27" t="s">
        <v>152</v>
      </c>
      <c r="L33" s="27" t="s">
        <v>200</v>
      </c>
      <c r="M33" s="27" t="s">
        <v>187</v>
      </c>
      <c r="N33" s="27">
        <v>1261</v>
      </c>
      <c r="O33" s="27">
        <v>261304.42</v>
      </c>
      <c r="P33" s="27" t="s">
        <v>356</v>
      </c>
      <c r="Q33" s="27">
        <v>0</v>
      </c>
      <c r="R33" s="27">
        <v>9</v>
      </c>
      <c r="S33" s="27">
        <v>23517.4</v>
      </c>
      <c r="T33" s="27">
        <v>9</v>
      </c>
      <c r="U33" s="27">
        <v>23517.4</v>
      </c>
      <c r="V33" s="27">
        <v>0</v>
      </c>
      <c r="W33" s="27">
        <v>0</v>
      </c>
      <c r="X33" s="27">
        <v>0</v>
      </c>
      <c r="Y33" s="27">
        <v>47034.8</v>
      </c>
      <c r="Z33" s="27">
        <v>0</v>
      </c>
      <c r="AA33" s="27" t="s">
        <v>185</v>
      </c>
      <c r="AB33" s="27" t="s">
        <v>184</v>
      </c>
      <c r="AC33" s="27">
        <v>63053200</v>
      </c>
      <c r="AD33" s="27" t="s">
        <v>201</v>
      </c>
      <c r="AE33" s="27">
        <v>1</v>
      </c>
      <c r="AF33" s="27">
        <v>1261</v>
      </c>
      <c r="AG33" s="27" t="s">
        <v>202</v>
      </c>
    </row>
    <row r="34" spans="1:33" hidden="1" x14ac:dyDescent="0.25">
      <c r="A34" s="22"/>
      <c r="B34" s="26">
        <v>46238</v>
      </c>
      <c r="C34" s="27" t="s">
        <v>226</v>
      </c>
      <c r="D34" s="27" t="s">
        <v>199</v>
      </c>
      <c r="E34" s="27">
        <v>446</v>
      </c>
      <c r="F34" s="27" t="s">
        <v>324</v>
      </c>
      <c r="G34" s="27" t="s">
        <v>350</v>
      </c>
      <c r="H34" s="26">
        <v>46238</v>
      </c>
      <c r="I34" s="27" t="s">
        <v>188</v>
      </c>
      <c r="J34" s="27" t="s">
        <v>152</v>
      </c>
      <c r="K34" s="27" t="s">
        <v>152</v>
      </c>
      <c r="L34" s="27" t="s">
        <v>200</v>
      </c>
      <c r="M34" s="27" t="s">
        <v>187</v>
      </c>
      <c r="N34" s="27">
        <v>2081</v>
      </c>
      <c r="O34" s="27">
        <v>438633.18</v>
      </c>
      <c r="P34" s="27" t="s">
        <v>357</v>
      </c>
      <c r="Q34" s="27">
        <v>0</v>
      </c>
      <c r="R34" s="27">
        <v>9</v>
      </c>
      <c r="S34" s="27">
        <v>39476.99</v>
      </c>
      <c r="T34" s="27">
        <v>9</v>
      </c>
      <c r="U34" s="27">
        <v>39476.99</v>
      </c>
      <c r="V34" s="27">
        <v>0</v>
      </c>
      <c r="W34" s="27">
        <v>0</v>
      </c>
      <c r="X34" s="27">
        <v>0</v>
      </c>
      <c r="Y34" s="27">
        <v>78953.98</v>
      </c>
      <c r="Z34" s="27">
        <v>0</v>
      </c>
      <c r="AA34" s="27" t="s">
        <v>185</v>
      </c>
      <c r="AB34" s="27" t="s">
        <v>184</v>
      </c>
      <c r="AC34" s="27">
        <v>63053200</v>
      </c>
      <c r="AD34" s="27" t="s">
        <v>201</v>
      </c>
      <c r="AE34" s="27">
        <v>1</v>
      </c>
      <c r="AF34" s="27">
        <v>2081</v>
      </c>
      <c r="AG34" s="27" t="s">
        <v>202</v>
      </c>
    </row>
    <row r="35" spans="1:33" hidden="1" x14ac:dyDescent="0.25">
      <c r="A35" s="22"/>
      <c r="B35" s="26">
        <v>46238</v>
      </c>
      <c r="C35" s="27" t="s">
        <v>198</v>
      </c>
      <c r="D35" s="27" t="s">
        <v>199</v>
      </c>
      <c r="E35" s="27">
        <v>448</v>
      </c>
      <c r="F35" s="27" t="s">
        <v>324</v>
      </c>
      <c r="G35" s="27" t="s">
        <v>358</v>
      </c>
      <c r="H35" s="26">
        <v>46238</v>
      </c>
      <c r="I35" s="27" t="s">
        <v>169</v>
      </c>
      <c r="J35" s="27" t="s">
        <v>197</v>
      </c>
      <c r="K35" s="27" t="s">
        <v>158</v>
      </c>
      <c r="L35" s="27" t="s">
        <v>213</v>
      </c>
      <c r="M35" s="27" t="s">
        <v>196</v>
      </c>
      <c r="N35" s="27">
        <v>6</v>
      </c>
      <c r="O35" s="27">
        <v>1620</v>
      </c>
      <c r="P35" s="27" t="s">
        <v>196</v>
      </c>
      <c r="Q35" s="27">
        <v>192510.9</v>
      </c>
      <c r="R35" s="27">
        <v>9</v>
      </c>
      <c r="S35" s="27">
        <v>145.80000000000001</v>
      </c>
      <c r="T35" s="27">
        <v>9</v>
      </c>
      <c r="U35" s="27">
        <v>145.80000000000001</v>
      </c>
      <c r="V35" s="27">
        <v>0</v>
      </c>
      <c r="W35" s="27">
        <v>0</v>
      </c>
      <c r="X35" s="27">
        <v>0</v>
      </c>
      <c r="Y35" s="27">
        <v>291.60000000000002</v>
      </c>
      <c r="Z35" s="27">
        <v>0</v>
      </c>
      <c r="AA35" s="27" t="s">
        <v>185</v>
      </c>
      <c r="AB35" s="27" t="s">
        <v>184</v>
      </c>
      <c r="AC35" s="27">
        <v>39201019</v>
      </c>
      <c r="AD35" s="27" t="s">
        <v>201</v>
      </c>
      <c r="AE35" s="27">
        <v>1</v>
      </c>
      <c r="AF35" s="27">
        <v>6</v>
      </c>
      <c r="AG35" s="27" t="s">
        <v>202</v>
      </c>
    </row>
    <row r="36" spans="1:33" hidden="1" x14ac:dyDescent="0.25">
      <c r="A36" s="22"/>
      <c r="B36" s="26">
        <v>46238</v>
      </c>
      <c r="C36" s="27" t="s">
        <v>198</v>
      </c>
      <c r="D36" s="27" t="s">
        <v>199</v>
      </c>
      <c r="E36" s="27">
        <v>448</v>
      </c>
      <c r="F36" s="27" t="s">
        <v>324</v>
      </c>
      <c r="G36" s="27" t="s">
        <v>358</v>
      </c>
      <c r="H36" s="26">
        <v>46238</v>
      </c>
      <c r="I36" s="27" t="s">
        <v>188</v>
      </c>
      <c r="J36" s="27" t="s">
        <v>153</v>
      </c>
      <c r="K36" s="27" t="s">
        <v>153</v>
      </c>
      <c r="L36" s="27" t="s">
        <v>203</v>
      </c>
      <c r="M36" s="27" t="s">
        <v>153</v>
      </c>
      <c r="N36" s="27">
        <v>701</v>
      </c>
      <c r="O36" s="27">
        <v>93639.58</v>
      </c>
      <c r="P36" s="27" t="s">
        <v>359</v>
      </c>
      <c r="Q36" s="27">
        <v>0</v>
      </c>
      <c r="R36" s="27">
        <v>9</v>
      </c>
      <c r="S36" s="27">
        <v>8427.56</v>
      </c>
      <c r="T36" s="27">
        <v>9</v>
      </c>
      <c r="U36" s="27">
        <v>8427.56</v>
      </c>
      <c r="V36" s="27">
        <v>0</v>
      </c>
      <c r="W36" s="27">
        <v>0</v>
      </c>
      <c r="X36" s="27">
        <v>0</v>
      </c>
      <c r="Y36" s="27">
        <v>16855.12</v>
      </c>
      <c r="Z36" s="27">
        <v>0</v>
      </c>
      <c r="AA36" s="27" t="s">
        <v>185</v>
      </c>
      <c r="AB36" s="27" t="s">
        <v>184</v>
      </c>
      <c r="AC36" s="27">
        <v>39269080</v>
      </c>
      <c r="AD36" s="27" t="s">
        <v>201</v>
      </c>
      <c r="AE36" s="27">
        <v>1</v>
      </c>
      <c r="AF36" s="27">
        <v>701</v>
      </c>
      <c r="AG36" s="27" t="s">
        <v>202</v>
      </c>
    </row>
    <row r="37" spans="1:33" hidden="1" x14ac:dyDescent="0.25">
      <c r="A37" s="22"/>
      <c r="B37" s="26">
        <v>46238</v>
      </c>
      <c r="C37" s="27" t="s">
        <v>198</v>
      </c>
      <c r="D37" s="27" t="s">
        <v>199</v>
      </c>
      <c r="E37" s="27">
        <v>448</v>
      </c>
      <c r="F37" s="27" t="s">
        <v>324</v>
      </c>
      <c r="G37" s="27" t="s">
        <v>358</v>
      </c>
      <c r="H37" s="26">
        <v>46238</v>
      </c>
      <c r="I37" s="27" t="s">
        <v>169</v>
      </c>
      <c r="J37" s="27" t="s">
        <v>179</v>
      </c>
      <c r="K37" s="27" t="s">
        <v>156</v>
      </c>
      <c r="L37" s="27" t="s">
        <v>211</v>
      </c>
      <c r="M37" s="27" t="s">
        <v>178</v>
      </c>
      <c r="N37" s="27">
        <v>240</v>
      </c>
      <c r="O37" s="27">
        <v>33019.199999999997</v>
      </c>
      <c r="P37" s="27" t="s">
        <v>360</v>
      </c>
      <c r="Q37" s="27">
        <v>0</v>
      </c>
      <c r="R37" s="27">
        <v>9</v>
      </c>
      <c r="S37" s="27">
        <v>2971.73</v>
      </c>
      <c r="T37" s="27">
        <v>9</v>
      </c>
      <c r="U37" s="27">
        <v>2971.73</v>
      </c>
      <c r="V37" s="27">
        <v>0</v>
      </c>
      <c r="W37" s="27">
        <v>0</v>
      </c>
      <c r="X37" s="27">
        <v>0</v>
      </c>
      <c r="Y37" s="27">
        <v>5943.46</v>
      </c>
      <c r="Z37" s="27">
        <v>0</v>
      </c>
      <c r="AA37" s="27" t="s">
        <v>185</v>
      </c>
      <c r="AB37" s="27" t="s">
        <v>184</v>
      </c>
      <c r="AC37" s="27">
        <v>39269080</v>
      </c>
      <c r="AD37" s="27" t="s">
        <v>201</v>
      </c>
      <c r="AE37" s="27">
        <v>1</v>
      </c>
      <c r="AF37" s="27">
        <v>240</v>
      </c>
      <c r="AG37" s="27" t="s">
        <v>202</v>
      </c>
    </row>
    <row r="38" spans="1:33" hidden="1" x14ac:dyDescent="0.25">
      <c r="A38" s="22"/>
      <c r="B38" s="26">
        <v>46238</v>
      </c>
      <c r="C38" s="27" t="s">
        <v>198</v>
      </c>
      <c r="D38" s="27" t="s">
        <v>199</v>
      </c>
      <c r="E38" s="27">
        <v>448</v>
      </c>
      <c r="F38" s="27" t="s">
        <v>324</v>
      </c>
      <c r="G38" s="27" t="s">
        <v>358</v>
      </c>
      <c r="H38" s="26">
        <v>46238</v>
      </c>
      <c r="I38" s="27" t="s">
        <v>169</v>
      </c>
      <c r="J38" s="27" t="s">
        <v>179</v>
      </c>
      <c r="K38" s="27" t="s">
        <v>156</v>
      </c>
      <c r="L38" s="27" t="s">
        <v>211</v>
      </c>
      <c r="M38" s="27" t="s">
        <v>178</v>
      </c>
      <c r="N38" s="27">
        <v>249</v>
      </c>
      <c r="O38" s="27">
        <v>35004.42</v>
      </c>
      <c r="P38" s="27" t="s">
        <v>361</v>
      </c>
      <c r="Q38" s="27">
        <v>0</v>
      </c>
      <c r="R38" s="27">
        <v>9</v>
      </c>
      <c r="S38" s="27">
        <v>3150.4</v>
      </c>
      <c r="T38" s="27">
        <v>9</v>
      </c>
      <c r="U38" s="27">
        <v>3150.4</v>
      </c>
      <c r="V38" s="27">
        <v>0</v>
      </c>
      <c r="W38" s="27">
        <v>0</v>
      </c>
      <c r="X38" s="27">
        <v>0</v>
      </c>
      <c r="Y38" s="27">
        <v>6300.8</v>
      </c>
      <c r="Z38" s="27">
        <v>0</v>
      </c>
      <c r="AA38" s="27" t="s">
        <v>185</v>
      </c>
      <c r="AB38" s="27" t="s">
        <v>184</v>
      </c>
      <c r="AC38" s="27">
        <v>39269080</v>
      </c>
      <c r="AD38" s="27" t="s">
        <v>201</v>
      </c>
      <c r="AE38" s="27">
        <v>1</v>
      </c>
      <c r="AF38" s="27">
        <v>249</v>
      </c>
      <c r="AG38" s="27" t="s">
        <v>202</v>
      </c>
    </row>
    <row r="39" spans="1:33" ht="15" hidden="1" customHeight="1" x14ac:dyDescent="0.25">
      <c r="A39" s="22"/>
      <c r="B39" s="26">
        <v>46238</v>
      </c>
      <c r="C39" s="27" t="s">
        <v>204</v>
      </c>
      <c r="D39" s="27" t="s">
        <v>222</v>
      </c>
      <c r="E39" s="27" t="s">
        <v>362</v>
      </c>
      <c r="F39" s="27" t="s">
        <v>206</v>
      </c>
      <c r="G39" s="27" t="s">
        <v>362</v>
      </c>
      <c r="H39" s="26">
        <v>46238</v>
      </c>
      <c r="I39" s="27" t="s">
        <v>169</v>
      </c>
      <c r="J39" s="27" t="s">
        <v>179</v>
      </c>
      <c r="K39" s="27" t="s">
        <v>298</v>
      </c>
      <c r="L39" s="27" t="s">
        <v>211</v>
      </c>
      <c r="M39" s="27" t="s">
        <v>178</v>
      </c>
      <c r="N39" s="27">
        <v>3438</v>
      </c>
      <c r="O39" s="27">
        <v>436385.34</v>
      </c>
      <c r="P39" s="27" t="s">
        <v>363</v>
      </c>
      <c r="Q39" s="27">
        <v>717952.61</v>
      </c>
      <c r="R39" s="27"/>
      <c r="S39" s="27">
        <v>0</v>
      </c>
      <c r="T39" s="27"/>
      <c r="U39" s="27">
        <v>0</v>
      </c>
      <c r="V39" s="27"/>
      <c r="W39" s="27">
        <v>0</v>
      </c>
      <c r="X39" s="27">
        <v>0</v>
      </c>
      <c r="Y39" s="27">
        <v>0</v>
      </c>
      <c r="Z39" s="27">
        <v>0</v>
      </c>
      <c r="AA39" s="27" t="s">
        <v>208</v>
      </c>
      <c r="AB39" s="27" t="s">
        <v>184</v>
      </c>
      <c r="AC39" s="27">
        <v>39269080</v>
      </c>
      <c r="AD39" s="27" t="s">
        <v>201</v>
      </c>
      <c r="AE39" s="27">
        <v>1</v>
      </c>
      <c r="AF39" s="27">
        <v>3438</v>
      </c>
      <c r="AG39" s="27" t="s">
        <v>202</v>
      </c>
    </row>
    <row r="40" spans="1:33" hidden="1" x14ac:dyDescent="0.25">
      <c r="A40" s="22"/>
      <c r="B40" s="26">
        <v>46238</v>
      </c>
      <c r="C40" s="27" t="s">
        <v>204</v>
      </c>
      <c r="D40" s="27" t="s">
        <v>222</v>
      </c>
      <c r="E40" s="27" t="s">
        <v>362</v>
      </c>
      <c r="F40" s="27" t="s">
        <v>206</v>
      </c>
      <c r="G40" s="27" t="s">
        <v>362</v>
      </c>
      <c r="H40" s="26">
        <v>46238</v>
      </c>
      <c r="I40" s="27" t="s">
        <v>169</v>
      </c>
      <c r="J40" s="27" t="s">
        <v>179</v>
      </c>
      <c r="K40" s="27" t="s">
        <v>298</v>
      </c>
      <c r="L40" s="27" t="s">
        <v>211</v>
      </c>
      <c r="M40" s="27" t="s">
        <v>178</v>
      </c>
      <c r="N40" s="27">
        <v>1858</v>
      </c>
      <c r="O40" s="27">
        <v>282285.94</v>
      </c>
      <c r="P40" s="27" t="s">
        <v>364</v>
      </c>
      <c r="Q40" s="27">
        <v>0</v>
      </c>
      <c r="R40" s="27"/>
      <c r="S40" s="27">
        <v>0</v>
      </c>
      <c r="T40" s="27"/>
      <c r="U40" s="27">
        <v>0</v>
      </c>
      <c r="V40" s="27"/>
      <c r="W40" s="27">
        <v>0</v>
      </c>
      <c r="X40" s="27">
        <v>0</v>
      </c>
      <c r="Y40" s="27">
        <v>0</v>
      </c>
      <c r="Z40" s="27">
        <v>0</v>
      </c>
      <c r="AA40" s="27" t="s">
        <v>208</v>
      </c>
      <c r="AB40" s="27" t="s">
        <v>184</v>
      </c>
      <c r="AC40" s="27">
        <v>39269080</v>
      </c>
      <c r="AD40" s="27" t="s">
        <v>201</v>
      </c>
      <c r="AE40" s="27">
        <v>1</v>
      </c>
      <c r="AF40" s="27">
        <v>1858</v>
      </c>
      <c r="AG40" s="27" t="s">
        <v>202</v>
      </c>
    </row>
    <row r="41" spans="1:33" hidden="1" x14ac:dyDescent="0.25">
      <c r="A41" s="22"/>
      <c r="B41" s="26">
        <v>46238</v>
      </c>
      <c r="C41" s="27" t="s">
        <v>219</v>
      </c>
      <c r="D41" s="27" t="s">
        <v>199</v>
      </c>
      <c r="E41" s="27">
        <v>444</v>
      </c>
      <c r="F41" s="27" t="s">
        <v>220</v>
      </c>
      <c r="G41" s="27" t="s">
        <v>365</v>
      </c>
      <c r="H41" s="26">
        <v>46238</v>
      </c>
      <c r="I41" s="27" t="s">
        <v>169</v>
      </c>
      <c r="J41" s="27" t="s">
        <v>179</v>
      </c>
      <c r="K41" s="27" t="s">
        <v>156</v>
      </c>
      <c r="L41" s="27" t="s">
        <v>211</v>
      </c>
      <c r="M41" s="27" t="s">
        <v>178</v>
      </c>
      <c r="N41" s="27">
        <v>10245</v>
      </c>
      <c r="O41" s="27">
        <v>614700</v>
      </c>
      <c r="P41" s="27" t="s">
        <v>366</v>
      </c>
      <c r="Q41" s="27">
        <v>725346</v>
      </c>
      <c r="R41" s="27">
        <v>0</v>
      </c>
      <c r="S41" s="27">
        <v>0</v>
      </c>
      <c r="T41" s="27">
        <v>0</v>
      </c>
      <c r="U41" s="27">
        <v>0</v>
      </c>
      <c r="V41" s="27">
        <v>18</v>
      </c>
      <c r="W41" s="27">
        <v>110646</v>
      </c>
      <c r="X41" s="27">
        <v>0</v>
      </c>
      <c r="Y41" s="27">
        <v>110646</v>
      </c>
      <c r="Z41" s="27">
        <v>0</v>
      </c>
      <c r="AA41" s="27" t="s">
        <v>221</v>
      </c>
      <c r="AB41" s="27" t="s">
        <v>184</v>
      </c>
      <c r="AC41" s="27">
        <v>39269080</v>
      </c>
      <c r="AD41" s="27" t="s">
        <v>201</v>
      </c>
      <c r="AE41" s="27">
        <v>1</v>
      </c>
      <c r="AF41" s="27">
        <v>10245</v>
      </c>
      <c r="AG41" s="27" t="s">
        <v>202</v>
      </c>
    </row>
    <row r="42" spans="1:33" hidden="1" x14ac:dyDescent="0.25">
      <c r="A42" s="22"/>
      <c r="B42" s="26">
        <v>46238</v>
      </c>
      <c r="C42" s="27" t="s">
        <v>212</v>
      </c>
      <c r="D42" s="27" t="s">
        <v>199</v>
      </c>
      <c r="E42" s="27">
        <v>445</v>
      </c>
      <c r="F42" s="27" t="s">
        <v>223</v>
      </c>
      <c r="G42" s="27" t="s">
        <v>367</v>
      </c>
      <c r="H42" s="26">
        <v>46238</v>
      </c>
      <c r="I42" s="27" t="s">
        <v>169</v>
      </c>
      <c r="J42" s="27" t="s">
        <v>197</v>
      </c>
      <c r="K42" s="27" t="s">
        <v>158</v>
      </c>
      <c r="L42" s="27" t="s">
        <v>213</v>
      </c>
      <c r="M42" s="27" t="s">
        <v>196</v>
      </c>
      <c r="N42" s="27">
        <v>15.6</v>
      </c>
      <c r="O42" s="27">
        <v>4508.3999999999996</v>
      </c>
      <c r="P42" s="27" t="s">
        <v>196</v>
      </c>
      <c r="Q42" s="27">
        <v>5315.41</v>
      </c>
      <c r="R42" s="27">
        <v>9</v>
      </c>
      <c r="S42" s="27">
        <v>405.76</v>
      </c>
      <c r="T42" s="27">
        <v>9</v>
      </c>
      <c r="U42" s="27">
        <v>405.76</v>
      </c>
      <c r="V42" s="27">
        <v>0</v>
      </c>
      <c r="W42" s="27">
        <v>0</v>
      </c>
      <c r="X42" s="27">
        <v>0</v>
      </c>
      <c r="Y42" s="27">
        <v>811.52</v>
      </c>
      <c r="Z42" s="27">
        <v>0</v>
      </c>
      <c r="AA42" s="27" t="s">
        <v>176</v>
      </c>
      <c r="AB42" s="27" t="s">
        <v>184</v>
      </c>
      <c r="AC42" s="27">
        <v>39201019</v>
      </c>
      <c r="AD42" s="27" t="s">
        <v>201</v>
      </c>
      <c r="AE42" s="27">
        <v>1</v>
      </c>
      <c r="AF42" s="27">
        <v>15.6</v>
      </c>
      <c r="AG42" s="27" t="s">
        <v>202</v>
      </c>
    </row>
    <row r="43" spans="1:33" hidden="1" x14ac:dyDescent="0.25">
      <c r="A43" s="22"/>
      <c r="B43" s="26">
        <v>46239</v>
      </c>
      <c r="C43" s="27" t="s">
        <v>198</v>
      </c>
      <c r="D43" s="27" t="s">
        <v>199</v>
      </c>
      <c r="E43" s="27">
        <v>449</v>
      </c>
      <c r="F43" s="27" t="s">
        <v>324</v>
      </c>
      <c r="G43" s="27" t="s">
        <v>368</v>
      </c>
      <c r="H43" s="26">
        <v>46239</v>
      </c>
      <c r="I43" s="27" t="s">
        <v>188</v>
      </c>
      <c r="J43" s="27" t="s">
        <v>152</v>
      </c>
      <c r="K43" s="27" t="s">
        <v>152</v>
      </c>
      <c r="L43" s="27" t="s">
        <v>200</v>
      </c>
      <c r="M43" s="27" t="s">
        <v>187</v>
      </c>
      <c r="N43" s="27">
        <v>2226</v>
      </c>
      <c r="O43" s="27">
        <v>464989.14</v>
      </c>
      <c r="P43" s="27" t="s">
        <v>369</v>
      </c>
      <c r="Q43" s="27">
        <v>1205479.2</v>
      </c>
      <c r="R43" s="27">
        <v>9</v>
      </c>
      <c r="S43" s="27">
        <v>41849.019999999997</v>
      </c>
      <c r="T43" s="27">
        <v>9</v>
      </c>
      <c r="U43" s="27">
        <v>41849.019999999997</v>
      </c>
      <c r="V43" s="27">
        <v>0</v>
      </c>
      <c r="W43" s="27">
        <v>0</v>
      </c>
      <c r="X43" s="27">
        <v>0</v>
      </c>
      <c r="Y43" s="27">
        <v>83698.039999999994</v>
      </c>
      <c r="Z43" s="27">
        <v>0</v>
      </c>
      <c r="AA43" s="27" t="s">
        <v>185</v>
      </c>
      <c r="AB43" s="27" t="s">
        <v>184</v>
      </c>
      <c r="AC43" s="27">
        <v>63053200</v>
      </c>
      <c r="AD43" s="27" t="s">
        <v>201</v>
      </c>
      <c r="AE43" s="27">
        <v>1</v>
      </c>
      <c r="AF43" s="27">
        <v>2226</v>
      </c>
      <c r="AG43" s="27" t="s">
        <v>202</v>
      </c>
    </row>
    <row r="44" spans="1:33" hidden="1" x14ac:dyDescent="0.25">
      <c r="A44" s="22"/>
      <c r="B44" s="26">
        <v>46239</v>
      </c>
      <c r="C44" s="27" t="s">
        <v>198</v>
      </c>
      <c r="D44" s="27" t="s">
        <v>199</v>
      </c>
      <c r="E44" s="27">
        <v>449</v>
      </c>
      <c r="F44" s="27" t="s">
        <v>324</v>
      </c>
      <c r="G44" s="27" t="s">
        <v>368</v>
      </c>
      <c r="H44" s="26">
        <v>46239</v>
      </c>
      <c r="I44" s="27" t="s">
        <v>188</v>
      </c>
      <c r="J44" s="27" t="s">
        <v>152</v>
      </c>
      <c r="K44" s="27" t="s">
        <v>152</v>
      </c>
      <c r="L44" s="27" t="s">
        <v>200</v>
      </c>
      <c r="M44" s="27" t="s">
        <v>187</v>
      </c>
      <c r="N44" s="27">
        <v>2697</v>
      </c>
      <c r="O44" s="27">
        <v>557469.9</v>
      </c>
      <c r="P44" s="27" t="s">
        <v>370</v>
      </c>
      <c r="Q44" s="27">
        <v>0</v>
      </c>
      <c r="R44" s="27">
        <v>9</v>
      </c>
      <c r="S44" s="27">
        <v>50172.29</v>
      </c>
      <c r="T44" s="27">
        <v>9</v>
      </c>
      <c r="U44" s="27">
        <v>50172.29</v>
      </c>
      <c r="V44" s="27">
        <v>0</v>
      </c>
      <c r="W44" s="27">
        <v>0</v>
      </c>
      <c r="X44" s="27">
        <v>0</v>
      </c>
      <c r="Y44" s="27">
        <v>100344.58</v>
      </c>
      <c r="Z44" s="27">
        <v>0</v>
      </c>
      <c r="AA44" s="27" t="s">
        <v>185</v>
      </c>
      <c r="AB44" s="27" t="s">
        <v>184</v>
      </c>
      <c r="AC44" s="27">
        <v>63053200</v>
      </c>
      <c r="AD44" s="27" t="s">
        <v>201</v>
      </c>
      <c r="AE44" s="27">
        <v>1</v>
      </c>
      <c r="AF44" s="27">
        <v>2697</v>
      </c>
      <c r="AG44" s="27" t="s">
        <v>202</v>
      </c>
    </row>
    <row r="45" spans="1:33" hidden="1" x14ac:dyDescent="0.25">
      <c r="A45" s="22"/>
      <c r="B45" s="26">
        <v>46239</v>
      </c>
      <c r="C45" s="27" t="s">
        <v>204</v>
      </c>
      <c r="D45" s="27" t="s">
        <v>205</v>
      </c>
      <c r="E45" s="27" t="s">
        <v>371</v>
      </c>
      <c r="F45" s="27" t="s">
        <v>206</v>
      </c>
      <c r="G45" s="27" t="s">
        <v>371</v>
      </c>
      <c r="H45" s="26">
        <v>46239</v>
      </c>
      <c r="I45" s="27" t="s">
        <v>188</v>
      </c>
      <c r="J45" s="27" t="s">
        <v>152</v>
      </c>
      <c r="K45" s="27" t="s">
        <v>162</v>
      </c>
      <c r="L45" s="27" t="s">
        <v>200</v>
      </c>
      <c r="M45" s="27" t="s">
        <v>187</v>
      </c>
      <c r="N45" s="27">
        <v>8210</v>
      </c>
      <c r="O45" s="27">
        <v>1536912</v>
      </c>
      <c r="P45" s="27" t="s">
        <v>207</v>
      </c>
      <c r="Q45" s="27">
        <v>1535375.09</v>
      </c>
      <c r="R45" s="27">
        <v>0</v>
      </c>
      <c r="S45" s="27">
        <v>0</v>
      </c>
      <c r="T45" s="27">
        <v>0</v>
      </c>
      <c r="U45" s="27">
        <v>0</v>
      </c>
      <c r="V45" s="27">
        <v>0</v>
      </c>
      <c r="W45" s="27">
        <v>0</v>
      </c>
      <c r="X45" s="27">
        <v>0</v>
      </c>
      <c r="Y45" s="27">
        <v>0</v>
      </c>
      <c r="Z45" s="27">
        <v>0</v>
      </c>
      <c r="AA45" s="27" t="s">
        <v>208</v>
      </c>
      <c r="AB45" s="27" t="s">
        <v>184</v>
      </c>
      <c r="AC45" s="27">
        <v>63053200</v>
      </c>
      <c r="AD45" s="27" t="s">
        <v>209</v>
      </c>
      <c r="AE45" s="27">
        <v>93.6</v>
      </c>
      <c r="AF45" s="27">
        <v>8210</v>
      </c>
      <c r="AG45" s="27" t="s">
        <v>202</v>
      </c>
    </row>
    <row r="46" spans="1:33" hidden="1" x14ac:dyDescent="0.25">
      <c r="A46" s="22"/>
      <c r="B46" s="26">
        <v>46239</v>
      </c>
      <c r="C46" s="27" t="s">
        <v>212</v>
      </c>
      <c r="D46" s="27" t="s">
        <v>199</v>
      </c>
      <c r="E46" s="27">
        <v>450</v>
      </c>
      <c r="F46" s="27" t="s">
        <v>324</v>
      </c>
      <c r="G46" s="27" t="s">
        <v>372</v>
      </c>
      <c r="H46" s="26">
        <v>46239</v>
      </c>
      <c r="I46" s="27" t="s">
        <v>169</v>
      </c>
      <c r="J46" s="27" t="s">
        <v>179</v>
      </c>
      <c r="K46" s="27" t="s">
        <v>156</v>
      </c>
      <c r="L46" s="27" t="s">
        <v>211</v>
      </c>
      <c r="M46" s="27" t="s">
        <v>178</v>
      </c>
      <c r="N46" s="27">
        <v>327</v>
      </c>
      <c r="O46" s="27">
        <v>44988.66</v>
      </c>
      <c r="P46" s="27" t="s">
        <v>363</v>
      </c>
      <c r="Q46" s="27">
        <v>113080.86</v>
      </c>
      <c r="R46" s="27">
        <v>0</v>
      </c>
      <c r="S46" s="27">
        <v>4048.98</v>
      </c>
      <c r="T46" s="27">
        <v>0</v>
      </c>
      <c r="U46" s="27">
        <v>4048.98</v>
      </c>
      <c r="V46" s="27">
        <v>18</v>
      </c>
      <c r="W46" s="27">
        <v>0</v>
      </c>
      <c r="X46" s="27">
        <v>0</v>
      </c>
      <c r="Y46" s="27">
        <v>8097.96</v>
      </c>
      <c r="Z46" s="27">
        <v>0</v>
      </c>
      <c r="AA46" s="27" t="s">
        <v>176</v>
      </c>
      <c r="AB46" s="27" t="s">
        <v>184</v>
      </c>
      <c r="AC46" s="27">
        <v>392690</v>
      </c>
      <c r="AD46" s="27" t="s">
        <v>201</v>
      </c>
      <c r="AE46" s="27">
        <v>1</v>
      </c>
      <c r="AF46" s="27">
        <v>327</v>
      </c>
      <c r="AG46" s="27" t="s">
        <v>202</v>
      </c>
    </row>
    <row r="47" spans="1:33" x14ac:dyDescent="0.25">
      <c r="A47" s="22"/>
      <c r="B47" s="26">
        <v>46239</v>
      </c>
      <c r="C47" s="27" t="s">
        <v>212</v>
      </c>
      <c r="D47" s="27" t="s">
        <v>199</v>
      </c>
      <c r="E47" s="27">
        <v>450</v>
      </c>
      <c r="F47" s="27" t="s">
        <v>324</v>
      </c>
      <c r="G47" s="27" t="s">
        <v>372</v>
      </c>
      <c r="H47" s="26">
        <v>46239</v>
      </c>
      <c r="I47" s="27" t="s">
        <v>169</v>
      </c>
      <c r="J47" s="27" t="s">
        <v>181</v>
      </c>
      <c r="K47" s="27" t="s">
        <v>154</v>
      </c>
      <c r="L47" s="27" t="s">
        <v>154</v>
      </c>
      <c r="M47" s="27" t="s">
        <v>181</v>
      </c>
      <c r="N47" s="27">
        <v>375.6</v>
      </c>
      <c r="O47" s="27">
        <v>50923.85</v>
      </c>
      <c r="P47" s="27" t="s">
        <v>373</v>
      </c>
      <c r="Q47" s="27">
        <v>0</v>
      </c>
      <c r="R47" s="27">
        <v>9</v>
      </c>
      <c r="S47" s="27">
        <v>4583.1499999999996</v>
      </c>
      <c r="T47" s="27">
        <v>9</v>
      </c>
      <c r="U47" s="27">
        <v>4583.1499999999996</v>
      </c>
      <c r="V47" s="27">
        <v>0</v>
      </c>
      <c r="W47" s="27">
        <v>0</v>
      </c>
      <c r="X47" s="27">
        <v>0</v>
      </c>
      <c r="Y47" s="27">
        <v>9166.2999999999993</v>
      </c>
      <c r="Z47" s="27">
        <v>0</v>
      </c>
      <c r="AA47" s="27" t="s">
        <v>176</v>
      </c>
      <c r="AB47" s="27" t="s">
        <v>184</v>
      </c>
      <c r="AC47" s="27">
        <v>39269080</v>
      </c>
      <c r="AD47" s="27" t="s">
        <v>201</v>
      </c>
      <c r="AE47" s="27">
        <v>1</v>
      </c>
      <c r="AF47" s="27">
        <v>375.6</v>
      </c>
      <c r="AG47" s="27" t="s">
        <v>202</v>
      </c>
    </row>
    <row r="48" spans="1:33" hidden="1" x14ac:dyDescent="0.25">
      <c r="A48" s="22"/>
      <c r="B48" s="26">
        <v>46239</v>
      </c>
      <c r="C48" s="27" t="s">
        <v>212</v>
      </c>
      <c r="D48" s="27" t="s">
        <v>199</v>
      </c>
      <c r="E48" s="27">
        <v>452</v>
      </c>
      <c r="F48" s="27" t="s">
        <v>324</v>
      </c>
      <c r="G48" s="27" t="s">
        <v>374</v>
      </c>
      <c r="H48" s="26">
        <v>46239</v>
      </c>
      <c r="I48" s="27" t="s">
        <v>169</v>
      </c>
      <c r="J48" s="27" t="s">
        <v>193</v>
      </c>
      <c r="K48" s="27" t="s">
        <v>161</v>
      </c>
      <c r="L48" s="27" t="s">
        <v>256</v>
      </c>
      <c r="M48" s="27" t="s">
        <v>161</v>
      </c>
      <c r="N48" s="27">
        <v>2320.1999999999998</v>
      </c>
      <c r="O48" s="27">
        <v>266660.59000000003</v>
      </c>
      <c r="P48" s="27" t="s">
        <v>375</v>
      </c>
      <c r="Q48" s="27">
        <v>314392.83</v>
      </c>
      <c r="R48" s="27">
        <v>9</v>
      </c>
      <c r="S48" s="27">
        <v>23999.45</v>
      </c>
      <c r="T48" s="27">
        <v>9</v>
      </c>
      <c r="U48" s="27">
        <v>23999.45</v>
      </c>
      <c r="V48" s="27">
        <v>0</v>
      </c>
      <c r="W48" s="27">
        <v>0</v>
      </c>
      <c r="X48" s="27">
        <v>0</v>
      </c>
      <c r="Y48" s="27">
        <v>47998.9</v>
      </c>
      <c r="Z48" s="27">
        <v>0</v>
      </c>
      <c r="AA48" s="27" t="s">
        <v>176</v>
      </c>
      <c r="AB48" s="27" t="s">
        <v>184</v>
      </c>
      <c r="AC48" s="27">
        <v>39199090</v>
      </c>
      <c r="AD48" s="27" t="s">
        <v>201</v>
      </c>
      <c r="AE48" s="27">
        <v>1</v>
      </c>
      <c r="AF48" s="27">
        <v>2320.1999999999998</v>
      </c>
      <c r="AG48" s="27" t="s">
        <v>202</v>
      </c>
    </row>
    <row r="49" spans="1:33" hidden="1" x14ac:dyDescent="0.25">
      <c r="A49" s="22"/>
      <c r="B49" s="26">
        <v>46239</v>
      </c>
      <c r="C49" s="27" t="s">
        <v>212</v>
      </c>
      <c r="D49" s="27" t="s">
        <v>199</v>
      </c>
      <c r="E49" s="27">
        <v>453</v>
      </c>
      <c r="F49" s="27" t="s">
        <v>324</v>
      </c>
      <c r="G49" s="27" t="s">
        <v>376</v>
      </c>
      <c r="H49" s="26">
        <v>46239</v>
      </c>
      <c r="I49" s="27" t="s">
        <v>188</v>
      </c>
      <c r="J49" s="27" t="s">
        <v>152</v>
      </c>
      <c r="K49" s="27" t="s">
        <v>152</v>
      </c>
      <c r="L49" s="27" t="s">
        <v>200</v>
      </c>
      <c r="M49" s="27" t="s">
        <v>187</v>
      </c>
      <c r="N49" s="27">
        <v>4058</v>
      </c>
      <c r="O49" s="27">
        <v>1084175.8600000001</v>
      </c>
      <c r="P49" s="27" t="s">
        <v>377</v>
      </c>
      <c r="Q49" s="27">
        <v>1278243.3400000001</v>
      </c>
      <c r="R49" s="27">
        <v>9</v>
      </c>
      <c r="S49" s="27">
        <v>97575.83</v>
      </c>
      <c r="T49" s="27">
        <v>9</v>
      </c>
      <c r="U49" s="27">
        <v>97575.83</v>
      </c>
      <c r="V49" s="27">
        <v>0</v>
      </c>
      <c r="W49" s="27">
        <v>0</v>
      </c>
      <c r="X49" s="27">
        <v>0</v>
      </c>
      <c r="Y49" s="27">
        <v>195151.66</v>
      </c>
      <c r="Z49" s="27">
        <v>0</v>
      </c>
      <c r="AA49" s="27" t="s">
        <v>176</v>
      </c>
      <c r="AB49" s="27" t="s">
        <v>184</v>
      </c>
      <c r="AC49" s="27">
        <v>63053200</v>
      </c>
      <c r="AD49" s="27" t="s">
        <v>201</v>
      </c>
      <c r="AE49" s="27">
        <v>1</v>
      </c>
      <c r="AF49" s="27">
        <v>4058</v>
      </c>
      <c r="AG49" s="27" t="s">
        <v>202</v>
      </c>
    </row>
    <row r="50" spans="1:33" hidden="1" x14ac:dyDescent="0.25">
      <c r="A50" s="22"/>
      <c r="B50" s="28">
        <v>46240</v>
      </c>
      <c r="C50" s="29" t="s">
        <v>226</v>
      </c>
      <c r="D50" s="29" t="s">
        <v>199</v>
      </c>
      <c r="E50" s="29">
        <v>455</v>
      </c>
      <c r="F50" s="29" t="s">
        <v>324</v>
      </c>
      <c r="G50" s="29" t="s">
        <v>378</v>
      </c>
      <c r="H50" s="28">
        <v>46240</v>
      </c>
      <c r="I50" s="29" t="s">
        <v>188</v>
      </c>
      <c r="J50" s="29" t="s">
        <v>152</v>
      </c>
      <c r="K50" s="29" t="s">
        <v>152</v>
      </c>
      <c r="L50" s="29" t="s">
        <v>200</v>
      </c>
      <c r="M50" s="29" t="s">
        <v>187</v>
      </c>
      <c r="N50" s="29">
        <v>19371</v>
      </c>
      <c r="O50" s="29">
        <v>3897445.2</v>
      </c>
      <c r="P50" s="29" t="s">
        <v>379</v>
      </c>
      <c r="Q50" s="29">
        <v>4595087.8899999997</v>
      </c>
      <c r="R50" s="29">
        <v>9</v>
      </c>
      <c r="S50" s="29">
        <v>350770.07</v>
      </c>
      <c r="T50" s="29">
        <v>9</v>
      </c>
      <c r="U50" s="29">
        <v>350770.07</v>
      </c>
      <c r="V50" s="29">
        <v>0</v>
      </c>
      <c r="W50" s="29">
        <v>0</v>
      </c>
      <c r="X50" s="29">
        <v>0</v>
      </c>
      <c r="Y50" s="29">
        <v>701540.14</v>
      </c>
      <c r="Z50" s="29">
        <v>0</v>
      </c>
      <c r="AA50" s="29" t="s">
        <v>185</v>
      </c>
      <c r="AB50" s="29" t="s">
        <v>184</v>
      </c>
      <c r="AC50" s="29">
        <v>63053200</v>
      </c>
      <c r="AD50" s="29" t="s">
        <v>201</v>
      </c>
      <c r="AE50" s="29">
        <v>1</v>
      </c>
      <c r="AF50" s="29">
        <v>19371</v>
      </c>
      <c r="AG50" s="29" t="s">
        <v>202</v>
      </c>
    </row>
    <row r="51" spans="1:33" hidden="1" x14ac:dyDescent="0.25">
      <c r="A51" s="22"/>
      <c r="B51" s="26">
        <v>46240</v>
      </c>
      <c r="C51" s="27" t="s">
        <v>212</v>
      </c>
      <c r="D51" s="27" t="s">
        <v>199</v>
      </c>
      <c r="E51" s="27">
        <v>456</v>
      </c>
      <c r="F51" s="27" t="s">
        <v>324</v>
      </c>
      <c r="G51" s="27" t="s">
        <v>380</v>
      </c>
      <c r="H51" s="26">
        <v>46240</v>
      </c>
      <c r="I51" s="27" t="s">
        <v>188</v>
      </c>
      <c r="J51" s="27" t="s">
        <v>153</v>
      </c>
      <c r="K51" s="27" t="s">
        <v>153</v>
      </c>
      <c r="L51" s="27" t="s">
        <v>211</v>
      </c>
      <c r="M51" s="27" t="s">
        <v>153</v>
      </c>
      <c r="N51" s="27">
        <v>297</v>
      </c>
      <c r="O51" s="27">
        <v>33733.26</v>
      </c>
      <c r="P51" s="27" t="s">
        <v>296</v>
      </c>
      <c r="Q51" s="27">
        <v>39771.51</v>
      </c>
      <c r="R51" s="27">
        <v>9</v>
      </c>
      <c r="S51" s="27">
        <v>3035.99</v>
      </c>
      <c r="T51" s="27">
        <v>9</v>
      </c>
      <c r="U51" s="27">
        <v>3035.99</v>
      </c>
      <c r="V51" s="27">
        <v>0</v>
      </c>
      <c r="W51" s="27">
        <v>0</v>
      </c>
      <c r="X51" s="27">
        <v>0</v>
      </c>
      <c r="Y51" s="27">
        <v>6071.98</v>
      </c>
      <c r="Z51" s="27">
        <v>0</v>
      </c>
      <c r="AA51" s="27" t="s">
        <v>176</v>
      </c>
      <c r="AB51" s="27" t="s">
        <v>184</v>
      </c>
      <c r="AC51" s="27">
        <v>39269080</v>
      </c>
      <c r="AD51" s="27" t="s">
        <v>201</v>
      </c>
      <c r="AE51" s="27">
        <v>1</v>
      </c>
      <c r="AF51" s="27">
        <v>297</v>
      </c>
      <c r="AG51" s="27" t="s">
        <v>202</v>
      </c>
    </row>
    <row r="52" spans="1:33" hidden="1" x14ac:dyDescent="0.25">
      <c r="A52" s="22"/>
      <c r="B52" s="26">
        <v>46240</v>
      </c>
      <c r="C52" s="27" t="s">
        <v>212</v>
      </c>
      <c r="D52" s="27" t="s">
        <v>199</v>
      </c>
      <c r="E52" s="27">
        <v>457</v>
      </c>
      <c r="F52" s="27" t="s">
        <v>223</v>
      </c>
      <c r="G52" s="27" t="s">
        <v>381</v>
      </c>
      <c r="H52" s="26">
        <v>46240</v>
      </c>
      <c r="I52" s="27" t="s">
        <v>169</v>
      </c>
      <c r="J52" s="27" t="s">
        <v>197</v>
      </c>
      <c r="K52" s="27" t="s">
        <v>158</v>
      </c>
      <c r="L52" s="27" t="s">
        <v>213</v>
      </c>
      <c r="M52" s="27" t="s">
        <v>196</v>
      </c>
      <c r="N52" s="27">
        <v>7.53</v>
      </c>
      <c r="O52" s="27">
        <v>2085.81</v>
      </c>
      <c r="P52" s="27" t="s">
        <v>196</v>
      </c>
      <c r="Q52" s="27">
        <v>2459.16</v>
      </c>
      <c r="R52" s="27">
        <v>9</v>
      </c>
      <c r="S52" s="27">
        <v>187.72</v>
      </c>
      <c r="T52" s="27">
        <v>9</v>
      </c>
      <c r="U52" s="27">
        <v>187.72</v>
      </c>
      <c r="V52" s="27">
        <v>0</v>
      </c>
      <c r="W52" s="27">
        <v>0</v>
      </c>
      <c r="X52" s="27">
        <v>0</v>
      </c>
      <c r="Y52" s="27">
        <v>375.44</v>
      </c>
      <c r="Z52" s="27">
        <v>0</v>
      </c>
      <c r="AA52" s="27" t="s">
        <v>176</v>
      </c>
      <c r="AB52" s="27" t="s">
        <v>184</v>
      </c>
      <c r="AC52" s="27">
        <v>39201019</v>
      </c>
      <c r="AD52" s="27" t="s">
        <v>201</v>
      </c>
      <c r="AE52" s="27">
        <v>1</v>
      </c>
      <c r="AF52" s="27">
        <v>7.53</v>
      </c>
      <c r="AG52" s="27" t="s">
        <v>202</v>
      </c>
    </row>
    <row r="53" spans="1:33" hidden="1" x14ac:dyDescent="0.25">
      <c r="A53" s="22"/>
      <c r="B53" s="26">
        <v>46241</v>
      </c>
      <c r="C53" s="27" t="s">
        <v>198</v>
      </c>
      <c r="D53" s="27" t="s">
        <v>199</v>
      </c>
      <c r="E53" s="27">
        <v>462</v>
      </c>
      <c r="F53" s="27" t="s">
        <v>324</v>
      </c>
      <c r="G53" s="27" t="s">
        <v>382</v>
      </c>
      <c r="H53" s="26">
        <v>46241</v>
      </c>
      <c r="I53" s="27" t="s">
        <v>188</v>
      </c>
      <c r="J53" s="27" t="s">
        <v>153</v>
      </c>
      <c r="K53" s="27" t="s">
        <v>153</v>
      </c>
      <c r="L53" s="27" t="s">
        <v>203</v>
      </c>
      <c r="M53" s="27" t="s">
        <v>153</v>
      </c>
      <c r="N53" s="27">
        <v>158</v>
      </c>
      <c r="O53" s="27">
        <v>21105.64</v>
      </c>
      <c r="P53" s="27" t="s">
        <v>383</v>
      </c>
      <c r="Q53" s="27">
        <v>106798</v>
      </c>
      <c r="R53" s="27">
        <v>9</v>
      </c>
      <c r="S53" s="27">
        <v>1899.51</v>
      </c>
      <c r="T53" s="27">
        <v>9</v>
      </c>
      <c r="U53" s="27">
        <v>1899.51</v>
      </c>
      <c r="V53" s="27">
        <v>0</v>
      </c>
      <c r="W53" s="27">
        <v>0</v>
      </c>
      <c r="X53" s="27">
        <v>0</v>
      </c>
      <c r="Y53" s="27">
        <v>3799.02</v>
      </c>
      <c r="Z53" s="27">
        <v>0</v>
      </c>
      <c r="AA53" s="27" t="s">
        <v>185</v>
      </c>
      <c r="AB53" s="27" t="s">
        <v>184</v>
      </c>
      <c r="AC53" s="27">
        <v>39269080</v>
      </c>
      <c r="AD53" s="27" t="s">
        <v>201</v>
      </c>
      <c r="AE53" s="27">
        <v>1</v>
      </c>
      <c r="AF53" s="27">
        <v>158</v>
      </c>
      <c r="AG53" s="27" t="s">
        <v>202</v>
      </c>
    </row>
    <row r="54" spans="1:33" hidden="1" x14ac:dyDescent="0.25">
      <c r="A54" s="22"/>
      <c r="B54" s="26">
        <v>46241</v>
      </c>
      <c r="C54" s="27" t="s">
        <v>198</v>
      </c>
      <c r="D54" s="27" t="s">
        <v>199</v>
      </c>
      <c r="E54" s="27">
        <v>462</v>
      </c>
      <c r="F54" s="27" t="s">
        <v>324</v>
      </c>
      <c r="G54" s="27" t="s">
        <v>382</v>
      </c>
      <c r="H54" s="26">
        <v>46241</v>
      </c>
      <c r="I54" s="27" t="s">
        <v>169</v>
      </c>
      <c r="J54" s="27" t="s">
        <v>179</v>
      </c>
      <c r="K54" s="27" t="s">
        <v>156</v>
      </c>
      <c r="L54" s="27" t="s">
        <v>211</v>
      </c>
      <c r="M54" s="27" t="s">
        <v>178</v>
      </c>
      <c r="N54" s="27">
        <v>505</v>
      </c>
      <c r="O54" s="27">
        <v>69477.899999999994</v>
      </c>
      <c r="P54" s="27" t="s">
        <v>384</v>
      </c>
      <c r="Q54" s="27">
        <v>0</v>
      </c>
      <c r="R54" s="27">
        <v>9</v>
      </c>
      <c r="S54" s="27">
        <v>6253.01</v>
      </c>
      <c r="T54" s="27">
        <v>9</v>
      </c>
      <c r="U54" s="27">
        <v>6253.01</v>
      </c>
      <c r="V54" s="27">
        <v>0</v>
      </c>
      <c r="W54" s="27">
        <v>0</v>
      </c>
      <c r="X54" s="27">
        <v>0</v>
      </c>
      <c r="Y54" s="27">
        <v>12506.02</v>
      </c>
      <c r="Z54" s="27">
        <v>0</v>
      </c>
      <c r="AA54" s="27" t="s">
        <v>185</v>
      </c>
      <c r="AB54" s="27" t="s">
        <v>184</v>
      </c>
      <c r="AC54" s="27">
        <v>39269080</v>
      </c>
      <c r="AD54" s="27" t="s">
        <v>201</v>
      </c>
      <c r="AE54" s="27">
        <v>1</v>
      </c>
      <c r="AF54" s="27">
        <v>505</v>
      </c>
      <c r="AG54" s="27" t="s">
        <v>202</v>
      </c>
    </row>
    <row r="55" spans="1:33" hidden="1" x14ac:dyDescent="0.25">
      <c r="A55" s="22"/>
      <c r="B55" s="26">
        <v>46241</v>
      </c>
      <c r="C55" s="27" t="s">
        <v>204</v>
      </c>
      <c r="D55" s="27" t="s">
        <v>205</v>
      </c>
      <c r="E55" s="27" t="s">
        <v>385</v>
      </c>
      <c r="F55" s="27" t="s">
        <v>206</v>
      </c>
      <c r="G55" s="27" t="s">
        <v>385</v>
      </c>
      <c r="H55" s="26">
        <v>46241</v>
      </c>
      <c r="I55" s="27" t="s">
        <v>169</v>
      </c>
      <c r="J55" s="27" t="s">
        <v>179</v>
      </c>
      <c r="K55" s="27" t="s">
        <v>297</v>
      </c>
      <c r="L55" s="27" t="s">
        <v>203</v>
      </c>
      <c r="M55" s="27" t="s">
        <v>183</v>
      </c>
      <c r="N55" s="27">
        <v>280</v>
      </c>
      <c r="O55" s="27">
        <v>28851.199999999997</v>
      </c>
      <c r="P55" s="27" t="s">
        <v>183</v>
      </c>
      <c r="Q55" s="27">
        <v>28822.35</v>
      </c>
      <c r="R55" s="27">
        <v>0</v>
      </c>
      <c r="S55" s="27">
        <v>0</v>
      </c>
      <c r="T55" s="27">
        <v>0</v>
      </c>
      <c r="U55" s="27">
        <v>0</v>
      </c>
      <c r="V55" s="27">
        <v>0</v>
      </c>
      <c r="W55" s="27">
        <v>0</v>
      </c>
      <c r="X55" s="27">
        <v>0</v>
      </c>
      <c r="Y55" s="27">
        <v>0</v>
      </c>
      <c r="Z55" s="27">
        <v>0</v>
      </c>
      <c r="AA55" s="27" t="s">
        <v>208</v>
      </c>
      <c r="AB55" s="27" t="s">
        <v>184</v>
      </c>
      <c r="AC55" s="27">
        <v>39269080</v>
      </c>
      <c r="AD55" s="27" t="s">
        <v>209</v>
      </c>
      <c r="AE55" s="27">
        <v>89.6</v>
      </c>
      <c r="AF55" s="27">
        <v>280</v>
      </c>
      <c r="AG55" s="27" t="s">
        <v>202</v>
      </c>
    </row>
    <row r="56" spans="1:33" hidden="1" x14ac:dyDescent="0.25">
      <c r="A56" s="22"/>
      <c r="B56" s="26">
        <v>46241</v>
      </c>
      <c r="C56" s="27" t="s">
        <v>210</v>
      </c>
      <c r="D56" s="27" t="s">
        <v>199</v>
      </c>
      <c r="E56" s="27">
        <v>458</v>
      </c>
      <c r="F56" s="27" t="s">
        <v>324</v>
      </c>
      <c r="G56" s="27" t="s">
        <v>386</v>
      </c>
      <c r="H56" s="26">
        <v>46241</v>
      </c>
      <c r="I56" s="27" t="s">
        <v>188</v>
      </c>
      <c r="J56" s="27" t="s">
        <v>152</v>
      </c>
      <c r="K56" s="27" t="s">
        <v>152</v>
      </c>
      <c r="L56" s="27" t="s">
        <v>200</v>
      </c>
      <c r="M56" s="27" t="s">
        <v>187</v>
      </c>
      <c r="N56" s="27">
        <v>22263</v>
      </c>
      <c r="O56" s="27">
        <v>5691981.21</v>
      </c>
      <c r="P56" s="27" t="s">
        <v>387</v>
      </c>
      <c r="Q56" s="27">
        <v>6710845.8499999996</v>
      </c>
      <c r="R56" s="27">
        <v>9</v>
      </c>
      <c r="S56" s="27">
        <v>512278.31</v>
      </c>
      <c r="T56" s="27">
        <v>9</v>
      </c>
      <c r="U56" s="27">
        <v>512278.31</v>
      </c>
      <c r="V56" s="27">
        <v>0</v>
      </c>
      <c r="W56" s="27">
        <v>0</v>
      </c>
      <c r="X56" s="27">
        <v>0</v>
      </c>
      <c r="Y56" s="27">
        <v>1024556.62</v>
      </c>
      <c r="Z56" s="27">
        <v>0</v>
      </c>
      <c r="AA56" s="27" t="s">
        <v>171</v>
      </c>
      <c r="AB56" s="27" t="s">
        <v>184</v>
      </c>
      <c r="AC56" s="27">
        <v>39232999</v>
      </c>
      <c r="AD56" s="27" t="s">
        <v>201</v>
      </c>
      <c r="AE56" s="27">
        <v>1</v>
      </c>
      <c r="AF56" s="27">
        <v>22263</v>
      </c>
      <c r="AG56" s="27" t="s">
        <v>202</v>
      </c>
    </row>
    <row r="57" spans="1:33" hidden="1" x14ac:dyDescent="0.25">
      <c r="A57" s="22"/>
      <c r="B57" s="26">
        <v>46241</v>
      </c>
      <c r="C57" s="27" t="s">
        <v>210</v>
      </c>
      <c r="D57" s="27" t="s">
        <v>199</v>
      </c>
      <c r="E57" s="27">
        <v>459</v>
      </c>
      <c r="F57" s="27" t="s">
        <v>324</v>
      </c>
      <c r="G57" s="27" t="s">
        <v>388</v>
      </c>
      <c r="H57" s="26">
        <v>46241</v>
      </c>
      <c r="I57" s="27" t="s">
        <v>188</v>
      </c>
      <c r="J57" s="27" t="s">
        <v>152</v>
      </c>
      <c r="K57" s="27" t="s">
        <v>152</v>
      </c>
      <c r="L57" s="27" t="s">
        <v>200</v>
      </c>
      <c r="M57" s="27" t="s">
        <v>187</v>
      </c>
      <c r="N57" s="27">
        <v>19764</v>
      </c>
      <c r="O57" s="27">
        <v>4159136.16</v>
      </c>
      <c r="P57" s="27" t="s">
        <v>389</v>
      </c>
      <c r="Q57" s="27">
        <v>4903621.5199999996</v>
      </c>
      <c r="R57" s="27">
        <v>9</v>
      </c>
      <c r="S57" s="27">
        <v>374322.25</v>
      </c>
      <c r="T57" s="27">
        <v>9</v>
      </c>
      <c r="U57" s="27">
        <v>374322.25</v>
      </c>
      <c r="V57" s="27">
        <v>0</v>
      </c>
      <c r="W57" s="27">
        <v>0</v>
      </c>
      <c r="X57" s="27">
        <v>0</v>
      </c>
      <c r="Y57" s="27">
        <v>748644.5</v>
      </c>
      <c r="Z57" s="27">
        <v>0</v>
      </c>
      <c r="AA57" s="27" t="s">
        <v>171</v>
      </c>
      <c r="AB57" s="27" t="s">
        <v>184</v>
      </c>
      <c r="AC57" s="27">
        <v>39232999</v>
      </c>
      <c r="AD57" s="27" t="s">
        <v>201</v>
      </c>
      <c r="AE57" s="27">
        <v>1</v>
      </c>
      <c r="AF57" s="27">
        <v>19764</v>
      </c>
      <c r="AG57" s="27" t="s">
        <v>202</v>
      </c>
    </row>
    <row r="58" spans="1:33" hidden="1" x14ac:dyDescent="0.25">
      <c r="A58" s="22"/>
      <c r="B58" s="26">
        <v>46241</v>
      </c>
      <c r="C58" s="27" t="s">
        <v>212</v>
      </c>
      <c r="D58" s="27" t="s">
        <v>199</v>
      </c>
      <c r="E58" s="27">
        <v>460</v>
      </c>
      <c r="F58" s="27" t="s">
        <v>324</v>
      </c>
      <c r="G58" s="27" t="s">
        <v>390</v>
      </c>
      <c r="H58" s="26">
        <v>46241</v>
      </c>
      <c r="I58" s="27" t="s">
        <v>169</v>
      </c>
      <c r="J58" s="27" t="s">
        <v>179</v>
      </c>
      <c r="K58" s="27" t="s">
        <v>156</v>
      </c>
      <c r="L58" s="27" t="s">
        <v>211</v>
      </c>
      <c r="M58" s="27" t="s">
        <v>178</v>
      </c>
      <c r="N58" s="27">
        <v>750</v>
      </c>
      <c r="O58" s="27">
        <v>97447.5</v>
      </c>
      <c r="P58" s="27" t="s">
        <v>391</v>
      </c>
      <c r="Q58" s="27">
        <v>151106.04</v>
      </c>
      <c r="R58" s="27">
        <v>9</v>
      </c>
      <c r="S58" s="27">
        <v>8770.2800000000007</v>
      </c>
      <c r="T58" s="27">
        <v>9</v>
      </c>
      <c r="U58" s="27">
        <v>8770.2800000000007</v>
      </c>
      <c r="V58" s="27">
        <v>0</v>
      </c>
      <c r="W58" s="27">
        <v>0</v>
      </c>
      <c r="X58" s="27">
        <v>0</v>
      </c>
      <c r="Y58" s="27">
        <v>17540.560000000001</v>
      </c>
      <c r="Z58" s="27">
        <v>0</v>
      </c>
      <c r="AA58" s="27" t="s">
        <v>176</v>
      </c>
      <c r="AB58" s="27" t="s">
        <v>184</v>
      </c>
      <c r="AC58" s="27">
        <v>39269080</v>
      </c>
      <c r="AD58" s="27" t="s">
        <v>201</v>
      </c>
      <c r="AE58" s="27">
        <v>1</v>
      </c>
      <c r="AF58" s="27">
        <v>750</v>
      </c>
      <c r="AG58" s="27" t="s">
        <v>202</v>
      </c>
    </row>
    <row r="59" spans="1:33" hidden="1" x14ac:dyDescent="0.25">
      <c r="A59" s="22"/>
      <c r="B59" s="26">
        <v>46241</v>
      </c>
      <c r="C59" s="27" t="s">
        <v>212</v>
      </c>
      <c r="D59" s="27" t="s">
        <v>199</v>
      </c>
      <c r="E59" s="27">
        <v>460</v>
      </c>
      <c r="F59" s="27" t="s">
        <v>324</v>
      </c>
      <c r="G59" s="27" t="s">
        <v>390</v>
      </c>
      <c r="H59" s="26">
        <v>46241</v>
      </c>
      <c r="I59" s="27" t="s">
        <v>169</v>
      </c>
      <c r="J59" s="27" t="s">
        <v>179</v>
      </c>
      <c r="K59" s="27" t="s">
        <v>156</v>
      </c>
      <c r="L59" s="27" t="s">
        <v>211</v>
      </c>
      <c r="M59" s="27" t="s">
        <v>178</v>
      </c>
      <c r="N59" s="27">
        <v>242</v>
      </c>
      <c r="O59" s="27">
        <v>30717.06</v>
      </c>
      <c r="P59" s="27" t="s">
        <v>392</v>
      </c>
      <c r="Q59" s="27">
        <v>0</v>
      </c>
      <c r="R59" s="27">
        <v>9</v>
      </c>
      <c r="S59" s="27">
        <v>2764.54</v>
      </c>
      <c r="T59" s="27">
        <v>9</v>
      </c>
      <c r="U59" s="27">
        <v>2764.54</v>
      </c>
      <c r="V59" s="27">
        <v>0</v>
      </c>
      <c r="W59" s="27">
        <v>0</v>
      </c>
      <c r="X59" s="27">
        <v>0</v>
      </c>
      <c r="Y59" s="27">
        <v>5529.08</v>
      </c>
      <c r="Z59" s="27">
        <v>0</v>
      </c>
      <c r="AA59" s="27" t="s">
        <v>176</v>
      </c>
      <c r="AB59" s="27" t="s">
        <v>184</v>
      </c>
      <c r="AC59" s="27">
        <v>39269080</v>
      </c>
      <c r="AD59" s="27" t="s">
        <v>201</v>
      </c>
      <c r="AE59" s="27">
        <v>1</v>
      </c>
      <c r="AF59" s="27">
        <v>242</v>
      </c>
      <c r="AG59" s="27" t="s">
        <v>202</v>
      </c>
    </row>
    <row r="60" spans="1:33" hidden="1" x14ac:dyDescent="0.25">
      <c r="A60" s="22"/>
      <c r="B60" s="26">
        <v>46242</v>
      </c>
      <c r="C60" s="27" t="s">
        <v>198</v>
      </c>
      <c r="D60" s="27" t="s">
        <v>199</v>
      </c>
      <c r="E60" s="27">
        <v>467</v>
      </c>
      <c r="F60" s="27" t="s">
        <v>324</v>
      </c>
      <c r="G60" s="27" t="s">
        <v>393</v>
      </c>
      <c r="H60" s="26">
        <v>46242</v>
      </c>
      <c r="I60" s="27" t="s">
        <v>169</v>
      </c>
      <c r="J60" s="27" t="s">
        <v>179</v>
      </c>
      <c r="K60" s="27" t="s">
        <v>156</v>
      </c>
      <c r="L60" s="27" t="s">
        <v>211</v>
      </c>
      <c r="M60" s="27" t="s">
        <v>178</v>
      </c>
      <c r="N60" s="27">
        <v>752</v>
      </c>
      <c r="O60" s="27">
        <v>103460.16</v>
      </c>
      <c r="P60" s="27" t="s">
        <v>394</v>
      </c>
      <c r="Q60" s="27">
        <v>202531.02</v>
      </c>
      <c r="R60" s="27">
        <v>9</v>
      </c>
      <c r="S60" s="27">
        <v>9311.41</v>
      </c>
      <c r="T60" s="27">
        <v>9</v>
      </c>
      <c r="U60" s="27">
        <v>9311.41</v>
      </c>
      <c r="V60" s="27">
        <v>0</v>
      </c>
      <c r="W60" s="27">
        <v>0</v>
      </c>
      <c r="X60" s="27">
        <v>0</v>
      </c>
      <c r="Y60" s="27">
        <v>18622.82</v>
      </c>
      <c r="Z60" s="27">
        <v>0</v>
      </c>
      <c r="AA60" s="27" t="s">
        <v>185</v>
      </c>
      <c r="AB60" s="27" t="s">
        <v>184</v>
      </c>
      <c r="AC60" s="27">
        <v>39269080</v>
      </c>
      <c r="AD60" s="27" t="s">
        <v>201</v>
      </c>
      <c r="AE60" s="27">
        <v>1</v>
      </c>
      <c r="AF60" s="27">
        <v>752</v>
      </c>
      <c r="AG60" s="27" t="s">
        <v>202</v>
      </c>
    </row>
    <row r="61" spans="1:33" hidden="1" x14ac:dyDescent="0.25">
      <c r="A61" s="22"/>
      <c r="B61" s="26">
        <v>46242</v>
      </c>
      <c r="C61" s="27" t="s">
        <v>198</v>
      </c>
      <c r="D61" s="27" t="s">
        <v>199</v>
      </c>
      <c r="E61" s="27">
        <v>467</v>
      </c>
      <c r="F61" s="27" t="s">
        <v>324</v>
      </c>
      <c r="G61" s="27" t="s">
        <v>393</v>
      </c>
      <c r="H61" s="26">
        <v>46242</v>
      </c>
      <c r="I61" s="27" t="s">
        <v>169</v>
      </c>
      <c r="J61" s="27" t="s">
        <v>179</v>
      </c>
      <c r="K61" s="27" t="s">
        <v>156</v>
      </c>
      <c r="L61" s="27" t="s">
        <v>211</v>
      </c>
      <c r="M61" s="27" t="s">
        <v>178</v>
      </c>
      <c r="N61" s="27">
        <v>486</v>
      </c>
      <c r="O61" s="27">
        <v>68321.88</v>
      </c>
      <c r="P61" s="27" t="s">
        <v>395</v>
      </c>
      <c r="Q61" s="27">
        <v>0</v>
      </c>
      <c r="R61" s="27">
        <v>9</v>
      </c>
      <c r="S61" s="27">
        <v>6148.97</v>
      </c>
      <c r="T61" s="27">
        <v>9</v>
      </c>
      <c r="U61" s="27">
        <v>6148.97</v>
      </c>
      <c r="V61" s="27">
        <v>0</v>
      </c>
      <c r="W61" s="27">
        <v>0</v>
      </c>
      <c r="X61" s="27">
        <v>0</v>
      </c>
      <c r="Y61" s="27">
        <v>12297.94</v>
      </c>
      <c r="Z61" s="27">
        <v>0</v>
      </c>
      <c r="AA61" s="27" t="s">
        <v>185</v>
      </c>
      <c r="AB61" s="27" t="s">
        <v>184</v>
      </c>
      <c r="AC61" s="27">
        <v>39269080</v>
      </c>
      <c r="AD61" s="27" t="s">
        <v>201</v>
      </c>
      <c r="AE61" s="27">
        <v>1</v>
      </c>
      <c r="AF61" s="27">
        <v>486</v>
      </c>
      <c r="AG61" s="27" t="s">
        <v>202</v>
      </c>
    </row>
    <row r="62" spans="1:33" hidden="1" x14ac:dyDescent="0.25">
      <c r="A62" s="22"/>
      <c r="B62" s="26">
        <v>46242</v>
      </c>
      <c r="C62" s="27" t="s">
        <v>210</v>
      </c>
      <c r="D62" s="27" t="s">
        <v>199</v>
      </c>
      <c r="E62" s="27">
        <v>465</v>
      </c>
      <c r="F62" s="27" t="s">
        <v>324</v>
      </c>
      <c r="G62" s="27" t="s">
        <v>396</v>
      </c>
      <c r="H62" s="26">
        <v>46242</v>
      </c>
      <c r="I62" s="27" t="s">
        <v>188</v>
      </c>
      <c r="J62" s="27" t="s">
        <v>152</v>
      </c>
      <c r="K62" s="27" t="s">
        <v>152</v>
      </c>
      <c r="L62" s="27" t="s">
        <v>200</v>
      </c>
      <c r="M62" s="27" t="s">
        <v>187</v>
      </c>
      <c r="N62" s="27">
        <v>6774</v>
      </c>
      <c r="O62" s="27">
        <v>1577054.94</v>
      </c>
      <c r="P62" s="27" t="s">
        <v>397</v>
      </c>
      <c r="Q62" s="27">
        <v>4886805.04</v>
      </c>
      <c r="R62" s="27">
        <v>9</v>
      </c>
      <c r="S62" s="27">
        <v>141934.94</v>
      </c>
      <c r="T62" s="27">
        <v>9</v>
      </c>
      <c r="U62" s="27">
        <v>141934.94</v>
      </c>
      <c r="V62" s="27">
        <v>0</v>
      </c>
      <c r="W62" s="27">
        <v>0</v>
      </c>
      <c r="X62" s="27">
        <v>0</v>
      </c>
      <c r="Y62" s="27">
        <v>283869.88</v>
      </c>
      <c r="Z62" s="27">
        <v>0</v>
      </c>
      <c r="AA62" s="27" t="s">
        <v>171</v>
      </c>
      <c r="AB62" s="27" t="s">
        <v>184</v>
      </c>
      <c r="AC62" s="27">
        <v>39232999</v>
      </c>
      <c r="AD62" s="27" t="s">
        <v>201</v>
      </c>
      <c r="AE62" s="27">
        <v>1</v>
      </c>
      <c r="AF62" s="27">
        <v>6774</v>
      </c>
      <c r="AG62" s="27" t="s">
        <v>202</v>
      </c>
    </row>
    <row r="63" spans="1:33" hidden="1" x14ac:dyDescent="0.25">
      <c r="A63" s="22"/>
      <c r="B63" s="26">
        <v>46242</v>
      </c>
      <c r="C63" s="27" t="s">
        <v>210</v>
      </c>
      <c r="D63" s="27" t="s">
        <v>199</v>
      </c>
      <c r="E63" s="27">
        <v>465</v>
      </c>
      <c r="F63" s="27" t="s">
        <v>324</v>
      </c>
      <c r="G63" s="27" t="s">
        <v>396</v>
      </c>
      <c r="H63" s="26">
        <v>46242</v>
      </c>
      <c r="I63" s="27" t="s">
        <v>188</v>
      </c>
      <c r="J63" s="27" t="s">
        <v>152</v>
      </c>
      <c r="K63" s="27" t="s">
        <v>152</v>
      </c>
      <c r="L63" s="27" t="s">
        <v>200</v>
      </c>
      <c r="M63" s="27" t="s">
        <v>191</v>
      </c>
      <c r="N63" s="27">
        <v>3557</v>
      </c>
      <c r="O63" s="27">
        <v>1159439.72</v>
      </c>
      <c r="P63" s="27" t="s">
        <v>398</v>
      </c>
      <c r="Q63" s="27">
        <v>0</v>
      </c>
      <c r="R63" s="27">
        <v>9</v>
      </c>
      <c r="S63" s="27">
        <v>104349.57</v>
      </c>
      <c r="T63" s="27">
        <v>9</v>
      </c>
      <c r="U63" s="27">
        <v>104349.57</v>
      </c>
      <c r="V63" s="27">
        <v>0</v>
      </c>
      <c r="W63" s="27">
        <v>0</v>
      </c>
      <c r="X63" s="27">
        <v>0</v>
      </c>
      <c r="Y63" s="27">
        <v>208699.14</v>
      </c>
      <c r="Z63" s="27">
        <v>0</v>
      </c>
      <c r="AA63" s="27" t="s">
        <v>171</v>
      </c>
      <c r="AB63" s="27" t="s">
        <v>184</v>
      </c>
      <c r="AC63" s="27">
        <v>39232999</v>
      </c>
      <c r="AD63" s="27" t="s">
        <v>201</v>
      </c>
      <c r="AE63" s="27">
        <v>1</v>
      </c>
      <c r="AF63" s="27">
        <v>3557</v>
      </c>
      <c r="AG63" s="27" t="s">
        <v>202</v>
      </c>
    </row>
    <row r="64" spans="1:33" hidden="1" x14ac:dyDescent="0.25">
      <c r="A64" s="22"/>
      <c r="B64" s="26">
        <v>46242</v>
      </c>
      <c r="C64" s="27" t="s">
        <v>210</v>
      </c>
      <c r="D64" s="27" t="s">
        <v>199</v>
      </c>
      <c r="E64" s="27">
        <v>465</v>
      </c>
      <c r="F64" s="27" t="s">
        <v>324</v>
      </c>
      <c r="G64" s="27" t="s">
        <v>396</v>
      </c>
      <c r="H64" s="26">
        <v>46242</v>
      </c>
      <c r="I64" s="27" t="s">
        <v>188</v>
      </c>
      <c r="J64" s="27" t="s">
        <v>152</v>
      </c>
      <c r="K64" s="27" t="s">
        <v>152</v>
      </c>
      <c r="L64" s="27" t="s">
        <v>200</v>
      </c>
      <c r="M64" s="27" t="s">
        <v>191</v>
      </c>
      <c r="N64" s="27">
        <v>3171</v>
      </c>
      <c r="O64" s="27">
        <v>790879.11</v>
      </c>
      <c r="P64" s="27" t="s">
        <v>399</v>
      </c>
      <c r="Q64" s="27">
        <v>0</v>
      </c>
      <c r="R64" s="27">
        <v>9</v>
      </c>
      <c r="S64" s="27">
        <v>71179.12</v>
      </c>
      <c r="T64" s="27">
        <v>9</v>
      </c>
      <c r="U64" s="27">
        <v>71179.12</v>
      </c>
      <c r="V64" s="27">
        <v>0</v>
      </c>
      <c r="W64" s="27">
        <v>0</v>
      </c>
      <c r="X64" s="27">
        <v>0</v>
      </c>
      <c r="Y64" s="27">
        <v>142358.24</v>
      </c>
      <c r="Z64" s="27">
        <v>0</v>
      </c>
      <c r="AA64" s="27" t="s">
        <v>171</v>
      </c>
      <c r="AB64" s="27" t="s">
        <v>184</v>
      </c>
      <c r="AC64" s="27">
        <v>39232999</v>
      </c>
      <c r="AD64" s="27" t="s">
        <v>201</v>
      </c>
      <c r="AE64" s="27">
        <v>1</v>
      </c>
      <c r="AF64" s="27">
        <v>3171</v>
      </c>
      <c r="AG64" s="27" t="s">
        <v>202</v>
      </c>
    </row>
    <row r="65" spans="1:33" hidden="1" x14ac:dyDescent="0.25">
      <c r="A65" s="22"/>
      <c r="B65" s="26">
        <v>46242</v>
      </c>
      <c r="C65" s="27" t="s">
        <v>210</v>
      </c>
      <c r="D65" s="27" t="s">
        <v>199</v>
      </c>
      <c r="E65" s="27">
        <v>465</v>
      </c>
      <c r="F65" s="27" t="s">
        <v>324</v>
      </c>
      <c r="G65" s="27" t="s">
        <v>396</v>
      </c>
      <c r="H65" s="26">
        <v>46242</v>
      </c>
      <c r="I65" s="27" t="s">
        <v>188</v>
      </c>
      <c r="J65" s="27" t="s">
        <v>152</v>
      </c>
      <c r="K65" s="27" t="s">
        <v>152</v>
      </c>
      <c r="L65" s="27" t="s">
        <v>200</v>
      </c>
      <c r="M65" s="27" t="s">
        <v>191</v>
      </c>
      <c r="N65" s="27">
        <v>1633</v>
      </c>
      <c r="O65" s="27">
        <v>410503.54</v>
      </c>
      <c r="P65" s="27" t="s">
        <v>400</v>
      </c>
      <c r="Q65" s="27">
        <v>0</v>
      </c>
      <c r="R65" s="27">
        <v>9</v>
      </c>
      <c r="S65" s="27">
        <v>36945.32</v>
      </c>
      <c r="T65" s="27">
        <v>9</v>
      </c>
      <c r="U65" s="27">
        <v>36945.32</v>
      </c>
      <c r="V65" s="27">
        <v>0</v>
      </c>
      <c r="W65" s="27">
        <v>0</v>
      </c>
      <c r="X65" s="27">
        <v>0</v>
      </c>
      <c r="Y65" s="27">
        <v>73890.64</v>
      </c>
      <c r="Z65" s="27">
        <v>0</v>
      </c>
      <c r="AA65" s="27" t="s">
        <v>171</v>
      </c>
      <c r="AB65" s="27" t="s">
        <v>184</v>
      </c>
      <c r="AC65" s="27">
        <v>39232999</v>
      </c>
      <c r="AD65" s="27" t="s">
        <v>201</v>
      </c>
      <c r="AE65" s="27">
        <v>1</v>
      </c>
      <c r="AF65" s="27">
        <v>1633</v>
      </c>
      <c r="AG65" s="27" t="s">
        <v>202</v>
      </c>
    </row>
    <row r="66" spans="1:33" hidden="1" x14ac:dyDescent="0.25">
      <c r="A66" s="22"/>
      <c r="B66" s="26">
        <v>46242</v>
      </c>
      <c r="C66" s="27" t="s">
        <v>210</v>
      </c>
      <c r="D66" s="27" t="s">
        <v>199</v>
      </c>
      <c r="E66" s="27">
        <v>465</v>
      </c>
      <c r="F66" s="27" t="s">
        <v>324</v>
      </c>
      <c r="G66" s="27" t="s">
        <v>396</v>
      </c>
      <c r="H66" s="26">
        <v>46242</v>
      </c>
      <c r="I66" s="27" t="s">
        <v>188</v>
      </c>
      <c r="J66" s="27" t="s">
        <v>152</v>
      </c>
      <c r="K66" s="27" t="s">
        <v>152</v>
      </c>
      <c r="L66" s="27" t="s">
        <v>200</v>
      </c>
      <c r="M66" s="27" t="s">
        <v>191</v>
      </c>
      <c r="N66" s="27">
        <v>807</v>
      </c>
      <c r="O66" s="27">
        <v>206995.5</v>
      </c>
      <c r="P66" s="27" t="s">
        <v>401</v>
      </c>
      <c r="Q66" s="27">
        <v>0</v>
      </c>
      <c r="R66" s="27">
        <v>9</v>
      </c>
      <c r="S66" s="27">
        <v>18629.599999999999</v>
      </c>
      <c r="T66" s="27">
        <v>9</v>
      </c>
      <c r="U66" s="27">
        <v>18629.599999999999</v>
      </c>
      <c r="V66" s="27">
        <v>0</v>
      </c>
      <c r="W66" s="27">
        <v>0</v>
      </c>
      <c r="X66" s="27">
        <v>0</v>
      </c>
      <c r="Y66" s="27">
        <v>37259.199999999997</v>
      </c>
      <c r="Z66" s="27">
        <v>0</v>
      </c>
      <c r="AA66" s="27" t="s">
        <v>171</v>
      </c>
      <c r="AB66" s="27" t="s">
        <v>184</v>
      </c>
      <c r="AC66" s="27">
        <v>39232999</v>
      </c>
      <c r="AD66" s="27" t="s">
        <v>201</v>
      </c>
      <c r="AE66" s="27">
        <v>1</v>
      </c>
      <c r="AF66" s="27">
        <v>807</v>
      </c>
      <c r="AG66" s="27" t="s">
        <v>202</v>
      </c>
    </row>
    <row r="67" spans="1:33" hidden="1" x14ac:dyDescent="0.25">
      <c r="A67" s="22"/>
      <c r="B67" s="26">
        <v>46242</v>
      </c>
      <c r="C67" s="27" t="s">
        <v>210</v>
      </c>
      <c r="D67" s="27" t="s">
        <v>199</v>
      </c>
      <c r="E67" s="27">
        <v>466</v>
      </c>
      <c r="F67" s="27" t="s">
        <v>324</v>
      </c>
      <c r="G67" s="27" t="s">
        <v>402</v>
      </c>
      <c r="H67" s="26">
        <v>46242</v>
      </c>
      <c r="I67" s="27" t="s">
        <v>169</v>
      </c>
      <c r="J67" s="27" t="s">
        <v>179</v>
      </c>
      <c r="K67" s="27" t="s">
        <v>155</v>
      </c>
      <c r="L67" s="27" t="s">
        <v>203</v>
      </c>
      <c r="M67" s="27" t="s">
        <v>403</v>
      </c>
      <c r="N67" s="27">
        <v>2712.4</v>
      </c>
      <c r="O67" s="27">
        <v>451343.35999999999</v>
      </c>
      <c r="P67" s="27" t="s">
        <v>404</v>
      </c>
      <c r="Q67" s="27">
        <v>710867.52</v>
      </c>
      <c r="R67" s="27">
        <v>9</v>
      </c>
      <c r="S67" s="27">
        <v>40620.9</v>
      </c>
      <c r="T67" s="27">
        <v>9</v>
      </c>
      <c r="U67" s="27">
        <v>40620.9</v>
      </c>
      <c r="V67" s="27">
        <v>0</v>
      </c>
      <c r="W67" s="27">
        <v>0</v>
      </c>
      <c r="X67" s="27">
        <v>0</v>
      </c>
      <c r="Y67" s="27">
        <v>81241.8</v>
      </c>
      <c r="Z67" s="27">
        <v>0</v>
      </c>
      <c r="AA67" s="27" t="s">
        <v>171</v>
      </c>
      <c r="AB67" s="27" t="s">
        <v>184</v>
      </c>
      <c r="AC67" s="27">
        <v>39269080</v>
      </c>
      <c r="AD67" s="27" t="s">
        <v>201</v>
      </c>
      <c r="AE67" s="27">
        <v>1</v>
      </c>
      <c r="AF67" s="27">
        <v>2712.4</v>
      </c>
      <c r="AG67" s="27" t="s">
        <v>202</v>
      </c>
    </row>
    <row r="68" spans="1:33" hidden="1" x14ac:dyDescent="0.25">
      <c r="A68" s="22"/>
      <c r="B68" s="30">
        <v>46242</v>
      </c>
      <c r="C68" s="31" t="s">
        <v>210</v>
      </c>
      <c r="D68" s="31" t="s">
        <v>199</v>
      </c>
      <c r="E68" s="31">
        <v>466</v>
      </c>
      <c r="F68" s="31" t="s">
        <v>324</v>
      </c>
      <c r="G68" s="31" t="s">
        <v>402</v>
      </c>
      <c r="H68" s="30">
        <v>46242</v>
      </c>
      <c r="I68" s="31" t="s">
        <v>169</v>
      </c>
      <c r="J68" s="31" t="s">
        <v>179</v>
      </c>
      <c r="K68" s="36" t="s">
        <v>287</v>
      </c>
      <c r="L68" s="31" t="s">
        <v>211</v>
      </c>
      <c r="M68" s="31" t="s">
        <v>384</v>
      </c>
      <c r="N68" s="31">
        <v>593</v>
      </c>
      <c r="O68" s="31">
        <v>151597.72</v>
      </c>
      <c r="P68" s="31" t="s">
        <v>384</v>
      </c>
      <c r="Q68" s="31">
        <v>0</v>
      </c>
      <c r="R68" s="31">
        <v>9</v>
      </c>
      <c r="S68" s="31">
        <v>13643.79</v>
      </c>
      <c r="T68" s="31">
        <v>9</v>
      </c>
      <c r="U68" s="31">
        <v>13643.79</v>
      </c>
      <c r="V68" s="31">
        <v>0</v>
      </c>
      <c r="W68" s="31">
        <v>0</v>
      </c>
      <c r="X68" s="31">
        <v>0</v>
      </c>
      <c r="Y68" s="31">
        <v>27287.58</v>
      </c>
      <c r="Z68" s="31">
        <v>0</v>
      </c>
      <c r="AA68" s="31" t="s">
        <v>171</v>
      </c>
      <c r="AB68" s="31" t="s">
        <v>184</v>
      </c>
      <c r="AC68" s="31">
        <v>39269080</v>
      </c>
      <c r="AD68" s="31" t="s">
        <v>201</v>
      </c>
      <c r="AE68" s="31">
        <v>1</v>
      </c>
      <c r="AF68" s="31">
        <v>593</v>
      </c>
      <c r="AG68" s="31" t="s">
        <v>202</v>
      </c>
    </row>
    <row r="69" spans="1:33" x14ac:dyDescent="0.25">
      <c r="A69" s="22"/>
      <c r="B69" s="26">
        <v>46243</v>
      </c>
      <c r="C69" s="27" t="s">
        <v>198</v>
      </c>
      <c r="D69" s="27" t="s">
        <v>199</v>
      </c>
      <c r="E69" s="27">
        <v>469</v>
      </c>
      <c r="F69" s="27" t="s">
        <v>324</v>
      </c>
      <c r="G69" s="27" t="s">
        <v>405</v>
      </c>
      <c r="H69" s="26">
        <v>46243</v>
      </c>
      <c r="I69" s="27" t="s">
        <v>169</v>
      </c>
      <c r="J69" s="27" t="s">
        <v>181</v>
      </c>
      <c r="K69" s="27" t="s">
        <v>154</v>
      </c>
      <c r="L69" s="27" t="s">
        <v>154</v>
      </c>
      <c r="M69" s="27" t="s">
        <v>181</v>
      </c>
      <c r="N69" s="27">
        <v>408.8</v>
      </c>
      <c r="O69" s="27">
        <v>56569.74</v>
      </c>
      <c r="P69" s="27" t="s">
        <v>406</v>
      </c>
      <c r="Q69" s="27">
        <v>66695.73</v>
      </c>
      <c r="R69" s="27">
        <v>9</v>
      </c>
      <c r="S69" s="27">
        <v>5091.28</v>
      </c>
      <c r="T69" s="27">
        <v>9</v>
      </c>
      <c r="U69" s="27">
        <v>5091.28</v>
      </c>
      <c r="V69" s="27">
        <v>0</v>
      </c>
      <c r="W69" s="27">
        <v>0</v>
      </c>
      <c r="X69" s="27">
        <v>0</v>
      </c>
      <c r="Y69" s="27">
        <v>10182.56</v>
      </c>
      <c r="Z69" s="27">
        <v>0</v>
      </c>
      <c r="AA69" s="27" t="s">
        <v>185</v>
      </c>
      <c r="AB69" s="27" t="s">
        <v>184</v>
      </c>
      <c r="AC69" s="27">
        <v>39269080</v>
      </c>
      <c r="AD69" s="27" t="s">
        <v>201</v>
      </c>
      <c r="AE69" s="27">
        <v>1</v>
      </c>
      <c r="AF69" s="27">
        <v>408.8</v>
      </c>
      <c r="AG69" s="27" t="s">
        <v>202</v>
      </c>
    </row>
    <row r="70" spans="1:33" x14ac:dyDescent="0.25">
      <c r="A70" s="22"/>
      <c r="B70" s="26">
        <v>46243</v>
      </c>
      <c r="C70" s="27" t="s">
        <v>212</v>
      </c>
      <c r="D70" s="27" t="s">
        <v>199</v>
      </c>
      <c r="E70" s="27">
        <v>468</v>
      </c>
      <c r="F70" s="27" t="s">
        <v>324</v>
      </c>
      <c r="G70" s="27" t="s">
        <v>407</v>
      </c>
      <c r="H70" s="26">
        <v>46243</v>
      </c>
      <c r="I70" s="27" t="s">
        <v>169</v>
      </c>
      <c r="J70" s="27" t="s">
        <v>181</v>
      </c>
      <c r="K70" s="27" t="s">
        <v>154</v>
      </c>
      <c r="L70" s="27" t="s">
        <v>154</v>
      </c>
      <c r="M70" s="27" t="s">
        <v>181</v>
      </c>
      <c r="N70" s="27">
        <v>282.3</v>
      </c>
      <c r="O70" s="27">
        <v>39064.67</v>
      </c>
      <c r="P70" s="27" t="s">
        <v>408</v>
      </c>
      <c r="Q70" s="27">
        <v>46057.25</v>
      </c>
      <c r="R70" s="27">
        <v>9</v>
      </c>
      <c r="S70" s="27">
        <v>3515.82</v>
      </c>
      <c r="T70" s="27">
        <v>9</v>
      </c>
      <c r="U70" s="27">
        <v>3515.82</v>
      </c>
      <c r="V70" s="27">
        <v>0</v>
      </c>
      <c r="W70" s="27">
        <v>0</v>
      </c>
      <c r="X70" s="27">
        <v>0</v>
      </c>
      <c r="Y70" s="27">
        <v>7031.64</v>
      </c>
      <c r="Z70" s="27">
        <v>0</v>
      </c>
      <c r="AA70" s="27" t="s">
        <v>176</v>
      </c>
      <c r="AB70" s="27" t="s">
        <v>184</v>
      </c>
      <c r="AC70" s="27">
        <v>39269080</v>
      </c>
      <c r="AD70" s="27" t="s">
        <v>201</v>
      </c>
      <c r="AE70" s="27">
        <v>1</v>
      </c>
      <c r="AF70" s="27">
        <v>282.3</v>
      </c>
      <c r="AG70" s="27" t="s">
        <v>202</v>
      </c>
    </row>
    <row r="71" spans="1:33" ht="15" hidden="1" customHeight="1" x14ac:dyDescent="0.25">
      <c r="A71" s="21"/>
      <c r="B71" s="26">
        <v>46243</v>
      </c>
      <c r="C71" s="27" t="s">
        <v>212</v>
      </c>
      <c r="D71" s="27" t="s">
        <v>199</v>
      </c>
      <c r="E71" s="27">
        <v>470</v>
      </c>
      <c r="F71" s="27" t="s">
        <v>324</v>
      </c>
      <c r="G71" s="27" t="s">
        <v>409</v>
      </c>
      <c r="H71" s="26">
        <v>46243</v>
      </c>
      <c r="I71" s="27" t="s">
        <v>169</v>
      </c>
      <c r="J71" s="27" t="s">
        <v>179</v>
      </c>
      <c r="K71" s="27" t="s">
        <v>155</v>
      </c>
      <c r="L71" s="27" t="s">
        <v>203</v>
      </c>
      <c r="M71" s="27" t="s">
        <v>183</v>
      </c>
      <c r="N71" s="27">
        <v>169</v>
      </c>
      <c r="O71" s="27">
        <v>22575.02</v>
      </c>
      <c r="P71" s="27" t="s">
        <v>410</v>
      </c>
      <c r="Q71" s="27">
        <v>55005.05</v>
      </c>
      <c r="R71" s="27">
        <v>9</v>
      </c>
      <c r="S71" s="27">
        <v>2031.75</v>
      </c>
      <c r="T71" s="27">
        <v>9</v>
      </c>
      <c r="U71" s="27">
        <v>2031.75</v>
      </c>
      <c r="V71" s="27">
        <v>0</v>
      </c>
      <c r="W71" s="27">
        <v>0</v>
      </c>
      <c r="X71" s="27">
        <v>0</v>
      </c>
      <c r="Y71" s="27">
        <v>4063.5</v>
      </c>
      <c r="Z71" s="27">
        <v>0</v>
      </c>
      <c r="AA71" s="27" t="s">
        <v>176</v>
      </c>
      <c r="AB71" s="27" t="s">
        <v>184</v>
      </c>
      <c r="AC71" s="27">
        <v>39269080</v>
      </c>
      <c r="AD71" s="27" t="s">
        <v>201</v>
      </c>
      <c r="AE71" s="27">
        <v>1</v>
      </c>
      <c r="AF71" s="27">
        <v>169</v>
      </c>
      <c r="AG71" s="27" t="s">
        <v>202</v>
      </c>
    </row>
    <row r="72" spans="1:33" hidden="1" x14ac:dyDescent="0.25">
      <c r="A72" s="22"/>
      <c r="B72" s="26">
        <v>46243</v>
      </c>
      <c r="C72" s="27" t="s">
        <v>212</v>
      </c>
      <c r="D72" s="27" t="s">
        <v>199</v>
      </c>
      <c r="E72" s="27">
        <v>470</v>
      </c>
      <c r="F72" s="27" t="s">
        <v>324</v>
      </c>
      <c r="G72" s="27" t="s">
        <v>409</v>
      </c>
      <c r="H72" s="26">
        <v>46243</v>
      </c>
      <c r="I72" s="27" t="s">
        <v>188</v>
      </c>
      <c r="J72" s="27" t="s">
        <v>153</v>
      </c>
      <c r="K72" s="27" t="s">
        <v>153</v>
      </c>
      <c r="L72" s="27" t="s">
        <v>200</v>
      </c>
      <c r="M72" s="27" t="s">
        <v>153</v>
      </c>
      <c r="N72" s="27">
        <v>212</v>
      </c>
      <c r="O72" s="27">
        <v>24078.959999999999</v>
      </c>
      <c r="P72" s="27" t="s">
        <v>383</v>
      </c>
      <c r="Q72" s="27">
        <v>0</v>
      </c>
      <c r="R72" s="27">
        <v>9</v>
      </c>
      <c r="S72" s="27">
        <v>2167.11</v>
      </c>
      <c r="T72" s="27">
        <v>9</v>
      </c>
      <c r="U72" s="27">
        <v>2167.11</v>
      </c>
      <c r="V72" s="27">
        <v>0</v>
      </c>
      <c r="W72" s="27">
        <v>0</v>
      </c>
      <c r="X72" s="27">
        <v>0</v>
      </c>
      <c r="Y72" s="27">
        <v>4334.22</v>
      </c>
      <c r="Z72" s="27">
        <v>0</v>
      </c>
      <c r="AA72" s="27" t="s">
        <v>176</v>
      </c>
      <c r="AB72" s="27" t="s">
        <v>184</v>
      </c>
      <c r="AC72" s="27">
        <v>39232999</v>
      </c>
      <c r="AD72" s="27" t="s">
        <v>201</v>
      </c>
      <c r="AE72" s="27">
        <v>1</v>
      </c>
      <c r="AF72" s="27">
        <v>212</v>
      </c>
      <c r="AG72" s="27" t="s">
        <v>202</v>
      </c>
    </row>
    <row r="73" spans="1:33" hidden="1" x14ac:dyDescent="0.25">
      <c r="A73" s="22"/>
      <c r="B73" s="26">
        <v>46244</v>
      </c>
      <c r="C73" s="27" t="s">
        <v>215</v>
      </c>
      <c r="D73" s="27" t="s">
        <v>205</v>
      </c>
      <c r="E73" s="27" t="s">
        <v>411</v>
      </c>
      <c r="F73" s="27" t="s">
        <v>412</v>
      </c>
      <c r="G73" s="27" t="s">
        <v>411</v>
      </c>
      <c r="H73" s="26">
        <v>46244</v>
      </c>
      <c r="I73" s="27" t="s">
        <v>188</v>
      </c>
      <c r="J73" s="27" t="s">
        <v>152</v>
      </c>
      <c r="K73" s="27" t="s">
        <v>162</v>
      </c>
      <c r="L73" s="27" t="s">
        <v>200</v>
      </c>
      <c r="M73" s="27" t="s">
        <v>191</v>
      </c>
      <c r="N73" s="27">
        <v>19241</v>
      </c>
      <c r="O73" s="27">
        <v>4124455.6799999997</v>
      </c>
      <c r="P73" s="27" t="s">
        <v>413</v>
      </c>
      <c r="Q73" s="27">
        <v>4124455.68</v>
      </c>
      <c r="R73" s="27">
        <v>0</v>
      </c>
      <c r="S73" s="27">
        <v>0</v>
      </c>
      <c r="T73" s="27">
        <v>0</v>
      </c>
      <c r="U73" s="27">
        <v>0</v>
      </c>
      <c r="V73" s="27">
        <v>0</v>
      </c>
      <c r="W73" s="27">
        <v>0</v>
      </c>
      <c r="X73" s="27">
        <v>0</v>
      </c>
      <c r="Y73" s="27">
        <v>0</v>
      </c>
      <c r="Z73" s="27">
        <v>0</v>
      </c>
      <c r="AA73" s="27" t="s">
        <v>214</v>
      </c>
      <c r="AB73" s="27" t="s">
        <v>184</v>
      </c>
      <c r="AC73" s="27">
        <v>63053200</v>
      </c>
      <c r="AD73" s="27" t="s">
        <v>209</v>
      </c>
      <c r="AE73" s="27">
        <v>94.3</v>
      </c>
      <c r="AF73" s="27">
        <v>19241</v>
      </c>
      <c r="AG73" s="27" t="s">
        <v>218</v>
      </c>
    </row>
    <row r="74" spans="1:33" ht="15" hidden="1" customHeight="1" x14ac:dyDescent="0.25">
      <c r="A74" s="22"/>
      <c r="B74" s="26">
        <v>46244</v>
      </c>
      <c r="C74" s="27" t="s">
        <v>226</v>
      </c>
      <c r="D74" s="27" t="s">
        <v>199</v>
      </c>
      <c r="E74" s="27">
        <v>472</v>
      </c>
      <c r="F74" s="27" t="s">
        <v>324</v>
      </c>
      <c r="G74" s="27" t="s">
        <v>414</v>
      </c>
      <c r="H74" s="26">
        <v>46244</v>
      </c>
      <c r="I74" s="27" t="s">
        <v>188</v>
      </c>
      <c r="J74" s="27" t="s">
        <v>152</v>
      </c>
      <c r="K74" s="27" t="s">
        <v>152</v>
      </c>
      <c r="L74" s="27" t="s">
        <v>200</v>
      </c>
      <c r="M74" s="27" t="s">
        <v>187</v>
      </c>
      <c r="N74" s="27">
        <v>7031</v>
      </c>
      <c r="O74" s="27">
        <v>1359654.78</v>
      </c>
      <c r="P74" s="27" t="s">
        <v>415</v>
      </c>
      <c r="Q74" s="27">
        <v>4378275.22</v>
      </c>
      <c r="R74" s="27">
        <v>9</v>
      </c>
      <c r="S74" s="27">
        <v>122368.93</v>
      </c>
      <c r="T74" s="27">
        <v>9</v>
      </c>
      <c r="U74" s="27">
        <v>122368.93</v>
      </c>
      <c r="V74" s="27">
        <v>0</v>
      </c>
      <c r="W74" s="27">
        <v>0</v>
      </c>
      <c r="X74" s="27">
        <v>0</v>
      </c>
      <c r="Y74" s="27">
        <v>244737.86</v>
      </c>
      <c r="Z74" s="27">
        <v>0</v>
      </c>
      <c r="AA74" s="27" t="s">
        <v>185</v>
      </c>
      <c r="AB74" s="27" t="s">
        <v>184</v>
      </c>
      <c r="AC74" s="27">
        <v>39232999</v>
      </c>
      <c r="AD74" s="27" t="s">
        <v>201</v>
      </c>
      <c r="AE74" s="27">
        <v>1</v>
      </c>
      <c r="AF74" s="27">
        <v>7031</v>
      </c>
      <c r="AG74" s="27" t="s">
        <v>202</v>
      </c>
    </row>
    <row r="75" spans="1:33" hidden="1" x14ac:dyDescent="0.25">
      <c r="A75" s="22"/>
      <c r="B75" s="26">
        <v>46244</v>
      </c>
      <c r="C75" s="27" t="s">
        <v>226</v>
      </c>
      <c r="D75" s="27" t="s">
        <v>199</v>
      </c>
      <c r="E75" s="27">
        <v>472</v>
      </c>
      <c r="F75" s="27" t="s">
        <v>324</v>
      </c>
      <c r="G75" s="27" t="s">
        <v>414</v>
      </c>
      <c r="H75" s="26">
        <v>46244</v>
      </c>
      <c r="I75" s="27" t="s">
        <v>188</v>
      </c>
      <c r="J75" s="27" t="s">
        <v>152</v>
      </c>
      <c r="K75" s="27" t="s">
        <v>152</v>
      </c>
      <c r="L75" s="27" t="s">
        <v>200</v>
      </c>
      <c r="M75" s="27" t="s">
        <v>187</v>
      </c>
      <c r="N75" s="27">
        <v>1239</v>
      </c>
      <c r="O75" s="27">
        <v>244219.29</v>
      </c>
      <c r="P75" s="27" t="s">
        <v>416</v>
      </c>
      <c r="Q75" s="27">
        <v>0</v>
      </c>
      <c r="R75" s="27">
        <v>9</v>
      </c>
      <c r="S75" s="27">
        <v>21979.74</v>
      </c>
      <c r="T75" s="27">
        <v>9</v>
      </c>
      <c r="U75" s="27">
        <v>21979.74</v>
      </c>
      <c r="V75" s="27">
        <v>0</v>
      </c>
      <c r="W75" s="27">
        <v>0</v>
      </c>
      <c r="X75" s="27">
        <v>0</v>
      </c>
      <c r="Y75" s="27">
        <v>43959.48</v>
      </c>
      <c r="Z75" s="27">
        <v>0</v>
      </c>
      <c r="AA75" s="27" t="s">
        <v>185</v>
      </c>
      <c r="AB75" s="27" t="s">
        <v>184</v>
      </c>
      <c r="AC75" s="27">
        <v>39232999</v>
      </c>
      <c r="AD75" s="27" t="s">
        <v>201</v>
      </c>
      <c r="AE75" s="27">
        <v>1</v>
      </c>
      <c r="AF75" s="27">
        <v>1239</v>
      </c>
      <c r="AG75" s="27" t="s">
        <v>202</v>
      </c>
    </row>
    <row r="76" spans="1:33" hidden="1" x14ac:dyDescent="0.25">
      <c r="A76" s="22"/>
      <c r="B76" s="26">
        <v>46244</v>
      </c>
      <c r="C76" s="27" t="s">
        <v>226</v>
      </c>
      <c r="D76" s="27" t="s">
        <v>199</v>
      </c>
      <c r="E76" s="27">
        <v>472</v>
      </c>
      <c r="F76" s="27" t="s">
        <v>324</v>
      </c>
      <c r="G76" s="27" t="s">
        <v>414</v>
      </c>
      <c r="H76" s="26">
        <v>46244</v>
      </c>
      <c r="I76" s="27" t="s">
        <v>188</v>
      </c>
      <c r="J76" s="27" t="s">
        <v>152</v>
      </c>
      <c r="K76" s="27" t="s">
        <v>152</v>
      </c>
      <c r="L76" s="27" t="s">
        <v>200</v>
      </c>
      <c r="M76" s="27" t="s">
        <v>187</v>
      </c>
      <c r="N76" s="27">
        <v>1700</v>
      </c>
      <c r="O76" s="27">
        <v>340969</v>
      </c>
      <c r="P76" s="27" t="s">
        <v>417</v>
      </c>
      <c r="Q76" s="27">
        <v>0</v>
      </c>
      <c r="R76" s="27">
        <v>9</v>
      </c>
      <c r="S76" s="27">
        <v>30687.21</v>
      </c>
      <c r="T76" s="27">
        <v>9</v>
      </c>
      <c r="U76" s="27">
        <v>30687.21</v>
      </c>
      <c r="V76" s="27">
        <v>0</v>
      </c>
      <c r="W76" s="27">
        <v>0</v>
      </c>
      <c r="X76" s="27">
        <v>0</v>
      </c>
      <c r="Y76" s="27">
        <v>61374.42</v>
      </c>
      <c r="Z76" s="27">
        <v>0</v>
      </c>
      <c r="AA76" s="27" t="s">
        <v>185</v>
      </c>
      <c r="AB76" s="27" t="s">
        <v>184</v>
      </c>
      <c r="AC76" s="27">
        <v>39232999</v>
      </c>
      <c r="AD76" s="27" t="s">
        <v>201</v>
      </c>
      <c r="AE76" s="27">
        <v>1</v>
      </c>
      <c r="AF76" s="27">
        <v>1700</v>
      </c>
      <c r="AG76" s="27" t="s">
        <v>202</v>
      </c>
    </row>
    <row r="77" spans="1:33" hidden="1" x14ac:dyDescent="0.25">
      <c r="A77" s="22"/>
      <c r="B77" s="26">
        <v>46244</v>
      </c>
      <c r="C77" s="27" t="s">
        <v>226</v>
      </c>
      <c r="D77" s="27" t="s">
        <v>199</v>
      </c>
      <c r="E77" s="27">
        <v>472</v>
      </c>
      <c r="F77" s="27" t="s">
        <v>324</v>
      </c>
      <c r="G77" s="27" t="s">
        <v>414</v>
      </c>
      <c r="H77" s="26">
        <v>46244</v>
      </c>
      <c r="I77" s="27" t="s">
        <v>188</v>
      </c>
      <c r="J77" s="27" t="s">
        <v>152</v>
      </c>
      <c r="K77" s="27" t="s">
        <v>152</v>
      </c>
      <c r="L77" s="27" t="s">
        <v>200</v>
      </c>
      <c r="M77" s="27" t="s">
        <v>187</v>
      </c>
      <c r="N77" s="27">
        <v>1251</v>
      </c>
      <c r="O77" s="27">
        <v>265637.34000000003</v>
      </c>
      <c r="P77" s="27" t="s">
        <v>418</v>
      </c>
      <c r="Q77" s="27">
        <v>0</v>
      </c>
      <c r="R77" s="27">
        <v>9</v>
      </c>
      <c r="S77" s="27">
        <v>23907.360000000001</v>
      </c>
      <c r="T77" s="27">
        <v>9</v>
      </c>
      <c r="U77" s="27">
        <v>23907.360000000001</v>
      </c>
      <c r="V77" s="27">
        <v>0</v>
      </c>
      <c r="W77" s="27">
        <v>0</v>
      </c>
      <c r="X77" s="27">
        <v>0</v>
      </c>
      <c r="Y77" s="27">
        <v>47814.720000000001</v>
      </c>
      <c r="Z77" s="27">
        <v>0</v>
      </c>
      <c r="AA77" s="27" t="s">
        <v>185</v>
      </c>
      <c r="AB77" s="27" t="s">
        <v>184</v>
      </c>
      <c r="AC77" s="27">
        <v>39232999</v>
      </c>
      <c r="AD77" s="27" t="s">
        <v>201</v>
      </c>
      <c r="AE77" s="27">
        <v>1</v>
      </c>
      <c r="AF77" s="27">
        <v>1251</v>
      </c>
      <c r="AG77" s="27" t="s">
        <v>202</v>
      </c>
    </row>
    <row r="78" spans="1:33" hidden="1" x14ac:dyDescent="0.25">
      <c r="A78" s="22"/>
      <c r="B78" s="26">
        <v>46244</v>
      </c>
      <c r="C78" s="27" t="s">
        <v>226</v>
      </c>
      <c r="D78" s="27" t="s">
        <v>199</v>
      </c>
      <c r="E78" s="27">
        <v>472</v>
      </c>
      <c r="F78" s="27" t="s">
        <v>324</v>
      </c>
      <c r="G78" s="27" t="s">
        <v>414</v>
      </c>
      <c r="H78" s="26">
        <v>46244</v>
      </c>
      <c r="I78" s="27" t="s">
        <v>188</v>
      </c>
      <c r="J78" s="27" t="s">
        <v>152</v>
      </c>
      <c r="K78" s="27" t="s">
        <v>152</v>
      </c>
      <c r="L78" s="27" t="s">
        <v>200</v>
      </c>
      <c r="M78" s="27" t="s">
        <v>187</v>
      </c>
      <c r="N78" s="27">
        <v>3886</v>
      </c>
      <c r="O78" s="27">
        <v>773158.56</v>
      </c>
      <c r="P78" s="27" t="s">
        <v>419</v>
      </c>
      <c r="Q78" s="27">
        <v>0</v>
      </c>
      <c r="R78" s="27">
        <v>9</v>
      </c>
      <c r="S78" s="27">
        <v>69584.27</v>
      </c>
      <c r="T78" s="27">
        <v>9</v>
      </c>
      <c r="U78" s="27">
        <v>69584.27</v>
      </c>
      <c r="V78" s="27">
        <v>0</v>
      </c>
      <c r="W78" s="27">
        <v>0</v>
      </c>
      <c r="X78" s="27">
        <v>0</v>
      </c>
      <c r="Y78" s="27">
        <v>139168.54</v>
      </c>
      <c r="Z78" s="27">
        <v>0</v>
      </c>
      <c r="AA78" s="27" t="s">
        <v>185</v>
      </c>
      <c r="AB78" s="27" t="s">
        <v>184</v>
      </c>
      <c r="AC78" s="27">
        <v>39232999</v>
      </c>
      <c r="AD78" s="27" t="s">
        <v>201</v>
      </c>
      <c r="AE78" s="27">
        <v>1</v>
      </c>
      <c r="AF78" s="27">
        <v>3886</v>
      </c>
      <c r="AG78" s="27" t="s">
        <v>202</v>
      </c>
    </row>
    <row r="79" spans="1:33" hidden="1" x14ac:dyDescent="0.25">
      <c r="A79" s="22"/>
      <c r="B79" s="26">
        <v>46244</v>
      </c>
      <c r="C79" s="27" t="s">
        <v>226</v>
      </c>
      <c r="D79" s="27" t="s">
        <v>199</v>
      </c>
      <c r="E79" s="27">
        <v>472</v>
      </c>
      <c r="F79" s="27" t="s">
        <v>324</v>
      </c>
      <c r="G79" s="27" t="s">
        <v>414</v>
      </c>
      <c r="H79" s="26">
        <v>46244</v>
      </c>
      <c r="I79" s="27" t="s">
        <v>188</v>
      </c>
      <c r="J79" s="27" t="s">
        <v>152</v>
      </c>
      <c r="K79" s="27" t="s">
        <v>152</v>
      </c>
      <c r="L79" s="27" t="s">
        <v>200</v>
      </c>
      <c r="M79" s="27" t="s">
        <v>187</v>
      </c>
      <c r="N79" s="27">
        <v>3069</v>
      </c>
      <c r="O79" s="27">
        <v>575038.53</v>
      </c>
      <c r="P79" s="27" t="s">
        <v>420</v>
      </c>
      <c r="Q79" s="27">
        <v>0</v>
      </c>
      <c r="R79" s="27">
        <v>9</v>
      </c>
      <c r="S79" s="27">
        <v>51753.47</v>
      </c>
      <c r="T79" s="27">
        <v>9</v>
      </c>
      <c r="U79" s="27">
        <v>51753.47</v>
      </c>
      <c r="V79" s="27">
        <v>0</v>
      </c>
      <c r="W79" s="27">
        <v>0</v>
      </c>
      <c r="X79" s="27">
        <v>0</v>
      </c>
      <c r="Y79" s="27">
        <v>103506.94</v>
      </c>
      <c r="Z79" s="27">
        <v>0</v>
      </c>
      <c r="AA79" s="27" t="s">
        <v>185</v>
      </c>
      <c r="AB79" s="27" t="s">
        <v>184</v>
      </c>
      <c r="AC79" s="27">
        <v>39232999</v>
      </c>
      <c r="AD79" s="27" t="s">
        <v>201</v>
      </c>
      <c r="AE79" s="27">
        <v>1</v>
      </c>
      <c r="AF79" s="27">
        <v>3069</v>
      </c>
      <c r="AG79" s="27" t="s">
        <v>202</v>
      </c>
    </row>
    <row r="80" spans="1:33" hidden="1" x14ac:dyDescent="0.25">
      <c r="A80" s="22"/>
      <c r="B80" s="26">
        <v>46244</v>
      </c>
      <c r="C80" s="27" t="s">
        <v>226</v>
      </c>
      <c r="D80" s="27" t="s">
        <v>199</v>
      </c>
      <c r="E80" s="27">
        <v>472</v>
      </c>
      <c r="F80" s="27" t="s">
        <v>324</v>
      </c>
      <c r="G80" s="27" t="s">
        <v>414</v>
      </c>
      <c r="H80" s="26">
        <v>46244</v>
      </c>
      <c r="I80" s="27" t="s">
        <v>188</v>
      </c>
      <c r="J80" s="27" t="s">
        <v>152</v>
      </c>
      <c r="K80" s="27" t="s">
        <v>152</v>
      </c>
      <c r="L80" s="27" t="s">
        <v>200</v>
      </c>
      <c r="M80" s="27" t="s">
        <v>187</v>
      </c>
      <c r="N80" s="27">
        <v>827</v>
      </c>
      <c r="O80" s="27">
        <v>154872.29</v>
      </c>
      <c r="P80" s="27" t="s">
        <v>421</v>
      </c>
      <c r="Q80" s="27">
        <v>0</v>
      </c>
      <c r="R80" s="27">
        <v>9</v>
      </c>
      <c r="S80" s="27">
        <v>13938.51</v>
      </c>
      <c r="T80" s="27">
        <v>9</v>
      </c>
      <c r="U80" s="27">
        <v>13938.51</v>
      </c>
      <c r="V80" s="27">
        <v>0</v>
      </c>
      <c r="W80" s="27">
        <v>0</v>
      </c>
      <c r="X80" s="27">
        <v>0</v>
      </c>
      <c r="Y80" s="27">
        <v>27877.02</v>
      </c>
      <c r="Z80" s="27">
        <v>0</v>
      </c>
      <c r="AA80" s="27" t="s">
        <v>185</v>
      </c>
      <c r="AB80" s="27" t="s">
        <v>184</v>
      </c>
      <c r="AC80" s="27">
        <v>39232999</v>
      </c>
      <c r="AD80" s="27" t="s">
        <v>201</v>
      </c>
      <c r="AE80" s="27">
        <v>1</v>
      </c>
      <c r="AF80" s="27">
        <v>827</v>
      </c>
      <c r="AG80" s="27" t="s">
        <v>202</v>
      </c>
    </row>
    <row r="81" spans="1:33" hidden="1" x14ac:dyDescent="0.25">
      <c r="A81" s="22"/>
      <c r="B81" s="26">
        <v>46244</v>
      </c>
      <c r="C81" s="27" t="s">
        <v>204</v>
      </c>
      <c r="D81" s="27" t="s">
        <v>222</v>
      </c>
      <c r="E81" s="27" t="s">
        <v>422</v>
      </c>
      <c r="F81" s="27" t="s">
        <v>206</v>
      </c>
      <c r="G81" s="27" t="s">
        <v>422</v>
      </c>
      <c r="H81" s="26">
        <v>46244</v>
      </c>
      <c r="I81" s="27" t="s">
        <v>169</v>
      </c>
      <c r="J81" s="27" t="s">
        <v>181</v>
      </c>
      <c r="K81" s="27" t="s">
        <v>578</v>
      </c>
      <c r="L81" s="27" t="s">
        <v>154</v>
      </c>
      <c r="M81" s="27" t="s">
        <v>181</v>
      </c>
      <c r="N81" s="27">
        <v>685</v>
      </c>
      <c r="O81" s="27">
        <v>94927.3</v>
      </c>
      <c r="P81" s="27" t="s">
        <v>292</v>
      </c>
      <c r="Q81" s="27">
        <v>162530.23000000001</v>
      </c>
      <c r="R81" s="27"/>
      <c r="S81" s="27">
        <v>0</v>
      </c>
      <c r="T81" s="27"/>
      <c r="U81" s="27">
        <v>0</v>
      </c>
      <c r="V81" s="27"/>
      <c r="W81" s="27">
        <v>0</v>
      </c>
      <c r="X81" s="27">
        <v>0</v>
      </c>
      <c r="Y81" s="27">
        <v>0</v>
      </c>
      <c r="Z81" s="27">
        <v>0</v>
      </c>
      <c r="AA81" s="27" t="s">
        <v>208</v>
      </c>
      <c r="AB81" s="27" t="s">
        <v>184</v>
      </c>
      <c r="AC81" s="27">
        <v>39269080</v>
      </c>
      <c r="AD81" s="27" t="s">
        <v>201</v>
      </c>
      <c r="AE81" s="27">
        <v>1</v>
      </c>
      <c r="AF81" s="27">
        <v>685</v>
      </c>
      <c r="AG81" s="27" t="s">
        <v>202</v>
      </c>
    </row>
    <row r="82" spans="1:33" hidden="1" x14ac:dyDescent="0.25">
      <c r="A82" s="22"/>
      <c r="B82" s="26">
        <v>46244</v>
      </c>
      <c r="C82" s="27" t="s">
        <v>204</v>
      </c>
      <c r="D82" s="27" t="s">
        <v>222</v>
      </c>
      <c r="E82" s="27" t="s">
        <v>422</v>
      </c>
      <c r="F82" s="27" t="s">
        <v>206</v>
      </c>
      <c r="G82" s="27" t="s">
        <v>422</v>
      </c>
      <c r="H82" s="26">
        <v>46244</v>
      </c>
      <c r="I82" s="27" t="s">
        <v>169</v>
      </c>
      <c r="J82" s="27" t="s">
        <v>179</v>
      </c>
      <c r="K82" s="27" t="s">
        <v>297</v>
      </c>
      <c r="L82" s="27" t="s">
        <v>203</v>
      </c>
      <c r="M82" s="27" t="s">
        <v>183</v>
      </c>
      <c r="N82" s="27">
        <v>489</v>
      </c>
      <c r="O82" s="27">
        <v>67765.62</v>
      </c>
      <c r="P82" s="27" t="s">
        <v>423</v>
      </c>
      <c r="Q82" s="27">
        <v>0</v>
      </c>
      <c r="R82" s="27"/>
      <c r="S82" s="27">
        <v>0</v>
      </c>
      <c r="T82" s="27"/>
      <c r="U82" s="27">
        <v>0</v>
      </c>
      <c r="V82" s="27"/>
      <c r="W82" s="27">
        <v>0</v>
      </c>
      <c r="X82" s="27">
        <v>0</v>
      </c>
      <c r="Y82" s="27">
        <v>0</v>
      </c>
      <c r="Z82" s="27">
        <v>0</v>
      </c>
      <c r="AA82" s="27" t="s">
        <v>208</v>
      </c>
      <c r="AB82" s="27" t="s">
        <v>184</v>
      </c>
      <c r="AC82" s="27">
        <v>39269080</v>
      </c>
      <c r="AD82" s="27" t="s">
        <v>201</v>
      </c>
      <c r="AE82" s="27">
        <v>1</v>
      </c>
      <c r="AF82" s="27">
        <v>489</v>
      </c>
      <c r="AG82" s="27" t="s">
        <v>202</v>
      </c>
    </row>
    <row r="83" spans="1:33" hidden="1" x14ac:dyDescent="0.25">
      <c r="A83" s="22"/>
      <c r="B83" s="26">
        <v>46244</v>
      </c>
      <c r="C83" s="27" t="s">
        <v>212</v>
      </c>
      <c r="D83" s="27" t="s">
        <v>199</v>
      </c>
      <c r="E83" s="27">
        <v>471</v>
      </c>
      <c r="F83" s="27" t="s">
        <v>223</v>
      </c>
      <c r="G83" s="27" t="s">
        <v>424</v>
      </c>
      <c r="H83" s="26">
        <v>46244</v>
      </c>
      <c r="I83" s="27" t="s">
        <v>169</v>
      </c>
      <c r="J83" s="27" t="s">
        <v>197</v>
      </c>
      <c r="K83" s="27" t="s">
        <v>158</v>
      </c>
      <c r="L83" s="27" t="s">
        <v>213</v>
      </c>
      <c r="M83" s="27" t="s">
        <v>196</v>
      </c>
      <c r="N83" s="27">
        <v>30.85</v>
      </c>
      <c r="O83" s="27">
        <v>9440.1</v>
      </c>
      <c r="P83" s="27" t="s">
        <v>196</v>
      </c>
      <c r="Q83" s="27">
        <v>11129.88</v>
      </c>
      <c r="R83" s="27">
        <v>9</v>
      </c>
      <c r="S83" s="27">
        <v>849.61</v>
      </c>
      <c r="T83" s="27">
        <v>9</v>
      </c>
      <c r="U83" s="27">
        <v>849.61</v>
      </c>
      <c r="V83" s="27">
        <v>0</v>
      </c>
      <c r="W83" s="27">
        <v>0</v>
      </c>
      <c r="X83" s="27">
        <v>0</v>
      </c>
      <c r="Y83" s="27">
        <v>1699.22</v>
      </c>
      <c r="Z83" s="27">
        <v>0</v>
      </c>
      <c r="AA83" s="27" t="s">
        <v>176</v>
      </c>
      <c r="AB83" s="27" t="s">
        <v>184</v>
      </c>
      <c r="AC83" s="27">
        <v>39201019</v>
      </c>
      <c r="AD83" s="27" t="s">
        <v>201</v>
      </c>
      <c r="AE83" s="27">
        <v>1</v>
      </c>
      <c r="AF83" s="27">
        <v>30.85</v>
      </c>
      <c r="AG83" s="27" t="s">
        <v>202</v>
      </c>
    </row>
    <row r="84" spans="1:33" hidden="1" x14ac:dyDescent="0.25">
      <c r="A84" s="22"/>
      <c r="B84" s="28">
        <v>46244</v>
      </c>
      <c r="C84" s="29" t="s">
        <v>212</v>
      </c>
      <c r="D84" s="29" t="s">
        <v>199</v>
      </c>
      <c r="E84" s="29">
        <v>473</v>
      </c>
      <c r="F84" s="29" t="s">
        <v>324</v>
      </c>
      <c r="G84" s="29" t="s">
        <v>425</v>
      </c>
      <c r="H84" s="28">
        <v>46244</v>
      </c>
      <c r="I84" s="29" t="s">
        <v>169</v>
      </c>
      <c r="J84" s="29" t="s">
        <v>179</v>
      </c>
      <c r="K84" s="29" t="s">
        <v>156</v>
      </c>
      <c r="L84" s="29" t="s">
        <v>211</v>
      </c>
      <c r="M84" s="29" t="s">
        <v>178</v>
      </c>
      <c r="N84" s="29">
        <v>3027</v>
      </c>
      <c r="O84" s="29">
        <v>410400.66</v>
      </c>
      <c r="P84" s="29" t="s">
        <v>426</v>
      </c>
      <c r="Q84" s="29">
        <v>896980.5</v>
      </c>
      <c r="R84" s="29">
        <v>9</v>
      </c>
      <c r="S84" s="29">
        <v>36936.06</v>
      </c>
      <c r="T84" s="29">
        <v>9</v>
      </c>
      <c r="U84" s="29">
        <v>36936.06</v>
      </c>
      <c r="V84" s="29">
        <v>0</v>
      </c>
      <c r="W84" s="29">
        <v>0</v>
      </c>
      <c r="X84" s="29">
        <v>0</v>
      </c>
      <c r="Y84" s="29">
        <v>73872.12</v>
      </c>
      <c r="Z84" s="29">
        <v>0</v>
      </c>
      <c r="AA84" s="29" t="s">
        <v>176</v>
      </c>
      <c r="AB84" s="29" t="s">
        <v>184</v>
      </c>
      <c r="AC84" s="29">
        <v>39269080</v>
      </c>
      <c r="AD84" s="29" t="s">
        <v>201</v>
      </c>
      <c r="AE84" s="29">
        <v>1</v>
      </c>
      <c r="AF84" s="29">
        <v>3027</v>
      </c>
      <c r="AG84" s="29" t="s">
        <v>202</v>
      </c>
    </row>
    <row r="85" spans="1:33" hidden="1" x14ac:dyDescent="0.25">
      <c r="A85" s="22"/>
      <c r="B85" s="28">
        <v>46244</v>
      </c>
      <c r="C85" s="29" t="s">
        <v>212</v>
      </c>
      <c r="D85" s="29" t="s">
        <v>199</v>
      </c>
      <c r="E85" s="29">
        <v>473</v>
      </c>
      <c r="F85" s="29" t="s">
        <v>324</v>
      </c>
      <c r="G85" s="29" t="s">
        <v>425</v>
      </c>
      <c r="H85" s="28">
        <v>46244</v>
      </c>
      <c r="I85" s="29" t="s">
        <v>169</v>
      </c>
      <c r="J85" s="29" t="s">
        <v>179</v>
      </c>
      <c r="K85" s="29" t="s">
        <v>156</v>
      </c>
      <c r="L85" s="29" t="s">
        <v>211</v>
      </c>
      <c r="M85" s="29" t="s">
        <v>178</v>
      </c>
      <c r="N85" s="29">
        <v>1957</v>
      </c>
      <c r="O85" s="29">
        <v>273158.06</v>
      </c>
      <c r="P85" s="29" t="s">
        <v>427</v>
      </c>
      <c r="Q85" s="29">
        <v>0</v>
      </c>
      <c r="R85" s="29">
        <v>9</v>
      </c>
      <c r="S85" s="29">
        <v>24584.23</v>
      </c>
      <c r="T85" s="29">
        <v>9</v>
      </c>
      <c r="U85" s="29">
        <v>24584.23</v>
      </c>
      <c r="V85" s="29">
        <v>0</v>
      </c>
      <c r="W85" s="29">
        <v>0</v>
      </c>
      <c r="X85" s="29">
        <v>0</v>
      </c>
      <c r="Y85" s="29">
        <v>49168.46</v>
      </c>
      <c r="Z85" s="29">
        <v>0</v>
      </c>
      <c r="AA85" s="29" t="s">
        <v>176</v>
      </c>
      <c r="AB85" s="29" t="s">
        <v>184</v>
      </c>
      <c r="AC85" s="29">
        <v>39269080</v>
      </c>
      <c r="AD85" s="29" t="s">
        <v>201</v>
      </c>
      <c r="AE85" s="29">
        <v>1</v>
      </c>
      <c r="AF85" s="29">
        <v>1957</v>
      </c>
      <c r="AG85" s="29" t="s">
        <v>202</v>
      </c>
    </row>
    <row r="86" spans="1:33" hidden="1" x14ac:dyDescent="0.25">
      <c r="A86" s="22"/>
      <c r="B86" s="28">
        <v>46244</v>
      </c>
      <c r="C86" s="29" t="s">
        <v>212</v>
      </c>
      <c r="D86" s="29" t="s">
        <v>199</v>
      </c>
      <c r="E86" s="29">
        <v>473</v>
      </c>
      <c r="F86" s="29" t="s">
        <v>324</v>
      </c>
      <c r="G86" s="29" t="s">
        <v>425</v>
      </c>
      <c r="H86" s="28">
        <v>46244</v>
      </c>
      <c r="I86" s="29" t="s">
        <v>169</v>
      </c>
      <c r="J86" s="29" t="s">
        <v>179</v>
      </c>
      <c r="K86" s="29" t="s">
        <v>156</v>
      </c>
      <c r="L86" s="29" t="s">
        <v>211</v>
      </c>
      <c r="M86" s="29" t="s">
        <v>178</v>
      </c>
      <c r="N86" s="29">
        <v>481</v>
      </c>
      <c r="O86" s="29">
        <v>77238.98</v>
      </c>
      <c r="P86" s="29" t="s">
        <v>428</v>
      </c>
      <c r="Q86" s="29">
        <v>0</v>
      </c>
      <c r="R86" s="29">
        <v>9</v>
      </c>
      <c r="S86" s="29">
        <v>6951.51</v>
      </c>
      <c r="T86" s="29">
        <v>9</v>
      </c>
      <c r="U86" s="29">
        <v>6951.51</v>
      </c>
      <c r="V86" s="29">
        <v>0</v>
      </c>
      <c r="W86" s="29">
        <v>0</v>
      </c>
      <c r="X86" s="29">
        <v>0</v>
      </c>
      <c r="Y86" s="29">
        <v>13903.02</v>
      </c>
      <c r="Z86" s="29">
        <v>0</v>
      </c>
      <c r="AA86" s="29" t="s">
        <v>176</v>
      </c>
      <c r="AB86" s="29" t="s">
        <v>184</v>
      </c>
      <c r="AC86" s="29">
        <v>39269080</v>
      </c>
      <c r="AD86" s="29" t="s">
        <v>201</v>
      </c>
      <c r="AE86" s="29">
        <v>1</v>
      </c>
      <c r="AF86" s="29">
        <v>481</v>
      </c>
      <c r="AG86" s="29" t="s">
        <v>202</v>
      </c>
    </row>
    <row r="87" spans="1:33" hidden="1" x14ac:dyDescent="0.25">
      <c r="A87" s="22"/>
      <c r="B87" s="28">
        <v>46245</v>
      </c>
      <c r="C87" s="29" t="s">
        <v>226</v>
      </c>
      <c r="D87" s="29" t="s">
        <v>199</v>
      </c>
      <c r="E87" s="29">
        <v>477</v>
      </c>
      <c r="F87" s="29" t="s">
        <v>324</v>
      </c>
      <c r="G87" s="29" t="s">
        <v>429</v>
      </c>
      <c r="H87" s="28">
        <v>46245</v>
      </c>
      <c r="I87" s="29" t="s">
        <v>188</v>
      </c>
      <c r="J87" s="29" t="s">
        <v>152</v>
      </c>
      <c r="K87" s="29" t="s">
        <v>152</v>
      </c>
      <c r="L87" s="29" t="s">
        <v>200</v>
      </c>
      <c r="M87" s="29" t="s">
        <v>187</v>
      </c>
      <c r="N87" s="29">
        <v>1339</v>
      </c>
      <c r="O87" s="29">
        <v>270143.25</v>
      </c>
      <c r="P87" s="29" t="s">
        <v>430</v>
      </c>
      <c r="Q87" s="29">
        <v>2088561.26</v>
      </c>
      <c r="R87" s="29">
        <v>9</v>
      </c>
      <c r="S87" s="29">
        <v>24312.89</v>
      </c>
      <c r="T87" s="29">
        <v>9</v>
      </c>
      <c r="U87" s="29">
        <v>24312.89</v>
      </c>
      <c r="V87" s="29">
        <v>0</v>
      </c>
      <c r="W87" s="29">
        <v>0</v>
      </c>
      <c r="X87" s="29">
        <v>0</v>
      </c>
      <c r="Y87" s="29">
        <v>48625.78</v>
      </c>
      <c r="Z87" s="29">
        <v>0</v>
      </c>
      <c r="AA87" s="29" t="s">
        <v>185</v>
      </c>
      <c r="AB87" s="29" t="s">
        <v>184</v>
      </c>
      <c r="AC87" s="29">
        <v>39232999</v>
      </c>
      <c r="AD87" s="29" t="s">
        <v>201</v>
      </c>
      <c r="AE87" s="29">
        <v>1</v>
      </c>
      <c r="AF87" s="29">
        <v>1339</v>
      </c>
      <c r="AG87" s="29" t="s">
        <v>202</v>
      </c>
    </row>
    <row r="88" spans="1:33" hidden="1" x14ac:dyDescent="0.25">
      <c r="A88" s="22"/>
      <c r="B88" s="26">
        <v>46245</v>
      </c>
      <c r="C88" s="27" t="s">
        <v>226</v>
      </c>
      <c r="D88" s="27" t="s">
        <v>199</v>
      </c>
      <c r="E88" s="27">
        <v>477</v>
      </c>
      <c r="F88" s="27" t="s">
        <v>324</v>
      </c>
      <c r="G88" s="27" t="s">
        <v>429</v>
      </c>
      <c r="H88" s="26">
        <v>46245</v>
      </c>
      <c r="I88" s="27" t="s">
        <v>188</v>
      </c>
      <c r="J88" s="27" t="s">
        <v>152</v>
      </c>
      <c r="K88" s="27" t="s">
        <v>152</v>
      </c>
      <c r="L88" s="27" t="s">
        <v>200</v>
      </c>
      <c r="M88" s="27" t="s">
        <v>187</v>
      </c>
      <c r="N88" s="27">
        <v>2224</v>
      </c>
      <c r="O88" s="27">
        <v>436126.4</v>
      </c>
      <c r="P88" s="27" t="s">
        <v>431</v>
      </c>
      <c r="Q88" s="27">
        <v>0</v>
      </c>
      <c r="R88" s="27">
        <v>9</v>
      </c>
      <c r="S88" s="27">
        <v>39251.379999999997</v>
      </c>
      <c r="T88" s="27">
        <v>9</v>
      </c>
      <c r="U88" s="27">
        <v>39251.379999999997</v>
      </c>
      <c r="V88" s="27">
        <v>0</v>
      </c>
      <c r="W88" s="27">
        <v>0</v>
      </c>
      <c r="X88" s="27">
        <v>0</v>
      </c>
      <c r="Y88" s="27">
        <v>78502.759999999995</v>
      </c>
      <c r="Z88" s="27">
        <v>0</v>
      </c>
      <c r="AA88" s="27" t="s">
        <v>185</v>
      </c>
      <c r="AB88" s="27" t="s">
        <v>184</v>
      </c>
      <c r="AC88" s="27">
        <v>39232999</v>
      </c>
      <c r="AD88" s="27" t="s">
        <v>201</v>
      </c>
      <c r="AE88" s="27">
        <v>1</v>
      </c>
      <c r="AF88" s="27">
        <v>2224</v>
      </c>
      <c r="AG88" s="27" t="s">
        <v>202</v>
      </c>
    </row>
    <row r="89" spans="1:33" hidden="1" x14ac:dyDescent="0.25">
      <c r="A89" s="22"/>
      <c r="B89" s="26">
        <v>46245</v>
      </c>
      <c r="C89" s="27" t="s">
        <v>226</v>
      </c>
      <c r="D89" s="27" t="s">
        <v>199</v>
      </c>
      <c r="E89" s="27">
        <v>477</v>
      </c>
      <c r="F89" s="27" t="s">
        <v>324</v>
      </c>
      <c r="G89" s="27" t="s">
        <v>429</v>
      </c>
      <c r="H89" s="26">
        <v>46245</v>
      </c>
      <c r="I89" s="27" t="s">
        <v>188</v>
      </c>
      <c r="J89" s="27" t="s">
        <v>152</v>
      </c>
      <c r="K89" s="27" t="s">
        <v>152</v>
      </c>
      <c r="L89" s="27" t="s">
        <v>200</v>
      </c>
      <c r="M89" s="27" t="s">
        <v>187</v>
      </c>
      <c r="N89" s="27">
        <v>2592</v>
      </c>
      <c r="O89" s="27">
        <v>514667.52000000002</v>
      </c>
      <c r="P89" s="27" t="s">
        <v>432</v>
      </c>
      <c r="Q89" s="27">
        <v>0</v>
      </c>
      <c r="R89" s="27">
        <v>9</v>
      </c>
      <c r="S89" s="27">
        <v>46320.08</v>
      </c>
      <c r="T89" s="27">
        <v>9</v>
      </c>
      <c r="U89" s="27">
        <v>46320.08</v>
      </c>
      <c r="V89" s="27">
        <v>0</v>
      </c>
      <c r="W89" s="27">
        <v>0</v>
      </c>
      <c r="X89" s="27">
        <v>0</v>
      </c>
      <c r="Y89" s="27">
        <v>92640.16</v>
      </c>
      <c r="Z89" s="27">
        <v>0</v>
      </c>
      <c r="AA89" s="27" t="s">
        <v>185</v>
      </c>
      <c r="AB89" s="27" t="s">
        <v>184</v>
      </c>
      <c r="AC89" s="27">
        <v>39232999</v>
      </c>
      <c r="AD89" s="27" t="s">
        <v>201</v>
      </c>
      <c r="AE89" s="27">
        <v>1</v>
      </c>
      <c r="AF89" s="27">
        <v>2592</v>
      </c>
      <c r="AG89" s="27" t="s">
        <v>202</v>
      </c>
    </row>
    <row r="90" spans="1:33" hidden="1" x14ac:dyDescent="0.25">
      <c r="A90" s="22"/>
      <c r="B90" s="26">
        <v>46245</v>
      </c>
      <c r="C90" s="27" t="s">
        <v>226</v>
      </c>
      <c r="D90" s="27" t="s">
        <v>199</v>
      </c>
      <c r="E90" s="27">
        <v>477</v>
      </c>
      <c r="F90" s="27" t="s">
        <v>324</v>
      </c>
      <c r="G90" s="27" t="s">
        <v>429</v>
      </c>
      <c r="H90" s="26">
        <v>46245</v>
      </c>
      <c r="I90" s="27" t="s">
        <v>188</v>
      </c>
      <c r="J90" s="27" t="s">
        <v>152</v>
      </c>
      <c r="K90" s="27" t="s">
        <v>152</v>
      </c>
      <c r="L90" s="27" t="s">
        <v>200</v>
      </c>
      <c r="M90" s="27" t="s">
        <v>187</v>
      </c>
      <c r="N90" s="27">
        <v>2612</v>
      </c>
      <c r="O90" s="27">
        <v>550531.24</v>
      </c>
      <c r="P90" s="27" t="s">
        <v>433</v>
      </c>
      <c r="Q90" s="27">
        <v>0</v>
      </c>
      <c r="R90" s="27">
        <v>9</v>
      </c>
      <c r="S90" s="27">
        <v>49547.81</v>
      </c>
      <c r="T90" s="27">
        <v>9</v>
      </c>
      <c r="U90" s="27">
        <v>49547.81</v>
      </c>
      <c r="V90" s="27">
        <v>0</v>
      </c>
      <c r="W90" s="27">
        <v>0</v>
      </c>
      <c r="X90" s="27">
        <v>0</v>
      </c>
      <c r="Y90" s="27">
        <v>99095.62</v>
      </c>
      <c r="Z90" s="27">
        <v>0</v>
      </c>
      <c r="AA90" s="27" t="s">
        <v>185</v>
      </c>
      <c r="AB90" s="27" t="s">
        <v>184</v>
      </c>
      <c r="AC90" s="27">
        <v>39232999</v>
      </c>
      <c r="AD90" s="27" t="s">
        <v>201</v>
      </c>
      <c r="AE90" s="27">
        <v>1</v>
      </c>
      <c r="AF90" s="27">
        <v>2612</v>
      </c>
      <c r="AG90" s="27" t="s">
        <v>202</v>
      </c>
    </row>
    <row r="91" spans="1:33" ht="15" hidden="1" customHeight="1" x14ac:dyDescent="0.25">
      <c r="A91" s="22"/>
      <c r="B91" s="26">
        <v>46245</v>
      </c>
      <c r="C91" s="27" t="s">
        <v>226</v>
      </c>
      <c r="D91" s="27" t="s">
        <v>199</v>
      </c>
      <c r="E91" s="27">
        <v>478</v>
      </c>
      <c r="F91" s="27" t="s">
        <v>324</v>
      </c>
      <c r="G91" s="27" t="s">
        <v>434</v>
      </c>
      <c r="H91" s="26">
        <v>46245</v>
      </c>
      <c r="I91" s="27" t="s">
        <v>188</v>
      </c>
      <c r="J91" s="27" t="s">
        <v>152</v>
      </c>
      <c r="K91" s="27" t="s">
        <v>152</v>
      </c>
      <c r="L91" s="27" t="s">
        <v>200</v>
      </c>
      <c r="M91" s="27" t="s">
        <v>187</v>
      </c>
      <c r="N91" s="27">
        <v>456</v>
      </c>
      <c r="O91" s="27">
        <v>89873.04</v>
      </c>
      <c r="P91" s="27" t="s">
        <v>435</v>
      </c>
      <c r="Q91" s="27">
        <v>5840932.7599999998</v>
      </c>
      <c r="R91" s="27">
        <v>9</v>
      </c>
      <c r="S91" s="27">
        <v>8088.57</v>
      </c>
      <c r="T91" s="27">
        <v>9</v>
      </c>
      <c r="U91" s="27">
        <v>8088.57</v>
      </c>
      <c r="V91" s="27">
        <v>0</v>
      </c>
      <c r="W91" s="27">
        <v>0</v>
      </c>
      <c r="X91" s="27">
        <v>0</v>
      </c>
      <c r="Y91" s="27">
        <v>16177.14</v>
      </c>
      <c r="Z91" s="27">
        <v>0</v>
      </c>
      <c r="AA91" s="27" t="s">
        <v>185</v>
      </c>
      <c r="AB91" s="27" t="s">
        <v>184</v>
      </c>
      <c r="AC91" s="27">
        <v>39232999</v>
      </c>
      <c r="AD91" s="27" t="s">
        <v>201</v>
      </c>
      <c r="AE91" s="27">
        <v>1</v>
      </c>
      <c r="AF91" s="27">
        <v>456</v>
      </c>
      <c r="AG91" s="27" t="s">
        <v>202</v>
      </c>
    </row>
    <row r="92" spans="1:33" hidden="1" x14ac:dyDescent="0.25">
      <c r="A92" s="22"/>
      <c r="B92" s="26">
        <v>46245</v>
      </c>
      <c r="C92" s="27" t="s">
        <v>226</v>
      </c>
      <c r="D92" s="27" t="s">
        <v>199</v>
      </c>
      <c r="E92" s="27">
        <v>478</v>
      </c>
      <c r="F92" s="27" t="s">
        <v>324</v>
      </c>
      <c r="G92" s="27" t="s">
        <v>434</v>
      </c>
      <c r="H92" s="26">
        <v>46245</v>
      </c>
      <c r="I92" s="27" t="s">
        <v>188</v>
      </c>
      <c r="J92" s="27" t="s">
        <v>152</v>
      </c>
      <c r="K92" s="27" t="s">
        <v>152</v>
      </c>
      <c r="L92" s="27" t="s">
        <v>200</v>
      </c>
      <c r="M92" s="27" t="s">
        <v>187</v>
      </c>
      <c r="N92" s="27">
        <v>4712</v>
      </c>
      <c r="O92" s="27">
        <v>944284.8</v>
      </c>
      <c r="P92" s="27" t="s">
        <v>436</v>
      </c>
      <c r="Q92" s="27">
        <v>0</v>
      </c>
      <c r="R92" s="27">
        <v>9</v>
      </c>
      <c r="S92" s="27">
        <v>84985.63</v>
      </c>
      <c r="T92" s="27">
        <v>9</v>
      </c>
      <c r="U92" s="27">
        <v>84985.63</v>
      </c>
      <c r="V92" s="27">
        <v>0</v>
      </c>
      <c r="W92" s="27">
        <v>0</v>
      </c>
      <c r="X92" s="27">
        <v>0</v>
      </c>
      <c r="Y92" s="27">
        <v>169971.26</v>
      </c>
      <c r="Z92" s="27">
        <v>0</v>
      </c>
      <c r="AA92" s="27" t="s">
        <v>185</v>
      </c>
      <c r="AB92" s="27" t="s">
        <v>184</v>
      </c>
      <c r="AC92" s="27">
        <v>39232999</v>
      </c>
      <c r="AD92" s="27" t="s">
        <v>201</v>
      </c>
      <c r="AE92" s="27">
        <v>1</v>
      </c>
      <c r="AF92" s="27">
        <v>4712</v>
      </c>
      <c r="AG92" s="27" t="s">
        <v>202</v>
      </c>
    </row>
    <row r="93" spans="1:33" hidden="1" x14ac:dyDescent="0.25">
      <c r="A93" s="22"/>
      <c r="B93" s="26">
        <v>46245</v>
      </c>
      <c r="C93" s="27" t="s">
        <v>226</v>
      </c>
      <c r="D93" s="27" t="s">
        <v>199</v>
      </c>
      <c r="E93" s="27">
        <v>478</v>
      </c>
      <c r="F93" s="27" t="s">
        <v>324</v>
      </c>
      <c r="G93" s="27" t="s">
        <v>434</v>
      </c>
      <c r="H93" s="26">
        <v>46245</v>
      </c>
      <c r="I93" s="27" t="s">
        <v>188</v>
      </c>
      <c r="J93" s="27" t="s">
        <v>152</v>
      </c>
      <c r="K93" s="27" t="s">
        <v>152</v>
      </c>
      <c r="L93" s="27" t="s">
        <v>200</v>
      </c>
      <c r="M93" s="27" t="s">
        <v>187</v>
      </c>
      <c r="N93" s="27">
        <v>2158</v>
      </c>
      <c r="O93" s="27">
        <v>459092.92</v>
      </c>
      <c r="P93" s="27" t="s">
        <v>437</v>
      </c>
      <c r="Q93" s="27">
        <v>0</v>
      </c>
      <c r="R93" s="27">
        <v>9</v>
      </c>
      <c r="S93" s="27">
        <v>41318.36</v>
      </c>
      <c r="T93" s="27">
        <v>9</v>
      </c>
      <c r="U93" s="27">
        <v>41318.36</v>
      </c>
      <c r="V93" s="27">
        <v>0</v>
      </c>
      <c r="W93" s="27">
        <v>0</v>
      </c>
      <c r="X93" s="27">
        <v>0</v>
      </c>
      <c r="Y93" s="27">
        <v>82636.72</v>
      </c>
      <c r="Z93" s="27">
        <v>0</v>
      </c>
      <c r="AA93" s="27" t="s">
        <v>185</v>
      </c>
      <c r="AB93" s="27" t="s">
        <v>184</v>
      </c>
      <c r="AC93" s="27">
        <v>39232999</v>
      </c>
      <c r="AD93" s="27" t="s">
        <v>201</v>
      </c>
      <c r="AE93" s="27">
        <v>1</v>
      </c>
      <c r="AF93" s="27">
        <v>2158</v>
      </c>
      <c r="AG93" s="27" t="s">
        <v>202</v>
      </c>
    </row>
    <row r="94" spans="1:33" hidden="1" x14ac:dyDescent="0.25">
      <c r="A94" s="22"/>
      <c r="B94" s="26">
        <v>46245</v>
      </c>
      <c r="C94" s="27" t="s">
        <v>226</v>
      </c>
      <c r="D94" s="27" t="s">
        <v>199</v>
      </c>
      <c r="E94" s="27">
        <v>478</v>
      </c>
      <c r="F94" s="27" t="s">
        <v>324</v>
      </c>
      <c r="G94" s="27" t="s">
        <v>434</v>
      </c>
      <c r="H94" s="26">
        <v>46245</v>
      </c>
      <c r="I94" s="27" t="s">
        <v>188</v>
      </c>
      <c r="J94" s="27" t="s">
        <v>152</v>
      </c>
      <c r="K94" s="27" t="s">
        <v>152</v>
      </c>
      <c r="L94" s="27" t="s">
        <v>200</v>
      </c>
      <c r="M94" s="27" t="s">
        <v>187</v>
      </c>
      <c r="N94" s="27">
        <v>3846.6</v>
      </c>
      <c r="O94" s="27">
        <v>1324307.45</v>
      </c>
      <c r="P94" s="27" t="s">
        <v>438</v>
      </c>
      <c r="Q94" s="27">
        <v>0</v>
      </c>
      <c r="R94" s="27">
        <v>9</v>
      </c>
      <c r="S94" s="27">
        <v>119187.67</v>
      </c>
      <c r="T94" s="27">
        <v>9</v>
      </c>
      <c r="U94" s="27">
        <v>119187.67</v>
      </c>
      <c r="V94" s="27">
        <v>0</v>
      </c>
      <c r="W94" s="27">
        <v>0</v>
      </c>
      <c r="X94" s="27">
        <v>0</v>
      </c>
      <c r="Y94" s="27">
        <v>238375.34</v>
      </c>
      <c r="Z94" s="27">
        <v>0</v>
      </c>
      <c r="AA94" s="27" t="s">
        <v>185</v>
      </c>
      <c r="AB94" s="27" t="s">
        <v>184</v>
      </c>
      <c r="AC94" s="27">
        <v>39232999</v>
      </c>
      <c r="AD94" s="27" t="s">
        <v>201</v>
      </c>
      <c r="AE94" s="27">
        <v>1</v>
      </c>
      <c r="AF94" s="27">
        <v>3846.6</v>
      </c>
      <c r="AG94" s="27" t="s">
        <v>202</v>
      </c>
    </row>
    <row r="95" spans="1:33" hidden="1" x14ac:dyDescent="0.25">
      <c r="A95" s="22"/>
      <c r="B95" s="26">
        <v>46245</v>
      </c>
      <c r="C95" s="27" t="s">
        <v>226</v>
      </c>
      <c r="D95" s="27" t="s">
        <v>199</v>
      </c>
      <c r="E95" s="27">
        <v>478</v>
      </c>
      <c r="F95" s="27" t="s">
        <v>324</v>
      </c>
      <c r="G95" s="27" t="s">
        <v>434</v>
      </c>
      <c r="H95" s="26">
        <v>46245</v>
      </c>
      <c r="I95" s="27" t="s">
        <v>188</v>
      </c>
      <c r="J95" s="27" t="s">
        <v>152</v>
      </c>
      <c r="K95" s="27" t="s">
        <v>152</v>
      </c>
      <c r="L95" s="27" t="s">
        <v>200</v>
      </c>
      <c r="M95" s="27" t="s">
        <v>187</v>
      </c>
      <c r="N95" s="27">
        <v>870</v>
      </c>
      <c r="O95" s="27">
        <v>203580</v>
      </c>
      <c r="P95" s="27" t="s">
        <v>439</v>
      </c>
      <c r="Q95" s="27">
        <v>0</v>
      </c>
      <c r="R95" s="27">
        <v>9</v>
      </c>
      <c r="S95" s="27">
        <v>18322.2</v>
      </c>
      <c r="T95" s="27">
        <v>9</v>
      </c>
      <c r="U95" s="27">
        <v>18322.2</v>
      </c>
      <c r="V95" s="27">
        <v>0</v>
      </c>
      <c r="W95" s="27">
        <v>0</v>
      </c>
      <c r="X95" s="27">
        <v>0</v>
      </c>
      <c r="Y95" s="27">
        <v>36644.400000000001</v>
      </c>
      <c r="Z95" s="27">
        <v>0</v>
      </c>
      <c r="AA95" s="27" t="s">
        <v>185</v>
      </c>
      <c r="AB95" s="27" t="s">
        <v>184</v>
      </c>
      <c r="AC95" s="27">
        <v>39232999</v>
      </c>
      <c r="AD95" s="27" t="s">
        <v>201</v>
      </c>
      <c r="AE95" s="27">
        <v>1</v>
      </c>
      <c r="AF95" s="27">
        <v>870</v>
      </c>
      <c r="AG95" s="27" t="s">
        <v>202</v>
      </c>
    </row>
    <row r="96" spans="1:33" ht="15" hidden="1" customHeight="1" x14ac:dyDescent="0.25">
      <c r="A96" s="21"/>
      <c r="B96" s="26">
        <v>46245</v>
      </c>
      <c r="C96" s="27" t="s">
        <v>226</v>
      </c>
      <c r="D96" s="27" t="s">
        <v>199</v>
      </c>
      <c r="E96" s="27">
        <v>478</v>
      </c>
      <c r="F96" s="27" t="s">
        <v>324</v>
      </c>
      <c r="G96" s="27" t="s">
        <v>434</v>
      </c>
      <c r="H96" s="26">
        <v>46245</v>
      </c>
      <c r="I96" s="27" t="s">
        <v>188</v>
      </c>
      <c r="J96" s="27" t="s">
        <v>152</v>
      </c>
      <c r="K96" s="27" t="s">
        <v>152</v>
      </c>
      <c r="L96" s="27" t="s">
        <v>200</v>
      </c>
      <c r="M96" s="27" t="s">
        <v>187</v>
      </c>
      <c r="N96" s="27">
        <v>2576</v>
      </c>
      <c r="O96" s="27">
        <v>580140.96</v>
      </c>
      <c r="P96" s="27" t="s">
        <v>440</v>
      </c>
      <c r="Q96" s="27">
        <v>0</v>
      </c>
      <c r="R96" s="27">
        <v>9</v>
      </c>
      <c r="S96" s="27">
        <v>52212.69</v>
      </c>
      <c r="T96" s="27">
        <v>9</v>
      </c>
      <c r="U96" s="27">
        <v>52212.69</v>
      </c>
      <c r="V96" s="27">
        <v>0</v>
      </c>
      <c r="W96" s="27">
        <v>0</v>
      </c>
      <c r="X96" s="27">
        <v>0</v>
      </c>
      <c r="Y96" s="27">
        <v>104425.38</v>
      </c>
      <c r="Z96" s="27">
        <v>0</v>
      </c>
      <c r="AA96" s="27" t="s">
        <v>185</v>
      </c>
      <c r="AB96" s="27" t="s">
        <v>184</v>
      </c>
      <c r="AC96" s="27">
        <v>39232999</v>
      </c>
      <c r="AD96" s="27" t="s">
        <v>201</v>
      </c>
      <c r="AE96" s="27">
        <v>1</v>
      </c>
      <c r="AF96" s="27">
        <v>2576</v>
      </c>
      <c r="AG96" s="27" t="s">
        <v>202</v>
      </c>
    </row>
    <row r="97" spans="1:33" hidden="1" x14ac:dyDescent="0.25">
      <c r="A97" s="22"/>
      <c r="B97" s="26">
        <v>46245</v>
      </c>
      <c r="C97" s="27" t="s">
        <v>226</v>
      </c>
      <c r="D97" s="27" t="s">
        <v>199</v>
      </c>
      <c r="E97" s="27">
        <v>478</v>
      </c>
      <c r="F97" s="27" t="s">
        <v>324</v>
      </c>
      <c r="G97" s="27" t="s">
        <v>434</v>
      </c>
      <c r="H97" s="26">
        <v>46245</v>
      </c>
      <c r="I97" s="27" t="s">
        <v>188</v>
      </c>
      <c r="J97" s="27" t="s">
        <v>152</v>
      </c>
      <c r="K97" s="27" t="s">
        <v>152</v>
      </c>
      <c r="L97" s="27" t="s">
        <v>200</v>
      </c>
      <c r="M97" s="27" t="s">
        <v>187</v>
      </c>
      <c r="N97" s="27">
        <v>1314</v>
      </c>
      <c r="O97" s="27">
        <v>262051.02</v>
      </c>
      <c r="P97" s="27" t="s">
        <v>285</v>
      </c>
      <c r="Q97" s="27">
        <v>0</v>
      </c>
      <c r="R97" s="27">
        <v>9</v>
      </c>
      <c r="S97" s="27">
        <v>23584.59</v>
      </c>
      <c r="T97" s="27">
        <v>9</v>
      </c>
      <c r="U97" s="27">
        <v>23584.59</v>
      </c>
      <c r="V97" s="27">
        <v>0</v>
      </c>
      <c r="W97" s="27">
        <v>0</v>
      </c>
      <c r="X97" s="27">
        <v>0</v>
      </c>
      <c r="Y97" s="27">
        <v>47169.18</v>
      </c>
      <c r="Z97" s="27">
        <v>0</v>
      </c>
      <c r="AA97" s="27" t="s">
        <v>185</v>
      </c>
      <c r="AB97" s="27" t="s">
        <v>184</v>
      </c>
      <c r="AC97" s="27">
        <v>39232999</v>
      </c>
      <c r="AD97" s="27" t="s">
        <v>201</v>
      </c>
      <c r="AE97" s="27">
        <v>1</v>
      </c>
      <c r="AF97" s="27">
        <v>1314</v>
      </c>
      <c r="AG97" s="27" t="s">
        <v>202</v>
      </c>
    </row>
    <row r="98" spans="1:33" hidden="1" x14ac:dyDescent="0.25">
      <c r="A98" s="22"/>
      <c r="B98" s="26">
        <v>46245</v>
      </c>
      <c r="C98" s="27" t="s">
        <v>226</v>
      </c>
      <c r="D98" s="27" t="s">
        <v>199</v>
      </c>
      <c r="E98" s="27">
        <v>478</v>
      </c>
      <c r="F98" s="27" t="s">
        <v>324</v>
      </c>
      <c r="G98" s="27" t="s">
        <v>434</v>
      </c>
      <c r="H98" s="26">
        <v>46245</v>
      </c>
      <c r="I98" s="27" t="s">
        <v>188</v>
      </c>
      <c r="J98" s="27" t="s">
        <v>152</v>
      </c>
      <c r="K98" s="27" t="s">
        <v>152</v>
      </c>
      <c r="L98" s="27" t="s">
        <v>200</v>
      </c>
      <c r="M98" s="27" t="s">
        <v>187</v>
      </c>
      <c r="N98" s="27">
        <v>2644</v>
      </c>
      <c r="O98" s="27">
        <v>523802.84</v>
      </c>
      <c r="P98" s="27" t="s">
        <v>441</v>
      </c>
      <c r="Q98" s="27">
        <v>0</v>
      </c>
      <c r="R98" s="27">
        <v>9</v>
      </c>
      <c r="S98" s="27">
        <v>47142.26</v>
      </c>
      <c r="T98" s="27">
        <v>9</v>
      </c>
      <c r="U98" s="27">
        <v>47142.26</v>
      </c>
      <c r="V98" s="27">
        <v>0</v>
      </c>
      <c r="W98" s="27">
        <v>0</v>
      </c>
      <c r="X98" s="27">
        <v>0</v>
      </c>
      <c r="Y98" s="27">
        <v>94284.52</v>
      </c>
      <c r="Z98" s="27">
        <v>0</v>
      </c>
      <c r="AA98" s="27" t="s">
        <v>185</v>
      </c>
      <c r="AB98" s="27" t="s">
        <v>184</v>
      </c>
      <c r="AC98" s="27">
        <v>39232999</v>
      </c>
      <c r="AD98" s="27" t="s">
        <v>201</v>
      </c>
      <c r="AE98" s="27">
        <v>1</v>
      </c>
      <c r="AF98" s="27">
        <v>2644</v>
      </c>
      <c r="AG98" s="27" t="s">
        <v>202</v>
      </c>
    </row>
    <row r="99" spans="1:33" hidden="1" x14ac:dyDescent="0.25">
      <c r="A99" s="22"/>
      <c r="B99" s="26">
        <v>46245</v>
      </c>
      <c r="C99" s="27" t="s">
        <v>226</v>
      </c>
      <c r="D99" s="27" t="s">
        <v>199</v>
      </c>
      <c r="E99" s="27">
        <v>478</v>
      </c>
      <c r="F99" s="27" t="s">
        <v>324</v>
      </c>
      <c r="G99" s="27" t="s">
        <v>434</v>
      </c>
      <c r="H99" s="26">
        <v>46245</v>
      </c>
      <c r="I99" s="27" t="s">
        <v>188</v>
      </c>
      <c r="J99" s="27" t="s">
        <v>286</v>
      </c>
      <c r="K99" s="27" t="s">
        <v>287</v>
      </c>
      <c r="L99" s="27" t="s">
        <v>200</v>
      </c>
      <c r="M99" s="27" t="s">
        <v>288</v>
      </c>
      <c r="N99" s="27">
        <v>2458.1999999999998</v>
      </c>
      <c r="O99" s="27">
        <v>567008.41</v>
      </c>
      <c r="P99" s="27" t="s">
        <v>442</v>
      </c>
      <c r="Q99" s="27">
        <v>0</v>
      </c>
      <c r="R99" s="27">
        <v>9</v>
      </c>
      <c r="S99" s="27">
        <v>51030.76</v>
      </c>
      <c r="T99" s="27">
        <v>9</v>
      </c>
      <c r="U99" s="27">
        <v>51030.76</v>
      </c>
      <c r="V99" s="27">
        <v>0</v>
      </c>
      <c r="W99" s="27">
        <v>0</v>
      </c>
      <c r="X99" s="27">
        <v>0</v>
      </c>
      <c r="Y99" s="27">
        <v>102061.52</v>
      </c>
      <c r="Z99" s="27">
        <v>0</v>
      </c>
      <c r="AA99" s="27" t="s">
        <v>185</v>
      </c>
      <c r="AB99" s="27" t="s">
        <v>184</v>
      </c>
      <c r="AC99" s="27">
        <v>39232999</v>
      </c>
      <c r="AD99" s="27" t="s">
        <v>201</v>
      </c>
      <c r="AE99" s="27">
        <v>1</v>
      </c>
      <c r="AF99" s="27">
        <v>2458.1999999999998</v>
      </c>
      <c r="AG99" s="27" t="s">
        <v>202</v>
      </c>
    </row>
    <row r="100" spans="1:33" hidden="1" x14ac:dyDescent="0.25">
      <c r="A100" s="22"/>
      <c r="B100" s="26">
        <v>46245</v>
      </c>
      <c r="C100" s="27" t="s">
        <v>198</v>
      </c>
      <c r="D100" s="27" t="s">
        <v>199</v>
      </c>
      <c r="E100" s="27">
        <v>475</v>
      </c>
      <c r="F100" s="27" t="s">
        <v>324</v>
      </c>
      <c r="G100" s="27" t="s">
        <v>443</v>
      </c>
      <c r="H100" s="26">
        <v>46245</v>
      </c>
      <c r="I100" s="27" t="s">
        <v>188</v>
      </c>
      <c r="J100" s="27" t="s">
        <v>152</v>
      </c>
      <c r="K100" s="27" t="s">
        <v>152</v>
      </c>
      <c r="L100" s="27" t="s">
        <v>200</v>
      </c>
      <c r="M100" s="27" t="s">
        <v>187</v>
      </c>
      <c r="N100" s="27">
        <v>1595</v>
      </c>
      <c r="O100" s="27">
        <v>286924.55</v>
      </c>
      <c r="P100" s="27" t="s">
        <v>444</v>
      </c>
      <c r="Q100" s="27">
        <v>975064.39</v>
      </c>
      <c r="R100" s="27">
        <v>9</v>
      </c>
      <c r="S100" s="27">
        <v>25823.21</v>
      </c>
      <c r="T100" s="27">
        <v>9</v>
      </c>
      <c r="U100" s="27">
        <v>25823.21</v>
      </c>
      <c r="V100" s="27">
        <v>0</v>
      </c>
      <c r="W100" s="27">
        <v>0</v>
      </c>
      <c r="X100" s="27">
        <v>0</v>
      </c>
      <c r="Y100" s="27">
        <v>51646.42</v>
      </c>
      <c r="Z100" s="27">
        <v>0</v>
      </c>
      <c r="AA100" s="27" t="s">
        <v>185</v>
      </c>
      <c r="AB100" s="27" t="s">
        <v>184</v>
      </c>
      <c r="AC100" s="27">
        <v>39232999</v>
      </c>
      <c r="AD100" s="27" t="s">
        <v>201</v>
      </c>
      <c r="AE100" s="27">
        <v>1</v>
      </c>
      <c r="AF100" s="27">
        <v>1595</v>
      </c>
      <c r="AG100" s="27" t="s">
        <v>202</v>
      </c>
    </row>
    <row r="101" spans="1:33" hidden="1" x14ac:dyDescent="0.25">
      <c r="A101" s="22"/>
      <c r="B101" s="26">
        <v>46245</v>
      </c>
      <c r="C101" s="27" t="s">
        <v>198</v>
      </c>
      <c r="D101" s="27" t="s">
        <v>199</v>
      </c>
      <c r="E101" s="27">
        <v>475</v>
      </c>
      <c r="F101" s="27" t="s">
        <v>324</v>
      </c>
      <c r="G101" s="27" t="s">
        <v>443</v>
      </c>
      <c r="H101" s="26">
        <v>46245</v>
      </c>
      <c r="I101" s="27" t="s">
        <v>188</v>
      </c>
      <c r="J101" s="27" t="s">
        <v>152</v>
      </c>
      <c r="K101" s="27" t="s">
        <v>152</v>
      </c>
      <c r="L101" s="27" t="s">
        <v>200</v>
      </c>
      <c r="M101" s="27" t="s">
        <v>187</v>
      </c>
      <c r="N101" s="27">
        <v>3043</v>
      </c>
      <c r="O101" s="27">
        <v>540102.06999999995</v>
      </c>
      <c r="P101" s="27" t="s">
        <v>445</v>
      </c>
      <c r="Q101" s="27">
        <v>0</v>
      </c>
      <c r="R101" s="27">
        <v>9</v>
      </c>
      <c r="S101" s="27">
        <v>48609.19</v>
      </c>
      <c r="T101" s="27">
        <v>9</v>
      </c>
      <c r="U101" s="27">
        <v>48609.19</v>
      </c>
      <c r="V101" s="27">
        <v>0</v>
      </c>
      <c r="W101" s="27">
        <v>0</v>
      </c>
      <c r="X101" s="27">
        <v>0</v>
      </c>
      <c r="Y101" s="27">
        <v>97218.38</v>
      </c>
      <c r="Z101" s="27">
        <v>0</v>
      </c>
      <c r="AA101" s="27" t="s">
        <v>185</v>
      </c>
      <c r="AB101" s="27" t="s">
        <v>184</v>
      </c>
      <c r="AC101" s="27">
        <v>39232999</v>
      </c>
      <c r="AD101" s="27" t="s">
        <v>201</v>
      </c>
      <c r="AE101" s="27">
        <v>1</v>
      </c>
      <c r="AF101" s="27">
        <v>3043</v>
      </c>
      <c r="AG101" s="27" t="s">
        <v>202</v>
      </c>
    </row>
    <row r="102" spans="1:33" hidden="1" x14ac:dyDescent="0.25">
      <c r="A102" s="22"/>
      <c r="B102" s="26">
        <v>46245</v>
      </c>
      <c r="C102" s="27" t="s">
        <v>198</v>
      </c>
      <c r="D102" s="27" t="s">
        <v>199</v>
      </c>
      <c r="E102" s="27">
        <v>476</v>
      </c>
      <c r="F102" s="27" t="s">
        <v>324</v>
      </c>
      <c r="G102" s="27" t="s">
        <v>446</v>
      </c>
      <c r="H102" s="26">
        <v>46245</v>
      </c>
      <c r="I102" s="27" t="s">
        <v>188</v>
      </c>
      <c r="J102" s="27" t="s">
        <v>153</v>
      </c>
      <c r="K102" s="27" t="s">
        <v>153</v>
      </c>
      <c r="L102" s="27" t="s">
        <v>203</v>
      </c>
      <c r="M102" s="27" t="s">
        <v>153</v>
      </c>
      <c r="N102" s="38">
        <v>187</v>
      </c>
      <c r="O102" s="27">
        <v>24979.46</v>
      </c>
      <c r="P102" s="27" t="s">
        <v>257</v>
      </c>
      <c r="Q102" s="27">
        <v>29450.78</v>
      </c>
      <c r="R102" s="27">
        <v>9</v>
      </c>
      <c r="S102" s="27">
        <v>2248.15</v>
      </c>
      <c r="T102" s="27">
        <v>9</v>
      </c>
      <c r="U102" s="27">
        <v>2248.15</v>
      </c>
      <c r="V102" s="27">
        <v>0</v>
      </c>
      <c r="W102" s="27">
        <v>0</v>
      </c>
      <c r="X102" s="27">
        <v>0</v>
      </c>
      <c r="Y102" s="27">
        <v>4496.3</v>
      </c>
      <c r="Z102" s="27">
        <v>0</v>
      </c>
      <c r="AA102" s="27" t="s">
        <v>185</v>
      </c>
      <c r="AB102" s="27" t="s">
        <v>184</v>
      </c>
      <c r="AC102" s="27">
        <v>39269080</v>
      </c>
      <c r="AD102" s="27" t="s">
        <v>201</v>
      </c>
      <c r="AE102" s="27">
        <v>1</v>
      </c>
      <c r="AF102" s="27">
        <v>187</v>
      </c>
      <c r="AG102" s="27" t="s">
        <v>202</v>
      </c>
    </row>
    <row r="103" spans="1:33" hidden="1" x14ac:dyDescent="0.25">
      <c r="A103" s="22"/>
      <c r="B103" s="26">
        <v>46245</v>
      </c>
      <c r="C103" s="27" t="s">
        <v>212</v>
      </c>
      <c r="D103" s="27" t="s">
        <v>199</v>
      </c>
      <c r="E103" s="27">
        <v>474</v>
      </c>
      <c r="F103" s="27" t="s">
        <v>223</v>
      </c>
      <c r="G103" s="27" t="s">
        <v>447</v>
      </c>
      <c r="H103" s="26">
        <v>46245</v>
      </c>
      <c r="I103" s="27" t="s">
        <v>169</v>
      </c>
      <c r="J103" s="27" t="s">
        <v>197</v>
      </c>
      <c r="K103" s="27" t="s">
        <v>158</v>
      </c>
      <c r="L103" s="27" t="s">
        <v>213</v>
      </c>
      <c r="M103" s="27" t="s">
        <v>196</v>
      </c>
      <c r="N103" s="27">
        <v>4.3499999999999996</v>
      </c>
      <c r="O103" s="27">
        <v>1065.75</v>
      </c>
      <c r="P103" s="27" t="s">
        <v>196</v>
      </c>
      <c r="Q103" s="27">
        <v>1256.52</v>
      </c>
      <c r="R103" s="27">
        <v>9</v>
      </c>
      <c r="S103" s="27">
        <v>95.92</v>
      </c>
      <c r="T103" s="27">
        <v>9</v>
      </c>
      <c r="U103" s="27">
        <v>95.92</v>
      </c>
      <c r="V103" s="27">
        <v>0</v>
      </c>
      <c r="W103" s="27">
        <v>0</v>
      </c>
      <c r="X103" s="27">
        <v>0</v>
      </c>
      <c r="Y103" s="27">
        <v>191.84</v>
      </c>
      <c r="Z103" s="27">
        <v>0</v>
      </c>
      <c r="AA103" s="27" t="s">
        <v>176</v>
      </c>
      <c r="AB103" s="27" t="s">
        <v>184</v>
      </c>
      <c r="AC103" s="27">
        <v>39201019</v>
      </c>
      <c r="AD103" s="27" t="s">
        <v>201</v>
      </c>
      <c r="AE103" s="27">
        <v>1</v>
      </c>
      <c r="AF103" s="27">
        <v>4.3499999999999996</v>
      </c>
      <c r="AG103" s="27" t="s">
        <v>202</v>
      </c>
    </row>
    <row r="104" spans="1:33" hidden="1" x14ac:dyDescent="0.25">
      <c r="A104" s="22"/>
      <c r="B104" s="28">
        <v>46246</v>
      </c>
      <c r="C104" s="29" t="s">
        <v>226</v>
      </c>
      <c r="D104" s="29" t="s">
        <v>199</v>
      </c>
      <c r="E104" s="29">
        <v>484</v>
      </c>
      <c r="F104" s="29" t="s">
        <v>223</v>
      </c>
      <c r="G104" s="29" t="s">
        <v>448</v>
      </c>
      <c r="H104" s="28">
        <v>46246</v>
      </c>
      <c r="I104" s="29" t="s">
        <v>188</v>
      </c>
      <c r="J104" s="29" t="s">
        <v>152</v>
      </c>
      <c r="K104" s="29" t="s">
        <v>152</v>
      </c>
      <c r="L104" s="29" t="s">
        <v>200</v>
      </c>
      <c r="M104" s="29" t="s">
        <v>187</v>
      </c>
      <c r="N104" s="29">
        <v>19598</v>
      </c>
      <c r="O104" s="29">
        <v>3871976.86</v>
      </c>
      <c r="P104" s="29" t="s">
        <v>449</v>
      </c>
      <c r="Q104" s="29">
        <v>4565060.72</v>
      </c>
      <c r="R104" s="29">
        <v>9</v>
      </c>
      <c r="S104" s="29">
        <v>348477.92</v>
      </c>
      <c r="T104" s="29">
        <v>9</v>
      </c>
      <c r="U104" s="29">
        <v>348477.92</v>
      </c>
      <c r="V104" s="29">
        <v>0</v>
      </c>
      <c r="W104" s="29">
        <v>0</v>
      </c>
      <c r="X104" s="29">
        <v>0</v>
      </c>
      <c r="Y104" s="29">
        <v>696955.84</v>
      </c>
      <c r="Z104" s="29">
        <v>0</v>
      </c>
      <c r="AA104" s="29" t="s">
        <v>185</v>
      </c>
      <c r="AB104" s="29" t="s">
        <v>184</v>
      </c>
      <c r="AC104" s="29">
        <v>39232999</v>
      </c>
      <c r="AD104" s="29" t="s">
        <v>201</v>
      </c>
      <c r="AE104" s="29">
        <v>1</v>
      </c>
      <c r="AF104" s="29">
        <v>19598</v>
      </c>
      <c r="AG104" s="29" t="s">
        <v>202</v>
      </c>
    </row>
    <row r="105" spans="1:33" hidden="1" x14ac:dyDescent="0.25">
      <c r="A105" s="22"/>
      <c r="B105" s="26">
        <v>46246</v>
      </c>
      <c r="C105" s="27" t="s">
        <v>198</v>
      </c>
      <c r="D105" s="27" t="s">
        <v>199</v>
      </c>
      <c r="E105" s="27">
        <v>480</v>
      </c>
      <c r="F105" s="27" t="s">
        <v>223</v>
      </c>
      <c r="G105" s="27" t="s">
        <v>450</v>
      </c>
      <c r="H105" s="26">
        <v>46246</v>
      </c>
      <c r="I105" s="27" t="s">
        <v>169</v>
      </c>
      <c r="J105" s="27" t="s">
        <v>197</v>
      </c>
      <c r="K105" s="27" t="s">
        <v>158</v>
      </c>
      <c r="L105" s="27" t="s">
        <v>213</v>
      </c>
      <c r="M105" s="27" t="s">
        <v>196</v>
      </c>
      <c r="N105" s="27">
        <v>50</v>
      </c>
      <c r="O105" s="27">
        <v>12950</v>
      </c>
      <c r="P105" s="27" t="s">
        <v>196</v>
      </c>
      <c r="Q105" s="27">
        <v>15268.05</v>
      </c>
      <c r="R105" s="27">
        <v>9</v>
      </c>
      <c r="S105" s="27">
        <v>1165.5</v>
      </c>
      <c r="T105" s="27">
        <v>9</v>
      </c>
      <c r="U105" s="27">
        <v>1165.5</v>
      </c>
      <c r="V105" s="27">
        <v>0</v>
      </c>
      <c r="W105" s="27">
        <v>0</v>
      </c>
      <c r="X105" s="27">
        <v>0</v>
      </c>
      <c r="Y105" s="27">
        <v>2331</v>
      </c>
      <c r="Z105" s="27">
        <v>0</v>
      </c>
      <c r="AA105" s="27" t="s">
        <v>185</v>
      </c>
      <c r="AB105" s="27" t="s">
        <v>184</v>
      </c>
      <c r="AC105" s="27">
        <v>39201019</v>
      </c>
      <c r="AD105" s="27" t="s">
        <v>201</v>
      </c>
      <c r="AE105" s="27">
        <v>1</v>
      </c>
      <c r="AF105" s="27">
        <v>50</v>
      </c>
      <c r="AG105" s="27" t="s">
        <v>202</v>
      </c>
    </row>
    <row r="106" spans="1:33" x14ac:dyDescent="0.25">
      <c r="A106" s="22"/>
      <c r="B106" s="26">
        <v>46246</v>
      </c>
      <c r="C106" s="27" t="s">
        <v>198</v>
      </c>
      <c r="D106" s="27" t="s">
        <v>199</v>
      </c>
      <c r="E106" s="27">
        <v>483</v>
      </c>
      <c r="F106" s="27" t="s">
        <v>223</v>
      </c>
      <c r="G106" s="27" t="s">
        <v>451</v>
      </c>
      <c r="H106" s="26">
        <v>46246</v>
      </c>
      <c r="I106" s="27" t="s">
        <v>169</v>
      </c>
      <c r="J106" s="27" t="s">
        <v>170</v>
      </c>
      <c r="K106" s="27" t="s">
        <v>157</v>
      </c>
      <c r="L106" s="27" t="s">
        <v>225</v>
      </c>
      <c r="M106" s="27" t="s">
        <v>312</v>
      </c>
      <c r="N106" s="27">
        <v>382.7</v>
      </c>
      <c r="O106" s="27">
        <v>59854.28</v>
      </c>
      <c r="P106" s="27" t="s">
        <v>312</v>
      </c>
      <c r="Q106" s="27">
        <v>62787.15</v>
      </c>
      <c r="R106" s="27">
        <v>2.5</v>
      </c>
      <c r="S106" s="27">
        <v>1496.36</v>
      </c>
      <c r="T106" s="27">
        <v>2.5</v>
      </c>
      <c r="U106" s="27">
        <v>1496.36</v>
      </c>
      <c r="V106" s="27">
        <v>0</v>
      </c>
      <c r="W106" s="27">
        <v>0</v>
      </c>
      <c r="X106" s="27">
        <v>0</v>
      </c>
      <c r="Y106" s="27">
        <v>2992.72</v>
      </c>
      <c r="Z106" s="27">
        <v>0</v>
      </c>
      <c r="AA106" s="27" t="s">
        <v>185</v>
      </c>
      <c r="AB106" s="27" t="s">
        <v>184</v>
      </c>
      <c r="AC106" s="27">
        <v>54026930</v>
      </c>
      <c r="AD106" s="27" t="s">
        <v>201</v>
      </c>
      <c r="AE106" s="27">
        <v>1</v>
      </c>
      <c r="AF106" s="27">
        <v>382.7</v>
      </c>
      <c r="AG106" s="27" t="s">
        <v>202</v>
      </c>
    </row>
    <row r="107" spans="1:33" x14ac:dyDescent="0.25">
      <c r="A107" s="22"/>
      <c r="B107" s="26">
        <v>46246</v>
      </c>
      <c r="C107" s="27" t="s">
        <v>212</v>
      </c>
      <c r="D107" s="27" t="s">
        <v>199</v>
      </c>
      <c r="E107" s="27">
        <v>479</v>
      </c>
      <c r="F107" s="27" t="s">
        <v>324</v>
      </c>
      <c r="G107" s="27" t="s">
        <v>452</v>
      </c>
      <c r="H107" s="26">
        <v>46246</v>
      </c>
      <c r="I107" s="27" t="s">
        <v>169</v>
      </c>
      <c r="J107" s="27" t="s">
        <v>181</v>
      </c>
      <c r="K107" s="27" t="s">
        <v>154</v>
      </c>
      <c r="L107" s="27" t="s">
        <v>154</v>
      </c>
      <c r="M107" s="27" t="s">
        <v>181</v>
      </c>
      <c r="N107" s="27">
        <v>267.7</v>
      </c>
      <c r="O107" s="27">
        <v>36294.769999999997</v>
      </c>
      <c r="P107" s="27" t="s">
        <v>282</v>
      </c>
      <c r="Q107" s="27">
        <v>42791.54</v>
      </c>
      <c r="R107" s="27">
        <v>9</v>
      </c>
      <c r="S107" s="27">
        <v>3266.53</v>
      </c>
      <c r="T107" s="27">
        <v>9</v>
      </c>
      <c r="U107" s="27">
        <v>3266.53</v>
      </c>
      <c r="V107" s="27">
        <v>0</v>
      </c>
      <c r="W107" s="27">
        <v>0</v>
      </c>
      <c r="X107" s="27">
        <v>0</v>
      </c>
      <c r="Y107" s="27">
        <v>6533.06</v>
      </c>
      <c r="Z107" s="27">
        <v>0</v>
      </c>
      <c r="AA107" s="27" t="s">
        <v>176</v>
      </c>
      <c r="AB107" s="27" t="s">
        <v>184</v>
      </c>
      <c r="AC107" s="27">
        <v>39269080</v>
      </c>
      <c r="AD107" s="27" t="s">
        <v>201</v>
      </c>
      <c r="AE107" s="27">
        <v>1</v>
      </c>
      <c r="AF107" s="27">
        <v>267.7</v>
      </c>
      <c r="AG107" s="27" t="s">
        <v>202</v>
      </c>
    </row>
    <row r="108" spans="1:33" hidden="1" x14ac:dyDescent="0.25">
      <c r="A108" s="22"/>
      <c r="B108" s="26">
        <v>46246</v>
      </c>
      <c r="C108" s="27" t="s">
        <v>212</v>
      </c>
      <c r="D108" s="27" t="s">
        <v>199</v>
      </c>
      <c r="E108" s="27">
        <v>482</v>
      </c>
      <c r="F108" s="27" t="s">
        <v>324</v>
      </c>
      <c r="G108" s="27" t="s">
        <v>453</v>
      </c>
      <c r="H108" s="26">
        <v>46246</v>
      </c>
      <c r="I108" s="27" t="s">
        <v>169</v>
      </c>
      <c r="J108" s="27" t="s">
        <v>179</v>
      </c>
      <c r="K108" s="27" t="s">
        <v>156</v>
      </c>
      <c r="L108" s="27" t="s">
        <v>211</v>
      </c>
      <c r="M108" s="27" t="s">
        <v>178</v>
      </c>
      <c r="N108" s="27">
        <v>256</v>
      </c>
      <c r="O108" s="27">
        <v>35476.480000000003</v>
      </c>
      <c r="P108" s="27" t="s">
        <v>454</v>
      </c>
      <c r="Q108" s="27">
        <v>125119.3</v>
      </c>
      <c r="R108" s="27">
        <v>9</v>
      </c>
      <c r="S108" s="27">
        <v>3192.88</v>
      </c>
      <c r="T108" s="27">
        <v>9</v>
      </c>
      <c r="U108" s="27">
        <v>3192.88</v>
      </c>
      <c r="V108" s="27">
        <v>0</v>
      </c>
      <c r="W108" s="27">
        <v>0</v>
      </c>
      <c r="X108" s="27">
        <v>0</v>
      </c>
      <c r="Y108" s="27">
        <v>6385.76</v>
      </c>
      <c r="Z108" s="27">
        <v>0</v>
      </c>
      <c r="AA108" s="27" t="s">
        <v>176</v>
      </c>
      <c r="AB108" s="27" t="s">
        <v>184</v>
      </c>
      <c r="AC108" s="27">
        <v>39269080</v>
      </c>
      <c r="AD108" s="27" t="s">
        <v>201</v>
      </c>
      <c r="AE108" s="27">
        <v>1</v>
      </c>
      <c r="AF108" s="27">
        <v>256</v>
      </c>
      <c r="AG108" s="27" t="s">
        <v>202</v>
      </c>
    </row>
    <row r="109" spans="1:33" hidden="1" x14ac:dyDescent="0.25">
      <c r="A109" s="22"/>
      <c r="B109" s="26">
        <v>46246</v>
      </c>
      <c r="C109" s="27" t="s">
        <v>212</v>
      </c>
      <c r="D109" s="27" t="s">
        <v>199</v>
      </c>
      <c r="E109" s="27">
        <v>482</v>
      </c>
      <c r="F109" s="27" t="s">
        <v>324</v>
      </c>
      <c r="G109" s="27" t="s">
        <v>453</v>
      </c>
      <c r="H109" s="26">
        <v>46246</v>
      </c>
      <c r="I109" s="27" t="s">
        <v>188</v>
      </c>
      <c r="J109" s="27" t="s">
        <v>153</v>
      </c>
      <c r="K109" s="27" t="s">
        <v>153</v>
      </c>
      <c r="L109" s="27" t="s">
        <v>211</v>
      </c>
      <c r="M109" s="27" t="s">
        <v>153</v>
      </c>
      <c r="N109" s="27">
        <v>304</v>
      </c>
      <c r="O109" s="27">
        <v>34528.32</v>
      </c>
      <c r="P109" s="27" t="s">
        <v>265</v>
      </c>
      <c r="Q109" s="27">
        <v>0</v>
      </c>
      <c r="R109" s="27">
        <v>9</v>
      </c>
      <c r="S109" s="27">
        <v>3107.55</v>
      </c>
      <c r="T109" s="27">
        <v>9</v>
      </c>
      <c r="U109" s="27">
        <v>3107.55</v>
      </c>
      <c r="V109" s="27">
        <v>0</v>
      </c>
      <c r="W109" s="27">
        <v>0</v>
      </c>
      <c r="X109" s="27">
        <v>0</v>
      </c>
      <c r="Y109" s="27">
        <v>6215.1</v>
      </c>
      <c r="Z109" s="27">
        <v>0</v>
      </c>
      <c r="AA109" s="27" t="s">
        <v>176</v>
      </c>
      <c r="AB109" s="27" t="s">
        <v>184</v>
      </c>
      <c r="AC109" s="27">
        <v>39269080</v>
      </c>
      <c r="AD109" s="27" t="s">
        <v>201</v>
      </c>
      <c r="AE109" s="27">
        <v>1</v>
      </c>
      <c r="AF109" s="27">
        <v>304</v>
      </c>
      <c r="AG109" s="27" t="s">
        <v>202</v>
      </c>
    </row>
    <row r="110" spans="1:33" hidden="1" x14ac:dyDescent="0.25">
      <c r="A110" s="22"/>
      <c r="B110" s="26">
        <v>46246</v>
      </c>
      <c r="C110" s="27" t="s">
        <v>212</v>
      </c>
      <c r="D110" s="27" t="s">
        <v>199</v>
      </c>
      <c r="E110" s="27">
        <v>482</v>
      </c>
      <c r="F110" s="27" t="s">
        <v>324</v>
      </c>
      <c r="G110" s="27" t="s">
        <v>453</v>
      </c>
      <c r="H110" s="26">
        <v>46246</v>
      </c>
      <c r="I110" s="27" t="s">
        <v>188</v>
      </c>
      <c r="J110" s="27" t="s">
        <v>153</v>
      </c>
      <c r="K110" s="27" t="s">
        <v>153</v>
      </c>
      <c r="L110" s="27" t="s">
        <v>200</v>
      </c>
      <c r="M110" s="27" t="s">
        <v>153</v>
      </c>
      <c r="N110" s="38">
        <v>318</v>
      </c>
      <c r="O110" s="27">
        <v>36118.44</v>
      </c>
      <c r="P110" s="27" t="s">
        <v>283</v>
      </c>
      <c r="Q110" s="27">
        <v>0</v>
      </c>
      <c r="R110" s="27">
        <v>9</v>
      </c>
      <c r="S110" s="27">
        <v>3250.66</v>
      </c>
      <c r="T110" s="27">
        <v>9</v>
      </c>
      <c r="U110" s="27">
        <v>3250.66</v>
      </c>
      <c r="V110" s="27">
        <v>0</v>
      </c>
      <c r="W110" s="27">
        <v>0</v>
      </c>
      <c r="X110" s="27">
        <v>0</v>
      </c>
      <c r="Y110" s="27">
        <v>6501.32</v>
      </c>
      <c r="Z110" s="27">
        <v>0</v>
      </c>
      <c r="AA110" s="27" t="s">
        <v>176</v>
      </c>
      <c r="AB110" s="27" t="s">
        <v>184</v>
      </c>
      <c r="AC110" s="27">
        <v>39232999</v>
      </c>
      <c r="AD110" s="27" t="s">
        <v>201</v>
      </c>
      <c r="AE110" s="27">
        <v>1</v>
      </c>
      <c r="AF110" s="27">
        <v>318</v>
      </c>
      <c r="AG110" s="27" t="s">
        <v>202</v>
      </c>
    </row>
    <row r="111" spans="1:33" hidden="1" x14ac:dyDescent="0.25">
      <c r="A111" s="22"/>
      <c r="B111" s="26">
        <v>46247</v>
      </c>
      <c r="C111" s="27" t="s">
        <v>198</v>
      </c>
      <c r="D111" s="27" t="s">
        <v>199</v>
      </c>
      <c r="E111" s="27">
        <v>485</v>
      </c>
      <c r="F111" s="27" t="s">
        <v>324</v>
      </c>
      <c r="G111" s="27" t="s">
        <v>455</v>
      </c>
      <c r="H111" s="26">
        <v>46247</v>
      </c>
      <c r="I111" s="27" t="s">
        <v>188</v>
      </c>
      <c r="J111" s="27" t="s">
        <v>152</v>
      </c>
      <c r="K111" s="27" t="s">
        <v>152</v>
      </c>
      <c r="L111" s="27" t="s">
        <v>200</v>
      </c>
      <c r="M111" s="27" t="s">
        <v>187</v>
      </c>
      <c r="N111" s="27">
        <v>156</v>
      </c>
      <c r="O111" s="27">
        <v>53972.88</v>
      </c>
      <c r="P111" s="27" t="s">
        <v>456</v>
      </c>
      <c r="Q111" s="27">
        <v>63634.03</v>
      </c>
      <c r="R111" s="27">
        <v>9</v>
      </c>
      <c r="S111" s="27">
        <v>4857.5600000000004</v>
      </c>
      <c r="T111" s="27">
        <v>9</v>
      </c>
      <c r="U111" s="27">
        <v>4857.5600000000004</v>
      </c>
      <c r="V111" s="27">
        <v>0</v>
      </c>
      <c r="W111" s="27">
        <v>0</v>
      </c>
      <c r="X111" s="27">
        <v>0</v>
      </c>
      <c r="Y111" s="27">
        <v>9715.1200000000008</v>
      </c>
      <c r="Z111" s="27">
        <v>0</v>
      </c>
      <c r="AA111" s="27" t="s">
        <v>185</v>
      </c>
      <c r="AB111" s="27" t="s">
        <v>184</v>
      </c>
      <c r="AC111" s="27">
        <v>39232999</v>
      </c>
      <c r="AD111" s="27" t="s">
        <v>201</v>
      </c>
      <c r="AE111" s="27">
        <v>1</v>
      </c>
      <c r="AF111" s="27">
        <v>156</v>
      </c>
      <c r="AG111" s="27" t="s">
        <v>202</v>
      </c>
    </row>
    <row r="112" spans="1:33" hidden="1" x14ac:dyDescent="0.25">
      <c r="A112" s="22"/>
      <c r="B112" s="26">
        <v>46247</v>
      </c>
      <c r="C112" s="27" t="s">
        <v>198</v>
      </c>
      <c r="D112" s="27" t="s">
        <v>199</v>
      </c>
      <c r="E112" s="27">
        <v>486</v>
      </c>
      <c r="F112" s="27" t="s">
        <v>223</v>
      </c>
      <c r="G112" s="27" t="s">
        <v>457</v>
      </c>
      <c r="H112" s="26">
        <v>46247</v>
      </c>
      <c r="I112" s="27" t="s">
        <v>169</v>
      </c>
      <c r="J112" s="27" t="s">
        <v>197</v>
      </c>
      <c r="K112" s="27" t="s">
        <v>158</v>
      </c>
      <c r="L112" s="27" t="s">
        <v>213</v>
      </c>
      <c r="M112" s="27" t="s">
        <v>196</v>
      </c>
      <c r="N112" s="27">
        <v>15</v>
      </c>
      <c r="O112" s="27">
        <v>3600</v>
      </c>
      <c r="P112" s="27" t="s">
        <v>196</v>
      </c>
      <c r="Q112" s="27">
        <v>4244.3999999999996</v>
      </c>
      <c r="R112" s="27">
        <v>9</v>
      </c>
      <c r="S112" s="27">
        <v>324</v>
      </c>
      <c r="T112" s="27">
        <v>9</v>
      </c>
      <c r="U112" s="27">
        <v>324</v>
      </c>
      <c r="V112" s="27">
        <v>0</v>
      </c>
      <c r="W112" s="27">
        <v>0</v>
      </c>
      <c r="X112" s="27">
        <v>0</v>
      </c>
      <c r="Y112" s="27">
        <v>648</v>
      </c>
      <c r="Z112" s="27">
        <v>0</v>
      </c>
      <c r="AA112" s="27" t="s">
        <v>185</v>
      </c>
      <c r="AB112" s="27" t="s">
        <v>184</v>
      </c>
      <c r="AC112" s="27">
        <v>39201019</v>
      </c>
      <c r="AD112" s="27" t="s">
        <v>201</v>
      </c>
      <c r="AE112" s="27">
        <v>1</v>
      </c>
      <c r="AF112" s="27">
        <v>15</v>
      </c>
      <c r="AG112" s="27" t="s">
        <v>202</v>
      </c>
    </row>
    <row r="113" spans="1:33" hidden="1" x14ac:dyDescent="0.25">
      <c r="A113" s="22"/>
      <c r="B113" s="26">
        <v>46247</v>
      </c>
      <c r="C113" s="27" t="s">
        <v>212</v>
      </c>
      <c r="D113" s="27" t="s">
        <v>199</v>
      </c>
      <c r="E113" s="27">
        <v>487</v>
      </c>
      <c r="F113" s="27" t="s">
        <v>324</v>
      </c>
      <c r="G113" s="27" t="s">
        <v>458</v>
      </c>
      <c r="H113" s="26">
        <v>46247</v>
      </c>
      <c r="I113" s="27" t="s">
        <v>188</v>
      </c>
      <c r="J113" s="27" t="s">
        <v>152</v>
      </c>
      <c r="K113" s="27" t="s">
        <v>152</v>
      </c>
      <c r="L113" s="27" t="s">
        <v>200</v>
      </c>
      <c r="M113" s="27" t="s">
        <v>187</v>
      </c>
      <c r="N113" s="27">
        <v>9970</v>
      </c>
      <c r="O113" s="27">
        <v>1709655.6</v>
      </c>
      <c r="P113" s="27" t="s">
        <v>459</v>
      </c>
      <c r="Q113" s="27">
        <v>4233776.9400000004</v>
      </c>
      <c r="R113" s="27">
        <v>9</v>
      </c>
      <c r="S113" s="27">
        <v>153869</v>
      </c>
      <c r="T113" s="27">
        <v>9</v>
      </c>
      <c r="U113" s="27">
        <v>153869</v>
      </c>
      <c r="V113" s="27">
        <v>0</v>
      </c>
      <c r="W113" s="27">
        <v>0</v>
      </c>
      <c r="X113" s="27">
        <v>0</v>
      </c>
      <c r="Y113" s="27">
        <v>307738</v>
      </c>
      <c r="Z113" s="27">
        <v>0</v>
      </c>
      <c r="AA113" s="27" t="s">
        <v>176</v>
      </c>
      <c r="AB113" s="27" t="s">
        <v>184</v>
      </c>
      <c r="AC113" s="27">
        <v>39232999</v>
      </c>
      <c r="AD113" s="27" t="s">
        <v>201</v>
      </c>
      <c r="AE113" s="27">
        <v>1</v>
      </c>
      <c r="AF113" s="27">
        <v>9970</v>
      </c>
      <c r="AG113" s="27" t="s">
        <v>202</v>
      </c>
    </row>
    <row r="114" spans="1:33" hidden="1" x14ac:dyDescent="0.25">
      <c r="A114" s="22"/>
      <c r="B114" s="26">
        <v>46247</v>
      </c>
      <c r="C114" s="27" t="s">
        <v>212</v>
      </c>
      <c r="D114" s="27" t="s">
        <v>199</v>
      </c>
      <c r="E114" s="27">
        <v>487</v>
      </c>
      <c r="F114" s="27" t="s">
        <v>324</v>
      </c>
      <c r="G114" s="27" t="s">
        <v>458</v>
      </c>
      <c r="H114" s="26">
        <v>46247</v>
      </c>
      <c r="I114" s="27" t="s">
        <v>188</v>
      </c>
      <c r="J114" s="27" t="s">
        <v>152</v>
      </c>
      <c r="K114" s="27" t="s">
        <v>152</v>
      </c>
      <c r="L114" s="27" t="s">
        <v>200</v>
      </c>
      <c r="M114" s="27" t="s">
        <v>187</v>
      </c>
      <c r="N114" s="27">
        <v>2988</v>
      </c>
      <c r="O114" s="27">
        <v>489464.28</v>
      </c>
      <c r="P114" s="27" t="s">
        <v>460</v>
      </c>
      <c r="Q114" s="27">
        <v>0</v>
      </c>
      <c r="R114" s="27">
        <v>9</v>
      </c>
      <c r="S114" s="27">
        <v>44051.79</v>
      </c>
      <c r="T114" s="27">
        <v>9</v>
      </c>
      <c r="U114" s="27">
        <v>44051.79</v>
      </c>
      <c r="V114" s="27">
        <v>0</v>
      </c>
      <c r="W114" s="27">
        <v>0</v>
      </c>
      <c r="X114" s="27">
        <v>0</v>
      </c>
      <c r="Y114" s="27">
        <v>88103.58</v>
      </c>
      <c r="Z114" s="27">
        <v>0</v>
      </c>
      <c r="AA114" s="27" t="s">
        <v>176</v>
      </c>
      <c r="AB114" s="27" t="s">
        <v>184</v>
      </c>
      <c r="AC114" s="27">
        <v>39232999</v>
      </c>
      <c r="AD114" s="27" t="s">
        <v>201</v>
      </c>
      <c r="AE114" s="27">
        <v>1</v>
      </c>
      <c r="AF114" s="27">
        <v>2988</v>
      </c>
      <c r="AG114" s="27" t="s">
        <v>202</v>
      </c>
    </row>
    <row r="115" spans="1:33" hidden="1" x14ac:dyDescent="0.25">
      <c r="A115" s="22"/>
      <c r="B115" s="26">
        <v>46247</v>
      </c>
      <c r="C115" s="27" t="s">
        <v>212</v>
      </c>
      <c r="D115" s="27" t="s">
        <v>199</v>
      </c>
      <c r="E115" s="27">
        <v>487</v>
      </c>
      <c r="F115" s="27" t="s">
        <v>324</v>
      </c>
      <c r="G115" s="27" t="s">
        <v>458</v>
      </c>
      <c r="H115" s="26">
        <v>46247</v>
      </c>
      <c r="I115" s="27" t="s">
        <v>188</v>
      </c>
      <c r="J115" s="27" t="s">
        <v>152</v>
      </c>
      <c r="K115" s="27" t="s">
        <v>152</v>
      </c>
      <c r="L115" s="27" t="s">
        <v>200</v>
      </c>
      <c r="M115" s="27" t="s">
        <v>187</v>
      </c>
      <c r="N115" s="27">
        <v>8059</v>
      </c>
      <c r="O115" s="27">
        <v>1391869.89</v>
      </c>
      <c r="P115" s="27" t="s">
        <v>461</v>
      </c>
      <c r="Q115" s="27">
        <v>0</v>
      </c>
      <c r="R115" s="27">
        <v>9</v>
      </c>
      <c r="S115" s="27">
        <v>125268.29</v>
      </c>
      <c r="T115" s="27">
        <v>9</v>
      </c>
      <c r="U115" s="27">
        <v>125268.29</v>
      </c>
      <c r="V115" s="27">
        <v>0</v>
      </c>
      <c r="W115" s="27">
        <v>0</v>
      </c>
      <c r="X115" s="27">
        <v>0</v>
      </c>
      <c r="Y115" s="27">
        <v>250536.58</v>
      </c>
      <c r="Z115" s="27">
        <v>0</v>
      </c>
      <c r="AA115" s="27" t="s">
        <v>176</v>
      </c>
      <c r="AB115" s="27" t="s">
        <v>184</v>
      </c>
      <c r="AC115" s="27">
        <v>39232999</v>
      </c>
      <c r="AD115" s="27" t="s">
        <v>201</v>
      </c>
      <c r="AE115" s="27">
        <v>1</v>
      </c>
      <c r="AF115" s="27">
        <v>8059</v>
      </c>
      <c r="AG115" s="27" t="s">
        <v>202</v>
      </c>
    </row>
    <row r="116" spans="1:33" hidden="1" x14ac:dyDescent="0.25">
      <c r="A116" s="22"/>
      <c r="B116" s="26">
        <v>46247</v>
      </c>
      <c r="C116" s="27" t="s">
        <v>462</v>
      </c>
      <c r="D116" s="27" t="s">
        <v>205</v>
      </c>
      <c r="E116" s="27" t="s">
        <v>463</v>
      </c>
      <c r="F116" s="27" t="s">
        <v>412</v>
      </c>
      <c r="G116" s="27" t="s">
        <v>463</v>
      </c>
      <c r="H116" s="26">
        <v>46247</v>
      </c>
      <c r="I116" s="27" t="s">
        <v>188</v>
      </c>
      <c r="J116" s="27" t="s">
        <v>152</v>
      </c>
      <c r="K116" s="27" t="s">
        <v>162</v>
      </c>
      <c r="L116" s="27" t="s">
        <v>200</v>
      </c>
      <c r="M116" s="27" t="s">
        <v>187</v>
      </c>
      <c r="N116" s="27">
        <v>19487</v>
      </c>
      <c r="O116" s="27">
        <v>4354415</v>
      </c>
      <c r="P116" s="27" t="s">
        <v>464</v>
      </c>
      <c r="Q116" s="27">
        <v>4909467.8499999996</v>
      </c>
      <c r="R116" s="27">
        <v>0</v>
      </c>
      <c r="S116" s="27">
        <v>0</v>
      </c>
      <c r="T116" s="27">
        <v>0</v>
      </c>
      <c r="U116" s="27">
        <v>0</v>
      </c>
      <c r="V116" s="27">
        <v>0</v>
      </c>
      <c r="W116" s="27">
        <v>0</v>
      </c>
      <c r="X116" s="27">
        <v>0</v>
      </c>
      <c r="Y116" s="27">
        <v>0</v>
      </c>
      <c r="Z116" s="27">
        <v>0</v>
      </c>
      <c r="AA116" s="27" t="s">
        <v>214</v>
      </c>
      <c r="AB116" s="27" t="s">
        <v>184</v>
      </c>
      <c r="AC116" s="27">
        <v>63053200</v>
      </c>
      <c r="AD116" s="27" t="s">
        <v>465</v>
      </c>
      <c r="AE116" s="27">
        <v>108.05</v>
      </c>
      <c r="AF116" s="27">
        <v>19487</v>
      </c>
      <c r="AG116" s="27" t="s">
        <v>466</v>
      </c>
    </row>
    <row r="117" spans="1:33" hidden="1" x14ac:dyDescent="0.25">
      <c r="A117" s="22"/>
      <c r="B117" s="26">
        <v>46248</v>
      </c>
      <c r="C117" s="27" t="s">
        <v>210</v>
      </c>
      <c r="D117" s="27" t="s">
        <v>199</v>
      </c>
      <c r="E117" s="27">
        <v>492</v>
      </c>
      <c r="F117" s="27" t="s">
        <v>324</v>
      </c>
      <c r="G117" s="27" t="s">
        <v>467</v>
      </c>
      <c r="H117" s="26">
        <v>46248</v>
      </c>
      <c r="I117" s="27" t="s">
        <v>188</v>
      </c>
      <c r="J117" s="27" t="s">
        <v>152</v>
      </c>
      <c r="K117" s="27" t="s">
        <v>152</v>
      </c>
      <c r="L117" s="27" t="s">
        <v>200</v>
      </c>
      <c r="M117" s="27" t="s">
        <v>187</v>
      </c>
      <c r="N117" s="27">
        <v>1393.3</v>
      </c>
      <c r="O117" s="27">
        <v>333932.21000000002</v>
      </c>
      <c r="P117" s="27" t="s">
        <v>468</v>
      </c>
      <c r="Q117" s="27">
        <v>5423757.9699999997</v>
      </c>
      <c r="R117" s="27">
        <v>9</v>
      </c>
      <c r="S117" s="27">
        <v>30053.9</v>
      </c>
      <c r="T117" s="27">
        <v>9</v>
      </c>
      <c r="U117" s="27">
        <v>30053.9</v>
      </c>
      <c r="V117" s="27">
        <v>0</v>
      </c>
      <c r="W117" s="27">
        <v>0</v>
      </c>
      <c r="X117" s="27">
        <v>0</v>
      </c>
      <c r="Y117" s="27">
        <v>60107.8</v>
      </c>
      <c r="Z117" s="27">
        <v>0</v>
      </c>
      <c r="AA117" s="27" t="s">
        <v>171</v>
      </c>
      <c r="AB117" s="27" t="s">
        <v>184</v>
      </c>
      <c r="AC117" s="27">
        <v>39232999</v>
      </c>
      <c r="AD117" s="27" t="s">
        <v>201</v>
      </c>
      <c r="AE117" s="27">
        <v>1</v>
      </c>
      <c r="AF117" s="27">
        <v>1393.3</v>
      </c>
      <c r="AG117" s="27" t="s">
        <v>202</v>
      </c>
    </row>
    <row r="118" spans="1:33" hidden="1" x14ac:dyDescent="0.25">
      <c r="A118" s="22"/>
      <c r="B118" s="26">
        <v>46248</v>
      </c>
      <c r="C118" s="27" t="s">
        <v>210</v>
      </c>
      <c r="D118" s="27" t="s">
        <v>199</v>
      </c>
      <c r="E118" s="27">
        <v>492</v>
      </c>
      <c r="F118" s="27" t="s">
        <v>324</v>
      </c>
      <c r="G118" s="27" t="s">
        <v>467</v>
      </c>
      <c r="H118" s="26">
        <v>46248</v>
      </c>
      <c r="I118" s="27" t="s">
        <v>188</v>
      </c>
      <c r="J118" s="27" t="s">
        <v>152</v>
      </c>
      <c r="K118" s="27" t="s">
        <v>152</v>
      </c>
      <c r="L118" s="27" t="s">
        <v>200</v>
      </c>
      <c r="M118" s="27" t="s">
        <v>187</v>
      </c>
      <c r="N118" s="27">
        <v>1282.0999999999999</v>
      </c>
      <c r="O118" s="27">
        <v>331858.76</v>
      </c>
      <c r="P118" s="27" t="s">
        <v>469</v>
      </c>
      <c r="Q118" s="27">
        <v>0</v>
      </c>
      <c r="R118" s="27">
        <v>9</v>
      </c>
      <c r="S118" s="27">
        <v>29867.29</v>
      </c>
      <c r="T118" s="27">
        <v>9</v>
      </c>
      <c r="U118" s="27">
        <v>29867.29</v>
      </c>
      <c r="V118" s="27">
        <v>0</v>
      </c>
      <c r="W118" s="27">
        <v>0</v>
      </c>
      <c r="X118" s="27">
        <v>0</v>
      </c>
      <c r="Y118" s="27">
        <v>59734.58</v>
      </c>
      <c r="Z118" s="27">
        <v>0</v>
      </c>
      <c r="AA118" s="27" t="s">
        <v>171</v>
      </c>
      <c r="AB118" s="27" t="s">
        <v>184</v>
      </c>
      <c r="AC118" s="27">
        <v>39232999</v>
      </c>
      <c r="AD118" s="27" t="s">
        <v>201</v>
      </c>
      <c r="AE118" s="27">
        <v>1</v>
      </c>
      <c r="AF118" s="27">
        <v>1282.0999999999999</v>
      </c>
      <c r="AG118" s="27" t="s">
        <v>202</v>
      </c>
    </row>
    <row r="119" spans="1:33" hidden="1" x14ac:dyDescent="0.25">
      <c r="A119" s="22"/>
      <c r="B119" s="26">
        <v>46248</v>
      </c>
      <c r="C119" s="27" t="s">
        <v>210</v>
      </c>
      <c r="D119" s="27" t="s">
        <v>199</v>
      </c>
      <c r="E119" s="27">
        <v>492</v>
      </c>
      <c r="F119" s="27" t="s">
        <v>324</v>
      </c>
      <c r="G119" s="27" t="s">
        <v>467</v>
      </c>
      <c r="H119" s="26">
        <v>46248</v>
      </c>
      <c r="I119" s="27" t="s">
        <v>188</v>
      </c>
      <c r="J119" s="27" t="s">
        <v>152</v>
      </c>
      <c r="K119" s="27" t="s">
        <v>152</v>
      </c>
      <c r="L119" s="27" t="s">
        <v>200</v>
      </c>
      <c r="M119" s="27" t="s">
        <v>187</v>
      </c>
      <c r="N119" s="27">
        <v>2407.3000000000002</v>
      </c>
      <c r="O119" s="27">
        <v>620866.74</v>
      </c>
      <c r="P119" s="27" t="s">
        <v>284</v>
      </c>
      <c r="Q119" s="27">
        <v>0</v>
      </c>
      <c r="R119" s="27">
        <v>9</v>
      </c>
      <c r="S119" s="27">
        <v>55878.01</v>
      </c>
      <c r="T119" s="27">
        <v>9</v>
      </c>
      <c r="U119" s="27">
        <v>55878.01</v>
      </c>
      <c r="V119" s="27">
        <v>0</v>
      </c>
      <c r="W119" s="27">
        <v>0</v>
      </c>
      <c r="X119" s="27">
        <v>0</v>
      </c>
      <c r="Y119" s="27">
        <v>111756.02</v>
      </c>
      <c r="Z119" s="27">
        <v>0</v>
      </c>
      <c r="AA119" s="27" t="s">
        <v>171</v>
      </c>
      <c r="AB119" s="27" t="s">
        <v>184</v>
      </c>
      <c r="AC119" s="27">
        <v>39232999</v>
      </c>
      <c r="AD119" s="27" t="s">
        <v>201</v>
      </c>
      <c r="AE119" s="27">
        <v>1</v>
      </c>
      <c r="AF119" s="27">
        <v>2407.3000000000002</v>
      </c>
      <c r="AG119" s="27" t="s">
        <v>202</v>
      </c>
    </row>
    <row r="120" spans="1:33" hidden="1" x14ac:dyDescent="0.25">
      <c r="A120" s="22"/>
      <c r="B120" s="26">
        <v>46248</v>
      </c>
      <c r="C120" s="27" t="s">
        <v>210</v>
      </c>
      <c r="D120" s="27" t="s">
        <v>199</v>
      </c>
      <c r="E120" s="27">
        <v>492</v>
      </c>
      <c r="F120" s="27" t="s">
        <v>324</v>
      </c>
      <c r="G120" s="27" t="s">
        <v>467</v>
      </c>
      <c r="H120" s="26">
        <v>46248</v>
      </c>
      <c r="I120" s="27" t="s">
        <v>188</v>
      </c>
      <c r="J120" s="27" t="s">
        <v>152</v>
      </c>
      <c r="K120" s="27" t="s">
        <v>152</v>
      </c>
      <c r="L120" s="27" t="s">
        <v>200</v>
      </c>
      <c r="M120" s="27" t="s">
        <v>187</v>
      </c>
      <c r="N120" s="27">
        <v>6563</v>
      </c>
      <c r="O120" s="27">
        <v>1442941.18</v>
      </c>
      <c r="P120" s="27" t="s">
        <v>470</v>
      </c>
      <c r="Q120" s="27">
        <v>0</v>
      </c>
      <c r="R120" s="27">
        <v>9</v>
      </c>
      <c r="S120" s="27">
        <v>129864.71</v>
      </c>
      <c r="T120" s="27">
        <v>9</v>
      </c>
      <c r="U120" s="27">
        <v>129864.71</v>
      </c>
      <c r="V120" s="27">
        <v>0</v>
      </c>
      <c r="W120" s="27">
        <v>0</v>
      </c>
      <c r="X120" s="27">
        <v>0</v>
      </c>
      <c r="Y120" s="27">
        <v>259729.42</v>
      </c>
      <c r="Z120" s="27">
        <v>0</v>
      </c>
      <c r="AA120" s="27" t="s">
        <v>171</v>
      </c>
      <c r="AB120" s="27" t="s">
        <v>184</v>
      </c>
      <c r="AC120" s="27">
        <v>39232999</v>
      </c>
      <c r="AD120" s="27" t="s">
        <v>201</v>
      </c>
      <c r="AE120" s="27">
        <v>1</v>
      </c>
      <c r="AF120" s="27">
        <v>6563</v>
      </c>
      <c r="AG120" s="27" t="s">
        <v>202</v>
      </c>
    </row>
    <row r="121" spans="1:33" hidden="1" x14ac:dyDescent="0.25">
      <c r="A121" s="22"/>
      <c r="B121" s="26">
        <v>46248</v>
      </c>
      <c r="C121" s="27" t="s">
        <v>210</v>
      </c>
      <c r="D121" s="27" t="s">
        <v>199</v>
      </c>
      <c r="E121" s="27">
        <v>492</v>
      </c>
      <c r="F121" s="27" t="s">
        <v>324</v>
      </c>
      <c r="G121" s="27" t="s">
        <v>467</v>
      </c>
      <c r="H121" s="26">
        <v>46248</v>
      </c>
      <c r="I121" s="27" t="s">
        <v>188</v>
      </c>
      <c r="J121" s="27" t="s">
        <v>152</v>
      </c>
      <c r="K121" s="27" t="s">
        <v>152</v>
      </c>
      <c r="L121" s="27" t="s">
        <v>200</v>
      </c>
      <c r="M121" s="27" t="s">
        <v>187</v>
      </c>
      <c r="N121" s="27">
        <v>5840</v>
      </c>
      <c r="O121" s="27">
        <v>1481841.6</v>
      </c>
      <c r="P121" s="27" t="s">
        <v>471</v>
      </c>
      <c r="Q121" s="27">
        <v>0</v>
      </c>
      <c r="R121" s="27">
        <v>9</v>
      </c>
      <c r="S121" s="27">
        <v>133365.74</v>
      </c>
      <c r="T121" s="27">
        <v>9</v>
      </c>
      <c r="U121" s="27">
        <v>133365.74</v>
      </c>
      <c r="V121" s="27">
        <v>0</v>
      </c>
      <c r="W121" s="27">
        <v>0</v>
      </c>
      <c r="X121" s="27">
        <v>0</v>
      </c>
      <c r="Y121" s="27">
        <v>266731.48</v>
      </c>
      <c r="Z121" s="27">
        <v>0</v>
      </c>
      <c r="AA121" s="27" t="s">
        <v>171</v>
      </c>
      <c r="AB121" s="27" t="s">
        <v>184</v>
      </c>
      <c r="AC121" s="27">
        <v>39232999</v>
      </c>
      <c r="AD121" s="27" t="s">
        <v>201</v>
      </c>
      <c r="AE121" s="27">
        <v>1</v>
      </c>
      <c r="AF121" s="27">
        <v>5840</v>
      </c>
      <c r="AG121" s="27" t="s">
        <v>202</v>
      </c>
    </row>
    <row r="122" spans="1:33" hidden="1" x14ac:dyDescent="0.25">
      <c r="A122" s="22"/>
      <c r="B122" s="26">
        <v>46248</v>
      </c>
      <c r="C122" s="27" t="s">
        <v>210</v>
      </c>
      <c r="D122" s="27" t="s">
        <v>199</v>
      </c>
      <c r="E122" s="27">
        <v>492</v>
      </c>
      <c r="F122" s="27" t="s">
        <v>324</v>
      </c>
      <c r="G122" s="27" t="s">
        <v>467</v>
      </c>
      <c r="H122" s="26">
        <v>46248</v>
      </c>
      <c r="I122" s="27" t="s">
        <v>188</v>
      </c>
      <c r="J122" s="27" t="s">
        <v>152</v>
      </c>
      <c r="K122" s="27" t="s">
        <v>152</v>
      </c>
      <c r="L122" s="27" t="s">
        <v>200</v>
      </c>
      <c r="M122" s="27" t="s">
        <v>187</v>
      </c>
      <c r="N122" s="27">
        <v>1609</v>
      </c>
      <c r="O122" s="27">
        <v>388863.12</v>
      </c>
      <c r="P122" s="27" t="s">
        <v>472</v>
      </c>
      <c r="Q122" s="27">
        <v>0</v>
      </c>
      <c r="R122" s="27">
        <v>9</v>
      </c>
      <c r="S122" s="27">
        <v>34997.68</v>
      </c>
      <c r="T122" s="27">
        <v>9</v>
      </c>
      <c r="U122" s="27">
        <v>34997.68</v>
      </c>
      <c r="V122" s="27">
        <v>0</v>
      </c>
      <c r="W122" s="27">
        <v>0</v>
      </c>
      <c r="X122" s="27">
        <v>0</v>
      </c>
      <c r="Y122" s="27">
        <v>69995.360000000001</v>
      </c>
      <c r="Z122" s="27">
        <v>0</v>
      </c>
      <c r="AA122" s="27" t="s">
        <v>171</v>
      </c>
      <c r="AB122" s="27" t="s">
        <v>184</v>
      </c>
      <c r="AC122" s="27">
        <v>39232999</v>
      </c>
      <c r="AD122" s="27" t="s">
        <v>201</v>
      </c>
      <c r="AE122" s="27">
        <v>1</v>
      </c>
      <c r="AF122" s="27">
        <v>1609</v>
      </c>
      <c r="AG122" s="27" t="s">
        <v>202</v>
      </c>
    </row>
    <row r="123" spans="1:33" hidden="1" x14ac:dyDescent="0.25">
      <c r="A123" s="22"/>
      <c r="B123" s="26">
        <v>46248</v>
      </c>
      <c r="C123" s="27" t="s">
        <v>212</v>
      </c>
      <c r="D123" s="27" t="s">
        <v>199</v>
      </c>
      <c r="E123" s="27">
        <v>490</v>
      </c>
      <c r="F123" s="27" t="s">
        <v>324</v>
      </c>
      <c r="G123" s="27" t="s">
        <v>473</v>
      </c>
      <c r="H123" s="26">
        <v>46248</v>
      </c>
      <c r="I123" s="27" t="s">
        <v>169</v>
      </c>
      <c r="J123" s="27" t="s">
        <v>179</v>
      </c>
      <c r="K123" s="27" t="s">
        <v>156</v>
      </c>
      <c r="L123" s="27" t="s">
        <v>211</v>
      </c>
      <c r="M123" s="27" t="s">
        <v>178</v>
      </c>
      <c r="N123" s="27">
        <v>1222</v>
      </c>
      <c r="O123" s="27">
        <v>165678.76</v>
      </c>
      <c r="P123" s="27" t="s">
        <v>178</v>
      </c>
      <c r="Q123" s="27">
        <v>195335.26</v>
      </c>
      <c r="R123" s="27">
        <v>9</v>
      </c>
      <c r="S123" s="27">
        <v>14911.09</v>
      </c>
      <c r="T123" s="27">
        <v>9</v>
      </c>
      <c r="U123" s="27">
        <v>14911.09</v>
      </c>
      <c r="V123" s="27">
        <v>0</v>
      </c>
      <c r="W123" s="27">
        <v>0</v>
      </c>
      <c r="X123" s="27">
        <v>0</v>
      </c>
      <c r="Y123" s="27">
        <v>29822.18</v>
      </c>
      <c r="Z123" s="27">
        <v>0</v>
      </c>
      <c r="AA123" s="27" t="s">
        <v>176</v>
      </c>
      <c r="AB123" s="27" t="s">
        <v>184</v>
      </c>
      <c r="AC123" s="27">
        <v>39269080</v>
      </c>
      <c r="AD123" s="27" t="s">
        <v>201</v>
      </c>
      <c r="AE123" s="27">
        <v>1</v>
      </c>
      <c r="AF123" s="27">
        <v>1222</v>
      </c>
      <c r="AG123" s="27" t="s">
        <v>202</v>
      </c>
    </row>
    <row r="124" spans="1:33" hidden="1" x14ac:dyDescent="0.25">
      <c r="A124" s="22"/>
      <c r="B124" s="26">
        <v>46248</v>
      </c>
      <c r="C124" s="27" t="s">
        <v>212</v>
      </c>
      <c r="D124" s="27" t="s">
        <v>199</v>
      </c>
      <c r="E124" s="27">
        <v>491</v>
      </c>
      <c r="F124" s="27" t="s">
        <v>223</v>
      </c>
      <c r="G124" s="27" t="s">
        <v>474</v>
      </c>
      <c r="H124" s="26">
        <v>46248</v>
      </c>
      <c r="I124" s="27" t="s">
        <v>169</v>
      </c>
      <c r="J124" s="27" t="s">
        <v>197</v>
      </c>
      <c r="K124" s="27" t="s">
        <v>158</v>
      </c>
      <c r="L124" s="27" t="s">
        <v>213</v>
      </c>
      <c r="M124" s="27" t="s">
        <v>196</v>
      </c>
      <c r="N124" s="27">
        <v>16.100000000000001</v>
      </c>
      <c r="O124" s="27">
        <v>4347</v>
      </c>
      <c r="P124" s="27" t="s">
        <v>196</v>
      </c>
      <c r="Q124" s="27">
        <v>5125.1099999999997</v>
      </c>
      <c r="R124" s="27">
        <v>9</v>
      </c>
      <c r="S124" s="27">
        <v>391.23</v>
      </c>
      <c r="T124" s="27">
        <v>9</v>
      </c>
      <c r="U124" s="27">
        <v>391.23</v>
      </c>
      <c r="V124" s="27">
        <v>0</v>
      </c>
      <c r="W124" s="27">
        <v>0</v>
      </c>
      <c r="X124" s="27">
        <v>0</v>
      </c>
      <c r="Y124" s="27">
        <v>782.46</v>
      </c>
      <c r="Z124" s="27">
        <v>0</v>
      </c>
      <c r="AA124" s="27" t="s">
        <v>176</v>
      </c>
      <c r="AB124" s="27" t="s">
        <v>184</v>
      </c>
      <c r="AC124" s="27">
        <v>39201019</v>
      </c>
      <c r="AD124" s="27" t="s">
        <v>201</v>
      </c>
      <c r="AE124" s="27">
        <v>1</v>
      </c>
      <c r="AF124" s="27">
        <v>16.100000000000001</v>
      </c>
      <c r="AG124" s="27" t="s">
        <v>202</v>
      </c>
    </row>
    <row r="125" spans="1:33" hidden="1" x14ac:dyDescent="0.25">
      <c r="A125" s="22"/>
      <c r="B125" s="26">
        <v>46250</v>
      </c>
      <c r="C125" s="27" t="s">
        <v>226</v>
      </c>
      <c r="D125" s="27" t="s">
        <v>199</v>
      </c>
      <c r="E125" s="27">
        <v>495</v>
      </c>
      <c r="F125" s="27" t="s">
        <v>324</v>
      </c>
      <c r="G125" s="27" t="s">
        <v>475</v>
      </c>
      <c r="H125" s="26">
        <v>46250</v>
      </c>
      <c r="I125" s="27" t="s">
        <v>188</v>
      </c>
      <c r="J125" s="27" t="s">
        <v>152</v>
      </c>
      <c r="K125" s="27" t="s">
        <v>152</v>
      </c>
      <c r="L125" s="27" t="s">
        <v>200</v>
      </c>
      <c r="M125" s="27" t="s">
        <v>187</v>
      </c>
      <c r="N125" s="27">
        <v>1282</v>
      </c>
      <c r="O125" s="27">
        <v>263104.86</v>
      </c>
      <c r="P125" s="27" t="s">
        <v>476</v>
      </c>
      <c r="Q125" s="27">
        <v>4352300.47</v>
      </c>
      <c r="R125" s="27">
        <v>9</v>
      </c>
      <c r="S125" s="27">
        <v>23679.439999999999</v>
      </c>
      <c r="T125" s="27">
        <v>9</v>
      </c>
      <c r="U125" s="27">
        <v>23679.439999999999</v>
      </c>
      <c r="V125" s="27">
        <v>0</v>
      </c>
      <c r="W125" s="27">
        <v>0</v>
      </c>
      <c r="X125" s="27">
        <v>0</v>
      </c>
      <c r="Y125" s="27">
        <v>47358.879999999997</v>
      </c>
      <c r="Z125" s="27">
        <v>0</v>
      </c>
      <c r="AA125" s="27" t="s">
        <v>185</v>
      </c>
      <c r="AB125" s="27" t="s">
        <v>184</v>
      </c>
      <c r="AC125" s="27">
        <v>39232999</v>
      </c>
      <c r="AD125" s="27" t="s">
        <v>201</v>
      </c>
      <c r="AE125" s="27">
        <v>1</v>
      </c>
      <c r="AF125" s="27">
        <v>1282</v>
      </c>
      <c r="AG125" s="27" t="s">
        <v>202</v>
      </c>
    </row>
    <row r="126" spans="1:33" hidden="1" x14ac:dyDescent="0.25">
      <c r="A126" s="22"/>
      <c r="B126" s="26">
        <v>46250</v>
      </c>
      <c r="C126" s="27" t="s">
        <v>226</v>
      </c>
      <c r="D126" s="27" t="s">
        <v>199</v>
      </c>
      <c r="E126" s="27">
        <v>495</v>
      </c>
      <c r="F126" s="27" t="s">
        <v>324</v>
      </c>
      <c r="G126" s="27" t="s">
        <v>475</v>
      </c>
      <c r="H126" s="26">
        <v>46250</v>
      </c>
      <c r="I126" s="27" t="s">
        <v>188</v>
      </c>
      <c r="J126" s="27" t="s">
        <v>152</v>
      </c>
      <c r="K126" s="27" t="s">
        <v>152</v>
      </c>
      <c r="L126" s="27" t="s">
        <v>200</v>
      </c>
      <c r="M126" s="27" t="s">
        <v>187</v>
      </c>
      <c r="N126" s="27">
        <v>6205</v>
      </c>
      <c r="O126" s="27">
        <v>1161513.95</v>
      </c>
      <c r="P126" s="27" t="s">
        <v>477</v>
      </c>
      <c r="Q126" s="27">
        <v>0</v>
      </c>
      <c r="R126" s="27">
        <v>9</v>
      </c>
      <c r="S126" s="27">
        <v>104536.26</v>
      </c>
      <c r="T126" s="27">
        <v>9</v>
      </c>
      <c r="U126" s="27">
        <v>104536.26</v>
      </c>
      <c r="V126" s="27">
        <v>0</v>
      </c>
      <c r="W126" s="27">
        <v>0</v>
      </c>
      <c r="X126" s="27">
        <v>0</v>
      </c>
      <c r="Y126" s="27">
        <v>209072.52</v>
      </c>
      <c r="Z126" s="27">
        <v>0</v>
      </c>
      <c r="AA126" s="27" t="s">
        <v>185</v>
      </c>
      <c r="AB126" s="27" t="s">
        <v>184</v>
      </c>
      <c r="AC126" s="27">
        <v>39232999</v>
      </c>
      <c r="AD126" s="27" t="s">
        <v>201</v>
      </c>
      <c r="AE126" s="27">
        <v>1</v>
      </c>
      <c r="AF126" s="27">
        <v>6205</v>
      </c>
      <c r="AG126" s="27" t="s">
        <v>202</v>
      </c>
    </row>
    <row r="127" spans="1:33" hidden="1" x14ac:dyDescent="0.25">
      <c r="A127" s="22"/>
      <c r="B127" s="26">
        <v>46250</v>
      </c>
      <c r="C127" s="27" t="s">
        <v>226</v>
      </c>
      <c r="D127" s="27" t="s">
        <v>199</v>
      </c>
      <c r="E127" s="27">
        <v>495</v>
      </c>
      <c r="F127" s="27" t="s">
        <v>324</v>
      </c>
      <c r="G127" s="27" t="s">
        <v>475</v>
      </c>
      <c r="H127" s="26">
        <v>46250</v>
      </c>
      <c r="I127" s="27" t="s">
        <v>188</v>
      </c>
      <c r="J127" s="27" t="s">
        <v>152</v>
      </c>
      <c r="K127" s="27" t="s">
        <v>152</v>
      </c>
      <c r="L127" s="27" t="s">
        <v>200</v>
      </c>
      <c r="M127" s="27" t="s">
        <v>187</v>
      </c>
      <c r="N127" s="27">
        <v>4558</v>
      </c>
      <c r="O127" s="27">
        <v>880924.66</v>
      </c>
      <c r="P127" s="27" t="s">
        <v>478</v>
      </c>
      <c r="Q127" s="27">
        <v>0</v>
      </c>
      <c r="R127" s="27">
        <v>9</v>
      </c>
      <c r="S127" s="27">
        <v>79283.22</v>
      </c>
      <c r="T127" s="27">
        <v>9</v>
      </c>
      <c r="U127" s="27">
        <v>79283.22</v>
      </c>
      <c r="V127" s="27">
        <v>0</v>
      </c>
      <c r="W127" s="27">
        <v>0</v>
      </c>
      <c r="X127" s="27">
        <v>0</v>
      </c>
      <c r="Y127" s="27">
        <v>158566.44</v>
      </c>
      <c r="Z127" s="27">
        <v>0</v>
      </c>
      <c r="AA127" s="27" t="s">
        <v>185</v>
      </c>
      <c r="AB127" s="27" t="s">
        <v>184</v>
      </c>
      <c r="AC127" s="27">
        <v>39232999</v>
      </c>
      <c r="AD127" s="27" t="s">
        <v>201</v>
      </c>
      <c r="AE127" s="27">
        <v>1</v>
      </c>
      <c r="AF127" s="27">
        <v>4558</v>
      </c>
      <c r="AG127" s="27" t="s">
        <v>202</v>
      </c>
    </row>
    <row r="128" spans="1:33" hidden="1" x14ac:dyDescent="0.25">
      <c r="A128" s="22"/>
      <c r="B128" s="26">
        <v>46250</v>
      </c>
      <c r="C128" s="27" t="s">
        <v>226</v>
      </c>
      <c r="D128" s="27" t="s">
        <v>199</v>
      </c>
      <c r="E128" s="27">
        <v>495</v>
      </c>
      <c r="F128" s="27" t="s">
        <v>324</v>
      </c>
      <c r="G128" s="27" t="s">
        <v>475</v>
      </c>
      <c r="H128" s="26">
        <v>46250</v>
      </c>
      <c r="I128" s="27" t="s">
        <v>188</v>
      </c>
      <c r="J128" s="27" t="s">
        <v>152</v>
      </c>
      <c r="K128" s="27" t="s">
        <v>152</v>
      </c>
      <c r="L128" s="27" t="s">
        <v>200</v>
      </c>
      <c r="M128" s="27" t="s">
        <v>187</v>
      </c>
      <c r="N128" s="27">
        <v>4066</v>
      </c>
      <c r="O128" s="27">
        <v>789169.94</v>
      </c>
      <c r="P128" s="27" t="s">
        <v>479</v>
      </c>
      <c r="Q128" s="27">
        <v>0</v>
      </c>
      <c r="R128" s="27">
        <v>9</v>
      </c>
      <c r="S128" s="27">
        <v>71025.289999999994</v>
      </c>
      <c r="T128" s="27">
        <v>9</v>
      </c>
      <c r="U128" s="27">
        <v>71025.289999999994</v>
      </c>
      <c r="V128" s="27">
        <v>0</v>
      </c>
      <c r="W128" s="27">
        <v>0</v>
      </c>
      <c r="X128" s="27">
        <v>0</v>
      </c>
      <c r="Y128" s="27">
        <v>142050.57999999999</v>
      </c>
      <c r="Z128" s="27">
        <v>0</v>
      </c>
      <c r="AA128" s="27" t="s">
        <v>185</v>
      </c>
      <c r="AB128" s="27" t="s">
        <v>184</v>
      </c>
      <c r="AC128" s="27">
        <v>39232999</v>
      </c>
      <c r="AD128" s="27" t="s">
        <v>201</v>
      </c>
      <c r="AE128" s="27">
        <v>1</v>
      </c>
      <c r="AF128" s="27">
        <v>4066</v>
      </c>
      <c r="AG128" s="27" t="s">
        <v>202</v>
      </c>
    </row>
    <row r="129" spans="1:33" hidden="1" x14ac:dyDescent="0.25">
      <c r="A129" s="22"/>
      <c r="B129" s="26">
        <v>46250</v>
      </c>
      <c r="C129" s="27" t="s">
        <v>226</v>
      </c>
      <c r="D129" s="27" t="s">
        <v>199</v>
      </c>
      <c r="E129" s="27">
        <v>495</v>
      </c>
      <c r="F129" s="27" t="s">
        <v>324</v>
      </c>
      <c r="G129" s="27" t="s">
        <v>475</v>
      </c>
      <c r="H129" s="26">
        <v>46250</v>
      </c>
      <c r="I129" s="27" t="s">
        <v>188</v>
      </c>
      <c r="J129" s="27" t="s">
        <v>152</v>
      </c>
      <c r="K129" s="27" t="s">
        <v>152</v>
      </c>
      <c r="L129" s="27" t="s">
        <v>200</v>
      </c>
      <c r="M129" s="27" t="s">
        <v>187</v>
      </c>
      <c r="N129" s="27">
        <v>2906</v>
      </c>
      <c r="O129" s="27">
        <v>596805.22</v>
      </c>
      <c r="P129" s="27" t="s">
        <v>480</v>
      </c>
      <c r="Q129" s="27">
        <v>0</v>
      </c>
      <c r="R129" s="27">
        <v>9</v>
      </c>
      <c r="S129" s="27">
        <v>53712.47</v>
      </c>
      <c r="T129" s="27">
        <v>9</v>
      </c>
      <c r="U129" s="27">
        <v>53712.47</v>
      </c>
      <c r="V129" s="27">
        <v>0</v>
      </c>
      <c r="W129" s="27">
        <v>0</v>
      </c>
      <c r="X129" s="27">
        <v>0</v>
      </c>
      <c r="Y129" s="27">
        <v>107424.94</v>
      </c>
      <c r="Z129" s="27">
        <v>0</v>
      </c>
      <c r="AA129" s="27" t="s">
        <v>185</v>
      </c>
      <c r="AB129" s="27" t="s">
        <v>184</v>
      </c>
      <c r="AC129" s="27">
        <v>39232999</v>
      </c>
      <c r="AD129" s="27" t="s">
        <v>201</v>
      </c>
      <c r="AE129" s="27">
        <v>1</v>
      </c>
      <c r="AF129" s="27">
        <v>2906</v>
      </c>
      <c r="AG129" s="27" t="s">
        <v>202</v>
      </c>
    </row>
    <row r="130" spans="1:33" hidden="1" x14ac:dyDescent="0.25">
      <c r="A130" s="22"/>
      <c r="B130" s="26">
        <v>46250</v>
      </c>
      <c r="C130" s="27" t="s">
        <v>198</v>
      </c>
      <c r="D130" s="27" t="s">
        <v>199</v>
      </c>
      <c r="E130" s="27">
        <v>496</v>
      </c>
      <c r="F130" s="27" t="s">
        <v>324</v>
      </c>
      <c r="G130" s="27" t="s">
        <v>481</v>
      </c>
      <c r="H130" s="26">
        <v>46250</v>
      </c>
      <c r="I130" s="27" t="s">
        <v>169</v>
      </c>
      <c r="J130" s="27" t="s">
        <v>179</v>
      </c>
      <c r="K130" s="27" t="s">
        <v>156</v>
      </c>
      <c r="L130" s="27" t="s">
        <v>211</v>
      </c>
      <c r="M130" s="27" t="s">
        <v>178</v>
      </c>
      <c r="N130" s="27">
        <v>457</v>
      </c>
      <c r="O130" s="27">
        <v>63331.06</v>
      </c>
      <c r="P130" s="27" t="s">
        <v>391</v>
      </c>
      <c r="Q130" s="27">
        <v>271587.93</v>
      </c>
      <c r="R130" s="27">
        <v>9</v>
      </c>
      <c r="S130" s="27">
        <v>5699.8</v>
      </c>
      <c r="T130" s="27">
        <v>9</v>
      </c>
      <c r="U130" s="27">
        <v>5699.8</v>
      </c>
      <c r="V130" s="27">
        <v>0</v>
      </c>
      <c r="W130" s="27">
        <v>0</v>
      </c>
      <c r="X130" s="27">
        <v>0</v>
      </c>
      <c r="Y130" s="27">
        <v>11399.6</v>
      </c>
      <c r="Z130" s="27">
        <v>0</v>
      </c>
      <c r="AA130" s="27" t="s">
        <v>185</v>
      </c>
      <c r="AB130" s="27" t="s">
        <v>184</v>
      </c>
      <c r="AC130" s="27">
        <v>39269080</v>
      </c>
      <c r="AD130" s="27" t="s">
        <v>201</v>
      </c>
      <c r="AE130" s="27">
        <v>1</v>
      </c>
      <c r="AF130" s="27">
        <v>457</v>
      </c>
      <c r="AG130" s="27" t="s">
        <v>202</v>
      </c>
    </row>
    <row r="131" spans="1:33" hidden="1" x14ac:dyDescent="0.25">
      <c r="A131" s="22"/>
      <c r="B131" s="26">
        <v>46250</v>
      </c>
      <c r="C131" s="27" t="s">
        <v>198</v>
      </c>
      <c r="D131" s="27" t="s">
        <v>199</v>
      </c>
      <c r="E131" s="27">
        <v>496</v>
      </c>
      <c r="F131" s="27" t="s">
        <v>324</v>
      </c>
      <c r="G131" s="27" t="s">
        <v>481</v>
      </c>
      <c r="H131" s="26">
        <v>46250</v>
      </c>
      <c r="I131" s="27" t="s">
        <v>169</v>
      </c>
      <c r="J131" s="27" t="s">
        <v>179</v>
      </c>
      <c r="K131" s="27" t="s">
        <v>156</v>
      </c>
      <c r="L131" s="27" t="s">
        <v>211</v>
      </c>
      <c r="M131" s="27" t="s">
        <v>178</v>
      </c>
      <c r="N131" s="27">
        <v>680</v>
      </c>
      <c r="O131" s="27">
        <v>93554.4</v>
      </c>
      <c r="P131" s="27" t="s">
        <v>482</v>
      </c>
      <c r="Q131" s="27">
        <v>0</v>
      </c>
      <c r="R131" s="27">
        <v>9</v>
      </c>
      <c r="S131" s="27">
        <v>8419.9</v>
      </c>
      <c r="T131" s="27">
        <v>9</v>
      </c>
      <c r="U131" s="27">
        <v>8419.9</v>
      </c>
      <c r="V131" s="27">
        <v>0</v>
      </c>
      <c r="W131" s="27">
        <v>0</v>
      </c>
      <c r="X131" s="27">
        <v>0</v>
      </c>
      <c r="Y131" s="27">
        <v>16839.8</v>
      </c>
      <c r="Z131" s="27">
        <v>0</v>
      </c>
      <c r="AA131" s="27" t="s">
        <v>185</v>
      </c>
      <c r="AB131" s="27" t="s">
        <v>184</v>
      </c>
      <c r="AC131" s="27">
        <v>39269080</v>
      </c>
      <c r="AD131" s="27" t="s">
        <v>201</v>
      </c>
      <c r="AE131" s="27">
        <v>1</v>
      </c>
      <c r="AF131" s="27">
        <v>680</v>
      </c>
      <c r="AG131" s="27" t="s">
        <v>202</v>
      </c>
    </row>
    <row r="132" spans="1:33" hidden="1" x14ac:dyDescent="0.25">
      <c r="A132" s="22"/>
      <c r="B132" s="26">
        <v>46250</v>
      </c>
      <c r="C132" s="27" t="s">
        <v>198</v>
      </c>
      <c r="D132" s="27" t="s">
        <v>199</v>
      </c>
      <c r="E132" s="27">
        <v>496</v>
      </c>
      <c r="F132" s="27" t="s">
        <v>324</v>
      </c>
      <c r="G132" s="27" t="s">
        <v>481</v>
      </c>
      <c r="H132" s="26">
        <v>46250</v>
      </c>
      <c r="I132" s="27" t="s">
        <v>188</v>
      </c>
      <c r="J132" s="27" t="s">
        <v>153</v>
      </c>
      <c r="K132" s="27" t="s">
        <v>153</v>
      </c>
      <c r="L132" s="27" t="s">
        <v>203</v>
      </c>
      <c r="M132" s="27" t="s">
        <v>153</v>
      </c>
      <c r="N132" s="38">
        <v>550</v>
      </c>
      <c r="O132" s="27">
        <v>73469</v>
      </c>
      <c r="P132" s="27" t="s">
        <v>483</v>
      </c>
      <c r="Q132" s="27">
        <v>0</v>
      </c>
      <c r="R132" s="27">
        <v>9</v>
      </c>
      <c r="S132" s="27">
        <v>6612.21</v>
      </c>
      <c r="T132" s="27">
        <v>9</v>
      </c>
      <c r="U132" s="27">
        <v>6612.21</v>
      </c>
      <c r="V132" s="27">
        <v>0</v>
      </c>
      <c r="W132" s="27">
        <v>0</v>
      </c>
      <c r="X132" s="27">
        <v>0</v>
      </c>
      <c r="Y132" s="27">
        <v>13224.42</v>
      </c>
      <c r="Z132" s="27">
        <v>0</v>
      </c>
      <c r="AA132" s="27" t="s">
        <v>185</v>
      </c>
      <c r="AB132" s="27" t="s">
        <v>184</v>
      </c>
      <c r="AC132" s="27">
        <v>39269080</v>
      </c>
      <c r="AD132" s="27" t="s">
        <v>201</v>
      </c>
      <c r="AE132" s="27">
        <v>1</v>
      </c>
      <c r="AF132" s="27">
        <v>550</v>
      </c>
      <c r="AG132" s="27" t="s">
        <v>202</v>
      </c>
    </row>
    <row r="133" spans="1:33" hidden="1" x14ac:dyDescent="0.25">
      <c r="A133" s="22"/>
      <c r="B133" s="28">
        <v>46250</v>
      </c>
      <c r="C133" s="29" t="s">
        <v>212</v>
      </c>
      <c r="D133" s="29" t="s">
        <v>199</v>
      </c>
      <c r="E133" s="29">
        <v>494</v>
      </c>
      <c r="F133" s="29" t="s">
        <v>324</v>
      </c>
      <c r="G133" s="29" t="s">
        <v>484</v>
      </c>
      <c r="H133" s="28">
        <v>46250</v>
      </c>
      <c r="I133" s="29" t="s">
        <v>188</v>
      </c>
      <c r="J133" s="29" t="s">
        <v>152</v>
      </c>
      <c r="K133" s="29" t="s">
        <v>152</v>
      </c>
      <c r="L133" s="29" t="s">
        <v>200</v>
      </c>
      <c r="M133" s="29" t="s">
        <v>191</v>
      </c>
      <c r="N133" s="29">
        <v>16414.900000000001</v>
      </c>
      <c r="O133" s="29">
        <v>3707633.46</v>
      </c>
      <c r="P133" s="29" t="s">
        <v>485</v>
      </c>
      <c r="Q133" s="29">
        <v>5266601.37</v>
      </c>
      <c r="R133" s="29">
        <v>9</v>
      </c>
      <c r="S133" s="29">
        <v>333687.01</v>
      </c>
      <c r="T133" s="29">
        <v>9</v>
      </c>
      <c r="U133" s="29">
        <v>333687.01</v>
      </c>
      <c r="V133" s="29">
        <v>0</v>
      </c>
      <c r="W133" s="29">
        <v>0</v>
      </c>
      <c r="X133" s="29">
        <v>0</v>
      </c>
      <c r="Y133" s="29">
        <v>667374.02</v>
      </c>
      <c r="Z133" s="29">
        <v>0</v>
      </c>
      <c r="AA133" s="29" t="s">
        <v>176</v>
      </c>
      <c r="AB133" s="29" t="s">
        <v>184</v>
      </c>
      <c r="AC133" s="29">
        <v>39232999</v>
      </c>
      <c r="AD133" s="29" t="s">
        <v>201</v>
      </c>
      <c r="AE133" s="29">
        <v>1</v>
      </c>
      <c r="AF133" s="29">
        <v>16414.900000000001</v>
      </c>
      <c r="AG133" s="29" t="s">
        <v>202</v>
      </c>
    </row>
    <row r="134" spans="1:33" hidden="1" x14ac:dyDescent="0.25">
      <c r="A134" s="22"/>
      <c r="B134" s="26">
        <v>46250</v>
      </c>
      <c r="C134" s="27" t="s">
        <v>212</v>
      </c>
      <c r="D134" s="27" t="s">
        <v>199</v>
      </c>
      <c r="E134" s="27">
        <v>494</v>
      </c>
      <c r="F134" s="27" t="s">
        <v>324</v>
      </c>
      <c r="G134" s="27" t="s">
        <v>484</v>
      </c>
      <c r="H134" s="26">
        <v>46250</v>
      </c>
      <c r="I134" s="27" t="s">
        <v>188</v>
      </c>
      <c r="J134" s="27" t="s">
        <v>152</v>
      </c>
      <c r="K134" s="27" t="s">
        <v>152</v>
      </c>
      <c r="L134" s="27" t="s">
        <v>200</v>
      </c>
      <c r="M134" s="27" t="s">
        <v>191</v>
      </c>
      <c r="N134" s="27">
        <v>771</v>
      </c>
      <c r="O134" s="27">
        <v>173968.44</v>
      </c>
      <c r="P134" s="27" t="s">
        <v>295</v>
      </c>
      <c r="Q134" s="27">
        <v>0</v>
      </c>
      <c r="R134" s="27">
        <v>9</v>
      </c>
      <c r="S134" s="27">
        <v>15657.16</v>
      </c>
      <c r="T134" s="27">
        <v>9</v>
      </c>
      <c r="U134" s="27">
        <v>15657.16</v>
      </c>
      <c r="V134" s="27">
        <v>0</v>
      </c>
      <c r="W134" s="27">
        <v>0</v>
      </c>
      <c r="X134" s="27">
        <v>0</v>
      </c>
      <c r="Y134" s="27">
        <v>31314.32</v>
      </c>
      <c r="Z134" s="27">
        <v>0</v>
      </c>
      <c r="AA134" s="27" t="s">
        <v>176</v>
      </c>
      <c r="AB134" s="27" t="s">
        <v>184</v>
      </c>
      <c r="AC134" s="27">
        <v>39232999</v>
      </c>
      <c r="AD134" s="27" t="s">
        <v>201</v>
      </c>
      <c r="AE134" s="27">
        <v>1</v>
      </c>
      <c r="AF134" s="27">
        <v>771</v>
      </c>
      <c r="AG134" s="27" t="s">
        <v>202</v>
      </c>
    </row>
    <row r="135" spans="1:33" hidden="1" x14ac:dyDescent="0.25">
      <c r="A135" s="22"/>
      <c r="B135" s="26">
        <v>46250</v>
      </c>
      <c r="C135" s="27" t="s">
        <v>212</v>
      </c>
      <c r="D135" s="27" t="s">
        <v>199</v>
      </c>
      <c r="E135" s="27">
        <v>494</v>
      </c>
      <c r="F135" s="27" t="s">
        <v>324</v>
      </c>
      <c r="G135" s="27" t="s">
        <v>484</v>
      </c>
      <c r="H135" s="26">
        <v>46250</v>
      </c>
      <c r="I135" s="27" t="s">
        <v>188</v>
      </c>
      <c r="J135" s="27" t="s">
        <v>152</v>
      </c>
      <c r="K135" s="27" t="s">
        <v>152</v>
      </c>
      <c r="L135" s="27" t="s">
        <v>200</v>
      </c>
      <c r="M135" s="27" t="s">
        <v>187</v>
      </c>
      <c r="N135" s="27">
        <v>2584</v>
      </c>
      <c r="O135" s="27">
        <v>585405.19999999995</v>
      </c>
      <c r="P135" s="27" t="s">
        <v>486</v>
      </c>
      <c r="Q135" s="27">
        <v>0</v>
      </c>
      <c r="R135" s="27">
        <v>9</v>
      </c>
      <c r="S135" s="27">
        <v>52686.47</v>
      </c>
      <c r="T135" s="27">
        <v>9</v>
      </c>
      <c r="U135" s="27">
        <v>52686.47</v>
      </c>
      <c r="V135" s="27">
        <v>0</v>
      </c>
      <c r="W135" s="27">
        <v>0</v>
      </c>
      <c r="X135" s="27">
        <v>0</v>
      </c>
      <c r="Y135" s="27">
        <v>105372.94</v>
      </c>
      <c r="Z135" s="27">
        <v>0</v>
      </c>
      <c r="AA135" s="27" t="s">
        <v>176</v>
      </c>
      <c r="AB135" s="27" t="s">
        <v>184</v>
      </c>
      <c r="AC135" s="27">
        <v>39232999</v>
      </c>
      <c r="AD135" s="27" t="s">
        <v>201</v>
      </c>
      <c r="AE135" s="27">
        <v>1</v>
      </c>
      <c r="AF135" s="27">
        <v>2584</v>
      </c>
      <c r="AG135" s="27" t="s">
        <v>202</v>
      </c>
    </row>
    <row r="136" spans="1:33" hidden="1" x14ac:dyDescent="0.25">
      <c r="A136" s="22"/>
      <c r="B136" s="26">
        <v>46250</v>
      </c>
      <c r="C136" s="27" t="s">
        <v>212</v>
      </c>
      <c r="D136" s="27" t="s">
        <v>199</v>
      </c>
      <c r="E136" s="27">
        <v>498</v>
      </c>
      <c r="F136" s="27" t="s">
        <v>223</v>
      </c>
      <c r="G136" s="27" t="s">
        <v>487</v>
      </c>
      <c r="H136" s="26">
        <v>46250</v>
      </c>
      <c r="I136" s="27" t="s">
        <v>169</v>
      </c>
      <c r="J136" s="27" t="s">
        <v>197</v>
      </c>
      <c r="K136" s="27" t="s">
        <v>158</v>
      </c>
      <c r="L136" s="27" t="s">
        <v>213</v>
      </c>
      <c r="M136" s="27" t="s">
        <v>196</v>
      </c>
      <c r="N136" s="27">
        <v>4</v>
      </c>
      <c r="O136" s="27">
        <v>988</v>
      </c>
      <c r="P136" s="27" t="s">
        <v>196</v>
      </c>
      <c r="Q136" s="27">
        <v>1164.8499999999999</v>
      </c>
      <c r="R136" s="27">
        <v>9</v>
      </c>
      <c r="S136" s="27">
        <v>88.92</v>
      </c>
      <c r="T136" s="27">
        <v>9</v>
      </c>
      <c r="U136" s="27">
        <v>88.92</v>
      </c>
      <c r="V136" s="27">
        <v>0</v>
      </c>
      <c r="W136" s="27">
        <v>0</v>
      </c>
      <c r="X136" s="27">
        <v>0</v>
      </c>
      <c r="Y136" s="27">
        <v>177.84</v>
      </c>
      <c r="Z136" s="27">
        <v>0</v>
      </c>
      <c r="AA136" s="27" t="s">
        <v>176</v>
      </c>
      <c r="AB136" s="27" t="s">
        <v>184</v>
      </c>
      <c r="AC136" s="27">
        <v>39201019</v>
      </c>
      <c r="AD136" s="27" t="s">
        <v>201</v>
      </c>
      <c r="AE136" s="27">
        <v>1</v>
      </c>
      <c r="AF136" s="27">
        <v>4</v>
      </c>
      <c r="AG136" s="27" t="s">
        <v>202</v>
      </c>
    </row>
    <row r="137" spans="1:33" hidden="1" x14ac:dyDescent="0.25">
      <c r="A137" s="22"/>
      <c r="B137" s="26">
        <v>46251</v>
      </c>
      <c r="C137" s="27" t="s">
        <v>198</v>
      </c>
      <c r="D137" s="27" t="s">
        <v>199</v>
      </c>
      <c r="E137" s="27">
        <v>499</v>
      </c>
      <c r="F137" s="27" t="s">
        <v>324</v>
      </c>
      <c r="G137" s="27" t="s">
        <v>488</v>
      </c>
      <c r="H137" s="26">
        <v>46251</v>
      </c>
      <c r="I137" s="27" t="s">
        <v>188</v>
      </c>
      <c r="J137" s="27" t="s">
        <v>152</v>
      </c>
      <c r="K137" s="27" t="s">
        <v>152</v>
      </c>
      <c r="L137" s="27" t="s">
        <v>200</v>
      </c>
      <c r="M137" s="27" t="s">
        <v>187</v>
      </c>
      <c r="N137" s="27">
        <v>9169</v>
      </c>
      <c r="O137" s="27">
        <v>1900825.39</v>
      </c>
      <c r="P137" s="27" t="s">
        <v>489</v>
      </c>
      <c r="Q137" s="27">
        <v>2241073.14</v>
      </c>
      <c r="R137" s="27">
        <v>9</v>
      </c>
      <c r="S137" s="27">
        <v>171074.29</v>
      </c>
      <c r="T137" s="27">
        <v>9</v>
      </c>
      <c r="U137" s="27">
        <v>171074.29</v>
      </c>
      <c r="V137" s="27">
        <v>0</v>
      </c>
      <c r="W137" s="27">
        <v>0</v>
      </c>
      <c r="X137" s="27">
        <v>0</v>
      </c>
      <c r="Y137" s="27">
        <v>342148.58</v>
      </c>
      <c r="Z137" s="27">
        <v>0</v>
      </c>
      <c r="AA137" s="27" t="s">
        <v>185</v>
      </c>
      <c r="AB137" s="27" t="s">
        <v>184</v>
      </c>
      <c r="AC137" s="27">
        <v>39232999</v>
      </c>
      <c r="AD137" s="27" t="s">
        <v>201</v>
      </c>
      <c r="AE137" s="27">
        <v>1</v>
      </c>
      <c r="AF137" s="27">
        <v>9169</v>
      </c>
      <c r="AG137" s="27" t="s">
        <v>202</v>
      </c>
    </row>
    <row r="138" spans="1:33" hidden="1" x14ac:dyDescent="0.25">
      <c r="A138" s="22"/>
      <c r="B138" s="26">
        <v>46251</v>
      </c>
      <c r="C138" s="27" t="s">
        <v>212</v>
      </c>
      <c r="D138" s="27" t="s">
        <v>199</v>
      </c>
      <c r="E138" s="27">
        <v>501</v>
      </c>
      <c r="F138" s="27" t="s">
        <v>490</v>
      </c>
      <c r="G138" s="27" t="s">
        <v>491</v>
      </c>
      <c r="H138" s="26">
        <v>46251</v>
      </c>
      <c r="I138" s="27" t="s">
        <v>169</v>
      </c>
      <c r="J138" s="27" t="s">
        <v>277</v>
      </c>
      <c r="K138" s="27" t="s">
        <v>277</v>
      </c>
      <c r="L138" s="27" t="s">
        <v>278</v>
      </c>
      <c r="M138" s="27" t="s">
        <v>279</v>
      </c>
      <c r="N138" s="27">
        <v>1590</v>
      </c>
      <c r="O138" s="27">
        <v>39750</v>
      </c>
      <c r="P138" s="27" t="s">
        <v>492</v>
      </c>
      <c r="Q138" s="27">
        <v>47843.1</v>
      </c>
      <c r="R138" s="27">
        <v>9</v>
      </c>
      <c r="S138" s="27">
        <v>3577.5</v>
      </c>
      <c r="T138" s="27">
        <v>9</v>
      </c>
      <c r="U138" s="27">
        <v>3577.5</v>
      </c>
      <c r="V138" s="27">
        <v>0</v>
      </c>
      <c r="W138" s="27">
        <v>0</v>
      </c>
      <c r="X138" s="27">
        <v>0</v>
      </c>
      <c r="Y138" s="27">
        <v>7155</v>
      </c>
      <c r="Z138" s="27">
        <v>938.1</v>
      </c>
      <c r="AA138" s="27" t="s">
        <v>176</v>
      </c>
      <c r="AB138" s="27" t="s">
        <v>184</v>
      </c>
      <c r="AC138" s="27">
        <v>39159029</v>
      </c>
      <c r="AD138" s="27" t="s">
        <v>201</v>
      </c>
      <c r="AE138" s="27">
        <v>1</v>
      </c>
      <c r="AF138" s="27">
        <v>1590</v>
      </c>
      <c r="AG138" s="27" t="s">
        <v>202</v>
      </c>
    </row>
    <row r="139" spans="1:33" hidden="1" x14ac:dyDescent="0.25">
      <c r="A139" s="22"/>
      <c r="B139" s="26">
        <v>46252</v>
      </c>
      <c r="C139" s="27" t="s">
        <v>204</v>
      </c>
      <c r="D139" s="27" t="s">
        <v>205</v>
      </c>
      <c r="E139" s="27" t="s">
        <v>493</v>
      </c>
      <c r="F139" s="27" t="s">
        <v>206</v>
      </c>
      <c r="G139" s="27" t="s">
        <v>493</v>
      </c>
      <c r="H139" s="26">
        <v>46252</v>
      </c>
      <c r="I139" s="27" t="s">
        <v>188</v>
      </c>
      <c r="J139" s="27" t="s">
        <v>152</v>
      </c>
      <c r="K139" s="27" t="s">
        <v>162</v>
      </c>
      <c r="L139" s="27" t="s">
        <v>200</v>
      </c>
      <c r="M139" s="27" t="s">
        <v>187</v>
      </c>
      <c r="N139" s="27">
        <v>9358</v>
      </c>
      <c r="O139" s="27">
        <v>1751817.5999999999</v>
      </c>
      <c r="P139" s="27" t="s">
        <v>207</v>
      </c>
      <c r="Q139" s="27">
        <v>1750065.78</v>
      </c>
      <c r="R139" s="27">
        <v>0</v>
      </c>
      <c r="S139" s="27">
        <v>0</v>
      </c>
      <c r="T139" s="27">
        <v>0</v>
      </c>
      <c r="U139" s="27">
        <v>0</v>
      </c>
      <c r="V139" s="27">
        <v>0</v>
      </c>
      <c r="W139" s="27">
        <v>0</v>
      </c>
      <c r="X139" s="27">
        <v>0</v>
      </c>
      <c r="Y139" s="27">
        <v>0</v>
      </c>
      <c r="Z139" s="27">
        <v>0</v>
      </c>
      <c r="AA139" s="27" t="s">
        <v>208</v>
      </c>
      <c r="AB139" s="27" t="s">
        <v>184</v>
      </c>
      <c r="AC139" s="27">
        <v>63053200</v>
      </c>
      <c r="AD139" s="27" t="s">
        <v>209</v>
      </c>
      <c r="AE139" s="27">
        <v>93.6</v>
      </c>
      <c r="AF139" s="27">
        <v>9358</v>
      </c>
      <c r="AG139" s="27" t="s">
        <v>202</v>
      </c>
    </row>
    <row r="140" spans="1:33" hidden="1" x14ac:dyDescent="0.25">
      <c r="A140" s="22"/>
      <c r="B140" s="26">
        <v>46252</v>
      </c>
      <c r="C140" s="27" t="s">
        <v>204</v>
      </c>
      <c r="D140" s="27" t="s">
        <v>205</v>
      </c>
      <c r="E140" s="27" t="s">
        <v>494</v>
      </c>
      <c r="F140" s="27" t="s">
        <v>206</v>
      </c>
      <c r="G140" s="27" t="s">
        <v>494</v>
      </c>
      <c r="H140" s="26">
        <v>46252</v>
      </c>
      <c r="I140" s="27" t="s">
        <v>188</v>
      </c>
      <c r="J140" s="27" t="s">
        <v>152</v>
      </c>
      <c r="K140" s="27" t="s">
        <v>162</v>
      </c>
      <c r="L140" s="27" t="s">
        <v>200</v>
      </c>
      <c r="M140" s="27" t="s">
        <v>191</v>
      </c>
      <c r="N140" s="27">
        <v>4676</v>
      </c>
      <c r="O140" s="27">
        <v>875347.2</v>
      </c>
      <c r="P140" s="27" t="s">
        <v>495</v>
      </c>
      <c r="Q140" s="27">
        <v>1167894.94</v>
      </c>
      <c r="R140" s="27">
        <v>0</v>
      </c>
      <c r="S140" s="27">
        <v>0</v>
      </c>
      <c r="T140" s="27">
        <v>0</v>
      </c>
      <c r="U140" s="27">
        <v>0</v>
      </c>
      <c r="V140" s="27">
        <v>0</v>
      </c>
      <c r="W140" s="27">
        <v>0</v>
      </c>
      <c r="X140" s="27">
        <v>0</v>
      </c>
      <c r="Y140" s="27">
        <v>0</v>
      </c>
      <c r="Z140" s="27">
        <v>0</v>
      </c>
      <c r="AA140" s="27" t="s">
        <v>208</v>
      </c>
      <c r="AB140" s="27" t="s">
        <v>184</v>
      </c>
      <c r="AC140" s="27">
        <v>63053200</v>
      </c>
      <c r="AD140" s="27" t="s">
        <v>209</v>
      </c>
      <c r="AE140" s="27">
        <v>93.6</v>
      </c>
      <c r="AF140" s="27">
        <v>4676</v>
      </c>
      <c r="AG140" s="27" t="s">
        <v>202</v>
      </c>
    </row>
    <row r="141" spans="1:33" hidden="1" x14ac:dyDescent="0.25">
      <c r="A141" s="22"/>
      <c r="B141" s="26">
        <v>46252</v>
      </c>
      <c r="C141" s="27" t="s">
        <v>204</v>
      </c>
      <c r="D141" s="27" t="s">
        <v>205</v>
      </c>
      <c r="E141" s="27" t="s">
        <v>494</v>
      </c>
      <c r="F141" s="27" t="s">
        <v>206</v>
      </c>
      <c r="G141" s="27" t="s">
        <v>494</v>
      </c>
      <c r="H141" s="26">
        <v>46252</v>
      </c>
      <c r="I141" s="27" t="s">
        <v>188</v>
      </c>
      <c r="J141" s="27" t="s">
        <v>152</v>
      </c>
      <c r="K141" s="27" t="s">
        <v>162</v>
      </c>
      <c r="L141" s="27" t="s">
        <v>200</v>
      </c>
      <c r="M141" s="27" t="s">
        <v>187</v>
      </c>
      <c r="N141" s="27">
        <v>1569</v>
      </c>
      <c r="O141" s="27">
        <v>293716.8</v>
      </c>
      <c r="P141" s="27" t="s">
        <v>495</v>
      </c>
      <c r="Q141" s="27">
        <v>0</v>
      </c>
      <c r="R141" s="27">
        <v>0</v>
      </c>
      <c r="S141" s="27">
        <v>0</v>
      </c>
      <c r="T141" s="27">
        <v>0</v>
      </c>
      <c r="U141" s="27">
        <v>0</v>
      </c>
      <c r="V141" s="27">
        <v>0</v>
      </c>
      <c r="W141" s="27">
        <v>0</v>
      </c>
      <c r="X141" s="27">
        <v>0</v>
      </c>
      <c r="Y141" s="27">
        <v>0</v>
      </c>
      <c r="Z141" s="27">
        <v>0</v>
      </c>
      <c r="AA141" s="27" t="s">
        <v>208</v>
      </c>
      <c r="AB141" s="27" t="s">
        <v>184</v>
      </c>
      <c r="AC141" s="27">
        <v>63053200</v>
      </c>
      <c r="AD141" s="27" t="s">
        <v>209</v>
      </c>
      <c r="AE141" s="27">
        <v>93.6</v>
      </c>
      <c r="AF141" s="27">
        <v>1569</v>
      </c>
      <c r="AG141" s="27" t="s">
        <v>202</v>
      </c>
    </row>
    <row r="142" spans="1:33" x14ac:dyDescent="0.25">
      <c r="A142" s="22"/>
      <c r="B142" s="26">
        <v>46252</v>
      </c>
      <c r="C142" s="27" t="s">
        <v>268</v>
      </c>
      <c r="D142" s="27" t="s">
        <v>222</v>
      </c>
      <c r="E142" s="27" t="s">
        <v>496</v>
      </c>
      <c r="F142" s="27" t="s">
        <v>206</v>
      </c>
      <c r="G142" s="27" t="s">
        <v>496</v>
      </c>
      <c r="H142" s="26">
        <v>46252</v>
      </c>
      <c r="I142" s="27" t="s">
        <v>169</v>
      </c>
      <c r="J142" s="27" t="s">
        <v>170</v>
      </c>
      <c r="K142" s="27" t="s">
        <v>157</v>
      </c>
      <c r="L142" s="27" t="s">
        <v>276</v>
      </c>
      <c r="M142" s="27" t="s">
        <v>274</v>
      </c>
      <c r="N142" s="27">
        <v>760</v>
      </c>
      <c r="O142" s="27">
        <v>130720</v>
      </c>
      <c r="P142" s="27" t="s">
        <v>274</v>
      </c>
      <c r="Q142" s="27">
        <v>130589.28</v>
      </c>
      <c r="R142" s="27"/>
      <c r="S142" s="27">
        <v>0</v>
      </c>
      <c r="T142" s="27"/>
      <c r="U142" s="27">
        <v>0</v>
      </c>
      <c r="V142" s="27"/>
      <c r="W142" s="27">
        <v>0</v>
      </c>
      <c r="X142" s="27">
        <v>0</v>
      </c>
      <c r="Y142" s="27">
        <v>0</v>
      </c>
      <c r="Z142" s="27">
        <v>0</v>
      </c>
      <c r="AA142" s="27" t="s">
        <v>269</v>
      </c>
      <c r="AB142" s="27" t="s">
        <v>184</v>
      </c>
      <c r="AC142" s="27">
        <v>540263</v>
      </c>
      <c r="AD142" s="27" t="s">
        <v>201</v>
      </c>
      <c r="AE142" s="27">
        <v>1</v>
      </c>
      <c r="AF142" s="27">
        <v>760</v>
      </c>
      <c r="AG142" s="27" t="s">
        <v>202</v>
      </c>
    </row>
    <row r="143" spans="1:33" hidden="1" x14ac:dyDescent="0.25">
      <c r="A143" s="22"/>
      <c r="B143" s="26">
        <v>46252</v>
      </c>
      <c r="C143" s="27" t="s">
        <v>212</v>
      </c>
      <c r="D143" s="27" t="s">
        <v>199</v>
      </c>
      <c r="E143" s="27">
        <v>502</v>
      </c>
      <c r="F143" s="27" t="s">
        <v>324</v>
      </c>
      <c r="G143" s="27" t="s">
        <v>497</v>
      </c>
      <c r="H143" s="26">
        <v>46252</v>
      </c>
      <c r="I143" s="27" t="s">
        <v>188</v>
      </c>
      <c r="J143" s="27" t="s">
        <v>153</v>
      </c>
      <c r="K143" s="27" t="s">
        <v>153</v>
      </c>
      <c r="L143" s="27" t="s">
        <v>203</v>
      </c>
      <c r="M143" s="27" t="s">
        <v>153</v>
      </c>
      <c r="N143" s="38">
        <v>232</v>
      </c>
      <c r="O143" s="27">
        <v>26350.560000000001</v>
      </c>
      <c r="P143" s="27" t="s">
        <v>498</v>
      </c>
      <c r="Q143" s="27">
        <v>31067.31</v>
      </c>
      <c r="R143" s="27">
        <v>9</v>
      </c>
      <c r="S143" s="27">
        <v>2371.5500000000002</v>
      </c>
      <c r="T143" s="27">
        <v>9</v>
      </c>
      <c r="U143" s="27">
        <v>2371.5500000000002</v>
      </c>
      <c r="V143" s="27">
        <v>0</v>
      </c>
      <c r="W143" s="27">
        <v>0</v>
      </c>
      <c r="X143" s="27">
        <v>0</v>
      </c>
      <c r="Y143" s="27">
        <v>4743.1000000000004</v>
      </c>
      <c r="Z143" s="27">
        <v>0</v>
      </c>
      <c r="AA143" s="27" t="s">
        <v>176</v>
      </c>
      <c r="AB143" s="27" t="s">
        <v>184</v>
      </c>
      <c r="AC143" s="27">
        <v>39269080</v>
      </c>
      <c r="AD143" s="27" t="s">
        <v>201</v>
      </c>
      <c r="AE143" s="27">
        <v>1</v>
      </c>
      <c r="AF143" s="27">
        <v>232</v>
      </c>
      <c r="AG143" s="27" t="s">
        <v>202</v>
      </c>
    </row>
    <row r="144" spans="1:33" hidden="1" x14ac:dyDescent="0.25">
      <c r="A144" s="22"/>
      <c r="B144" s="26">
        <v>46252</v>
      </c>
      <c r="C144" s="27" t="s">
        <v>212</v>
      </c>
      <c r="D144" s="27" t="s">
        <v>199</v>
      </c>
      <c r="E144" s="27">
        <v>504</v>
      </c>
      <c r="F144" s="27" t="s">
        <v>324</v>
      </c>
      <c r="G144" s="27" t="s">
        <v>499</v>
      </c>
      <c r="H144" s="26">
        <v>46252</v>
      </c>
      <c r="I144" s="27" t="s">
        <v>169</v>
      </c>
      <c r="J144" s="27" t="s">
        <v>197</v>
      </c>
      <c r="K144" s="27" t="s">
        <v>158</v>
      </c>
      <c r="L144" s="27" t="s">
        <v>213</v>
      </c>
      <c r="M144" s="27" t="s">
        <v>196</v>
      </c>
      <c r="N144" s="27">
        <v>9.8000000000000007</v>
      </c>
      <c r="O144" s="27">
        <v>2548</v>
      </c>
      <c r="P144" s="27" t="s">
        <v>196</v>
      </c>
      <c r="Q144" s="27">
        <v>6925.35</v>
      </c>
      <c r="R144" s="27">
        <v>9</v>
      </c>
      <c r="S144" s="27">
        <v>229.32</v>
      </c>
      <c r="T144" s="27">
        <v>9</v>
      </c>
      <c r="U144" s="27">
        <v>229.32</v>
      </c>
      <c r="V144" s="27">
        <v>0</v>
      </c>
      <c r="W144" s="27">
        <v>0</v>
      </c>
      <c r="X144" s="27">
        <v>0</v>
      </c>
      <c r="Y144" s="27">
        <v>458.64</v>
      </c>
      <c r="Z144" s="27">
        <v>0</v>
      </c>
      <c r="AA144" s="27" t="s">
        <v>176</v>
      </c>
      <c r="AB144" s="27" t="s">
        <v>184</v>
      </c>
      <c r="AC144" s="27">
        <v>39201019</v>
      </c>
      <c r="AD144" s="27" t="s">
        <v>201</v>
      </c>
      <c r="AE144" s="27">
        <v>1</v>
      </c>
      <c r="AF144" s="27">
        <v>9.8000000000000007</v>
      </c>
      <c r="AG144" s="27" t="s">
        <v>202</v>
      </c>
    </row>
    <row r="145" spans="1:33" x14ac:dyDescent="0.25">
      <c r="A145" s="22"/>
      <c r="B145" s="26">
        <v>46252</v>
      </c>
      <c r="C145" s="27" t="s">
        <v>212</v>
      </c>
      <c r="D145" s="27" t="s">
        <v>199</v>
      </c>
      <c r="E145" s="27">
        <v>504</v>
      </c>
      <c r="F145" s="27" t="s">
        <v>324</v>
      </c>
      <c r="G145" s="27" t="s">
        <v>499</v>
      </c>
      <c r="H145" s="26">
        <v>46252</v>
      </c>
      <c r="I145" s="27" t="s">
        <v>169</v>
      </c>
      <c r="J145" s="27" t="s">
        <v>181</v>
      </c>
      <c r="K145" s="27" t="s">
        <v>154</v>
      </c>
      <c r="L145" s="27" t="s">
        <v>154</v>
      </c>
      <c r="M145" s="27" t="s">
        <v>181</v>
      </c>
      <c r="N145" s="27">
        <v>24</v>
      </c>
      <c r="O145" s="27">
        <v>3325.92</v>
      </c>
      <c r="P145" s="27" t="s">
        <v>500</v>
      </c>
      <c r="Q145" s="27">
        <v>0</v>
      </c>
      <c r="R145" s="27">
        <v>9</v>
      </c>
      <c r="S145" s="27">
        <v>299.33</v>
      </c>
      <c r="T145" s="27">
        <v>9</v>
      </c>
      <c r="U145" s="27">
        <v>299.33</v>
      </c>
      <c r="V145" s="27">
        <v>0</v>
      </c>
      <c r="W145" s="27">
        <v>0</v>
      </c>
      <c r="X145" s="27">
        <v>0</v>
      </c>
      <c r="Y145" s="27">
        <v>598.66</v>
      </c>
      <c r="Z145" s="27">
        <v>0</v>
      </c>
      <c r="AA145" s="27" t="s">
        <v>176</v>
      </c>
      <c r="AB145" s="27" t="s">
        <v>184</v>
      </c>
      <c r="AC145" s="27">
        <v>39269080</v>
      </c>
      <c r="AD145" s="27" t="s">
        <v>201</v>
      </c>
      <c r="AE145" s="27">
        <v>1</v>
      </c>
      <c r="AF145" s="27">
        <v>24</v>
      </c>
      <c r="AG145" s="27" t="s">
        <v>202</v>
      </c>
    </row>
    <row r="146" spans="1:33" hidden="1" x14ac:dyDescent="0.25">
      <c r="A146" s="22"/>
      <c r="B146" s="26">
        <v>46252</v>
      </c>
      <c r="C146" s="27" t="s">
        <v>212</v>
      </c>
      <c r="D146" s="27" t="s">
        <v>199</v>
      </c>
      <c r="E146" s="27">
        <v>506</v>
      </c>
      <c r="F146" s="27" t="s">
        <v>324</v>
      </c>
      <c r="G146" s="27" t="s">
        <v>501</v>
      </c>
      <c r="H146" s="26">
        <v>46252</v>
      </c>
      <c r="I146" s="27" t="s">
        <v>169</v>
      </c>
      <c r="J146" s="27" t="s">
        <v>179</v>
      </c>
      <c r="K146" s="27" t="s">
        <v>156</v>
      </c>
      <c r="L146" s="27" t="s">
        <v>211</v>
      </c>
      <c r="M146" s="27" t="s">
        <v>178</v>
      </c>
      <c r="N146" s="27">
        <v>2330</v>
      </c>
      <c r="O146" s="27">
        <v>315901.40000000002</v>
      </c>
      <c r="P146" s="27" t="s">
        <v>363</v>
      </c>
      <c r="Q146" s="27">
        <v>372447.76</v>
      </c>
      <c r="R146" s="27">
        <v>9</v>
      </c>
      <c r="S146" s="27">
        <v>28431.13</v>
      </c>
      <c r="T146" s="27">
        <v>9</v>
      </c>
      <c r="U146" s="27">
        <v>28431.13</v>
      </c>
      <c r="V146" s="27">
        <v>0</v>
      </c>
      <c r="W146" s="27">
        <v>0</v>
      </c>
      <c r="X146" s="27">
        <v>0</v>
      </c>
      <c r="Y146" s="27">
        <v>56862.26</v>
      </c>
      <c r="Z146" s="27">
        <v>0</v>
      </c>
      <c r="AA146" s="27" t="s">
        <v>176</v>
      </c>
      <c r="AB146" s="27" t="s">
        <v>184</v>
      </c>
      <c r="AC146" s="27">
        <v>39269080</v>
      </c>
      <c r="AD146" s="27" t="s">
        <v>201</v>
      </c>
      <c r="AE146" s="27">
        <v>1</v>
      </c>
      <c r="AF146" s="27">
        <v>2330</v>
      </c>
      <c r="AG146" s="27" t="s">
        <v>202</v>
      </c>
    </row>
    <row r="147" spans="1:33" x14ac:dyDescent="0.25">
      <c r="A147" s="22"/>
      <c r="B147" s="26">
        <v>46252</v>
      </c>
      <c r="C147" s="27" t="s">
        <v>212</v>
      </c>
      <c r="D147" s="27" t="s">
        <v>199</v>
      </c>
      <c r="E147" s="27">
        <v>508</v>
      </c>
      <c r="F147" s="27" t="s">
        <v>324</v>
      </c>
      <c r="G147" s="27" t="s">
        <v>502</v>
      </c>
      <c r="H147" s="26">
        <v>46252</v>
      </c>
      <c r="I147" s="27" t="s">
        <v>169</v>
      </c>
      <c r="J147" s="27" t="s">
        <v>181</v>
      </c>
      <c r="K147" s="27" t="s">
        <v>154</v>
      </c>
      <c r="L147" s="27" t="s">
        <v>154</v>
      </c>
      <c r="M147" s="27" t="s">
        <v>181</v>
      </c>
      <c r="N147" s="27">
        <v>360.4</v>
      </c>
      <c r="O147" s="27">
        <v>49944.23</v>
      </c>
      <c r="P147" s="27" t="s">
        <v>503</v>
      </c>
      <c r="Q147" s="27">
        <v>58884.25</v>
      </c>
      <c r="R147" s="27">
        <v>9</v>
      </c>
      <c r="S147" s="27">
        <v>4494.9799999999996</v>
      </c>
      <c r="T147" s="27">
        <v>9</v>
      </c>
      <c r="U147" s="27">
        <v>4494.9799999999996</v>
      </c>
      <c r="V147" s="27">
        <v>0</v>
      </c>
      <c r="W147" s="27">
        <v>0</v>
      </c>
      <c r="X147" s="27">
        <v>0</v>
      </c>
      <c r="Y147" s="27">
        <v>8989.9599999999991</v>
      </c>
      <c r="Z147" s="27">
        <v>0</v>
      </c>
      <c r="AA147" s="27" t="s">
        <v>176</v>
      </c>
      <c r="AB147" s="27" t="s">
        <v>184</v>
      </c>
      <c r="AC147" s="27">
        <v>39269080</v>
      </c>
      <c r="AD147" s="27" t="s">
        <v>201</v>
      </c>
      <c r="AE147" s="27">
        <v>1</v>
      </c>
      <c r="AF147" s="27">
        <v>360.4</v>
      </c>
      <c r="AG147" s="27" t="s">
        <v>202</v>
      </c>
    </row>
    <row r="148" spans="1:33" x14ac:dyDescent="0.25">
      <c r="A148" s="22"/>
      <c r="B148" s="26">
        <v>46252</v>
      </c>
      <c r="C148" s="27" t="s">
        <v>212</v>
      </c>
      <c r="D148" s="27" t="s">
        <v>199</v>
      </c>
      <c r="E148" s="27">
        <v>511</v>
      </c>
      <c r="F148" s="27" t="s">
        <v>324</v>
      </c>
      <c r="G148" s="27" t="s">
        <v>504</v>
      </c>
      <c r="H148" s="26">
        <v>46252</v>
      </c>
      <c r="I148" s="27" t="s">
        <v>169</v>
      </c>
      <c r="J148" s="27" t="s">
        <v>170</v>
      </c>
      <c r="K148" s="27" t="s">
        <v>157</v>
      </c>
      <c r="L148" s="27" t="s">
        <v>225</v>
      </c>
      <c r="M148" s="27" t="s">
        <v>272</v>
      </c>
      <c r="N148" s="27">
        <v>115.5</v>
      </c>
      <c r="O148" s="27">
        <v>20351.099999999999</v>
      </c>
      <c r="P148" s="27" t="s">
        <v>272</v>
      </c>
      <c r="Q148" s="27">
        <v>21348.31</v>
      </c>
      <c r="R148" s="27">
        <v>2.5</v>
      </c>
      <c r="S148" s="27">
        <v>508.78</v>
      </c>
      <c r="T148" s="27">
        <v>2.5</v>
      </c>
      <c r="U148" s="27">
        <v>508.78</v>
      </c>
      <c r="V148" s="27">
        <v>0</v>
      </c>
      <c r="W148" s="27">
        <v>0</v>
      </c>
      <c r="X148" s="27">
        <v>0</v>
      </c>
      <c r="Y148" s="27">
        <v>1017.56</v>
      </c>
      <c r="Z148" s="27">
        <v>0</v>
      </c>
      <c r="AA148" s="27" t="s">
        <v>176</v>
      </c>
      <c r="AB148" s="27" t="s">
        <v>184</v>
      </c>
      <c r="AC148" s="27">
        <v>54026930</v>
      </c>
      <c r="AD148" s="27" t="s">
        <v>201</v>
      </c>
      <c r="AE148" s="27">
        <v>1</v>
      </c>
      <c r="AF148" s="27">
        <v>115.5</v>
      </c>
      <c r="AG148" s="27" t="s">
        <v>202</v>
      </c>
    </row>
    <row r="149" spans="1:33" hidden="1" x14ac:dyDescent="0.25">
      <c r="A149" s="22"/>
      <c r="B149" s="26">
        <v>46253</v>
      </c>
      <c r="C149" s="27" t="s">
        <v>226</v>
      </c>
      <c r="D149" s="27" t="s">
        <v>199</v>
      </c>
      <c r="E149" s="27">
        <v>514</v>
      </c>
      <c r="F149" s="27" t="s">
        <v>324</v>
      </c>
      <c r="G149" s="27" t="s">
        <v>505</v>
      </c>
      <c r="H149" s="26">
        <v>46253</v>
      </c>
      <c r="I149" s="27" t="s">
        <v>188</v>
      </c>
      <c r="J149" s="27" t="s">
        <v>152</v>
      </c>
      <c r="K149" s="27" t="s">
        <v>152</v>
      </c>
      <c r="L149" s="27" t="s">
        <v>200</v>
      </c>
      <c r="M149" s="27" t="s">
        <v>187</v>
      </c>
      <c r="N149" s="27">
        <v>17921</v>
      </c>
      <c r="O149" s="27">
        <v>5123613.9000000004</v>
      </c>
      <c r="P149" s="27" t="s">
        <v>506</v>
      </c>
      <c r="Q149" s="27">
        <v>6040740.79</v>
      </c>
      <c r="R149" s="27">
        <v>9</v>
      </c>
      <c r="S149" s="27">
        <v>461125.25</v>
      </c>
      <c r="T149" s="27">
        <v>9</v>
      </c>
      <c r="U149" s="27">
        <v>461125.25</v>
      </c>
      <c r="V149" s="27">
        <v>0</v>
      </c>
      <c r="W149" s="27">
        <v>0</v>
      </c>
      <c r="X149" s="27">
        <v>0</v>
      </c>
      <c r="Y149" s="27">
        <v>922250.5</v>
      </c>
      <c r="Z149" s="27">
        <v>0</v>
      </c>
      <c r="AA149" s="27" t="s">
        <v>185</v>
      </c>
      <c r="AB149" s="27" t="s">
        <v>184</v>
      </c>
      <c r="AC149" s="27">
        <v>39232999</v>
      </c>
      <c r="AD149" s="27" t="s">
        <v>201</v>
      </c>
      <c r="AE149" s="27">
        <v>1</v>
      </c>
      <c r="AF149" s="27">
        <v>17921</v>
      </c>
      <c r="AG149" s="27" t="s">
        <v>202</v>
      </c>
    </row>
    <row r="150" spans="1:33" hidden="1" x14ac:dyDescent="0.25">
      <c r="A150" s="22"/>
      <c r="B150" s="28">
        <v>46253</v>
      </c>
      <c r="C150" s="29" t="s">
        <v>226</v>
      </c>
      <c r="D150" s="29" t="s">
        <v>199</v>
      </c>
      <c r="E150" s="29">
        <v>520</v>
      </c>
      <c r="F150" s="29" t="s">
        <v>324</v>
      </c>
      <c r="G150" s="29" t="s">
        <v>507</v>
      </c>
      <c r="H150" s="28">
        <v>46253</v>
      </c>
      <c r="I150" s="29" t="s">
        <v>188</v>
      </c>
      <c r="J150" s="29" t="s">
        <v>152</v>
      </c>
      <c r="K150" s="29" t="s">
        <v>152</v>
      </c>
      <c r="L150" s="29" t="s">
        <v>200</v>
      </c>
      <c r="M150" s="29" t="s">
        <v>187</v>
      </c>
      <c r="N150" s="29">
        <v>19619</v>
      </c>
      <c r="O150" s="29">
        <v>3871613.46</v>
      </c>
      <c r="P150" s="29" t="s">
        <v>508</v>
      </c>
      <c r="Q150" s="29">
        <v>4564632.2699999996</v>
      </c>
      <c r="R150" s="29">
        <v>9</v>
      </c>
      <c r="S150" s="29">
        <v>348445.21</v>
      </c>
      <c r="T150" s="29">
        <v>9</v>
      </c>
      <c r="U150" s="29">
        <v>348445.21</v>
      </c>
      <c r="V150" s="29">
        <v>0</v>
      </c>
      <c r="W150" s="29">
        <v>0</v>
      </c>
      <c r="X150" s="29">
        <v>0</v>
      </c>
      <c r="Y150" s="29">
        <v>696890.42</v>
      </c>
      <c r="Z150" s="29">
        <v>0</v>
      </c>
      <c r="AA150" s="29" t="s">
        <v>185</v>
      </c>
      <c r="AB150" s="29" t="s">
        <v>184</v>
      </c>
      <c r="AC150" s="29">
        <v>39232999</v>
      </c>
      <c r="AD150" s="29" t="s">
        <v>201</v>
      </c>
      <c r="AE150" s="29">
        <v>1</v>
      </c>
      <c r="AF150" s="29">
        <v>19619</v>
      </c>
      <c r="AG150" s="29" t="s">
        <v>202</v>
      </c>
    </row>
    <row r="151" spans="1:33" hidden="1" x14ac:dyDescent="0.25">
      <c r="A151" s="22"/>
      <c r="B151" s="26">
        <v>46253</v>
      </c>
      <c r="C151" s="27" t="s">
        <v>198</v>
      </c>
      <c r="D151" s="27" t="s">
        <v>199</v>
      </c>
      <c r="E151" s="27">
        <v>517</v>
      </c>
      <c r="F151" s="27" t="s">
        <v>324</v>
      </c>
      <c r="G151" s="27" t="s">
        <v>509</v>
      </c>
      <c r="H151" s="26">
        <v>46253</v>
      </c>
      <c r="I151" s="27" t="s">
        <v>169</v>
      </c>
      <c r="J151" s="27" t="s">
        <v>179</v>
      </c>
      <c r="K151" s="27" t="s">
        <v>155</v>
      </c>
      <c r="L151" s="27" t="s">
        <v>203</v>
      </c>
      <c r="M151" s="27" t="s">
        <v>183</v>
      </c>
      <c r="N151" s="27">
        <v>947.3</v>
      </c>
      <c r="O151" s="27">
        <v>126540.33</v>
      </c>
      <c r="P151" s="27" t="s">
        <v>510</v>
      </c>
      <c r="Q151" s="27">
        <v>168119.89</v>
      </c>
      <c r="R151" s="27">
        <v>9</v>
      </c>
      <c r="S151" s="27">
        <v>11388.63</v>
      </c>
      <c r="T151" s="27">
        <v>9</v>
      </c>
      <c r="U151" s="27">
        <v>11388.63</v>
      </c>
      <c r="V151" s="27">
        <v>0</v>
      </c>
      <c r="W151" s="27">
        <v>0</v>
      </c>
      <c r="X151" s="27">
        <v>0</v>
      </c>
      <c r="Y151" s="27">
        <v>22777.26</v>
      </c>
      <c r="Z151" s="27">
        <v>0</v>
      </c>
      <c r="AA151" s="27" t="s">
        <v>185</v>
      </c>
      <c r="AB151" s="27" t="s">
        <v>184</v>
      </c>
      <c r="AC151" s="27">
        <v>39269080</v>
      </c>
      <c r="AD151" s="27" t="s">
        <v>201</v>
      </c>
      <c r="AE151" s="27">
        <v>1</v>
      </c>
      <c r="AF151" s="27">
        <v>947.3</v>
      </c>
      <c r="AG151" s="27" t="s">
        <v>202</v>
      </c>
    </row>
    <row r="152" spans="1:33" hidden="1" x14ac:dyDescent="0.25">
      <c r="A152" s="22"/>
      <c r="B152" s="26">
        <v>46253</v>
      </c>
      <c r="C152" s="27" t="s">
        <v>198</v>
      </c>
      <c r="D152" s="27" t="s">
        <v>199</v>
      </c>
      <c r="E152" s="27">
        <v>517</v>
      </c>
      <c r="F152" s="27" t="s">
        <v>324</v>
      </c>
      <c r="G152" s="27" t="s">
        <v>509</v>
      </c>
      <c r="H152" s="26">
        <v>46253</v>
      </c>
      <c r="I152" s="27" t="s">
        <v>169</v>
      </c>
      <c r="J152" s="27" t="s">
        <v>197</v>
      </c>
      <c r="K152" s="27" t="s">
        <v>158</v>
      </c>
      <c r="L152" s="27" t="s">
        <v>213</v>
      </c>
      <c r="M152" s="27" t="s">
        <v>196</v>
      </c>
      <c r="N152" s="27">
        <v>65</v>
      </c>
      <c r="O152" s="27">
        <v>16055</v>
      </c>
      <c r="P152" s="27" t="s">
        <v>196</v>
      </c>
      <c r="Q152" s="27">
        <v>0</v>
      </c>
      <c r="R152" s="27">
        <v>9</v>
      </c>
      <c r="S152" s="27">
        <v>1444.95</v>
      </c>
      <c r="T152" s="27">
        <v>9</v>
      </c>
      <c r="U152" s="27">
        <v>1444.95</v>
      </c>
      <c r="V152" s="27">
        <v>0</v>
      </c>
      <c r="W152" s="27">
        <v>0</v>
      </c>
      <c r="X152" s="27">
        <v>0</v>
      </c>
      <c r="Y152" s="27">
        <v>2889.9</v>
      </c>
      <c r="Z152" s="27">
        <v>0</v>
      </c>
      <c r="AA152" s="27" t="s">
        <v>185</v>
      </c>
      <c r="AB152" s="27" t="s">
        <v>184</v>
      </c>
      <c r="AC152" s="27">
        <v>39201019</v>
      </c>
      <c r="AD152" s="27" t="s">
        <v>201</v>
      </c>
      <c r="AE152" s="27">
        <v>1</v>
      </c>
      <c r="AF152" s="27">
        <v>65</v>
      </c>
      <c r="AG152" s="27" t="s">
        <v>202</v>
      </c>
    </row>
    <row r="153" spans="1:33" hidden="1" x14ac:dyDescent="0.25">
      <c r="A153" s="22"/>
      <c r="B153" s="26">
        <v>46253</v>
      </c>
      <c r="C153" s="27" t="s">
        <v>212</v>
      </c>
      <c r="D153" s="27" t="s">
        <v>199</v>
      </c>
      <c r="E153" s="27">
        <v>515</v>
      </c>
      <c r="F153" s="27" t="s">
        <v>324</v>
      </c>
      <c r="G153" s="27" t="s">
        <v>511</v>
      </c>
      <c r="H153" s="26">
        <v>46253</v>
      </c>
      <c r="I153" s="27" t="s">
        <v>169</v>
      </c>
      <c r="J153" s="27" t="s">
        <v>179</v>
      </c>
      <c r="K153" s="27" t="s">
        <v>155</v>
      </c>
      <c r="L153" s="27" t="s">
        <v>203</v>
      </c>
      <c r="M153" s="27" t="s">
        <v>183</v>
      </c>
      <c r="N153" s="27">
        <v>1507</v>
      </c>
      <c r="O153" s="27">
        <v>204319.06</v>
      </c>
      <c r="P153" s="27" t="s">
        <v>183</v>
      </c>
      <c r="Q153" s="27">
        <v>240892.18</v>
      </c>
      <c r="R153" s="27">
        <v>9</v>
      </c>
      <c r="S153" s="27">
        <v>18388.72</v>
      </c>
      <c r="T153" s="27">
        <v>9</v>
      </c>
      <c r="U153" s="27">
        <v>18388.72</v>
      </c>
      <c r="V153" s="27">
        <v>0</v>
      </c>
      <c r="W153" s="27">
        <v>0</v>
      </c>
      <c r="X153" s="27">
        <v>0</v>
      </c>
      <c r="Y153" s="27">
        <v>36777.440000000002</v>
      </c>
      <c r="Z153" s="27">
        <v>0</v>
      </c>
      <c r="AA153" s="27" t="s">
        <v>176</v>
      </c>
      <c r="AB153" s="27" t="s">
        <v>184</v>
      </c>
      <c r="AC153" s="27">
        <v>39269080</v>
      </c>
      <c r="AD153" s="27" t="s">
        <v>201</v>
      </c>
      <c r="AE153" s="27">
        <v>1</v>
      </c>
      <c r="AF153" s="27">
        <v>1507</v>
      </c>
      <c r="AG153" s="27" t="s">
        <v>202</v>
      </c>
    </row>
    <row r="154" spans="1:33" hidden="1" x14ac:dyDescent="0.25">
      <c r="A154" s="22"/>
      <c r="B154" s="26">
        <v>46253</v>
      </c>
      <c r="C154" s="27" t="s">
        <v>212</v>
      </c>
      <c r="D154" s="27" t="s">
        <v>199</v>
      </c>
      <c r="E154" s="27">
        <v>519</v>
      </c>
      <c r="F154" s="27" t="s">
        <v>324</v>
      </c>
      <c r="G154" s="27" t="s">
        <v>512</v>
      </c>
      <c r="H154" s="26">
        <v>46253</v>
      </c>
      <c r="I154" s="27" t="s">
        <v>188</v>
      </c>
      <c r="J154" s="27" t="s">
        <v>152</v>
      </c>
      <c r="K154" s="27" t="s">
        <v>152</v>
      </c>
      <c r="L154" s="27" t="s">
        <v>200</v>
      </c>
      <c r="M154" s="27" t="s">
        <v>187</v>
      </c>
      <c r="N154" s="27">
        <v>3596</v>
      </c>
      <c r="O154" s="27">
        <v>700800</v>
      </c>
      <c r="P154" s="27" t="s">
        <v>513</v>
      </c>
      <c r="Q154" s="27">
        <v>826243.2</v>
      </c>
      <c r="R154" s="27">
        <v>9</v>
      </c>
      <c r="S154" s="27">
        <v>63072</v>
      </c>
      <c r="T154" s="27">
        <v>9</v>
      </c>
      <c r="U154" s="27">
        <v>63072</v>
      </c>
      <c r="V154" s="27">
        <v>0</v>
      </c>
      <c r="W154" s="27">
        <v>0</v>
      </c>
      <c r="X154" s="27">
        <v>0</v>
      </c>
      <c r="Y154" s="27">
        <v>126144</v>
      </c>
      <c r="Z154" s="27">
        <v>0</v>
      </c>
      <c r="AA154" s="27" t="s">
        <v>176</v>
      </c>
      <c r="AB154" s="27" t="s">
        <v>184</v>
      </c>
      <c r="AC154" s="27">
        <v>39232999</v>
      </c>
      <c r="AD154" s="27" t="s">
        <v>201</v>
      </c>
      <c r="AE154" s="27">
        <v>1</v>
      </c>
      <c r="AF154" s="27">
        <v>3596</v>
      </c>
      <c r="AG154" s="27" t="s">
        <v>202</v>
      </c>
    </row>
    <row r="155" spans="1:33" hidden="1" x14ac:dyDescent="0.25">
      <c r="A155" s="22"/>
      <c r="B155" s="26">
        <v>46254</v>
      </c>
      <c r="C155" s="27" t="s">
        <v>226</v>
      </c>
      <c r="D155" s="27" t="s">
        <v>199</v>
      </c>
      <c r="E155" s="27">
        <v>523</v>
      </c>
      <c r="F155" s="27" t="s">
        <v>324</v>
      </c>
      <c r="G155" s="27" t="s">
        <v>514</v>
      </c>
      <c r="H155" s="26">
        <v>46254</v>
      </c>
      <c r="I155" s="27" t="s">
        <v>188</v>
      </c>
      <c r="J155" s="27" t="s">
        <v>152</v>
      </c>
      <c r="K155" s="27" t="s">
        <v>152</v>
      </c>
      <c r="L155" s="27" t="s">
        <v>200</v>
      </c>
      <c r="M155" s="27" t="s">
        <v>187</v>
      </c>
      <c r="N155" s="27">
        <v>18051</v>
      </c>
      <c r="O155" s="27">
        <v>5121249.21</v>
      </c>
      <c r="P155" s="27" t="s">
        <v>515</v>
      </c>
      <c r="Q155" s="27">
        <v>6037952.8200000003</v>
      </c>
      <c r="R155" s="27">
        <v>9</v>
      </c>
      <c r="S155" s="27">
        <v>460912.43</v>
      </c>
      <c r="T155" s="27">
        <v>9</v>
      </c>
      <c r="U155" s="27">
        <v>460912.43</v>
      </c>
      <c r="V155" s="27">
        <v>0</v>
      </c>
      <c r="W155" s="27">
        <v>0</v>
      </c>
      <c r="X155" s="27">
        <v>0</v>
      </c>
      <c r="Y155" s="27">
        <v>921824.86</v>
      </c>
      <c r="Z155" s="27">
        <v>0</v>
      </c>
      <c r="AA155" s="27" t="s">
        <v>185</v>
      </c>
      <c r="AB155" s="27" t="s">
        <v>184</v>
      </c>
      <c r="AC155" s="27">
        <v>39232999</v>
      </c>
      <c r="AD155" s="27" t="s">
        <v>201</v>
      </c>
      <c r="AE155" s="27">
        <v>1</v>
      </c>
      <c r="AF155" s="27">
        <v>18051</v>
      </c>
      <c r="AG155" s="27" t="s">
        <v>202</v>
      </c>
    </row>
    <row r="156" spans="1:33" x14ac:dyDescent="0.25">
      <c r="A156" s="22"/>
      <c r="B156" s="26">
        <v>46254</v>
      </c>
      <c r="C156" s="27" t="s">
        <v>212</v>
      </c>
      <c r="D156" s="27" t="s">
        <v>199</v>
      </c>
      <c r="E156" s="27">
        <v>521</v>
      </c>
      <c r="F156" s="27" t="s">
        <v>324</v>
      </c>
      <c r="G156" s="27" t="s">
        <v>516</v>
      </c>
      <c r="H156" s="26">
        <v>46254</v>
      </c>
      <c r="I156" s="27" t="s">
        <v>169</v>
      </c>
      <c r="J156" s="27" t="s">
        <v>170</v>
      </c>
      <c r="K156" s="27" t="s">
        <v>157</v>
      </c>
      <c r="L156" s="27" t="s">
        <v>225</v>
      </c>
      <c r="M156" s="27" t="s">
        <v>272</v>
      </c>
      <c r="N156" s="27">
        <v>252.6</v>
      </c>
      <c r="O156" s="27">
        <v>44487.91</v>
      </c>
      <c r="P156" s="27" t="s">
        <v>272</v>
      </c>
      <c r="Q156" s="27">
        <v>46667.82</v>
      </c>
      <c r="R156" s="27">
        <v>2.5</v>
      </c>
      <c r="S156" s="27">
        <v>1112.2</v>
      </c>
      <c r="T156" s="27">
        <v>2.5</v>
      </c>
      <c r="U156" s="27">
        <v>1112.2</v>
      </c>
      <c r="V156" s="27">
        <v>0</v>
      </c>
      <c r="W156" s="27">
        <v>0</v>
      </c>
      <c r="X156" s="27">
        <v>0</v>
      </c>
      <c r="Y156" s="27">
        <v>2224.4</v>
      </c>
      <c r="Z156" s="27">
        <v>0</v>
      </c>
      <c r="AA156" s="27" t="s">
        <v>176</v>
      </c>
      <c r="AB156" s="27" t="s">
        <v>184</v>
      </c>
      <c r="AC156" s="27">
        <v>54026930</v>
      </c>
      <c r="AD156" s="27" t="s">
        <v>201</v>
      </c>
      <c r="AE156" s="27">
        <v>1</v>
      </c>
      <c r="AF156" s="27">
        <v>252.6</v>
      </c>
      <c r="AG156" s="27" t="s">
        <v>202</v>
      </c>
    </row>
    <row r="157" spans="1:33" hidden="1" x14ac:dyDescent="0.25">
      <c r="A157" s="22"/>
      <c r="B157" s="26">
        <v>46254</v>
      </c>
      <c r="C157" s="27" t="s">
        <v>212</v>
      </c>
      <c r="D157" s="27" t="s">
        <v>199</v>
      </c>
      <c r="E157" s="27">
        <v>522</v>
      </c>
      <c r="F157" s="27" t="s">
        <v>324</v>
      </c>
      <c r="G157" s="27" t="s">
        <v>517</v>
      </c>
      <c r="H157" s="26">
        <v>46254</v>
      </c>
      <c r="I157" s="27" t="s">
        <v>188</v>
      </c>
      <c r="J157" s="27" t="s">
        <v>152</v>
      </c>
      <c r="K157" s="27" t="s">
        <v>152</v>
      </c>
      <c r="L157" s="27" t="s">
        <v>200</v>
      </c>
      <c r="M157" s="27" t="s">
        <v>191</v>
      </c>
      <c r="N157" s="27">
        <v>1981</v>
      </c>
      <c r="O157" s="27">
        <v>442396.92</v>
      </c>
      <c r="P157" s="27" t="s">
        <v>518</v>
      </c>
      <c r="Q157" s="27">
        <v>5498225.0899999999</v>
      </c>
      <c r="R157" s="27">
        <v>9</v>
      </c>
      <c r="S157" s="27">
        <v>39815.72</v>
      </c>
      <c r="T157" s="27">
        <v>9</v>
      </c>
      <c r="U157" s="27">
        <v>39815.72</v>
      </c>
      <c r="V157" s="27">
        <v>0</v>
      </c>
      <c r="W157" s="27">
        <v>0</v>
      </c>
      <c r="X157" s="27">
        <v>0</v>
      </c>
      <c r="Y157" s="27">
        <v>79631.44</v>
      </c>
      <c r="Z157" s="27">
        <v>0</v>
      </c>
      <c r="AA157" s="27" t="s">
        <v>176</v>
      </c>
      <c r="AB157" s="27" t="s">
        <v>184</v>
      </c>
      <c r="AC157" s="27">
        <v>39232999</v>
      </c>
      <c r="AD157" s="27" t="s">
        <v>201</v>
      </c>
      <c r="AE157" s="27">
        <v>1</v>
      </c>
      <c r="AF157" s="27">
        <v>1981</v>
      </c>
      <c r="AG157" s="27" t="s">
        <v>202</v>
      </c>
    </row>
    <row r="158" spans="1:33" hidden="1" x14ac:dyDescent="0.25">
      <c r="A158" s="22"/>
      <c r="B158" s="26">
        <v>46254</v>
      </c>
      <c r="C158" s="27" t="s">
        <v>212</v>
      </c>
      <c r="D158" s="27" t="s">
        <v>199</v>
      </c>
      <c r="E158" s="27">
        <v>522</v>
      </c>
      <c r="F158" s="27" t="s">
        <v>324</v>
      </c>
      <c r="G158" s="27" t="s">
        <v>517</v>
      </c>
      <c r="H158" s="26">
        <v>46254</v>
      </c>
      <c r="I158" s="27" t="s">
        <v>188</v>
      </c>
      <c r="J158" s="27" t="s">
        <v>152</v>
      </c>
      <c r="K158" s="27" t="s">
        <v>152</v>
      </c>
      <c r="L158" s="27" t="s">
        <v>200</v>
      </c>
      <c r="M158" s="27" t="s">
        <v>191</v>
      </c>
      <c r="N158" s="27">
        <v>1987</v>
      </c>
      <c r="O158" s="27">
        <v>449399.79</v>
      </c>
      <c r="P158" s="27" t="s">
        <v>519</v>
      </c>
      <c r="Q158" s="27">
        <v>0</v>
      </c>
      <c r="R158" s="27">
        <v>9</v>
      </c>
      <c r="S158" s="27">
        <v>40445.980000000003</v>
      </c>
      <c r="T158" s="27">
        <v>9</v>
      </c>
      <c r="U158" s="27">
        <v>40445.980000000003</v>
      </c>
      <c r="V158" s="27">
        <v>0</v>
      </c>
      <c r="W158" s="27">
        <v>0</v>
      </c>
      <c r="X158" s="27">
        <v>0</v>
      </c>
      <c r="Y158" s="27">
        <v>80891.960000000006</v>
      </c>
      <c r="Z158" s="27">
        <v>0</v>
      </c>
      <c r="AA158" s="27" t="s">
        <v>176</v>
      </c>
      <c r="AB158" s="27" t="s">
        <v>184</v>
      </c>
      <c r="AC158" s="27">
        <v>39232999</v>
      </c>
      <c r="AD158" s="27" t="s">
        <v>201</v>
      </c>
      <c r="AE158" s="27">
        <v>1</v>
      </c>
      <c r="AF158" s="27">
        <v>1987</v>
      </c>
      <c r="AG158" s="27" t="s">
        <v>202</v>
      </c>
    </row>
    <row r="159" spans="1:33" hidden="1" x14ac:dyDescent="0.25">
      <c r="A159" s="22"/>
      <c r="B159" s="26">
        <v>46254</v>
      </c>
      <c r="C159" s="27" t="s">
        <v>212</v>
      </c>
      <c r="D159" s="27" t="s">
        <v>199</v>
      </c>
      <c r="E159" s="27">
        <v>522</v>
      </c>
      <c r="F159" s="27" t="s">
        <v>324</v>
      </c>
      <c r="G159" s="27" t="s">
        <v>517</v>
      </c>
      <c r="H159" s="26">
        <v>46254</v>
      </c>
      <c r="I159" s="27" t="s">
        <v>188</v>
      </c>
      <c r="J159" s="27" t="s">
        <v>152</v>
      </c>
      <c r="K159" s="27" t="s">
        <v>152</v>
      </c>
      <c r="L159" s="27" t="s">
        <v>200</v>
      </c>
      <c r="M159" s="27" t="s">
        <v>191</v>
      </c>
      <c r="N159" s="27">
        <v>415</v>
      </c>
      <c r="O159" s="27">
        <v>109883.7</v>
      </c>
      <c r="P159" s="27" t="s">
        <v>520</v>
      </c>
      <c r="Q159" s="27">
        <v>0</v>
      </c>
      <c r="R159" s="27">
        <v>9</v>
      </c>
      <c r="S159" s="27">
        <v>9889.5300000000007</v>
      </c>
      <c r="T159" s="27">
        <v>9</v>
      </c>
      <c r="U159" s="27">
        <v>9889.5300000000007</v>
      </c>
      <c r="V159" s="27">
        <v>0</v>
      </c>
      <c r="W159" s="27">
        <v>0</v>
      </c>
      <c r="X159" s="27">
        <v>0</v>
      </c>
      <c r="Y159" s="27">
        <v>19779.060000000001</v>
      </c>
      <c r="Z159" s="27">
        <v>0</v>
      </c>
      <c r="AA159" s="27" t="s">
        <v>176</v>
      </c>
      <c r="AB159" s="27" t="s">
        <v>184</v>
      </c>
      <c r="AC159" s="27">
        <v>39232999</v>
      </c>
      <c r="AD159" s="27" t="s">
        <v>201</v>
      </c>
      <c r="AE159" s="27">
        <v>1</v>
      </c>
      <c r="AF159" s="27">
        <v>415</v>
      </c>
      <c r="AG159" s="27" t="s">
        <v>202</v>
      </c>
    </row>
    <row r="160" spans="1:33" hidden="1" x14ac:dyDescent="0.25">
      <c r="A160" s="22"/>
      <c r="B160" s="26">
        <v>46254</v>
      </c>
      <c r="C160" s="27" t="s">
        <v>212</v>
      </c>
      <c r="D160" s="27" t="s">
        <v>199</v>
      </c>
      <c r="E160" s="27">
        <v>522</v>
      </c>
      <c r="F160" s="27" t="s">
        <v>324</v>
      </c>
      <c r="G160" s="27" t="s">
        <v>517</v>
      </c>
      <c r="H160" s="26">
        <v>46254</v>
      </c>
      <c r="I160" s="27" t="s">
        <v>188</v>
      </c>
      <c r="J160" s="27" t="s">
        <v>152</v>
      </c>
      <c r="K160" s="27" t="s">
        <v>152</v>
      </c>
      <c r="L160" s="27" t="s">
        <v>200</v>
      </c>
      <c r="M160" s="27" t="s">
        <v>187</v>
      </c>
      <c r="N160" s="27">
        <v>410</v>
      </c>
      <c r="O160" s="27">
        <v>100577.1</v>
      </c>
      <c r="P160" s="27" t="s">
        <v>521</v>
      </c>
      <c r="Q160" s="27">
        <v>0</v>
      </c>
      <c r="R160" s="27">
        <v>9</v>
      </c>
      <c r="S160" s="27">
        <v>9051.94</v>
      </c>
      <c r="T160" s="27">
        <v>9</v>
      </c>
      <c r="U160" s="27">
        <v>9051.94</v>
      </c>
      <c r="V160" s="27">
        <v>0</v>
      </c>
      <c r="W160" s="27">
        <v>0</v>
      </c>
      <c r="X160" s="27">
        <v>0</v>
      </c>
      <c r="Y160" s="27">
        <v>18103.88</v>
      </c>
      <c r="Z160" s="27">
        <v>0</v>
      </c>
      <c r="AA160" s="27" t="s">
        <v>176</v>
      </c>
      <c r="AB160" s="27" t="s">
        <v>184</v>
      </c>
      <c r="AC160" s="27">
        <v>39232999</v>
      </c>
      <c r="AD160" s="27" t="s">
        <v>201</v>
      </c>
      <c r="AE160" s="27">
        <v>1</v>
      </c>
      <c r="AF160" s="27">
        <v>410</v>
      </c>
      <c r="AG160" s="27" t="s">
        <v>202</v>
      </c>
    </row>
    <row r="161" spans="1:33" hidden="1" x14ac:dyDescent="0.25">
      <c r="A161" s="22"/>
      <c r="B161" s="28">
        <v>46254</v>
      </c>
      <c r="C161" s="29" t="s">
        <v>212</v>
      </c>
      <c r="D161" s="29" t="s">
        <v>199</v>
      </c>
      <c r="E161" s="29">
        <v>522</v>
      </c>
      <c r="F161" s="29" t="s">
        <v>324</v>
      </c>
      <c r="G161" s="29" t="s">
        <v>517</v>
      </c>
      <c r="H161" s="28">
        <v>46254</v>
      </c>
      <c r="I161" s="29" t="s">
        <v>188</v>
      </c>
      <c r="J161" s="29" t="s">
        <v>152</v>
      </c>
      <c r="K161" s="29" t="s">
        <v>152</v>
      </c>
      <c r="L161" s="29" t="s">
        <v>200</v>
      </c>
      <c r="M161" s="29" t="s">
        <v>187</v>
      </c>
      <c r="N161" s="29">
        <v>845</v>
      </c>
      <c r="O161" s="29">
        <v>204185.8</v>
      </c>
      <c r="P161" s="29" t="s">
        <v>522</v>
      </c>
      <c r="Q161" s="29">
        <v>0</v>
      </c>
      <c r="R161" s="29">
        <v>9</v>
      </c>
      <c r="S161" s="29">
        <v>18376.72</v>
      </c>
      <c r="T161" s="29">
        <v>9</v>
      </c>
      <c r="U161" s="29">
        <v>18376.72</v>
      </c>
      <c r="V161" s="29">
        <v>0</v>
      </c>
      <c r="W161" s="29">
        <v>0</v>
      </c>
      <c r="X161" s="29">
        <v>0</v>
      </c>
      <c r="Y161" s="29">
        <v>36753.440000000002</v>
      </c>
      <c r="Z161" s="29">
        <v>0</v>
      </c>
      <c r="AA161" s="29" t="s">
        <v>176</v>
      </c>
      <c r="AB161" s="29" t="s">
        <v>184</v>
      </c>
      <c r="AC161" s="29">
        <v>39232999</v>
      </c>
      <c r="AD161" s="29" t="s">
        <v>201</v>
      </c>
      <c r="AE161" s="29">
        <v>1</v>
      </c>
      <c r="AF161" s="29">
        <v>845</v>
      </c>
      <c r="AG161" s="29" t="s">
        <v>202</v>
      </c>
    </row>
    <row r="162" spans="1:33" hidden="1" x14ac:dyDescent="0.25">
      <c r="A162" s="22"/>
      <c r="B162" s="28">
        <v>46254</v>
      </c>
      <c r="C162" s="29" t="s">
        <v>212</v>
      </c>
      <c r="D162" s="29" t="s">
        <v>199</v>
      </c>
      <c r="E162" s="29">
        <v>522</v>
      </c>
      <c r="F162" s="29" t="s">
        <v>324</v>
      </c>
      <c r="G162" s="29" t="s">
        <v>517</v>
      </c>
      <c r="H162" s="28">
        <v>46254</v>
      </c>
      <c r="I162" s="29" t="s">
        <v>188</v>
      </c>
      <c r="J162" s="29" t="s">
        <v>152</v>
      </c>
      <c r="K162" s="29" t="s">
        <v>152</v>
      </c>
      <c r="L162" s="29" t="s">
        <v>200</v>
      </c>
      <c r="M162" s="29" t="s">
        <v>187</v>
      </c>
      <c r="N162" s="29">
        <v>5478</v>
      </c>
      <c r="O162" s="29">
        <v>1327100.28</v>
      </c>
      <c r="P162" s="29" t="s">
        <v>523</v>
      </c>
      <c r="Q162" s="29">
        <v>0</v>
      </c>
      <c r="R162" s="29">
        <v>9</v>
      </c>
      <c r="S162" s="29">
        <v>119439.03</v>
      </c>
      <c r="T162" s="29">
        <v>9</v>
      </c>
      <c r="U162" s="29">
        <v>119439.03</v>
      </c>
      <c r="V162" s="29">
        <v>0</v>
      </c>
      <c r="W162" s="29">
        <v>0</v>
      </c>
      <c r="X162" s="29">
        <v>0</v>
      </c>
      <c r="Y162" s="29">
        <v>238878.06</v>
      </c>
      <c r="Z162" s="29">
        <v>0</v>
      </c>
      <c r="AA162" s="29" t="s">
        <v>176</v>
      </c>
      <c r="AB162" s="29" t="s">
        <v>184</v>
      </c>
      <c r="AC162" s="29">
        <v>39232999</v>
      </c>
      <c r="AD162" s="29" t="s">
        <v>201</v>
      </c>
      <c r="AE162" s="29">
        <v>1</v>
      </c>
      <c r="AF162" s="29">
        <v>5478</v>
      </c>
      <c r="AG162" s="29" t="s">
        <v>202</v>
      </c>
    </row>
    <row r="163" spans="1:33" hidden="1" x14ac:dyDescent="0.25">
      <c r="A163" s="22"/>
      <c r="B163" s="28">
        <v>46254</v>
      </c>
      <c r="C163" s="29" t="s">
        <v>212</v>
      </c>
      <c r="D163" s="29" t="s">
        <v>199</v>
      </c>
      <c r="E163" s="29">
        <v>522</v>
      </c>
      <c r="F163" s="29" t="s">
        <v>324</v>
      </c>
      <c r="G163" s="29" t="s">
        <v>517</v>
      </c>
      <c r="H163" s="28">
        <v>46254</v>
      </c>
      <c r="I163" s="29" t="s">
        <v>188</v>
      </c>
      <c r="J163" s="29" t="s">
        <v>152</v>
      </c>
      <c r="K163" s="29" t="s">
        <v>152</v>
      </c>
      <c r="L163" s="29" t="s">
        <v>200</v>
      </c>
      <c r="M163" s="29" t="s">
        <v>187</v>
      </c>
      <c r="N163" s="29">
        <v>4293</v>
      </c>
      <c r="O163" s="29">
        <v>1021390.56</v>
      </c>
      <c r="P163" s="29" t="s">
        <v>524</v>
      </c>
      <c r="Q163" s="29">
        <v>0</v>
      </c>
      <c r="R163" s="29">
        <v>9</v>
      </c>
      <c r="S163" s="29">
        <v>91925.15</v>
      </c>
      <c r="T163" s="29">
        <v>9</v>
      </c>
      <c r="U163" s="29">
        <v>91925.15</v>
      </c>
      <c r="V163" s="29">
        <v>0</v>
      </c>
      <c r="W163" s="29">
        <v>0</v>
      </c>
      <c r="X163" s="29">
        <v>0</v>
      </c>
      <c r="Y163" s="29">
        <v>183850.3</v>
      </c>
      <c r="Z163" s="29">
        <v>0</v>
      </c>
      <c r="AA163" s="29" t="s">
        <v>176</v>
      </c>
      <c r="AB163" s="29" t="s">
        <v>184</v>
      </c>
      <c r="AC163" s="29">
        <v>39232999</v>
      </c>
      <c r="AD163" s="29" t="s">
        <v>201</v>
      </c>
      <c r="AE163" s="29">
        <v>1</v>
      </c>
      <c r="AF163" s="29">
        <v>4293</v>
      </c>
      <c r="AG163" s="29" t="s">
        <v>202</v>
      </c>
    </row>
    <row r="164" spans="1:33" hidden="1" x14ac:dyDescent="0.25">
      <c r="A164" s="22"/>
      <c r="B164" s="28">
        <v>46254</v>
      </c>
      <c r="C164" s="29" t="s">
        <v>212</v>
      </c>
      <c r="D164" s="29" t="s">
        <v>199</v>
      </c>
      <c r="E164" s="29">
        <v>522</v>
      </c>
      <c r="F164" s="29" t="s">
        <v>324</v>
      </c>
      <c r="G164" s="29" t="s">
        <v>517</v>
      </c>
      <c r="H164" s="28">
        <v>46254</v>
      </c>
      <c r="I164" s="29" t="s">
        <v>188</v>
      </c>
      <c r="J164" s="29" t="s">
        <v>152</v>
      </c>
      <c r="K164" s="29" t="s">
        <v>152</v>
      </c>
      <c r="L164" s="29" t="s">
        <v>200</v>
      </c>
      <c r="M164" s="29" t="s">
        <v>187</v>
      </c>
      <c r="N164" s="29">
        <v>2489</v>
      </c>
      <c r="O164" s="29">
        <v>542104.19999999995</v>
      </c>
      <c r="P164" s="29" t="s">
        <v>525</v>
      </c>
      <c r="Q164" s="29">
        <v>0</v>
      </c>
      <c r="R164" s="29">
        <v>9</v>
      </c>
      <c r="S164" s="29">
        <v>48789.38</v>
      </c>
      <c r="T164" s="29">
        <v>9</v>
      </c>
      <c r="U164" s="29">
        <v>48789.38</v>
      </c>
      <c r="V164" s="29">
        <v>0</v>
      </c>
      <c r="W164" s="29">
        <v>0</v>
      </c>
      <c r="X164" s="29">
        <v>0</v>
      </c>
      <c r="Y164" s="29">
        <v>97578.76</v>
      </c>
      <c r="Z164" s="29">
        <v>0</v>
      </c>
      <c r="AA164" s="29" t="s">
        <v>176</v>
      </c>
      <c r="AB164" s="29" t="s">
        <v>184</v>
      </c>
      <c r="AC164" s="29">
        <v>39232999</v>
      </c>
      <c r="AD164" s="29" t="s">
        <v>201</v>
      </c>
      <c r="AE164" s="29">
        <v>1</v>
      </c>
      <c r="AF164" s="29">
        <v>2489</v>
      </c>
      <c r="AG164" s="29" t="s">
        <v>202</v>
      </c>
    </row>
    <row r="165" spans="1:33" hidden="1" x14ac:dyDescent="0.25">
      <c r="A165" s="22"/>
      <c r="B165" s="28">
        <v>46254</v>
      </c>
      <c r="C165" s="29" t="s">
        <v>212</v>
      </c>
      <c r="D165" s="29" t="s">
        <v>199</v>
      </c>
      <c r="E165" s="29">
        <v>522</v>
      </c>
      <c r="F165" s="29" t="s">
        <v>324</v>
      </c>
      <c r="G165" s="29" t="s">
        <v>517</v>
      </c>
      <c r="H165" s="28">
        <v>46254</v>
      </c>
      <c r="I165" s="29" t="s">
        <v>188</v>
      </c>
      <c r="J165" s="29" t="s">
        <v>152</v>
      </c>
      <c r="K165" s="29" t="s">
        <v>152</v>
      </c>
      <c r="L165" s="29" t="s">
        <v>200</v>
      </c>
      <c r="M165" s="29" t="s">
        <v>187</v>
      </c>
      <c r="N165" s="29">
        <v>2029</v>
      </c>
      <c r="O165" s="29">
        <v>466426.52</v>
      </c>
      <c r="P165" s="29" t="s">
        <v>526</v>
      </c>
      <c r="Q165" s="29">
        <v>0</v>
      </c>
      <c r="R165" s="29">
        <v>9</v>
      </c>
      <c r="S165" s="29">
        <v>41978.39</v>
      </c>
      <c r="T165" s="29">
        <v>9</v>
      </c>
      <c r="U165" s="29">
        <v>41978.39</v>
      </c>
      <c r="V165" s="29">
        <v>0</v>
      </c>
      <c r="W165" s="29">
        <v>0</v>
      </c>
      <c r="X165" s="29">
        <v>0</v>
      </c>
      <c r="Y165" s="29">
        <v>83956.78</v>
      </c>
      <c r="Z165" s="29">
        <v>0</v>
      </c>
      <c r="AA165" s="29" t="s">
        <v>176</v>
      </c>
      <c r="AB165" s="29" t="s">
        <v>184</v>
      </c>
      <c r="AC165" s="29">
        <v>39232999</v>
      </c>
      <c r="AD165" s="29" t="s">
        <v>201</v>
      </c>
      <c r="AE165" s="29">
        <v>1</v>
      </c>
      <c r="AF165" s="29">
        <v>2029</v>
      </c>
      <c r="AG165" s="29" t="s">
        <v>202</v>
      </c>
    </row>
    <row r="166" spans="1:33" hidden="1" x14ac:dyDescent="0.25">
      <c r="A166" s="22"/>
      <c r="B166" s="26">
        <v>46254</v>
      </c>
      <c r="C166" s="27" t="s">
        <v>267</v>
      </c>
      <c r="D166" s="27" t="s">
        <v>199</v>
      </c>
      <c r="E166" s="27">
        <v>524</v>
      </c>
      <c r="F166" s="27" t="s">
        <v>324</v>
      </c>
      <c r="G166" s="27" t="s">
        <v>527</v>
      </c>
      <c r="H166" s="26">
        <v>46254</v>
      </c>
      <c r="I166" s="27" t="s">
        <v>188</v>
      </c>
      <c r="J166" s="27" t="s">
        <v>152</v>
      </c>
      <c r="K166" s="27" t="s">
        <v>152</v>
      </c>
      <c r="L166" s="27" t="s">
        <v>200</v>
      </c>
      <c r="M166" s="27" t="s">
        <v>191</v>
      </c>
      <c r="N166" s="27">
        <v>9536</v>
      </c>
      <c r="O166" s="27">
        <v>2036000</v>
      </c>
      <c r="P166" s="27" t="s">
        <v>528</v>
      </c>
      <c r="Q166" s="27">
        <v>2400444</v>
      </c>
      <c r="R166" s="27">
        <v>9</v>
      </c>
      <c r="S166" s="27">
        <v>183240</v>
      </c>
      <c r="T166" s="27">
        <v>9</v>
      </c>
      <c r="U166" s="27">
        <v>183240</v>
      </c>
      <c r="V166" s="27">
        <v>0</v>
      </c>
      <c r="W166" s="27">
        <v>0</v>
      </c>
      <c r="X166" s="27">
        <v>0</v>
      </c>
      <c r="Y166" s="27">
        <v>366480</v>
      </c>
      <c r="Z166" s="27">
        <v>0</v>
      </c>
      <c r="AA166" s="27" t="s">
        <v>270</v>
      </c>
      <c r="AB166" s="27" t="s">
        <v>184</v>
      </c>
      <c r="AC166" s="27">
        <v>39232999</v>
      </c>
      <c r="AD166" s="27" t="s">
        <v>201</v>
      </c>
      <c r="AE166" s="27">
        <v>1</v>
      </c>
      <c r="AF166" s="27">
        <v>9536</v>
      </c>
      <c r="AG166" s="27" t="s">
        <v>202</v>
      </c>
    </row>
    <row r="167" spans="1:33" hidden="1" x14ac:dyDescent="0.25">
      <c r="A167" s="22"/>
      <c r="B167" s="26">
        <v>46255</v>
      </c>
      <c r="C167" s="27" t="s">
        <v>215</v>
      </c>
      <c r="D167" s="27" t="s">
        <v>205</v>
      </c>
      <c r="E167" s="27" t="s">
        <v>529</v>
      </c>
      <c r="F167" s="27" t="s">
        <v>216</v>
      </c>
      <c r="G167" s="27" t="s">
        <v>529</v>
      </c>
      <c r="H167" s="26">
        <v>46255</v>
      </c>
      <c r="I167" s="27" t="s">
        <v>188</v>
      </c>
      <c r="J167" s="27" t="s">
        <v>152</v>
      </c>
      <c r="K167" s="27" t="s">
        <v>163</v>
      </c>
      <c r="L167" s="27" t="s">
        <v>200</v>
      </c>
      <c r="M167" s="27" t="s">
        <v>187</v>
      </c>
      <c r="N167" s="27">
        <v>17831</v>
      </c>
      <c r="O167" s="27">
        <v>5633395.2675924003</v>
      </c>
      <c r="P167" s="27" t="s">
        <v>217</v>
      </c>
      <c r="Q167" s="27">
        <v>5633395.2699999996</v>
      </c>
      <c r="R167" s="27">
        <v>0</v>
      </c>
      <c r="S167" s="27">
        <v>0</v>
      </c>
      <c r="T167" s="27">
        <v>0</v>
      </c>
      <c r="U167" s="27">
        <v>0</v>
      </c>
      <c r="V167" s="27">
        <v>0</v>
      </c>
      <c r="W167" s="27">
        <v>0</v>
      </c>
      <c r="X167" s="27">
        <v>0</v>
      </c>
      <c r="Y167" s="27">
        <v>0</v>
      </c>
      <c r="Z167" s="27">
        <v>0</v>
      </c>
      <c r="AA167" s="27" t="s">
        <v>214</v>
      </c>
      <c r="AB167" s="27" t="s">
        <v>184</v>
      </c>
      <c r="AC167" s="27">
        <v>63053200</v>
      </c>
      <c r="AD167" s="27" t="s">
        <v>209</v>
      </c>
      <c r="AE167" s="27">
        <v>94.8</v>
      </c>
      <c r="AF167" s="27">
        <v>17831</v>
      </c>
      <c r="AG167" s="27" t="s">
        <v>218</v>
      </c>
    </row>
    <row r="168" spans="1:33" hidden="1" x14ac:dyDescent="0.25">
      <c r="A168" s="22"/>
      <c r="B168" s="26">
        <v>46255</v>
      </c>
      <c r="C168" s="27" t="s">
        <v>212</v>
      </c>
      <c r="D168" s="27" t="s">
        <v>199</v>
      </c>
      <c r="E168" s="27">
        <v>525</v>
      </c>
      <c r="F168" s="27" t="s">
        <v>324</v>
      </c>
      <c r="G168" s="27" t="s">
        <v>530</v>
      </c>
      <c r="H168" s="26">
        <v>46255</v>
      </c>
      <c r="I168" s="27" t="s">
        <v>169</v>
      </c>
      <c r="J168" s="27" t="s">
        <v>175</v>
      </c>
      <c r="K168" s="27" t="s">
        <v>159</v>
      </c>
      <c r="L168" s="27" t="s">
        <v>159</v>
      </c>
      <c r="M168" s="27" t="s">
        <v>173</v>
      </c>
      <c r="N168" s="27">
        <v>162</v>
      </c>
      <c r="O168" s="27">
        <v>35764.74</v>
      </c>
      <c r="P168" s="27" t="s">
        <v>173</v>
      </c>
      <c r="Q168" s="27">
        <v>173934.87</v>
      </c>
      <c r="R168" s="27">
        <v>9</v>
      </c>
      <c r="S168" s="27">
        <v>3218.83</v>
      </c>
      <c r="T168" s="27">
        <v>9</v>
      </c>
      <c r="U168" s="27">
        <v>3218.83</v>
      </c>
      <c r="V168" s="27">
        <v>0</v>
      </c>
      <c r="W168" s="27">
        <v>0</v>
      </c>
      <c r="X168" s="27">
        <v>0</v>
      </c>
      <c r="Y168" s="27">
        <v>6437.66</v>
      </c>
      <c r="Z168" s="27">
        <v>0</v>
      </c>
      <c r="AA168" s="27" t="s">
        <v>176</v>
      </c>
      <c r="AB168" s="27" t="s">
        <v>184</v>
      </c>
      <c r="AC168" s="27">
        <v>392310</v>
      </c>
      <c r="AD168" s="27" t="s">
        <v>201</v>
      </c>
      <c r="AE168" s="27">
        <v>1</v>
      </c>
      <c r="AF168" s="27">
        <v>162</v>
      </c>
      <c r="AG168" s="27" t="s">
        <v>202</v>
      </c>
    </row>
    <row r="169" spans="1:33" ht="15" hidden="1" customHeight="1" x14ac:dyDescent="0.25">
      <c r="A169" s="21"/>
      <c r="B169" s="26">
        <v>46255</v>
      </c>
      <c r="C169" s="27" t="s">
        <v>212</v>
      </c>
      <c r="D169" s="27" t="s">
        <v>199</v>
      </c>
      <c r="E169" s="27">
        <v>525</v>
      </c>
      <c r="F169" s="27" t="s">
        <v>324</v>
      </c>
      <c r="G169" s="27" t="s">
        <v>530</v>
      </c>
      <c r="H169" s="26">
        <v>46255</v>
      </c>
      <c r="I169" s="27" t="s">
        <v>188</v>
      </c>
      <c r="J169" s="27" t="s">
        <v>153</v>
      </c>
      <c r="K169" s="27" t="s">
        <v>153</v>
      </c>
      <c r="L169" s="27" t="s">
        <v>203</v>
      </c>
      <c r="M169" s="27" t="s">
        <v>153</v>
      </c>
      <c r="N169" s="27">
        <v>984</v>
      </c>
      <c r="O169" s="27">
        <v>111762.72</v>
      </c>
      <c r="P169" s="27" t="s">
        <v>498</v>
      </c>
      <c r="Q169" s="27">
        <v>0</v>
      </c>
      <c r="R169" s="27">
        <v>9</v>
      </c>
      <c r="S169" s="27">
        <v>10058.64</v>
      </c>
      <c r="T169" s="27">
        <v>9</v>
      </c>
      <c r="U169" s="27">
        <v>10058.64</v>
      </c>
      <c r="V169" s="27">
        <v>0</v>
      </c>
      <c r="W169" s="27">
        <v>0</v>
      </c>
      <c r="X169" s="27">
        <v>0</v>
      </c>
      <c r="Y169" s="27">
        <v>20117.28</v>
      </c>
      <c r="Z169" s="27">
        <v>0</v>
      </c>
      <c r="AA169" s="27" t="s">
        <v>176</v>
      </c>
      <c r="AB169" s="27" t="s">
        <v>184</v>
      </c>
      <c r="AC169" s="27">
        <v>39269080</v>
      </c>
      <c r="AD169" s="27" t="s">
        <v>201</v>
      </c>
      <c r="AE169" s="27">
        <v>1</v>
      </c>
      <c r="AF169" s="27">
        <v>984</v>
      </c>
      <c r="AG169" s="27" t="s">
        <v>202</v>
      </c>
    </row>
    <row r="170" spans="1:33" hidden="1" x14ac:dyDescent="0.25">
      <c r="A170" s="22"/>
      <c r="B170" s="26">
        <v>46255</v>
      </c>
      <c r="C170" s="27" t="s">
        <v>212</v>
      </c>
      <c r="D170" s="27" t="s">
        <v>199</v>
      </c>
      <c r="E170" s="27">
        <v>526</v>
      </c>
      <c r="F170" s="27" t="s">
        <v>324</v>
      </c>
      <c r="G170" s="27" t="s">
        <v>531</v>
      </c>
      <c r="H170" s="26">
        <v>46255</v>
      </c>
      <c r="I170" s="27" t="s">
        <v>169</v>
      </c>
      <c r="J170" s="27" t="s">
        <v>179</v>
      </c>
      <c r="K170" s="27" t="s">
        <v>155</v>
      </c>
      <c r="L170" s="27" t="s">
        <v>203</v>
      </c>
      <c r="M170" s="27" t="s">
        <v>183</v>
      </c>
      <c r="N170" s="27">
        <v>188</v>
      </c>
      <c r="O170" s="27">
        <v>25113.040000000001</v>
      </c>
      <c r="P170" s="27" t="s">
        <v>183</v>
      </c>
      <c r="Q170" s="27">
        <v>29608.27</v>
      </c>
      <c r="R170" s="27">
        <v>9</v>
      </c>
      <c r="S170" s="27">
        <v>2260.17</v>
      </c>
      <c r="T170" s="27">
        <v>9</v>
      </c>
      <c r="U170" s="27">
        <v>2260.17</v>
      </c>
      <c r="V170" s="27">
        <v>0</v>
      </c>
      <c r="W170" s="27">
        <v>0</v>
      </c>
      <c r="X170" s="27">
        <v>0</v>
      </c>
      <c r="Y170" s="27">
        <v>4520.34</v>
      </c>
      <c r="Z170" s="27">
        <v>0</v>
      </c>
      <c r="AA170" s="27" t="s">
        <v>176</v>
      </c>
      <c r="AB170" s="27" t="s">
        <v>184</v>
      </c>
      <c r="AC170" s="27">
        <v>39269080</v>
      </c>
      <c r="AD170" s="27" t="s">
        <v>201</v>
      </c>
      <c r="AE170" s="27">
        <v>1</v>
      </c>
      <c r="AF170" s="27">
        <v>188</v>
      </c>
      <c r="AG170" s="27" t="s">
        <v>202</v>
      </c>
    </row>
    <row r="171" spans="1:33" hidden="1" x14ac:dyDescent="0.25">
      <c r="B171" s="26">
        <v>46255</v>
      </c>
      <c r="C171" s="27" t="s">
        <v>212</v>
      </c>
      <c r="D171" s="27" t="s">
        <v>199</v>
      </c>
      <c r="E171" s="27">
        <v>528</v>
      </c>
      <c r="F171" s="27" t="s">
        <v>324</v>
      </c>
      <c r="G171" s="27" t="s">
        <v>532</v>
      </c>
      <c r="H171" s="26">
        <v>46255</v>
      </c>
      <c r="I171" s="27" t="s">
        <v>188</v>
      </c>
      <c r="J171" s="27" t="s">
        <v>152</v>
      </c>
      <c r="K171" s="27" t="s">
        <v>152</v>
      </c>
      <c r="L171" s="27" t="s">
        <v>200</v>
      </c>
      <c r="M171" s="27" t="s">
        <v>187</v>
      </c>
      <c r="N171" s="27">
        <v>898</v>
      </c>
      <c r="O171" s="27">
        <v>204519.5</v>
      </c>
      <c r="P171" s="27" t="s">
        <v>533</v>
      </c>
      <c r="Q171" s="27">
        <v>241128.5</v>
      </c>
      <c r="R171" s="27">
        <v>9</v>
      </c>
      <c r="S171" s="27">
        <v>18406.759999999998</v>
      </c>
      <c r="T171" s="27">
        <v>9</v>
      </c>
      <c r="U171" s="27">
        <v>18406.759999999998</v>
      </c>
      <c r="V171" s="27">
        <v>0</v>
      </c>
      <c r="W171" s="27">
        <v>0</v>
      </c>
      <c r="X171" s="27">
        <v>0</v>
      </c>
      <c r="Y171" s="27">
        <v>36813.519999999997</v>
      </c>
      <c r="Z171" s="27">
        <v>0</v>
      </c>
      <c r="AA171" s="27" t="s">
        <v>176</v>
      </c>
      <c r="AB171" s="27" t="s">
        <v>184</v>
      </c>
      <c r="AC171" s="27">
        <v>39232999</v>
      </c>
      <c r="AD171" s="27" t="s">
        <v>201</v>
      </c>
      <c r="AE171" s="27">
        <v>1</v>
      </c>
      <c r="AF171" s="27">
        <v>898</v>
      </c>
      <c r="AG171" s="27" t="s">
        <v>202</v>
      </c>
    </row>
    <row r="172" spans="1:33" x14ac:dyDescent="0.25">
      <c r="B172" s="26">
        <v>46256</v>
      </c>
      <c r="C172" s="27" t="s">
        <v>268</v>
      </c>
      <c r="D172" s="27" t="s">
        <v>222</v>
      </c>
      <c r="E172" s="27" t="s">
        <v>534</v>
      </c>
      <c r="F172" s="27" t="s">
        <v>206</v>
      </c>
      <c r="G172" s="27" t="s">
        <v>534</v>
      </c>
      <c r="H172" s="26">
        <v>46256</v>
      </c>
      <c r="I172" s="27" t="s">
        <v>169</v>
      </c>
      <c r="J172" s="27" t="s">
        <v>170</v>
      </c>
      <c r="K172" s="27" t="s">
        <v>157</v>
      </c>
      <c r="L172" s="27" t="s">
        <v>225</v>
      </c>
      <c r="M172" s="27" t="s">
        <v>272</v>
      </c>
      <c r="N172" s="27">
        <v>1161.1300000000001</v>
      </c>
      <c r="O172" s="27">
        <v>205520.01</v>
      </c>
      <c r="P172" s="27" t="s">
        <v>272</v>
      </c>
      <c r="Q172" s="27">
        <v>1373852.22</v>
      </c>
      <c r="R172" s="27"/>
      <c r="S172" s="27">
        <v>0</v>
      </c>
      <c r="T172" s="27"/>
      <c r="U172" s="27">
        <v>0</v>
      </c>
      <c r="V172" s="27"/>
      <c r="W172" s="27">
        <v>0</v>
      </c>
      <c r="X172" s="27">
        <v>0</v>
      </c>
      <c r="Y172" s="27">
        <v>0</v>
      </c>
      <c r="Z172" s="27">
        <v>0</v>
      </c>
      <c r="AA172" s="27" t="s">
        <v>269</v>
      </c>
      <c r="AB172" s="27" t="s">
        <v>184</v>
      </c>
      <c r="AC172" s="27">
        <v>54026930</v>
      </c>
      <c r="AD172" s="27" t="s">
        <v>201</v>
      </c>
      <c r="AE172" s="27">
        <v>1</v>
      </c>
      <c r="AF172" s="27">
        <v>1161.1300000000001</v>
      </c>
      <c r="AG172" s="27" t="s">
        <v>202</v>
      </c>
    </row>
    <row r="173" spans="1:33" x14ac:dyDescent="0.25">
      <c r="B173" s="26">
        <v>46256</v>
      </c>
      <c r="C173" s="27" t="s">
        <v>268</v>
      </c>
      <c r="D173" s="27" t="s">
        <v>222</v>
      </c>
      <c r="E173" s="27" t="s">
        <v>534</v>
      </c>
      <c r="F173" s="27" t="s">
        <v>206</v>
      </c>
      <c r="G173" s="27" t="s">
        <v>534</v>
      </c>
      <c r="H173" s="26">
        <v>46256</v>
      </c>
      <c r="I173" s="27" t="s">
        <v>169</v>
      </c>
      <c r="J173" s="27" t="s">
        <v>170</v>
      </c>
      <c r="K173" s="27" t="s">
        <v>157</v>
      </c>
      <c r="L173" s="27" t="s">
        <v>276</v>
      </c>
      <c r="M173" s="27" t="s">
        <v>274</v>
      </c>
      <c r="N173" s="27">
        <v>6727.28</v>
      </c>
      <c r="O173" s="27">
        <v>1163819.44</v>
      </c>
      <c r="P173" s="27" t="s">
        <v>274</v>
      </c>
      <c r="Q173" s="27">
        <v>0</v>
      </c>
      <c r="R173" s="27"/>
      <c r="S173" s="27">
        <v>0</v>
      </c>
      <c r="T173" s="27"/>
      <c r="U173" s="27">
        <v>0</v>
      </c>
      <c r="V173" s="27"/>
      <c r="W173" s="27">
        <v>0</v>
      </c>
      <c r="X173" s="27">
        <v>0</v>
      </c>
      <c r="Y173" s="27">
        <v>0</v>
      </c>
      <c r="Z173" s="27">
        <v>0</v>
      </c>
      <c r="AA173" s="27" t="s">
        <v>269</v>
      </c>
      <c r="AB173" s="27" t="s">
        <v>184</v>
      </c>
      <c r="AC173" s="27">
        <v>540263</v>
      </c>
      <c r="AD173" s="27" t="s">
        <v>201</v>
      </c>
      <c r="AE173" s="27">
        <v>1</v>
      </c>
      <c r="AF173" s="27">
        <v>6727.28</v>
      </c>
      <c r="AG173" s="27" t="s">
        <v>202</v>
      </c>
    </row>
    <row r="174" spans="1:33" hidden="1" x14ac:dyDescent="0.25">
      <c r="B174" s="26">
        <v>46256</v>
      </c>
      <c r="C174" s="27" t="s">
        <v>268</v>
      </c>
      <c r="D174" s="27" t="s">
        <v>222</v>
      </c>
      <c r="E174" s="27" t="s">
        <v>534</v>
      </c>
      <c r="F174" s="27" t="s">
        <v>206</v>
      </c>
      <c r="G174" s="27" t="s">
        <v>534</v>
      </c>
      <c r="H174" s="26">
        <v>46256</v>
      </c>
      <c r="I174" s="27" t="s">
        <v>169</v>
      </c>
      <c r="J174" s="27" t="s">
        <v>175</v>
      </c>
      <c r="K174" s="27" t="s">
        <v>159</v>
      </c>
      <c r="L174" s="27" t="s">
        <v>159</v>
      </c>
      <c r="M174" s="27" t="s">
        <v>228</v>
      </c>
      <c r="N174" s="27">
        <v>23</v>
      </c>
      <c r="O174" s="27">
        <v>5888</v>
      </c>
      <c r="P174" s="27" t="s">
        <v>228</v>
      </c>
      <c r="Q174" s="27">
        <v>0</v>
      </c>
      <c r="R174" s="27"/>
      <c r="S174" s="27">
        <v>0</v>
      </c>
      <c r="T174" s="27"/>
      <c r="U174" s="27">
        <v>0</v>
      </c>
      <c r="V174" s="27"/>
      <c r="W174" s="27">
        <v>0</v>
      </c>
      <c r="X174" s="27">
        <v>0</v>
      </c>
      <c r="Y174" s="27">
        <v>0</v>
      </c>
      <c r="Z174" s="27">
        <v>0</v>
      </c>
      <c r="AA174" s="27" t="s">
        <v>269</v>
      </c>
      <c r="AB174" s="27" t="s">
        <v>184</v>
      </c>
      <c r="AC174" s="27">
        <v>392310</v>
      </c>
      <c r="AD174" s="27" t="s">
        <v>201</v>
      </c>
      <c r="AE174" s="27">
        <v>1</v>
      </c>
      <c r="AF174" s="27">
        <v>23</v>
      </c>
      <c r="AG174" s="27" t="s">
        <v>202</v>
      </c>
    </row>
    <row r="175" spans="1:33" hidden="1" x14ac:dyDescent="0.25">
      <c r="B175" s="26">
        <v>46256</v>
      </c>
      <c r="C175" s="27" t="s">
        <v>212</v>
      </c>
      <c r="D175" s="27" t="s">
        <v>199</v>
      </c>
      <c r="E175" s="27">
        <v>530</v>
      </c>
      <c r="F175" s="27" t="s">
        <v>223</v>
      </c>
      <c r="G175" s="27" t="s">
        <v>535</v>
      </c>
      <c r="H175" s="26">
        <v>46256</v>
      </c>
      <c r="I175" s="27" t="s">
        <v>169</v>
      </c>
      <c r="J175" s="27" t="s">
        <v>314</v>
      </c>
      <c r="K175" s="27" t="s">
        <v>314</v>
      </c>
      <c r="L175" s="27" t="s">
        <v>315</v>
      </c>
      <c r="M175" s="27" t="s">
        <v>314</v>
      </c>
      <c r="N175" s="27">
        <v>2500</v>
      </c>
      <c r="O175" s="27">
        <v>165000</v>
      </c>
      <c r="P175" s="27" t="s">
        <v>536</v>
      </c>
      <c r="Q175" s="27">
        <v>194535</v>
      </c>
      <c r="R175" s="27">
        <v>9</v>
      </c>
      <c r="S175" s="27">
        <v>14850</v>
      </c>
      <c r="T175" s="27">
        <v>9</v>
      </c>
      <c r="U175" s="27">
        <v>14850</v>
      </c>
      <c r="V175" s="27">
        <v>0</v>
      </c>
      <c r="W175" s="27">
        <v>0</v>
      </c>
      <c r="X175" s="27">
        <v>0</v>
      </c>
      <c r="Y175" s="27">
        <v>29700</v>
      </c>
      <c r="Z175" s="27">
        <v>0</v>
      </c>
      <c r="AA175" s="27" t="s">
        <v>176</v>
      </c>
      <c r="AB175" s="27" t="s">
        <v>184</v>
      </c>
      <c r="AC175" s="27">
        <v>39029000</v>
      </c>
      <c r="AD175" s="27" t="s">
        <v>201</v>
      </c>
      <c r="AE175" s="27">
        <v>1</v>
      </c>
      <c r="AF175" s="27">
        <v>2500</v>
      </c>
      <c r="AG175" s="27" t="s">
        <v>202</v>
      </c>
    </row>
    <row r="176" spans="1:33" hidden="1" x14ac:dyDescent="0.25">
      <c r="B176" s="26">
        <v>46258</v>
      </c>
      <c r="C176" s="27" t="s">
        <v>226</v>
      </c>
      <c r="D176" s="27" t="s">
        <v>199</v>
      </c>
      <c r="E176" s="27">
        <v>532</v>
      </c>
      <c r="F176" s="27" t="s">
        <v>324</v>
      </c>
      <c r="G176" s="27" t="s">
        <v>537</v>
      </c>
      <c r="H176" s="26">
        <v>46258</v>
      </c>
      <c r="I176" s="27" t="s">
        <v>188</v>
      </c>
      <c r="J176" s="27" t="s">
        <v>152</v>
      </c>
      <c r="K176" s="27" t="s">
        <v>152</v>
      </c>
      <c r="L176" s="27" t="s">
        <v>200</v>
      </c>
      <c r="M176" s="27" t="s">
        <v>187</v>
      </c>
      <c r="N176" s="27">
        <v>1705</v>
      </c>
      <c r="O176" s="27">
        <v>329576.5</v>
      </c>
      <c r="P176" s="27" t="s">
        <v>538</v>
      </c>
      <c r="Q176" s="27">
        <v>4466882.6900000004</v>
      </c>
      <c r="R176" s="27">
        <v>9</v>
      </c>
      <c r="S176" s="27">
        <v>29661.88</v>
      </c>
      <c r="T176" s="27">
        <v>9</v>
      </c>
      <c r="U176" s="27">
        <v>29661.88</v>
      </c>
      <c r="V176" s="27">
        <v>0</v>
      </c>
      <c r="W176" s="27">
        <v>0</v>
      </c>
      <c r="X176" s="27">
        <v>0</v>
      </c>
      <c r="Y176" s="27">
        <v>59323.76</v>
      </c>
      <c r="Z176" s="27">
        <v>0</v>
      </c>
      <c r="AA176" s="27" t="s">
        <v>185</v>
      </c>
      <c r="AB176" s="27" t="s">
        <v>184</v>
      </c>
      <c r="AC176" s="27">
        <v>39232999</v>
      </c>
      <c r="AD176" s="27" t="s">
        <v>201</v>
      </c>
      <c r="AE176" s="27">
        <v>1</v>
      </c>
      <c r="AF176" s="27">
        <v>1705</v>
      </c>
      <c r="AG176" s="27" t="s">
        <v>202</v>
      </c>
    </row>
    <row r="177" spans="2:33" hidden="1" x14ac:dyDescent="0.25">
      <c r="B177" s="26">
        <v>46258</v>
      </c>
      <c r="C177" s="27" t="s">
        <v>226</v>
      </c>
      <c r="D177" s="27" t="s">
        <v>199</v>
      </c>
      <c r="E177" s="27">
        <v>532</v>
      </c>
      <c r="F177" s="27" t="s">
        <v>324</v>
      </c>
      <c r="G177" s="27" t="s">
        <v>537</v>
      </c>
      <c r="H177" s="26">
        <v>46258</v>
      </c>
      <c r="I177" s="27" t="s">
        <v>188</v>
      </c>
      <c r="J177" s="27" t="s">
        <v>152</v>
      </c>
      <c r="K177" s="27" t="s">
        <v>152</v>
      </c>
      <c r="L177" s="27" t="s">
        <v>200</v>
      </c>
      <c r="M177" s="27" t="s">
        <v>187</v>
      </c>
      <c r="N177" s="27">
        <v>6617</v>
      </c>
      <c r="O177" s="27">
        <v>1246179.6100000001</v>
      </c>
      <c r="P177" s="27" t="s">
        <v>539</v>
      </c>
      <c r="Q177" s="27">
        <v>0</v>
      </c>
      <c r="R177" s="27">
        <v>9</v>
      </c>
      <c r="S177" s="27">
        <v>112156.16</v>
      </c>
      <c r="T177" s="27">
        <v>9</v>
      </c>
      <c r="U177" s="27">
        <v>112156.16</v>
      </c>
      <c r="V177" s="27">
        <v>0</v>
      </c>
      <c r="W177" s="27">
        <v>0</v>
      </c>
      <c r="X177" s="27">
        <v>0</v>
      </c>
      <c r="Y177" s="27">
        <v>224312.32000000001</v>
      </c>
      <c r="Z177" s="27">
        <v>0</v>
      </c>
      <c r="AA177" s="27" t="s">
        <v>185</v>
      </c>
      <c r="AB177" s="27" t="s">
        <v>184</v>
      </c>
      <c r="AC177" s="27">
        <v>39232999</v>
      </c>
      <c r="AD177" s="27" t="s">
        <v>201</v>
      </c>
      <c r="AE177" s="27">
        <v>1</v>
      </c>
      <c r="AF177" s="27">
        <v>6617</v>
      </c>
      <c r="AG177" s="27" t="s">
        <v>202</v>
      </c>
    </row>
    <row r="178" spans="2:33" hidden="1" x14ac:dyDescent="0.25">
      <c r="B178" s="26">
        <v>46258</v>
      </c>
      <c r="C178" s="27" t="s">
        <v>226</v>
      </c>
      <c r="D178" s="27" t="s">
        <v>199</v>
      </c>
      <c r="E178" s="27">
        <v>532</v>
      </c>
      <c r="F178" s="27" t="s">
        <v>324</v>
      </c>
      <c r="G178" s="27" t="s">
        <v>537</v>
      </c>
      <c r="H178" s="26">
        <v>46258</v>
      </c>
      <c r="I178" s="27" t="s">
        <v>188</v>
      </c>
      <c r="J178" s="27" t="s">
        <v>152</v>
      </c>
      <c r="K178" s="27" t="s">
        <v>152</v>
      </c>
      <c r="L178" s="27" t="s">
        <v>200</v>
      </c>
      <c r="M178" s="27" t="s">
        <v>187</v>
      </c>
      <c r="N178" s="27">
        <v>1004</v>
      </c>
      <c r="O178" s="27">
        <v>198661.48</v>
      </c>
      <c r="P178" s="27" t="s">
        <v>540</v>
      </c>
      <c r="Q178" s="27">
        <v>0</v>
      </c>
      <c r="R178" s="27">
        <v>9</v>
      </c>
      <c r="S178" s="27">
        <v>17879.53</v>
      </c>
      <c r="T178" s="27">
        <v>9</v>
      </c>
      <c r="U178" s="27">
        <v>17879.53</v>
      </c>
      <c r="V178" s="27">
        <v>0</v>
      </c>
      <c r="W178" s="27">
        <v>0</v>
      </c>
      <c r="X178" s="27">
        <v>0</v>
      </c>
      <c r="Y178" s="27">
        <v>35759.06</v>
      </c>
      <c r="Z178" s="27">
        <v>0</v>
      </c>
      <c r="AA178" s="27" t="s">
        <v>185</v>
      </c>
      <c r="AB178" s="27" t="s">
        <v>184</v>
      </c>
      <c r="AC178" s="27">
        <v>39232999</v>
      </c>
      <c r="AD178" s="27" t="s">
        <v>201</v>
      </c>
      <c r="AE178" s="27">
        <v>1</v>
      </c>
      <c r="AF178" s="27">
        <v>1004</v>
      </c>
      <c r="AG178" s="27" t="s">
        <v>202</v>
      </c>
    </row>
    <row r="179" spans="2:33" hidden="1" x14ac:dyDescent="0.25">
      <c r="B179" s="26">
        <v>46258</v>
      </c>
      <c r="C179" s="27" t="s">
        <v>226</v>
      </c>
      <c r="D179" s="27" t="s">
        <v>199</v>
      </c>
      <c r="E179" s="27">
        <v>532</v>
      </c>
      <c r="F179" s="27" t="s">
        <v>324</v>
      </c>
      <c r="G179" s="27" t="s">
        <v>537</v>
      </c>
      <c r="H179" s="26">
        <v>46258</v>
      </c>
      <c r="I179" s="27" t="s">
        <v>188</v>
      </c>
      <c r="J179" s="27" t="s">
        <v>152</v>
      </c>
      <c r="K179" s="27" t="s">
        <v>152</v>
      </c>
      <c r="L179" s="27" t="s">
        <v>200</v>
      </c>
      <c r="M179" s="27" t="s">
        <v>191</v>
      </c>
      <c r="N179" s="27">
        <v>2971</v>
      </c>
      <c r="O179" s="27">
        <v>747147.08</v>
      </c>
      <c r="P179" s="27" t="s">
        <v>541</v>
      </c>
      <c r="Q179" s="27">
        <v>0</v>
      </c>
      <c r="R179" s="27">
        <v>9</v>
      </c>
      <c r="S179" s="27">
        <v>67243.240000000005</v>
      </c>
      <c r="T179" s="27">
        <v>9</v>
      </c>
      <c r="U179" s="27">
        <v>67243.240000000005</v>
      </c>
      <c r="V179" s="27">
        <v>0</v>
      </c>
      <c r="W179" s="27">
        <v>0</v>
      </c>
      <c r="X179" s="27">
        <v>0</v>
      </c>
      <c r="Y179" s="27">
        <v>134486.48000000001</v>
      </c>
      <c r="Z179" s="27">
        <v>0</v>
      </c>
      <c r="AA179" s="27" t="s">
        <v>185</v>
      </c>
      <c r="AB179" s="27" t="s">
        <v>184</v>
      </c>
      <c r="AC179" s="27">
        <v>39232999</v>
      </c>
      <c r="AD179" s="27" t="s">
        <v>201</v>
      </c>
      <c r="AE179" s="27">
        <v>1</v>
      </c>
      <c r="AF179" s="27">
        <v>2971</v>
      </c>
      <c r="AG179" s="27" t="s">
        <v>202</v>
      </c>
    </row>
    <row r="180" spans="2:33" hidden="1" x14ac:dyDescent="0.25">
      <c r="B180" s="26">
        <v>46258</v>
      </c>
      <c r="C180" s="27" t="s">
        <v>226</v>
      </c>
      <c r="D180" s="27" t="s">
        <v>199</v>
      </c>
      <c r="E180" s="27">
        <v>532</v>
      </c>
      <c r="F180" s="27" t="s">
        <v>324</v>
      </c>
      <c r="G180" s="27" t="s">
        <v>537</v>
      </c>
      <c r="H180" s="26">
        <v>46258</v>
      </c>
      <c r="I180" s="27" t="s">
        <v>188</v>
      </c>
      <c r="J180" s="27" t="s">
        <v>152</v>
      </c>
      <c r="K180" s="27" t="s">
        <v>152</v>
      </c>
      <c r="L180" s="27" t="s">
        <v>200</v>
      </c>
      <c r="M180" s="27" t="s">
        <v>187</v>
      </c>
      <c r="N180" s="27">
        <v>1326</v>
      </c>
      <c r="O180" s="27">
        <v>248611.74</v>
      </c>
      <c r="P180" s="27" t="s">
        <v>542</v>
      </c>
      <c r="Q180" s="27">
        <v>0</v>
      </c>
      <c r="R180" s="27">
        <v>9</v>
      </c>
      <c r="S180" s="27">
        <v>22375.06</v>
      </c>
      <c r="T180" s="27">
        <v>9</v>
      </c>
      <c r="U180" s="27">
        <v>22375.06</v>
      </c>
      <c r="V180" s="27">
        <v>0</v>
      </c>
      <c r="W180" s="27">
        <v>0</v>
      </c>
      <c r="X180" s="27">
        <v>0</v>
      </c>
      <c r="Y180" s="27">
        <v>44750.12</v>
      </c>
      <c r="Z180" s="27">
        <v>0</v>
      </c>
      <c r="AA180" s="27" t="s">
        <v>185</v>
      </c>
      <c r="AB180" s="27" t="s">
        <v>184</v>
      </c>
      <c r="AC180" s="27">
        <v>39232999</v>
      </c>
      <c r="AD180" s="27" t="s">
        <v>201</v>
      </c>
      <c r="AE180" s="27">
        <v>1</v>
      </c>
      <c r="AF180" s="27">
        <v>1326</v>
      </c>
      <c r="AG180" s="27" t="s">
        <v>202</v>
      </c>
    </row>
    <row r="181" spans="2:33" hidden="1" x14ac:dyDescent="0.25">
      <c r="B181" s="26">
        <v>46258</v>
      </c>
      <c r="C181" s="27" t="s">
        <v>226</v>
      </c>
      <c r="D181" s="27" t="s">
        <v>199</v>
      </c>
      <c r="E181" s="27">
        <v>532</v>
      </c>
      <c r="F181" s="27" t="s">
        <v>324</v>
      </c>
      <c r="G181" s="27" t="s">
        <v>537</v>
      </c>
      <c r="H181" s="26">
        <v>46258</v>
      </c>
      <c r="I181" s="27" t="s">
        <v>188</v>
      </c>
      <c r="J181" s="27" t="s">
        <v>152</v>
      </c>
      <c r="K181" s="27" t="s">
        <v>152</v>
      </c>
      <c r="L181" s="27" t="s">
        <v>200</v>
      </c>
      <c r="M181" s="27" t="s">
        <v>187</v>
      </c>
      <c r="N181" s="27">
        <v>3692</v>
      </c>
      <c r="O181" s="27">
        <v>684422.96</v>
      </c>
      <c r="P181" s="27" t="s">
        <v>543</v>
      </c>
      <c r="Q181" s="27">
        <v>0</v>
      </c>
      <c r="R181" s="27">
        <v>9</v>
      </c>
      <c r="S181" s="27">
        <v>61598.07</v>
      </c>
      <c r="T181" s="27">
        <v>9</v>
      </c>
      <c r="U181" s="27">
        <v>61598.07</v>
      </c>
      <c r="V181" s="27">
        <v>0</v>
      </c>
      <c r="W181" s="27">
        <v>0</v>
      </c>
      <c r="X181" s="27">
        <v>0</v>
      </c>
      <c r="Y181" s="27">
        <v>123196.14</v>
      </c>
      <c r="Z181" s="27">
        <v>0</v>
      </c>
      <c r="AA181" s="27" t="s">
        <v>185</v>
      </c>
      <c r="AB181" s="27" t="s">
        <v>184</v>
      </c>
      <c r="AC181" s="27">
        <v>39232999</v>
      </c>
      <c r="AD181" s="27" t="s">
        <v>201</v>
      </c>
      <c r="AE181" s="27">
        <v>1</v>
      </c>
      <c r="AF181" s="27">
        <v>3692</v>
      </c>
      <c r="AG181" s="27" t="s">
        <v>202</v>
      </c>
    </row>
    <row r="182" spans="2:33" hidden="1" x14ac:dyDescent="0.25">
      <c r="B182" s="26">
        <v>46258</v>
      </c>
      <c r="C182" s="27" t="s">
        <v>226</v>
      </c>
      <c r="D182" s="27" t="s">
        <v>199</v>
      </c>
      <c r="E182" s="27">
        <v>532</v>
      </c>
      <c r="F182" s="27" t="s">
        <v>324</v>
      </c>
      <c r="G182" s="27" t="s">
        <v>537</v>
      </c>
      <c r="H182" s="26">
        <v>46258</v>
      </c>
      <c r="I182" s="27" t="s">
        <v>188</v>
      </c>
      <c r="J182" s="27" t="s">
        <v>152</v>
      </c>
      <c r="K182" s="27" t="s">
        <v>152</v>
      </c>
      <c r="L182" s="27" t="s">
        <v>200</v>
      </c>
      <c r="M182" s="27" t="s">
        <v>187</v>
      </c>
      <c r="N182" s="27">
        <v>1770</v>
      </c>
      <c r="O182" s="27">
        <v>334105.2</v>
      </c>
      <c r="P182" s="27" t="s">
        <v>544</v>
      </c>
      <c r="Q182" s="27">
        <v>0</v>
      </c>
      <c r="R182" s="27">
        <v>9</v>
      </c>
      <c r="S182" s="27">
        <v>30069.47</v>
      </c>
      <c r="T182" s="27">
        <v>9</v>
      </c>
      <c r="U182" s="27">
        <v>30069.47</v>
      </c>
      <c r="V182" s="27">
        <v>0</v>
      </c>
      <c r="W182" s="27">
        <v>0</v>
      </c>
      <c r="X182" s="27">
        <v>0</v>
      </c>
      <c r="Y182" s="27">
        <v>60138.94</v>
      </c>
      <c r="Z182" s="27">
        <v>0</v>
      </c>
      <c r="AA182" s="27" t="s">
        <v>185</v>
      </c>
      <c r="AB182" s="27" t="s">
        <v>184</v>
      </c>
      <c r="AC182" s="27">
        <v>39232999</v>
      </c>
      <c r="AD182" s="27" t="s">
        <v>201</v>
      </c>
      <c r="AE182" s="27">
        <v>1</v>
      </c>
      <c r="AF182" s="27">
        <v>1770</v>
      </c>
      <c r="AG182" s="27" t="s">
        <v>202</v>
      </c>
    </row>
    <row r="183" spans="2:33" hidden="1" x14ac:dyDescent="0.25">
      <c r="B183" s="26">
        <v>46258</v>
      </c>
      <c r="C183" s="27" t="s">
        <v>219</v>
      </c>
      <c r="D183" s="27" t="s">
        <v>199</v>
      </c>
      <c r="E183" s="27">
        <v>533</v>
      </c>
      <c r="F183" s="27" t="s">
        <v>220</v>
      </c>
      <c r="G183" s="27" t="s">
        <v>545</v>
      </c>
      <c r="H183" s="26">
        <v>46258</v>
      </c>
      <c r="I183" s="27" t="s">
        <v>169</v>
      </c>
      <c r="J183" s="27" t="s">
        <v>179</v>
      </c>
      <c r="K183" s="27" t="s">
        <v>156</v>
      </c>
      <c r="L183" s="27" t="s">
        <v>211</v>
      </c>
      <c r="M183" s="27" t="s">
        <v>178</v>
      </c>
      <c r="N183" s="27">
        <v>14863</v>
      </c>
      <c r="O183" s="27">
        <v>891780</v>
      </c>
      <c r="P183" s="27" t="s">
        <v>281</v>
      </c>
      <c r="Q183" s="27">
        <v>1051408.6200000001</v>
      </c>
      <c r="R183" s="27">
        <v>0</v>
      </c>
      <c r="S183" s="27">
        <v>0</v>
      </c>
      <c r="T183" s="27">
        <v>0</v>
      </c>
      <c r="U183" s="27">
        <v>0</v>
      </c>
      <c r="V183" s="27">
        <v>18</v>
      </c>
      <c r="W183" s="27">
        <v>160520.4</v>
      </c>
      <c r="X183" s="27">
        <v>0</v>
      </c>
      <c r="Y183" s="27">
        <v>160520.4</v>
      </c>
      <c r="Z183" s="27">
        <v>0</v>
      </c>
      <c r="AA183" s="27" t="s">
        <v>221</v>
      </c>
      <c r="AB183" s="27" t="s">
        <v>184</v>
      </c>
      <c r="AC183" s="27">
        <v>39269080</v>
      </c>
      <c r="AD183" s="27" t="s">
        <v>201</v>
      </c>
      <c r="AE183" s="27">
        <v>1</v>
      </c>
      <c r="AF183" s="27">
        <v>14863</v>
      </c>
      <c r="AG183" s="27" t="s">
        <v>202</v>
      </c>
    </row>
    <row r="184" spans="2:33" x14ac:dyDescent="0.25">
      <c r="B184" s="26">
        <v>46258</v>
      </c>
      <c r="C184" s="27" t="s">
        <v>212</v>
      </c>
      <c r="D184" s="27" t="s">
        <v>199</v>
      </c>
      <c r="E184" s="27">
        <v>531</v>
      </c>
      <c r="F184" s="27" t="s">
        <v>223</v>
      </c>
      <c r="G184" s="27" t="s">
        <v>546</v>
      </c>
      <c r="H184" s="26">
        <v>46258</v>
      </c>
      <c r="I184" s="27" t="s">
        <v>169</v>
      </c>
      <c r="J184" s="27" t="s">
        <v>181</v>
      </c>
      <c r="K184" s="27" t="s">
        <v>154</v>
      </c>
      <c r="L184" s="27" t="s">
        <v>154</v>
      </c>
      <c r="M184" s="27" t="s">
        <v>181</v>
      </c>
      <c r="N184" s="27">
        <v>97.2</v>
      </c>
      <c r="O184" s="27">
        <v>13469.98</v>
      </c>
      <c r="P184" s="27" t="s">
        <v>503</v>
      </c>
      <c r="Q184" s="27">
        <v>23597.67</v>
      </c>
      <c r="R184" s="27">
        <v>9</v>
      </c>
      <c r="S184" s="27">
        <v>1212.3</v>
      </c>
      <c r="T184" s="27">
        <v>9</v>
      </c>
      <c r="U184" s="27">
        <v>1212.3</v>
      </c>
      <c r="V184" s="27">
        <v>0</v>
      </c>
      <c r="W184" s="27">
        <v>0</v>
      </c>
      <c r="X184" s="27">
        <v>0</v>
      </c>
      <c r="Y184" s="27">
        <v>2424.6</v>
      </c>
      <c r="Z184" s="27">
        <v>0</v>
      </c>
      <c r="AA184" s="27" t="s">
        <v>176</v>
      </c>
      <c r="AB184" s="27" t="s">
        <v>184</v>
      </c>
      <c r="AC184" s="27">
        <v>39269080</v>
      </c>
      <c r="AD184" s="27" t="s">
        <v>201</v>
      </c>
      <c r="AE184" s="27">
        <v>1</v>
      </c>
      <c r="AF184" s="27">
        <v>97.2</v>
      </c>
      <c r="AG184" s="27" t="s">
        <v>202</v>
      </c>
    </row>
    <row r="185" spans="2:33" hidden="1" x14ac:dyDescent="0.25">
      <c r="B185" s="26">
        <v>46258</v>
      </c>
      <c r="C185" s="27" t="s">
        <v>212</v>
      </c>
      <c r="D185" s="27" t="s">
        <v>199</v>
      </c>
      <c r="E185" s="27">
        <v>531</v>
      </c>
      <c r="F185" s="27" t="s">
        <v>223</v>
      </c>
      <c r="G185" s="27" t="s">
        <v>546</v>
      </c>
      <c r="H185" s="26">
        <v>46258</v>
      </c>
      <c r="I185" s="27" t="s">
        <v>169</v>
      </c>
      <c r="J185" s="27" t="s">
        <v>197</v>
      </c>
      <c r="K185" s="27" t="s">
        <v>158</v>
      </c>
      <c r="L185" s="27" t="s">
        <v>213</v>
      </c>
      <c r="M185" s="27" t="s">
        <v>196</v>
      </c>
      <c r="N185" s="27">
        <v>23.8</v>
      </c>
      <c r="O185" s="27">
        <v>6545</v>
      </c>
      <c r="P185" s="27" t="s">
        <v>196</v>
      </c>
      <c r="Q185" s="27">
        <v>0</v>
      </c>
      <c r="R185" s="27">
        <v>9</v>
      </c>
      <c r="S185" s="27">
        <v>589.04999999999995</v>
      </c>
      <c r="T185" s="27">
        <v>9</v>
      </c>
      <c r="U185" s="27">
        <v>589.04999999999995</v>
      </c>
      <c r="V185" s="27">
        <v>0</v>
      </c>
      <c r="W185" s="27">
        <v>0</v>
      </c>
      <c r="X185" s="27">
        <v>0</v>
      </c>
      <c r="Y185" s="27">
        <v>1178.0999999999999</v>
      </c>
      <c r="Z185" s="27">
        <v>0</v>
      </c>
      <c r="AA185" s="27" t="s">
        <v>176</v>
      </c>
      <c r="AB185" s="27" t="s">
        <v>184</v>
      </c>
      <c r="AC185" s="27">
        <v>39201019</v>
      </c>
      <c r="AD185" s="27" t="s">
        <v>201</v>
      </c>
      <c r="AE185" s="27">
        <v>1</v>
      </c>
      <c r="AF185" s="27">
        <v>23.8</v>
      </c>
      <c r="AG185" s="27" t="s">
        <v>202</v>
      </c>
    </row>
    <row r="186" spans="2:33" hidden="1" x14ac:dyDescent="0.25">
      <c r="B186" s="26">
        <v>46259</v>
      </c>
      <c r="C186" s="27" t="s">
        <v>212</v>
      </c>
      <c r="D186" s="27" t="s">
        <v>199</v>
      </c>
      <c r="E186" s="27">
        <v>534</v>
      </c>
      <c r="F186" s="27" t="s">
        <v>324</v>
      </c>
      <c r="G186" s="27" t="s">
        <v>547</v>
      </c>
      <c r="H186" s="26">
        <v>46259</v>
      </c>
      <c r="I186" s="27" t="s">
        <v>169</v>
      </c>
      <c r="J186" s="27" t="s">
        <v>179</v>
      </c>
      <c r="K186" s="27" t="s">
        <v>155</v>
      </c>
      <c r="L186" s="27" t="s">
        <v>203</v>
      </c>
      <c r="M186" s="27" t="s">
        <v>183</v>
      </c>
      <c r="N186" s="27">
        <v>690</v>
      </c>
      <c r="O186" s="27">
        <v>92170.2</v>
      </c>
      <c r="P186" s="27" t="s">
        <v>183</v>
      </c>
      <c r="Q186" s="27">
        <v>189713.44</v>
      </c>
      <c r="R186" s="27">
        <v>9</v>
      </c>
      <c r="S186" s="27">
        <v>8295.32</v>
      </c>
      <c r="T186" s="27">
        <v>9</v>
      </c>
      <c r="U186" s="27">
        <v>8295.32</v>
      </c>
      <c r="V186" s="27">
        <v>0</v>
      </c>
      <c r="W186" s="27">
        <v>0</v>
      </c>
      <c r="X186" s="27">
        <v>0</v>
      </c>
      <c r="Y186" s="27">
        <v>16590.64</v>
      </c>
      <c r="Z186" s="27">
        <v>0</v>
      </c>
      <c r="AA186" s="27" t="s">
        <v>176</v>
      </c>
      <c r="AB186" s="27" t="s">
        <v>184</v>
      </c>
      <c r="AC186" s="27">
        <v>39269080</v>
      </c>
      <c r="AD186" s="27" t="s">
        <v>201</v>
      </c>
      <c r="AE186" s="27">
        <v>1</v>
      </c>
      <c r="AF186" s="27">
        <v>690</v>
      </c>
      <c r="AG186" s="27" t="s">
        <v>202</v>
      </c>
    </row>
    <row r="187" spans="2:33" hidden="1" x14ac:dyDescent="0.25">
      <c r="B187" s="26">
        <v>46259</v>
      </c>
      <c r="C187" s="27" t="s">
        <v>212</v>
      </c>
      <c r="D187" s="27" t="s">
        <v>199</v>
      </c>
      <c r="E187" s="27">
        <v>534</v>
      </c>
      <c r="F187" s="27" t="s">
        <v>324</v>
      </c>
      <c r="G187" s="27" t="s">
        <v>547</v>
      </c>
      <c r="H187" s="26">
        <v>46259</v>
      </c>
      <c r="I187" s="27" t="s">
        <v>169</v>
      </c>
      <c r="J187" s="27" t="s">
        <v>179</v>
      </c>
      <c r="K187" s="27" t="s">
        <v>155</v>
      </c>
      <c r="L187" s="27" t="s">
        <v>203</v>
      </c>
      <c r="M187" s="27" t="s">
        <v>183</v>
      </c>
      <c r="N187" s="27">
        <v>514.6</v>
      </c>
      <c r="O187" s="27">
        <v>68740.27</v>
      </c>
      <c r="P187" s="27" t="s">
        <v>183</v>
      </c>
      <c r="Q187" s="27">
        <v>0</v>
      </c>
      <c r="R187" s="27">
        <v>9</v>
      </c>
      <c r="S187" s="27">
        <v>6186.62</v>
      </c>
      <c r="T187" s="27">
        <v>9</v>
      </c>
      <c r="U187" s="27">
        <v>6186.62</v>
      </c>
      <c r="V187" s="27">
        <v>0</v>
      </c>
      <c r="W187" s="27">
        <v>0</v>
      </c>
      <c r="X187" s="27">
        <v>0</v>
      </c>
      <c r="Y187" s="27">
        <v>12373.24</v>
      </c>
      <c r="Z187" s="27">
        <v>0</v>
      </c>
      <c r="AA187" s="27" t="s">
        <v>176</v>
      </c>
      <c r="AB187" s="27" t="s">
        <v>184</v>
      </c>
      <c r="AC187" s="27">
        <v>39269080</v>
      </c>
      <c r="AD187" s="27" t="s">
        <v>201</v>
      </c>
      <c r="AE187" s="27">
        <v>1</v>
      </c>
      <c r="AF187" s="27">
        <v>514.6</v>
      </c>
      <c r="AG187" s="27" t="s">
        <v>202</v>
      </c>
    </row>
    <row r="188" spans="2:33" hidden="1" x14ac:dyDescent="0.25">
      <c r="B188" s="26">
        <v>46260</v>
      </c>
      <c r="C188" s="27" t="s">
        <v>215</v>
      </c>
      <c r="D188" s="27" t="s">
        <v>205</v>
      </c>
      <c r="E188" s="27" t="s">
        <v>548</v>
      </c>
      <c r="F188" s="27" t="s">
        <v>216</v>
      </c>
      <c r="G188" s="27" t="s">
        <v>548</v>
      </c>
      <c r="H188" s="26">
        <v>46260</v>
      </c>
      <c r="I188" s="27" t="s">
        <v>188</v>
      </c>
      <c r="J188" s="27" t="s">
        <v>152</v>
      </c>
      <c r="K188" s="27" t="s">
        <v>163</v>
      </c>
      <c r="L188" s="27" t="s">
        <v>200</v>
      </c>
      <c r="M188" s="27" t="s">
        <v>187</v>
      </c>
      <c r="N188" s="27">
        <v>19631</v>
      </c>
      <c r="O188" s="27">
        <v>4723997.8391959202</v>
      </c>
      <c r="P188" s="27" t="s">
        <v>217</v>
      </c>
      <c r="Q188" s="27">
        <v>4723997.84</v>
      </c>
      <c r="R188" s="27">
        <v>0</v>
      </c>
      <c r="S188" s="27">
        <v>0</v>
      </c>
      <c r="T188" s="27">
        <v>0</v>
      </c>
      <c r="U188" s="27">
        <v>0</v>
      </c>
      <c r="V188" s="27">
        <v>0</v>
      </c>
      <c r="W188" s="27">
        <v>0</v>
      </c>
      <c r="X188" s="27">
        <v>0</v>
      </c>
      <c r="Y188" s="27">
        <v>0</v>
      </c>
      <c r="Z188" s="27">
        <v>0</v>
      </c>
      <c r="AA188" s="27" t="s">
        <v>214</v>
      </c>
      <c r="AB188" s="27" t="s">
        <v>184</v>
      </c>
      <c r="AC188" s="27">
        <v>63053200</v>
      </c>
      <c r="AD188" s="27" t="s">
        <v>209</v>
      </c>
      <c r="AE188" s="27">
        <v>94.8</v>
      </c>
      <c r="AF188" s="27">
        <v>19631</v>
      </c>
      <c r="AG188" s="27" t="s">
        <v>218</v>
      </c>
    </row>
    <row r="189" spans="2:33" hidden="1" x14ac:dyDescent="0.25">
      <c r="B189" s="26">
        <v>46260</v>
      </c>
      <c r="C189" s="27" t="s">
        <v>198</v>
      </c>
      <c r="D189" s="27" t="s">
        <v>199</v>
      </c>
      <c r="E189" s="27">
        <v>540</v>
      </c>
      <c r="F189" s="27" t="s">
        <v>324</v>
      </c>
      <c r="G189" s="27" t="s">
        <v>549</v>
      </c>
      <c r="H189" s="26">
        <v>46260</v>
      </c>
      <c r="I189" s="27" t="s">
        <v>169</v>
      </c>
      <c r="J189" s="27" t="s">
        <v>179</v>
      </c>
      <c r="K189" s="27" t="s">
        <v>156</v>
      </c>
      <c r="L189" s="27" t="s">
        <v>211</v>
      </c>
      <c r="M189" s="27" t="s">
        <v>178</v>
      </c>
      <c r="N189" s="27">
        <v>346</v>
      </c>
      <c r="O189" s="27">
        <v>47602.68</v>
      </c>
      <c r="P189" s="27" t="s">
        <v>178</v>
      </c>
      <c r="Q189" s="27">
        <v>89106.58</v>
      </c>
      <c r="R189" s="27">
        <v>9</v>
      </c>
      <c r="S189" s="27">
        <v>4284.24</v>
      </c>
      <c r="T189" s="27">
        <v>9</v>
      </c>
      <c r="U189" s="27">
        <v>4284.24</v>
      </c>
      <c r="V189" s="27">
        <v>0</v>
      </c>
      <c r="W189" s="27">
        <v>0</v>
      </c>
      <c r="X189" s="27">
        <v>0</v>
      </c>
      <c r="Y189" s="27">
        <v>8568.48</v>
      </c>
      <c r="Z189" s="27">
        <v>0</v>
      </c>
      <c r="AA189" s="27" t="s">
        <v>185</v>
      </c>
      <c r="AB189" s="27" t="s">
        <v>184</v>
      </c>
      <c r="AC189" s="27">
        <v>39269080</v>
      </c>
      <c r="AD189" s="27" t="s">
        <v>201</v>
      </c>
      <c r="AE189" s="27">
        <v>1</v>
      </c>
      <c r="AF189" s="27">
        <v>346</v>
      </c>
      <c r="AG189" s="27" t="s">
        <v>202</v>
      </c>
    </row>
    <row r="190" spans="2:33" hidden="1" x14ac:dyDescent="0.25">
      <c r="B190" s="26">
        <v>46260</v>
      </c>
      <c r="C190" s="27" t="s">
        <v>198</v>
      </c>
      <c r="D190" s="27" t="s">
        <v>199</v>
      </c>
      <c r="E190" s="27">
        <v>540</v>
      </c>
      <c r="F190" s="27" t="s">
        <v>324</v>
      </c>
      <c r="G190" s="27" t="s">
        <v>549</v>
      </c>
      <c r="H190" s="26">
        <v>46260</v>
      </c>
      <c r="I190" s="27" t="s">
        <v>169</v>
      </c>
      <c r="J190" s="27" t="s">
        <v>179</v>
      </c>
      <c r="K190" s="27" t="s">
        <v>156</v>
      </c>
      <c r="L190" s="27" t="s">
        <v>211</v>
      </c>
      <c r="M190" s="27" t="s">
        <v>178</v>
      </c>
      <c r="N190" s="27">
        <v>199</v>
      </c>
      <c r="O190" s="27">
        <v>27975.42</v>
      </c>
      <c r="P190" s="27" t="s">
        <v>178</v>
      </c>
      <c r="Q190" s="27">
        <v>0</v>
      </c>
      <c r="R190" s="27">
        <v>9</v>
      </c>
      <c r="S190" s="27">
        <v>2517.79</v>
      </c>
      <c r="T190" s="27">
        <v>9</v>
      </c>
      <c r="U190" s="27">
        <v>2517.79</v>
      </c>
      <c r="V190" s="27">
        <v>0</v>
      </c>
      <c r="W190" s="27">
        <v>0</v>
      </c>
      <c r="X190" s="27">
        <v>0</v>
      </c>
      <c r="Y190" s="27">
        <v>5035.58</v>
      </c>
      <c r="Z190" s="27">
        <v>0</v>
      </c>
      <c r="AA190" s="27" t="s">
        <v>185</v>
      </c>
      <c r="AB190" s="27" t="s">
        <v>184</v>
      </c>
      <c r="AC190" s="27">
        <v>39269080</v>
      </c>
      <c r="AD190" s="27" t="s">
        <v>201</v>
      </c>
      <c r="AE190" s="27">
        <v>1</v>
      </c>
      <c r="AF190" s="27">
        <v>199</v>
      </c>
      <c r="AG190" s="27" t="s">
        <v>202</v>
      </c>
    </row>
    <row r="191" spans="2:33" hidden="1" x14ac:dyDescent="0.25">
      <c r="B191" s="30">
        <v>46260</v>
      </c>
      <c r="C191" s="31" t="s">
        <v>198</v>
      </c>
      <c r="D191" s="31" t="s">
        <v>199</v>
      </c>
      <c r="E191" s="31">
        <v>541</v>
      </c>
      <c r="F191" s="31" t="s">
        <v>324</v>
      </c>
      <c r="G191" s="31" t="s">
        <v>550</v>
      </c>
      <c r="H191" s="30">
        <v>46260</v>
      </c>
      <c r="I191" s="31" t="s">
        <v>169</v>
      </c>
      <c r="J191" s="31" t="s">
        <v>179</v>
      </c>
      <c r="K191" s="36" t="s">
        <v>155</v>
      </c>
      <c r="L191" s="31" t="s">
        <v>211</v>
      </c>
      <c r="M191" s="31" t="s">
        <v>178</v>
      </c>
      <c r="N191" s="31">
        <v>533.70000000000005</v>
      </c>
      <c r="O191" s="31">
        <v>72359.05</v>
      </c>
      <c r="P191" s="31" t="s">
        <v>178</v>
      </c>
      <c r="Q191" s="31">
        <v>85311.31</v>
      </c>
      <c r="R191" s="31">
        <v>9</v>
      </c>
      <c r="S191" s="31">
        <v>6512.31</v>
      </c>
      <c r="T191" s="31">
        <v>9</v>
      </c>
      <c r="U191" s="31">
        <v>6512.31</v>
      </c>
      <c r="V191" s="31">
        <v>0</v>
      </c>
      <c r="W191" s="31">
        <v>0</v>
      </c>
      <c r="X191" s="31">
        <v>0</v>
      </c>
      <c r="Y191" s="31">
        <v>13024.62</v>
      </c>
      <c r="Z191" s="31">
        <v>0</v>
      </c>
      <c r="AA191" s="31" t="s">
        <v>185</v>
      </c>
      <c r="AB191" s="31" t="s">
        <v>184</v>
      </c>
      <c r="AC191" s="31">
        <v>39269080</v>
      </c>
      <c r="AD191" s="31" t="s">
        <v>201</v>
      </c>
      <c r="AE191" s="31">
        <v>1</v>
      </c>
      <c r="AF191" s="31">
        <v>533.70000000000005</v>
      </c>
      <c r="AG191" s="31" t="s">
        <v>202</v>
      </c>
    </row>
    <row r="192" spans="2:33" hidden="1" x14ac:dyDescent="0.25">
      <c r="B192" s="26">
        <v>46260</v>
      </c>
      <c r="C192" s="27" t="s">
        <v>198</v>
      </c>
      <c r="D192" s="27" t="s">
        <v>199</v>
      </c>
      <c r="E192" s="27">
        <v>543</v>
      </c>
      <c r="F192" s="27" t="s">
        <v>223</v>
      </c>
      <c r="G192" s="27" t="s">
        <v>551</v>
      </c>
      <c r="H192" s="26">
        <v>46260</v>
      </c>
      <c r="I192" s="27" t="s">
        <v>169</v>
      </c>
      <c r="J192" s="27" t="s">
        <v>197</v>
      </c>
      <c r="K192" s="27" t="s">
        <v>158</v>
      </c>
      <c r="L192" s="27" t="s">
        <v>213</v>
      </c>
      <c r="M192" s="27" t="s">
        <v>196</v>
      </c>
      <c r="N192" s="27">
        <v>35.5</v>
      </c>
      <c r="O192" s="27">
        <v>9230</v>
      </c>
      <c r="P192" s="27" t="s">
        <v>196</v>
      </c>
      <c r="Q192" s="27">
        <v>10882.17</v>
      </c>
      <c r="R192" s="27">
        <v>9</v>
      </c>
      <c r="S192" s="27">
        <v>830.7</v>
      </c>
      <c r="T192" s="27">
        <v>9</v>
      </c>
      <c r="U192" s="27">
        <v>830.7</v>
      </c>
      <c r="V192" s="27">
        <v>0</v>
      </c>
      <c r="W192" s="27">
        <v>0</v>
      </c>
      <c r="X192" s="27">
        <v>0</v>
      </c>
      <c r="Y192" s="27">
        <v>1661.4</v>
      </c>
      <c r="Z192" s="27">
        <v>0</v>
      </c>
      <c r="AA192" s="27" t="s">
        <v>185</v>
      </c>
      <c r="AB192" s="27" t="s">
        <v>184</v>
      </c>
      <c r="AC192" s="27">
        <v>39201019</v>
      </c>
      <c r="AD192" s="27" t="s">
        <v>201</v>
      </c>
      <c r="AE192" s="27">
        <v>1</v>
      </c>
      <c r="AF192" s="27">
        <v>35.5</v>
      </c>
      <c r="AG192" s="27" t="s">
        <v>202</v>
      </c>
    </row>
    <row r="193" spans="2:33" hidden="1" x14ac:dyDescent="0.25">
      <c r="B193" s="26">
        <v>46260</v>
      </c>
      <c r="C193" s="27" t="s">
        <v>204</v>
      </c>
      <c r="D193" s="27" t="s">
        <v>205</v>
      </c>
      <c r="E193" s="27" t="s">
        <v>552</v>
      </c>
      <c r="F193" s="27" t="s">
        <v>553</v>
      </c>
      <c r="G193" s="27" t="s">
        <v>552</v>
      </c>
      <c r="H193" s="26">
        <v>46260</v>
      </c>
      <c r="I193" s="27" t="s">
        <v>188</v>
      </c>
      <c r="J193" s="27" t="s">
        <v>152</v>
      </c>
      <c r="K193" s="27" t="s">
        <v>162</v>
      </c>
      <c r="L193" s="27" t="s">
        <v>200</v>
      </c>
      <c r="M193" s="27" t="s">
        <v>191</v>
      </c>
      <c r="N193" s="27">
        <v>2486.9499999999998</v>
      </c>
      <c r="O193" s="27">
        <v>460085.74999999994</v>
      </c>
      <c r="P193" s="27" t="s">
        <v>554</v>
      </c>
      <c r="Q193" s="27">
        <v>459625.66</v>
      </c>
      <c r="R193" s="27">
        <v>0</v>
      </c>
      <c r="S193" s="27">
        <v>0</v>
      </c>
      <c r="T193" s="27">
        <v>0</v>
      </c>
      <c r="U193" s="27">
        <v>0</v>
      </c>
      <c r="V193" s="27">
        <v>0</v>
      </c>
      <c r="W193" s="27">
        <v>0</v>
      </c>
      <c r="X193" s="27">
        <v>0</v>
      </c>
      <c r="Y193" s="27">
        <v>0</v>
      </c>
      <c r="Z193" s="27">
        <v>0</v>
      </c>
      <c r="AA193" s="27" t="s">
        <v>208</v>
      </c>
      <c r="AB193" s="27" t="s">
        <v>184</v>
      </c>
      <c r="AC193" s="27">
        <v>63053200</v>
      </c>
      <c r="AD193" s="27" t="s">
        <v>209</v>
      </c>
      <c r="AE193" s="27">
        <v>92.5</v>
      </c>
      <c r="AF193" s="27">
        <v>2486.9499999999998</v>
      </c>
      <c r="AG193" s="27" t="s">
        <v>202</v>
      </c>
    </row>
    <row r="194" spans="2:33" hidden="1" x14ac:dyDescent="0.25">
      <c r="B194" s="26">
        <v>46260</v>
      </c>
      <c r="C194" s="27" t="s">
        <v>204</v>
      </c>
      <c r="D194" s="27" t="s">
        <v>205</v>
      </c>
      <c r="E194" s="27" t="s">
        <v>555</v>
      </c>
      <c r="F194" s="27" t="s">
        <v>206</v>
      </c>
      <c r="G194" s="27" t="s">
        <v>555</v>
      </c>
      <c r="H194" s="26">
        <v>46260</v>
      </c>
      <c r="I194" s="27" t="s">
        <v>188</v>
      </c>
      <c r="J194" s="27" t="s">
        <v>152</v>
      </c>
      <c r="K194" s="27" t="s">
        <v>162</v>
      </c>
      <c r="L194" s="27" t="s">
        <v>200</v>
      </c>
      <c r="M194" s="27" t="s">
        <v>191</v>
      </c>
      <c r="N194" s="27">
        <v>216.05</v>
      </c>
      <c r="O194" s="27">
        <v>40747.03</v>
      </c>
      <c r="P194" s="27" t="s">
        <v>556</v>
      </c>
      <c r="Q194" s="27">
        <v>238161.43</v>
      </c>
      <c r="R194" s="27">
        <v>0</v>
      </c>
      <c r="S194" s="27">
        <v>0</v>
      </c>
      <c r="T194" s="27">
        <v>0</v>
      </c>
      <c r="U194" s="27">
        <v>0</v>
      </c>
      <c r="V194" s="27">
        <v>0</v>
      </c>
      <c r="W194" s="27">
        <v>0</v>
      </c>
      <c r="X194" s="27">
        <v>0</v>
      </c>
      <c r="Y194" s="27">
        <v>0</v>
      </c>
      <c r="Z194" s="27">
        <v>0</v>
      </c>
      <c r="AA194" s="27" t="s">
        <v>208</v>
      </c>
      <c r="AB194" s="27" t="s">
        <v>184</v>
      </c>
      <c r="AC194" s="27">
        <v>63053200</v>
      </c>
      <c r="AD194" s="27" t="s">
        <v>209</v>
      </c>
      <c r="AE194" s="27">
        <v>94.3</v>
      </c>
      <c r="AF194" s="27">
        <v>216.05</v>
      </c>
      <c r="AG194" s="27" t="s">
        <v>202</v>
      </c>
    </row>
    <row r="195" spans="2:33" hidden="1" x14ac:dyDescent="0.25">
      <c r="B195" s="26">
        <v>46260</v>
      </c>
      <c r="C195" s="27" t="s">
        <v>204</v>
      </c>
      <c r="D195" s="27" t="s">
        <v>205</v>
      </c>
      <c r="E195" s="27" t="s">
        <v>555</v>
      </c>
      <c r="F195" s="27" t="s">
        <v>206</v>
      </c>
      <c r="G195" s="27" t="s">
        <v>555</v>
      </c>
      <c r="H195" s="26">
        <v>46260</v>
      </c>
      <c r="I195" s="27" t="s">
        <v>188</v>
      </c>
      <c r="J195" s="27" t="s">
        <v>152</v>
      </c>
      <c r="K195" s="27" t="s">
        <v>162</v>
      </c>
      <c r="L195" s="27" t="s">
        <v>200</v>
      </c>
      <c r="M195" s="27" t="s">
        <v>187</v>
      </c>
      <c r="N195" s="27">
        <v>1048</v>
      </c>
      <c r="O195" s="27">
        <v>197652.8</v>
      </c>
      <c r="P195" s="27" t="s">
        <v>557</v>
      </c>
      <c r="Q195" s="27">
        <v>0</v>
      </c>
      <c r="R195" s="27">
        <v>0</v>
      </c>
      <c r="S195" s="27">
        <v>0</v>
      </c>
      <c r="T195" s="27">
        <v>0</v>
      </c>
      <c r="U195" s="27">
        <v>0</v>
      </c>
      <c r="V195" s="27">
        <v>0</v>
      </c>
      <c r="W195" s="27">
        <v>0</v>
      </c>
      <c r="X195" s="27">
        <v>0</v>
      </c>
      <c r="Y195" s="27">
        <v>0</v>
      </c>
      <c r="Z195" s="27">
        <v>0</v>
      </c>
      <c r="AA195" s="27" t="s">
        <v>208</v>
      </c>
      <c r="AB195" s="27" t="s">
        <v>184</v>
      </c>
      <c r="AC195" s="27">
        <v>63053200</v>
      </c>
      <c r="AD195" s="27" t="s">
        <v>209</v>
      </c>
      <c r="AE195" s="27">
        <v>94.3</v>
      </c>
      <c r="AF195" s="27">
        <v>1048</v>
      </c>
      <c r="AG195" s="27" t="s">
        <v>202</v>
      </c>
    </row>
    <row r="196" spans="2:33" hidden="1" x14ac:dyDescent="0.25">
      <c r="B196" s="26">
        <v>46260</v>
      </c>
      <c r="C196" s="27" t="s">
        <v>212</v>
      </c>
      <c r="D196" s="27" t="s">
        <v>199</v>
      </c>
      <c r="E196" s="27">
        <v>537</v>
      </c>
      <c r="F196" s="27" t="s">
        <v>324</v>
      </c>
      <c r="G196" s="27" t="s">
        <v>558</v>
      </c>
      <c r="H196" s="26">
        <v>46260</v>
      </c>
      <c r="I196" s="27" t="s">
        <v>169</v>
      </c>
      <c r="J196" s="27" t="s">
        <v>179</v>
      </c>
      <c r="K196" s="27" t="s">
        <v>155</v>
      </c>
      <c r="L196" s="27" t="s">
        <v>203</v>
      </c>
      <c r="M196" s="27" t="s">
        <v>183</v>
      </c>
      <c r="N196" s="27">
        <v>535</v>
      </c>
      <c r="O196" s="27">
        <v>71465.3</v>
      </c>
      <c r="P196" s="27" t="s">
        <v>183</v>
      </c>
      <c r="Q196" s="27">
        <v>84257.59</v>
      </c>
      <c r="R196" s="27">
        <v>9</v>
      </c>
      <c r="S196" s="27">
        <v>6431.88</v>
      </c>
      <c r="T196" s="27">
        <v>9</v>
      </c>
      <c r="U196" s="27">
        <v>6431.88</v>
      </c>
      <c r="V196" s="27">
        <v>0</v>
      </c>
      <c r="W196" s="27">
        <v>0</v>
      </c>
      <c r="X196" s="27">
        <v>0</v>
      </c>
      <c r="Y196" s="27">
        <v>12863.76</v>
      </c>
      <c r="Z196" s="27">
        <v>0</v>
      </c>
      <c r="AA196" s="27" t="s">
        <v>176</v>
      </c>
      <c r="AB196" s="27" t="s">
        <v>184</v>
      </c>
      <c r="AC196" s="27">
        <v>39269080</v>
      </c>
      <c r="AD196" s="27" t="s">
        <v>201</v>
      </c>
      <c r="AE196" s="27">
        <v>1</v>
      </c>
      <c r="AF196" s="27">
        <v>535</v>
      </c>
      <c r="AG196" s="27" t="s">
        <v>202</v>
      </c>
    </row>
    <row r="197" spans="2:33" hidden="1" x14ac:dyDescent="0.25">
      <c r="B197" s="26">
        <v>46260</v>
      </c>
      <c r="C197" s="27" t="s">
        <v>212</v>
      </c>
      <c r="D197" s="27" t="s">
        <v>199</v>
      </c>
      <c r="E197" s="27">
        <v>538</v>
      </c>
      <c r="F197" s="27" t="s">
        <v>324</v>
      </c>
      <c r="G197" s="27" t="s">
        <v>559</v>
      </c>
      <c r="H197" s="26">
        <v>46260</v>
      </c>
      <c r="I197" s="27" t="s">
        <v>169</v>
      </c>
      <c r="J197" s="27" t="s">
        <v>193</v>
      </c>
      <c r="K197" s="27" t="s">
        <v>161</v>
      </c>
      <c r="L197" s="27" t="s">
        <v>256</v>
      </c>
      <c r="M197" s="27" t="s">
        <v>161</v>
      </c>
      <c r="N197" s="27">
        <v>1775</v>
      </c>
      <c r="O197" s="27">
        <v>219354.5</v>
      </c>
      <c r="P197" s="27" t="s">
        <v>161</v>
      </c>
      <c r="Q197" s="27">
        <v>258618.95</v>
      </c>
      <c r="R197" s="27">
        <v>9</v>
      </c>
      <c r="S197" s="27">
        <v>19741.900000000001</v>
      </c>
      <c r="T197" s="27">
        <v>9</v>
      </c>
      <c r="U197" s="27">
        <v>19741.900000000001</v>
      </c>
      <c r="V197" s="27">
        <v>0</v>
      </c>
      <c r="W197" s="27">
        <v>0</v>
      </c>
      <c r="X197" s="27">
        <v>0</v>
      </c>
      <c r="Y197" s="27">
        <v>39483.800000000003</v>
      </c>
      <c r="Z197" s="27">
        <v>0</v>
      </c>
      <c r="AA197" s="27" t="s">
        <v>176</v>
      </c>
      <c r="AB197" s="27" t="s">
        <v>184</v>
      </c>
      <c r="AC197" s="27">
        <v>39199090</v>
      </c>
      <c r="AD197" s="27" t="s">
        <v>201</v>
      </c>
      <c r="AE197" s="27">
        <v>1</v>
      </c>
      <c r="AF197" s="27">
        <v>1775</v>
      </c>
      <c r="AG197" s="27" t="s">
        <v>202</v>
      </c>
    </row>
    <row r="198" spans="2:33" x14ac:dyDescent="0.25">
      <c r="B198" s="26">
        <v>46260</v>
      </c>
      <c r="C198" s="27" t="s">
        <v>212</v>
      </c>
      <c r="D198" s="27" t="s">
        <v>199</v>
      </c>
      <c r="E198" s="27">
        <v>539</v>
      </c>
      <c r="F198" s="27" t="s">
        <v>324</v>
      </c>
      <c r="G198" s="27" t="s">
        <v>560</v>
      </c>
      <c r="H198" s="26">
        <v>46260</v>
      </c>
      <c r="I198" s="27" t="s">
        <v>169</v>
      </c>
      <c r="J198" s="27" t="s">
        <v>170</v>
      </c>
      <c r="K198" s="27" t="s">
        <v>157</v>
      </c>
      <c r="L198" s="27" t="s">
        <v>225</v>
      </c>
      <c r="M198" s="27" t="s">
        <v>272</v>
      </c>
      <c r="N198" s="27">
        <v>228.9</v>
      </c>
      <c r="O198" s="27">
        <v>40515.300000000003</v>
      </c>
      <c r="P198" s="27" t="s">
        <v>272</v>
      </c>
      <c r="Q198" s="27">
        <v>42500.54</v>
      </c>
      <c r="R198" s="27">
        <v>2.5</v>
      </c>
      <c r="S198" s="27">
        <v>1012.88</v>
      </c>
      <c r="T198" s="27">
        <v>2.5</v>
      </c>
      <c r="U198" s="27">
        <v>1012.88</v>
      </c>
      <c r="V198" s="27">
        <v>0</v>
      </c>
      <c r="W198" s="27">
        <v>0</v>
      </c>
      <c r="X198" s="27">
        <v>0</v>
      </c>
      <c r="Y198" s="27">
        <v>2025.76</v>
      </c>
      <c r="Z198" s="27">
        <v>0</v>
      </c>
      <c r="AA198" s="27" t="s">
        <v>176</v>
      </c>
      <c r="AB198" s="27" t="s">
        <v>184</v>
      </c>
      <c r="AC198" s="27">
        <v>54026930</v>
      </c>
      <c r="AD198" s="27" t="s">
        <v>201</v>
      </c>
      <c r="AE198" s="27">
        <v>1</v>
      </c>
      <c r="AF198" s="27">
        <v>228.9</v>
      </c>
      <c r="AG198" s="27" t="s">
        <v>202</v>
      </c>
    </row>
    <row r="199" spans="2:33" hidden="1" x14ac:dyDescent="0.25">
      <c r="B199" s="26">
        <v>46261</v>
      </c>
      <c r="C199" s="27" t="s">
        <v>215</v>
      </c>
      <c r="D199" s="27" t="s">
        <v>205</v>
      </c>
      <c r="E199" s="27" t="s">
        <v>561</v>
      </c>
      <c r="F199" s="27" t="s">
        <v>216</v>
      </c>
      <c r="G199" s="27" t="s">
        <v>561</v>
      </c>
      <c r="H199" s="26">
        <v>46261</v>
      </c>
      <c r="I199" s="27" t="s">
        <v>188</v>
      </c>
      <c r="J199" s="27" t="s">
        <v>152</v>
      </c>
      <c r="K199" s="27" t="s">
        <v>163</v>
      </c>
      <c r="L199" s="27" t="s">
        <v>200</v>
      </c>
      <c r="M199" s="27" t="s">
        <v>187</v>
      </c>
      <c r="N199" s="27">
        <v>19582</v>
      </c>
      <c r="O199" s="27">
        <v>4723997.8080067197</v>
      </c>
      <c r="P199" s="27" t="s">
        <v>217</v>
      </c>
      <c r="Q199" s="27">
        <v>4723997.8099999996</v>
      </c>
      <c r="R199" s="27">
        <v>0</v>
      </c>
      <c r="S199" s="27">
        <v>0</v>
      </c>
      <c r="T199" s="27">
        <v>0</v>
      </c>
      <c r="U199" s="27">
        <v>0</v>
      </c>
      <c r="V199" s="27">
        <v>0</v>
      </c>
      <c r="W199" s="27">
        <v>0</v>
      </c>
      <c r="X199" s="27">
        <v>0</v>
      </c>
      <c r="Y199" s="27">
        <v>0</v>
      </c>
      <c r="Z199" s="27">
        <v>0</v>
      </c>
      <c r="AA199" s="27" t="s">
        <v>214</v>
      </c>
      <c r="AB199" s="27" t="s">
        <v>184</v>
      </c>
      <c r="AC199" s="27">
        <v>63053200</v>
      </c>
      <c r="AD199" s="27" t="s">
        <v>209</v>
      </c>
      <c r="AE199" s="27">
        <v>94.8</v>
      </c>
      <c r="AF199" s="27">
        <v>19582</v>
      </c>
      <c r="AG199" s="27" t="s">
        <v>218</v>
      </c>
    </row>
    <row r="200" spans="2:33" hidden="1" x14ac:dyDescent="0.25">
      <c r="B200" s="26">
        <v>46261</v>
      </c>
      <c r="C200" s="27" t="s">
        <v>215</v>
      </c>
      <c r="D200" s="27" t="s">
        <v>205</v>
      </c>
      <c r="E200" s="27" t="s">
        <v>562</v>
      </c>
      <c r="F200" s="27" t="s">
        <v>216</v>
      </c>
      <c r="G200" s="27" t="s">
        <v>562</v>
      </c>
      <c r="H200" s="26">
        <v>46261</v>
      </c>
      <c r="I200" s="27" t="s">
        <v>188</v>
      </c>
      <c r="J200" s="27" t="s">
        <v>152</v>
      </c>
      <c r="K200" s="27" t="s">
        <v>163</v>
      </c>
      <c r="L200" s="27" t="s">
        <v>200</v>
      </c>
      <c r="M200" s="27" t="s">
        <v>187</v>
      </c>
      <c r="N200" s="27">
        <v>19717</v>
      </c>
      <c r="O200" s="27">
        <v>4912877.2872825358</v>
      </c>
      <c r="P200" s="27" t="s">
        <v>217</v>
      </c>
      <c r="Q200" s="27">
        <v>4912877.29</v>
      </c>
      <c r="R200" s="27">
        <v>0</v>
      </c>
      <c r="S200" s="27">
        <v>0</v>
      </c>
      <c r="T200" s="27">
        <v>0</v>
      </c>
      <c r="U200" s="27">
        <v>0</v>
      </c>
      <c r="V200" s="27">
        <v>0</v>
      </c>
      <c r="W200" s="27">
        <v>0</v>
      </c>
      <c r="X200" s="27">
        <v>0</v>
      </c>
      <c r="Y200" s="27">
        <v>0</v>
      </c>
      <c r="Z200" s="27">
        <v>0</v>
      </c>
      <c r="AA200" s="27" t="s">
        <v>214</v>
      </c>
      <c r="AB200" s="27" t="s">
        <v>184</v>
      </c>
      <c r="AC200" s="27">
        <v>63053200</v>
      </c>
      <c r="AD200" s="27" t="s">
        <v>209</v>
      </c>
      <c r="AE200" s="27">
        <v>94.8</v>
      </c>
      <c r="AF200" s="27">
        <v>19717</v>
      </c>
      <c r="AG200" s="27" t="s">
        <v>218</v>
      </c>
    </row>
    <row r="201" spans="2:33" hidden="1" x14ac:dyDescent="0.25">
      <c r="B201" s="26">
        <v>46261</v>
      </c>
      <c r="C201" s="27" t="s">
        <v>215</v>
      </c>
      <c r="D201" s="27" t="s">
        <v>205</v>
      </c>
      <c r="E201" s="27" t="s">
        <v>563</v>
      </c>
      <c r="F201" s="27" t="s">
        <v>216</v>
      </c>
      <c r="G201" s="27" t="s">
        <v>563</v>
      </c>
      <c r="H201" s="26">
        <v>46261</v>
      </c>
      <c r="I201" s="27" t="s">
        <v>188</v>
      </c>
      <c r="J201" s="27" t="s">
        <v>152</v>
      </c>
      <c r="K201" s="27" t="s">
        <v>163</v>
      </c>
      <c r="L201" s="27" t="s">
        <v>200</v>
      </c>
      <c r="M201" s="27" t="s">
        <v>187</v>
      </c>
      <c r="N201" s="27">
        <v>18813</v>
      </c>
      <c r="O201" s="27">
        <v>4457652.4714669203</v>
      </c>
      <c r="P201" s="27" t="s">
        <v>217</v>
      </c>
      <c r="Q201" s="27">
        <v>4457652.47</v>
      </c>
      <c r="R201" s="27">
        <v>0</v>
      </c>
      <c r="S201" s="27">
        <v>0</v>
      </c>
      <c r="T201" s="27">
        <v>0</v>
      </c>
      <c r="U201" s="27">
        <v>0</v>
      </c>
      <c r="V201" s="27">
        <v>0</v>
      </c>
      <c r="W201" s="27">
        <v>0</v>
      </c>
      <c r="X201" s="27">
        <v>0</v>
      </c>
      <c r="Y201" s="27">
        <v>0</v>
      </c>
      <c r="Z201" s="27">
        <v>0</v>
      </c>
      <c r="AA201" s="27" t="s">
        <v>214</v>
      </c>
      <c r="AB201" s="27" t="s">
        <v>184</v>
      </c>
      <c r="AC201" s="27">
        <v>63053200</v>
      </c>
      <c r="AD201" s="27" t="s">
        <v>209</v>
      </c>
      <c r="AE201" s="27">
        <v>94.8</v>
      </c>
      <c r="AF201" s="27">
        <v>18813</v>
      </c>
      <c r="AG201" s="27" t="s">
        <v>218</v>
      </c>
    </row>
    <row r="202" spans="2:33" hidden="1" x14ac:dyDescent="0.25">
      <c r="B202" s="26">
        <v>46261</v>
      </c>
      <c r="C202" s="27" t="s">
        <v>212</v>
      </c>
      <c r="D202" s="27" t="s">
        <v>199</v>
      </c>
      <c r="E202" s="27">
        <v>544</v>
      </c>
      <c r="F202" s="27" t="s">
        <v>324</v>
      </c>
      <c r="G202" s="27" t="s">
        <v>564</v>
      </c>
      <c r="H202" s="26">
        <v>46261</v>
      </c>
      <c r="I202" s="27" t="s">
        <v>169</v>
      </c>
      <c r="J202" s="27" t="s">
        <v>179</v>
      </c>
      <c r="K202" s="27" t="s">
        <v>155</v>
      </c>
      <c r="L202" s="27" t="s">
        <v>203</v>
      </c>
      <c r="M202" s="27" t="s">
        <v>183</v>
      </c>
      <c r="N202" s="27">
        <v>330.6</v>
      </c>
      <c r="O202" s="27">
        <v>44161.55</v>
      </c>
      <c r="P202" s="27" t="s">
        <v>183</v>
      </c>
      <c r="Q202" s="27">
        <v>52066.47</v>
      </c>
      <c r="R202" s="27">
        <v>9</v>
      </c>
      <c r="S202" s="27">
        <v>3974.54</v>
      </c>
      <c r="T202" s="27">
        <v>9</v>
      </c>
      <c r="U202" s="27">
        <v>3974.54</v>
      </c>
      <c r="V202" s="27">
        <v>0</v>
      </c>
      <c r="W202" s="27">
        <v>0</v>
      </c>
      <c r="X202" s="27">
        <v>0</v>
      </c>
      <c r="Y202" s="27">
        <v>7949.08</v>
      </c>
      <c r="Z202" s="27">
        <v>0</v>
      </c>
      <c r="AA202" s="27" t="s">
        <v>176</v>
      </c>
      <c r="AB202" s="27" t="s">
        <v>184</v>
      </c>
      <c r="AC202" s="27">
        <v>39269080</v>
      </c>
      <c r="AD202" s="27" t="s">
        <v>201</v>
      </c>
      <c r="AE202" s="27">
        <v>1</v>
      </c>
      <c r="AF202" s="27">
        <v>330.6</v>
      </c>
      <c r="AG202" s="27" t="s">
        <v>202</v>
      </c>
    </row>
    <row r="203" spans="2:33" hidden="1" x14ac:dyDescent="0.25">
      <c r="B203" s="26">
        <v>46261</v>
      </c>
      <c r="C203" s="27" t="s">
        <v>293</v>
      </c>
      <c r="D203" s="27" t="s">
        <v>199</v>
      </c>
      <c r="E203" s="27">
        <v>546</v>
      </c>
      <c r="F203" s="27" t="s">
        <v>220</v>
      </c>
      <c r="G203" s="27" t="s">
        <v>565</v>
      </c>
      <c r="H203" s="26">
        <v>46261</v>
      </c>
      <c r="I203" s="27" t="s">
        <v>188</v>
      </c>
      <c r="J203" s="27" t="s">
        <v>152</v>
      </c>
      <c r="K203" s="27" t="s">
        <v>152</v>
      </c>
      <c r="L203" s="27" t="s">
        <v>200</v>
      </c>
      <c r="M203" s="27" t="s">
        <v>191</v>
      </c>
      <c r="N203" s="27">
        <v>1386</v>
      </c>
      <c r="O203" s="27">
        <v>325000</v>
      </c>
      <c r="P203" s="27" t="s">
        <v>566</v>
      </c>
      <c r="Q203" s="27">
        <v>409460</v>
      </c>
      <c r="R203" s="27">
        <v>0</v>
      </c>
      <c r="S203" s="27">
        <v>0</v>
      </c>
      <c r="T203" s="27">
        <v>0</v>
      </c>
      <c r="U203" s="27">
        <v>0</v>
      </c>
      <c r="V203" s="27">
        <v>18</v>
      </c>
      <c r="W203" s="27">
        <v>58500</v>
      </c>
      <c r="X203" s="27">
        <v>3960</v>
      </c>
      <c r="Y203" s="27">
        <v>62460</v>
      </c>
      <c r="Z203" s="27">
        <v>0</v>
      </c>
      <c r="AA203" s="27" t="s">
        <v>294</v>
      </c>
      <c r="AB203" s="27" t="s">
        <v>184</v>
      </c>
      <c r="AC203" s="27">
        <v>39232999</v>
      </c>
      <c r="AD203" s="27" t="s">
        <v>201</v>
      </c>
      <c r="AE203" s="27">
        <v>1</v>
      </c>
      <c r="AF203" s="27">
        <v>1386</v>
      </c>
      <c r="AG203" s="27" t="s">
        <v>202</v>
      </c>
    </row>
    <row r="204" spans="2:33" hidden="1" x14ac:dyDescent="0.25">
      <c r="B204" s="26">
        <v>46262</v>
      </c>
      <c r="C204" s="27" t="s">
        <v>212</v>
      </c>
      <c r="D204" s="27" t="s">
        <v>199</v>
      </c>
      <c r="E204" s="27">
        <v>549</v>
      </c>
      <c r="F204" s="27" t="s">
        <v>324</v>
      </c>
      <c r="G204" s="27" t="s">
        <v>567</v>
      </c>
      <c r="H204" s="26">
        <v>46262</v>
      </c>
      <c r="I204" s="27" t="s">
        <v>188</v>
      </c>
      <c r="J204" s="27" t="s">
        <v>152</v>
      </c>
      <c r="K204" s="27" t="s">
        <v>152</v>
      </c>
      <c r="L204" s="27" t="s">
        <v>200</v>
      </c>
      <c r="M204" s="27" t="s">
        <v>187</v>
      </c>
      <c r="N204" s="27">
        <v>1493</v>
      </c>
      <c r="O204" s="27">
        <v>292000</v>
      </c>
      <c r="P204" s="27" t="s">
        <v>568</v>
      </c>
      <c r="Q204" s="27">
        <v>344268</v>
      </c>
      <c r="R204" s="27">
        <v>9</v>
      </c>
      <c r="S204" s="27">
        <v>26280</v>
      </c>
      <c r="T204" s="27">
        <v>9</v>
      </c>
      <c r="U204" s="27">
        <v>26280</v>
      </c>
      <c r="V204" s="27">
        <v>0</v>
      </c>
      <c r="W204" s="27">
        <v>0</v>
      </c>
      <c r="X204" s="27">
        <v>0</v>
      </c>
      <c r="Y204" s="27">
        <v>52560</v>
      </c>
      <c r="Z204" s="27">
        <v>0</v>
      </c>
      <c r="AA204" s="27" t="s">
        <v>176</v>
      </c>
      <c r="AB204" s="27" t="s">
        <v>184</v>
      </c>
      <c r="AC204" s="27">
        <v>39232999</v>
      </c>
      <c r="AD204" s="27" t="s">
        <v>201</v>
      </c>
      <c r="AE204" s="27">
        <v>1</v>
      </c>
      <c r="AF204" s="27">
        <v>1493</v>
      </c>
      <c r="AG204" s="27" t="s">
        <v>202</v>
      </c>
    </row>
    <row r="205" spans="2:33" hidden="1" x14ac:dyDescent="0.25">
      <c r="B205" s="26">
        <v>46262</v>
      </c>
      <c r="C205" s="27" t="s">
        <v>212</v>
      </c>
      <c r="D205" s="27" t="s">
        <v>199</v>
      </c>
      <c r="E205" s="27">
        <v>550</v>
      </c>
      <c r="F205" s="27" t="s">
        <v>324</v>
      </c>
      <c r="G205" s="27" t="s">
        <v>569</v>
      </c>
      <c r="H205" s="26">
        <v>46262</v>
      </c>
      <c r="I205" s="27" t="s">
        <v>169</v>
      </c>
      <c r="J205" s="27" t="s">
        <v>179</v>
      </c>
      <c r="K205" s="27" t="s">
        <v>155</v>
      </c>
      <c r="L205" s="27" t="s">
        <v>203</v>
      </c>
      <c r="M205" s="27" t="s">
        <v>183</v>
      </c>
      <c r="N205" s="27">
        <v>629</v>
      </c>
      <c r="O205" s="27">
        <v>84021.82</v>
      </c>
      <c r="P205" s="27" t="s">
        <v>183</v>
      </c>
      <c r="Q205" s="27">
        <v>99061.72</v>
      </c>
      <c r="R205" s="27">
        <v>9</v>
      </c>
      <c r="S205" s="27">
        <v>7561.96</v>
      </c>
      <c r="T205" s="27">
        <v>9</v>
      </c>
      <c r="U205" s="27">
        <v>7561.96</v>
      </c>
      <c r="V205" s="27">
        <v>0</v>
      </c>
      <c r="W205" s="27">
        <v>0</v>
      </c>
      <c r="X205" s="27">
        <v>0</v>
      </c>
      <c r="Y205" s="27">
        <v>15123.92</v>
      </c>
      <c r="Z205" s="27">
        <v>0</v>
      </c>
      <c r="AA205" s="27" t="s">
        <v>176</v>
      </c>
      <c r="AB205" s="27" t="s">
        <v>184</v>
      </c>
      <c r="AC205" s="27">
        <v>39269080</v>
      </c>
      <c r="AD205" s="27" t="s">
        <v>201</v>
      </c>
      <c r="AE205" s="27">
        <v>1</v>
      </c>
      <c r="AF205" s="27">
        <v>629</v>
      </c>
      <c r="AG205" s="27" t="s">
        <v>202</v>
      </c>
    </row>
    <row r="206" spans="2:33" hidden="1" x14ac:dyDescent="0.25">
      <c r="B206" s="26">
        <v>46263</v>
      </c>
      <c r="C206" s="27" t="s">
        <v>198</v>
      </c>
      <c r="D206" s="27" t="s">
        <v>199</v>
      </c>
      <c r="E206" s="27">
        <v>552</v>
      </c>
      <c r="F206" s="27" t="s">
        <v>324</v>
      </c>
      <c r="G206" s="27" t="s">
        <v>570</v>
      </c>
      <c r="H206" s="26">
        <v>46263</v>
      </c>
      <c r="I206" s="27" t="s">
        <v>169</v>
      </c>
      <c r="J206" s="27" t="s">
        <v>179</v>
      </c>
      <c r="K206" s="27" t="s">
        <v>155</v>
      </c>
      <c r="L206" s="27" t="s">
        <v>203</v>
      </c>
      <c r="M206" s="27" t="s">
        <v>183</v>
      </c>
      <c r="N206" s="27">
        <v>788.3</v>
      </c>
      <c r="O206" s="27">
        <v>105301.11</v>
      </c>
      <c r="P206" s="27" t="s">
        <v>183</v>
      </c>
      <c r="Q206" s="27">
        <v>163241.85</v>
      </c>
      <c r="R206" s="27">
        <v>9</v>
      </c>
      <c r="S206" s="27">
        <v>9477.1</v>
      </c>
      <c r="T206" s="27">
        <v>9</v>
      </c>
      <c r="U206" s="27">
        <v>9477.1</v>
      </c>
      <c r="V206" s="27">
        <v>0</v>
      </c>
      <c r="W206" s="27">
        <v>0</v>
      </c>
      <c r="X206" s="27">
        <v>0</v>
      </c>
      <c r="Y206" s="27">
        <v>18954.2</v>
      </c>
      <c r="Z206" s="27">
        <v>0</v>
      </c>
      <c r="AA206" s="27" t="s">
        <v>185</v>
      </c>
      <c r="AB206" s="27" t="s">
        <v>184</v>
      </c>
      <c r="AC206" s="27">
        <v>39269080</v>
      </c>
      <c r="AD206" s="27" t="s">
        <v>201</v>
      </c>
      <c r="AE206" s="27">
        <v>1</v>
      </c>
      <c r="AF206" s="27">
        <v>788.3</v>
      </c>
      <c r="AG206" s="27" t="s">
        <v>202</v>
      </c>
    </row>
    <row r="207" spans="2:33" hidden="1" x14ac:dyDescent="0.25">
      <c r="B207" s="26">
        <v>46263</v>
      </c>
      <c r="C207" s="27" t="s">
        <v>198</v>
      </c>
      <c r="D207" s="27" t="s">
        <v>199</v>
      </c>
      <c r="E207" s="27">
        <v>552</v>
      </c>
      <c r="F207" s="27" t="s">
        <v>324</v>
      </c>
      <c r="G207" s="27" t="s">
        <v>570</v>
      </c>
      <c r="H207" s="26">
        <v>46263</v>
      </c>
      <c r="I207" s="27" t="s">
        <v>169</v>
      </c>
      <c r="J207" s="27" t="s">
        <v>179</v>
      </c>
      <c r="K207" s="27" t="s">
        <v>156</v>
      </c>
      <c r="L207" s="27" t="s">
        <v>211</v>
      </c>
      <c r="M207" s="27" t="s">
        <v>178</v>
      </c>
      <c r="N207" s="27">
        <v>241</v>
      </c>
      <c r="O207" s="27">
        <v>33156.78</v>
      </c>
      <c r="P207" s="27" t="s">
        <v>178</v>
      </c>
      <c r="Q207" s="27">
        <v>0</v>
      </c>
      <c r="R207" s="27">
        <v>9</v>
      </c>
      <c r="S207" s="27">
        <v>2984.11</v>
      </c>
      <c r="T207" s="27">
        <v>9</v>
      </c>
      <c r="U207" s="27">
        <v>2984.11</v>
      </c>
      <c r="V207" s="27">
        <v>0</v>
      </c>
      <c r="W207" s="27">
        <v>0</v>
      </c>
      <c r="X207" s="27">
        <v>0</v>
      </c>
      <c r="Y207" s="27">
        <v>5968.22</v>
      </c>
      <c r="Z207" s="27">
        <v>0</v>
      </c>
      <c r="AA207" s="27" t="s">
        <v>185</v>
      </c>
      <c r="AB207" s="27" t="s">
        <v>184</v>
      </c>
      <c r="AC207" s="27">
        <v>39269080</v>
      </c>
      <c r="AD207" s="27" t="s">
        <v>201</v>
      </c>
      <c r="AE207" s="27">
        <v>1</v>
      </c>
      <c r="AF207" s="27">
        <v>241</v>
      </c>
      <c r="AG207" s="27" t="s">
        <v>202</v>
      </c>
    </row>
    <row r="208" spans="2:33" hidden="1" x14ac:dyDescent="0.25">
      <c r="B208" s="26">
        <v>46264</v>
      </c>
      <c r="C208" s="27" t="s">
        <v>212</v>
      </c>
      <c r="D208" s="27" t="s">
        <v>199</v>
      </c>
      <c r="E208" s="27">
        <v>555</v>
      </c>
      <c r="F208" s="27" t="s">
        <v>324</v>
      </c>
      <c r="G208" s="27" t="s">
        <v>571</v>
      </c>
      <c r="H208" s="26">
        <v>46264</v>
      </c>
      <c r="I208" s="27" t="s">
        <v>169</v>
      </c>
      <c r="J208" s="27" t="s">
        <v>179</v>
      </c>
      <c r="K208" s="27" t="s">
        <v>155</v>
      </c>
      <c r="L208" s="27" t="s">
        <v>203</v>
      </c>
      <c r="M208" s="27" t="s">
        <v>183</v>
      </c>
      <c r="N208" s="27">
        <v>1176.7</v>
      </c>
      <c r="O208" s="27">
        <v>157183.59</v>
      </c>
      <c r="P208" s="27" t="s">
        <v>183</v>
      </c>
      <c r="Q208" s="27">
        <v>215690.73</v>
      </c>
      <c r="R208" s="27">
        <v>9</v>
      </c>
      <c r="S208" s="27">
        <v>14146.52</v>
      </c>
      <c r="T208" s="27">
        <v>9</v>
      </c>
      <c r="U208" s="27">
        <v>14146.52</v>
      </c>
      <c r="V208" s="27">
        <v>0</v>
      </c>
      <c r="W208" s="27">
        <v>0</v>
      </c>
      <c r="X208" s="27">
        <v>0</v>
      </c>
      <c r="Y208" s="27">
        <v>28293.040000000001</v>
      </c>
      <c r="Z208" s="27">
        <v>0</v>
      </c>
      <c r="AA208" s="27" t="s">
        <v>176</v>
      </c>
      <c r="AB208" s="27" t="s">
        <v>184</v>
      </c>
      <c r="AC208" s="27">
        <v>39269080</v>
      </c>
      <c r="AD208" s="27" t="s">
        <v>201</v>
      </c>
      <c r="AE208" s="27">
        <v>1</v>
      </c>
      <c r="AF208" s="27">
        <v>1176.7</v>
      </c>
      <c r="AG208" s="27" t="s">
        <v>202</v>
      </c>
    </row>
    <row r="209" spans="2:33" hidden="1" x14ac:dyDescent="0.25">
      <c r="B209" s="26">
        <v>46264</v>
      </c>
      <c r="C209" s="27" t="s">
        <v>212</v>
      </c>
      <c r="D209" s="27" t="s">
        <v>199</v>
      </c>
      <c r="E209" s="27">
        <v>555</v>
      </c>
      <c r="F209" s="27" t="s">
        <v>324</v>
      </c>
      <c r="G209" s="27" t="s">
        <v>571</v>
      </c>
      <c r="H209" s="26">
        <v>46264</v>
      </c>
      <c r="I209" s="27" t="s">
        <v>169</v>
      </c>
      <c r="J209" s="27" t="s">
        <v>179</v>
      </c>
      <c r="K209" s="27" t="s">
        <v>156</v>
      </c>
      <c r="L209" s="27" t="s">
        <v>211</v>
      </c>
      <c r="M209" s="27" t="s">
        <v>178</v>
      </c>
      <c r="N209" s="27">
        <v>190</v>
      </c>
      <c r="O209" s="27">
        <v>25760.2</v>
      </c>
      <c r="P209" s="27" t="s">
        <v>178</v>
      </c>
      <c r="Q209" s="27">
        <v>0</v>
      </c>
      <c r="R209" s="27">
        <v>9</v>
      </c>
      <c r="S209" s="27">
        <v>2318.42</v>
      </c>
      <c r="T209" s="27">
        <v>9</v>
      </c>
      <c r="U209" s="27">
        <v>2318.42</v>
      </c>
      <c r="V209" s="27">
        <v>0</v>
      </c>
      <c r="W209" s="27">
        <v>0</v>
      </c>
      <c r="X209" s="27">
        <v>0</v>
      </c>
      <c r="Y209" s="27">
        <v>4636.84</v>
      </c>
      <c r="Z209" s="27">
        <v>0</v>
      </c>
      <c r="AA209" s="27" t="s">
        <v>176</v>
      </c>
      <c r="AB209" s="27" t="s">
        <v>184</v>
      </c>
      <c r="AC209" s="27">
        <v>39269080</v>
      </c>
      <c r="AD209" s="27" t="s">
        <v>201</v>
      </c>
      <c r="AE209" s="27">
        <v>1</v>
      </c>
      <c r="AF209" s="27">
        <v>190</v>
      </c>
      <c r="AG209" s="27" t="s">
        <v>202</v>
      </c>
    </row>
    <row r="210" spans="2:33" hidden="1" x14ac:dyDescent="0.25">
      <c r="B210" s="26">
        <v>46264</v>
      </c>
      <c r="C210" s="27" t="s">
        <v>212</v>
      </c>
      <c r="D210" s="27" t="s">
        <v>199</v>
      </c>
      <c r="E210" s="27">
        <v>556</v>
      </c>
      <c r="F210" s="27" t="s">
        <v>223</v>
      </c>
      <c r="G210" s="27" t="s">
        <v>572</v>
      </c>
      <c r="H210" s="26">
        <v>46264</v>
      </c>
      <c r="I210" s="27" t="s">
        <v>169</v>
      </c>
      <c r="J210" s="27" t="s">
        <v>175</v>
      </c>
      <c r="K210" s="27" t="s">
        <v>159</v>
      </c>
      <c r="L210" s="27" t="s">
        <v>213</v>
      </c>
      <c r="M210" s="27" t="s">
        <v>173</v>
      </c>
      <c r="N210" s="27">
        <v>28.5</v>
      </c>
      <c r="O210" s="27">
        <v>4517.25</v>
      </c>
      <c r="P210" s="27" t="s">
        <v>173</v>
      </c>
      <c r="Q210" s="27">
        <v>5325.83</v>
      </c>
      <c r="R210" s="27">
        <v>9</v>
      </c>
      <c r="S210" s="27">
        <v>406.55</v>
      </c>
      <c r="T210" s="27">
        <v>9</v>
      </c>
      <c r="U210" s="27">
        <v>406.55</v>
      </c>
      <c r="V210" s="27">
        <v>0</v>
      </c>
      <c r="W210" s="27">
        <v>0</v>
      </c>
      <c r="X210" s="27">
        <v>0</v>
      </c>
      <c r="Y210" s="27">
        <v>813.1</v>
      </c>
      <c r="Z210" s="27">
        <v>0</v>
      </c>
      <c r="AA210" s="27" t="s">
        <v>176</v>
      </c>
      <c r="AB210" s="27" t="s">
        <v>184</v>
      </c>
      <c r="AC210" s="27">
        <v>39232100</v>
      </c>
      <c r="AD210" s="27" t="s">
        <v>201</v>
      </c>
      <c r="AE210" s="27">
        <v>1</v>
      </c>
      <c r="AF210" s="27">
        <v>28.5</v>
      </c>
      <c r="AG210" s="27" t="s">
        <v>202</v>
      </c>
    </row>
    <row r="211" spans="2:33" hidden="1" x14ac:dyDescent="0.25">
      <c r="B211" s="26">
        <v>46265</v>
      </c>
      <c r="C211" s="27" t="s">
        <v>198</v>
      </c>
      <c r="D211" s="27" t="s">
        <v>199</v>
      </c>
      <c r="E211" s="27">
        <v>559</v>
      </c>
      <c r="F211" s="27" t="s">
        <v>324</v>
      </c>
      <c r="G211" s="27" t="s">
        <v>573</v>
      </c>
      <c r="H211" s="26">
        <v>46265</v>
      </c>
      <c r="I211" s="27" t="s">
        <v>188</v>
      </c>
      <c r="J211" s="27" t="s">
        <v>152</v>
      </c>
      <c r="K211" s="27" t="s">
        <v>152</v>
      </c>
      <c r="L211" s="27" t="s">
        <v>200</v>
      </c>
      <c r="M211" s="27" t="s">
        <v>187</v>
      </c>
      <c r="N211" s="27">
        <v>1153</v>
      </c>
      <c r="O211" s="27">
        <v>230369.4</v>
      </c>
      <c r="P211" s="27" t="s">
        <v>574</v>
      </c>
      <c r="Q211" s="27">
        <v>271605.53000000003</v>
      </c>
      <c r="R211" s="27">
        <v>9</v>
      </c>
      <c r="S211" s="27">
        <v>20733.25</v>
      </c>
      <c r="T211" s="27">
        <v>9</v>
      </c>
      <c r="U211" s="27">
        <v>20733.25</v>
      </c>
      <c r="V211" s="27">
        <v>0</v>
      </c>
      <c r="W211" s="27">
        <v>0</v>
      </c>
      <c r="X211" s="27">
        <v>0</v>
      </c>
      <c r="Y211" s="27">
        <v>41466.5</v>
      </c>
      <c r="Z211" s="27">
        <v>0</v>
      </c>
      <c r="AA211" s="27" t="s">
        <v>185</v>
      </c>
      <c r="AB211" s="27" t="s">
        <v>184</v>
      </c>
      <c r="AC211" s="27">
        <v>39232999</v>
      </c>
      <c r="AD211" s="27" t="s">
        <v>201</v>
      </c>
      <c r="AE211" s="27">
        <v>1</v>
      </c>
      <c r="AF211" s="27">
        <v>1153</v>
      </c>
      <c r="AG211" s="27" t="s">
        <v>202</v>
      </c>
    </row>
    <row r="212" spans="2:33" hidden="1" x14ac:dyDescent="0.25">
      <c r="B212" s="26">
        <v>46265</v>
      </c>
      <c r="C212" s="27" t="s">
        <v>198</v>
      </c>
      <c r="D212" s="27" t="s">
        <v>199</v>
      </c>
      <c r="E212" s="27">
        <v>560</v>
      </c>
      <c r="F212" s="27" t="s">
        <v>223</v>
      </c>
      <c r="G212" s="27" t="s">
        <v>575</v>
      </c>
      <c r="H212" s="26">
        <v>46265</v>
      </c>
      <c r="I212" s="27" t="s">
        <v>169</v>
      </c>
      <c r="J212" s="27" t="s">
        <v>197</v>
      </c>
      <c r="K212" s="27" t="s">
        <v>158</v>
      </c>
      <c r="L212" s="27" t="s">
        <v>213</v>
      </c>
      <c r="M212" s="27" t="s">
        <v>196</v>
      </c>
      <c r="N212" s="27">
        <v>23.4</v>
      </c>
      <c r="O212" s="27">
        <v>5756.4</v>
      </c>
      <c r="P212" s="27" t="s">
        <v>196</v>
      </c>
      <c r="Q212" s="27">
        <v>6786.8</v>
      </c>
      <c r="R212" s="27">
        <v>9</v>
      </c>
      <c r="S212" s="27">
        <v>518.08000000000004</v>
      </c>
      <c r="T212" s="27">
        <v>9</v>
      </c>
      <c r="U212" s="27">
        <v>518.08000000000004</v>
      </c>
      <c r="V212" s="27">
        <v>0</v>
      </c>
      <c r="W212" s="27">
        <v>0</v>
      </c>
      <c r="X212" s="27">
        <v>0</v>
      </c>
      <c r="Y212" s="27">
        <v>1036.1600000000001</v>
      </c>
      <c r="Z212" s="27">
        <v>0</v>
      </c>
      <c r="AA212" s="27" t="s">
        <v>185</v>
      </c>
      <c r="AB212" s="27" t="s">
        <v>184</v>
      </c>
      <c r="AC212" s="27">
        <v>39201019</v>
      </c>
      <c r="AD212" s="27" t="s">
        <v>201</v>
      </c>
      <c r="AE212" s="27">
        <v>1</v>
      </c>
      <c r="AF212" s="27">
        <v>23.4</v>
      </c>
      <c r="AG212" s="27" t="s">
        <v>202</v>
      </c>
    </row>
    <row r="213" spans="2:33" hidden="1" x14ac:dyDescent="0.25">
      <c r="B213" s="26">
        <v>46265</v>
      </c>
      <c r="C213" s="27" t="s">
        <v>198</v>
      </c>
      <c r="D213" s="27" t="s">
        <v>199</v>
      </c>
      <c r="E213" s="27">
        <v>561</v>
      </c>
      <c r="F213" s="27" t="s">
        <v>324</v>
      </c>
      <c r="G213" s="27" t="s">
        <v>576</v>
      </c>
      <c r="H213" s="26">
        <v>46265</v>
      </c>
      <c r="I213" s="27" t="s">
        <v>169</v>
      </c>
      <c r="J213" s="27" t="s">
        <v>179</v>
      </c>
      <c r="K213" s="27" t="s">
        <v>155</v>
      </c>
      <c r="L213" s="27" t="s">
        <v>203</v>
      </c>
      <c r="M213" s="27" t="s">
        <v>183</v>
      </c>
      <c r="N213" s="27">
        <v>510</v>
      </c>
      <c r="O213" s="27">
        <v>68125.8</v>
      </c>
      <c r="P213" s="27" t="s">
        <v>183</v>
      </c>
      <c r="Q213" s="27">
        <v>80320.31</v>
      </c>
      <c r="R213" s="27">
        <v>9</v>
      </c>
      <c r="S213" s="27">
        <v>6131.32</v>
      </c>
      <c r="T213" s="27">
        <v>9</v>
      </c>
      <c r="U213" s="27">
        <v>6131.32</v>
      </c>
      <c r="V213" s="27">
        <v>0</v>
      </c>
      <c r="W213" s="27">
        <v>0</v>
      </c>
      <c r="X213" s="27">
        <v>0</v>
      </c>
      <c r="Y213" s="27">
        <v>12262.64</v>
      </c>
      <c r="Z213" s="27">
        <v>0</v>
      </c>
      <c r="AA213" s="27" t="s">
        <v>185</v>
      </c>
      <c r="AB213" s="27" t="s">
        <v>184</v>
      </c>
      <c r="AC213" s="27">
        <v>39269080</v>
      </c>
      <c r="AD213" s="27" t="s">
        <v>201</v>
      </c>
      <c r="AE213" s="27">
        <v>1</v>
      </c>
      <c r="AF213" s="27">
        <v>510</v>
      </c>
      <c r="AG213" s="27" t="s">
        <v>202</v>
      </c>
    </row>
    <row r="214" spans="2:33" x14ac:dyDescent="0.25">
      <c r="B214" s="26">
        <v>46265</v>
      </c>
      <c r="C214" s="27" t="s">
        <v>212</v>
      </c>
      <c r="D214" s="27" t="s">
        <v>199</v>
      </c>
      <c r="E214" s="27">
        <v>563</v>
      </c>
      <c r="F214" s="27" t="s">
        <v>324</v>
      </c>
      <c r="G214" s="27" t="s">
        <v>577</v>
      </c>
      <c r="H214" s="26">
        <v>46265</v>
      </c>
      <c r="I214" s="27" t="s">
        <v>169</v>
      </c>
      <c r="J214" s="27" t="s">
        <v>181</v>
      </c>
      <c r="K214" s="27" t="s">
        <v>154</v>
      </c>
      <c r="L214" s="27" t="s">
        <v>154</v>
      </c>
      <c r="M214" s="27" t="s">
        <v>181</v>
      </c>
      <c r="N214" s="27">
        <v>2138</v>
      </c>
      <c r="O214" s="27">
        <v>289870.03999999998</v>
      </c>
      <c r="P214" s="27" t="s">
        <v>282</v>
      </c>
      <c r="Q214" s="27">
        <v>382074.41</v>
      </c>
      <c r="R214" s="27">
        <v>9</v>
      </c>
      <c r="S214" s="27">
        <v>26088.3</v>
      </c>
      <c r="T214" s="27">
        <v>9</v>
      </c>
      <c r="U214" s="27">
        <v>26088.3</v>
      </c>
      <c r="V214" s="27">
        <v>0</v>
      </c>
      <c r="W214" s="27">
        <v>0</v>
      </c>
      <c r="X214" s="27">
        <v>0</v>
      </c>
      <c r="Y214" s="27">
        <v>52176.6</v>
      </c>
      <c r="Z214" s="27">
        <v>0</v>
      </c>
      <c r="AA214" s="27" t="s">
        <v>176</v>
      </c>
      <c r="AB214" s="27" t="s">
        <v>184</v>
      </c>
      <c r="AC214" s="27">
        <v>39269080</v>
      </c>
      <c r="AD214" s="27" t="s">
        <v>201</v>
      </c>
      <c r="AE214" s="27">
        <v>1</v>
      </c>
      <c r="AF214" s="27">
        <v>2138</v>
      </c>
      <c r="AG214" s="27" t="s">
        <v>202</v>
      </c>
    </row>
    <row r="215" spans="2:33" hidden="1" x14ac:dyDescent="0.25">
      <c r="B215" s="26">
        <v>46265</v>
      </c>
      <c r="C215" s="27" t="s">
        <v>212</v>
      </c>
      <c r="D215" s="27" t="s">
        <v>199</v>
      </c>
      <c r="E215" s="27">
        <v>563</v>
      </c>
      <c r="F215" s="27" t="s">
        <v>324</v>
      </c>
      <c r="G215" s="27" t="s">
        <v>577</v>
      </c>
      <c r="H215" s="26">
        <v>46265</v>
      </c>
      <c r="I215" s="27" t="s">
        <v>169</v>
      </c>
      <c r="J215" s="27" t="s">
        <v>179</v>
      </c>
      <c r="K215" s="27" t="s">
        <v>155</v>
      </c>
      <c r="L215" s="27" t="s">
        <v>203</v>
      </c>
      <c r="M215" s="27" t="s">
        <v>183</v>
      </c>
      <c r="N215" s="27">
        <v>256</v>
      </c>
      <c r="O215" s="27">
        <v>34196.480000000003</v>
      </c>
      <c r="P215" s="27" t="s">
        <v>183</v>
      </c>
      <c r="Q215" s="27">
        <v>0</v>
      </c>
      <c r="R215" s="27">
        <v>9</v>
      </c>
      <c r="S215" s="27">
        <v>3077.68</v>
      </c>
      <c r="T215" s="27">
        <v>9</v>
      </c>
      <c r="U215" s="27">
        <v>3077.68</v>
      </c>
      <c r="V215" s="27">
        <v>0</v>
      </c>
      <c r="W215" s="27">
        <v>0</v>
      </c>
      <c r="X215" s="27">
        <v>0</v>
      </c>
      <c r="Y215" s="27">
        <v>6155.36</v>
      </c>
      <c r="Z215" s="27">
        <v>0</v>
      </c>
      <c r="AA215" s="27" t="s">
        <v>176</v>
      </c>
      <c r="AB215" s="27" t="s">
        <v>184</v>
      </c>
      <c r="AC215" s="27">
        <v>39269080</v>
      </c>
      <c r="AD215" s="27" t="s">
        <v>201</v>
      </c>
      <c r="AE215" s="27">
        <v>1</v>
      </c>
      <c r="AF215" s="27">
        <v>256</v>
      </c>
      <c r="AG215" s="27" t="s">
        <v>202</v>
      </c>
    </row>
  </sheetData>
  <autoFilter ref="B1:AG215">
    <filterColumn colId="9">
      <filters>
        <filter val="PP Webbing"/>
        <filter val="PP Yarn"/>
      </filters>
    </filterColumn>
  </autoFilter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91"/>
  <sheetViews>
    <sheetView topLeftCell="AY202" workbookViewId="0">
      <selection activeCell="H9" sqref="H9"/>
    </sheetView>
  </sheetViews>
  <sheetFormatPr defaultRowHeight="15" x14ac:dyDescent="0.25"/>
  <cols>
    <col min="1" max="1" width="19.140625" style="17" customWidth="1"/>
    <col min="2" max="2" width="25" style="17" bestFit="1" customWidth="1"/>
    <col min="3" max="3" width="16.42578125" style="18" customWidth="1"/>
    <col min="4" max="4" width="12.28515625" style="17" bestFit="1" customWidth="1"/>
    <col min="5" max="5" width="34.140625" style="17" customWidth="1"/>
    <col min="6" max="6" width="13.140625" style="17" customWidth="1"/>
    <col min="7" max="7" width="44.5703125" style="18" customWidth="1"/>
    <col min="8" max="8" width="30.85546875" style="17" customWidth="1"/>
    <col min="9" max="9" width="12" style="17" bestFit="1" customWidth="1"/>
    <col min="10" max="10" width="11.140625" style="17" customWidth="1"/>
    <col min="11" max="11" width="8" style="17" customWidth="1"/>
    <col min="12" max="12" width="12.7109375" style="3" bestFit="1" customWidth="1"/>
    <col min="13" max="13" width="11.140625" style="3" bestFit="1" customWidth="1"/>
    <col min="14" max="14" width="12.85546875" style="17" bestFit="1" customWidth="1"/>
    <col min="15" max="15" width="13.42578125" style="17" bestFit="1" customWidth="1"/>
    <col min="16" max="16" width="14.28515625" style="17" bestFit="1" customWidth="1"/>
    <col min="17" max="17" width="14.5703125" style="17" bestFit="1" customWidth="1"/>
    <col min="18" max="18" width="13.28515625" style="17" bestFit="1" customWidth="1"/>
    <col min="19" max="19" width="13.140625" style="17" bestFit="1" customWidth="1"/>
    <col min="20" max="20" width="13.42578125" style="17" bestFit="1" customWidth="1"/>
    <col min="21" max="21" width="11.5703125" style="17" bestFit="1" customWidth="1"/>
    <col min="22" max="22" width="16.42578125" style="17" bestFit="1" customWidth="1"/>
    <col min="23" max="23" width="13.7109375" style="17" bestFit="1" customWidth="1"/>
    <col min="24" max="24" width="13.5703125" style="17" bestFit="1" customWidth="1"/>
    <col min="25" max="25" width="14" style="17" bestFit="1" customWidth="1"/>
    <col min="26" max="26" width="13.7109375" style="17" bestFit="1" customWidth="1"/>
    <col min="27" max="27" width="13.140625" style="17" bestFit="1" customWidth="1"/>
    <col min="28" max="28" width="13.28515625" style="17" bestFit="1" customWidth="1"/>
    <col min="29" max="29" width="13.85546875" style="17" bestFit="1" customWidth="1"/>
    <col min="30" max="30" width="10.140625" style="17" bestFit="1" customWidth="1"/>
    <col min="31" max="31" width="11.7109375" style="17" bestFit="1" customWidth="1"/>
    <col min="32" max="32" width="14.28515625" style="17" bestFit="1" customWidth="1"/>
    <col min="33" max="33" width="18.28515625" style="17" bestFit="1" customWidth="1"/>
    <col min="34" max="35" width="21.140625" style="17" bestFit="1" customWidth="1"/>
    <col min="36" max="36" width="18.140625" style="17" bestFit="1" customWidth="1"/>
    <col min="37" max="37" width="12.85546875" style="17" bestFit="1" customWidth="1"/>
    <col min="38" max="38" width="13" style="17" bestFit="1" customWidth="1"/>
    <col min="39" max="39" width="11.85546875" style="17" bestFit="1" customWidth="1"/>
    <col min="40" max="40" width="14.140625" style="17" bestFit="1" customWidth="1"/>
    <col min="41" max="43" width="14" style="17" bestFit="1" customWidth="1"/>
    <col min="44" max="46" width="14.85546875" style="17" bestFit="1" customWidth="1"/>
    <col min="47" max="47" width="16.28515625" style="17" bestFit="1" customWidth="1"/>
    <col min="48" max="48" width="16.42578125" style="17" bestFit="1" customWidth="1"/>
    <col min="49" max="49" width="12.5703125" style="17" bestFit="1" customWidth="1"/>
    <col min="50" max="50" width="14" style="17" bestFit="1" customWidth="1"/>
    <col min="51" max="51" width="39" style="17" bestFit="1" customWidth="1"/>
    <col min="52" max="52" width="15.7109375" style="17" bestFit="1" customWidth="1"/>
    <col min="53" max="53" width="18" style="17" bestFit="1" customWidth="1"/>
    <col min="54" max="54" width="19.140625" style="17" bestFit="1" customWidth="1"/>
    <col min="55" max="16384" width="9.140625" style="17"/>
  </cols>
  <sheetData>
    <row r="1" spans="1:54" x14ac:dyDescent="0.25"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26</v>
      </c>
      <c r="L1" s="5" t="s">
        <v>13</v>
      </c>
      <c r="M1" s="5" t="s">
        <v>41</v>
      </c>
      <c r="N1" s="1" t="s">
        <v>42</v>
      </c>
      <c r="O1" s="1" t="s">
        <v>43</v>
      </c>
      <c r="P1" s="1" t="s">
        <v>44</v>
      </c>
      <c r="Q1" s="1" t="s">
        <v>45</v>
      </c>
      <c r="R1" s="1" t="s">
        <v>46</v>
      </c>
      <c r="S1" s="1" t="s">
        <v>47</v>
      </c>
      <c r="T1" s="1" t="s">
        <v>48</v>
      </c>
      <c r="U1" s="1" t="s">
        <v>49</v>
      </c>
      <c r="V1" s="1" t="s">
        <v>50</v>
      </c>
      <c r="W1" s="1" t="s">
        <v>51</v>
      </c>
      <c r="X1" s="1" t="s">
        <v>52</v>
      </c>
      <c r="Y1" s="1" t="s">
        <v>53</v>
      </c>
      <c r="Z1" s="1" t="s">
        <v>54</v>
      </c>
      <c r="AA1" s="1" t="s">
        <v>55</v>
      </c>
      <c r="AB1" s="1" t="s">
        <v>56</v>
      </c>
      <c r="AC1" s="1" t="s">
        <v>57</v>
      </c>
      <c r="AD1" s="1" t="s">
        <v>58</v>
      </c>
      <c r="AE1" s="1" t="s">
        <v>59</v>
      </c>
      <c r="AF1" s="1" t="s">
        <v>60</v>
      </c>
      <c r="AG1" s="1" t="s">
        <v>61</v>
      </c>
      <c r="AH1" s="1" t="s">
        <v>62</v>
      </c>
      <c r="AI1" s="1" t="s">
        <v>63</v>
      </c>
      <c r="AJ1" s="1" t="s">
        <v>64</v>
      </c>
      <c r="AK1" s="1" t="s">
        <v>65</v>
      </c>
      <c r="AL1" s="1" t="s">
        <v>66</v>
      </c>
      <c r="AM1" s="1" t="s">
        <v>67</v>
      </c>
      <c r="AN1" s="1" t="s">
        <v>68</v>
      </c>
      <c r="AO1" s="1" t="s">
        <v>69</v>
      </c>
      <c r="AP1" s="1" t="s">
        <v>70</v>
      </c>
      <c r="AQ1" s="1" t="s">
        <v>71</v>
      </c>
      <c r="AR1" s="1" t="s">
        <v>72</v>
      </c>
      <c r="AS1" s="1" t="s">
        <v>73</v>
      </c>
      <c r="AT1" s="1" t="s">
        <v>74</v>
      </c>
      <c r="AU1" s="1" t="s">
        <v>75</v>
      </c>
      <c r="AV1" s="1" t="s">
        <v>76</v>
      </c>
      <c r="AW1" s="1" t="s">
        <v>31</v>
      </c>
      <c r="AX1" s="1" t="s">
        <v>77</v>
      </c>
      <c r="AY1" s="1" t="s">
        <v>78</v>
      </c>
      <c r="AZ1" s="1" t="s">
        <v>79</v>
      </c>
      <c r="BA1" s="1" t="s">
        <v>80</v>
      </c>
      <c r="BB1" s="4" t="s">
        <v>81</v>
      </c>
    </row>
    <row r="2" spans="1:54" x14ac:dyDescent="0.25">
      <c r="A2" s="22"/>
      <c r="B2" s="21" t="s">
        <v>167</v>
      </c>
      <c r="C2" s="21">
        <v>435</v>
      </c>
      <c r="D2" s="23">
        <v>46235</v>
      </c>
      <c r="E2" s="21" t="s">
        <v>212</v>
      </c>
      <c r="F2" s="21" t="s">
        <v>263</v>
      </c>
      <c r="G2" s="21" t="s">
        <v>309</v>
      </c>
      <c r="H2" s="21" t="s">
        <v>326</v>
      </c>
      <c r="I2" s="21">
        <v>498</v>
      </c>
      <c r="J2" s="21">
        <v>570</v>
      </c>
      <c r="K2" s="21" t="s">
        <v>224</v>
      </c>
      <c r="L2" s="21">
        <v>283860</v>
      </c>
      <c r="M2" s="21">
        <v>1221</v>
      </c>
      <c r="N2" s="21">
        <v>1221</v>
      </c>
      <c r="O2" s="21">
        <v>334954.8</v>
      </c>
      <c r="P2" s="21" t="s">
        <v>200</v>
      </c>
      <c r="Q2" s="21" t="s">
        <v>200</v>
      </c>
      <c r="R2" s="21"/>
      <c r="S2" s="21"/>
      <c r="T2" s="21" t="s">
        <v>229</v>
      </c>
      <c r="U2" s="21">
        <v>1</v>
      </c>
      <c r="V2" s="21"/>
      <c r="W2" s="21">
        <v>9</v>
      </c>
      <c r="X2" s="21">
        <v>25547.4</v>
      </c>
      <c r="Y2" s="21">
        <v>9</v>
      </c>
      <c r="Z2" s="21">
        <v>25547.4</v>
      </c>
      <c r="AA2" s="21">
        <v>0</v>
      </c>
      <c r="AB2" s="21">
        <v>0</v>
      </c>
      <c r="AC2" s="21">
        <v>39232999</v>
      </c>
      <c r="AD2" s="21" t="s">
        <v>189</v>
      </c>
      <c r="AE2" s="23">
        <v>46235</v>
      </c>
      <c r="AF2" s="21">
        <v>0</v>
      </c>
      <c r="AG2" s="21">
        <v>0</v>
      </c>
      <c r="AH2" s="21"/>
      <c r="AI2" s="21">
        <v>0</v>
      </c>
      <c r="AJ2" s="21"/>
      <c r="AK2" s="21"/>
      <c r="AL2" s="21"/>
      <c r="AM2" s="21">
        <v>0</v>
      </c>
      <c r="AN2" s="21">
        <v>0</v>
      </c>
      <c r="AO2" s="21">
        <v>0</v>
      </c>
      <c r="AP2" s="21">
        <v>0</v>
      </c>
      <c r="AQ2" s="21">
        <v>0</v>
      </c>
      <c r="AR2" s="21">
        <v>0</v>
      </c>
      <c r="AS2" s="21">
        <v>0</v>
      </c>
      <c r="AT2" s="21">
        <v>0</v>
      </c>
      <c r="AU2" s="21"/>
      <c r="AV2" s="21" t="s">
        <v>236</v>
      </c>
      <c r="AW2" s="21" t="s">
        <v>202</v>
      </c>
      <c r="AX2" s="21" t="s">
        <v>186</v>
      </c>
      <c r="AY2" s="21" t="s">
        <v>187</v>
      </c>
      <c r="AZ2" s="21" t="s">
        <v>188</v>
      </c>
      <c r="BA2" s="21" t="s">
        <v>152</v>
      </c>
      <c r="BB2" s="21" t="s">
        <v>152</v>
      </c>
    </row>
    <row r="3" spans="1:54" x14ac:dyDescent="0.25">
      <c r="A3" s="22"/>
      <c r="B3" s="21" t="s">
        <v>167</v>
      </c>
      <c r="C3" s="21">
        <v>437</v>
      </c>
      <c r="D3" s="23">
        <v>46235</v>
      </c>
      <c r="E3" s="21" t="s">
        <v>212</v>
      </c>
      <c r="F3" s="21" t="s">
        <v>174</v>
      </c>
      <c r="G3" s="21" t="s">
        <v>231</v>
      </c>
      <c r="H3" s="21" t="s">
        <v>183</v>
      </c>
      <c r="I3" s="21">
        <v>154.74</v>
      </c>
      <c r="J3" s="21">
        <v>1070.3</v>
      </c>
      <c r="K3" s="21" t="s">
        <v>168</v>
      </c>
      <c r="L3" s="21">
        <v>165618.22</v>
      </c>
      <c r="M3" s="21">
        <v>1070.3</v>
      </c>
      <c r="N3" s="21">
        <v>1120.3</v>
      </c>
      <c r="O3" s="21">
        <v>195429.5</v>
      </c>
      <c r="P3" s="21" t="s">
        <v>232</v>
      </c>
      <c r="Q3" s="21" t="s">
        <v>232</v>
      </c>
      <c r="R3" s="21"/>
      <c r="S3" s="21"/>
      <c r="T3" s="21" t="s">
        <v>229</v>
      </c>
      <c r="U3" s="21">
        <v>1</v>
      </c>
      <c r="V3" s="21"/>
      <c r="W3" s="21">
        <v>9</v>
      </c>
      <c r="X3" s="21">
        <v>14905.64</v>
      </c>
      <c r="Y3" s="21">
        <v>9</v>
      </c>
      <c r="Z3" s="21">
        <v>14905.64</v>
      </c>
      <c r="AA3" s="21">
        <v>0</v>
      </c>
      <c r="AB3" s="21">
        <v>0</v>
      </c>
      <c r="AC3" s="21">
        <v>39269080</v>
      </c>
      <c r="AD3" s="21" t="s">
        <v>189</v>
      </c>
      <c r="AE3" s="23">
        <v>46235</v>
      </c>
      <c r="AF3" s="21">
        <v>0</v>
      </c>
      <c r="AG3" s="21">
        <v>0</v>
      </c>
      <c r="AH3" s="21"/>
      <c r="AI3" s="21">
        <v>0</v>
      </c>
      <c r="AJ3" s="21"/>
      <c r="AK3" s="21"/>
      <c r="AL3" s="21"/>
      <c r="AM3" s="21">
        <v>0</v>
      </c>
      <c r="AN3" s="21">
        <v>0</v>
      </c>
      <c r="AO3" s="21">
        <v>0</v>
      </c>
      <c r="AP3" s="21">
        <v>0</v>
      </c>
      <c r="AQ3" s="21">
        <v>0</v>
      </c>
      <c r="AR3" s="21">
        <v>0</v>
      </c>
      <c r="AS3" s="21">
        <v>0</v>
      </c>
      <c r="AT3" s="21">
        <v>0</v>
      </c>
      <c r="AU3" s="21"/>
      <c r="AV3" s="21" t="s">
        <v>236</v>
      </c>
      <c r="AW3" s="21" t="s">
        <v>202</v>
      </c>
      <c r="AX3" s="21" t="s">
        <v>182</v>
      </c>
      <c r="AY3" s="21" t="s">
        <v>183</v>
      </c>
      <c r="AZ3" s="21" t="s">
        <v>169</v>
      </c>
      <c r="BA3" s="21" t="s">
        <v>179</v>
      </c>
      <c r="BB3" s="21" t="s">
        <v>155</v>
      </c>
    </row>
    <row r="4" spans="1:54" x14ac:dyDescent="0.25">
      <c r="A4" s="22"/>
      <c r="B4" s="21" t="s">
        <v>167</v>
      </c>
      <c r="C4" s="21" t="s">
        <v>321</v>
      </c>
      <c r="D4" s="23">
        <v>46235</v>
      </c>
      <c r="E4" s="21" t="s">
        <v>249</v>
      </c>
      <c r="F4" s="21" t="s">
        <v>579</v>
      </c>
      <c r="G4" s="21" t="s">
        <v>235</v>
      </c>
      <c r="H4" s="21" t="s">
        <v>181</v>
      </c>
      <c r="I4" s="21">
        <v>146.47</v>
      </c>
      <c r="J4" s="21">
        <v>507.2</v>
      </c>
      <c r="K4" s="21" t="s">
        <v>168</v>
      </c>
      <c r="L4" s="21">
        <v>74289.584000000003</v>
      </c>
      <c r="M4" s="21">
        <v>507.2</v>
      </c>
      <c r="N4" s="21">
        <v>507.2</v>
      </c>
      <c r="O4" s="21">
        <v>223041</v>
      </c>
      <c r="P4" s="21" t="s">
        <v>232</v>
      </c>
      <c r="Q4" s="21" t="s">
        <v>181</v>
      </c>
      <c r="R4" s="21"/>
      <c r="S4" s="21"/>
      <c r="T4" s="21" t="s">
        <v>229</v>
      </c>
      <c r="U4" s="21">
        <v>1</v>
      </c>
      <c r="V4" s="21" t="s">
        <v>240</v>
      </c>
      <c r="W4" s="21">
        <v>0</v>
      </c>
      <c r="X4" s="21">
        <v>0</v>
      </c>
      <c r="Y4" s="21">
        <v>0</v>
      </c>
      <c r="Z4" s="21">
        <v>0</v>
      </c>
      <c r="AA4" s="21">
        <v>18</v>
      </c>
      <c r="AB4" s="21">
        <v>13372.13</v>
      </c>
      <c r="AC4" s="21">
        <v>39269080</v>
      </c>
      <c r="AD4" s="21" t="s">
        <v>189</v>
      </c>
      <c r="AE4" s="23">
        <v>46235</v>
      </c>
      <c r="AF4" s="21">
        <v>0</v>
      </c>
      <c r="AG4" s="21">
        <v>0</v>
      </c>
      <c r="AH4" s="21"/>
      <c r="AI4" s="21">
        <v>0</v>
      </c>
      <c r="AJ4" s="21"/>
      <c r="AK4" s="21"/>
      <c r="AL4" s="21"/>
      <c r="AM4" s="21">
        <v>0</v>
      </c>
      <c r="AN4" s="21">
        <v>0</v>
      </c>
      <c r="AO4" s="21">
        <v>0</v>
      </c>
      <c r="AP4" s="21">
        <v>0</v>
      </c>
      <c r="AQ4" s="21">
        <v>0</v>
      </c>
      <c r="AR4" s="21">
        <v>0</v>
      </c>
      <c r="AS4" s="21">
        <v>0</v>
      </c>
      <c r="AT4" s="21">
        <v>0</v>
      </c>
      <c r="AU4" s="21"/>
      <c r="AV4" s="21" t="s">
        <v>244</v>
      </c>
      <c r="AW4" s="21" t="s">
        <v>202</v>
      </c>
      <c r="AX4" s="21" t="s">
        <v>180</v>
      </c>
      <c r="AY4" s="21" t="s">
        <v>181</v>
      </c>
      <c r="AZ4" s="21" t="s">
        <v>169</v>
      </c>
      <c r="BA4" s="21" t="s">
        <v>181</v>
      </c>
      <c r="BB4" s="21" t="s">
        <v>578</v>
      </c>
    </row>
    <row r="5" spans="1:54" x14ac:dyDescent="0.25">
      <c r="A5" s="22"/>
      <c r="B5" s="21" t="s">
        <v>167</v>
      </c>
      <c r="C5" s="21" t="s">
        <v>321</v>
      </c>
      <c r="D5" s="23">
        <v>46235</v>
      </c>
      <c r="E5" s="21" t="s">
        <v>249</v>
      </c>
      <c r="F5" s="21" t="s">
        <v>579</v>
      </c>
      <c r="G5" s="21" t="s">
        <v>231</v>
      </c>
      <c r="H5" s="21" t="s">
        <v>322</v>
      </c>
      <c r="I5" s="21">
        <v>149.47</v>
      </c>
      <c r="J5" s="21">
        <v>394</v>
      </c>
      <c r="K5" s="21" t="s">
        <v>168</v>
      </c>
      <c r="L5" s="21">
        <v>58891.18</v>
      </c>
      <c r="M5" s="21">
        <v>394</v>
      </c>
      <c r="N5" s="21">
        <v>394</v>
      </c>
      <c r="O5" s="21">
        <v>0</v>
      </c>
      <c r="P5" s="21" t="s">
        <v>232</v>
      </c>
      <c r="Q5" s="21" t="s">
        <v>232</v>
      </c>
      <c r="R5" s="21"/>
      <c r="S5" s="21"/>
      <c r="T5" s="21" t="s">
        <v>229</v>
      </c>
      <c r="U5" s="21">
        <v>1</v>
      </c>
      <c r="V5" s="21" t="s">
        <v>240</v>
      </c>
      <c r="W5" s="21">
        <v>0</v>
      </c>
      <c r="X5" s="21">
        <v>0</v>
      </c>
      <c r="Y5" s="21">
        <v>0</v>
      </c>
      <c r="Z5" s="21">
        <v>0</v>
      </c>
      <c r="AA5" s="21">
        <v>18</v>
      </c>
      <c r="AB5" s="21">
        <v>10600.41</v>
      </c>
      <c r="AC5" s="21">
        <v>39269080</v>
      </c>
      <c r="AD5" s="21" t="s">
        <v>189</v>
      </c>
      <c r="AE5" s="23">
        <v>46235</v>
      </c>
      <c r="AF5" s="21">
        <v>0</v>
      </c>
      <c r="AG5" s="21">
        <v>0</v>
      </c>
      <c r="AH5" s="21"/>
      <c r="AI5" s="21">
        <v>0</v>
      </c>
      <c r="AJ5" s="21"/>
      <c r="AK5" s="21"/>
      <c r="AL5" s="21"/>
      <c r="AM5" s="21">
        <v>0</v>
      </c>
      <c r="AN5" s="21">
        <v>0</v>
      </c>
      <c r="AO5" s="21">
        <v>0</v>
      </c>
      <c r="AP5" s="21">
        <v>0</v>
      </c>
      <c r="AQ5" s="21">
        <v>0</v>
      </c>
      <c r="AR5" s="21">
        <v>0</v>
      </c>
      <c r="AS5" s="21">
        <v>0</v>
      </c>
      <c r="AT5" s="21">
        <v>0</v>
      </c>
      <c r="AU5" s="21"/>
      <c r="AV5" s="21" t="s">
        <v>244</v>
      </c>
      <c r="AW5" s="21" t="s">
        <v>202</v>
      </c>
      <c r="AX5" s="21" t="s">
        <v>182</v>
      </c>
      <c r="AY5" s="21" t="s">
        <v>183</v>
      </c>
      <c r="AZ5" s="21" t="s">
        <v>169</v>
      </c>
      <c r="BA5" s="21" t="s">
        <v>179</v>
      </c>
      <c r="BB5" s="21" t="s">
        <v>297</v>
      </c>
    </row>
    <row r="6" spans="1:54" x14ac:dyDescent="0.25">
      <c r="A6" s="22"/>
      <c r="B6" s="21" t="s">
        <v>167</v>
      </c>
      <c r="C6" s="21" t="s">
        <v>321</v>
      </c>
      <c r="D6" s="23">
        <v>46235</v>
      </c>
      <c r="E6" s="21" t="s">
        <v>249</v>
      </c>
      <c r="F6" s="21" t="s">
        <v>579</v>
      </c>
      <c r="G6" s="21" t="s">
        <v>231</v>
      </c>
      <c r="H6" s="21" t="s">
        <v>183</v>
      </c>
      <c r="I6" s="21">
        <v>146.47</v>
      </c>
      <c r="J6" s="21">
        <v>477</v>
      </c>
      <c r="K6" s="21" t="s">
        <v>168</v>
      </c>
      <c r="L6" s="21">
        <v>69866.19</v>
      </c>
      <c r="M6" s="21">
        <v>477</v>
      </c>
      <c r="N6" s="21">
        <v>477</v>
      </c>
      <c r="O6" s="21">
        <v>0</v>
      </c>
      <c r="P6" s="21" t="s">
        <v>232</v>
      </c>
      <c r="Q6" s="21" t="s">
        <v>232</v>
      </c>
      <c r="R6" s="21"/>
      <c r="S6" s="21"/>
      <c r="T6" s="21" t="s">
        <v>229</v>
      </c>
      <c r="U6" s="21">
        <v>1</v>
      </c>
      <c r="V6" s="21" t="s">
        <v>240</v>
      </c>
      <c r="W6" s="21">
        <v>0</v>
      </c>
      <c r="X6" s="21">
        <v>0</v>
      </c>
      <c r="Y6" s="21">
        <v>0</v>
      </c>
      <c r="Z6" s="21">
        <v>0</v>
      </c>
      <c r="AA6" s="21">
        <v>18</v>
      </c>
      <c r="AB6" s="21">
        <v>12575.91</v>
      </c>
      <c r="AC6" s="21">
        <v>39269080</v>
      </c>
      <c r="AD6" s="21" t="s">
        <v>189</v>
      </c>
      <c r="AE6" s="23">
        <v>46235</v>
      </c>
      <c r="AF6" s="21">
        <v>0</v>
      </c>
      <c r="AG6" s="21">
        <v>0</v>
      </c>
      <c r="AH6" s="21"/>
      <c r="AI6" s="21">
        <v>0</v>
      </c>
      <c r="AJ6" s="21"/>
      <c r="AK6" s="21"/>
      <c r="AL6" s="21"/>
      <c r="AM6" s="21">
        <v>0</v>
      </c>
      <c r="AN6" s="21">
        <v>0</v>
      </c>
      <c r="AO6" s="21">
        <v>0</v>
      </c>
      <c r="AP6" s="21">
        <v>0</v>
      </c>
      <c r="AQ6" s="21">
        <v>0</v>
      </c>
      <c r="AR6" s="21">
        <v>0</v>
      </c>
      <c r="AS6" s="21">
        <v>0</v>
      </c>
      <c r="AT6" s="21">
        <v>0</v>
      </c>
      <c r="AU6" s="21"/>
      <c r="AV6" s="21" t="s">
        <v>244</v>
      </c>
      <c r="AW6" s="21" t="s">
        <v>202</v>
      </c>
      <c r="AX6" s="21" t="s">
        <v>182</v>
      </c>
      <c r="AY6" s="21" t="s">
        <v>183</v>
      </c>
      <c r="AZ6" s="21" t="s">
        <v>169</v>
      </c>
      <c r="BA6" s="21" t="s">
        <v>179</v>
      </c>
      <c r="BB6" s="21" t="s">
        <v>297</v>
      </c>
    </row>
    <row r="7" spans="1:54" x14ac:dyDescent="0.25">
      <c r="A7" s="22"/>
      <c r="B7" s="21" t="s">
        <v>167</v>
      </c>
      <c r="C7" s="21" t="s">
        <v>321</v>
      </c>
      <c r="D7" s="23">
        <v>46235</v>
      </c>
      <c r="E7" s="21" t="s">
        <v>249</v>
      </c>
      <c r="F7" s="21" t="s">
        <v>579</v>
      </c>
      <c r="G7" s="21" t="s">
        <v>246</v>
      </c>
      <c r="H7" s="21" t="s">
        <v>323</v>
      </c>
      <c r="I7" s="21">
        <v>151.47</v>
      </c>
      <c r="J7" s="21">
        <v>132</v>
      </c>
      <c r="K7" s="21" t="s">
        <v>168</v>
      </c>
      <c r="L7" s="21">
        <v>19994.04</v>
      </c>
      <c r="M7" s="21">
        <v>132</v>
      </c>
      <c r="N7" s="21">
        <v>132</v>
      </c>
      <c r="O7" s="21">
        <v>0</v>
      </c>
      <c r="P7" s="21" t="s">
        <v>232</v>
      </c>
      <c r="Q7" s="21" t="s">
        <v>232</v>
      </c>
      <c r="R7" s="21"/>
      <c r="S7" s="21"/>
      <c r="T7" s="21" t="s">
        <v>229</v>
      </c>
      <c r="U7" s="21">
        <v>1</v>
      </c>
      <c r="V7" s="21" t="s">
        <v>240</v>
      </c>
      <c r="W7" s="21">
        <v>0</v>
      </c>
      <c r="X7" s="21">
        <v>0</v>
      </c>
      <c r="Y7" s="21">
        <v>0</v>
      </c>
      <c r="Z7" s="21">
        <v>0</v>
      </c>
      <c r="AA7" s="21">
        <v>18</v>
      </c>
      <c r="AB7" s="21">
        <v>3598.93</v>
      </c>
      <c r="AC7" s="21">
        <v>39269080</v>
      </c>
      <c r="AD7" s="21" t="s">
        <v>189</v>
      </c>
      <c r="AE7" s="23">
        <v>46235</v>
      </c>
      <c r="AF7" s="21">
        <v>0</v>
      </c>
      <c r="AG7" s="21">
        <v>0</v>
      </c>
      <c r="AH7" s="21"/>
      <c r="AI7" s="21">
        <v>0</v>
      </c>
      <c r="AJ7" s="21"/>
      <c r="AK7" s="21"/>
      <c r="AL7" s="21"/>
      <c r="AM7" s="21">
        <v>0</v>
      </c>
      <c r="AN7" s="21">
        <v>0</v>
      </c>
      <c r="AO7" s="21">
        <v>0</v>
      </c>
      <c r="AP7" s="21">
        <v>0</v>
      </c>
      <c r="AQ7" s="21">
        <v>0</v>
      </c>
      <c r="AR7" s="21">
        <v>0</v>
      </c>
      <c r="AS7" s="21">
        <v>0</v>
      </c>
      <c r="AT7" s="21">
        <v>0</v>
      </c>
      <c r="AU7" s="21"/>
      <c r="AV7" s="21" t="s">
        <v>244</v>
      </c>
      <c r="AW7" s="21" t="s">
        <v>202</v>
      </c>
      <c r="AX7" s="21" t="s">
        <v>177</v>
      </c>
      <c r="AY7" s="21" t="s">
        <v>178</v>
      </c>
      <c r="AZ7" s="21" t="s">
        <v>169</v>
      </c>
      <c r="BA7" s="21" t="s">
        <v>179</v>
      </c>
      <c r="BB7" s="21" t="s">
        <v>298</v>
      </c>
    </row>
    <row r="8" spans="1:54" x14ac:dyDescent="0.25">
      <c r="A8" s="22"/>
      <c r="B8" s="21" t="s">
        <v>167</v>
      </c>
      <c r="C8" s="21">
        <v>439</v>
      </c>
      <c r="D8" s="23">
        <v>46236</v>
      </c>
      <c r="E8" s="21" t="s">
        <v>212</v>
      </c>
      <c r="F8" s="21" t="s">
        <v>251</v>
      </c>
      <c r="G8" s="21" t="s">
        <v>259</v>
      </c>
      <c r="H8" s="21" t="s">
        <v>196</v>
      </c>
      <c r="I8" s="21">
        <v>326</v>
      </c>
      <c r="J8" s="21">
        <v>2.2999999999999998</v>
      </c>
      <c r="K8" s="21" t="s">
        <v>168</v>
      </c>
      <c r="L8" s="21">
        <v>749.8</v>
      </c>
      <c r="M8" s="21">
        <v>2.2999999999999998</v>
      </c>
      <c r="N8" s="21">
        <v>2.2999999999999998</v>
      </c>
      <c r="O8" s="21">
        <v>13202.78</v>
      </c>
      <c r="P8" s="21" t="s">
        <v>237</v>
      </c>
      <c r="Q8" s="21" t="s">
        <v>237</v>
      </c>
      <c r="R8" s="21"/>
      <c r="S8" s="21"/>
      <c r="T8" s="21" t="s">
        <v>229</v>
      </c>
      <c r="U8" s="21">
        <v>1</v>
      </c>
      <c r="V8" s="21"/>
      <c r="W8" s="21">
        <v>9</v>
      </c>
      <c r="X8" s="21">
        <v>67.48</v>
      </c>
      <c r="Y8" s="21">
        <v>9</v>
      </c>
      <c r="Z8" s="21">
        <v>67.48</v>
      </c>
      <c r="AA8" s="21">
        <v>0</v>
      </c>
      <c r="AB8" s="21">
        <v>0</v>
      </c>
      <c r="AC8" s="21">
        <v>39201019</v>
      </c>
      <c r="AD8" s="21" t="s">
        <v>189</v>
      </c>
      <c r="AE8" s="23">
        <v>46236</v>
      </c>
      <c r="AF8" s="21">
        <v>0</v>
      </c>
      <c r="AG8" s="21">
        <v>0</v>
      </c>
      <c r="AH8" s="21"/>
      <c r="AI8" s="21">
        <v>0</v>
      </c>
      <c r="AJ8" s="21"/>
      <c r="AK8" s="21"/>
      <c r="AL8" s="21"/>
      <c r="AM8" s="21">
        <v>0</v>
      </c>
      <c r="AN8" s="21">
        <v>0</v>
      </c>
      <c r="AO8" s="21">
        <v>0</v>
      </c>
      <c r="AP8" s="21">
        <v>0</v>
      </c>
      <c r="AQ8" s="21">
        <v>0</v>
      </c>
      <c r="AR8" s="21">
        <v>0</v>
      </c>
      <c r="AS8" s="21">
        <v>0</v>
      </c>
      <c r="AT8" s="21">
        <v>0</v>
      </c>
      <c r="AU8" s="21"/>
      <c r="AV8" s="21" t="s">
        <v>236</v>
      </c>
      <c r="AW8" s="21" t="s">
        <v>202</v>
      </c>
      <c r="AX8" s="21" t="s">
        <v>195</v>
      </c>
      <c r="AY8" s="21" t="s">
        <v>196</v>
      </c>
      <c r="AZ8" s="21" t="s">
        <v>169</v>
      </c>
      <c r="BA8" s="21" t="s">
        <v>197</v>
      </c>
      <c r="BB8" s="21" t="s">
        <v>158</v>
      </c>
    </row>
    <row r="9" spans="1:54" x14ac:dyDescent="0.25">
      <c r="A9" s="22"/>
      <c r="B9" s="21" t="s">
        <v>167</v>
      </c>
      <c r="C9" s="21">
        <v>439</v>
      </c>
      <c r="D9" s="23">
        <v>46236</v>
      </c>
      <c r="E9" s="21" t="s">
        <v>212</v>
      </c>
      <c r="F9" s="21" t="s">
        <v>251</v>
      </c>
      <c r="G9" s="21" t="s">
        <v>259</v>
      </c>
      <c r="H9" s="21" t="s">
        <v>196</v>
      </c>
      <c r="I9" s="21">
        <v>286</v>
      </c>
      <c r="J9" s="21">
        <v>36.5</v>
      </c>
      <c r="K9" s="21" t="s">
        <v>168</v>
      </c>
      <c r="L9" s="21">
        <v>10439</v>
      </c>
      <c r="M9" s="21">
        <v>36.5</v>
      </c>
      <c r="N9" s="21">
        <v>36.5</v>
      </c>
      <c r="O9" s="21">
        <v>0</v>
      </c>
      <c r="P9" s="21" t="s">
        <v>237</v>
      </c>
      <c r="Q9" s="21" t="s">
        <v>237</v>
      </c>
      <c r="R9" s="21"/>
      <c r="S9" s="21"/>
      <c r="T9" s="21" t="s">
        <v>229</v>
      </c>
      <c r="U9" s="21">
        <v>1</v>
      </c>
      <c r="V9" s="21"/>
      <c r="W9" s="21">
        <v>9</v>
      </c>
      <c r="X9" s="21">
        <v>939.51</v>
      </c>
      <c r="Y9" s="21">
        <v>9</v>
      </c>
      <c r="Z9" s="21">
        <v>939.51</v>
      </c>
      <c r="AA9" s="21">
        <v>0</v>
      </c>
      <c r="AB9" s="21">
        <v>0</v>
      </c>
      <c r="AC9" s="21">
        <v>39201019</v>
      </c>
      <c r="AD9" s="21" t="s">
        <v>189</v>
      </c>
      <c r="AE9" s="23">
        <v>46236</v>
      </c>
      <c r="AF9" s="21">
        <v>0</v>
      </c>
      <c r="AG9" s="21">
        <v>0</v>
      </c>
      <c r="AH9" s="21"/>
      <c r="AI9" s="21">
        <v>0</v>
      </c>
      <c r="AJ9" s="21"/>
      <c r="AK9" s="21"/>
      <c r="AL9" s="21"/>
      <c r="AM9" s="21">
        <v>0</v>
      </c>
      <c r="AN9" s="21">
        <v>0</v>
      </c>
      <c r="AO9" s="21">
        <v>0</v>
      </c>
      <c r="AP9" s="21">
        <v>0</v>
      </c>
      <c r="AQ9" s="21">
        <v>0</v>
      </c>
      <c r="AR9" s="21">
        <v>0</v>
      </c>
      <c r="AS9" s="21">
        <v>0</v>
      </c>
      <c r="AT9" s="21">
        <v>0</v>
      </c>
      <c r="AU9" s="21"/>
      <c r="AV9" s="21" t="s">
        <v>236</v>
      </c>
      <c r="AW9" s="21" t="s">
        <v>202</v>
      </c>
      <c r="AX9" s="21" t="s">
        <v>195</v>
      </c>
      <c r="AY9" s="21" t="s">
        <v>196</v>
      </c>
      <c r="AZ9" s="21" t="s">
        <v>169</v>
      </c>
      <c r="BA9" s="21" t="s">
        <v>197</v>
      </c>
      <c r="BB9" s="21" t="s">
        <v>158</v>
      </c>
    </row>
    <row r="10" spans="1:54" x14ac:dyDescent="0.25">
      <c r="A10" s="22"/>
      <c r="B10" s="21" t="s">
        <v>167</v>
      </c>
      <c r="C10" s="21">
        <v>440</v>
      </c>
      <c r="D10" s="23">
        <v>46236</v>
      </c>
      <c r="E10" s="21" t="s">
        <v>212</v>
      </c>
      <c r="F10" s="21" t="s">
        <v>580</v>
      </c>
      <c r="G10" s="21" t="s">
        <v>309</v>
      </c>
      <c r="H10" s="21" t="s">
        <v>331</v>
      </c>
      <c r="I10" s="21">
        <v>226.3</v>
      </c>
      <c r="J10" s="21">
        <v>2700</v>
      </c>
      <c r="K10" s="21" t="s">
        <v>168</v>
      </c>
      <c r="L10" s="21">
        <v>611010</v>
      </c>
      <c r="M10" s="21">
        <v>2700</v>
      </c>
      <c r="N10" s="21">
        <v>2790</v>
      </c>
      <c r="O10" s="21">
        <v>5975760.8399999999</v>
      </c>
      <c r="P10" s="21" t="s">
        <v>200</v>
      </c>
      <c r="Q10" s="21" t="s">
        <v>200</v>
      </c>
      <c r="R10" s="21"/>
      <c r="S10" s="21"/>
      <c r="T10" s="21" t="s">
        <v>229</v>
      </c>
      <c r="U10" s="21">
        <v>1</v>
      </c>
      <c r="V10" s="21"/>
      <c r="W10" s="21">
        <v>9</v>
      </c>
      <c r="X10" s="21">
        <v>54990.9</v>
      </c>
      <c r="Y10" s="21">
        <v>9</v>
      </c>
      <c r="Z10" s="21">
        <v>54990.9</v>
      </c>
      <c r="AA10" s="21">
        <v>0</v>
      </c>
      <c r="AB10" s="21">
        <v>0</v>
      </c>
      <c r="AC10" s="21">
        <v>39232999</v>
      </c>
      <c r="AD10" s="21" t="s">
        <v>189</v>
      </c>
      <c r="AE10" s="23">
        <v>46236</v>
      </c>
      <c r="AF10" s="21">
        <v>0</v>
      </c>
      <c r="AG10" s="21">
        <v>0</v>
      </c>
      <c r="AH10" s="21"/>
      <c r="AI10" s="21">
        <v>0</v>
      </c>
      <c r="AJ10" s="21"/>
      <c r="AK10" s="21"/>
      <c r="AL10" s="21"/>
      <c r="AM10" s="21">
        <v>0</v>
      </c>
      <c r="AN10" s="21">
        <v>0</v>
      </c>
      <c r="AO10" s="21">
        <v>0</v>
      </c>
      <c r="AP10" s="21">
        <v>0</v>
      </c>
      <c r="AQ10" s="21">
        <v>0</v>
      </c>
      <c r="AR10" s="21">
        <v>0</v>
      </c>
      <c r="AS10" s="21">
        <v>0</v>
      </c>
      <c r="AT10" s="21">
        <v>0</v>
      </c>
      <c r="AU10" s="21"/>
      <c r="AV10" s="21" t="s">
        <v>236</v>
      </c>
      <c r="AW10" s="21" t="s">
        <v>202</v>
      </c>
      <c r="AX10" s="21" t="s">
        <v>190</v>
      </c>
      <c r="AY10" s="21" t="s">
        <v>191</v>
      </c>
      <c r="AZ10" s="21" t="s">
        <v>188</v>
      </c>
      <c r="BA10" s="21" t="s">
        <v>152</v>
      </c>
      <c r="BB10" s="21" t="s">
        <v>152</v>
      </c>
    </row>
    <row r="11" spans="1:54" x14ac:dyDescent="0.25">
      <c r="A11" s="22"/>
      <c r="B11" s="21" t="s">
        <v>167</v>
      </c>
      <c r="C11" s="21">
        <v>440</v>
      </c>
      <c r="D11" s="23">
        <v>46236</v>
      </c>
      <c r="E11" s="21" t="s">
        <v>212</v>
      </c>
      <c r="F11" s="21" t="s">
        <v>580</v>
      </c>
      <c r="G11" s="21" t="s">
        <v>309</v>
      </c>
      <c r="H11" s="21" t="s">
        <v>330</v>
      </c>
      <c r="I11" s="21">
        <v>221.58</v>
      </c>
      <c r="J11" s="21">
        <v>2722</v>
      </c>
      <c r="K11" s="21" t="s">
        <v>168</v>
      </c>
      <c r="L11" s="21">
        <v>603140.76</v>
      </c>
      <c r="M11" s="21">
        <v>2722</v>
      </c>
      <c r="N11" s="21">
        <v>2812</v>
      </c>
      <c r="O11" s="21">
        <v>0</v>
      </c>
      <c r="P11" s="21" t="s">
        <v>200</v>
      </c>
      <c r="Q11" s="21" t="s">
        <v>200</v>
      </c>
      <c r="R11" s="21"/>
      <c r="S11" s="21"/>
      <c r="T11" s="21" t="s">
        <v>229</v>
      </c>
      <c r="U11" s="21">
        <v>1</v>
      </c>
      <c r="V11" s="21"/>
      <c r="W11" s="21">
        <v>9</v>
      </c>
      <c r="X11" s="21">
        <v>54282.67</v>
      </c>
      <c r="Y11" s="21">
        <v>9</v>
      </c>
      <c r="Z11" s="21">
        <v>54282.67</v>
      </c>
      <c r="AA11" s="21">
        <v>0</v>
      </c>
      <c r="AB11" s="21">
        <v>0</v>
      </c>
      <c r="AC11" s="21">
        <v>39232999</v>
      </c>
      <c r="AD11" s="21" t="s">
        <v>189</v>
      </c>
      <c r="AE11" s="23">
        <v>46236</v>
      </c>
      <c r="AF11" s="21">
        <v>0</v>
      </c>
      <c r="AG11" s="21">
        <v>0</v>
      </c>
      <c r="AH11" s="21"/>
      <c r="AI11" s="21">
        <v>0</v>
      </c>
      <c r="AJ11" s="21"/>
      <c r="AK11" s="21"/>
      <c r="AL11" s="21"/>
      <c r="AM11" s="21">
        <v>0</v>
      </c>
      <c r="AN11" s="21">
        <v>0</v>
      </c>
      <c r="AO11" s="21">
        <v>0</v>
      </c>
      <c r="AP11" s="21">
        <v>0</v>
      </c>
      <c r="AQ11" s="21">
        <v>0</v>
      </c>
      <c r="AR11" s="21">
        <v>0</v>
      </c>
      <c r="AS11" s="21">
        <v>0</v>
      </c>
      <c r="AT11" s="21">
        <v>0</v>
      </c>
      <c r="AU11" s="21"/>
      <c r="AV11" s="21" t="s">
        <v>236</v>
      </c>
      <c r="AW11" s="21" t="s">
        <v>202</v>
      </c>
      <c r="AX11" s="21" t="s">
        <v>190</v>
      </c>
      <c r="AY11" s="21" t="s">
        <v>191</v>
      </c>
      <c r="AZ11" s="21" t="s">
        <v>188</v>
      </c>
      <c r="BA11" s="21" t="s">
        <v>152</v>
      </c>
      <c r="BB11" s="21" t="s">
        <v>152</v>
      </c>
    </row>
    <row r="12" spans="1:54" x14ac:dyDescent="0.25">
      <c r="A12" s="22"/>
      <c r="B12" s="21" t="s">
        <v>167</v>
      </c>
      <c r="C12" s="21">
        <v>440</v>
      </c>
      <c r="D12" s="23">
        <v>46236</v>
      </c>
      <c r="E12" s="21" t="s">
        <v>212</v>
      </c>
      <c r="F12" s="21" t="s">
        <v>580</v>
      </c>
      <c r="G12" s="21" t="s">
        <v>309</v>
      </c>
      <c r="H12" s="21" t="s">
        <v>332</v>
      </c>
      <c r="I12" s="21">
        <v>239.44</v>
      </c>
      <c r="J12" s="21">
        <v>1295</v>
      </c>
      <c r="K12" s="21" t="s">
        <v>168</v>
      </c>
      <c r="L12" s="21">
        <v>310074.8</v>
      </c>
      <c r="M12" s="21">
        <v>1295</v>
      </c>
      <c r="N12" s="21">
        <v>1340</v>
      </c>
      <c r="O12" s="21">
        <v>0</v>
      </c>
      <c r="P12" s="21" t="s">
        <v>200</v>
      </c>
      <c r="Q12" s="21" t="s">
        <v>200</v>
      </c>
      <c r="R12" s="21"/>
      <c r="S12" s="21"/>
      <c r="T12" s="21" t="s">
        <v>229</v>
      </c>
      <c r="U12" s="21">
        <v>1</v>
      </c>
      <c r="V12" s="21"/>
      <c r="W12" s="21">
        <v>9</v>
      </c>
      <c r="X12" s="21">
        <v>27906.73</v>
      </c>
      <c r="Y12" s="21">
        <v>9</v>
      </c>
      <c r="Z12" s="21">
        <v>27906.73</v>
      </c>
      <c r="AA12" s="21">
        <v>0</v>
      </c>
      <c r="AB12" s="21">
        <v>0</v>
      </c>
      <c r="AC12" s="21">
        <v>39232999</v>
      </c>
      <c r="AD12" s="21" t="s">
        <v>189</v>
      </c>
      <c r="AE12" s="23">
        <v>46236</v>
      </c>
      <c r="AF12" s="21">
        <v>0</v>
      </c>
      <c r="AG12" s="21">
        <v>0</v>
      </c>
      <c r="AH12" s="21"/>
      <c r="AI12" s="21">
        <v>0</v>
      </c>
      <c r="AJ12" s="21"/>
      <c r="AK12" s="21"/>
      <c r="AL12" s="21"/>
      <c r="AM12" s="21">
        <v>0</v>
      </c>
      <c r="AN12" s="21">
        <v>0</v>
      </c>
      <c r="AO12" s="21">
        <v>0</v>
      </c>
      <c r="AP12" s="21">
        <v>0</v>
      </c>
      <c r="AQ12" s="21">
        <v>0</v>
      </c>
      <c r="AR12" s="21">
        <v>0</v>
      </c>
      <c r="AS12" s="21">
        <v>0</v>
      </c>
      <c r="AT12" s="21">
        <v>0</v>
      </c>
      <c r="AU12" s="21"/>
      <c r="AV12" s="21" t="s">
        <v>236</v>
      </c>
      <c r="AW12" s="21" t="s">
        <v>202</v>
      </c>
      <c r="AX12" s="21" t="s">
        <v>186</v>
      </c>
      <c r="AY12" s="21" t="s">
        <v>187</v>
      </c>
      <c r="AZ12" s="21" t="s">
        <v>188</v>
      </c>
      <c r="BA12" s="21" t="s">
        <v>152</v>
      </c>
      <c r="BB12" s="21" t="s">
        <v>152</v>
      </c>
    </row>
    <row r="13" spans="1:54" x14ac:dyDescent="0.25">
      <c r="A13" s="22"/>
      <c r="B13" s="21" t="s">
        <v>167</v>
      </c>
      <c r="C13" s="21">
        <v>440</v>
      </c>
      <c r="D13" s="23">
        <v>46236</v>
      </c>
      <c r="E13" s="21" t="s">
        <v>212</v>
      </c>
      <c r="F13" s="21" t="s">
        <v>580</v>
      </c>
      <c r="G13" s="21" t="s">
        <v>309</v>
      </c>
      <c r="H13" s="21" t="s">
        <v>333</v>
      </c>
      <c r="I13" s="21">
        <v>238.85</v>
      </c>
      <c r="J13" s="21">
        <v>420</v>
      </c>
      <c r="K13" s="21" t="s">
        <v>168</v>
      </c>
      <c r="L13" s="21">
        <v>100317</v>
      </c>
      <c r="M13" s="21">
        <v>420</v>
      </c>
      <c r="N13" s="21">
        <v>435</v>
      </c>
      <c r="O13" s="21">
        <v>0</v>
      </c>
      <c r="P13" s="21" t="s">
        <v>200</v>
      </c>
      <c r="Q13" s="21" t="s">
        <v>200</v>
      </c>
      <c r="R13" s="21"/>
      <c r="S13" s="21"/>
      <c r="T13" s="21" t="s">
        <v>229</v>
      </c>
      <c r="U13" s="21">
        <v>1</v>
      </c>
      <c r="V13" s="21"/>
      <c r="W13" s="21">
        <v>9</v>
      </c>
      <c r="X13" s="21">
        <v>9028.5300000000007</v>
      </c>
      <c r="Y13" s="21">
        <v>9</v>
      </c>
      <c r="Z13" s="21">
        <v>9028.5300000000007</v>
      </c>
      <c r="AA13" s="21">
        <v>0</v>
      </c>
      <c r="AB13" s="21">
        <v>0</v>
      </c>
      <c r="AC13" s="21">
        <v>39232999</v>
      </c>
      <c r="AD13" s="21" t="s">
        <v>189</v>
      </c>
      <c r="AE13" s="23">
        <v>46236</v>
      </c>
      <c r="AF13" s="21">
        <v>0</v>
      </c>
      <c r="AG13" s="21">
        <v>0</v>
      </c>
      <c r="AH13" s="21"/>
      <c r="AI13" s="21">
        <v>0</v>
      </c>
      <c r="AJ13" s="21"/>
      <c r="AK13" s="21"/>
      <c r="AL13" s="21"/>
      <c r="AM13" s="21">
        <v>0</v>
      </c>
      <c r="AN13" s="21">
        <v>0</v>
      </c>
      <c r="AO13" s="21">
        <v>0</v>
      </c>
      <c r="AP13" s="21">
        <v>0</v>
      </c>
      <c r="AQ13" s="21">
        <v>0</v>
      </c>
      <c r="AR13" s="21">
        <v>0</v>
      </c>
      <c r="AS13" s="21">
        <v>0</v>
      </c>
      <c r="AT13" s="21">
        <v>0</v>
      </c>
      <c r="AU13" s="21"/>
      <c r="AV13" s="21" t="s">
        <v>236</v>
      </c>
      <c r="AW13" s="21" t="s">
        <v>202</v>
      </c>
      <c r="AX13" s="21" t="s">
        <v>186</v>
      </c>
      <c r="AY13" s="21" t="s">
        <v>187</v>
      </c>
      <c r="AZ13" s="21" t="s">
        <v>188</v>
      </c>
      <c r="BA13" s="21" t="s">
        <v>152</v>
      </c>
      <c r="BB13" s="21" t="s">
        <v>152</v>
      </c>
    </row>
    <row r="14" spans="1:54" x14ac:dyDescent="0.25">
      <c r="A14" s="22"/>
      <c r="B14" s="21" t="s">
        <v>167</v>
      </c>
      <c r="C14" s="21">
        <v>440</v>
      </c>
      <c r="D14" s="23">
        <v>46236</v>
      </c>
      <c r="E14" s="21" t="s">
        <v>212</v>
      </c>
      <c r="F14" s="21" t="s">
        <v>580</v>
      </c>
      <c r="G14" s="21" t="s">
        <v>309</v>
      </c>
      <c r="H14" s="21" t="s">
        <v>334</v>
      </c>
      <c r="I14" s="21">
        <v>234.56</v>
      </c>
      <c r="J14" s="21">
        <v>443</v>
      </c>
      <c r="K14" s="21" t="s">
        <v>168</v>
      </c>
      <c r="L14" s="21">
        <v>103910.08</v>
      </c>
      <c r="M14" s="21">
        <v>443</v>
      </c>
      <c r="N14" s="21">
        <v>458</v>
      </c>
      <c r="O14" s="21">
        <v>0</v>
      </c>
      <c r="P14" s="21" t="s">
        <v>200</v>
      </c>
      <c r="Q14" s="21" t="s">
        <v>200</v>
      </c>
      <c r="R14" s="21"/>
      <c r="S14" s="21"/>
      <c r="T14" s="21" t="s">
        <v>229</v>
      </c>
      <c r="U14" s="21">
        <v>1</v>
      </c>
      <c r="V14" s="21"/>
      <c r="W14" s="21">
        <v>9</v>
      </c>
      <c r="X14" s="21">
        <v>9351.91</v>
      </c>
      <c r="Y14" s="21">
        <v>9</v>
      </c>
      <c r="Z14" s="21">
        <v>9351.91</v>
      </c>
      <c r="AA14" s="21">
        <v>0</v>
      </c>
      <c r="AB14" s="21">
        <v>0</v>
      </c>
      <c r="AC14" s="21">
        <v>39232999</v>
      </c>
      <c r="AD14" s="21" t="s">
        <v>189</v>
      </c>
      <c r="AE14" s="23">
        <v>46236</v>
      </c>
      <c r="AF14" s="21">
        <v>0</v>
      </c>
      <c r="AG14" s="21">
        <v>0</v>
      </c>
      <c r="AH14" s="21"/>
      <c r="AI14" s="21">
        <v>0</v>
      </c>
      <c r="AJ14" s="21"/>
      <c r="AK14" s="21"/>
      <c r="AL14" s="21"/>
      <c r="AM14" s="21">
        <v>0</v>
      </c>
      <c r="AN14" s="21">
        <v>0</v>
      </c>
      <c r="AO14" s="21">
        <v>0</v>
      </c>
      <c r="AP14" s="21">
        <v>0</v>
      </c>
      <c r="AQ14" s="21">
        <v>0</v>
      </c>
      <c r="AR14" s="21">
        <v>0</v>
      </c>
      <c r="AS14" s="21">
        <v>0</v>
      </c>
      <c r="AT14" s="21">
        <v>0</v>
      </c>
      <c r="AU14" s="21"/>
      <c r="AV14" s="21" t="s">
        <v>236</v>
      </c>
      <c r="AW14" s="21" t="s">
        <v>202</v>
      </c>
      <c r="AX14" s="21" t="s">
        <v>186</v>
      </c>
      <c r="AY14" s="21" t="s">
        <v>187</v>
      </c>
      <c r="AZ14" s="21" t="s">
        <v>188</v>
      </c>
      <c r="BA14" s="21" t="s">
        <v>152</v>
      </c>
      <c r="BB14" s="21" t="s">
        <v>152</v>
      </c>
    </row>
    <row r="15" spans="1:54" x14ac:dyDescent="0.25">
      <c r="A15" s="22"/>
      <c r="B15" s="21" t="s">
        <v>167</v>
      </c>
      <c r="C15" s="21">
        <v>440</v>
      </c>
      <c r="D15" s="23">
        <v>46236</v>
      </c>
      <c r="E15" s="21" t="s">
        <v>212</v>
      </c>
      <c r="F15" s="21" t="s">
        <v>580</v>
      </c>
      <c r="G15" s="21" t="s">
        <v>309</v>
      </c>
      <c r="H15" s="21" t="s">
        <v>335</v>
      </c>
      <c r="I15" s="21">
        <v>236.5</v>
      </c>
      <c r="J15" s="21">
        <v>880</v>
      </c>
      <c r="K15" s="21" t="s">
        <v>168</v>
      </c>
      <c r="L15" s="21">
        <v>208120</v>
      </c>
      <c r="M15" s="21">
        <v>880</v>
      </c>
      <c r="N15" s="21">
        <v>910</v>
      </c>
      <c r="O15" s="21">
        <v>0</v>
      </c>
      <c r="P15" s="21" t="s">
        <v>200</v>
      </c>
      <c r="Q15" s="21" t="s">
        <v>200</v>
      </c>
      <c r="R15" s="21"/>
      <c r="S15" s="21"/>
      <c r="T15" s="21" t="s">
        <v>229</v>
      </c>
      <c r="U15" s="21">
        <v>1</v>
      </c>
      <c r="V15" s="21"/>
      <c r="W15" s="21">
        <v>9</v>
      </c>
      <c r="X15" s="21">
        <v>18730.8</v>
      </c>
      <c r="Y15" s="21">
        <v>9</v>
      </c>
      <c r="Z15" s="21">
        <v>18730.8</v>
      </c>
      <c r="AA15" s="21">
        <v>0</v>
      </c>
      <c r="AB15" s="21">
        <v>0</v>
      </c>
      <c r="AC15" s="21">
        <v>39232999</v>
      </c>
      <c r="AD15" s="21" t="s">
        <v>189</v>
      </c>
      <c r="AE15" s="23">
        <v>46236</v>
      </c>
      <c r="AF15" s="21">
        <v>0</v>
      </c>
      <c r="AG15" s="21">
        <v>0</v>
      </c>
      <c r="AH15" s="21"/>
      <c r="AI15" s="21">
        <v>0</v>
      </c>
      <c r="AJ15" s="21"/>
      <c r="AK15" s="21"/>
      <c r="AL15" s="21"/>
      <c r="AM15" s="21">
        <v>0</v>
      </c>
      <c r="AN15" s="21">
        <v>0</v>
      </c>
      <c r="AO15" s="21">
        <v>0</v>
      </c>
      <c r="AP15" s="21">
        <v>0</v>
      </c>
      <c r="AQ15" s="21">
        <v>0</v>
      </c>
      <c r="AR15" s="21">
        <v>0</v>
      </c>
      <c r="AS15" s="21">
        <v>0</v>
      </c>
      <c r="AT15" s="21">
        <v>0</v>
      </c>
      <c r="AU15" s="21"/>
      <c r="AV15" s="21" t="s">
        <v>236</v>
      </c>
      <c r="AW15" s="21" t="s">
        <v>202</v>
      </c>
      <c r="AX15" s="21" t="s">
        <v>186</v>
      </c>
      <c r="AY15" s="21" t="s">
        <v>187</v>
      </c>
      <c r="AZ15" s="21" t="s">
        <v>188</v>
      </c>
      <c r="BA15" s="21" t="s">
        <v>152</v>
      </c>
      <c r="BB15" s="21" t="s">
        <v>152</v>
      </c>
    </row>
    <row r="16" spans="1:54" x14ac:dyDescent="0.25">
      <c r="A16" s="22"/>
      <c r="B16" s="21" t="s">
        <v>167</v>
      </c>
      <c r="C16" s="21">
        <v>440</v>
      </c>
      <c r="D16" s="23">
        <v>46236</v>
      </c>
      <c r="E16" s="21" t="s">
        <v>212</v>
      </c>
      <c r="F16" s="21" t="s">
        <v>580</v>
      </c>
      <c r="G16" s="21" t="s">
        <v>309</v>
      </c>
      <c r="H16" s="21" t="s">
        <v>336</v>
      </c>
      <c r="I16" s="21">
        <v>224.15</v>
      </c>
      <c r="J16" s="21">
        <v>1036</v>
      </c>
      <c r="K16" s="21" t="s">
        <v>168</v>
      </c>
      <c r="L16" s="21">
        <v>232219.4</v>
      </c>
      <c r="M16" s="21">
        <v>1036</v>
      </c>
      <c r="N16" s="21">
        <v>1066</v>
      </c>
      <c r="O16" s="21">
        <v>0</v>
      </c>
      <c r="P16" s="21" t="s">
        <v>200</v>
      </c>
      <c r="Q16" s="21" t="s">
        <v>200</v>
      </c>
      <c r="R16" s="21"/>
      <c r="S16" s="21"/>
      <c r="T16" s="21" t="s">
        <v>229</v>
      </c>
      <c r="U16" s="21">
        <v>1</v>
      </c>
      <c r="V16" s="21"/>
      <c r="W16" s="21">
        <v>9</v>
      </c>
      <c r="X16" s="21">
        <v>20899.75</v>
      </c>
      <c r="Y16" s="21">
        <v>9</v>
      </c>
      <c r="Z16" s="21">
        <v>20899.75</v>
      </c>
      <c r="AA16" s="21">
        <v>0</v>
      </c>
      <c r="AB16" s="21">
        <v>0</v>
      </c>
      <c r="AC16" s="21">
        <v>39232999</v>
      </c>
      <c r="AD16" s="21" t="s">
        <v>189</v>
      </c>
      <c r="AE16" s="23">
        <v>46236</v>
      </c>
      <c r="AF16" s="21">
        <v>0</v>
      </c>
      <c r="AG16" s="21">
        <v>0</v>
      </c>
      <c r="AH16" s="21"/>
      <c r="AI16" s="21">
        <v>0</v>
      </c>
      <c r="AJ16" s="21"/>
      <c r="AK16" s="21"/>
      <c r="AL16" s="21"/>
      <c r="AM16" s="21">
        <v>0</v>
      </c>
      <c r="AN16" s="21">
        <v>0</v>
      </c>
      <c r="AO16" s="21">
        <v>0</v>
      </c>
      <c r="AP16" s="21">
        <v>0</v>
      </c>
      <c r="AQ16" s="21">
        <v>0</v>
      </c>
      <c r="AR16" s="21">
        <v>0</v>
      </c>
      <c r="AS16" s="21">
        <v>0</v>
      </c>
      <c r="AT16" s="21">
        <v>0</v>
      </c>
      <c r="AU16" s="21"/>
      <c r="AV16" s="21" t="s">
        <v>236</v>
      </c>
      <c r="AW16" s="21" t="s">
        <v>202</v>
      </c>
      <c r="AX16" s="21" t="s">
        <v>186</v>
      </c>
      <c r="AY16" s="21" t="s">
        <v>187</v>
      </c>
      <c r="AZ16" s="21" t="s">
        <v>188</v>
      </c>
      <c r="BA16" s="21" t="s">
        <v>152</v>
      </c>
      <c r="BB16" s="21" t="s">
        <v>152</v>
      </c>
    </row>
    <row r="17" spans="1:54" x14ac:dyDescent="0.25">
      <c r="A17" s="22"/>
      <c r="B17" s="21" t="s">
        <v>167</v>
      </c>
      <c r="C17" s="21">
        <v>440</v>
      </c>
      <c r="D17" s="23">
        <v>46236</v>
      </c>
      <c r="E17" s="21" t="s">
        <v>212</v>
      </c>
      <c r="F17" s="21" t="s">
        <v>580</v>
      </c>
      <c r="G17" s="21" t="s">
        <v>309</v>
      </c>
      <c r="H17" s="21" t="s">
        <v>337</v>
      </c>
      <c r="I17" s="21">
        <v>242.4</v>
      </c>
      <c r="J17" s="21">
        <v>1315</v>
      </c>
      <c r="K17" s="21" t="s">
        <v>168</v>
      </c>
      <c r="L17" s="21">
        <v>318756</v>
      </c>
      <c r="M17" s="21">
        <v>1315</v>
      </c>
      <c r="N17" s="21">
        <v>1360</v>
      </c>
      <c r="O17" s="21">
        <v>0</v>
      </c>
      <c r="P17" s="21" t="s">
        <v>200</v>
      </c>
      <c r="Q17" s="21" t="s">
        <v>200</v>
      </c>
      <c r="R17" s="21"/>
      <c r="S17" s="21"/>
      <c r="T17" s="21" t="s">
        <v>229</v>
      </c>
      <c r="U17" s="21">
        <v>1</v>
      </c>
      <c r="V17" s="21"/>
      <c r="W17" s="21">
        <v>9</v>
      </c>
      <c r="X17" s="21">
        <v>28688.04</v>
      </c>
      <c r="Y17" s="21">
        <v>9</v>
      </c>
      <c r="Z17" s="21">
        <v>28688.04</v>
      </c>
      <c r="AA17" s="21">
        <v>0</v>
      </c>
      <c r="AB17" s="21">
        <v>0</v>
      </c>
      <c r="AC17" s="21">
        <v>39232999</v>
      </c>
      <c r="AD17" s="21" t="s">
        <v>189</v>
      </c>
      <c r="AE17" s="23">
        <v>46236</v>
      </c>
      <c r="AF17" s="21">
        <v>0</v>
      </c>
      <c r="AG17" s="21">
        <v>0</v>
      </c>
      <c r="AH17" s="21"/>
      <c r="AI17" s="21">
        <v>0</v>
      </c>
      <c r="AJ17" s="21"/>
      <c r="AK17" s="21"/>
      <c r="AL17" s="21"/>
      <c r="AM17" s="21">
        <v>0</v>
      </c>
      <c r="AN17" s="21">
        <v>0</v>
      </c>
      <c r="AO17" s="21">
        <v>0</v>
      </c>
      <c r="AP17" s="21">
        <v>0</v>
      </c>
      <c r="AQ17" s="21">
        <v>0</v>
      </c>
      <c r="AR17" s="21">
        <v>0</v>
      </c>
      <c r="AS17" s="21">
        <v>0</v>
      </c>
      <c r="AT17" s="21">
        <v>0</v>
      </c>
      <c r="AU17" s="21"/>
      <c r="AV17" s="21" t="s">
        <v>236</v>
      </c>
      <c r="AW17" s="21" t="s">
        <v>202</v>
      </c>
      <c r="AX17" s="21" t="s">
        <v>186</v>
      </c>
      <c r="AY17" s="21" t="s">
        <v>187</v>
      </c>
      <c r="AZ17" s="21" t="s">
        <v>188</v>
      </c>
      <c r="BA17" s="21" t="s">
        <v>152</v>
      </c>
      <c r="BB17" s="21" t="s">
        <v>152</v>
      </c>
    </row>
    <row r="18" spans="1:54" x14ac:dyDescent="0.25">
      <c r="A18" s="22"/>
      <c r="B18" s="21" t="s">
        <v>167</v>
      </c>
      <c r="C18" s="21">
        <v>440</v>
      </c>
      <c r="D18" s="23">
        <v>46236</v>
      </c>
      <c r="E18" s="21" t="s">
        <v>212</v>
      </c>
      <c r="F18" s="21" t="s">
        <v>580</v>
      </c>
      <c r="G18" s="21" t="s">
        <v>309</v>
      </c>
      <c r="H18" s="21" t="s">
        <v>338</v>
      </c>
      <c r="I18" s="21">
        <v>261.39999999999998</v>
      </c>
      <c r="J18" s="21">
        <v>5348</v>
      </c>
      <c r="K18" s="21" t="s">
        <v>168</v>
      </c>
      <c r="L18" s="21">
        <v>1397967.2</v>
      </c>
      <c r="M18" s="21">
        <v>5348</v>
      </c>
      <c r="N18" s="21">
        <v>5543</v>
      </c>
      <c r="O18" s="21">
        <v>0</v>
      </c>
      <c r="P18" s="21" t="s">
        <v>200</v>
      </c>
      <c r="Q18" s="21" t="s">
        <v>200</v>
      </c>
      <c r="R18" s="21"/>
      <c r="S18" s="21"/>
      <c r="T18" s="21" t="s">
        <v>229</v>
      </c>
      <c r="U18" s="21">
        <v>1</v>
      </c>
      <c r="V18" s="21"/>
      <c r="W18" s="21">
        <v>9</v>
      </c>
      <c r="X18" s="21">
        <v>125817.05</v>
      </c>
      <c r="Y18" s="21">
        <v>9</v>
      </c>
      <c r="Z18" s="21">
        <v>125817.05</v>
      </c>
      <c r="AA18" s="21">
        <v>0</v>
      </c>
      <c r="AB18" s="21">
        <v>0</v>
      </c>
      <c r="AC18" s="21">
        <v>39232999</v>
      </c>
      <c r="AD18" s="21" t="s">
        <v>189</v>
      </c>
      <c r="AE18" s="23">
        <v>46236</v>
      </c>
      <c r="AF18" s="21">
        <v>0</v>
      </c>
      <c r="AG18" s="21">
        <v>0</v>
      </c>
      <c r="AH18" s="21"/>
      <c r="AI18" s="21">
        <v>0</v>
      </c>
      <c r="AJ18" s="21"/>
      <c r="AK18" s="21"/>
      <c r="AL18" s="21"/>
      <c r="AM18" s="21">
        <v>0</v>
      </c>
      <c r="AN18" s="21">
        <v>0</v>
      </c>
      <c r="AO18" s="21">
        <v>0</v>
      </c>
      <c r="AP18" s="21">
        <v>0</v>
      </c>
      <c r="AQ18" s="21">
        <v>0</v>
      </c>
      <c r="AR18" s="21">
        <v>0</v>
      </c>
      <c r="AS18" s="21">
        <v>0</v>
      </c>
      <c r="AT18" s="21">
        <v>0</v>
      </c>
      <c r="AU18" s="21"/>
      <c r="AV18" s="21" t="s">
        <v>236</v>
      </c>
      <c r="AW18" s="21" t="s">
        <v>202</v>
      </c>
      <c r="AX18" s="21" t="s">
        <v>186</v>
      </c>
      <c r="AY18" s="21" t="s">
        <v>187</v>
      </c>
      <c r="AZ18" s="21" t="s">
        <v>188</v>
      </c>
      <c r="BA18" s="21" t="s">
        <v>152</v>
      </c>
      <c r="BB18" s="21" t="s">
        <v>152</v>
      </c>
    </row>
    <row r="19" spans="1:54" x14ac:dyDescent="0.25">
      <c r="A19" s="22"/>
      <c r="B19" s="21" t="s">
        <v>167</v>
      </c>
      <c r="C19" s="21">
        <v>440</v>
      </c>
      <c r="D19" s="23">
        <v>46236</v>
      </c>
      <c r="E19" s="21" t="s">
        <v>212</v>
      </c>
      <c r="F19" s="21" t="s">
        <v>580</v>
      </c>
      <c r="G19" s="21" t="s">
        <v>309</v>
      </c>
      <c r="H19" s="21" t="s">
        <v>339</v>
      </c>
      <c r="I19" s="21">
        <v>255.57</v>
      </c>
      <c r="J19" s="21">
        <v>4612</v>
      </c>
      <c r="K19" s="21" t="s">
        <v>168</v>
      </c>
      <c r="L19" s="21">
        <v>1178688.8400000001</v>
      </c>
      <c r="M19" s="21">
        <v>4612</v>
      </c>
      <c r="N19" s="21">
        <v>4777</v>
      </c>
      <c r="O19" s="21">
        <v>0</v>
      </c>
      <c r="P19" s="21" t="s">
        <v>200</v>
      </c>
      <c r="Q19" s="21" t="s">
        <v>200</v>
      </c>
      <c r="R19" s="21"/>
      <c r="S19" s="21"/>
      <c r="T19" s="21" t="s">
        <v>229</v>
      </c>
      <c r="U19" s="21">
        <v>1</v>
      </c>
      <c r="V19" s="21"/>
      <c r="W19" s="21">
        <v>9</v>
      </c>
      <c r="X19" s="21">
        <v>106082</v>
      </c>
      <c r="Y19" s="21">
        <v>9</v>
      </c>
      <c r="Z19" s="21">
        <v>106082</v>
      </c>
      <c r="AA19" s="21">
        <v>0</v>
      </c>
      <c r="AB19" s="21">
        <v>0</v>
      </c>
      <c r="AC19" s="21">
        <v>39232999</v>
      </c>
      <c r="AD19" s="21" t="s">
        <v>189</v>
      </c>
      <c r="AE19" s="23">
        <v>46236</v>
      </c>
      <c r="AF19" s="21">
        <v>0</v>
      </c>
      <c r="AG19" s="21">
        <v>0</v>
      </c>
      <c r="AH19" s="21"/>
      <c r="AI19" s="21">
        <v>0</v>
      </c>
      <c r="AJ19" s="21"/>
      <c r="AK19" s="21"/>
      <c r="AL19" s="21"/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/>
      <c r="AV19" s="21" t="s">
        <v>236</v>
      </c>
      <c r="AW19" s="21" t="s">
        <v>202</v>
      </c>
      <c r="AX19" s="21" t="s">
        <v>186</v>
      </c>
      <c r="AY19" s="21" t="s">
        <v>187</v>
      </c>
      <c r="AZ19" s="21" t="s">
        <v>188</v>
      </c>
      <c r="BA19" s="21" t="s">
        <v>152</v>
      </c>
      <c r="BB19" s="21" t="s">
        <v>152</v>
      </c>
    </row>
    <row r="20" spans="1:54" x14ac:dyDescent="0.25">
      <c r="A20" s="22"/>
      <c r="B20" s="21" t="s">
        <v>167</v>
      </c>
      <c r="C20" s="21">
        <v>441</v>
      </c>
      <c r="D20" s="23">
        <v>46237</v>
      </c>
      <c r="E20" s="21" t="s">
        <v>210</v>
      </c>
      <c r="F20" s="21" t="s">
        <v>581</v>
      </c>
      <c r="G20" s="21" t="s">
        <v>309</v>
      </c>
      <c r="H20" s="21" t="s">
        <v>341</v>
      </c>
      <c r="I20" s="21">
        <v>211.92</v>
      </c>
      <c r="J20" s="21">
        <v>1485</v>
      </c>
      <c r="K20" s="21" t="s">
        <v>168</v>
      </c>
      <c r="L20" s="21">
        <v>314701.2</v>
      </c>
      <c r="M20" s="21">
        <v>1485</v>
      </c>
      <c r="N20" s="21">
        <v>1485</v>
      </c>
      <c r="O20" s="21">
        <v>6221548</v>
      </c>
      <c r="P20" s="21" t="s">
        <v>200</v>
      </c>
      <c r="Q20" s="21" t="s">
        <v>200</v>
      </c>
      <c r="R20" s="21"/>
      <c r="S20" s="21"/>
      <c r="T20" s="21" t="s">
        <v>229</v>
      </c>
      <c r="U20" s="21">
        <v>1</v>
      </c>
      <c r="V20" s="21"/>
      <c r="W20" s="21">
        <v>9</v>
      </c>
      <c r="X20" s="21">
        <v>28323.11</v>
      </c>
      <c r="Y20" s="21">
        <v>9</v>
      </c>
      <c r="Z20" s="21">
        <v>28323.11</v>
      </c>
      <c r="AA20" s="21">
        <v>0</v>
      </c>
      <c r="AB20" s="21">
        <v>0</v>
      </c>
      <c r="AC20" s="21">
        <v>39232999</v>
      </c>
      <c r="AD20" s="21" t="s">
        <v>189</v>
      </c>
      <c r="AE20" s="23">
        <v>46237</v>
      </c>
      <c r="AF20" s="21">
        <v>0</v>
      </c>
      <c r="AG20" s="21">
        <v>0</v>
      </c>
      <c r="AH20" s="21"/>
      <c r="AI20" s="21">
        <v>0</v>
      </c>
      <c r="AJ20" s="21"/>
      <c r="AK20" s="21"/>
      <c r="AL20" s="21"/>
      <c r="AM20" s="21">
        <v>0</v>
      </c>
      <c r="AN20" s="21">
        <v>0</v>
      </c>
      <c r="AO20" s="21">
        <v>0</v>
      </c>
      <c r="AP20" s="21">
        <v>0</v>
      </c>
      <c r="AQ20" s="21">
        <v>0</v>
      </c>
      <c r="AR20" s="21">
        <v>0</v>
      </c>
      <c r="AS20" s="21">
        <v>0</v>
      </c>
      <c r="AT20" s="21">
        <v>0</v>
      </c>
      <c r="AU20" s="21"/>
      <c r="AV20" s="21" t="s">
        <v>248</v>
      </c>
      <c r="AW20" s="21" t="s">
        <v>202</v>
      </c>
      <c r="AX20" s="21" t="s">
        <v>186</v>
      </c>
      <c r="AY20" s="21" t="s">
        <v>187</v>
      </c>
      <c r="AZ20" s="21" t="s">
        <v>188</v>
      </c>
      <c r="BA20" s="21" t="s">
        <v>152</v>
      </c>
      <c r="BB20" s="21" t="s">
        <v>152</v>
      </c>
    </row>
    <row r="21" spans="1:54" x14ac:dyDescent="0.25">
      <c r="A21" s="22"/>
      <c r="B21" s="21" t="s">
        <v>167</v>
      </c>
      <c r="C21" s="21">
        <v>441</v>
      </c>
      <c r="D21" s="23">
        <v>46237</v>
      </c>
      <c r="E21" s="21" t="s">
        <v>210</v>
      </c>
      <c r="F21" s="21" t="s">
        <v>581</v>
      </c>
      <c r="G21" s="21" t="s">
        <v>309</v>
      </c>
      <c r="H21" s="21" t="s">
        <v>342</v>
      </c>
      <c r="I21" s="21">
        <v>276.92</v>
      </c>
      <c r="J21" s="21">
        <v>12991</v>
      </c>
      <c r="K21" s="21" t="s">
        <v>168</v>
      </c>
      <c r="L21" s="21">
        <v>3597467.72</v>
      </c>
      <c r="M21" s="21">
        <v>12991</v>
      </c>
      <c r="N21" s="21">
        <v>12991</v>
      </c>
      <c r="O21" s="21">
        <v>0</v>
      </c>
      <c r="P21" s="21" t="s">
        <v>200</v>
      </c>
      <c r="Q21" s="21" t="s">
        <v>200</v>
      </c>
      <c r="R21" s="21"/>
      <c r="S21" s="21"/>
      <c r="T21" s="21" t="s">
        <v>229</v>
      </c>
      <c r="U21" s="21">
        <v>1</v>
      </c>
      <c r="V21" s="21"/>
      <c r="W21" s="21">
        <v>9</v>
      </c>
      <c r="X21" s="21">
        <v>323772.09000000003</v>
      </c>
      <c r="Y21" s="21">
        <v>9</v>
      </c>
      <c r="Z21" s="21">
        <v>323772.09000000003</v>
      </c>
      <c r="AA21" s="21">
        <v>0</v>
      </c>
      <c r="AB21" s="21">
        <v>0</v>
      </c>
      <c r="AC21" s="21">
        <v>39232999</v>
      </c>
      <c r="AD21" s="21" t="s">
        <v>189</v>
      </c>
      <c r="AE21" s="23">
        <v>46237</v>
      </c>
      <c r="AF21" s="21">
        <v>0</v>
      </c>
      <c r="AG21" s="21">
        <v>0</v>
      </c>
      <c r="AH21" s="21"/>
      <c r="AI21" s="21">
        <v>0</v>
      </c>
      <c r="AJ21" s="21"/>
      <c r="AK21" s="21"/>
      <c r="AL21" s="21"/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/>
      <c r="AV21" s="21" t="s">
        <v>248</v>
      </c>
      <c r="AW21" s="21" t="s">
        <v>202</v>
      </c>
      <c r="AX21" s="21" t="s">
        <v>186</v>
      </c>
      <c r="AY21" s="21" t="s">
        <v>187</v>
      </c>
      <c r="AZ21" s="21" t="s">
        <v>188</v>
      </c>
      <c r="BA21" s="21" t="s">
        <v>152</v>
      </c>
      <c r="BB21" s="21" t="s">
        <v>152</v>
      </c>
    </row>
    <row r="22" spans="1:54" x14ac:dyDescent="0.25">
      <c r="A22" s="22"/>
      <c r="B22" s="21" t="s">
        <v>167</v>
      </c>
      <c r="C22" s="21">
        <v>441</v>
      </c>
      <c r="D22" s="23">
        <v>46237</v>
      </c>
      <c r="E22" s="21" t="s">
        <v>210</v>
      </c>
      <c r="F22" s="21" t="s">
        <v>581</v>
      </c>
      <c r="G22" s="21" t="s">
        <v>309</v>
      </c>
      <c r="H22" s="21" t="s">
        <v>344</v>
      </c>
      <c r="I22" s="21">
        <v>223.6</v>
      </c>
      <c r="J22" s="21">
        <v>5309</v>
      </c>
      <c r="K22" s="21" t="s">
        <v>168</v>
      </c>
      <c r="L22" s="21">
        <v>1187092.3999999999</v>
      </c>
      <c r="M22" s="21">
        <v>5309</v>
      </c>
      <c r="N22" s="21">
        <v>5309</v>
      </c>
      <c r="O22" s="21">
        <v>0</v>
      </c>
      <c r="P22" s="21" t="s">
        <v>200</v>
      </c>
      <c r="Q22" s="21" t="s">
        <v>200</v>
      </c>
      <c r="R22" s="21"/>
      <c r="S22" s="21"/>
      <c r="T22" s="21" t="s">
        <v>229</v>
      </c>
      <c r="U22" s="21">
        <v>1</v>
      </c>
      <c r="V22" s="21"/>
      <c r="W22" s="21">
        <v>9</v>
      </c>
      <c r="X22" s="21">
        <v>106838.32</v>
      </c>
      <c r="Y22" s="21">
        <v>9</v>
      </c>
      <c r="Z22" s="21">
        <v>106838.32</v>
      </c>
      <c r="AA22" s="21">
        <v>0</v>
      </c>
      <c r="AB22" s="21">
        <v>0</v>
      </c>
      <c r="AC22" s="21">
        <v>39232999</v>
      </c>
      <c r="AD22" s="21" t="s">
        <v>189</v>
      </c>
      <c r="AE22" s="23">
        <v>46237</v>
      </c>
      <c r="AF22" s="21">
        <v>0</v>
      </c>
      <c r="AG22" s="21">
        <v>0</v>
      </c>
      <c r="AH22" s="21"/>
      <c r="AI22" s="21">
        <v>0</v>
      </c>
      <c r="AJ22" s="21"/>
      <c r="AK22" s="21"/>
      <c r="AL22" s="21"/>
      <c r="AM22" s="21">
        <v>0</v>
      </c>
      <c r="AN22" s="21">
        <v>0</v>
      </c>
      <c r="AO22" s="21">
        <v>0</v>
      </c>
      <c r="AP22" s="21">
        <v>0</v>
      </c>
      <c r="AQ22" s="21">
        <v>0</v>
      </c>
      <c r="AR22" s="21">
        <v>0</v>
      </c>
      <c r="AS22" s="21">
        <v>0</v>
      </c>
      <c r="AT22" s="21">
        <v>0</v>
      </c>
      <c r="AU22" s="21"/>
      <c r="AV22" s="21" t="s">
        <v>248</v>
      </c>
      <c r="AW22" s="21" t="s">
        <v>202</v>
      </c>
      <c r="AX22" s="21" t="s">
        <v>186</v>
      </c>
      <c r="AY22" s="21" t="s">
        <v>187</v>
      </c>
      <c r="AZ22" s="21" t="s">
        <v>188</v>
      </c>
      <c r="BA22" s="21" t="s">
        <v>152</v>
      </c>
      <c r="BB22" s="21" t="s">
        <v>152</v>
      </c>
    </row>
    <row r="23" spans="1:54" x14ac:dyDescent="0.25">
      <c r="A23" s="22"/>
      <c r="B23" s="21" t="s">
        <v>167</v>
      </c>
      <c r="C23" s="21">
        <v>441</v>
      </c>
      <c r="D23" s="23">
        <v>46237</v>
      </c>
      <c r="E23" s="21" t="s">
        <v>210</v>
      </c>
      <c r="F23" s="21" t="s">
        <v>581</v>
      </c>
      <c r="G23" s="21" t="s">
        <v>309</v>
      </c>
      <c r="H23" s="21" t="s">
        <v>343</v>
      </c>
      <c r="I23" s="21">
        <v>209.73</v>
      </c>
      <c r="J23" s="21">
        <v>826</v>
      </c>
      <c r="K23" s="21" t="s">
        <v>168</v>
      </c>
      <c r="L23" s="21">
        <v>173236.98</v>
      </c>
      <c r="M23" s="21">
        <v>826</v>
      </c>
      <c r="N23" s="21">
        <v>826</v>
      </c>
      <c r="O23" s="21">
        <v>0</v>
      </c>
      <c r="P23" s="21" t="s">
        <v>200</v>
      </c>
      <c r="Q23" s="21" t="s">
        <v>200</v>
      </c>
      <c r="R23" s="21"/>
      <c r="S23" s="21"/>
      <c r="T23" s="21" t="s">
        <v>229</v>
      </c>
      <c r="U23" s="21">
        <v>1</v>
      </c>
      <c r="V23" s="21"/>
      <c r="W23" s="21">
        <v>9</v>
      </c>
      <c r="X23" s="21">
        <v>15591.33</v>
      </c>
      <c r="Y23" s="21">
        <v>9</v>
      </c>
      <c r="Z23" s="21">
        <v>15591.33</v>
      </c>
      <c r="AA23" s="21">
        <v>0</v>
      </c>
      <c r="AB23" s="21">
        <v>0</v>
      </c>
      <c r="AC23" s="21">
        <v>39232999</v>
      </c>
      <c r="AD23" s="21" t="s">
        <v>189</v>
      </c>
      <c r="AE23" s="23">
        <v>46237</v>
      </c>
      <c r="AF23" s="21">
        <v>0</v>
      </c>
      <c r="AG23" s="21">
        <v>0</v>
      </c>
      <c r="AH23" s="21"/>
      <c r="AI23" s="21">
        <v>0</v>
      </c>
      <c r="AJ23" s="21"/>
      <c r="AK23" s="21"/>
      <c r="AL23" s="21"/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/>
      <c r="AV23" s="21" t="s">
        <v>248</v>
      </c>
      <c r="AW23" s="21" t="s">
        <v>202</v>
      </c>
      <c r="AX23" s="21" t="s">
        <v>186</v>
      </c>
      <c r="AY23" s="21" t="s">
        <v>187</v>
      </c>
      <c r="AZ23" s="21" t="s">
        <v>188</v>
      </c>
      <c r="BA23" s="21" t="s">
        <v>152</v>
      </c>
      <c r="BB23" s="21" t="s">
        <v>152</v>
      </c>
    </row>
    <row r="24" spans="1:54" x14ac:dyDescent="0.25">
      <c r="A24" s="22"/>
      <c r="B24" s="21" t="s">
        <v>167</v>
      </c>
      <c r="C24" s="21">
        <v>442</v>
      </c>
      <c r="D24" s="23">
        <v>46237</v>
      </c>
      <c r="E24" s="21" t="s">
        <v>212</v>
      </c>
      <c r="F24" s="21" t="s">
        <v>174</v>
      </c>
      <c r="G24" s="21" t="s">
        <v>231</v>
      </c>
      <c r="H24" s="21" t="s">
        <v>346</v>
      </c>
      <c r="I24" s="21">
        <v>144.08000000000001</v>
      </c>
      <c r="J24" s="21">
        <v>658</v>
      </c>
      <c r="K24" s="21" t="s">
        <v>168</v>
      </c>
      <c r="L24" s="21">
        <v>94804.64</v>
      </c>
      <c r="M24" s="21">
        <v>658</v>
      </c>
      <c r="N24" s="21">
        <v>658</v>
      </c>
      <c r="O24" s="21">
        <v>139059.69</v>
      </c>
      <c r="P24" s="21" t="s">
        <v>232</v>
      </c>
      <c r="Q24" s="21" t="s">
        <v>232</v>
      </c>
      <c r="R24" s="21"/>
      <c r="S24" s="21"/>
      <c r="T24" s="21" t="s">
        <v>229</v>
      </c>
      <c r="U24" s="21">
        <v>1</v>
      </c>
      <c r="V24" s="21"/>
      <c r="W24" s="21">
        <v>9</v>
      </c>
      <c r="X24" s="21">
        <v>8532.42</v>
      </c>
      <c r="Y24" s="21">
        <v>9</v>
      </c>
      <c r="Z24" s="21">
        <v>8532.42</v>
      </c>
      <c r="AA24" s="21">
        <v>0</v>
      </c>
      <c r="AB24" s="21">
        <v>0</v>
      </c>
      <c r="AC24" s="21">
        <v>39269080</v>
      </c>
      <c r="AD24" s="21" t="s">
        <v>189</v>
      </c>
      <c r="AE24" s="23">
        <v>46237</v>
      </c>
      <c r="AF24" s="21">
        <v>0</v>
      </c>
      <c r="AG24" s="21">
        <v>0</v>
      </c>
      <c r="AH24" s="21"/>
      <c r="AI24" s="21">
        <v>0</v>
      </c>
      <c r="AJ24" s="21"/>
      <c r="AK24" s="21"/>
      <c r="AL24" s="21"/>
      <c r="AM24" s="21">
        <v>0</v>
      </c>
      <c r="AN24" s="21">
        <v>0</v>
      </c>
      <c r="AO24" s="21">
        <v>0</v>
      </c>
      <c r="AP24" s="21">
        <v>0</v>
      </c>
      <c r="AQ24" s="21">
        <v>0</v>
      </c>
      <c r="AR24" s="21">
        <v>0</v>
      </c>
      <c r="AS24" s="21">
        <v>0</v>
      </c>
      <c r="AT24" s="21">
        <v>0</v>
      </c>
      <c r="AU24" s="21"/>
      <c r="AV24" s="21" t="s">
        <v>236</v>
      </c>
      <c r="AW24" s="21" t="s">
        <v>202</v>
      </c>
      <c r="AX24" s="21" t="s">
        <v>182</v>
      </c>
      <c r="AY24" s="21" t="s">
        <v>183</v>
      </c>
      <c r="AZ24" s="21" t="s">
        <v>169</v>
      </c>
      <c r="BA24" s="21" t="s">
        <v>179</v>
      </c>
      <c r="BB24" s="21" t="s">
        <v>155</v>
      </c>
    </row>
    <row r="25" spans="1:54" x14ac:dyDescent="0.25">
      <c r="A25" s="22"/>
      <c r="B25" s="21" t="s">
        <v>167</v>
      </c>
      <c r="C25" s="21">
        <v>442</v>
      </c>
      <c r="D25" s="23">
        <v>46237</v>
      </c>
      <c r="E25" s="21" t="s">
        <v>212</v>
      </c>
      <c r="F25" s="21" t="s">
        <v>174</v>
      </c>
      <c r="G25" s="21" t="s">
        <v>231</v>
      </c>
      <c r="H25" s="21" t="s">
        <v>347</v>
      </c>
      <c r="I25" s="21">
        <v>133.58000000000001</v>
      </c>
      <c r="J25" s="21">
        <v>172.5</v>
      </c>
      <c r="K25" s="21" t="s">
        <v>168</v>
      </c>
      <c r="L25" s="21">
        <v>23042.55</v>
      </c>
      <c r="M25" s="21">
        <v>172.5</v>
      </c>
      <c r="N25" s="21">
        <v>172.5</v>
      </c>
      <c r="O25" s="21">
        <v>0</v>
      </c>
      <c r="P25" s="21" t="s">
        <v>232</v>
      </c>
      <c r="Q25" s="21" t="s">
        <v>232</v>
      </c>
      <c r="R25" s="21"/>
      <c r="S25" s="21"/>
      <c r="T25" s="21" t="s">
        <v>229</v>
      </c>
      <c r="U25" s="21">
        <v>1</v>
      </c>
      <c r="V25" s="21"/>
      <c r="W25" s="21">
        <v>9</v>
      </c>
      <c r="X25" s="21">
        <v>2073.83</v>
      </c>
      <c r="Y25" s="21">
        <v>9</v>
      </c>
      <c r="Z25" s="21">
        <v>2073.83</v>
      </c>
      <c r="AA25" s="21">
        <v>0</v>
      </c>
      <c r="AB25" s="21">
        <v>0</v>
      </c>
      <c r="AC25" s="21">
        <v>39269080</v>
      </c>
      <c r="AD25" s="21" t="s">
        <v>189</v>
      </c>
      <c r="AE25" s="23">
        <v>46237</v>
      </c>
      <c r="AF25" s="21">
        <v>0</v>
      </c>
      <c r="AG25" s="21">
        <v>0</v>
      </c>
      <c r="AH25" s="21"/>
      <c r="AI25" s="21">
        <v>0</v>
      </c>
      <c r="AJ25" s="21"/>
      <c r="AK25" s="21"/>
      <c r="AL25" s="21"/>
      <c r="AM25" s="21">
        <v>0</v>
      </c>
      <c r="AN25" s="21">
        <v>0</v>
      </c>
      <c r="AO25" s="21">
        <v>0</v>
      </c>
      <c r="AP25" s="21">
        <v>0</v>
      </c>
      <c r="AQ25" s="21">
        <v>0</v>
      </c>
      <c r="AR25" s="21">
        <v>0</v>
      </c>
      <c r="AS25" s="21">
        <v>0</v>
      </c>
      <c r="AT25" s="21">
        <v>0</v>
      </c>
      <c r="AU25" s="21"/>
      <c r="AV25" s="21" t="s">
        <v>236</v>
      </c>
      <c r="AW25" s="21" t="s">
        <v>202</v>
      </c>
      <c r="AX25" s="21" t="s">
        <v>182</v>
      </c>
      <c r="AY25" s="21" t="s">
        <v>183</v>
      </c>
      <c r="AZ25" s="21" t="s">
        <v>169</v>
      </c>
      <c r="BA25" s="21" t="s">
        <v>179</v>
      </c>
      <c r="BB25" s="21" t="s">
        <v>155</v>
      </c>
    </row>
    <row r="26" spans="1:54" x14ac:dyDescent="0.25">
      <c r="A26" s="22"/>
      <c r="B26" s="21" t="s">
        <v>167</v>
      </c>
      <c r="C26" s="21">
        <v>444</v>
      </c>
      <c r="D26" s="23">
        <v>46238</v>
      </c>
      <c r="E26" s="21" t="s">
        <v>219</v>
      </c>
      <c r="F26" s="21" t="s">
        <v>582</v>
      </c>
      <c r="G26" s="21" t="s">
        <v>246</v>
      </c>
      <c r="H26" s="21" t="s">
        <v>583</v>
      </c>
      <c r="I26" s="21">
        <v>60</v>
      </c>
      <c r="J26" s="21">
        <v>10245</v>
      </c>
      <c r="K26" s="21" t="s">
        <v>168</v>
      </c>
      <c r="L26" s="21">
        <v>614700</v>
      </c>
      <c r="M26" s="21">
        <v>10245</v>
      </c>
      <c r="N26" s="21">
        <v>10245</v>
      </c>
      <c r="O26" s="21">
        <v>725346</v>
      </c>
      <c r="P26" s="21" t="s">
        <v>232</v>
      </c>
      <c r="Q26" s="21" t="s">
        <v>232</v>
      </c>
      <c r="R26" s="21"/>
      <c r="S26" s="21"/>
      <c r="T26" s="21" t="s">
        <v>229</v>
      </c>
      <c r="U26" s="21">
        <v>1</v>
      </c>
      <c r="V26" s="21"/>
      <c r="W26" s="21">
        <v>0</v>
      </c>
      <c r="X26" s="21">
        <v>0</v>
      </c>
      <c r="Y26" s="21">
        <v>0</v>
      </c>
      <c r="Z26" s="21">
        <v>0</v>
      </c>
      <c r="AA26" s="21">
        <v>18</v>
      </c>
      <c r="AB26" s="21">
        <v>110646</v>
      </c>
      <c r="AC26" s="21">
        <v>39269080</v>
      </c>
      <c r="AD26" s="21">
        <v>456</v>
      </c>
      <c r="AE26" s="23">
        <v>46238</v>
      </c>
      <c r="AF26" s="21">
        <v>0</v>
      </c>
      <c r="AG26" s="21">
        <v>0</v>
      </c>
      <c r="AH26" s="21"/>
      <c r="AI26" s="21">
        <v>0</v>
      </c>
      <c r="AJ26" s="21"/>
      <c r="AK26" s="21"/>
      <c r="AL26" s="21"/>
      <c r="AM26" s="21">
        <v>0</v>
      </c>
      <c r="AN26" s="21">
        <v>0</v>
      </c>
      <c r="AO26" s="21">
        <v>0</v>
      </c>
      <c r="AP26" s="21">
        <v>0</v>
      </c>
      <c r="AQ26" s="21">
        <v>0</v>
      </c>
      <c r="AR26" s="21">
        <v>0</v>
      </c>
      <c r="AS26" s="21">
        <v>0</v>
      </c>
      <c r="AT26" s="21">
        <v>0</v>
      </c>
      <c r="AU26" s="21"/>
      <c r="AV26" s="21" t="s">
        <v>247</v>
      </c>
      <c r="AW26" s="21" t="s">
        <v>202</v>
      </c>
      <c r="AX26" s="21" t="s">
        <v>177</v>
      </c>
      <c r="AY26" s="21" t="s">
        <v>178</v>
      </c>
      <c r="AZ26" s="21" t="s">
        <v>169</v>
      </c>
      <c r="BA26" s="21" t="s">
        <v>179</v>
      </c>
      <c r="BB26" s="21" t="s">
        <v>156</v>
      </c>
    </row>
    <row r="27" spans="1:54" x14ac:dyDescent="0.25">
      <c r="A27" s="22"/>
      <c r="B27" s="21" t="s">
        <v>167</v>
      </c>
      <c r="C27" s="21">
        <v>445</v>
      </c>
      <c r="D27" s="23">
        <v>46238</v>
      </c>
      <c r="E27" s="21" t="s">
        <v>212</v>
      </c>
      <c r="F27" s="21" t="s">
        <v>251</v>
      </c>
      <c r="G27" s="21" t="s">
        <v>259</v>
      </c>
      <c r="H27" s="21" t="s">
        <v>196</v>
      </c>
      <c r="I27" s="21">
        <v>289</v>
      </c>
      <c r="J27" s="21">
        <v>15.6</v>
      </c>
      <c r="K27" s="21" t="s">
        <v>168</v>
      </c>
      <c r="L27" s="21">
        <v>4508.3999999999996</v>
      </c>
      <c r="M27" s="21">
        <v>15.6</v>
      </c>
      <c r="N27" s="21">
        <v>15.6</v>
      </c>
      <c r="O27" s="21">
        <v>5319.92</v>
      </c>
      <c r="P27" s="21" t="s">
        <v>237</v>
      </c>
      <c r="Q27" s="21" t="s">
        <v>237</v>
      </c>
      <c r="R27" s="21"/>
      <c r="S27" s="21"/>
      <c r="T27" s="21" t="s">
        <v>229</v>
      </c>
      <c r="U27" s="21">
        <v>1</v>
      </c>
      <c r="V27" s="21"/>
      <c r="W27" s="21">
        <v>9</v>
      </c>
      <c r="X27" s="21">
        <v>405.76</v>
      </c>
      <c r="Y27" s="21">
        <v>9</v>
      </c>
      <c r="Z27" s="21">
        <v>405.76</v>
      </c>
      <c r="AA27" s="21">
        <v>0</v>
      </c>
      <c r="AB27" s="21">
        <v>0</v>
      </c>
      <c r="AC27" s="21">
        <v>39201019</v>
      </c>
      <c r="AD27" s="21" t="s">
        <v>189</v>
      </c>
      <c r="AE27" s="23">
        <v>46238</v>
      </c>
      <c r="AF27" s="21">
        <v>0</v>
      </c>
      <c r="AG27" s="21">
        <v>0</v>
      </c>
      <c r="AH27" s="21"/>
      <c r="AI27" s="21">
        <v>0</v>
      </c>
      <c r="AJ27" s="21"/>
      <c r="AK27" s="21"/>
      <c r="AL27" s="21"/>
      <c r="AM27" s="21">
        <v>0</v>
      </c>
      <c r="AN27" s="21">
        <v>0</v>
      </c>
      <c r="AO27" s="21">
        <v>0</v>
      </c>
      <c r="AP27" s="21">
        <v>0</v>
      </c>
      <c r="AQ27" s="21">
        <v>0</v>
      </c>
      <c r="AR27" s="21">
        <v>0</v>
      </c>
      <c r="AS27" s="21">
        <v>0</v>
      </c>
      <c r="AT27" s="21">
        <v>0</v>
      </c>
      <c r="AU27" s="21"/>
      <c r="AV27" s="21" t="s">
        <v>236</v>
      </c>
      <c r="AW27" s="21" t="s">
        <v>202</v>
      </c>
      <c r="AX27" s="21" t="s">
        <v>195</v>
      </c>
      <c r="AY27" s="21" t="s">
        <v>196</v>
      </c>
      <c r="AZ27" s="21" t="s">
        <v>169</v>
      </c>
      <c r="BA27" s="21" t="s">
        <v>197</v>
      </c>
      <c r="BB27" s="21" t="s">
        <v>158</v>
      </c>
    </row>
    <row r="28" spans="1:54" x14ac:dyDescent="0.25">
      <c r="A28" s="22"/>
      <c r="B28" s="21" t="s">
        <v>167</v>
      </c>
      <c r="C28" s="21">
        <v>446</v>
      </c>
      <c r="D28" s="23">
        <v>46238</v>
      </c>
      <c r="E28" s="21" t="s">
        <v>226</v>
      </c>
      <c r="F28" s="21" t="s">
        <v>584</v>
      </c>
      <c r="G28" s="21" t="s">
        <v>309</v>
      </c>
      <c r="H28" s="21" t="s">
        <v>355</v>
      </c>
      <c r="I28" s="21">
        <v>245.1</v>
      </c>
      <c r="J28" s="21">
        <v>4168</v>
      </c>
      <c r="K28" s="21" t="s">
        <v>168</v>
      </c>
      <c r="L28" s="21">
        <v>1021576.8</v>
      </c>
      <c r="M28" s="21">
        <v>4168</v>
      </c>
      <c r="N28" s="21">
        <v>4168</v>
      </c>
      <c r="O28" s="21">
        <v>5115913.83</v>
      </c>
      <c r="P28" s="21" t="s">
        <v>200</v>
      </c>
      <c r="Q28" s="21" t="s">
        <v>200</v>
      </c>
      <c r="R28" s="21"/>
      <c r="S28" s="21"/>
      <c r="T28" s="21" t="s">
        <v>229</v>
      </c>
      <c r="U28" s="21">
        <v>1</v>
      </c>
      <c r="V28" s="21"/>
      <c r="W28" s="21">
        <v>9</v>
      </c>
      <c r="X28" s="21">
        <v>91941.91</v>
      </c>
      <c r="Y28" s="21">
        <v>9</v>
      </c>
      <c r="Z28" s="21">
        <v>91941.91</v>
      </c>
      <c r="AA28" s="21">
        <v>0</v>
      </c>
      <c r="AB28" s="21">
        <v>0</v>
      </c>
      <c r="AC28" s="21">
        <v>63053200</v>
      </c>
      <c r="AD28" s="21" t="s">
        <v>189</v>
      </c>
      <c r="AE28" s="23">
        <v>46238</v>
      </c>
      <c r="AF28" s="21">
        <v>0</v>
      </c>
      <c r="AG28" s="21">
        <v>0</v>
      </c>
      <c r="AH28" s="21"/>
      <c r="AI28" s="21">
        <v>0</v>
      </c>
      <c r="AJ28" s="21"/>
      <c r="AK28" s="21"/>
      <c r="AL28" s="21"/>
      <c r="AM28" s="21">
        <v>0</v>
      </c>
      <c r="AN28" s="21">
        <v>0</v>
      </c>
      <c r="AO28" s="21">
        <v>0</v>
      </c>
      <c r="AP28" s="21">
        <v>0</v>
      </c>
      <c r="AQ28" s="21">
        <v>0</v>
      </c>
      <c r="AR28" s="21">
        <v>0</v>
      </c>
      <c r="AS28" s="21">
        <v>0</v>
      </c>
      <c r="AT28" s="21">
        <v>0</v>
      </c>
      <c r="AU28" s="21"/>
      <c r="AV28" s="21" t="s">
        <v>252</v>
      </c>
      <c r="AW28" s="21" t="s">
        <v>202</v>
      </c>
      <c r="AX28" s="21" t="s">
        <v>190</v>
      </c>
      <c r="AY28" s="21" t="s">
        <v>191</v>
      </c>
      <c r="AZ28" s="21" t="s">
        <v>188</v>
      </c>
      <c r="BA28" s="21" t="s">
        <v>152</v>
      </c>
      <c r="BB28" s="21" t="s">
        <v>152</v>
      </c>
    </row>
    <row r="29" spans="1:54" x14ac:dyDescent="0.25">
      <c r="A29" s="22"/>
      <c r="B29" s="21" t="s">
        <v>167</v>
      </c>
      <c r="C29" s="21">
        <v>446</v>
      </c>
      <c r="D29" s="23">
        <v>46238</v>
      </c>
      <c r="E29" s="21" t="s">
        <v>226</v>
      </c>
      <c r="F29" s="21" t="s">
        <v>584</v>
      </c>
      <c r="G29" s="21" t="s">
        <v>309</v>
      </c>
      <c r="H29" s="21" t="s">
        <v>356</v>
      </c>
      <c r="I29" s="21">
        <v>207.22</v>
      </c>
      <c r="J29" s="21">
        <v>1261</v>
      </c>
      <c r="K29" s="21" t="s">
        <v>168</v>
      </c>
      <c r="L29" s="21">
        <v>261304.42</v>
      </c>
      <c r="M29" s="21">
        <v>1261</v>
      </c>
      <c r="N29" s="21">
        <v>1261</v>
      </c>
      <c r="O29" s="21">
        <v>0</v>
      </c>
      <c r="P29" s="21" t="s">
        <v>200</v>
      </c>
      <c r="Q29" s="21" t="s">
        <v>200</v>
      </c>
      <c r="R29" s="21"/>
      <c r="S29" s="21"/>
      <c r="T29" s="21" t="s">
        <v>229</v>
      </c>
      <c r="U29" s="21">
        <v>1</v>
      </c>
      <c r="V29" s="21"/>
      <c r="W29" s="21">
        <v>9</v>
      </c>
      <c r="X29" s="21">
        <v>23517.4</v>
      </c>
      <c r="Y29" s="21">
        <v>9</v>
      </c>
      <c r="Z29" s="21">
        <v>23517.4</v>
      </c>
      <c r="AA29" s="21">
        <v>0</v>
      </c>
      <c r="AB29" s="21">
        <v>0</v>
      </c>
      <c r="AC29" s="21">
        <v>63053200</v>
      </c>
      <c r="AD29" s="21" t="s">
        <v>189</v>
      </c>
      <c r="AE29" s="23">
        <v>46238</v>
      </c>
      <c r="AF29" s="21">
        <v>0</v>
      </c>
      <c r="AG29" s="21">
        <v>0</v>
      </c>
      <c r="AH29" s="21"/>
      <c r="AI29" s="21">
        <v>0</v>
      </c>
      <c r="AJ29" s="21"/>
      <c r="AK29" s="21"/>
      <c r="AL29" s="21"/>
      <c r="AM29" s="21">
        <v>0</v>
      </c>
      <c r="AN29" s="21">
        <v>0</v>
      </c>
      <c r="AO29" s="21">
        <v>0</v>
      </c>
      <c r="AP29" s="21">
        <v>0</v>
      </c>
      <c r="AQ29" s="21">
        <v>0</v>
      </c>
      <c r="AR29" s="21">
        <v>0</v>
      </c>
      <c r="AS29" s="21">
        <v>0</v>
      </c>
      <c r="AT29" s="21">
        <v>0</v>
      </c>
      <c r="AU29" s="21"/>
      <c r="AV29" s="21" t="s">
        <v>252</v>
      </c>
      <c r="AW29" s="21" t="s">
        <v>202</v>
      </c>
      <c r="AX29" s="21" t="s">
        <v>186</v>
      </c>
      <c r="AY29" s="21" t="s">
        <v>187</v>
      </c>
      <c r="AZ29" s="21" t="s">
        <v>188</v>
      </c>
      <c r="BA29" s="21" t="s">
        <v>152</v>
      </c>
      <c r="BB29" s="21" t="s">
        <v>152</v>
      </c>
    </row>
    <row r="30" spans="1:54" x14ac:dyDescent="0.25">
      <c r="A30" s="22"/>
      <c r="B30" s="21" t="s">
        <v>167</v>
      </c>
      <c r="C30" s="21">
        <v>446</v>
      </c>
      <c r="D30" s="23">
        <v>46238</v>
      </c>
      <c r="E30" s="21" t="s">
        <v>226</v>
      </c>
      <c r="F30" s="21" t="s">
        <v>584</v>
      </c>
      <c r="G30" s="21" t="s">
        <v>309</v>
      </c>
      <c r="H30" s="21" t="s">
        <v>357</v>
      </c>
      <c r="I30" s="21">
        <v>210.78</v>
      </c>
      <c r="J30" s="21">
        <v>2081</v>
      </c>
      <c r="K30" s="21" t="s">
        <v>168</v>
      </c>
      <c r="L30" s="21">
        <v>438633.18</v>
      </c>
      <c r="M30" s="21">
        <v>2081</v>
      </c>
      <c r="N30" s="21">
        <v>2081</v>
      </c>
      <c r="O30" s="21">
        <v>0</v>
      </c>
      <c r="P30" s="21" t="s">
        <v>200</v>
      </c>
      <c r="Q30" s="21" t="s">
        <v>200</v>
      </c>
      <c r="R30" s="21"/>
      <c r="S30" s="21"/>
      <c r="T30" s="21" t="s">
        <v>229</v>
      </c>
      <c r="U30" s="21">
        <v>1</v>
      </c>
      <c r="V30" s="21"/>
      <c r="W30" s="21">
        <v>9</v>
      </c>
      <c r="X30" s="21">
        <v>39476.99</v>
      </c>
      <c r="Y30" s="21">
        <v>9</v>
      </c>
      <c r="Z30" s="21">
        <v>39476.99</v>
      </c>
      <c r="AA30" s="21">
        <v>0</v>
      </c>
      <c r="AB30" s="21">
        <v>0</v>
      </c>
      <c r="AC30" s="21">
        <v>63053200</v>
      </c>
      <c r="AD30" s="21" t="s">
        <v>189</v>
      </c>
      <c r="AE30" s="23">
        <v>46238</v>
      </c>
      <c r="AF30" s="21">
        <v>0</v>
      </c>
      <c r="AG30" s="21">
        <v>0</v>
      </c>
      <c r="AH30" s="21"/>
      <c r="AI30" s="21">
        <v>0</v>
      </c>
      <c r="AJ30" s="21"/>
      <c r="AK30" s="21"/>
      <c r="AL30" s="21"/>
      <c r="AM30" s="21">
        <v>0</v>
      </c>
      <c r="AN30" s="21">
        <v>0</v>
      </c>
      <c r="AO30" s="21">
        <v>0</v>
      </c>
      <c r="AP30" s="21">
        <v>0</v>
      </c>
      <c r="AQ30" s="21">
        <v>0</v>
      </c>
      <c r="AR30" s="21">
        <v>0</v>
      </c>
      <c r="AS30" s="21">
        <v>0</v>
      </c>
      <c r="AT30" s="21">
        <v>0</v>
      </c>
      <c r="AU30" s="21"/>
      <c r="AV30" s="21" t="s">
        <v>252</v>
      </c>
      <c r="AW30" s="21" t="s">
        <v>202</v>
      </c>
      <c r="AX30" s="21" t="s">
        <v>186</v>
      </c>
      <c r="AY30" s="21" t="s">
        <v>187</v>
      </c>
      <c r="AZ30" s="21" t="s">
        <v>188</v>
      </c>
      <c r="BA30" s="21" t="s">
        <v>152</v>
      </c>
      <c r="BB30" s="21" t="s">
        <v>152</v>
      </c>
    </row>
    <row r="31" spans="1:54" x14ac:dyDescent="0.25">
      <c r="A31" s="22"/>
      <c r="B31" s="21" t="s">
        <v>167</v>
      </c>
      <c r="C31" s="21">
        <v>446</v>
      </c>
      <c r="D31" s="23">
        <v>46238</v>
      </c>
      <c r="E31" s="21" t="s">
        <v>226</v>
      </c>
      <c r="F31" s="21" t="s">
        <v>584</v>
      </c>
      <c r="G31" s="21" t="s">
        <v>309</v>
      </c>
      <c r="H31" s="21" t="s">
        <v>351</v>
      </c>
      <c r="I31" s="21">
        <v>198.21</v>
      </c>
      <c r="J31" s="21">
        <v>1759</v>
      </c>
      <c r="K31" s="21" t="s">
        <v>168</v>
      </c>
      <c r="L31" s="21">
        <v>348651.39</v>
      </c>
      <c r="M31" s="21">
        <v>1759</v>
      </c>
      <c r="N31" s="21">
        <v>1759</v>
      </c>
      <c r="O31" s="21">
        <v>0</v>
      </c>
      <c r="P31" s="21" t="s">
        <v>200</v>
      </c>
      <c r="Q31" s="21" t="s">
        <v>200</v>
      </c>
      <c r="R31" s="21"/>
      <c r="S31" s="21"/>
      <c r="T31" s="21" t="s">
        <v>229</v>
      </c>
      <c r="U31" s="21">
        <v>1</v>
      </c>
      <c r="V31" s="21"/>
      <c r="W31" s="21">
        <v>9</v>
      </c>
      <c r="X31" s="21">
        <v>31378.63</v>
      </c>
      <c r="Y31" s="21">
        <v>9</v>
      </c>
      <c r="Z31" s="21">
        <v>31378.63</v>
      </c>
      <c r="AA31" s="21">
        <v>0</v>
      </c>
      <c r="AB31" s="21">
        <v>0</v>
      </c>
      <c r="AC31" s="21">
        <v>63053200</v>
      </c>
      <c r="AD31" s="21" t="s">
        <v>189</v>
      </c>
      <c r="AE31" s="23">
        <v>46238</v>
      </c>
      <c r="AF31" s="21">
        <v>0</v>
      </c>
      <c r="AG31" s="21">
        <v>0</v>
      </c>
      <c r="AH31" s="21"/>
      <c r="AI31" s="21">
        <v>0</v>
      </c>
      <c r="AJ31" s="21"/>
      <c r="AK31" s="21"/>
      <c r="AL31" s="21"/>
      <c r="AM31" s="21">
        <v>0</v>
      </c>
      <c r="AN31" s="21">
        <v>0</v>
      </c>
      <c r="AO31" s="21">
        <v>0</v>
      </c>
      <c r="AP31" s="21">
        <v>0</v>
      </c>
      <c r="AQ31" s="21">
        <v>0</v>
      </c>
      <c r="AR31" s="21">
        <v>0</v>
      </c>
      <c r="AS31" s="21">
        <v>0</v>
      </c>
      <c r="AT31" s="21">
        <v>0</v>
      </c>
      <c r="AU31" s="21"/>
      <c r="AV31" s="21" t="s">
        <v>252</v>
      </c>
      <c r="AW31" s="21" t="s">
        <v>202</v>
      </c>
      <c r="AX31" s="21" t="s">
        <v>186</v>
      </c>
      <c r="AY31" s="21" t="s">
        <v>187</v>
      </c>
      <c r="AZ31" s="21" t="s">
        <v>188</v>
      </c>
      <c r="BA31" s="21" t="s">
        <v>152</v>
      </c>
      <c r="BB31" s="21" t="s">
        <v>152</v>
      </c>
    </row>
    <row r="32" spans="1:54" x14ac:dyDescent="0.25">
      <c r="A32" s="22"/>
      <c r="B32" s="21" t="s">
        <v>167</v>
      </c>
      <c r="C32" s="21">
        <v>446</v>
      </c>
      <c r="D32" s="23">
        <v>46238</v>
      </c>
      <c r="E32" s="21" t="s">
        <v>226</v>
      </c>
      <c r="F32" s="21" t="s">
        <v>584</v>
      </c>
      <c r="G32" s="21" t="s">
        <v>309</v>
      </c>
      <c r="H32" s="21" t="s">
        <v>352</v>
      </c>
      <c r="I32" s="21">
        <v>217.12</v>
      </c>
      <c r="J32" s="21">
        <v>8057</v>
      </c>
      <c r="K32" s="21" t="s">
        <v>168</v>
      </c>
      <c r="L32" s="21">
        <v>1749335.84</v>
      </c>
      <c r="M32" s="21">
        <v>8057</v>
      </c>
      <c r="N32" s="21">
        <v>8057</v>
      </c>
      <c r="O32" s="21">
        <v>0</v>
      </c>
      <c r="P32" s="21" t="s">
        <v>200</v>
      </c>
      <c r="Q32" s="21" t="s">
        <v>200</v>
      </c>
      <c r="R32" s="21"/>
      <c r="S32" s="21"/>
      <c r="T32" s="21" t="s">
        <v>229</v>
      </c>
      <c r="U32" s="21">
        <v>1</v>
      </c>
      <c r="V32" s="21"/>
      <c r="W32" s="21">
        <v>9</v>
      </c>
      <c r="X32" s="21">
        <v>157440.23000000001</v>
      </c>
      <c r="Y32" s="21">
        <v>9</v>
      </c>
      <c r="Z32" s="21">
        <v>157440.23000000001</v>
      </c>
      <c r="AA32" s="21">
        <v>0</v>
      </c>
      <c r="AB32" s="21">
        <v>0</v>
      </c>
      <c r="AC32" s="21">
        <v>63053200</v>
      </c>
      <c r="AD32" s="21" t="s">
        <v>189</v>
      </c>
      <c r="AE32" s="23">
        <v>46238</v>
      </c>
      <c r="AF32" s="21">
        <v>0</v>
      </c>
      <c r="AG32" s="21">
        <v>0</v>
      </c>
      <c r="AH32" s="21"/>
      <c r="AI32" s="21">
        <v>0</v>
      </c>
      <c r="AJ32" s="21"/>
      <c r="AK32" s="21"/>
      <c r="AL32" s="21"/>
      <c r="AM32" s="21">
        <v>0</v>
      </c>
      <c r="AN32" s="21">
        <v>0</v>
      </c>
      <c r="AO32" s="21">
        <v>0</v>
      </c>
      <c r="AP32" s="21">
        <v>0</v>
      </c>
      <c r="AQ32" s="21">
        <v>0</v>
      </c>
      <c r="AR32" s="21">
        <v>0</v>
      </c>
      <c r="AS32" s="21">
        <v>0</v>
      </c>
      <c r="AT32" s="21">
        <v>0</v>
      </c>
      <c r="AU32" s="21"/>
      <c r="AV32" s="21" t="s">
        <v>252</v>
      </c>
      <c r="AW32" s="21" t="s">
        <v>202</v>
      </c>
      <c r="AX32" s="21" t="s">
        <v>186</v>
      </c>
      <c r="AY32" s="21" t="s">
        <v>187</v>
      </c>
      <c r="AZ32" s="21" t="s">
        <v>188</v>
      </c>
      <c r="BA32" s="21" t="s">
        <v>152</v>
      </c>
      <c r="BB32" s="21" t="s">
        <v>152</v>
      </c>
    </row>
    <row r="33" spans="1:54" x14ac:dyDescent="0.25">
      <c r="A33" s="22"/>
      <c r="B33" s="21" t="s">
        <v>167</v>
      </c>
      <c r="C33" s="21">
        <v>446</v>
      </c>
      <c r="D33" s="23">
        <v>46238</v>
      </c>
      <c r="E33" s="21" t="s">
        <v>226</v>
      </c>
      <c r="F33" s="21" t="s">
        <v>584</v>
      </c>
      <c r="G33" s="21" t="s">
        <v>309</v>
      </c>
      <c r="H33" s="21" t="s">
        <v>353</v>
      </c>
      <c r="I33" s="21">
        <v>214.51</v>
      </c>
      <c r="J33" s="21">
        <v>1624</v>
      </c>
      <c r="K33" s="21" t="s">
        <v>168</v>
      </c>
      <c r="L33" s="21">
        <v>348364.24</v>
      </c>
      <c r="M33" s="21">
        <v>1624</v>
      </c>
      <c r="N33" s="21">
        <v>1624</v>
      </c>
      <c r="O33" s="21">
        <v>0</v>
      </c>
      <c r="P33" s="21" t="s">
        <v>200</v>
      </c>
      <c r="Q33" s="21" t="s">
        <v>200</v>
      </c>
      <c r="R33" s="21"/>
      <c r="S33" s="21"/>
      <c r="T33" s="21" t="s">
        <v>229</v>
      </c>
      <c r="U33" s="21">
        <v>1</v>
      </c>
      <c r="V33" s="21"/>
      <c r="W33" s="21">
        <v>9</v>
      </c>
      <c r="X33" s="21">
        <v>31352.78</v>
      </c>
      <c r="Y33" s="21">
        <v>9</v>
      </c>
      <c r="Z33" s="21">
        <v>31352.78</v>
      </c>
      <c r="AA33" s="21">
        <v>0</v>
      </c>
      <c r="AB33" s="21">
        <v>0</v>
      </c>
      <c r="AC33" s="21">
        <v>63053200</v>
      </c>
      <c r="AD33" s="21" t="s">
        <v>189</v>
      </c>
      <c r="AE33" s="23">
        <v>46238</v>
      </c>
      <c r="AF33" s="21">
        <v>0</v>
      </c>
      <c r="AG33" s="21">
        <v>0</v>
      </c>
      <c r="AH33" s="21"/>
      <c r="AI33" s="21">
        <v>0</v>
      </c>
      <c r="AJ33" s="21"/>
      <c r="AK33" s="21"/>
      <c r="AL33" s="21"/>
      <c r="AM33" s="21">
        <v>0</v>
      </c>
      <c r="AN33" s="21">
        <v>0</v>
      </c>
      <c r="AO33" s="21">
        <v>0</v>
      </c>
      <c r="AP33" s="21">
        <v>0</v>
      </c>
      <c r="AQ33" s="21">
        <v>0</v>
      </c>
      <c r="AR33" s="21">
        <v>0</v>
      </c>
      <c r="AS33" s="21">
        <v>0</v>
      </c>
      <c r="AT33" s="21">
        <v>0</v>
      </c>
      <c r="AU33" s="21"/>
      <c r="AV33" s="21" t="s">
        <v>252</v>
      </c>
      <c r="AW33" s="21" t="s">
        <v>202</v>
      </c>
      <c r="AX33" s="21" t="s">
        <v>186</v>
      </c>
      <c r="AY33" s="21" t="s">
        <v>187</v>
      </c>
      <c r="AZ33" s="21" t="s">
        <v>188</v>
      </c>
      <c r="BA33" s="21" t="s">
        <v>152</v>
      </c>
      <c r="BB33" s="21" t="s">
        <v>152</v>
      </c>
    </row>
    <row r="34" spans="1:54" x14ac:dyDescent="0.25">
      <c r="A34" s="22"/>
      <c r="B34" s="21" t="s">
        <v>167</v>
      </c>
      <c r="C34" s="21">
        <v>446</v>
      </c>
      <c r="D34" s="23">
        <v>46238</v>
      </c>
      <c r="E34" s="21" t="s">
        <v>226</v>
      </c>
      <c r="F34" s="21" t="s">
        <v>584</v>
      </c>
      <c r="G34" s="21" t="s">
        <v>309</v>
      </c>
      <c r="H34" s="21" t="s">
        <v>354</v>
      </c>
      <c r="I34" s="21">
        <v>190.3</v>
      </c>
      <c r="J34" s="21">
        <v>881</v>
      </c>
      <c r="K34" s="21" t="s">
        <v>168</v>
      </c>
      <c r="L34" s="21">
        <v>167654.29999999999</v>
      </c>
      <c r="M34" s="21">
        <v>881</v>
      </c>
      <c r="N34" s="21">
        <v>881</v>
      </c>
      <c r="O34" s="21">
        <v>0</v>
      </c>
      <c r="P34" s="21" t="s">
        <v>200</v>
      </c>
      <c r="Q34" s="21" t="s">
        <v>200</v>
      </c>
      <c r="R34" s="21"/>
      <c r="S34" s="21"/>
      <c r="T34" s="21" t="s">
        <v>229</v>
      </c>
      <c r="U34" s="21">
        <v>1</v>
      </c>
      <c r="V34" s="21"/>
      <c r="W34" s="21">
        <v>9</v>
      </c>
      <c r="X34" s="21">
        <v>15088.89</v>
      </c>
      <c r="Y34" s="21">
        <v>9</v>
      </c>
      <c r="Z34" s="21">
        <v>15088.89</v>
      </c>
      <c r="AA34" s="21">
        <v>0</v>
      </c>
      <c r="AB34" s="21">
        <v>0</v>
      </c>
      <c r="AC34" s="21">
        <v>63053200</v>
      </c>
      <c r="AD34" s="21" t="s">
        <v>189</v>
      </c>
      <c r="AE34" s="23">
        <v>46238</v>
      </c>
      <c r="AF34" s="21">
        <v>0</v>
      </c>
      <c r="AG34" s="21">
        <v>0</v>
      </c>
      <c r="AH34" s="21"/>
      <c r="AI34" s="21">
        <v>0</v>
      </c>
      <c r="AJ34" s="21"/>
      <c r="AK34" s="21"/>
      <c r="AL34" s="21"/>
      <c r="AM34" s="21">
        <v>0</v>
      </c>
      <c r="AN34" s="21">
        <v>0</v>
      </c>
      <c r="AO34" s="21">
        <v>0</v>
      </c>
      <c r="AP34" s="21">
        <v>0</v>
      </c>
      <c r="AQ34" s="21">
        <v>0</v>
      </c>
      <c r="AR34" s="21">
        <v>0</v>
      </c>
      <c r="AS34" s="21">
        <v>0</v>
      </c>
      <c r="AT34" s="21">
        <v>0</v>
      </c>
      <c r="AU34" s="21"/>
      <c r="AV34" s="21" t="s">
        <v>252</v>
      </c>
      <c r="AW34" s="21" t="s">
        <v>202</v>
      </c>
      <c r="AX34" s="21" t="s">
        <v>186</v>
      </c>
      <c r="AY34" s="21" t="s">
        <v>187</v>
      </c>
      <c r="AZ34" s="21" t="s">
        <v>188</v>
      </c>
      <c r="BA34" s="21" t="s">
        <v>152</v>
      </c>
      <c r="BB34" s="21" t="s">
        <v>152</v>
      </c>
    </row>
    <row r="35" spans="1:54" x14ac:dyDescent="0.25">
      <c r="A35" s="22"/>
      <c r="B35" s="21" t="s">
        <v>167</v>
      </c>
      <c r="C35" s="21">
        <v>448</v>
      </c>
      <c r="D35" s="23">
        <v>46238</v>
      </c>
      <c r="E35" s="21" t="s">
        <v>198</v>
      </c>
      <c r="F35" s="21" t="s">
        <v>585</v>
      </c>
      <c r="G35" s="21" t="s">
        <v>259</v>
      </c>
      <c r="H35" s="21" t="s">
        <v>196</v>
      </c>
      <c r="I35" s="21">
        <v>270</v>
      </c>
      <c r="J35" s="21">
        <v>6</v>
      </c>
      <c r="K35" s="21" t="s">
        <v>168</v>
      </c>
      <c r="L35" s="21">
        <v>1620</v>
      </c>
      <c r="M35" s="21">
        <v>6</v>
      </c>
      <c r="N35" s="21">
        <v>6</v>
      </c>
      <c r="O35" s="21">
        <v>192674.18</v>
      </c>
      <c r="P35" s="21" t="s">
        <v>232</v>
      </c>
      <c r="Q35" s="21" t="s">
        <v>237</v>
      </c>
      <c r="R35" s="21"/>
      <c r="S35" s="21"/>
      <c r="T35" s="21" t="s">
        <v>229</v>
      </c>
      <c r="U35" s="21">
        <v>1</v>
      </c>
      <c r="V35" s="21"/>
      <c r="W35" s="21">
        <v>9</v>
      </c>
      <c r="X35" s="21">
        <v>145.80000000000001</v>
      </c>
      <c r="Y35" s="21">
        <v>9</v>
      </c>
      <c r="Z35" s="21">
        <v>145.80000000000001</v>
      </c>
      <c r="AA35" s="21">
        <v>0</v>
      </c>
      <c r="AB35" s="21">
        <v>0</v>
      </c>
      <c r="AC35" s="21">
        <v>39201019</v>
      </c>
      <c r="AD35" s="21" t="s">
        <v>189</v>
      </c>
      <c r="AE35" s="23">
        <v>46238</v>
      </c>
      <c r="AF35" s="21">
        <v>0</v>
      </c>
      <c r="AG35" s="21">
        <v>0</v>
      </c>
      <c r="AH35" s="21"/>
      <c r="AI35" s="21">
        <v>0</v>
      </c>
      <c r="AJ35" s="21"/>
      <c r="AK35" s="21"/>
      <c r="AL35" s="21"/>
      <c r="AM35" s="21">
        <v>0</v>
      </c>
      <c r="AN35" s="21">
        <v>0</v>
      </c>
      <c r="AO35" s="21">
        <v>0</v>
      </c>
      <c r="AP35" s="21">
        <v>0</v>
      </c>
      <c r="AQ35" s="21">
        <v>0</v>
      </c>
      <c r="AR35" s="21">
        <v>0</v>
      </c>
      <c r="AS35" s="21">
        <v>0</v>
      </c>
      <c r="AT35" s="21">
        <v>0</v>
      </c>
      <c r="AU35" s="21"/>
      <c r="AV35" s="21" t="s">
        <v>230</v>
      </c>
      <c r="AW35" s="21" t="s">
        <v>202</v>
      </c>
      <c r="AX35" s="21" t="s">
        <v>195</v>
      </c>
      <c r="AY35" s="21" t="s">
        <v>196</v>
      </c>
      <c r="AZ35" s="21" t="s">
        <v>169</v>
      </c>
      <c r="BA35" s="21" t="s">
        <v>197</v>
      </c>
      <c r="BB35" s="21" t="s">
        <v>158</v>
      </c>
    </row>
    <row r="36" spans="1:54" x14ac:dyDescent="0.25">
      <c r="A36" s="22"/>
      <c r="B36" s="21" t="s">
        <v>167</v>
      </c>
      <c r="C36" s="21">
        <v>448</v>
      </c>
      <c r="D36" s="23">
        <v>46238</v>
      </c>
      <c r="E36" s="21" t="s">
        <v>198</v>
      </c>
      <c r="F36" s="21" t="s">
        <v>585</v>
      </c>
      <c r="G36" s="21" t="s">
        <v>246</v>
      </c>
      <c r="H36" s="21" t="s">
        <v>360</v>
      </c>
      <c r="I36" s="21">
        <v>137.58000000000001</v>
      </c>
      <c r="J36" s="21">
        <v>240</v>
      </c>
      <c r="K36" s="21" t="s">
        <v>168</v>
      </c>
      <c r="L36" s="21">
        <v>33019.199999999997</v>
      </c>
      <c r="M36" s="21">
        <v>240</v>
      </c>
      <c r="N36" s="21">
        <v>245</v>
      </c>
      <c r="O36" s="21">
        <v>0</v>
      </c>
      <c r="P36" s="21" t="s">
        <v>232</v>
      </c>
      <c r="Q36" s="21" t="s">
        <v>232</v>
      </c>
      <c r="R36" s="21"/>
      <c r="S36" s="21"/>
      <c r="T36" s="21" t="s">
        <v>229</v>
      </c>
      <c r="U36" s="21">
        <v>1</v>
      </c>
      <c r="V36" s="21"/>
      <c r="W36" s="21">
        <v>9</v>
      </c>
      <c r="X36" s="21">
        <v>2971.73</v>
      </c>
      <c r="Y36" s="21">
        <v>9</v>
      </c>
      <c r="Z36" s="21">
        <v>2971.73</v>
      </c>
      <c r="AA36" s="21">
        <v>0</v>
      </c>
      <c r="AB36" s="21">
        <v>0</v>
      </c>
      <c r="AC36" s="21">
        <v>39269080</v>
      </c>
      <c r="AD36" s="21" t="s">
        <v>189</v>
      </c>
      <c r="AE36" s="23">
        <v>46238</v>
      </c>
      <c r="AF36" s="21">
        <v>0</v>
      </c>
      <c r="AG36" s="21">
        <v>0</v>
      </c>
      <c r="AH36" s="21"/>
      <c r="AI36" s="21">
        <v>0</v>
      </c>
      <c r="AJ36" s="21"/>
      <c r="AK36" s="21"/>
      <c r="AL36" s="21"/>
      <c r="AM36" s="21">
        <v>0</v>
      </c>
      <c r="AN36" s="21">
        <v>0</v>
      </c>
      <c r="AO36" s="21">
        <v>0</v>
      </c>
      <c r="AP36" s="21">
        <v>0</v>
      </c>
      <c r="AQ36" s="21">
        <v>0</v>
      </c>
      <c r="AR36" s="21">
        <v>0</v>
      </c>
      <c r="AS36" s="21">
        <v>0</v>
      </c>
      <c r="AT36" s="21">
        <v>0</v>
      </c>
      <c r="AU36" s="21"/>
      <c r="AV36" s="21" t="s">
        <v>230</v>
      </c>
      <c r="AW36" s="21" t="s">
        <v>202</v>
      </c>
      <c r="AX36" s="21" t="s">
        <v>177</v>
      </c>
      <c r="AY36" s="21" t="s">
        <v>178</v>
      </c>
      <c r="AZ36" s="21" t="s">
        <v>169</v>
      </c>
      <c r="BA36" s="21" t="s">
        <v>179</v>
      </c>
      <c r="BB36" s="21" t="s">
        <v>156</v>
      </c>
    </row>
    <row r="37" spans="1:54" x14ac:dyDescent="0.25">
      <c r="A37" s="22"/>
      <c r="B37" s="21" t="s">
        <v>167</v>
      </c>
      <c r="C37" s="21">
        <v>448</v>
      </c>
      <c r="D37" s="23">
        <v>46238</v>
      </c>
      <c r="E37" s="21" t="s">
        <v>198</v>
      </c>
      <c r="F37" s="21" t="s">
        <v>585</v>
      </c>
      <c r="G37" s="21" t="s">
        <v>246</v>
      </c>
      <c r="H37" s="21" t="s">
        <v>361</v>
      </c>
      <c r="I37" s="21">
        <v>140.58000000000001</v>
      </c>
      <c r="J37" s="21">
        <v>249</v>
      </c>
      <c r="K37" s="21" t="s">
        <v>168</v>
      </c>
      <c r="L37" s="21">
        <v>35004.42</v>
      </c>
      <c r="M37" s="21">
        <v>249</v>
      </c>
      <c r="N37" s="21">
        <v>252</v>
      </c>
      <c r="O37" s="21">
        <v>0</v>
      </c>
      <c r="P37" s="21" t="s">
        <v>232</v>
      </c>
      <c r="Q37" s="21" t="s">
        <v>232</v>
      </c>
      <c r="R37" s="21"/>
      <c r="S37" s="21"/>
      <c r="T37" s="21" t="s">
        <v>229</v>
      </c>
      <c r="U37" s="21">
        <v>1</v>
      </c>
      <c r="V37" s="21"/>
      <c r="W37" s="21">
        <v>9</v>
      </c>
      <c r="X37" s="21">
        <v>3150.4</v>
      </c>
      <c r="Y37" s="21">
        <v>9</v>
      </c>
      <c r="Z37" s="21">
        <v>3150.4</v>
      </c>
      <c r="AA37" s="21">
        <v>0</v>
      </c>
      <c r="AB37" s="21">
        <v>0</v>
      </c>
      <c r="AC37" s="21">
        <v>39269080</v>
      </c>
      <c r="AD37" s="21" t="s">
        <v>189</v>
      </c>
      <c r="AE37" s="23">
        <v>46238</v>
      </c>
      <c r="AF37" s="21">
        <v>0</v>
      </c>
      <c r="AG37" s="21">
        <v>0</v>
      </c>
      <c r="AH37" s="21"/>
      <c r="AI37" s="21">
        <v>0</v>
      </c>
      <c r="AJ37" s="21"/>
      <c r="AK37" s="21"/>
      <c r="AL37" s="21"/>
      <c r="AM37" s="21">
        <v>0</v>
      </c>
      <c r="AN37" s="21">
        <v>0</v>
      </c>
      <c r="AO37" s="21">
        <v>0</v>
      </c>
      <c r="AP37" s="21">
        <v>0</v>
      </c>
      <c r="AQ37" s="21">
        <v>0</v>
      </c>
      <c r="AR37" s="21">
        <v>0</v>
      </c>
      <c r="AS37" s="21">
        <v>0</v>
      </c>
      <c r="AT37" s="21">
        <v>0</v>
      </c>
      <c r="AU37" s="21"/>
      <c r="AV37" s="21" t="s">
        <v>230</v>
      </c>
      <c r="AW37" s="21" t="s">
        <v>202</v>
      </c>
      <c r="AX37" s="21" t="s">
        <v>177</v>
      </c>
      <c r="AY37" s="21" t="s">
        <v>178</v>
      </c>
      <c r="AZ37" s="21" t="s">
        <v>169</v>
      </c>
      <c r="BA37" s="21" t="s">
        <v>179</v>
      </c>
      <c r="BB37" s="21" t="s">
        <v>156</v>
      </c>
    </row>
    <row r="38" spans="1:54" x14ac:dyDescent="0.25">
      <c r="A38" s="22"/>
      <c r="B38" s="21" t="s">
        <v>167</v>
      </c>
      <c r="C38" s="21">
        <v>448</v>
      </c>
      <c r="D38" s="23">
        <v>46238</v>
      </c>
      <c r="E38" s="21" t="s">
        <v>198</v>
      </c>
      <c r="F38" s="21" t="s">
        <v>585</v>
      </c>
      <c r="G38" s="21" t="s">
        <v>231</v>
      </c>
      <c r="H38" s="21" t="s">
        <v>359</v>
      </c>
      <c r="I38" s="21">
        <v>133.58000000000001</v>
      </c>
      <c r="J38" s="21">
        <v>701</v>
      </c>
      <c r="K38" s="21" t="s">
        <v>168</v>
      </c>
      <c r="L38" s="21">
        <v>93639.58</v>
      </c>
      <c r="M38" s="21">
        <v>701</v>
      </c>
      <c r="N38" s="21">
        <v>701</v>
      </c>
      <c r="O38" s="21">
        <v>0</v>
      </c>
      <c r="P38" s="21" t="s">
        <v>232</v>
      </c>
      <c r="Q38" s="21" t="s">
        <v>232</v>
      </c>
      <c r="R38" s="21"/>
      <c r="S38" s="21"/>
      <c r="T38" s="21" t="s">
        <v>229</v>
      </c>
      <c r="U38" s="21">
        <v>1</v>
      </c>
      <c r="V38" s="21"/>
      <c r="W38" s="21">
        <v>9</v>
      </c>
      <c r="X38" s="21">
        <v>8427.56</v>
      </c>
      <c r="Y38" s="21">
        <v>9</v>
      </c>
      <c r="Z38" s="21">
        <v>8427.56</v>
      </c>
      <c r="AA38" s="21">
        <v>0</v>
      </c>
      <c r="AB38" s="21">
        <v>0</v>
      </c>
      <c r="AC38" s="21">
        <v>39269080</v>
      </c>
      <c r="AD38" s="21" t="s">
        <v>189</v>
      </c>
      <c r="AE38" s="23">
        <v>46238</v>
      </c>
      <c r="AF38" s="21">
        <v>0</v>
      </c>
      <c r="AG38" s="21">
        <v>0</v>
      </c>
      <c r="AH38" s="21"/>
      <c r="AI38" s="21">
        <v>0</v>
      </c>
      <c r="AJ38" s="21"/>
      <c r="AK38" s="21"/>
      <c r="AL38" s="21"/>
      <c r="AM38" s="21">
        <v>0</v>
      </c>
      <c r="AN38" s="21">
        <v>0</v>
      </c>
      <c r="AO38" s="21">
        <v>0</v>
      </c>
      <c r="AP38" s="21">
        <v>0</v>
      </c>
      <c r="AQ38" s="21">
        <v>0</v>
      </c>
      <c r="AR38" s="21">
        <v>0</v>
      </c>
      <c r="AS38" s="21">
        <v>0</v>
      </c>
      <c r="AT38" s="21">
        <v>0</v>
      </c>
      <c r="AU38" s="21"/>
      <c r="AV38" s="21" t="s">
        <v>230</v>
      </c>
      <c r="AW38" s="21" t="s">
        <v>202</v>
      </c>
      <c r="AX38" s="21" t="s">
        <v>234</v>
      </c>
      <c r="AY38" s="21" t="s">
        <v>153</v>
      </c>
      <c r="AZ38" s="21" t="s">
        <v>188</v>
      </c>
      <c r="BA38" s="21" t="s">
        <v>153</v>
      </c>
      <c r="BB38" s="21" t="s">
        <v>153</v>
      </c>
    </row>
    <row r="39" spans="1:54" x14ac:dyDescent="0.25">
      <c r="A39" s="22"/>
      <c r="B39" s="21" t="s">
        <v>167</v>
      </c>
      <c r="C39" s="21" t="s">
        <v>362</v>
      </c>
      <c r="D39" s="23">
        <v>46238</v>
      </c>
      <c r="E39" s="21" t="s">
        <v>249</v>
      </c>
      <c r="F39" s="21" t="s">
        <v>320</v>
      </c>
      <c r="G39" s="21" t="s">
        <v>246</v>
      </c>
      <c r="H39" s="21" t="s">
        <v>363</v>
      </c>
      <c r="I39" s="21">
        <v>126.93</v>
      </c>
      <c r="J39" s="21">
        <v>3438</v>
      </c>
      <c r="K39" s="21" t="s">
        <v>168</v>
      </c>
      <c r="L39" s="21">
        <v>436385.34</v>
      </c>
      <c r="M39" s="21">
        <v>3438</v>
      </c>
      <c r="N39" s="21">
        <v>3543</v>
      </c>
      <c r="O39" s="21">
        <v>718671.28</v>
      </c>
      <c r="P39" s="21" t="s">
        <v>232</v>
      </c>
      <c r="Q39" s="21" t="s">
        <v>232</v>
      </c>
      <c r="R39" s="21"/>
      <c r="S39" s="21"/>
      <c r="T39" s="21" t="s">
        <v>229</v>
      </c>
      <c r="U39" s="21">
        <v>1</v>
      </c>
      <c r="V39" s="21" t="s">
        <v>240</v>
      </c>
      <c r="W39" s="21">
        <v>0</v>
      </c>
      <c r="X39" s="21">
        <v>0</v>
      </c>
      <c r="Y39" s="21">
        <v>0</v>
      </c>
      <c r="Z39" s="21">
        <v>0</v>
      </c>
      <c r="AA39" s="21">
        <v>18</v>
      </c>
      <c r="AB39" s="21">
        <v>78549.36</v>
      </c>
      <c r="AC39" s="21">
        <v>39269080</v>
      </c>
      <c r="AD39" s="21" t="s">
        <v>189</v>
      </c>
      <c r="AE39" s="23">
        <v>46238</v>
      </c>
      <c r="AF39" s="21">
        <v>0</v>
      </c>
      <c r="AG39" s="21">
        <v>0</v>
      </c>
      <c r="AH39" s="21"/>
      <c r="AI39" s="21">
        <v>0</v>
      </c>
      <c r="AJ39" s="21"/>
      <c r="AK39" s="21"/>
      <c r="AL39" s="21"/>
      <c r="AM39" s="21">
        <v>0</v>
      </c>
      <c r="AN39" s="21">
        <v>0</v>
      </c>
      <c r="AO39" s="21">
        <v>0</v>
      </c>
      <c r="AP39" s="21">
        <v>0</v>
      </c>
      <c r="AQ39" s="21">
        <v>0</v>
      </c>
      <c r="AR39" s="21">
        <v>0</v>
      </c>
      <c r="AS39" s="21">
        <v>0</v>
      </c>
      <c r="AT39" s="21">
        <v>0</v>
      </c>
      <c r="AU39" s="21"/>
      <c r="AV39" s="21" t="s">
        <v>244</v>
      </c>
      <c r="AW39" s="21" t="s">
        <v>202</v>
      </c>
      <c r="AX39" s="21" t="s">
        <v>177</v>
      </c>
      <c r="AY39" s="21" t="s">
        <v>178</v>
      </c>
      <c r="AZ39" s="21" t="s">
        <v>169</v>
      </c>
      <c r="BA39" s="21" t="s">
        <v>179</v>
      </c>
      <c r="BB39" s="21" t="s">
        <v>298</v>
      </c>
    </row>
    <row r="40" spans="1:54" x14ac:dyDescent="0.25">
      <c r="A40" s="22"/>
      <c r="B40" s="21" t="s">
        <v>167</v>
      </c>
      <c r="C40" s="21" t="s">
        <v>362</v>
      </c>
      <c r="D40" s="23">
        <v>46238</v>
      </c>
      <c r="E40" s="21" t="s">
        <v>249</v>
      </c>
      <c r="F40" s="21" t="s">
        <v>320</v>
      </c>
      <c r="G40" s="21" t="s">
        <v>246</v>
      </c>
      <c r="H40" s="21" t="s">
        <v>364</v>
      </c>
      <c r="I40" s="21">
        <v>151.93</v>
      </c>
      <c r="J40" s="21">
        <v>1858</v>
      </c>
      <c r="K40" s="21" t="s">
        <v>168</v>
      </c>
      <c r="L40" s="21">
        <v>282285.94</v>
      </c>
      <c r="M40" s="21">
        <v>1858</v>
      </c>
      <c r="N40" s="21">
        <v>1918</v>
      </c>
      <c r="O40" s="21">
        <v>0</v>
      </c>
      <c r="P40" s="21" t="s">
        <v>232</v>
      </c>
      <c r="Q40" s="21" t="s">
        <v>232</v>
      </c>
      <c r="R40" s="21"/>
      <c r="S40" s="21"/>
      <c r="T40" s="21" t="s">
        <v>229</v>
      </c>
      <c r="U40" s="21">
        <v>1</v>
      </c>
      <c r="V40" s="21" t="s">
        <v>240</v>
      </c>
      <c r="W40" s="21">
        <v>0</v>
      </c>
      <c r="X40" s="21">
        <v>0</v>
      </c>
      <c r="Y40" s="21">
        <v>0</v>
      </c>
      <c r="Z40" s="21">
        <v>0</v>
      </c>
      <c r="AA40" s="21">
        <v>18</v>
      </c>
      <c r="AB40" s="21">
        <v>50811.47</v>
      </c>
      <c r="AC40" s="21">
        <v>39269080</v>
      </c>
      <c r="AD40" s="21" t="s">
        <v>189</v>
      </c>
      <c r="AE40" s="23">
        <v>46238</v>
      </c>
      <c r="AF40" s="21">
        <v>0</v>
      </c>
      <c r="AG40" s="21">
        <v>0</v>
      </c>
      <c r="AH40" s="21"/>
      <c r="AI40" s="21">
        <v>0</v>
      </c>
      <c r="AJ40" s="21"/>
      <c r="AK40" s="21"/>
      <c r="AL40" s="21"/>
      <c r="AM40" s="21">
        <v>0</v>
      </c>
      <c r="AN40" s="21">
        <v>0</v>
      </c>
      <c r="AO40" s="21">
        <v>0</v>
      </c>
      <c r="AP40" s="21">
        <v>0</v>
      </c>
      <c r="AQ40" s="21">
        <v>0</v>
      </c>
      <c r="AR40" s="21">
        <v>0</v>
      </c>
      <c r="AS40" s="21">
        <v>0</v>
      </c>
      <c r="AT40" s="21">
        <v>0</v>
      </c>
      <c r="AU40" s="21"/>
      <c r="AV40" s="21" t="s">
        <v>244</v>
      </c>
      <c r="AW40" s="21" t="s">
        <v>202</v>
      </c>
      <c r="AX40" s="21" t="s">
        <v>177</v>
      </c>
      <c r="AY40" s="21" t="s">
        <v>178</v>
      </c>
      <c r="AZ40" s="21" t="s">
        <v>169</v>
      </c>
      <c r="BA40" s="21" t="s">
        <v>179</v>
      </c>
      <c r="BB40" s="21" t="s">
        <v>298</v>
      </c>
    </row>
    <row r="41" spans="1:54" x14ac:dyDescent="0.25">
      <c r="A41" s="22"/>
      <c r="B41" s="21" t="s">
        <v>167</v>
      </c>
      <c r="C41" s="21">
        <v>449</v>
      </c>
      <c r="D41" s="23">
        <v>46239</v>
      </c>
      <c r="E41" s="21" t="s">
        <v>198</v>
      </c>
      <c r="F41" s="21" t="s">
        <v>174</v>
      </c>
      <c r="G41" s="21" t="s">
        <v>309</v>
      </c>
      <c r="H41" s="21" t="s">
        <v>369</v>
      </c>
      <c r="I41" s="21">
        <v>208.89</v>
      </c>
      <c r="J41" s="21">
        <v>2226</v>
      </c>
      <c r="K41" s="21" t="s">
        <v>168</v>
      </c>
      <c r="L41" s="21">
        <v>464989.14</v>
      </c>
      <c r="M41" s="21">
        <v>2226</v>
      </c>
      <c r="N41" s="21">
        <v>2226</v>
      </c>
      <c r="O41" s="21">
        <v>1206501.6599999999</v>
      </c>
      <c r="P41" s="21" t="s">
        <v>200</v>
      </c>
      <c r="Q41" s="21" t="s">
        <v>200</v>
      </c>
      <c r="R41" s="21"/>
      <c r="S41" s="21"/>
      <c r="T41" s="21" t="s">
        <v>229</v>
      </c>
      <c r="U41" s="21">
        <v>1</v>
      </c>
      <c r="V41" s="21"/>
      <c r="W41" s="21">
        <v>9</v>
      </c>
      <c r="X41" s="21">
        <v>41849.019999999997</v>
      </c>
      <c r="Y41" s="21">
        <v>9</v>
      </c>
      <c r="Z41" s="21">
        <v>41849.019999999997</v>
      </c>
      <c r="AA41" s="21">
        <v>0</v>
      </c>
      <c r="AB41" s="21">
        <v>0</v>
      </c>
      <c r="AC41" s="21">
        <v>63053200</v>
      </c>
      <c r="AD41" s="21" t="s">
        <v>189</v>
      </c>
      <c r="AE41" s="23">
        <v>46239</v>
      </c>
      <c r="AF41" s="21">
        <v>0</v>
      </c>
      <c r="AG41" s="21">
        <v>0</v>
      </c>
      <c r="AH41" s="21"/>
      <c r="AI41" s="21">
        <v>0</v>
      </c>
      <c r="AJ41" s="21"/>
      <c r="AK41" s="21"/>
      <c r="AL41" s="21"/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  <c r="AS41" s="21">
        <v>0</v>
      </c>
      <c r="AT41" s="21">
        <v>0</v>
      </c>
      <c r="AU41" s="21"/>
      <c r="AV41" s="21" t="s">
        <v>230</v>
      </c>
      <c r="AW41" s="21" t="s">
        <v>202</v>
      </c>
      <c r="AX41" s="21" t="s">
        <v>186</v>
      </c>
      <c r="AY41" s="21" t="s">
        <v>187</v>
      </c>
      <c r="AZ41" s="21" t="s">
        <v>188</v>
      </c>
      <c r="BA41" s="21" t="s">
        <v>152</v>
      </c>
      <c r="BB41" s="21" t="s">
        <v>152</v>
      </c>
    </row>
    <row r="42" spans="1:54" x14ac:dyDescent="0.25">
      <c r="A42" s="22"/>
      <c r="B42" s="21" t="s">
        <v>167</v>
      </c>
      <c r="C42" s="21">
        <v>449</v>
      </c>
      <c r="D42" s="23">
        <v>46239</v>
      </c>
      <c r="E42" s="21" t="s">
        <v>198</v>
      </c>
      <c r="F42" s="21" t="s">
        <v>174</v>
      </c>
      <c r="G42" s="21" t="s">
        <v>309</v>
      </c>
      <c r="H42" s="21" t="s">
        <v>370</v>
      </c>
      <c r="I42" s="21">
        <v>206.7</v>
      </c>
      <c r="J42" s="21">
        <v>2697</v>
      </c>
      <c r="K42" s="21" t="s">
        <v>168</v>
      </c>
      <c r="L42" s="21">
        <v>557469.9</v>
      </c>
      <c r="M42" s="21">
        <v>2697</v>
      </c>
      <c r="N42" s="21">
        <v>2697</v>
      </c>
      <c r="O42" s="21">
        <v>0</v>
      </c>
      <c r="P42" s="21" t="s">
        <v>200</v>
      </c>
      <c r="Q42" s="21" t="s">
        <v>200</v>
      </c>
      <c r="R42" s="21"/>
      <c r="S42" s="21"/>
      <c r="T42" s="21" t="s">
        <v>229</v>
      </c>
      <c r="U42" s="21">
        <v>1</v>
      </c>
      <c r="V42" s="21"/>
      <c r="W42" s="21">
        <v>9</v>
      </c>
      <c r="X42" s="21">
        <v>50172.29</v>
      </c>
      <c r="Y42" s="21">
        <v>9</v>
      </c>
      <c r="Z42" s="21">
        <v>50172.29</v>
      </c>
      <c r="AA42" s="21">
        <v>0</v>
      </c>
      <c r="AB42" s="21">
        <v>0</v>
      </c>
      <c r="AC42" s="21">
        <v>63053200</v>
      </c>
      <c r="AD42" s="21" t="s">
        <v>189</v>
      </c>
      <c r="AE42" s="23">
        <v>46239</v>
      </c>
      <c r="AF42" s="21">
        <v>0</v>
      </c>
      <c r="AG42" s="21">
        <v>0</v>
      </c>
      <c r="AH42" s="21"/>
      <c r="AI42" s="21">
        <v>0</v>
      </c>
      <c r="AJ42" s="21"/>
      <c r="AK42" s="21"/>
      <c r="AL42" s="21"/>
      <c r="AM42" s="21">
        <v>0</v>
      </c>
      <c r="AN42" s="21">
        <v>0</v>
      </c>
      <c r="AO42" s="21">
        <v>0</v>
      </c>
      <c r="AP42" s="21">
        <v>0</v>
      </c>
      <c r="AQ42" s="21">
        <v>0</v>
      </c>
      <c r="AR42" s="21">
        <v>0</v>
      </c>
      <c r="AS42" s="21">
        <v>0</v>
      </c>
      <c r="AT42" s="21">
        <v>0</v>
      </c>
      <c r="AU42" s="21"/>
      <c r="AV42" s="21" t="s">
        <v>230</v>
      </c>
      <c r="AW42" s="21" t="s">
        <v>202</v>
      </c>
      <c r="AX42" s="21" t="s">
        <v>186</v>
      </c>
      <c r="AY42" s="21" t="s">
        <v>187</v>
      </c>
      <c r="AZ42" s="21" t="s">
        <v>188</v>
      </c>
      <c r="BA42" s="21" t="s">
        <v>152</v>
      </c>
      <c r="BB42" s="21" t="s">
        <v>152</v>
      </c>
    </row>
    <row r="43" spans="1:54" x14ac:dyDescent="0.25">
      <c r="A43" s="22"/>
      <c r="B43" s="21" t="s">
        <v>167</v>
      </c>
      <c r="C43" s="21">
        <v>450</v>
      </c>
      <c r="D43" s="23">
        <v>46239</v>
      </c>
      <c r="E43" s="21" t="s">
        <v>212</v>
      </c>
      <c r="F43" s="21" t="s">
        <v>174</v>
      </c>
      <c r="G43" s="21" t="s">
        <v>231</v>
      </c>
      <c r="H43" s="21" t="s">
        <v>363</v>
      </c>
      <c r="I43" s="21">
        <v>137.58000000000001</v>
      </c>
      <c r="J43" s="21">
        <v>327</v>
      </c>
      <c r="K43" s="21" t="s">
        <v>168</v>
      </c>
      <c r="L43" s="21">
        <v>44988.66</v>
      </c>
      <c r="M43" s="21">
        <v>327</v>
      </c>
      <c r="N43" s="21">
        <v>327</v>
      </c>
      <c r="O43" s="21">
        <v>113176.77</v>
      </c>
      <c r="P43" s="21" t="s">
        <v>232</v>
      </c>
      <c r="Q43" s="21" t="s">
        <v>232</v>
      </c>
      <c r="R43" s="21"/>
      <c r="S43" s="21"/>
      <c r="T43" s="21" t="s">
        <v>229</v>
      </c>
      <c r="U43" s="21">
        <v>1</v>
      </c>
      <c r="V43" s="21"/>
      <c r="W43" s="21">
        <v>9</v>
      </c>
      <c r="X43" s="21">
        <v>4048.98</v>
      </c>
      <c r="Y43" s="21">
        <v>9</v>
      </c>
      <c r="Z43" s="21">
        <v>4048.98</v>
      </c>
      <c r="AA43" s="21">
        <v>0</v>
      </c>
      <c r="AB43" s="21">
        <v>0</v>
      </c>
      <c r="AC43" s="21">
        <v>39269080</v>
      </c>
      <c r="AD43" s="21" t="s">
        <v>189</v>
      </c>
      <c r="AE43" s="23">
        <v>46239</v>
      </c>
      <c r="AF43" s="21">
        <v>0</v>
      </c>
      <c r="AG43" s="21">
        <v>0</v>
      </c>
      <c r="AH43" s="21"/>
      <c r="AI43" s="21">
        <v>0</v>
      </c>
      <c r="AJ43" s="21"/>
      <c r="AK43" s="21"/>
      <c r="AL43" s="21"/>
      <c r="AM43" s="21">
        <v>0</v>
      </c>
      <c r="AN43" s="21">
        <v>0</v>
      </c>
      <c r="AO43" s="21">
        <v>0</v>
      </c>
      <c r="AP43" s="21">
        <v>0</v>
      </c>
      <c r="AQ43" s="21">
        <v>0</v>
      </c>
      <c r="AR43" s="21">
        <v>0</v>
      </c>
      <c r="AS43" s="21">
        <v>0</v>
      </c>
      <c r="AT43" s="21">
        <v>0</v>
      </c>
      <c r="AU43" s="21"/>
      <c r="AV43" s="21" t="s">
        <v>236</v>
      </c>
      <c r="AW43" s="21" t="s">
        <v>202</v>
      </c>
      <c r="AX43" s="21" t="s">
        <v>177</v>
      </c>
      <c r="AY43" s="21" t="s">
        <v>178</v>
      </c>
      <c r="AZ43" s="21" t="s">
        <v>169</v>
      </c>
      <c r="BA43" s="21" t="s">
        <v>179</v>
      </c>
      <c r="BB43" s="21" t="s">
        <v>156</v>
      </c>
    </row>
    <row r="44" spans="1:54" x14ac:dyDescent="0.25">
      <c r="A44" s="22"/>
      <c r="B44" s="21" t="s">
        <v>167</v>
      </c>
      <c r="C44" s="21">
        <v>450</v>
      </c>
      <c r="D44" s="23">
        <v>46239</v>
      </c>
      <c r="E44" s="21" t="s">
        <v>212</v>
      </c>
      <c r="F44" s="21" t="s">
        <v>174</v>
      </c>
      <c r="G44" s="21" t="s">
        <v>235</v>
      </c>
      <c r="H44" s="21" t="s">
        <v>373</v>
      </c>
      <c r="I44" s="21">
        <v>135.58000000000001</v>
      </c>
      <c r="J44" s="21">
        <v>375.6</v>
      </c>
      <c r="K44" s="21" t="s">
        <v>168</v>
      </c>
      <c r="L44" s="21">
        <v>50923.85</v>
      </c>
      <c r="M44" s="21">
        <v>375.6</v>
      </c>
      <c r="N44" s="21">
        <v>375.6</v>
      </c>
      <c r="O44" s="21">
        <v>0</v>
      </c>
      <c r="P44" s="21" t="s">
        <v>232</v>
      </c>
      <c r="Q44" s="21" t="s">
        <v>181</v>
      </c>
      <c r="R44" s="21"/>
      <c r="S44" s="21"/>
      <c r="T44" s="21" t="s">
        <v>229</v>
      </c>
      <c r="U44" s="21">
        <v>1</v>
      </c>
      <c r="V44" s="21"/>
      <c r="W44" s="21">
        <v>9</v>
      </c>
      <c r="X44" s="21">
        <v>4583.1499999999996</v>
      </c>
      <c r="Y44" s="21">
        <v>9</v>
      </c>
      <c r="Z44" s="21">
        <v>4583.1499999999996</v>
      </c>
      <c r="AA44" s="21">
        <v>0</v>
      </c>
      <c r="AB44" s="21">
        <v>0</v>
      </c>
      <c r="AC44" s="21">
        <v>39269080</v>
      </c>
      <c r="AD44" s="21" t="s">
        <v>189</v>
      </c>
      <c r="AE44" s="23">
        <v>46239</v>
      </c>
      <c r="AF44" s="21">
        <v>0</v>
      </c>
      <c r="AG44" s="21">
        <v>0</v>
      </c>
      <c r="AH44" s="21"/>
      <c r="AI44" s="21">
        <v>0</v>
      </c>
      <c r="AJ44" s="21"/>
      <c r="AK44" s="21"/>
      <c r="AL44" s="21"/>
      <c r="AM44" s="21">
        <v>0</v>
      </c>
      <c r="AN44" s="21">
        <v>0</v>
      </c>
      <c r="AO44" s="21">
        <v>0</v>
      </c>
      <c r="AP44" s="21">
        <v>0</v>
      </c>
      <c r="AQ44" s="21">
        <v>0</v>
      </c>
      <c r="AR44" s="21">
        <v>0</v>
      </c>
      <c r="AS44" s="21">
        <v>0</v>
      </c>
      <c r="AT44" s="21">
        <v>0</v>
      </c>
      <c r="AU44" s="21"/>
      <c r="AV44" s="21" t="s">
        <v>236</v>
      </c>
      <c r="AW44" s="21" t="s">
        <v>202</v>
      </c>
      <c r="AX44" s="21" t="s">
        <v>180</v>
      </c>
      <c r="AY44" s="21" t="s">
        <v>181</v>
      </c>
      <c r="AZ44" s="21" t="s">
        <v>169</v>
      </c>
      <c r="BA44" s="21" t="s">
        <v>181</v>
      </c>
      <c r="BB44" s="21" t="s">
        <v>154</v>
      </c>
    </row>
    <row r="45" spans="1:54" x14ac:dyDescent="0.25">
      <c r="A45" s="22"/>
      <c r="B45" s="21" t="s">
        <v>167</v>
      </c>
      <c r="C45" s="21">
        <v>452</v>
      </c>
      <c r="D45" s="23">
        <v>46239</v>
      </c>
      <c r="E45" s="21" t="s">
        <v>212</v>
      </c>
      <c r="F45" s="21" t="s">
        <v>194</v>
      </c>
      <c r="G45" s="21" t="s">
        <v>256</v>
      </c>
      <c r="H45" s="21" t="s">
        <v>375</v>
      </c>
      <c r="I45" s="21">
        <v>114.93</v>
      </c>
      <c r="J45" s="21">
        <v>2320.1999999999998</v>
      </c>
      <c r="K45" s="21" t="s">
        <v>168</v>
      </c>
      <c r="L45" s="21">
        <v>266660.59000000003</v>
      </c>
      <c r="M45" s="21">
        <v>2320.1999999999998</v>
      </c>
      <c r="N45" s="21">
        <v>2320.1999999999998</v>
      </c>
      <c r="O45" s="21">
        <v>314659.49</v>
      </c>
      <c r="P45" s="21" t="s">
        <v>237</v>
      </c>
      <c r="Q45" s="21" t="s">
        <v>258</v>
      </c>
      <c r="R45" s="21"/>
      <c r="S45" s="21"/>
      <c r="T45" s="21" t="s">
        <v>229</v>
      </c>
      <c r="U45" s="21">
        <v>1</v>
      </c>
      <c r="V45" s="21"/>
      <c r="W45" s="21">
        <v>9</v>
      </c>
      <c r="X45" s="21">
        <v>23999.45</v>
      </c>
      <c r="Y45" s="21">
        <v>9</v>
      </c>
      <c r="Z45" s="21">
        <v>23999.45</v>
      </c>
      <c r="AA45" s="21">
        <v>0</v>
      </c>
      <c r="AB45" s="21">
        <v>0</v>
      </c>
      <c r="AC45" s="21">
        <v>39199090</v>
      </c>
      <c r="AD45" s="21" t="s">
        <v>189</v>
      </c>
      <c r="AE45" s="23">
        <v>46239</v>
      </c>
      <c r="AF45" s="21">
        <v>0</v>
      </c>
      <c r="AG45" s="21">
        <v>0</v>
      </c>
      <c r="AH45" s="21"/>
      <c r="AI45" s="21">
        <v>0</v>
      </c>
      <c r="AJ45" s="21"/>
      <c r="AK45" s="21"/>
      <c r="AL45" s="21"/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/>
      <c r="AV45" s="21" t="s">
        <v>236</v>
      </c>
      <c r="AW45" s="21" t="s">
        <v>202</v>
      </c>
      <c r="AX45" s="21" t="s">
        <v>192</v>
      </c>
      <c r="AY45" s="21" t="s">
        <v>161</v>
      </c>
      <c r="AZ45" s="21" t="s">
        <v>169</v>
      </c>
      <c r="BA45" s="21" t="s">
        <v>193</v>
      </c>
      <c r="BB45" s="21" t="s">
        <v>161</v>
      </c>
    </row>
    <row r="46" spans="1:54" x14ac:dyDescent="0.25">
      <c r="A46" s="22"/>
      <c r="B46" s="21" t="s">
        <v>167</v>
      </c>
      <c r="C46" s="21">
        <v>453</v>
      </c>
      <c r="D46" s="23">
        <v>46239</v>
      </c>
      <c r="E46" s="21" t="s">
        <v>212</v>
      </c>
      <c r="F46" s="21" t="s">
        <v>586</v>
      </c>
      <c r="G46" s="21" t="s">
        <v>309</v>
      </c>
      <c r="H46" s="21" t="s">
        <v>377</v>
      </c>
      <c r="I46" s="21">
        <v>267.17</v>
      </c>
      <c r="J46" s="21">
        <v>4058</v>
      </c>
      <c r="K46" s="21" t="s">
        <v>168</v>
      </c>
      <c r="L46" s="21">
        <v>1084175.8600000001</v>
      </c>
      <c r="M46" s="21">
        <v>4058</v>
      </c>
      <c r="N46" s="21">
        <v>4058</v>
      </c>
      <c r="O46" s="21">
        <v>1279327.52</v>
      </c>
      <c r="P46" s="21" t="s">
        <v>200</v>
      </c>
      <c r="Q46" s="21" t="s">
        <v>200</v>
      </c>
      <c r="R46" s="21"/>
      <c r="S46" s="21"/>
      <c r="T46" s="21" t="s">
        <v>229</v>
      </c>
      <c r="U46" s="21">
        <v>1</v>
      </c>
      <c r="V46" s="21"/>
      <c r="W46" s="21">
        <v>9</v>
      </c>
      <c r="X46" s="21">
        <v>97575.83</v>
      </c>
      <c r="Y46" s="21">
        <v>9</v>
      </c>
      <c r="Z46" s="21">
        <v>97575.83</v>
      </c>
      <c r="AA46" s="21">
        <v>0</v>
      </c>
      <c r="AB46" s="21">
        <v>0</v>
      </c>
      <c r="AC46" s="21">
        <v>63053200</v>
      </c>
      <c r="AD46" s="21" t="s">
        <v>189</v>
      </c>
      <c r="AE46" s="23">
        <v>46239</v>
      </c>
      <c r="AF46" s="21">
        <v>0</v>
      </c>
      <c r="AG46" s="21">
        <v>0</v>
      </c>
      <c r="AH46" s="21"/>
      <c r="AI46" s="21">
        <v>0</v>
      </c>
      <c r="AJ46" s="21"/>
      <c r="AK46" s="21"/>
      <c r="AL46" s="21"/>
      <c r="AM46" s="21">
        <v>0</v>
      </c>
      <c r="AN46" s="21">
        <v>0</v>
      </c>
      <c r="AO46" s="21">
        <v>0</v>
      </c>
      <c r="AP46" s="21">
        <v>0</v>
      </c>
      <c r="AQ46" s="21">
        <v>0</v>
      </c>
      <c r="AR46" s="21">
        <v>0</v>
      </c>
      <c r="AS46" s="21">
        <v>0</v>
      </c>
      <c r="AT46" s="21">
        <v>0</v>
      </c>
      <c r="AU46" s="21"/>
      <c r="AV46" s="21" t="s">
        <v>236</v>
      </c>
      <c r="AW46" s="21" t="s">
        <v>202</v>
      </c>
      <c r="AX46" s="21" t="s">
        <v>186</v>
      </c>
      <c r="AY46" s="21" t="s">
        <v>187</v>
      </c>
      <c r="AZ46" s="21" t="s">
        <v>188</v>
      </c>
      <c r="BA46" s="21" t="s">
        <v>152</v>
      </c>
      <c r="BB46" s="21" t="s">
        <v>152</v>
      </c>
    </row>
    <row r="47" spans="1:54" x14ac:dyDescent="0.25">
      <c r="A47" s="22"/>
      <c r="B47" s="21" t="s">
        <v>167</v>
      </c>
      <c r="C47" s="21" t="s">
        <v>371</v>
      </c>
      <c r="D47" s="23">
        <v>46239</v>
      </c>
      <c r="E47" s="21" t="s">
        <v>204</v>
      </c>
      <c r="F47" s="21" t="s">
        <v>194</v>
      </c>
      <c r="G47" s="21" t="s">
        <v>309</v>
      </c>
      <c r="H47" s="21" t="s">
        <v>207</v>
      </c>
      <c r="I47" s="21">
        <v>2</v>
      </c>
      <c r="J47" s="21">
        <v>8210</v>
      </c>
      <c r="K47" s="21" t="s">
        <v>168</v>
      </c>
      <c r="L47" s="21">
        <v>1536912</v>
      </c>
      <c r="M47" s="21">
        <v>8210</v>
      </c>
      <c r="N47" s="21">
        <v>8210</v>
      </c>
      <c r="O47" s="21">
        <v>1536912</v>
      </c>
      <c r="P47" s="21" t="s">
        <v>200</v>
      </c>
      <c r="Q47" s="21" t="s">
        <v>200</v>
      </c>
      <c r="R47" s="21"/>
      <c r="S47" s="21"/>
      <c r="T47" s="21" t="s">
        <v>242</v>
      </c>
      <c r="U47" s="21">
        <v>93.6</v>
      </c>
      <c r="V47" s="21" t="s">
        <v>240</v>
      </c>
      <c r="W47" s="21"/>
      <c r="X47" s="21"/>
      <c r="Y47" s="21"/>
      <c r="Z47" s="21"/>
      <c r="AA47" s="21">
        <v>18</v>
      </c>
      <c r="AB47" s="21">
        <v>2955.6</v>
      </c>
      <c r="AC47" s="21">
        <v>63053200</v>
      </c>
      <c r="AD47" s="21">
        <v>28</v>
      </c>
      <c r="AE47" s="23">
        <v>46239</v>
      </c>
      <c r="AF47" s="21">
        <v>16420</v>
      </c>
      <c r="AG47" s="21">
        <v>1536912</v>
      </c>
      <c r="AH47" s="21" t="s">
        <v>243</v>
      </c>
      <c r="AI47" s="21">
        <v>16420</v>
      </c>
      <c r="AJ47" s="21"/>
      <c r="AK47" s="21"/>
      <c r="AL47" s="21">
        <v>6220250</v>
      </c>
      <c r="AM47" s="21">
        <v>0</v>
      </c>
      <c r="AN47" s="21">
        <v>0</v>
      </c>
      <c r="AO47" s="21">
        <v>0</v>
      </c>
      <c r="AP47" s="21">
        <v>0</v>
      </c>
      <c r="AQ47" s="21">
        <v>0</v>
      </c>
      <c r="AR47" s="21">
        <v>0</v>
      </c>
      <c r="AS47" s="21">
        <v>0</v>
      </c>
      <c r="AT47" s="21">
        <v>0</v>
      </c>
      <c r="AU47" s="21"/>
      <c r="AV47" s="21" t="s">
        <v>244</v>
      </c>
      <c r="AW47" s="21" t="s">
        <v>202</v>
      </c>
      <c r="AX47" s="21" t="s">
        <v>186</v>
      </c>
      <c r="AY47" s="21" t="s">
        <v>187</v>
      </c>
      <c r="AZ47" s="21" t="s">
        <v>188</v>
      </c>
      <c r="BA47" s="21" t="s">
        <v>152</v>
      </c>
      <c r="BB47" s="21" t="s">
        <v>162</v>
      </c>
    </row>
    <row r="48" spans="1:54" ht="15" customHeight="1" x14ac:dyDescent="0.25">
      <c r="A48" s="21"/>
      <c r="B48" s="21" t="s">
        <v>167</v>
      </c>
      <c r="C48" s="21">
        <v>455</v>
      </c>
      <c r="D48" s="23">
        <v>46240</v>
      </c>
      <c r="E48" s="21" t="s">
        <v>226</v>
      </c>
      <c r="F48" s="21" t="s">
        <v>587</v>
      </c>
      <c r="G48" s="21" t="s">
        <v>309</v>
      </c>
      <c r="H48" s="21" t="s">
        <v>588</v>
      </c>
      <c r="I48" s="21">
        <v>201.2</v>
      </c>
      <c r="J48" s="21">
        <v>19371</v>
      </c>
      <c r="K48" s="21" t="s">
        <v>168</v>
      </c>
      <c r="L48" s="21">
        <v>3897445.2</v>
      </c>
      <c r="M48" s="21">
        <v>19371</v>
      </c>
      <c r="N48" s="21">
        <v>19371</v>
      </c>
      <c r="O48" s="21">
        <v>4598985.34</v>
      </c>
      <c r="P48" s="21" t="s">
        <v>200</v>
      </c>
      <c r="Q48" s="21" t="s">
        <v>200</v>
      </c>
      <c r="R48" s="21"/>
      <c r="S48" s="21"/>
      <c r="T48" s="21" t="s">
        <v>229</v>
      </c>
      <c r="U48" s="21">
        <v>1</v>
      </c>
      <c r="V48" s="21"/>
      <c r="W48" s="21">
        <v>9</v>
      </c>
      <c r="X48" s="21">
        <v>350770.07</v>
      </c>
      <c r="Y48" s="21">
        <v>9</v>
      </c>
      <c r="Z48" s="21">
        <v>350770.07</v>
      </c>
      <c r="AA48" s="21">
        <v>0</v>
      </c>
      <c r="AB48" s="21">
        <v>0</v>
      </c>
      <c r="AC48" s="21">
        <v>63053200</v>
      </c>
      <c r="AD48" s="21" t="s">
        <v>189</v>
      </c>
      <c r="AE48" s="23">
        <v>46240</v>
      </c>
      <c r="AF48" s="21">
        <v>0</v>
      </c>
      <c r="AG48" s="21">
        <v>0</v>
      </c>
      <c r="AH48" s="21"/>
      <c r="AI48" s="21">
        <v>0</v>
      </c>
      <c r="AJ48" s="21"/>
      <c r="AK48" s="21"/>
      <c r="AL48" s="21"/>
      <c r="AM48" s="21">
        <v>0</v>
      </c>
      <c r="AN48" s="21">
        <v>0</v>
      </c>
      <c r="AO48" s="21">
        <v>0</v>
      </c>
      <c r="AP48" s="21">
        <v>0</v>
      </c>
      <c r="AQ48" s="21">
        <v>0</v>
      </c>
      <c r="AR48" s="21">
        <v>0</v>
      </c>
      <c r="AS48" s="21">
        <v>0</v>
      </c>
      <c r="AT48" s="21">
        <v>0</v>
      </c>
      <c r="AU48" s="21"/>
      <c r="AV48" s="21" t="s">
        <v>252</v>
      </c>
      <c r="AW48" s="21" t="s">
        <v>202</v>
      </c>
      <c r="AX48" s="21" t="s">
        <v>186</v>
      </c>
      <c r="AY48" s="21" t="s">
        <v>187</v>
      </c>
      <c r="AZ48" s="21" t="s">
        <v>188</v>
      </c>
      <c r="BA48" s="21" t="s">
        <v>152</v>
      </c>
      <c r="BB48" s="21" t="s">
        <v>152</v>
      </c>
    </row>
    <row r="49" spans="1:54" x14ac:dyDescent="0.25">
      <c r="A49" s="22"/>
      <c r="B49" s="21" t="s">
        <v>167</v>
      </c>
      <c r="C49" s="21">
        <v>456</v>
      </c>
      <c r="D49" s="23">
        <v>46240</v>
      </c>
      <c r="E49" s="21" t="s">
        <v>212</v>
      </c>
      <c r="F49" s="21" t="s">
        <v>174</v>
      </c>
      <c r="G49" s="21" t="s">
        <v>246</v>
      </c>
      <c r="H49" s="21" t="s">
        <v>296</v>
      </c>
      <c r="I49" s="21">
        <v>113.58</v>
      </c>
      <c r="J49" s="21">
        <v>297</v>
      </c>
      <c r="K49" s="21" t="s">
        <v>168</v>
      </c>
      <c r="L49" s="21">
        <v>33733.26</v>
      </c>
      <c r="M49" s="21">
        <v>297</v>
      </c>
      <c r="N49" s="21">
        <v>297</v>
      </c>
      <c r="O49" s="21">
        <v>39805.24</v>
      </c>
      <c r="P49" s="21" t="s">
        <v>200</v>
      </c>
      <c r="Q49" s="21" t="s">
        <v>232</v>
      </c>
      <c r="R49" s="21"/>
      <c r="S49" s="21"/>
      <c r="T49" s="21" t="s">
        <v>229</v>
      </c>
      <c r="U49" s="21">
        <v>1</v>
      </c>
      <c r="V49" s="21"/>
      <c r="W49" s="21">
        <v>9</v>
      </c>
      <c r="X49" s="21">
        <v>3035.99</v>
      </c>
      <c r="Y49" s="21">
        <v>9</v>
      </c>
      <c r="Z49" s="21">
        <v>3035.99</v>
      </c>
      <c r="AA49" s="21">
        <v>0</v>
      </c>
      <c r="AB49" s="21">
        <v>0</v>
      </c>
      <c r="AC49" s="21">
        <v>39269080</v>
      </c>
      <c r="AD49" s="21" t="s">
        <v>189</v>
      </c>
      <c r="AE49" s="23">
        <v>46240</v>
      </c>
      <c r="AF49" s="21">
        <v>0</v>
      </c>
      <c r="AG49" s="21">
        <v>0</v>
      </c>
      <c r="AH49" s="21"/>
      <c r="AI49" s="21">
        <v>0</v>
      </c>
      <c r="AJ49" s="21"/>
      <c r="AK49" s="21"/>
      <c r="AL49" s="21"/>
      <c r="AM49" s="21">
        <v>0</v>
      </c>
      <c r="AN49" s="21">
        <v>0</v>
      </c>
      <c r="AO49" s="21">
        <v>0</v>
      </c>
      <c r="AP49" s="21">
        <v>0</v>
      </c>
      <c r="AQ49" s="21">
        <v>0</v>
      </c>
      <c r="AR49" s="21">
        <v>0</v>
      </c>
      <c r="AS49" s="21">
        <v>0</v>
      </c>
      <c r="AT49" s="21">
        <v>0</v>
      </c>
      <c r="AU49" s="21"/>
      <c r="AV49" s="21" t="s">
        <v>236</v>
      </c>
      <c r="AW49" s="21" t="s">
        <v>202</v>
      </c>
      <c r="AX49" s="21" t="s">
        <v>234</v>
      </c>
      <c r="AY49" s="21" t="s">
        <v>153</v>
      </c>
      <c r="AZ49" s="21" t="s">
        <v>188</v>
      </c>
      <c r="BA49" s="21" t="s">
        <v>153</v>
      </c>
      <c r="BB49" s="21" t="s">
        <v>153</v>
      </c>
    </row>
    <row r="50" spans="1:54" x14ac:dyDescent="0.25">
      <c r="A50" s="22"/>
      <c r="B50" s="21" t="s">
        <v>167</v>
      </c>
      <c r="C50" s="21">
        <v>457</v>
      </c>
      <c r="D50" s="23">
        <v>46240</v>
      </c>
      <c r="E50" s="21" t="s">
        <v>212</v>
      </c>
      <c r="F50" s="21" t="s">
        <v>251</v>
      </c>
      <c r="G50" s="21" t="s">
        <v>259</v>
      </c>
      <c r="H50" s="21" t="s">
        <v>196</v>
      </c>
      <c r="I50" s="21">
        <v>277</v>
      </c>
      <c r="J50" s="21">
        <v>7.53</v>
      </c>
      <c r="K50" s="21" t="s">
        <v>168</v>
      </c>
      <c r="L50" s="21">
        <v>2085.81</v>
      </c>
      <c r="M50" s="21">
        <v>7.53</v>
      </c>
      <c r="N50" s="21">
        <v>7.53</v>
      </c>
      <c r="O50" s="21">
        <v>2461.25</v>
      </c>
      <c r="P50" s="21" t="s">
        <v>237</v>
      </c>
      <c r="Q50" s="21" t="s">
        <v>237</v>
      </c>
      <c r="R50" s="21"/>
      <c r="S50" s="21"/>
      <c r="T50" s="21" t="s">
        <v>229</v>
      </c>
      <c r="U50" s="21">
        <v>1</v>
      </c>
      <c r="V50" s="21"/>
      <c r="W50" s="21">
        <v>9</v>
      </c>
      <c r="X50" s="21">
        <v>187.72</v>
      </c>
      <c r="Y50" s="21">
        <v>9</v>
      </c>
      <c r="Z50" s="21">
        <v>187.72</v>
      </c>
      <c r="AA50" s="21">
        <v>0</v>
      </c>
      <c r="AB50" s="21">
        <v>0</v>
      </c>
      <c r="AC50" s="21">
        <v>39201019</v>
      </c>
      <c r="AD50" s="21" t="s">
        <v>189</v>
      </c>
      <c r="AE50" s="23">
        <v>46240</v>
      </c>
      <c r="AF50" s="21">
        <v>0</v>
      </c>
      <c r="AG50" s="21">
        <v>0</v>
      </c>
      <c r="AH50" s="21"/>
      <c r="AI50" s="21">
        <v>0</v>
      </c>
      <c r="AJ50" s="21"/>
      <c r="AK50" s="21"/>
      <c r="AL50" s="21"/>
      <c r="AM50" s="21">
        <v>0</v>
      </c>
      <c r="AN50" s="21">
        <v>0</v>
      </c>
      <c r="AO50" s="21">
        <v>0</v>
      </c>
      <c r="AP50" s="21">
        <v>0</v>
      </c>
      <c r="AQ50" s="21">
        <v>0</v>
      </c>
      <c r="AR50" s="21">
        <v>0</v>
      </c>
      <c r="AS50" s="21">
        <v>0</v>
      </c>
      <c r="AT50" s="21">
        <v>0</v>
      </c>
      <c r="AU50" s="21"/>
      <c r="AV50" s="21" t="s">
        <v>236</v>
      </c>
      <c r="AW50" s="21" t="s">
        <v>202</v>
      </c>
      <c r="AX50" s="21" t="s">
        <v>195</v>
      </c>
      <c r="AY50" s="21" t="s">
        <v>196</v>
      </c>
      <c r="AZ50" s="21" t="s">
        <v>169</v>
      </c>
      <c r="BA50" s="21" t="s">
        <v>197</v>
      </c>
      <c r="BB50" s="21" t="s">
        <v>158</v>
      </c>
    </row>
    <row r="51" spans="1:54" x14ac:dyDescent="0.25">
      <c r="A51" s="22"/>
      <c r="B51" s="21" t="s">
        <v>167</v>
      </c>
      <c r="C51" s="21">
        <v>458</v>
      </c>
      <c r="D51" s="23">
        <v>46241</v>
      </c>
      <c r="E51" s="21" t="s">
        <v>210</v>
      </c>
      <c r="F51" s="21" t="s">
        <v>589</v>
      </c>
      <c r="G51" s="21" t="s">
        <v>590</v>
      </c>
      <c r="H51" s="21" t="s">
        <v>387</v>
      </c>
      <c r="I51" s="21">
        <v>255.67</v>
      </c>
      <c r="J51" s="21">
        <v>22263</v>
      </c>
      <c r="K51" s="21" t="s">
        <v>168</v>
      </c>
      <c r="L51" s="21">
        <v>5691981.21</v>
      </c>
      <c r="M51" s="21">
        <v>22263</v>
      </c>
      <c r="N51" s="21">
        <v>22263</v>
      </c>
      <c r="O51" s="21">
        <v>6716537.8300000001</v>
      </c>
      <c r="P51" s="21" t="s">
        <v>200</v>
      </c>
      <c r="Q51" s="21" t="s">
        <v>200</v>
      </c>
      <c r="R51" s="21"/>
      <c r="S51" s="21"/>
      <c r="T51" s="21" t="s">
        <v>229</v>
      </c>
      <c r="U51" s="21">
        <v>1</v>
      </c>
      <c r="V51" s="21"/>
      <c r="W51" s="21">
        <v>9</v>
      </c>
      <c r="X51" s="21">
        <v>512278.31</v>
      </c>
      <c r="Y51" s="21">
        <v>9</v>
      </c>
      <c r="Z51" s="21">
        <v>512278.31</v>
      </c>
      <c r="AA51" s="21">
        <v>0</v>
      </c>
      <c r="AB51" s="21">
        <v>0</v>
      </c>
      <c r="AC51" s="21">
        <v>39232999</v>
      </c>
      <c r="AD51" s="21" t="s">
        <v>189</v>
      </c>
      <c r="AE51" s="23">
        <v>46241</v>
      </c>
      <c r="AF51" s="21">
        <v>0</v>
      </c>
      <c r="AG51" s="21">
        <v>0</v>
      </c>
      <c r="AH51" s="21"/>
      <c r="AI51" s="21">
        <v>0</v>
      </c>
      <c r="AJ51" s="21"/>
      <c r="AK51" s="21"/>
      <c r="AL51" s="21"/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/>
      <c r="AV51" s="21" t="s">
        <v>248</v>
      </c>
      <c r="AW51" s="21" t="s">
        <v>202</v>
      </c>
      <c r="AX51" s="21" t="s">
        <v>186</v>
      </c>
      <c r="AY51" s="21" t="s">
        <v>187</v>
      </c>
      <c r="AZ51" s="21" t="s">
        <v>188</v>
      </c>
      <c r="BA51" s="21" t="s">
        <v>152</v>
      </c>
      <c r="BB51" s="21" t="s">
        <v>152</v>
      </c>
    </row>
    <row r="52" spans="1:54" x14ac:dyDescent="0.25">
      <c r="A52" s="22"/>
      <c r="B52" s="21" t="s">
        <v>167</v>
      </c>
      <c r="C52" s="21">
        <v>459</v>
      </c>
      <c r="D52" s="23">
        <v>46241</v>
      </c>
      <c r="E52" s="21" t="s">
        <v>210</v>
      </c>
      <c r="F52" s="21" t="s">
        <v>580</v>
      </c>
      <c r="G52" s="21" t="s">
        <v>590</v>
      </c>
      <c r="H52" s="21" t="s">
        <v>389</v>
      </c>
      <c r="I52" s="21">
        <v>210.44</v>
      </c>
      <c r="J52" s="21">
        <v>19764</v>
      </c>
      <c r="K52" s="21" t="s">
        <v>168</v>
      </c>
      <c r="L52" s="21">
        <v>4159136.16</v>
      </c>
      <c r="M52" s="21">
        <v>19764</v>
      </c>
      <c r="N52" s="21">
        <v>19764</v>
      </c>
      <c r="O52" s="21">
        <v>4907780.66</v>
      </c>
      <c r="P52" s="21" t="s">
        <v>200</v>
      </c>
      <c r="Q52" s="21" t="s">
        <v>200</v>
      </c>
      <c r="R52" s="21"/>
      <c r="S52" s="21"/>
      <c r="T52" s="21" t="s">
        <v>229</v>
      </c>
      <c r="U52" s="21">
        <v>1</v>
      </c>
      <c r="V52" s="21"/>
      <c r="W52" s="21">
        <v>9</v>
      </c>
      <c r="X52" s="21">
        <v>374322.25</v>
      </c>
      <c r="Y52" s="21">
        <v>9</v>
      </c>
      <c r="Z52" s="21">
        <v>374322.25</v>
      </c>
      <c r="AA52" s="21">
        <v>0</v>
      </c>
      <c r="AB52" s="21">
        <v>0</v>
      </c>
      <c r="AC52" s="21">
        <v>39232999</v>
      </c>
      <c r="AD52" s="21" t="s">
        <v>189</v>
      </c>
      <c r="AE52" s="23">
        <v>46241</v>
      </c>
      <c r="AF52" s="21">
        <v>0</v>
      </c>
      <c r="AG52" s="21">
        <v>0</v>
      </c>
      <c r="AH52" s="21"/>
      <c r="AI52" s="21">
        <v>0</v>
      </c>
      <c r="AJ52" s="21"/>
      <c r="AK52" s="21"/>
      <c r="AL52" s="21"/>
      <c r="AM52" s="21">
        <v>0</v>
      </c>
      <c r="AN52" s="21">
        <v>0</v>
      </c>
      <c r="AO52" s="21">
        <v>0</v>
      </c>
      <c r="AP52" s="21">
        <v>0</v>
      </c>
      <c r="AQ52" s="21">
        <v>0</v>
      </c>
      <c r="AR52" s="21">
        <v>0</v>
      </c>
      <c r="AS52" s="21">
        <v>0</v>
      </c>
      <c r="AT52" s="21">
        <v>0</v>
      </c>
      <c r="AU52" s="21"/>
      <c r="AV52" s="21" t="s">
        <v>248</v>
      </c>
      <c r="AW52" s="21" t="s">
        <v>202</v>
      </c>
      <c r="AX52" s="21" t="s">
        <v>186</v>
      </c>
      <c r="AY52" s="21" t="s">
        <v>187</v>
      </c>
      <c r="AZ52" s="21" t="s">
        <v>188</v>
      </c>
      <c r="BA52" s="21" t="s">
        <v>152</v>
      </c>
      <c r="BB52" s="21" t="s">
        <v>152</v>
      </c>
    </row>
    <row r="53" spans="1:54" x14ac:dyDescent="0.25">
      <c r="A53" s="22"/>
      <c r="B53" s="21" t="s">
        <v>167</v>
      </c>
      <c r="C53" s="21">
        <v>460</v>
      </c>
      <c r="D53" s="23">
        <v>46241</v>
      </c>
      <c r="E53" s="21" t="s">
        <v>212</v>
      </c>
      <c r="F53" s="21" t="s">
        <v>591</v>
      </c>
      <c r="G53" s="21" t="s">
        <v>246</v>
      </c>
      <c r="H53" s="21" t="s">
        <v>391</v>
      </c>
      <c r="I53" s="21">
        <v>129.93</v>
      </c>
      <c r="J53" s="21">
        <v>750</v>
      </c>
      <c r="K53" s="21" t="s">
        <v>168</v>
      </c>
      <c r="L53" s="21">
        <v>97447.5</v>
      </c>
      <c r="M53" s="21">
        <v>750</v>
      </c>
      <c r="N53" s="21">
        <v>750</v>
      </c>
      <c r="O53" s="21">
        <v>151234.20000000001</v>
      </c>
      <c r="P53" s="21" t="s">
        <v>232</v>
      </c>
      <c r="Q53" s="21" t="s">
        <v>232</v>
      </c>
      <c r="R53" s="21"/>
      <c r="S53" s="21"/>
      <c r="T53" s="21" t="s">
        <v>229</v>
      </c>
      <c r="U53" s="21">
        <v>1</v>
      </c>
      <c r="V53" s="21"/>
      <c r="W53" s="21">
        <v>9</v>
      </c>
      <c r="X53" s="21">
        <v>8770.2800000000007</v>
      </c>
      <c r="Y53" s="21">
        <v>9</v>
      </c>
      <c r="Z53" s="21">
        <v>8770.2800000000007</v>
      </c>
      <c r="AA53" s="21">
        <v>0</v>
      </c>
      <c r="AB53" s="21">
        <v>0</v>
      </c>
      <c r="AC53" s="21">
        <v>39269080</v>
      </c>
      <c r="AD53" s="21" t="s">
        <v>189</v>
      </c>
      <c r="AE53" s="23">
        <v>46241</v>
      </c>
      <c r="AF53" s="21">
        <v>0</v>
      </c>
      <c r="AG53" s="21">
        <v>0</v>
      </c>
      <c r="AH53" s="21"/>
      <c r="AI53" s="21">
        <v>0</v>
      </c>
      <c r="AJ53" s="21"/>
      <c r="AK53" s="21"/>
      <c r="AL53" s="21"/>
      <c r="AM53" s="21">
        <v>0</v>
      </c>
      <c r="AN53" s="21">
        <v>0</v>
      </c>
      <c r="AO53" s="21">
        <v>0</v>
      </c>
      <c r="AP53" s="21">
        <v>0</v>
      </c>
      <c r="AQ53" s="21">
        <v>0</v>
      </c>
      <c r="AR53" s="21">
        <v>0</v>
      </c>
      <c r="AS53" s="21">
        <v>0</v>
      </c>
      <c r="AT53" s="21">
        <v>0</v>
      </c>
      <c r="AU53" s="21"/>
      <c r="AV53" s="21" t="s">
        <v>236</v>
      </c>
      <c r="AW53" s="21" t="s">
        <v>202</v>
      </c>
      <c r="AX53" s="21" t="s">
        <v>177</v>
      </c>
      <c r="AY53" s="21" t="s">
        <v>178</v>
      </c>
      <c r="AZ53" s="21" t="s">
        <v>169</v>
      </c>
      <c r="BA53" s="21" t="s">
        <v>179</v>
      </c>
      <c r="BB53" s="21" t="s">
        <v>156</v>
      </c>
    </row>
    <row r="54" spans="1:54" x14ac:dyDescent="0.25">
      <c r="A54" s="22"/>
      <c r="B54" s="21" t="s">
        <v>167</v>
      </c>
      <c r="C54" s="21">
        <v>460</v>
      </c>
      <c r="D54" s="23">
        <v>46241</v>
      </c>
      <c r="E54" s="21" t="s">
        <v>212</v>
      </c>
      <c r="F54" s="21" t="s">
        <v>591</v>
      </c>
      <c r="G54" s="21" t="s">
        <v>246</v>
      </c>
      <c r="H54" s="21" t="s">
        <v>392</v>
      </c>
      <c r="I54" s="21">
        <v>126.93</v>
      </c>
      <c r="J54" s="21">
        <v>242</v>
      </c>
      <c r="K54" s="21" t="s">
        <v>168</v>
      </c>
      <c r="L54" s="21">
        <v>30717.06</v>
      </c>
      <c r="M54" s="21">
        <v>242</v>
      </c>
      <c r="N54" s="21">
        <v>242</v>
      </c>
      <c r="O54" s="21">
        <v>0</v>
      </c>
      <c r="P54" s="21" t="s">
        <v>232</v>
      </c>
      <c r="Q54" s="21" t="s">
        <v>232</v>
      </c>
      <c r="R54" s="21"/>
      <c r="S54" s="21"/>
      <c r="T54" s="21" t="s">
        <v>229</v>
      </c>
      <c r="U54" s="21">
        <v>1</v>
      </c>
      <c r="V54" s="21"/>
      <c r="W54" s="21">
        <v>9</v>
      </c>
      <c r="X54" s="21">
        <v>2764.54</v>
      </c>
      <c r="Y54" s="21">
        <v>9</v>
      </c>
      <c r="Z54" s="21">
        <v>2764.54</v>
      </c>
      <c r="AA54" s="21">
        <v>0</v>
      </c>
      <c r="AB54" s="21">
        <v>0</v>
      </c>
      <c r="AC54" s="21">
        <v>39269080</v>
      </c>
      <c r="AD54" s="21" t="s">
        <v>189</v>
      </c>
      <c r="AE54" s="23">
        <v>46241</v>
      </c>
      <c r="AF54" s="21">
        <v>0</v>
      </c>
      <c r="AG54" s="21">
        <v>0</v>
      </c>
      <c r="AH54" s="21"/>
      <c r="AI54" s="21">
        <v>0</v>
      </c>
      <c r="AJ54" s="21"/>
      <c r="AK54" s="21"/>
      <c r="AL54" s="21"/>
      <c r="AM54" s="21">
        <v>0</v>
      </c>
      <c r="AN54" s="21">
        <v>0</v>
      </c>
      <c r="AO54" s="21">
        <v>0</v>
      </c>
      <c r="AP54" s="21">
        <v>0</v>
      </c>
      <c r="AQ54" s="21">
        <v>0</v>
      </c>
      <c r="AR54" s="21">
        <v>0</v>
      </c>
      <c r="AS54" s="21">
        <v>0</v>
      </c>
      <c r="AT54" s="21">
        <v>0</v>
      </c>
      <c r="AU54" s="21"/>
      <c r="AV54" s="21" t="s">
        <v>236</v>
      </c>
      <c r="AW54" s="21" t="s">
        <v>202</v>
      </c>
      <c r="AX54" s="21" t="s">
        <v>177</v>
      </c>
      <c r="AY54" s="21" t="s">
        <v>178</v>
      </c>
      <c r="AZ54" s="21" t="s">
        <v>169</v>
      </c>
      <c r="BA54" s="21" t="s">
        <v>179</v>
      </c>
      <c r="BB54" s="21" t="s">
        <v>156</v>
      </c>
    </row>
    <row r="55" spans="1:54" x14ac:dyDescent="0.25">
      <c r="A55" s="22"/>
      <c r="B55" s="21" t="s">
        <v>167</v>
      </c>
      <c r="C55" s="21">
        <v>462</v>
      </c>
      <c r="D55" s="23">
        <v>46241</v>
      </c>
      <c r="E55" s="21" t="s">
        <v>198</v>
      </c>
      <c r="F55" s="21" t="s">
        <v>254</v>
      </c>
      <c r="G55" s="21" t="s">
        <v>246</v>
      </c>
      <c r="H55" s="21" t="s">
        <v>384</v>
      </c>
      <c r="I55" s="21">
        <v>137.58000000000001</v>
      </c>
      <c r="J55" s="21">
        <v>505</v>
      </c>
      <c r="K55" s="21" t="s">
        <v>168</v>
      </c>
      <c r="L55" s="21">
        <v>69477.899999999994</v>
      </c>
      <c r="M55" s="21">
        <v>505</v>
      </c>
      <c r="N55" s="21">
        <v>515</v>
      </c>
      <c r="O55" s="21">
        <v>106888.58</v>
      </c>
      <c r="P55" s="21" t="s">
        <v>232</v>
      </c>
      <c r="Q55" s="21" t="s">
        <v>232</v>
      </c>
      <c r="R55" s="21"/>
      <c r="S55" s="21"/>
      <c r="T55" s="21" t="s">
        <v>229</v>
      </c>
      <c r="U55" s="21">
        <v>1</v>
      </c>
      <c r="V55" s="21"/>
      <c r="W55" s="21">
        <v>9</v>
      </c>
      <c r="X55" s="21">
        <v>6253.01</v>
      </c>
      <c r="Y55" s="21">
        <v>9</v>
      </c>
      <c r="Z55" s="21">
        <v>6253.01</v>
      </c>
      <c r="AA55" s="21">
        <v>0</v>
      </c>
      <c r="AB55" s="21">
        <v>0</v>
      </c>
      <c r="AC55" s="21">
        <v>39269080</v>
      </c>
      <c r="AD55" s="21" t="s">
        <v>245</v>
      </c>
      <c r="AE55" s="23">
        <v>46241</v>
      </c>
      <c r="AF55" s="21">
        <v>0</v>
      </c>
      <c r="AG55" s="21">
        <v>0</v>
      </c>
      <c r="AH55" s="21"/>
      <c r="AI55" s="21">
        <v>0</v>
      </c>
      <c r="AJ55" s="21"/>
      <c r="AK55" s="21"/>
      <c r="AL55" s="21"/>
      <c r="AM55" s="21">
        <v>0</v>
      </c>
      <c r="AN55" s="21">
        <v>0</v>
      </c>
      <c r="AO55" s="21">
        <v>0</v>
      </c>
      <c r="AP55" s="21">
        <v>0</v>
      </c>
      <c r="AQ55" s="21">
        <v>0</v>
      </c>
      <c r="AR55" s="21">
        <v>0</v>
      </c>
      <c r="AS55" s="21">
        <v>0</v>
      </c>
      <c r="AT55" s="21">
        <v>0</v>
      </c>
      <c r="AU55" s="21"/>
      <c r="AV55" s="21" t="s">
        <v>230</v>
      </c>
      <c r="AW55" s="21" t="s">
        <v>202</v>
      </c>
      <c r="AX55" s="21" t="s">
        <v>177</v>
      </c>
      <c r="AY55" s="21" t="s">
        <v>178</v>
      </c>
      <c r="AZ55" s="21" t="s">
        <v>169</v>
      </c>
      <c r="BA55" s="21" t="s">
        <v>179</v>
      </c>
      <c r="BB55" s="21" t="s">
        <v>156</v>
      </c>
    </row>
    <row r="56" spans="1:54" x14ac:dyDescent="0.25">
      <c r="A56" s="22"/>
      <c r="B56" s="21" t="s">
        <v>167</v>
      </c>
      <c r="C56" s="21">
        <v>462</v>
      </c>
      <c r="D56" s="23">
        <v>46241</v>
      </c>
      <c r="E56" s="21" t="s">
        <v>198</v>
      </c>
      <c r="F56" s="21" t="s">
        <v>254</v>
      </c>
      <c r="G56" s="21" t="s">
        <v>231</v>
      </c>
      <c r="H56" s="21" t="s">
        <v>262</v>
      </c>
      <c r="I56" s="21">
        <v>133.58000000000001</v>
      </c>
      <c r="J56" s="21">
        <v>158</v>
      </c>
      <c r="K56" s="21" t="s">
        <v>168</v>
      </c>
      <c r="L56" s="21">
        <v>21105.64</v>
      </c>
      <c r="M56" s="21">
        <v>158</v>
      </c>
      <c r="N56" s="21">
        <v>158</v>
      </c>
      <c r="O56" s="21">
        <v>0</v>
      </c>
      <c r="P56" s="21" t="s">
        <v>232</v>
      </c>
      <c r="Q56" s="21" t="s">
        <v>232</v>
      </c>
      <c r="R56" s="21"/>
      <c r="S56" s="21"/>
      <c r="T56" s="21" t="s">
        <v>229</v>
      </c>
      <c r="U56" s="21">
        <v>1</v>
      </c>
      <c r="V56" s="21"/>
      <c r="W56" s="21">
        <v>9</v>
      </c>
      <c r="X56" s="21">
        <v>1899.51</v>
      </c>
      <c r="Y56" s="21">
        <v>9</v>
      </c>
      <c r="Z56" s="21">
        <v>1899.51</v>
      </c>
      <c r="AA56" s="21">
        <v>0</v>
      </c>
      <c r="AB56" s="21">
        <v>0</v>
      </c>
      <c r="AC56" s="21">
        <v>39269080</v>
      </c>
      <c r="AD56" s="21" t="s">
        <v>245</v>
      </c>
      <c r="AE56" s="23">
        <v>46241</v>
      </c>
      <c r="AF56" s="21">
        <v>0</v>
      </c>
      <c r="AG56" s="21">
        <v>0</v>
      </c>
      <c r="AH56" s="21"/>
      <c r="AI56" s="21">
        <v>0</v>
      </c>
      <c r="AJ56" s="21"/>
      <c r="AK56" s="21"/>
      <c r="AL56" s="21"/>
      <c r="AM56" s="21">
        <v>0</v>
      </c>
      <c r="AN56" s="21">
        <v>0</v>
      </c>
      <c r="AO56" s="21">
        <v>0</v>
      </c>
      <c r="AP56" s="21">
        <v>0</v>
      </c>
      <c r="AQ56" s="21">
        <v>0</v>
      </c>
      <c r="AR56" s="21">
        <v>0</v>
      </c>
      <c r="AS56" s="21">
        <v>0</v>
      </c>
      <c r="AT56" s="21">
        <v>0</v>
      </c>
      <c r="AU56" s="21"/>
      <c r="AV56" s="21" t="s">
        <v>230</v>
      </c>
      <c r="AW56" s="21" t="s">
        <v>202</v>
      </c>
      <c r="AX56" s="21" t="s">
        <v>234</v>
      </c>
      <c r="AY56" s="21" t="s">
        <v>153</v>
      </c>
      <c r="AZ56" s="21" t="s">
        <v>188</v>
      </c>
      <c r="BA56" s="21" t="s">
        <v>153</v>
      </c>
      <c r="BB56" s="21" t="s">
        <v>153</v>
      </c>
    </row>
    <row r="57" spans="1:54" x14ac:dyDescent="0.25">
      <c r="A57" s="22"/>
      <c r="B57" s="21" t="s">
        <v>167</v>
      </c>
      <c r="C57" s="21" t="s">
        <v>385</v>
      </c>
      <c r="D57" s="23">
        <v>46241</v>
      </c>
      <c r="E57" s="21" t="s">
        <v>204</v>
      </c>
      <c r="F57" s="21" t="s">
        <v>591</v>
      </c>
      <c r="G57" s="21" t="s">
        <v>303</v>
      </c>
      <c r="H57" s="21" t="s">
        <v>183</v>
      </c>
      <c r="I57" s="21">
        <v>1.1499999999999999</v>
      </c>
      <c r="J57" s="21">
        <v>280</v>
      </c>
      <c r="K57" s="21" t="s">
        <v>168</v>
      </c>
      <c r="L57" s="21">
        <v>28851.199999999899</v>
      </c>
      <c r="M57" s="21">
        <v>280</v>
      </c>
      <c r="N57" s="21">
        <v>290</v>
      </c>
      <c r="O57" s="21">
        <v>28851.199999999899</v>
      </c>
      <c r="P57" s="21" t="s">
        <v>232</v>
      </c>
      <c r="Q57" s="21" t="s">
        <v>232</v>
      </c>
      <c r="R57" s="21"/>
      <c r="S57" s="21"/>
      <c r="T57" s="21" t="s">
        <v>242</v>
      </c>
      <c r="U57" s="21">
        <v>89.6</v>
      </c>
      <c r="V57" s="21" t="s">
        <v>240</v>
      </c>
      <c r="W57" s="21"/>
      <c r="X57" s="21"/>
      <c r="Y57" s="21"/>
      <c r="Z57" s="21"/>
      <c r="AA57" s="21">
        <v>18</v>
      </c>
      <c r="AB57" s="21">
        <v>57.96</v>
      </c>
      <c r="AC57" s="21">
        <v>39269080</v>
      </c>
      <c r="AD57" s="21" t="s">
        <v>189</v>
      </c>
      <c r="AE57" s="23">
        <v>46241</v>
      </c>
      <c r="AF57" s="21">
        <v>322</v>
      </c>
      <c r="AG57" s="21">
        <v>28851.199999999899</v>
      </c>
      <c r="AH57" s="21" t="s">
        <v>243</v>
      </c>
      <c r="AI57" s="21">
        <v>322</v>
      </c>
      <c r="AJ57" s="21"/>
      <c r="AK57" s="21"/>
      <c r="AL57" s="21">
        <v>6220250</v>
      </c>
      <c r="AM57" s="21">
        <v>0</v>
      </c>
      <c r="AN57" s="21">
        <v>0</v>
      </c>
      <c r="AO57" s="21">
        <v>0</v>
      </c>
      <c r="AP57" s="21">
        <v>0</v>
      </c>
      <c r="AQ57" s="21">
        <v>0</v>
      </c>
      <c r="AR57" s="21">
        <v>0</v>
      </c>
      <c r="AS57" s="21">
        <v>0</v>
      </c>
      <c r="AT57" s="21">
        <v>0</v>
      </c>
      <c r="AU57" s="21"/>
      <c r="AV57" s="21" t="s">
        <v>244</v>
      </c>
      <c r="AW57" s="21" t="s">
        <v>202</v>
      </c>
      <c r="AX57" s="21" t="s">
        <v>182</v>
      </c>
      <c r="AY57" s="21" t="s">
        <v>183</v>
      </c>
      <c r="AZ57" s="21" t="s">
        <v>169</v>
      </c>
      <c r="BA57" s="21" t="s">
        <v>179</v>
      </c>
      <c r="BB57" s="21" t="s">
        <v>297</v>
      </c>
    </row>
    <row r="58" spans="1:54" x14ac:dyDescent="0.25">
      <c r="A58" s="22"/>
      <c r="B58" s="21" t="s">
        <v>167</v>
      </c>
      <c r="C58" s="21">
        <v>465</v>
      </c>
      <c r="D58" s="23">
        <v>46242</v>
      </c>
      <c r="E58" s="21" t="s">
        <v>210</v>
      </c>
      <c r="F58" s="21" t="s">
        <v>592</v>
      </c>
      <c r="G58" s="21" t="s">
        <v>590</v>
      </c>
      <c r="H58" s="21" t="s">
        <v>399</v>
      </c>
      <c r="I58" s="21">
        <v>249.41</v>
      </c>
      <c r="J58" s="21">
        <v>3171</v>
      </c>
      <c r="K58" s="21" t="s">
        <v>168</v>
      </c>
      <c r="L58" s="21">
        <v>790879.11</v>
      </c>
      <c r="M58" s="21">
        <v>3171</v>
      </c>
      <c r="N58" s="21">
        <v>3171</v>
      </c>
      <c r="O58" s="21">
        <v>4890949.91</v>
      </c>
      <c r="P58" s="21" t="s">
        <v>200</v>
      </c>
      <c r="Q58" s="21" t="s">
        <v>200</v>
      </c>
      <c r="R58" s="21"/>
      <c r="S58" s="21"/>
      <c r="T58" s="21" t="s">
        <v>229</v>
      </c>
      <c r="U58" s="21">
        <v>1</v>
      </c>
      <c r="V58" s="21"/>
      <c r="W58" s="21">
        <v>9</v>
      </c>
      <c r="X58" s="21">
        <v>71179.12</v>
      </c>
      <c r="Y58" s="21">
        <v>9</v>
      </c>
      <c r="Z58" s="21">
        <v>71179.12</v>
      </c>
      <c r="AA58" s="21">
        <v>0</v>
      </c>
      <c r="AB58" s="21">
        <v>0</v>
      </c>
      <c r="AC58" s="21">
        <v>39232999</v>
      </c>
      <c r="AD58" s="21" t="s">
        <v>189</v>
      </c>
      <c r="AE58" s="23">
        <v>46242</v>
      </c>
      <c r="AF58" s="21">
        <v>0</v>
      </c>
      <c r="AG58" s="21">
        <v>0</v>
      </c>
      <c r="AH58" s="21"/>
      <c r="AI58" s="21">
        <v>0</v>
      </c>
      <c r="AJ58" s="21"/>
      <c r="AK58" s="21"/>
      <c r="AL58" s="21"/>
      <c r="AM58" s="21">
        <v>0</v>
      </c>
      <c r="AN58" s="21">
        <v>0</v>
      </c>
      <c r="AO58" s="21">
        <v>0</v>
      </c>
      <c r="AP58" s="21">
        <v>0</v>
      </c>
      <c r="AQ58" s="21">
        <v>0</v>
      </c>
      <c r="AR58" s="21">
        <v>0</v>
      </c>
      <c r="AS58" s="21">
        <v>0</v>
      </c>
      <c r="AT58" s="21">
        <v>0</v>
      </c>
      <c r="AU58" s="21"/>
      <c r="AV58" s="21" t="s">
        <v>248</v>
      </c>
      <c r="AW58" s="21" t="s">
        <v>202</v>
      </c>
      <c r="AX58" s="21" t="s">
        <v>190</v>
      </c>
      <c r="AY58" s="21" t="s">
        <v>191</v>
      </c>
      <c r="AZ58" s="21" t="s">
        <v>188</v>
      </c>
      <c r="BA58" s="21" t="s">
        <v>152</v>
      </c>
      <c r="BB58" s="21" t="s">
        <v>152</v>
      </c>
    </row>
    <row r="59" spans="1:54" x14ac:dyDescent="0.25">
      <c r="A59" s="22"/>
      <c r="B59" s="21" t="s">
        <v>167</v>
      </c>
      <c r="C59" s="21">
        <v>465</v>
      </c>
      <c r="D59" s="23">
        <v>46242</v>
      </c>
      <c r="E59" s="21" t="s">
        <v>210</v>
      </c>
      <c r="F59" s="21" t="s">
        <v>592</v>
      </c>
      <c r="G59" s="21" t="s">
        <v>590</v>
      </c>
      <c r="H59" s="21" t="s">
        <v>400</v>
      </c>
      <c r="I59" s="21">
        <v>251.38</v>
      </c>
      <c r="J59" s="21">
        <v>1633</v>
      </c>
      <c r="K59" s="21" t="s">
        <v>168</v>
      </c>
      <c r="L59" s="21">
        <v>410503.54</v>
      </c>
      <c r="M59" s="21">
        <v>1633</v>
      </c>
      <c r="N59" s="21">
        <v>1633</v>
      </c>
      <c r="O59" s="21">
        <v>0</v>
      </c>
      <c r="P59" s="21" t="s">
        <v>200</v>
      </c>
      <c r="Q59" s="21" t="s">
        <v>200</v>
      </c>
      <c r="R59" s="21"/>
      <c r="S59" s="21"/>
      <c r="T59" s="21" t="s">
        <v>229</v>
      </c>
      <c r="U59" s="21">
        <v>1</v>
      </c>
      <c r="V59" s="21"/>
      <c r="W59" s="21">
        <v>9</v>
      </c>
      <c r="X59" s="21">
        <v>36945.32</v>
      </c>
      <c r="Y59" s="21">
        <v>9</v>
      </c>
      <c r="Z59" s="21">
        <v>36945.32</v>
      </c>
      <c r="AA59" s="21">
        <v>0</v>
      </c>
      <c r="AB59" s="21">
        <v>0</v>
      </c>
      <c r="AC59" s="21">
        <v>39232999</v>
      </c>
      <c r="AD59" s="21" t="s">
        <v>189</v>
      </c>
      <c r="AE59" s="23">
        <v>46242</v>
      </c>
      <c r="AF59" s="21">
        <v>0</v>
      </c>
      <c r="AG59" s="21">
        <v>0</v>
      </c>
      <c r="AH59" s="21"/>
      <c r="AI59" s="21">
        <v>0</v>
      </c>
      <c r="AJ59" s="21"/>
      <c r="AK59" s="21"/>
      <c r="AL59" s="21"/>
      <c r="AM59" s="21">
        <v>0</v>
      </c>
      <c r="AN59" s="21">
        <v>0</v>
      </c>
      <c r="AO59" s="21">
        <v>0</v>
      </c>
      <c r="AP59" s="21">
        <v>0</v>
      </c>
      <c r="AQ59" s="21">
        <v>0</v>
      </c>
      <c r="AR59" s="21">
        <v>0</v>
      </c>
      <c r="AS59" s="21">
        <v>0</v>
      </c>
      <c r="AT59" s="21">
        <v>0</v>
      </c>
      <c r="AU59" s="21"/>
      <c r="AV59" s="21" t="s">
        <v>248</v>
      </c>
      <c r="AW59" s="21" t="s">
        <v>202</v>
      </c>
      <c r="AX59" s="21" t="s">
        <v>190</v>
      </c>
      <c r="AY59" s="21" t="s">
        <v>191</v>
      </c>
      <c r="AZ59" s="21" t="s">
        <v>188</v>
      </c>
      <c r="BA59" s="21" t="s">
        <v>152</v>
      </c>
      <c r="BB59" s="21" t="s">
        <v>152</v>
      </c>
    </row>
    <row r="60" spans="1:54" x14ac:dyDescent="0.25">
      <c r="A60" s="22"/>
      <c r="B60" s="21" t="s">
        <v>167</v>
      </c>
      <c r="C60" s="21">
        <v>465</v>
      </c>
      <c r="D60" s="23">
        <v>46242</v>
      </c>
      <c r="E60" s="21" t="s">
        <v>210</v>
      </c>
      <c r="F60" s="21" t="s">
        <v>592</v>
      </c>
      <c r="G60" s="21" t="s">
        <v>590</v>
      </c>
      <c r="H60" s="21" t="s">
        <v>401</v>
      </c>
      <c r="I60" s="21">
        <v>256.5</v>
      </c>
      <c r="J60" s="21">
        <v>807</v>
      </c>
      <c r="K60" s="21" t="s">
        <v>168</v>
      </c>
      <c r="L60" s="21">
        <v>206995.5</v>
      </c>
      <c r="M60" s="21">
        <v>807</v>
      </c>
      <c r="N60" s="21">
        <v>807</v>
      </c>
      <c r="O60" s="21">
        <v>0</v>
      </c>
      <c r="P60" s="21" t="s">
        <v>200</v>
      </c>
      <c r="Q60" s="21" t="s">
        <v>200</v>
      </c>
      <c r="R60" s="21"/>
      <c r="S60" s="21"/>
      <c r="T60" s="21" t="s">
        <v>229</v>
      </c>
      <c r="U60" s="21">
        <v>1</v>
      </c>
      <c r="V60" s="21"/>
      <c r="W60" s="21">
        <v>9</v>
      </c>
      <c r="X60" s="21">
        <v>18629.599999999999</v>
      </c>
      <c r="Y60" s="21">
        <v>9</v>
      </c>
      <c r="Z60" s="21">
        <v>18629.599999999999</v>
      </c>
      <c r="AA60" s="21">
        <v>0</v>
      </c>
      <c r="AB60" s="21">
        <v>0</v>
      </c>
      <c r="AC60" s="21">
        <v>39232999</v>
      </c>
      <c r="AD60" s="21" t="s">
        <v>189</v>
      </c>
      <c r="AE60" s="23">
        <v>46242</v>
      </c>
      <c r="AF60" s="21">
        <v>0</v>
      </c>
      <c r="AG60" s="21">
        <v>0</v>
      </c>
      <c r="AH60" s="21"/>
      <c r="AI60" s="21">
        <v>0</v>
      </c>
      <c r="AJ60" s="21"/>
      <c r="AK60" s="21"/>
      <c r="AL60" s="21"/>
      <c r="AM60" s="21">
        <v>0</v>
      </c>
      <c r="AN60" s="21">
        <v>0</v>
      </c>
      <c r="AO60" s="21">
        <v>0</v>
      </c>
      <c r="AP60" s="21">
        <v>0</v>
      </c>
      <c r="AQ60" s="21">
        <v>0</v>
      </c>
      <c r="AR60" s="21">
        <v>0</v>
      </c>
      <c r="AS60" s="21">
        <v>0</v>
      </c>
      <c r="AT60" s="21">
        <v>0</v>
      </c>
      <c r="AU60" s="21"/>
      <c r="AV60" s="21" t="s">
        <v>248</v>
      </c>
      <c r="AW60" s="21" t="s">
        <v>202</v>
      </c>
      <c r="AX60" s="21" t="s">
        <v>190</v>
      </c>
      <c r="AY60" s="21" t="s">
        <v>191</v>
      </c>
      <c r="AZ60" s="21" t="s">
        <v>188</v>
      </c>
      <c r="BA60" s="21" t="s">
        <v>152</v>
      </c>
      <c r="BB60" s="21" t="s">
        <v>152</v>
      </c>
    </row>
    <row r="61" spans="1:54" x14ac:dyDescent="0.25">
      <c r="A61" s="22"/>
      <c r="B61" s="21" t="s">
        <v>167</v>
      </c>
      <c r="C61" s="21">
        <v>465</v>
      </c>
      <c r="D61" s="23">
        <v>46242</v>
      </c>
      <c r="E61" s="21" t="s">
        <v>210</v>
      </c>
      <c r="F61" s="21" t="s">
        <v>592</v>
      </c>
      <c r="G61" s="21" t="s">
        <v>590</v>
      </c>
      <c r="H61" s="21" t="s">
        <v>398</v>
      </c>
      <c r="I61" s="21">
        <v>325.95999999999998</v>
      </c>
      <c r="J61" s="21">
        <v>3557</v>
      </c>
      <c r="K61" s="21" t="s">
        <v>168</v>
      </c>
      <c r="L61" s="21">
        <v>1159439.72</v>
      </c>
      <c r="M61" s="21">
        <v>3557</v>
      </c>
      <c r="N61" s="21">
        <v>3557</v>
      </c>
      <c r="O61" s="21">
        <v>0</v>
      </c>
      <c r="P61" s="21" t="s">
        <v>200</v>
      </c>
      <c r="Q61" s="21" t="s">
        <v>200</v>
      </c>
      <c r="R61" s="21"/>
      <c r="S61" s="21"/>
      <c r="T61" s="21" t="s">
        <v>229</v>
      </c>
      <c r="U61" s="21">
        <v>1</v>
      </c>
      <c r="V61" s="21"/>
      <c r="W61" s="21">
        <v>9</v>
      </c>
      <c r="X61" s="21">
        <v>104349.57</v>
      </c>
      <c r="Y61" s="21">
        <v>9</v>
      </c>
      <c r="Z61" s="21">
        <v>104349.57</v>
      </c>
      <c r="AA61" s="21">
        <v>0</v>
      </c>
      <c r="AB61" s="21">
        <v>0</v>
      </c>
      <c r="AC61" s="21">
        <v>39232999</v>
      </c>
      <c r="AD61" s="21" t="s">
        <v>189</v>
      </c>
      <c r="AE61" s="23">
        <v>46242</v>
      </c>
      <c r="AF61" s="21">
        <v>0</v>
      </c>
      <c r="AG61" s="21">
        <v>0</v>
      </c>
      <c r="AH61" s="21"/>
      <c r="AI61" s="21">
        <v>0</v>
      </c>
      <c r="AJ61" s="21"/>
      <c r="AK61" s="21"/>
      <c r="AL61" s="21"/>
      <c r="AM61" s="21">
        <v>0</v>
      </c>
      <c r="AN61" s="21">
        <v>0</v>
      </c>
      <c r="AO61" s="21">
        <v>0</v>
      </c>
      <c r="AP61" s="21">
        <v>0</v>
      </c>
      <c r="AQ61" s="21">
        <v>0</v>
      </c>
      <c r="AR61" s="21">
        <v>0</v>
      </c>
      <c r="AS61" s="21">
        <v>0</v>
      </c>
      <c r="AT61" s="21">
        <v>0</v>
      </c>
      <c r="AU61" s="21"/>
      <c r="AV61" s="21" t="s">
        <v>248</v>
      </c>
      <c r="AW61" s="21" t="s">
        <v>202</v>
      </c>
      <c r="AX61" s="21" t="s">
        <v>190</v>
      </c>
      <c r="AY61" s="21" t="s">
        <v>191</v>
      </c>
      <c r="AZ61" s="21" t="s">
        <v>188</v>
      </c>
      <c r="BA61" s="21" t="s">
        <v>152</v>
      </c>
      <c r="BB61" s="21" t="s">
        <v>152</v>
      </c>
    </row>
    <row r="62" spans="1:54" x14ac:dyDescent="0.25">
      <c r="A62" s="22"/>
      <c r="B62" s="21" t="s">
        <v>167</v>
      </c>
      <c r="C62" s="21">
        <v>465</v>
      </c>
      <c r="D62" s="23">
        <v>46242</v>
      </c>
      <c r="E62" s="21" t="s">
        <v>210</v>
      </c>
      <c r="F62" s="21" t="s">
        <v>592</v>
      </c>
      <c r="G62" s="21" t="s">
        <v>590</v>
      </c>
      <c r="H62" s="21" t="s">
        <v>397</v>
      </c>
      <c r="I62" s="21">
        <v>232.81</v>
      </c>
      <c r="J62" s="21">
        <v>6774</v>
      </c>
      <c r="K62" s="21" t="s">
        <v>168</v>
      </c>
      <c r="L62" s="21">
        <v>1577054.94</v>
      </c>
      <c r="M62" s="21">
        <v>6774</v>
      </c>
      <c r="N62" s="21">
        <v>6774</v>
      </c>
      <c r="O62" s="21">
        <v>0</v>
      </c>
      <c r="P62" s="21" t="s">
        <v>200</v>
      </c>
      <c r="Q62" s="21" t="s">
        <v>200</v>
      </c>
      <c r="R62" s="21"/>
      <c r="S62" s="21"/>
      <c r="T62" s="21" t="s">
        <v>229</v>
      </c>
      <c r="U62" s="21">
        <v>1</v>
      </c>
      <c r="V62" s="21"/>
      <c r="W62" s="21">
        <v>9</v>
      </c>
      <c r="X62" s="21">
        <v>141934.94</v>
      </c>
      <c r="Y62" s="21">
        <v>9</v>
      </c>
      <c r="Z62" s="21">
        <v>141934.94</v>
      </c>
      <c r="AA62" s="21">
        <v>0</v>
      </c>
      <c r="AB62" s="21">
        <v>0</v>
      </c>
      <c r="AC62" s="21">
        <v>39232999</v>
      </c>
      <c r="AD62" s="21" t="s">
        <v>189</v>
      </c>
      <c r="AE62" s="23">
        <v>46242</v>
      </c>
      <c r="AF62" s="21">
        <v>0</v>
      </c>
      <c r="AG62" s="21">
        <v>0</v>
      </c>
      <c r="AH62" s="21"/>
      <c r="AI62" s="21">
        <v>0</v>
      </c>
      <c r="AJ62" s="21"/>
      <c r="AK62" s="21"/>
      <c r="AL62" s="21"/>
      <c r="AM62" s="21">
        <v>0</v>
      </c>
      <c r="AN62" s="21">
        <v>0</v>
      </c>
      <c r="AO62" s="21">
        <v>0</v>
      </c>
      <c r="AP62" s="21">
        <v>0</v>
      </c>
      <c r="AQ62" s="21">
        <v>0</v>
      </c>
      <c r="AR62" s="21">
        <v>0</v>
      </c>
      <c r="AS62" s="21">
        <v>0</v>
      </c>
      <c r="AT62" s="21">
        <v>0</v>
      </c>
      <c r="AU62" s="21"/>
      <c r="AV62" s="21" t="s">
        <v>248</v>
      </c>
      <c r="AW62" s="21" t="s">
        <v>202</v>
      </c>
      <c r="AX62" s="21" t="s">
        <v>186</v>
      </c>
      <c r="AY62" s="21" t="s">
        <v>187</v>
      </c>
      <c r="AZ62" s="21" t="s">
        <v>188</v>
      </c>
      <c r="BA62" s="21" t="s">
        <v>152</v>
      </c>
      <c r="BB62" s="21" t="s">
        <v>152</v>
      </c>
    </row>
    <row r="63" spans="1:54" x14ac:dyDescent="0.25">
      <c r="A63" s="22"/>
      <c r="B63" s="21" t="s">
        <v>167</v>
      </c>
      <c r="C63" s="21">
        <v>466</v>
      </c>
      <c r="D63" s="23">
        <v>46242</v>
      </c>
      <c r="E63" s="21" t="s">
        <v>210</v>
      </c>
      <c r="F63" s="21" t="s">
        <v>592</v>
      </c>
      <c r="G63" s="21" t="s">
        <v>231</v>
      </c>
      <c r="H63" s="21" t="s">
        <v>403</v>
      </c>
      <c r="I63" s="21">
        <v>166.4</v>
      </c>
      <c r="J63" s="21">
        <v>2712.4</v>
      </c>
      <c r="K63" s="21" t="s">
        <v>168</v>
      </c>
      <c r="L63" s="21">
        <v>451343.35999999999</v>
      </c>
      <c r="M63" s="21">
        <v>2712.4</v>
      </c>
      <c r="N63" s="21">
        <v>2712.4</v>
      </c>
      <c r="O63" s="21">
        <v>711470.46</v>
      </c>
      <c r="P63" s="21" t="s">
        <v>232</v>
      </c>
      <c r="Q63" s="21" t="s">
        <v>232</v>
      </c>
      <c r="R63" s="21"/>
      <c r="S63" s="21"/>
      <c r="T63" s="21" t="s">
        <v>229</v>
      </c>
      <c r="U63" s="21">
        <v>1</v>
      </c>
      <c r="V63" s="21"/>
      <c r="W63" s="21">
        <v>9</v>
      </c>
      <c r="X63" s="21">
        <v>40620.9</v>
      </c>
      <c r="Y63" s="21">
        <v>9</v>
      </c>
      <c r="Z63" s="21">
        <v>40620.9</v>
      </c>
      <c r="AA63" s="21">
        <v>0</v>
      </c>
      <c r="AB63" s="21">
        <v>0</v>
      </c>
      <c r="AC63" s="21">
        <v>39269080</v>
      </c>
      <c r="AD63" s="21" t="s">
        <v>189</v>
      </c>
      <c r="AE63" s="23">
        <v>46242</v>
      </c>
      <c r="AF63" s="21">
        <v>0</v>
      </c>
      <c r="AG63" s="21">
        <v>0</v>
      </c>
      <c r="AH63" s="21"/>
      <c r="AI63" s="21">
        <v>0</v>
      </c>
      <c r="AJ63" s="21"/>
      <c r="AK63" s="21"/>
      <c r="AL63" s="21"/>
      <c r="AM63" s="21">
        <v>0</v>
      </c>
      <c r="AN63" s="21">
        <v>0</v>
      </c>
      <c r="AO63" s="21">
        <v>0</v>
      </c>
      <c r="AP63" s="21">
        <v>0</v>
      </c>
      <c r="AQ63" s="21">
        <v>0</v>
      </c>
      <c r="AR63" s="21">
        <v>0</v>
      </c>
      <c r="AS63" s="21">
        <v>0</v>
      </c>
      <c r="AT63" s="21">
        <v>0</v>
      </c>
      <c r="AU63" s="21"/>
      <c r="AV63" s="21" t="s">
        <v>248</v>
      </c>
      <c r="AW63" s="21" t="s">
        <v>202</v>
      </c>
      <c r="AX63" s="21" t="s">
        <v>593</v>
      </c>
      <c r="AY63" s="21" t="s">
        <v>403</v>
      </c>
      <c r="AZ63" s="21" t="s">
        <v>169</v>
      </c>
      <c r="BA63" s="21" t="s">
        <v>179</v>
      </c>
      <c r="BB63" s="21" t="s">
        <v>155</v>
      </c>
    </row>
    <row r="64" spans="1:54" x14ac:dyDescent="0.25">
      <c r="A64" s="22"/>
      <c r="B64" s="21" t="s">
        <v>167</v>
      </c>
      <c r="C64" s="21">
        <v>466</v>
      </c>
      <c r="D64" s="23">
        <v>46242</v>
      </c>
      <c r="E64" s="21" t="s">
        <v>210</v>
      </c>
      <c r="F64" s="21" t="s">
        <v>592</v>
      </c>
      <c r="G64" s="21" t="s">
        <v>246</v>
      </c>
      <c r="H64" s="21" t="s">
        <v>384</v>
      </c>
      <c r="I64" s="21">
        <v>255.6454</v>
      </c>
      <c r="J64" s="21">
        <v>593</v>
      </c>
      <c r="K64" s="21" t="s">
        <v>168</v>
      </c>
      <c r="L64" s="21">
        <v>151597.72</v>
      </c>
      <c r="M64" s="21">
        <v>593</v>
      </c>
      <c r="N64" s="21">
        <v>593</v>
      </c>
      <c r="O64" s="21">
        <v>0</v>
      </c>
      <c r="P64" s="21" t="s">
        <v>232</v>
      </c>
      <c r="Q64" s="21" t="s">
        <v>232</v>
      </c>
      <c r="R64" s="21"/>
      <c r="S64" s="21"/>
      <c r="T64" s="21" t="s">
        <v>229</v>
      </c>
      <c r="U64" s="21">
        <v>1</v>
      </c>
      <c r="V64" s="21"/>
      <c r="W64" s="21">
        <v>9</v>
      </c>
      <c r="X64" s="21">
        <v>13643.79</v>
      </c>
      <c r="Y64" s="21">
        <v>9</v>
      </c>
      <c r="Z64" s="21">
        <v>13643.79</v>
      </c>
      <c r="AA64" s="21">
        <v>0</v>
      </c>
      <c r="AB64" s="21">
        <v>0</v>
      </c>
      <c r="AC64" s="21">
        <v>39269080</v>
      </c>
      <c r="AD64" s="21" t="s">
        <v>189</v>
      </c>
      <c r="AE64" s="23">
        <v>46242</v>
      </c>
      <c r="AF64" s="21">
        <v>0</v>
      </c>
      <c r="AG64" s="21">
        <v>0</v>
      </c>
      <c r="AH64" s="21"/>
      <c r="AI64" s="21">
        <v>0</v>
      </c>
      <c r="AJ64" s="21"/>
      <c r="AK64" s="21"/>
      <c r="AL64" s="21"/>
      <c r="AM64" s="21">
        <v>0</v>
      </c>
      <c r="AN64" s="21">
        <v>0</v>
      </c>
      <c r="AO64" s="21">
        <v>0</v>
      </c>
      <c r="AP64" s="21">
        <v>0</v>
      </c>
      <c r="AQ64" s="21">
        <v>0</v>
      </c>
      <c r="AR64" s="21">
        <v>0</v>
      </c>
      <c r="AS64" s="21">
        <v>0</v>
      </c>
      <c r="AT64" s="21">
        <v>0</v>
      </c>
      <c r="AU64" s="21"/>
      <c r="AV64" s="21" t="s">
        <v>248</v>
      </c>
      <c r="AW64" s="21" t="s">
        <v>202</v>
      </c>
      <c r="AX64" s="21" t="s">
        <v>594</v>
      </c>
      <c r="AY64" s="21" t="s">
        <v>384</v>
      </c>
      <c r="AZ64" s="21" t="s">
        <v>169</v>
      </c>
      <c r="BA64" s="21" t="s">
        <v>179</v>
      </c>
      <c r="BB64" s="21" t="s">
        <v>287</v>
      </c>
    </row>
    <row r="65" spans="1:54" x14ac:dyDescent="0.25">
      <c r="A65" s="22"/>
      <c r="B65" s="21" t="s">
        <v>167</v>
      </c>
      <c r="C65" s="21">
        <v>467</v>
      </c>
      <c r="D65" s="23">
        <v>46242</v>
      </c>
      <c r="E65" s="21" t="s">
        <v>198</v>
      </c>
      <c r="F65" s="21" t="s">
        <v>595</v>
      </c>
      <c r="G65" s="21" t="s">
        <v>246</v>
      </c>
      <c r="H65" s="21" t="s">
        <v>394</v>
      </c>
      <c r="I65" s="21">
        <v>137.58000000000001</v>
      </c>
      <c r="J65" s="21">
        <v>752</v>
      </c>
      <c r="K65" s="21" t="s">
        <v>168</v>
      </c>
      <c r="L65" s="21">
        <v>103460.16</v>
      </c>
      <c r="M65" s="21">
        <v>752</v>
      </c>
      <c r="N65" s="21">
        <v>752</v>
      </c>
      <c r="O65" s="21">
        <v>202702.8</v>
      </c>
      <c r="P65" s="21" t="s">
        <v>232</v>
      </c>
      <c r="Q65" s="21" t="s">
        <v>232</v>
      </c>
      <c r="R65" s="21"/>
      <c r="S65" s="21"/>
      <c r="T65" s="21" t="s">
        <v>229</v>
      </c>
      <c r="U65" s="21">
        <v>1</v>
      </c>
      <c r="V65" s="21"/>
      <c r="W65" s="21">
        <v>9</v>
      </c>
      <c r="X65" s="21">
        <v>9311.41</v>
      </c>
      <c r="Y65" s="21">
        <v>9</v>
      </c>
      <c r="Z65" s="21">
        <v>9311.41</v>
      </c>
      <c r="AA65" s="21">
        <v>0</v>
      </c>
      <c r="AB65" s="21">
        <v>0</v>
      </c>
      <c r="AC65" s="21">
        <v>39269080</v>
      </c>
      <c r="AD65" s="21" t="s">
        <v>245</v>
      </c>
      <c r="AE65" s="23">
        <v>46242</v>
      </c>
      <c r="AF65" s="21">
        <v>0</v>
      </c>
      <c r="AG65" s="21">
        <v>0</v>
      </c>
      <c r="AH65" s="21"/>
      <c r="AI65" s="21">
        <v>0</v>
      </c>
      <c r="AJ65" s="21"/>
      <c r="AK65" s="21"/>
      <c r="AL65" s="21"/>
      <c r="AM65" s="21">
        <v>0</v>
      </c>
      <c r="AN65" s="21">
        <v>0</v>
      </c>
      <c r="AO65" s="21">
        <v>0</v>
      </c>
      <c r="AP65" s="21">
        <v>0</v>
      </c>
      <c r="AQ65" s="21">
        <v>0</v>
      </c>
      <c r="AR65" s="21">
        <v>0</v>
      </c>
      <c r="AS65" s="21">
        <v>0</v>
      </c>
      <c r="AT65" s="21">
        <v>0</v>
      </c>
      <c r="AU65" s="21"/>
      <c r="AV65" s="21" t="s">
        <v>230</v>
      </c>
      <c r="AW65" s="21" t="s">
        <v>202</v>
      </c>
      <c r="AX65" s="21" t="s">
        <v>177</v>
      </c>
      <c r="AY65" s="21" t="s">
        <v>178</v>
      </c>
      <c r="AZ65" s="21" t="s">
        <v>169</v>
      </c>
      <c r="BA65" s="21" t="s">
        <v>179</v>
      </c>
      <c r="BB65" s="21" t="s">
        <v>156</v>
      </c>
    </row>
    <row r="66" spans="1:54" x14ac:dyDescent="0.25">
      <c r="A66" s="22"/>
      <c r="B66" s="21" t="s">
        <v>167</v>
      </c>
      <c r="C66" s="21">
        <v>467</v>
      </c>
      <c r="D66" s="23">
        <v>46242</v>
      </c>
      <c r="E66" s="21" t="s">
        <v>198</v>
      </c>
      <c r="F66" s="21" t="s">
        <v>595</v>
      </c>
      <c r="G66" s="21" t="s">
        <v>233</v>
      </c>
      <c r="H66" s="21" t="s">
        <v>596</v>
      </c>
      <c r="I66" s="21">
        <v>140.58000000000001</v>
      </c>
      <c r="J66" s="21">
        <v>486</v>
      </c>
      <c r="K66" s="21" t="s">
        <v>168</v>
      </c>
      <c r="L66" s="21">
        <v>68321.88</v>
      </c>
      <c r="M66" s="21">
        <v>486</v>
      </c>
      <c r="N66" s="21">
        <v>486</v>
      </c>
      <c r="O66" s="21">
        <v>0</v>
      </c>
      <c r="P66" s="21" t="s">
        <v>232</v>
      </c>
      <c r="Q66" s="21" t="s">
        <v>232</v>
      </c>
      <c r="R66" s="21"/>
      <c r="S66" s="21"/>
      <c r="T66" s="21" t="s">
        <v>229</v>
      </c>
      <c r="U66" s="21">
        <v>1</v>
      </c>
      <c r="V66" s="21"/>
      <c r="W66" s="21">
        <v>9</v>
      </c>
      <c r="X66" s="21">
        <v>6148.97</v>
      </c>
      <c r="Y66" s="21">
        <v>9</v>
      </c>
      <c r="Z66" s="21">
        <v>6148.97</v>
      </c>
      <c r="AA66" s="21">
        <v>0</v>
      </c>
      <c r="AB66" s="21">
        <v>0</v>
      </c>
      <c r="AC66" s="21">
        <v>39269080</v>
      </c>
      <c r="AD66" s="21" t="s">
        <v>245</v>
      </c>
      <c r="AE66" s="23">
        <v>46242</v>
      </c>
      <c r="AF66" s="21">
        <v>0</v>
      </c>
      <c r="AG66" s="21">
        <v>0</v>
      </c>
      <c r="AH66" s="21"/>
      <c r="AI66" s="21">
        <v>0</v>
      </c>
      <c r="AJ66" s="21"/>
      <c r="AK66" s="21"/>
      <c r="AL66" s="21"/>
      <c r="AM66" s="21">
        <v>0</v>
      </c>
      <c r="AN66" s="21">
        <v>0</v>
      </c>
      <c r="AO66" s="21">
        <v>0</v>
      </c>
      <c r="AP66" s="21">
        <v>0</v>
      </c>
      <c r="AQ66" s="21">
        <v>0</v>
      </c>
      <c r="AR66" s="21">
        <v>0</v>
      </c>
      <c r="AS66" s="21">
        <v>0</v>
      </c>
      <c r="AT66" s="21">
        <v>0</v>
      </c>
      <c r="AU66" s="21"/>
      <c r="AV66" s="21" t="s">
        <v>230</v>
      </c>
      <c r="AW66" s="21" t="s">
        <v>202</v>
      </c>
      <c r="AX66" s="21" t="s">
        <v>177</v>
      </c>
      <c r="AY66" s="21" t="s">
        <v>178</v>
      </c>
      <c r="AZ66" s="21" t="s">
        <v>169</v>
      </c>
      <c r="BA66" s="21" t="s">
        <v>179</v>
      </c>
      <c r="BB66" s="21" t="s">
        <v>156</v>
      </c>
    </row>
    <row r="67" spans="1:54" x14ac:dyDescent="0.25">
      <c r="A67" s="22"/>
      <c r="B67" s="21" t="s">
        <v>167</v>
      </c>
      <c r="C67" s="21">
        <v>468</v>
      </c>
      <c r="D67" s="23">
        <v>46243</v>
      </c>
      <c r="E67" s="21" t="s">
        <v>212</v>
      </c>
      <c r="F67" s="21" t="s">
        <v>260</v>
      </c>
      <c r="G67" s="21" t="s">
        <v>235</v>
      </c>
      <c r="H67" s="21" t="s">
        <v>597</v>
      </c>
      <c r="I67" s="21">
        <v>138.38</v>
      </c>
      <c r="J67" s="21">
        <v>282.3</v>
      </c>
      <c r="K67" s="21" t="s">
        <v>168</v>
      </c>
      <c r="L67" s="21">
        <v>39064.67</v>
      </c>
      <c r="M67" s="21">
        <v>282.3</v>
      </c>
      <c r="N67" s="21">
        <v>282.3</v>
      </c>
      <c r="O67" s="21">
        <v>46096.31</v>
      </c>
      <c r="P67" s="21" t="s">
        <v>181</v>
      </c>
      <c r="Q67" s="21" t="s">
        <v>181</v>
      </c>
      <c r="R67" s="21"/>
      <c r="S67" s="21"/>
      <c r="T67" s="21" t="s">
        <v>229</v>
      </c>
      <c r="U67" s="21">
        <v>1</v>
      </c>
      <c r="V67" s="21"/>
      <c r="W67" s="21">
        <v>9</v>
      </c>
      <c r="X67" s="21">
        <v>3515.82</v>
      </c>
      <c r="Y67" s="21">
        <v>9</v>
      </c>
      <c r="Z67" s="21">
        <v>3515.82</v>
      </c>
      <c r="AA67" s="21">
        <v>0</v>
      </c>
      <c r="AB67" s="21">
        <v>0</v>
      </c>
      <c r="AC67" s="21">
        <v>39269080</v>
      </c>
      <c r="AD67" s="21" t="s">
        <v>245</v>
      </c>
      <c r="AE67" s="23">
        <v>46243</v>
      </c>
      <c r="AF67" s="21">
        <v>0</v>
      </c>
      <c r="AG67" s="21">
        <v>0</v>
      </c>
      <c r="AH67" s="21"/>
      <c r="AI67" s="21">
        <v>0</v>
      </c>
      <c r="AJ67" s="21"/>
      <c r="AK67" s="21"/>
      <c r="AL67" s="21"/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/>
      <c r="AV67" s="21" t="s">
        <v>236</v>
      </c>
      <c r="AW67" s="21" t="s">
        <v>202</v>
      </c>
      <c r="AX67" s="21" t="s">
        <v>180</v>
      </c>
      <c r="AY67" s="21" t="s">
        <v>181</v>
      </c>
      <c r="AZ67" s="21" t="s">
        <v>169</v>
      </c>
      <c r="BA67" s="21" t="s">
        <v>181</v>
      </c>
      <c r="BB67" s="21" t="s">
        <v>154</v>
      </c>
    </row>
    <row r="68" spans="1:54" x14ac:dyDescent="0.25">
      <c r="A68" s="22"/>
      <c r="B68" s="21" t="s">
        <v>167</v>
      </c>
      <c r="C68" s="21">
        <v>469</v>
      </c>
      <c r="D68" s="23">
        <v>46243</v>
      </c>
      <c r="E68" s="21" t="s">
        <v>198</v>
      </c>
      <c r="F68" s="21" t="s">
        <v>598</v>
      </c>
      <c r="G68" s="21" t="s">
        <v>235</v>
      </c>
      <c r="H68" s="21" t="s">
        <v>599</v>
      </c>
      <c r="I68" s="21">
        <v>138.38</v>
      </c>
      <c r="J68" s="21">
        <v>408.8</v>
      </c>
      <c r="K68" s="21" t="s">
        <v>168</v>
      </c>
      <c r="L68" s="21">
        <v>56569.74</v>
      </c>
      <c r="M68" s="21">
        <v>408.8</v>
      </c>
      <c r="N68" s="21">
        <v>408.8</v>
      </c>
      <c r="O68" s="21">
        <v>66752.3</v>
      </c>
      <c r="P68" s="21" t="s">
        <v>181</v>
      </c>
      <c r="Q68" s="21" t="s">
        <v>181</v>
      </c>
      <c r="R68" s="21"/>
      <c r="S68" s="21"/>
      <c r="T68" s="21" t="s">
        <v>229</v>
      </c>
      <c r="U68" s="21">
        <v>1</v>
      </c>
      <c r="V68" s="21"/>
      <c r="W68" s="21">
        <v>9</v>
      </c>
      <c r="X68" s="21">
        <v>5091.28</v>
      </c>
      <c r="Y68" s="21">
        <v>9</v>
      </c>
      <c r="Z68" s="21">
        <v>5091.28</v>
      </c>
      <c r="AA68" s="21">
        <v>0</v>
      </c>
      <c r="AB68" s="21">
        <v>0</v>
      </c>
      <c r="AC68" s="21">
        <v>39269080</v>
      </c>
      <c r="AD68" s="21" t="s">
        <v>245</v>
      </c>
      <c r="AE68" s="23">
        <v>46243</v>
      </c>
      <c r="AF68" s="21">
        <v>0</v>
      </c>
      <c r="AG68" s="21">
        <v>0</v>
      </c>
      <c r="AH68" s="21"/>
      <c r="AI68" s="21">
        <v>0</v>
      </c>
      <c r="AJ68" s="21"/>
      <c r="AK68" s="21"/>
      <c r="AL68" s="21"/>
      <c r="AM68" s="21">
        <v>0</v>
      </c>
      <c r="AN68" s="21">
        <v>0</v>
      </c>
      <c r="AO68" s="21">
        <v>0</v>
      </c>
      <c r="AP68" s="21">
        <v>0</v>
      </c>
      <c r="AQ68" s="21">
        <v>0</v>
      </c>
      <c r="AR68" s="21">
        <v>0</v>
      </c>
      <c r="AS68" s="21">
        <v>0</v>
      </c>
      <c r="AT68" s="21">
        <v>0</v>
      </c>
      <c r="AU68" s="21"/>
      <c r="AV68" s="21" t="s">
        <v>230</v>
      </c>
      <c r="AW68" s="21" t="s">
        <v>202</v>
      </c>
      <c r="AX68" s="21" t="s">
        <v>180</v>
      </c>
      <c r="AY68" s="21" t="s">
        <v>181</v>
      </c>
      <c r="AZ68" s="21" t="s">
        <v>169</v>
      </c>
      <c r="BA68" s="21" t="s">
        <v>181</v>
      </c>
      <c r="BB68" s="21" t="s">
        <v>154</v>
      </c>
    </row>
    <row r="69" spans="1:54" x14ac:dyDescent="0.25">
      <c r="A69" s="22"/>
      <c r="B69" s="21" t="s">
        <v>167</v>
      </c>
      <c r="C69" s="21">
        <v>470</v>
      </c>
      <c r="D69" s="23">
        <v>46243</v>
      </c>
      <c r="E69" s="21" t="s">
        <v>212</v>
      </c>
      <c r="F69" s="21" t="s">
        <v>253</v>
      </c>
      <c r="G69" s="21" t="s">
        <v>299</v>
      </c>
      <c r="H69" s="21" t="s">
        <v>262</v>
      </c>
      <c r="I69" s="21">
        <v>113.58</v>
      </c>
      <c r="J69" s="21">
        <v>212</v>
      </c>
      <c r="K69" s="21" t="s">
        <v>168</v>
      </c>
      <c r="L69" s="21">
        <v>24078.959999999999</v>
      </c>
      <c r="M69" s="21">
        <v>212</v>
      </c>
      <c r="N69" s="21">
        <v>212</v>
      </c>
      <c r="O69" s="21">
        <v>55051.7</v>
      </c>
      <c r="P69" s="21" t="s">
        <v>232</v>
      </c>
      <c r="Q69" s="21" t="s">
        <v>200</v>
      </c>
      <c r="R69" s="21"/>
      <c r="S69" s="21"/>
      <c r="T69" s="21" t="s">
        <v>229</v>
      </c>
      <c r="U69" s="21">
        <v>1</v>
      </c>
      <c r="V69" s="21"/>
      <c r="W69" s="21">
        <v>9</v>
      </c>
      <c r="X69" s="21">
        <v>2167.11</v>
      </c>
      <c r="Y69" s="21">
        <v>9</v>
      </c>
      <c r="Z69" s="21">
        <v>2167.11</v>
      </c>
      <c r="AA69" s="21">
        <v>0</v>
      </c>
      <c r="AB69" s="21">
        <v>0</v>
      </c>
      <c r="AC69" s="21">
        <v>39232999</v>
      </c>
      <c r="AD69" s="21" t="s">
        <v>245</v>
      </c>
      <c r="AE69" s="23">
        <v>46243</v>
      </c>
      <c r="AF69" s="21">
        <v>0</v>
      </c>
      <c r="AG69" s="21">
        <v>0</v>
      </c>
      <c r="AH69" s="21"/>
      <c r="AI69" s="21">
        <v>0</v>
      </c>
      <c r="AJ69" s="21"/>
      <c r="AK69" s="21"/>
      <c r="AL69" s="21"/>
      <c r="AM69" s="21">
        <v>0</v>
      </c>
      <c r="AN69" s="21">
        <v>0</v>
      </c>
      <c r="AO69" s="21">
        <v>0</v>
      </c>
      <c r="AP69" s="21">
        <v>0</v>
      </c>
      <c r="AQ69" s="21">
        <v>0</v>
      </c>
      <c r="AR69" s="21">
        <v>0</v>
      </c>
      <c r="AS69" s="21">
        <v>0</v>
      </c>
      <c r="AT69" s="21">
        <v>0</v>
      </c>
      <c r="AU69" s="21"/>
      <c r="AV69" s="21" t="s">
        <v>236</v>
      </c>
      <c r="AW69" s="21" t="s">
        <v>202</v>
      </c>
      <c r="AX69" s="21" t="s">
        <v>234</v>
      </c>
      <c r="AY69" s="21" t="s">
        <v>153</v>
      </c>
      <c r="AZ69" s="21" t="s">
        <v>188</v>
      </c>
      <c r="BA69" s="21" t="s">
        <v>153</v>
      </c>
      <c r="BB69" s="21" t="s">
        <v>153</v>
      </c>
    </row>
    <row r="70" spans="1:54" x14ac:dyDescent="0.25">
      <c r="A70" s="22"/>
      <c r="B70" s="21" t="s">
        <v>167</v>
      </c>
      <c r="C70" s="21">
        <v>470</v>
      </c>
      <c r="D70" s="23">
        <v>46243</v>
      </c>
      <c r="E70" s="21" t="s">
        <v>212</v>
      </c>
      <c r="F70" s="21" t="s">
        <v>253</v>
      </c>
      <c r="G70" s="21" t="s">
        <v>231</v>
      </c>
      <c r="H70" s="21" t="s">
        <v>261</v>
      </c>
      <c r="I70" s="21">
        <v>133.58000000000001</v>
      </c>
      <c r="J70" s="21">
        <v>169</v>
      </c>
      <c r="K70" s="21" t="s">
        <v>168</v>
      </c>
      <c r="L70" s="21">
        <v>22575.02</v>
      </c>
      <c r="M70" s="21">
        <v>169</v>
      </c>
      <c r="N70" s="21">
        <v>169</v>
      </c>
      <c r="O70" s="21">
        <v>0</v>
      </c>
      <c r="P70" s="21" t="s">
        <v>232</v>
      </c>
      <c r="Q70" s="21" t="s">
        <v>232</v>
      </c>
      <c r="R70" s="21"/>
      <c r="S70" s="21"/>
      <c r="T70" s="21" t="s">
        <v>229</v>
      </c>
      <c r="U70" s="21">
        <v>1</v>
      </c>
      <c r="V70" s="21"/>
      <c r="W70" s="21">
        <v>9</v>
      </c>
      <c r="X70" s="21">
        <v>2031.75</v>
      </c>
      <c r="Y70" s="21">
        <v>9</v>
      </c>
      <c r="Z70" s="21">
        <v>2031.75</v>
      </c>
      <c r="AA70" s="21">
        <v>0</v>
      </c>
      <c r="AB70" s="21">
        <v>0</v>
      </c>
      <c r="AC70" s="21">
        <v>39269080</v>
      </c>
      <c r="AD70" s="21" t="s">
        <v>245</v>
      </c>
      <c r="AE70" s="23">
        <v>46243</v>
      </c>
      <c r="AF70" s="21">
        <v>0</v>
      </c>
      <c r="AG70" s="21">
        <v>0</v>
      </c>
      <c r="AH70" s="21"/>
      <c r="AI70" s="21">
        <v>0</v>
      </c>
      <c r="AJ70" s="21"/>
      <c r="AK70" s="21"/>
      <c r="AL70" s="21"/>
      <c r="AM70" s="21">
        <v>0</v>
      </c>
      <c r="AN70" s="21">
        <v>0</v>
      </c>
      <c r="AO70" s="21">
        <v>0</v>
      </c>
      <c r="AP70" s="21">
        <v>0</v>
      </c>
      <c r="AQ70" s="21">
        <v>0</v>
      </c>
      <c r="AR70" s="21">
        <v>0</v>
      </c>
      <c r="AS70" s="21">
        <v>0</v>
      </c>
      <c r="AT70" s="21">
        <v>0</v>
      </c>
      <c r="AU70" s="21"/>
      <c r="AV70" s="21" t="s">
        <v>236</v>
      </c>
      <c r="AW70" s="21" t="s">
        <v>202</v>
      </c>
      <c r="AX70" s="21" t="s">
        <v>182</v>
      </c>
      <c r="AY70" s="21" t="s">
        <v>183</v>
      </c>
      <c r="AZ70" s="21" t="s">
        <v>169</v>
      </c>
      <c r="BA70" s="21" t="s">
        <v>179</v>
      </c>
      <c r="BB70" s="21" t="s">
        <v>155</v>
      </c>
    </row>
    <row r="71" spans="1:54" x14ac:dyDescent="0.25">
      <c r="A71" s="22"/>
      <c r="B71" s="21" t="s">
        <v>167</v>
      </c>
      <c r="C71" s="21">
        <v>471</v>
      </c>
      <c r="D71" s="23">
        <v>46244</v>
      </c>
      <c r="E71" s="21" t="s">
        <v>212</v>
      </c>
      <c r="F71" s="21" t="s">
        <v>251</v>
      </c>
      <c r="G71" s="21" t="s">
        <v>259</v>
      </c>
      <c r="H71" s="21" t="s">
        <v>196</v>
      </c>
      <c r="I71" s="21">
        <v>306</v>
      </c>
      <c r="J71" s="21">
        <v>30.85</v>
      </c>
      <c r="K71" s="21" t="s">
        <v>168</v>
      </c>
      <c r="L71" s="21">
        <v>9440.1</v>
      </c>
      <c r="M71" s="21">
        <v>30.85</v>
      </c>
      <c r="N71" s="21">
        <v>30.85</v>
      </c>
      <c r="O71" s="21">
        <v>11139.32</v>
      </c>
      <c r="P71" s="21" t="s">
        <v>237</v>
      </c>
      <c r="Q71" s="21" t="s">
        <v>237</v>
      </c>
      <c r="R71" s="21"/>
      <c r="S71" s="21"/>
      <c r="T71" s="21" t="s">
        <v>229</v>
      </c>
      <c r="U71" s="21">
        <v>1</v>
      </c>
      <c r="V71" s="21"/>
      <c r="W71" s="21">
        <v>9</v>
      </c>
      <c r="X71" s="21">
        <v>849.61</v>
      </c>
      <c r="Y71" s="21">
        <v>9</v>
      </c>
      <c r="Z71" s="21">
        <v>849.61</v>
      </c>
      <c r="AA71" s="21">
        <v>0</v>
      </c>
      <c r="AB71" s="21">
        <v>0</v>
      </c>
      <c r="AC71" s="21">
        <v>39201019</v>
      </c>
      <c r="AD71" s="21" t="s">
        <v>189</v>
      </c>
      <c r="AE71" s="23">
        <v>46244</v>
      </c>
      <c r="AF71" s="21">
        <v>0</v>
      </c>
      <c r="AG71" s="21">
        <v>0</v>
      </c>
      <c r="AH71" s="21"/>
      <c r="AI71" s="21">
        <v>0</v>
      </c>
      <c r="AJ71" s="21"/>
      <c r="AK71" s="21"/>
      <c r="AL71" s="21"/>
      <c r="AM71" s="21">
        <v>0</v>
      </c>
      <c r="AN71" s="21">
        <v>0</v>
      </c>
      <c r="AO71" s="21">
        <v>0</v>
      </c>
      <c r="AP71" s="21">
        <v>0</v>
      </c>
      <c r="AQ71" s="21">
        <v>0</v>
      </c>
      <c r="AR71" s="21">
        <v>0</v>
      </c>
      <c r="AS71" s="21">
        <v>0</v>
      </c>
      <c r="AT71" s="21">
        <v>0</v>
      </c>
      <c r="AU71" s="21"/>
      <c r="AV71" s="21" t="s">
        <v>236</v>
      </c>
      <c r="AW71" s="21" t="s">
        <v>202</v>
      </c>
      <c r="AX71" s="21" t="s">
        <v>195</v>
      </c>
      <c r="AY71" s="21" t="s">
        <v>196</v>
      </c>
      <c r="AZ71" s="21" t="s">
        <v>169</v>
      </c>
      <c r="BA71" s="21" t="s">
        <v>197</v>
      </c>
      <c r="BB71" s="21" t="s">
        <v>158</v>
      </c>
    </row>
    <row r="72" spans="1:54" x14ac:dyDescent="0.25">
      <c r="A72" s="22"/>
      <c r="B72" s="21" t="s">
        <v>167</v>
      </c>
      <c r="C72" s="21">
        <v>472</v>
      </c>
      <c r="D72" s="23">
        <v>46244</v>
      </c>
      <c r="E72" s="21" t="s">
        <v>226</v>
      </c>
      <c r="F72" s="21" t="s">
        <v>600</v>
      </c>
      <c r="G72" s="21" t="s">
        <v>590</v>
      </c>
      <c r="H72" s="21" t="s">
        <v>415</v>
      </c>
      <c r="I72" s="21">
        <v>193.38</v>
      </c>
      <c r="J72" s="21">
        <v>7031</v>
      </c>
      <c r="K72" s="21" t="s">
        <v>168</v>
      </c>
      <c r="L72" s="21">
        <v>1359654.78</v>
      </c>
      <c r="M72" s="21">
        <v>7031</v>
      </c>
      <c r="N72" s="21">
        <v>7031</v>
      </c>
      <c r="O72" s="21">
        <v>4381988.7699999996</v>
      </c>
      <c r="P72" s="21" t="s">
        <v>200</v>
      </c>
      <c r="Q72" s="21" t="s">
        <v>200</v>
      </c>
      <c r="R72" s="21"/>
      <c r="S72" s="21"/>
      <c r="T72" s="21" t="s">
        <v>229</v>
      </c>
      <c r="U72" s="21">
        <v>1</v>
      </c>
      <c r="V72" s="21"/>
      <c r="W72" s="21">
        <v>9</v>
      </c>
      <c r="X72" s="21">
        <v>122368.93</v>
      </c>
      <c r="Y72" s="21">
        <v>9</v>
      </c>
      <c r="Z72" s="21">
        <v>122368.93</v>
      </c>
      <c r="AA72" s="21">
        <v>0</v>
      </c>
      <c r="AB72" s="21">
        <v>0</v>
      </c>
      <c r="AC72" s="21">
        <v>39232999</v>
      </c>
      <c r="AD72" s="21" t="s">
        <v>189</v>
      </c>
      <c r="AE72" s="23">
        <v>46244</v>
      </c>
      <c r="AF72" s="21">
        <v>0</v>
      </c>
      <c r="AG72" s="21">
        <v>0</v>
      </c>
      <c r="AH72" s="21"/>
      <c r="AI72" s="21">
        <v>0</v>
      </c>
      <c r="AJ72" s="21"/>
      <c r="AK72" s="21"/>
      <c r="AL72" s="21"/>
      <c r="AM72" s="21">
        <v>0</v>
      </c>
      <c r="AN72" s="21">
        <v>0</v>
      </c>
      <c r="AO72" s="21">
        <v>0</v>
      </c>
      <c r="AP72" s="21">
        <v>0</v>
      </c>
      <c r="AQ72" s="21">
        <v>0</v>
      </c>
      <c r="AR72" s="21">
        <v>0</v>
      </c>
      <c r="AS72" s="21">
        <v>0</v>
      </c>
      <c r="AT72" s="21">
        <v>0</v>
      </c>
      <c r="AU72" s="21"/>
      <c r="AV72" s="21" t="s">
        <v>252</v>
      </c>
      <c r="AW72" s="21" t="s">
        <v>202</v>
      </c>
      <c r="AX72" s="21" t="s">
        <v>186</v>
      </c>
      <c r="AY72" s="21" t="s">
        <v>187</v>
      </c>
      <c r="AZ72" s="21" t="s">
        <v>188</v>
      </c>
      <c r="BA72" s="21" t="s">
        <v>152</v>
      </c>
      <c r="BB72" s="21" t="s">
        <v>152</v>
      </c>
    </row>
    <row r="73" spans="1:54" x14ac:dyDescent="0.25">
      <c r="A73" s="22"/>
      <c r="B73" s="21" t="s">
        <v>167</v>
      </c>
      <c r="C73" s="21">
        <v>472</v>
      </c>
      <c r="D73" s="23">
        <v>46244</v>
      </c>
      <c r="E73" s="21" t="s">
        <v>226</v>
      </c>
      <c r="F73" s="21" t="s">
        <v>600</v>
      </c>
      <c r="G73" s="21" t="s">
        <v>590</v>
      </c>
      <c r="H73" s="21" t="s">
        <v>416</v>
      </c>
      <c r="I73" s="21">
        <v>197.11</v>
      </c>
      <c r="J73" s="21">
        <v>1239</v>
      </c>
      <c r="K73" s="21" t="s">
        <v>168</v>
      </c>
      <c r="L73" s="21">
        <v>244219.29</v>
      </c>
      <c r="M73" s="21">
        <v>1239</v>
      </c>
      <c r="N73" s="21">
        <v>1239</v>
      </c>
      <c r="O73" s="21">
        <v>0</v>
      </c>
      <c r="P73" s="21" t="s">
        <v>200</v>
      </c>
      <c r="Q73" s="21" t="s">
        <v>200</v>
      </c>
      <c r="R73" s="21"/>
      <c r="S73" s="21"/>
      <c r="T73" s="21" t="s">
        <v>229</v>
      </c>
      <c r="U73" s="21">
        <v>1</v>
      </c>
      <c r="V73" s="21"/>
      <c r="W73" s="21">
        <v>9</v>
      </c>
      <c r="X73" s="21">
        <v>21979.74</v>
      </c>
      <c r="Y73" s="21">
        <v>9</v>
      </c>
      <c r="Z73" s="21">
        <v>21979.74</v>
      </c>
      <c r="AA73" s="21">
        <v>0</v>
      </c>
      <c r="AB73" s="21">
        <v>0</v>
      </c>
      <c r="AC73" s="21">
        <v>39232999</v>
      </c>
      <c r="AD73" s="21" t="s">
        <v>189</v>
      </c>
      <c r="AE73" s="23">
        <v>46244</v>
      </c>
      <c r="AF73" s="21">
        <v>0</v>
      </c>
      <c r="AG73" s="21">
        <v>0</v>
      </c>
      <c r="AH73" s="21"/>
      <c r="AI73" s="21">
        <v>0</v>
      </c>
      <c r="AJ73" s="21"/>
      <c r="AK73" s="21"/>
      <c r="AL73" s="21"/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/>
      <c r="AV73" s="21" t="s">
        <v>252</v>
      </c>
      <c r="AW73" s="21" t="s">
        <v>202</v>
      </c>
      <c r="AX73" s="21" t="s">
        <v>186</v>
      </c>
      <c r="AY73" s="21" t="s">
        <v>187</v>
      </c>
      <c r="AZ73" s="21" t="s">
        <v>188</v>
      </c>
      <c r="BA73" s="21" t="s">
        <v>152</v>
      </c>
      <c r="BB73" s="21" t="s">
        <v>152</v>
      </c>
    </row>
    <row r="74" spans="1:54" x14ac:dyDescent="0.25">
      <c r="A74" s="22"/>
      <c r="B74" s="21" t="s">
        <v>167</v>
      </c>
      <c r="C74" s="21">
        <v>472</v>
      </c>
      <c r="D74" s="23">
        <v>46244</v>
      </c>
      <c r="E74" s="21" t="s">
        <v>226</v>
      </c>
      <c r="F74" s="21" t="s">
        <v>600</v>
      </c>
      <c r="G74" s="21" t="s">
        <v>590</v>
      </c>
      <c r="H74" s="21" t="s">
        <v>417</v>
      </c>
      <c r="I74" s="21">
        <v>200.57</v>
      </c>
      <c r="J74" s="21">
        <v>1700</v>
      </c>
      <c r="K74" s="21" t="s">
        <v>168</v>
      </c>
      <c r="L74" s="21">
        <v>340969</v>
      </c>
      <c r="M74" s="21">
        <v>1700</v>
      </c>
      <c r="N74" s="21">
        <v>1700</v>
      </c>
      <c r="O74" s="21">
        <v>0</v>
      </c>
      <c r="P74" s="21" t="s">
        <v>200</v>
      </c>
      <c r="Q74" s="21" t="s">
        <v>200</v>
      </c>
      <c r="R74" s="21"/>
      <c r="S74" s="21"/>
      <c r="T74" s="21" t="s">
        <v>229</v>
      </c>
      <c r="U74" s="21">
        <v>1</v>
      </c>
      <c r="V74" s="21"/>
      <c r="W74" s="21">
        <v>9</v>
      </c>
      <c r="X74" s="21">
        <v>30687.21</v>
      </c>
      <c r="Y74" s="21">
        <v>9</v>
      </c>
      <c r="Z74" s="21">
        <v>30687.21</v>
      </c>
      <c r="AA74" s="21">
        <v>0</v>
      </c>
      <c r="AB74" s="21">
        <v>0</v>
      </c>
      <c r="AC74" s="21">
        <v>39232999</v>
      </c>
      <c r="AD74" s="21" t="s">
        <v>189</v>
      </c>
      <c r="AE74" s="23">
        <v>46244</v>
      </c>
      <c r="AF74" s="21">
        <v>0</v>
      </c>
      <c r="AG74" s="21">
        <v>0</v>
      </c>
      <c r="AH74" s="21"/>
      <c r="AI74" s="21">
        <v>0</v>
      </c>
      <c r="AJ74" s="21"/>
      <c r="AK74" s="21"/>
      <c r="AL74" s="21"/>
      <c r="AM74" s="21">
        <v>0</v>
      </c>
      <c r="AN74" s="21">
        <v>0</v>
      </c>
      <c r="AO74" s="21">
        <v>0</v>
      </c>
      <c r="AP74" s="21">
        <v>0</v>
      </c>
      <c r="AQ74" s="21">
        <v>0</v>
      </c>
      <c r="AR74" s="21">
        <v>0</v>
      </c>
      <c r="AS74" s="21">
        <v>0</v>
      </c>
      <c r="AT74" s="21">
        <v>0</v>
      </c>
      <c r="AU74" s="21"/>
      <c r="AV74" s="21" t="s">
        <v>252</v>
      </c>
      <c r="AW74" s="21" t="s">
        <v>202</v>
      </c>
      <c r="AX74" s="21" t="s">
        <v>186</v>
      </c>
      <c r="AY74" s="21" t="s">
        <v>187</v>
      </c>
      <c r="AZ74" s="21" t="s">
        <v>188</v>
      </c>
      <c r="BA74" s="21" t="s">
        <v>152</v>
      </c>
      <c r="BB74" s="21" t="s">
        <v>152</v>
      </c>
    </row>
    <row r="75" spans="1:54" x14ac:dyDescent="0.25">
      <c r="A75" s="22"/>
      <c r="B75" s="21" t="s">
        <v>167</v>
      </c>
      <c r="C75" s="21">
        <v>472</v>
      </c>
      <c r="D75" s="23">
        <v>46244</v>
      </c>
      <c r="E75" s="21" t="s">
        <v>226</v>
      </c>
      <c r="F75" s="21" t="s">
        <v>600</v>
      </c>
      <c r="G75" s="21" t="s">
        <v>590</v>
      </c>
      <c r="H75" s="21" t="s">
        <v>418</v>
      </c>
      <c r="I75" s="21">
        <v>212.34</v>
      </c>
      <c r="J75" s="21">
        <v>1251</v>
      </c>
      <c r="K75" s="21" t="s">
        <v>168</v>
      </c>
      <c r="L75" s="21">
        <v>265637.34000000003</v>
      </c>
      <c r="M75" s="21">
        <v>1251</v>
      </c>
      <c r="N75" s="21">
        <v>1251</v>
      </c>
      <c r="O75" s="21">
        <v>0</v>
      </c>
      <c r="P75" s="21" t="s">
        <v>200</v>
      </c>
      <c r="Q75" s="21" t="s">
        <v>200</v>
      </c>
      <c r="R75" s="21"/>
      <c r="S75" s="21"/>
      <c r="T75" s="21" t="s">
        <v>229</v>
      </c>
      <c r="U75" s="21">
        <v>1</v>
      </c>
      <c r="V75" s="21"/>
      <c r="W75" s="21">
        <v>9</v>
      </c>
      <c r="X75" s="21">
        <v>23907.360000000001</v>
      </c>
      <c r="Y75" s="21">
        <v>9</v>
      </c>
      <c r="Z75" s="21">
        <v>23907.360000000001</v>
      </c>
      <c r="AA75" s="21">
        <v>0</v>
      </c>
      <c r="AB75" s="21">
        <v>0</v>
      </c>
      <c r="AC75" s="21">
        <v>39232999</v>
      </c>
      <c r="AD75" s="21" t="s">
        <v>189</v>
      </c>
      <c r="AE75" s="23">
        <v>46244</v>
      </c>
      <c r="AF75" s="21">
        <v>0</v>
      </c>
      <c r="AG75" s="21">
        <v>0</v>
      </c>
      <c r="AH75" s="21"/>
      <c r="AI75" s="21">
        <v>0</v>
      </c>
      <c r="AJ75" s="21"/>
      <c r="AK75" s="21"/>
      <c r="AL75" s="21"/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  <c r="AT75" s="21">
        <v>0</v>
      </c>
      <c r="AU75" s="21"/>
      <c r="AV75" s="21" t="s">
        <v>252</v>
      </c>
      <c r="AW75" s="21" t="s">
        <v>202</v>
      </c>
      <c r="AX75" s="21" t="s">
        <v>186</v>
      </c>
      <c r="AY75" s="21" t="s">
        <v>187</v>
      </c>
      <c r="AZ75" s="21" t="s">
        <v>188</v>
      </c>
      <c r="BA75" s="21" t="s">
        <v>152</v>
      </c>
      <c r="BB75" s="21" t="s">
        <v>152</v>
      </c>
    </row>
    <row r="76" spans="1:54" x14ac:dyDescent="0.25">
      <c r="A76" s="22"/>
      <c r="B76" s="21" t="s">
        <v>167</v>
      </c>
      <c r="C76" s="21">
        <v>472</v>
      </c>
      <c r="D76" s="23">
        <v>46244</v>
      </c>
      <c r="E76" s="21" t="s">
        <v>226</v>
      </c>
      <c r="F76" s="21" t="s">
        <v>600</v>
      </c>
      <c r="G76" s="21" t="s">
        <v>590</v>
      </c>
      <c r="H76" s="21" t="s">
        <v>419</v>
      </c>
      <c r="I76" s="21">
        <v>198.96</v>
      </c>
      <c r="J76" s="21">
        <v>3886</v>
      </c>
      <c r="K76" s="21" t="s">
        <v>168</v>
      </c>
      <c r="L76" s="21">
        <v>773158.56</v>
      </c>
      <c r="M76" s="21">
        <v>3886</v>
      </c>
      <c r="N76" s="21">
        <v>3886</v>
      </c>
      <c r="O76" s="21">
        <v>0</v>
      </c>
      <c r="P76" s="21" t="s">
        <v>200</v>
      </c>
      <c r="Q76" s="21" t="s">
        <v>200</v>
      </c>
      <c r="R76" s="21"/>
      <c r="S76" s="21"/>
      <c r="T76" s="21" t="s">
        <v>229</v>
      </c>
      <c r="U76" s="21">
        <v>1</v>
      </c>
      <c r="V76" s="21"/>
      <c r="W76" s="21">
        <v>9</v>
      </c>
      <c r="X76" s="21">
        <v>69584.27</v>
      </c>
      <c r="Y76" s="21">
        <v>9</v>
      </c>
      <c r="Z76" s="21">
        <v>69584.27</v>
      </c>
      <c r="AA76" s="21">
        <v>0</v>
      </c>
      <c r="AB76" s="21">
        <v>0</v>
      </c>
      <c r="AC76" s="21">
        <v>39232999</v>
      </c>
      <c r="AD76" s="21" t="s">
        <v>189</v>
      </c>
      <c r="AE76" s="23">
        <v>46244</v>
      </c>
      <c r="AF76" s="21">
        <v>0</v>
      </c>
      <c r="AG76" s="21">
        <v>0</v>
      </c>
      <c r="AH76" s="21"/>
      <c r="AI76" s="21">
        <v>0</v>
      </c>
      <c r="AJ76" s="21"/>
      <c r="AK76" s="21"/>
      <c r="AL76" s="21"/>
      <c r="AM76" s="21">
        <v>0</v>
      </c>
      <c r="AN76" s="21">
        <v>0</v>
      </c>
      <c r="AO76" s="21">
        <v>0</v>
      </c>
      <c r="AP76" s="21">
        <v>0</v>
      </c>
      <c r="AQ76" s="21">
        <v>0</v>
      </c>
      <c r="AR76" s="21">
        <v>0</v>
      </c>
      <c r="AS76" s="21">
        <v>0</v>
      </c>
      <c r="AT76" s="21">
        <v>0</v>
      </c>
      <c r="AU76" s="21"/>
      <c r="AV76" s="21" t="s">
        <v>252</v>
      </c>
      <c r="AW76" s="21" t="s">
        <v>202</v>
      </c>
      <c r="AX76" s="21" t="s">
        <v>186</v>
      </c>
      <c r="AY76" s="21" t="s">
        <v>187</v>
      </c>
      <c r="AZ76" s="21" t="s">
        <v>188</v>
      </c>
      <c r="BA76" s="21" t="s">
        <v>152</v>
      </c>
      <c r="BB76" s="21" t="s">
        <v>152</v>
      </c>
    </row>
    <row r="77" spans="1:54" x14ac:dyDescent="0.25">
      <c r="A77" s="22"/>
      <c r="B77" s="21" t="s">
        <v>167</v>
      </c>
      <c r="C77" s="21">
        <v>472</v>
      </c>
      <c r="D77" s="23">
        <v>46244</v>
      </c>
      <c r="E77" s="21" t="s">
        <v>226</v>
      </c>
      <c r="F77" s="21" t="s">
        <v>600</v>
      </c>
      <c r="G77" s="21" t="s">
        <v>590</v>
      </c>
      <c r="H77" s="21" t="s">
        <v>420</v>
      </c>
      <c r="I77" s="21">
        <v>187.37</v>
      </c>
      <c r="J77" s="21">
        <v>3069</v>
      </c>
      <c r="K77" s="21" t="s">
        <v>168</v>
      </c>
      <c r="L77" s="21">
        <v>575038.53</v>
      </c>
      <c r="M77" s="21">
        <v>3069</v>
      </c>
      <c r="N77" s="21">
        <v>3069</v>
      </c>
      <c r="O77" s="21">
        <v>0</v>
      </c>
      <c r="P77" s="21" t="s">
        <v>200</v>
      </c>
      <c r="Q77" s="21" t="s">
        <v>200</v>
      </c>
      <c r="R77" s="21"/>
      <c r="S77" s="21"/>
      <c r="T77" s="21" t="s">
        <v>229</v>
      </c>
      <c r="U77" s="21">
        <v>1</v>
      </c>
      <c r="V77" s="21"/>
      <c r="W77" s="21">
        <v>9</v>
      </c>
      <c r="X77" s="21">
        <v>51753.47</v>
      </c>
      <c r="Y77" s="21">
        <v>9</v>
      </c>
      <c r="Z77" s="21">
        <v>51753.47</v>
      </c>
      <c r="AA77" s="21">
        <v>0</v>
      </c>
      <c r="AB77" s="21">
        <v>0</v>
      </c>
      <c r="AC77" s="21">
        <v>39232999</v>
      </c>
      <c r="AD77" s="21" t="s">
        <v>189</v>
      </c>
      <c r="AE77" s="23">
        <v>46244</v>
      </c>
      <c r="AF77" s="21">
        <v>0</v>
      </c>
      <c r="AG77" s="21">
        <v>0</v>
      </c>
      <c r="AH77" s="21"/>
      <c r="AI77" s="21">
        <v>0</v>
      </c>
      <c r="AJ77" s="21"/>
      <c r="AK77" s="21"/>
      <c r="AL77" s="21"/>
      <c r="AM77" s="21">
        <v>0</v>
      </c>
      <c r="AN77" s="21">
        <v>0</v>
      </c>
      <c r="AO77" s="21">
        <v>0</v>
      </c>
      <c r="AP77" s="21">
        <v>0</v>
      </c>
      <c r="AQ77" s="21">
        <v>0</v>
      </c>
      <c r="AR77" s="21">
        <v>0</v>
      </c>
      <c r="AS77" s="21">
        <v>0</v>
      </c>
      <c r="AT77" s="21">
        <v>0</v>
      </c>
      <c r="AU77" s="21"/>
      <c r="AV77" s="21" t="s">
        <v>252</v>
      </c>
      <c r="AW77" s="21" t="s">
        <v>202</v>
      </c>
      <c r="AX77" s="21" t="s">
        <v>186</v>
      </c>
      <c r="AY77" s="21" t="s">
        <v>187</v>
      </c>
      <c r="AZ77" s="21" t="s">
        <v>188</v>
      </c>
      <c r="BA77" s="21" t="s">
        <v>152</v>
      </c>
      <c r="BB77" s="21" t="s">
        <v>152</v>
      </c>
    </row>
    <row r="78" spans="1:54" x14ac:dyDescent="0.25">
      <c r="A78" s="22"/>
      <c r="B78" s="21" t="s">
        <v>167</v>
      </c>
      <c r="C78" s="21">
        <v>472</v>
      </c>
      <c r="D78" s="23">
        <v>46244</v>
      </c>
      <c r="E78" s="21" t="s">
        <v>226</v>
      </c>
      <c r="F78" s="21" t="s">
        <v>600</v>
      </c>
      <c r="G78" s="21" t="s">
        <v>590</v>
      </c>
      <c r="H78" s="21" t="s">
        <v>421</v>
      </c>
      <c r="I78" s="21">
        <v>187.27</v>
      </c>
      <c r="J78" s="21">
        <v>827</v>
      </c>
      <c r="K78" s="21" t="s">
        <v>168</v>
      </c>
      <c r="L78" s="21">
        <v>154872.29</v>
      </c>
      <c r="M78" s="21">
        <v>827</v>
      </c>
      <c r="N78" s="21">
        <v>827</v>
      </c>
      <c r="O78" s="21">
        <v>0</v>
      </c>
      <c r="P78" s="21" t="s">
        <v>200</v>
      </c>
      <c r="Q78" s="21" t="s">
        <v>200</v>
      </c>
      <c r="R78" s="21"/>
      <c r="S78" s="21"/>
      <c r="T78" s="21" t="s">
        <v>229</v>
      </c>
      <c r="U78" s="21">
        <v>1</v>
      </c>
      <c r="V78" s="21"/>
      <c r="W78" s="21">
        <v>9</v>
      </c>
      <c r="X78" s="21">
        <v>13938.51</v>
      </c>
      <c r="Y78" s="21">
        <v>9</v>
      </c>
      <c r="Z78" s="21">
        <v>13938.51</v>
      </c>
      <c r="AA78" s="21">
        <v>0</v>
      </c>
      <c r="AB78" s="21">
        <v>0</v>
      </c>
      <c r="AC78" s="21">
        <v>39232999</v>
      </c>
      <c r="AD78" s="21" t="s">
        <v>189</v>
      </c>
      <c r="AE78" s="23">
        <v>46244</v>
      </c>
      <c r="AF78" s="21">
        <v>0</v>
      </c>
      <c r="AG78" s="21">
        <v>0</v>
      </c>
      <c r="AH78" s="21"/>
      <c r="AI78" s="21">
        <v>0</v>
      </c>
      <c r="AJ78" s="21"/>
      <c r="AK78" s="21"/>
      <c r="AL78" s="21"/>
      <c r="AM78" s="21">
        <v>0</v>
      </c>
      <c r="AN78" s="21">
        <v>0</v>
      </c>
      <c r="AO78" s="21">
        <v>0</v>
      </c>
      <c r="AP78" s="21">
        <v>0</v>
      </c>
      <c r="AQ78" s="21">
        <v>0</v>
      </c>
      <c r="AR78" s="21">
        <v>0</v>
      </c>
      <c r="AS78" s="21">
        <v>0</v>
      </c>
      <c r="AT78" s="21">
        <v>0</v>
      </c>
      <c r="AU78" s="21"/>
      <c r="AV78" s="21" t="s">
        <v>252</v>
      </c>
      <c r="AW78" s="21" t="s">
        <v>202</v>
      </c>
      <c r="AX78" s="21" t="s">
        <v>186</v>
      </c>
      <c r="AY78" s="21" t="s">
        <v>187</v>
      </c>
      <c r="AZ78" s="21" t="s">
        <v>188</v>
      </c>
      <c r="BA78" s="21" t="s">
        <v>152</v>
      </c>
      <c r="BB78" s="21" t="s">
        <v>152</v>
      </c>
    </row>
    <row r="79" spans="1:54" x14ac:dyDescent="0.25">
      <c r="A79" s="22"/>
      <c r="B79" s="21" t="s">
        <v>167</v>
      </c>
      <c r="C79" s="21">
        <v>473</v>
      </c>
      <c r="D79" s="23">
        <v>46244</v>
      </c>
      <c r="E79" s="21" t="s">
        <v>212</v>
      </c>
      <c r="F79" s="21" t="s">
        <v>194</v>
      </c>
      <c r="G79" s="21" t="s">
        <v>233</v>
      </c>
      <c r="H79" s="21" t="s">
        <v>392</v>
      </c>
      <c r="I79" s="21">
        <v>135.58000000000001</v>
      </c>
      <c r="J79" s="21">
        <v>3027</v>
      </c>
      <c r="K79" s="21" t="s">
        <v>168</v>
      </c>
      <c r="L79" s="21">
        <v>410400.66</v>
      </c>
      <c r="M79" s="21">
        <v>3027</v>
      </c>
      <c r="N79" s="21">
        <v>3027</v>
      </c>
      <c r="O79" s="21">
        <v>897741.3</v>
      </c>
      <c r="P79" s="21" t="s">
        <v>232</v>
      </c>
      <c r="Q79" s="21" t="s">
        <v>232</v>
      </c>
      <c r="R79" s="21"/>
      <c r="S79" s="21"/>
      <c r="T79" s="21" t="s">
        <v>229</v>
      </c>
      <c r="U79" s="21">
        <v>1</v>
      </c>
      <c r="V79" s="21"/>
      <c r="W79" s="21">
        <v>9</v>
      </c>
      <c r="X79" s="21">
        <v>36936.06</v>
      </c>
      <c r="Y79" s="21">
        <v>9</v>
      </c>
      <c r="Z79" s="21">
        <v>36936.06</v>
      </c>
      <c r="AA79" s="21">
        <v>0</v>
      </c>
      <c r="AB79" s="21">
        <v>0</v>
      </c>
      <c r="AC79" s="21">
        <v>39269080</v>
      </c>
      <c r="AD79" s="21" t="s">
        <v>189</v>
      </c>
      <c r="AE79" s="23">
        <v>46244</v>
      </c>
      <c r="AF79" s="21">
        <v>0</v>
      </c>
      <c r="AG79" s="21">
        <v>0</v>
      </c>
      <c r="AH79" s="21"/>
      <c r="AI79" s="21">
        <v>0</v>
      </c>
      <c r="AJ79" s="21"/>
      <c r="AK79" s="21"/>
      <c r="AL79" s="21"/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/>
      <c r="AV79" s="21" t="s">
        <v>236</v>
      </c>
      <c r="AW79" s="21" t="s">
        <v>202</v>
      </c>
      <c r="AX79" s="21" t="s">
        <v>177</v>
      </c>
      <c r="AY79" s="21" t="s">
        <v>178</v>
      </c>
      <c r="AZ79" s="21" t="s">
        <v>169</v>
      </c>
      <c r="BA79" s="21" t="s">
        <v>179</v>
      </c>
      <c r="BB79" s="21" t="s">
        <v>156</v>
      </c>
    </row>
    <row r="80" spans="1:54" x14ac:dyDescent="0.25">
      <c r="A80" s="22"/>
      <c r="B80" s="21" t="s">
        <v>167</v>
      </c>
      <c r="C80" s="21">
        <v>473</v>
      </c>
      <c r="D80" s="23">
        <v>46244</v>
      </c>
      <c r="E80" s="21" t="s">
        <v>212</v>
      </c>
      <c r="F80" s="21" t="s">
        <v>194</v>
      </c>
      <c r="G80" s="21" t="s">
        <v>233</v>
      </c>
      <c r="H80" s="21" t="s">
        <v>391</v>
      </c>
      <c r="I80" s="21">
        <v>139.58000000000001</v>
      </c>
      <c r="J80" s="21">
        <v>1957</v>
      </c>
      <c r="K80" s="21" t="s">
        <v>168</v>
      </c>
      <c r="L80" s="21">
        <v>273158.06</v>
      </c>
      <c r="M80" s="21">
        <v>1957</v>
      </c>
      <c r="N80" s="21">
        <v>1957</v>
      </c>
      <c r="O80" s="21">
        <v>0</v>
      </c>
      <c r="P80" s="21" t="s">
        <v>232</v>
      </c>
      <c r="Q80" s="21" t="s">
        <v>232</v>
      </c>
      <c r="R80" s="21"/>
      <c r="S80" s="21"/>
      <c r="T80" s="21" t="s">
        <v>229</v>
      </c>
      <c r="U80" s="21">
        <v>1</v>
      </c>
      <c r="V80" s="21"/>
      <c r="W80" s="21">
        <v>9</v>
      </c>
      <c r="X80" s="21">
        <v>24584.23</v>
      </c>
      <c r="Y80" s="21">
        <v>9</v>
      </c>
      <c r="Z80" s="21">
        <v>24584.23</v>
      </c>
      <c r="AA80" s="21">
        <v>0</v>
      </c>
      <c r="AB80" s="21">
        <v>0</v>
      </c>
      <c r="AC80" s="21">
        <v>39269080</v>
      </c>
      <c r="AD80" s="21" t="s">
        <v>189</v>
      </c>
      <c r="AE80" s="23">
        <v>46244</v>
      </c>
      <c r="AF80" s="21">
        <v>0</v>
      </c>
      <c r="AG80" s="21">
        <v>0</v>
      </c>
      <c r="AH80" s="21"/>
      <c r="AI80" s="21">
        <v>0</v>
      </c>
      <c r="AJ80" s="21"/>
      <c r="AK80" s="21"/>
      <c r="AL80" s="21"/>
      <c r="AM80" s="21">
        <v>0</v>
      </c>
      <c r="AN80" s="21">
        <v>0</v>
      </c>
      <c r="AO80" s="21">
        <v>0</v>
      </c>
      <c r="AP80" s="21">
        <v>0</v>
      </c>
      <c r="AQ80" s="21">
        <v>0</v>
      </c>
      <c r="AR80" s="21">
        <v>0</v>
      </c>
      <c r="AS80" s="21">
        <v>0</v>
      </c>
      <c r="AT80" s="21">
        <v>0</v>
      </c>
      <c r="AU80" s="21"/>
      <c r="AV80" s="21" t="s">
        <v>236</v>
      </c>
      <c r="AW80" s="21" t="s">
        <v>202</v>
      </c>
      <c r="AX80" s="21" t="s">
        <v>177</v>
      </c>
      <c r="AY80" s="21" t="s">
        <v>178</v>
      </c>
      <c r="AZ80" s="21" t="s">
        <v>169</v>
      </c>
      <c r="BA80" s="21" t="s">
        <v>179</v>
      </c>
      <c r="BB80" s="21" t="s">
        <v>156</v>
      </c>
    </row>
    <row r="81" spans="1:54" x14ac:dyDescent="0.25">
      <c r="A81" s="22"/>
      <c r="B81" s="21" t="s">
        <v>167</v>
      </c>
      <c r="C81" s="21">
        <v>473</v>
      </c>
      <c r="D81" s="23">
        <v>46244</v>
      </c>
      <c r="E81" s="21" t="s">
        <v>212</v>
      </c>
      <c r="F81" s="21" t="s">
        <v>194</v>
      </c>
      <c r="G81" s="21" t="s">
        <v>233</v>
      </c>
      <c r="H81" s="21" t="s">
        <v>601</v>
      </c>
      <c r="I81" s="21">
        <v>160.58000000000001</v>
      </c>
      <c r="J81" s="21">
        <v>481</v>
      </c>
      <c r="K81" s="21" t="s">
        <v>168</v>
      </c>
      <c r="L81" s="21">
        <v>77238.98</v>
      </c>
      <c r="M81" s="21">
        <v>481</v>
      </c>
      <c r="N81" s="21">
        <v>481</v>
      </c>
      <c r="O81" s="21">
        <v>0</v>
      </c>
      <c r="P81" s="21" t="s">
        <v>232</v>
      </c>
      <c r="Q81" s="21" t="s">
        <v>232</v>
      </c>
      <c r="R81" s="21"/>
      <c r="S81" s="21"/>
      <c r="T81" s="21" t="s">
        <v>229</v>
      </c>
      <c r="U81" s="21">
        <v>1</v>
      </c>
      <c r="V81" s="21"/>
      <c r="W81" s="21">
        <v>9</v>
      </c>
      <c r="X81" s="21">
        <v>6951.51</v>
      </c>
      <c r="Y81" s="21">
        <v>9</v>
      </c>
      <c r="Z81" s="21">
        <v>6951.51</v>
      </c>
      <c r="AA81" s="21">
        <v>0</v>
      </c>
      <c r="AB81" s="21">
        <v>0</v>
      </c>
      <c r="AC81" s="21">
        <v>39269080</v>
      </c>
      <c r="AD81" s="21" t="s">
        <v>189</v>
      </c>
      <c r="AE81" s="23">
        <v>46244</v>
      </c>
      <c r="AF81" s="21">
        <v>0</v>
      </c>
      <c r="AG81" s="21">
        <v>0</v>
      </c>
      <c r="AH81" s="21"/>
      <c r="AI81" s="21">
        <v>0</v>
      </c>
      <c r="AJ81" s="21"/>
      <c r="AK81" s="21"/>
      <c r="AL81" s="21"/>
      <c r="AM81" s="21">
        <v>0</v>
      </c>
      <c r="AN81" s="21">
        <v>0</v>
      </c>
      <c r="AO81" s="21">
        <v>0</v>
      </c>
      <c r="AP81" s="21">
        <v>0</v>
      </c>
      <c r="AQ81" s="21">
        <v>0</v>
      </c>
      <c r="AR81" s="21">
        <v>0</v>
      </c>
      <c r="AS81" s="21">
        <v>0</v>
      </c>
      <c r="AT81" s="21">
        <v>0</v>
      </c>
      <c r="AU81" s="21"/>
      <c r="AV81" s="21" t="s">
        <v>236</v>
      </c>
      <c r="AW81" s="21" t="s">
        <v>202</v>
      </c>
      <c r="AX81" s="21" t="s">
        <v>177</v>
      </c>
      <c r="AY81" s="21" t="s">
        <v>178</v>
      </c>
      <c r="AZ81" s="21" t="s">
        <v>169</v>
      </c>
      <c r="BA81" s="21" t="s">
        <v>179</v>
      </c>
      <c r="BB81" s="21" t="s">
        <v>156</v>
      </c>
    </row>
    <row r="82" spans="1:54" x14ac:dyDescent="0.25">
      <c r="A82" s="22"/>
      <c r="B82" s="21" t="s">
        <v>167</v>
      </c>
      <c r="C82" s="21" t="s">
        <v>411</v>
      </c>
      <c r="D82" s="23">
        <v>46244</v>
      </c>
      <c r="E82" s="21" t="s">
        <v>215</v>
      </c>
      <c r="F82" s="21" t="s">
        <v>305</v>
      </c>
      <c r="G82" s="21" t="s">
        <v>238</v>
      </c>
      <c r="H82" s="21" t="s">
        <v>413</v>
      </c>
      <c r="I82" s="21">
        <v>5.36</v>
      </c>
      <c r="J82" s="21">
        <v>8160</v>
      </c>
      <c r="K82" s="21" t="s">
        <v>224</v>
      </c>
      <c r="L82" s="21">
        <v>4124455.6799999899</v>
      </c>
      <c r="M82" s="21">
        <v>19241</v>
      </c>
      <c r="N82" s="21">
        <v>19817</v>
      </c>
      <c r="O82" s="21">
        <v>4124455.6799999899</v>
      </c>
      <c r="P82" s="21" t="s">
        <v>200</v>
      </c>
      <c r="Q82" s="21" t="s">
        <v>200</v>
      </c>
      <c r="R82" s="21"/>
      <c r="S82" s="21"/>
      <c r="T82" s="21" t="s">
        <v>242</v>
      </c>
      <c r="U82" s="21">
        <v>94.3</v>
      </c>
      <c r="V82" s="21" t="s">
        <v>240</v>
      </c>
      <c r="W82" s="21"/>
      <c r="X82" s="21"/>
      <c r="Y82" s="21"/>
      <c r="Z82" s="21"/>
      <c r="AA82" s="21">
        <v>18</v>
      </c>
      <c r="AB82" s="21">
        <v>7872.77</v>
      </c>
      <c r="AC82" s="21">
        <v>63053200</v>
      </c>
      <c r="AD82" s="21" t="s">
        <v>189</v>
      </c>
      <c r="AE82" s="23">
        <v>46244</v>
      </c>
      <c r="AF82" s="21">
        <v>43737.599999999999</v>
      </c>
      <c r="AG82" s="21">
        <v>4124455.6799999899</v>
      </c>
      <c r="AH82" s="21" t="s">
        <v>243</v>
      </c>
      <c r="AI82" s="21">
        <v>43737.599999999999</v>
      </c>
      <c r="AJ82" s="21"/>
      <c r="AK82" s="21"/>
      <c r="AL82" s="21">
        <v>6220250</v>
      </c>
      <c r="AM82" s="21">
        <v>0</v>
      </c>
      <c r="AN82" s="21">
        <v>0</v>
      </c>
      <c r="AO82" s="21">
        <v>0</v>
      </c>
      <c r="AP82" s="21">
        <v>0</v>
      </c>
      <c r="AQ82" s="21">
        <v>0</v>
      </c>
      <c r="AR82" s="21">
        <v>0</v>
      </c>
      <c r="AS82" s="21">
        <v>0</v>
      </c>
      <c r="AT82" s="21">
        <v>0</v>
      </c>
      <c r="AU82" s="21" t="s">
        <v>602</v>
      </c>
      <c r="AV82" s="21" t="s">
        <v>264</v>
      </c>
      <c r="AW82" s="21" t="s">
        <v>218</v>
      </c>
      <c r="AX82" s="21" t="s">
        <v>190</v>
      </c>
      <c r="AY82" s="21" t="s">
        <v>191</v>
      </c>
      <c r="AZ82" s="21" t="s">
        <v>188</v>
      </c>
      <c r="BA82" s="21" t="s">
        <v>152</v>
      </c>
      <c r="BB82" s="21" t="s">
        <v>162</v>
      </c>
    </row>
    <row r="83" spans="1:54" x14ac:dyDescent="0.25">
      <c r="A83" s="22"/>
      <c r="B83" s="21" t="s">
        <v>167</v>
      </c>
      <c r="C83" s="21" t="s">
        <v>422</v>
      </c>
      <c r="D83" s="23">
        <v>46244</v>
      </c>
      <c r="E83" s="21" t="s">
        <v>249</v>
      </c>
      <c r="F83" s="21" t="s">
        <v>194</v>
      </c>
      <c r="G83" s="21" t="s">
        <v>231</v>
      </c>
      <c r="H83" s="21" t="s">
        <v>423</v>
      </c>
      <c r="I83" s="21">
        <v>138.58000000000001</v>
      </c>
      <c r="J83" s="21">
        <v>489</v>
      </c>
      <c r="K83" s="21" t="s">
        <v>168</v>
      </c>
      <c r="L83" s="21">
        <v>67765.62</v>
      </c>
      <c r="M83" s="21">
        <v>489</v>
      </c>
      <c r="N83" s="21">
        <v>512</v>
      </c>
      <c r="O83" s="21">
        <v>162693</v>
      </c>
      <c r="P83" s="21" t="s">
        <v>232</v>
      </c>
      <c r="Q83" s="21" t="s">
        <v>232</v>
      </c>
      <c r="R83" s="21"/>
      <c r="S83" s="21"/>
      <c r="T83" s="21" t="s">
        <v>229</v>
      </c>
      <c r="U83" s="21">
        <v>1</v>
      </c>
      <c r="V83" s="21" t="s">
        <v>240</v>
      </c>
      <c r="W83" s="21">
        <v>0</v>
      </c>
      <c r="X83" s="21">
        <v>0</v>
      </c>
      <c r="Y83" s="21">
        <v>0</v>
      </c>
      <c r="Z83" s="21">
        <v>0</v>
      </c>
      <c r="AA83" s="21">
        <v>18</v>
      </c>
      <c r="AB83" s="21">
        <v>12197.81</v>
      </c>
      <c r="AC83" s="21">
        <v>39269080</v>
      </c>
      <c r="AD83" s="21" t="s">
        <v>189</v>
      </c>
      <c r="AE83" s="23">
        <v>46244</v>
      </c>
      <c r="AF83" s="21">
        <v>0</v>
      </c>
      <c r="AG83" s="21">
        <v>0</v>
      </c>
      <c r="AH83" s="21"/>
      <c r="AI83" s="21">
        <v>0</v>
      </c>
      <c r="AJ83" s="21"/>
      <c r="AK83" s="21"/>
      <c r="AL83" s="21"/>
      <c r="AM83" s="21">
        <v>0</v>
      </c>
      <c r="AN83" s="21">
        <v>0</v>
      </c>
      <c r="AO83" s="21">
        <v>0</v>
      </c>
      <c r="AP83" s="21">
        <v>0</v>
      </c>
      <c r="AQ83" s="21">
        <v>0</v>
      </c>
      <c r="AR83" s="21">
        <v>0</v>
      </c>
      <c r="AS83" s="21">
        <v>0</v>
      </c>
      <c r="AT83" s="21">
        <v>0</v>
      </c>
      <c r="AU83" s="21"/>
      <c r="AV83" s="21" t="s">
        <v>244</v>
      </c>
      <c r="AW83" s="21" t="s">
        <v>202</v>
      </c>
      <c r="AX83" s="21" t="s">
        <v>182</v>
      </c>
      <c r="AY83" s="21" t="s">
        <v>183</v>
      </c>
      <c r="AZ83" s="21" t="s">
        <v>169</v>
      </c>
      <c r="BA83" s="21" t="s">
        <v>179</v>
      </c>
      <c r="BB83" s="21" t="s">
        <v>297</v>
      </c>
    </row>
    <row r="84" spans="1:54" x14ac:dyDescent="0.25">
      <c r="A84" s="22"/>
      <c r="B84" s="21" t="s">
        <v>167</v>
      </c>
      <c r="C84" s="21" t="s">
        <v>422</v>
      </c>
      <c r="D84" s="23">
        <v>46244</v>
      </c>
      <c r="E84" s="21" t="s">
        <v>249</v>
      </c>
      <c r="F84" s="21" t="s">
        <v>194</v>
      </c>
      <c r="G84" s="21" t="s">
        <v>235</v>
      </c>
      <c r="H84" s="21" t="s">
        <v>292</v>
      </c>
      <c r="I84" s="21">
        <v>138.58000000000001</v>
      </c>
      <c r="J84" s="21">
        <v>685</v>
      </c>
      <c r="K84" s="21" t="s">
        <v>168</v>
      </c>
      <c r="L84" s="21">
        <v>94927.3</v>
      </c>
      <c r="M84" s="21">
        <v>685</v>
      </c>
      <c r="N84" s="21">
        <v>685</v>
      </c>
      <c r="O84" s="21">
        <v>0</v>
      </c>
      <c r="P84" s="21" t="s">
        <v>232</v>
      </c>
      <c r="Q84" s="21" t="s">
        <v>181</v>
      </c>
      <c r="R84" s="21"/>
      <c r="S84" s="21"/>
      <c r="T84" s="21" t="s">
        <v>229</v>
      </c>
      <c r="U84" s="21">
        <v>1</v>
      </c>
      <c r="V84" s="21" t="s">
        <v>240</v>
      </c>
      <c r="W84" s="21">
        <v>0</v>
      </c>
      <c r="X84" s="21">
        <v>0</v>
      </c>
      <c r="Y84" s="21">
        <v>0</v>
      </c>
      <c r="Z84" s="21">
        <v>0</v>
      </c>
      <c r="AA84" s="21">
        <v>18</v>
      </c>
      <c r="AB84" s="21">
        <v>17086.91</v>
      </c>
      <c r="AC84" s="21">
        <v>39269080</v>
      </c>
      <c r="AD84" s="21" t="s">
        <v>189</v>
      </c>
      <c r="AE84" s="23">
        <v>46244</v>
      </c>
      <c r="AF84" s="21">
        <v>0</v>
      </c>
      <c r="AG84" s="21">
        <v>0</v>
      </c>
      <c r="AH84" s="21"/>
      <c r="AI84" s="21">
        <v>0</v>
      </c>
      <c r="AJ84" s="21"/>
      <c r="AK84" s="21"/>
      <c r="AL84" s="21"/>
      <c r="AM84" s="21">
        <v>0</v>
      </c>
      <c r="AN84" s="21">
        <v>0</v>
      </c>
      <c r="AO84" s="21">
        <v>0</v>
      </c>
      <c r="AP84" s="21">
        <v>0</v>
      </c>
      <c r="AQ84" s="21">
        <v>0</v>
      </c>
      <c r="AR84" s="21">
        <v>0</v>
      </c>
      <c r="AS84" s="21">
        <v>0</v>
      </c>
      <c r="AT84" s="21">
        <v>0</v>
      </c>
      <c r="AU84" s="21"/>
      <c r="AV84" s="21" t="s">
        <v>244</v>
      </c>
      <c r="AW84" s="21" t="s">
        <v>202</v>
      </c>
      <c r="AX84" s="21" t="s">
        <v>180</v>
      </c>
      <c r="AY84" s="21" t="s">
        <v>181</v>
      </c>
      <c r="AZ84" s="21" t="s">
        <v>169</v>
      </c>
      <c r="BA84" s="21" t="s">
        <v>181</v>
      </c>
      <c r="BB84" s="21" t="s">
        <v>578</v>
      </c>
    </row>
    <row r="85" spans="1:54" x14ac:dyDescent="0.25">
      <c r="A85" s="22"/>
      <c r="B85" s="21" t="s">
        <v>167</v>
      </c>
      <c r="C85" s="21">
        <v>474</v>
      </c>
      <c r="D85" s="23">
        <v>46245</v>
      </c>
      <c r="E85" s="21" t="s">
        <v>212</v>
      </c>
      <c r="F85" s="21" t="s">
        <v>251</v>
      </c>
      <c r="G85" s="21" t="s">
        <v>259</v>
      </c>
      <c r="H85" s="21" t="s">
        <v>196</v>
      </c>
      <c r="I85" s="21">
        <v>245</v>
      </c>
      <c r="J85" s="21">
        <v>4.3499999999999996</v>
      </c>
      <c r="K85" s="21" t="s">
        <v>168</v>
      </c>
      <c r="L85" s="21">
        <v>1065.75</v>
      </c>
      <c r="M85" s="21">
        <v>4.3499999999999996</v>
      </c>
      <c r="N85" s="21">
        <v>4.3499999999999996</v>
      </c>
      <c r="O85" s="21">
        <v>1257.5899999999999</v>
      </c>
      <c r="P85" s="21" t="s">
        <v>237</v>
      </c>
      <c r="Q85" s="21" t="s">
        <v>237</v>
      </c>
      <c r="R85" s="21"/>
      <c r="S85" s="21"/>
      <c r="T85" s="21" t="s">
        <v>229</v>
      </c>
      <c r="U85" s="21">
        <v>1</v>
      </c>
      <c r="V85" s="21"/>
      <c r="W85" s="21">
        <v>9</v>
      </c>
      <c r="X85" s="21">
        <v>95.92</v>
      </c>
      <c r="Y85" s="21">
        <v>9</v>
      </c>
      <c r="Z85" s="21">
        <v>95.92</v>
      </c>
      <c r="AA85" s="21">
        <v>0</v>
      </c>
      <c r="AB85" s="21">
        <v>0</v>
      </c>
      <c r="AC85" s="21">
        <v>39201019</v>
      </c>
      <c r="AD85" s="21" t="s">
        <v>189</v>
      </c>
      <c r="AE85" s="23">
        <v>46245</v>
      </c>
      <c r="AF85" s="21">
        <v>0</v>
      </c>
      <c r="AG85" s="21">
        <v>0</v>
      </c>
      <c r="AH85" s="21"/>
      <c r="AI85" s="21">
        <v>0</v>
      </c>
      <c r="AJ85" s="21"/>
      <c r="AK85" s="21"/>
      <c r="AL85" s="21"/>
      <c r="AM85" s="21">
        <v>0</v>
      </c>
      <c r="AN85" s="21">
        <v>0</v>
      </c>
      <c r="AO85" s="21">
        <v>0</v>
      </c>
      <c r="AP85" s="21">
        <v>0</v>
      </c>
      <c r="AQ85" s="21">
        <v>0</v>
      </c>
      <c r="AR85" s="21">
        <v>0</v>
      </c>
      <c r="AS85" s="21">
        <v>0</v>
      </c>
      <c r="AT85" s="21">
        <v>0</v>
      </c>
      <c r="AU85" s="21"/>
      <c r="AV85" s="21" t="s">
        <v>236</v>
      </c>
      <c r="AW85" s="21" t="s">
        <v>202</v>
      </c>
      <c r="AX85" s="21" t="s">
        <v>195</v>
      </c>
      <c r="AY85" s="21" t="s">
        <v>196</v>
      </c>
      <c r="AZ85" s="21" t="s">
        <v>169</v>
      </c>
      <c r="BA85" s="21" t="s">
        <v>197</v>
      </c>
      <c r="BB85" s="21" t="s">
        <v>158</v>
      </c>
    </row>
    <row r="86" spans="1:54" x14ac:dyDescent="0.25">
      <c r="A86" s="22"/>
      <c r="B86" s="21" t="s">
        <v>167</v>
      </c>
      <c r="C86" s="21">
        <v>475</v>
      </c>
      <c r="D86" s="23">
        <v>46245</v>
      </c>
      <c r="E86" s="21" t="s">
        <v>198</v>
      </c>
      <c r="F86" s="21" t="s">
        <v>174</v>
      </c>
      <c r="G86" s="21" t="s">
        <v>590</v>
      </c>
      <c r="H86" s="21" t="s">
        <v>444</v>
      </c>
      <c r="I86" s="21">
        <v>179.89</v>
      </c>
      <c r="J86" s="21">
        <v>1595</v>
      </c>
      <c r="K86" s="21" t="s">
        <v>168</v>
      </c>
      <c r="L86" s="21">
        <v>286924.55</v>
      </c>
      <c r="M86" s="21">
        <v>1595</v>
      </c>
      <c r="N86" s="21">
        <v>1595</v>
      </c>
      <c r="O86" s="21">
        <v>975891.42</v>
      </c>
      <c r="P86" s="21" t="s">
        <v>200</v>
      </c>
      <c r="Q86" s="21" t="s">
        <v>200</v>
      </c>
      <c r="R86" s="21"/>
      <c r="S86" s="21"/>
      <c r="T86" s="21" t="s">
        <v>229</v>
      </c>
      <c r="U86" s="21">
        <v>1</v>
      </c>
      <c r="V86" s="21"/>
      <c r="W86" s="21">
        <v>9</v>
      </c>
      <c r="X86" s="21">
        <v>25823.21</v>
      </c>
      <c r="Y86" s="21">
        <v>9</v>
      </c>
      <c r="Z86" s="21">
        <v>25823.21</v>
      </c>
      <c r="AA86" s="21">
        <v>0</v>
      </c>
      <c r="AB86" s="21">
        <v>0</v>
      </c>
      <c r="AC86" s="21">
        <v>39232999</v>
      </c>
      <c r="AD86" s="21" t="s">
        <v>189</v>
      </c>
      <c r="AE86" s="23">
        <v>46245</v>
      </c>
      <c r="AF86" s="21">
        <v>0</v>
      </c>
      <c r="AG86" s="21">
        <v>0</v>
      </c>
      <c r="AH86" s="21"/>
      <c r="AI86" s="21">
        <v>0</v>
      </c>
      <c r="AJ86" s="21"/>
      <c r="AK86" s="21"/>
      <c r="AL86" s="21"/>
      <c r="AM86" s="21">
        <v>0</v>
      </c>
      <c r="AN86" s="21">
        <v>0</v>
      </c>
      <c r="AO86" s="21">
        <v>0</v>
      </c>
      <c r="AP86" s="21">
        <v>0</v>
      </c>
      <c r="AQ86" s="21">
        <v>0</v>
      </c>
      <c r="AR86" s="21">
        <v>0</v>
      </c>
      <c r="AS86" s="21">
        <v>0</v>
      </c>
      <c r="AT86" s="21">
        <v>0</v>
      </c>
      <c r="AU86" s="21"/>
      <c r="AV86" s="21" t="s">
        <v>230</v>
      </c>
      <c r="AW86" s="21" t="s">
        <v>202</v>
      </c>
      <c r="AX86" s="21" t="s">
        <v>186</v>
      </c>
      <c r="AY86" s="21" t="s">
        <v>187</v>
      </c>
      <c r="AZ86" s="21" t="s">
        <v>188</v>
      </c>
      <c r="BA86" s="21" t="s">
        <v>152</v>
      </c>
      <c r="BB86" s="21" t="s">
        <v>152</v>
      </c>
    </row>
    <row r="87" spans="1:54" x14ac:dyDescent="0.25">
      <c r="A87" s="22"/>
      <c r="B87" s="21" t="s">
        <v>167</v>
      </c>
      <c r="C87" s="21">
        <v>475</v>
      </c>
      <c r="D87" s="23">
        <v>46245</v>
      </c>
      <c r="E87" s="21" t="s">
        <v>198</v>
      </c>
      <c r="F87" s="21" t="s">
        <v>174</v>
      </c>
      <c r="G87" s="21" t="s">
        <v>590</v>
      </c>
      <c r="H87" s="21" t="s">
        <v>445</v>
      </c>
      <c r="I87" s="21">
        <v>177.49</v>
      </c>
      <c r="J87" s="21">
        <v>3043</v>
      </c>
      <c r="K87" s="21" t="s">
        <v>168</v>
      </c>
      <c r="L87" s="21">
        <v>540102.06999999995</v>
      </c>
      <c r="M87" s="21">
        <v>3043</v>
      </c>
      <c r="N87" s="21">
        <v>3043</v>
      </c>
      <c r="O87" s="21">
        <v>0</v>
      </c>
      <c r="P87" s="21" t="s">
        <v>200</v>
      </c>
      <c r="Q87" s="21" t="s">
        <v>200</v>
      </c>
      <c r="R87" s="21"/>
      <c r="S87" s="21"/>
      <c r="T87" s="21" t="s">
        <v>229</v>
      </c>
      <c r="U87" s="21">
        <v>1</v>
      </c>
      <c r="V87" s="21"/>
      <c r="W87" s="21">
        <v>9</v>
      </c>
      <c r="X87" s="21">
        <v>48609.19</v>
      </c>
      <c r="Y87" s="21">
        <v>9</v>
      </c>
      <c r="Z87" s="21">
        <v>48609.19</v>
      </c>
      <c r="AA87" s="21">
        <v>0</v>
      </c>
      <c r="AB87" s="21">
        <v>0</v>
      </c>
      <c r="AC87" s="21">
        <v>39232999</v>
      </c>
      <c r="AD87" s="21" t="s">
        <v>189</v>
      </c>
      <c r="AE87" s="23">
        <v>46245</v>
      </c>
      <c r="AF87" s="21">
        <v>0</v>
      </c>
      <c r="AG87" s="21">
        <v>0</v>
      </c>
      <c r="AH87" s="21"/>
      <c r="AI87" s="21">
        <v>0</v>
      </c>
      <c r="AJ87" s="21"/>
      <c r="AK87" s="21"/>
      <c r="AL87" s="21"/>
      <c r="AM87" s="21">
        <v>0</v>
      </c>
      <c r="AN87" s="21">
        <v>0</v>
      </c>
      <c r="AO87" s="21">
        <v>0</v>
      </c>
      <c r="AP87" s="21">
        <v>0</v>
      </c>
      <c r="AQ87" s="21">
        <v>0</v>
      </c>
      <c r="AR87" s="21">
        <v>0</v>
      </c>
      <c r="AS87" s="21">
        <v>0</v>
      </c>
      <c r="AT87" s="21">
        <v>0</v>
      </c>
      <c r="AU87" s="21"/>
      <c r="AV87" s="21" t="s">
        <v>230</v>
      </c>
      <c r="AW87" s="21" t="s">
        <v>202</v>
      </c>
      <c r="AX87" s="21" t="s">
        <v>186</v>
      </c>
      <c r="AY87" s="21" t="s">
        <v>187</v>
      </c>
      <c r="AZ87" s="21" t="s">
        <v>188</v>
      </c>
      <c r="BA87" s="21" t="s">
        <v>152</v>
      </c>
      <c r="BB87" s="21" t="s">
        <v>152</v>
      </c>
    </row>
    <row r="88" spans="1:54" x14ac:dyDescent="0.25">
      <c r="A88" s="22"/>
      <c r="B88" s="21" t="s">
        <v>167</v>
      </c>
      <c r="C88" s="21">
        <v>476</v>
      </c>
      <c r="D88" s="23">
        <v>46245</v>
      </c>
      <c r="E88" s="21" t="s">
        <v>198</v>
      </c>
      <c r="F88" s="21" t="s">
        <v>174</v>
      </c>
      <c r="G88" s="21" t="s">
        <v>231</v>
      </c>
      <c r="H88" s="21" t="s">
        <v>257</v>
      </c>
      <c r="I88" s="21">
        <v>133.58000000000001</v>
      </c>
      <c r="J88" s="21">
        <v>187</v>
      </c>
      <c r="K88" s="21" t="s">
        <v>168</v>
      </c>
      <c r="L88" s="21">
        <v>24979.46</v>
      </c>
      <c r="M88" s="21">
        <v>187</v>
      </c>
      <c r="N88" s="21">
        <v>187</v>
      </c>
      <c r="O88" s="21">
        <v>29475.759999999998</v>
      </c>
      <c r="P88" s="21" t="s">
        <v>200</v>
      </c>
      <c r="Q88" s="21" t="s">
        <v>232</v>
      </c>
      <c r="R88" s="21"/>
      <c r="S88" s="21"/>
      <c r="T88" s="21" t="s">
        <v>229</v>
      </c>
      <c r="U88" s="21">
        <v>1</v>
      </c>
      <c r="V88" s="21"/>
      <c r="W88" s="21">
        <v>9</v>
      </c>
      <c r="X88" s="21">
        <v>2248.15</v>
      </c>
      <c r="Y88" s="21">
        <v>9</v>
      </c>
      <c r="Z88" s="21">
        <v>2248.15</v>
      </c>
      <c r="AA88" s="21">
        <v>0</v>
      </c>
      <c r="AB88" s="21">
        <v>0</v>
      </c>
      <c r="AC88" s="21">
        <v>39269080</v>
      </c>
      <c r="AD88" s="21" t="s">
        <v>189</v>
      </c>
      <c r="AE88" s="23">
        <v>46245</v>
      </c>
      <c r="AF88" s="21">
        <v>0</v>
      </c>
      <c r="AG88" s="21">
        <v>0</v>
      </c>
      <c r="AH88" s="21"/>
      <c r="AI88" s="21">
        <v>0</v>
      </c>
      <c r="AJ88" s="21"/>
      <c r="AK88" s="21"/>
      <c r="AL88" s="21"/>
      <c r="AM88" s="21">
        <v>0</v>
      </c>
      <c r="AN88" s="21">
        <v>0</v>
      </c>
      <c r="AO88" s="21">
        <v>0</v>
      </c>
      <c r="AP88" s="21">
        <v>0</v>
      </c>
      <c r="AQ88" s="21">
        <v>0</v>
      </c>
      <c r="AR88" s="21">
        <v>0</v>
      </c>
      <c r="AS88" s="21">
        <v>0</v>
      </c>
      <c r="AT88" s="21">
        <v>0</v>
      </c>
      <c r="AU88" s="21"/>
      <c r="AV88" s="21" t="s">
        <v>230</v>
      </c>
      <c r="AW88" s="21" t="s">
        <v>202</v>
      </c>
      <c r="AX88" s="21" t="s">
        <v>234</v>
      </c>
      <c r="AY88" s="21" t="s">
        <v>153</v>
      </c>
      <c r="AZ88" s="21" t="s">
        <v>188</v>
      </c>
      <c r="BA88" s="21" t="s">
        <v>153</v>
      </c>
      <c r="BB88" s="21" t="s">
        <v>153</v>
      </c>
    </row>
    <row r="89" spans="1:54" x14ac:dyDescent="0.25">
      <c r="A89" s="22"/>
      <c r="B89" s="21" t="s">
        <v>167</v>
      </c>
      <c r="C89" s="21">
        <v>477</v>
      </c>
      <c r="D89" s="23">
        <v>46245</v>
      </c>
      <c r="E89" s="21" t="s">
        <v>226</v>
      </c>
      <c r="F89" s="21" t="s">
        <v>603</v>
      </c>
      <c r="G89" s="21" t="s">
        <v>590</v>
      </c>
      <c r="H89" s="21" t="s">
        <v>430</v>
      </c>
      <c r="I89" s="21">
        <v>201.75</v>
      </c>
      <c r="J89" s="21">
        <v>1339</v>
      </c>
      <c r="K89" s="21" t="s">
        <v>168</v>
      </c>
      <c r="L89" s="21">
        <v>270143.25</v>
      </c>
      <c r="M89" s="21">
        <v>1339</v>
      </c>
      <c r="N89" s="21">
        <v>1339</v>
      </c>
      <c r="O89" s="21">
        <v>2090332.73</v>
      </c>
      <c r="P89" s="21" t="s">
        <v>200</v>
      </c>
      <c r="Q89" s="21" t="s">
        <v>200</v>
      </c>
      <c r="R89" s="21"/>
      <c r="S89" s="21"/>
      <c r="T89" s="21" t="s">
        <v>229</v>
      </c>
      <c r="U89" s="21">
        <v>1</v>
      </c>
      <c r="V89" s="21"/>
      <c r="W89" s="21">
        <v>9</v>
      </c>
      <c r="X89" s="21">
        <v>24312.89</v>
      </c>
      <c r="Y89" s="21">
        <v>9</v>
      </c>
      <c r="Z89" s="21">
        <v>24312.89</v>
      </c>
      <c r="AA89" s="21">
        <v>0</v>
      </c>
      <c r="AB89" s="21">
        <v>0</v>
      </c>
      <c r="AC89" s="21">
        <v>39232999</v>
      </c>
      <c r="AD89" s="21" t="s">
        <v>189</v>
      </c>
      <c r="AE89" s="23">
        <v>46245</v>
      </c>
      <c r="AF89" s="21">
        <v>0</v>
      </c>
      <c r="AG89" s="21">
        <v>0</v>
      </c>
      <c r="AH89" s="21"/>
      <c r="AI89" s="21">
        <v>0</v>
      </c>
      <c r="AJ89" s="21"/>
      <c r="AK89" s="21"/>
      <c r="AL89" s="21"/>
      <c r="AM89" s="21">
        <v>0</v>
      </c>
      <c r="AN89" s="21">
        <v>0</v>
      </c>
      <c r="AO89" s="21">
        <v>0</v>
      </c>
      <c r="AP89" s="21">
        <v>0</v>
      </c>
      <c r="AQ89" s="21">
        <v>0</v>
      </c>
      <c r="AR89" s="21">
        <v>0</v>
      </c>
      <c r="AS89" s="21">
        <v>0</v>
      </c>
      <c r="AT89" s="21">
        <v>0</v>
      </c>
      <c r="AU89" s="21"/>
      <c r="AV89" s="21" t="s">
        <v>252</v>
      </c>
      <c r="AW89" s="21" t="s">
        <v>202</v>
      </c>
      <c r="AX89" s="21" t="s">
        <v>186</v>
      </c>
      <c r="AY89" s="21" t="s">
        <v>187</v>
      </c>
      <c r="AZ89" s="21" t="s">
        <v>188</v>
      </c>
      <c r="BA89" s="21" t="s">
        <v>152</v>
      </c>
      <c r="BB89" s="21" t="s">
        <v>152</v>
      </c>
    </row>
    <row r="90" spans="1:54" x14ac:dyDescent="0.25">
      <c r="A90" s="22"/>
      <c r="B90" s="21" t="s">
        <v>167</v>
      </c>
      <c r="C90" s="21">
        <v>477</v>
      </c>
      <c r="D90" s="23">
        <v>46245</v>
      </c>
      <c r="E90" s="21" t="s">
        <v>226</v>
      </c>
      <c r="F90" s="21" t="s">
        <v>603</v>
      </c>
      <c r="G90" s="21" t="s">
        <v>590</v>
      </c>
      <c r="H90" s="21" t="s">
        <v>431</v>
      </c>
      <c r="I90" s="21">
        <v>196.1</v>
      </c>
      <c r="J90" s="21">
        <v>2224</v>
      </c>
      <c r="K90" s="21" t="s">
        <v>168</v>
      </c>
      <c r="L90" s="21">
        <v>436126.4</v>
      </c>
      <c r="M90" s="21">
        <v>2224</v>
      </c>
      <c r="N90" s="21">
        <v>2224</v>
      </c>
      <c r="O90" s="21">
        <v>0</v>
      </c>
      <c r="P90" s="21" t="s">
        <v>200</v>
      </c>
      <c r="Q90" s="21" t="s">
        <v>200</v>
      </c>
      <c r="R90" s="21"/>
      <c r="S90" s="21"/>
      <c r="T90" s="21" t="s">
        <v>229</v>
      </c>
      <c r="U90" s="21">
        <v>1</v>
      </c>
      <c r="V90" s="21"/>
      <c r="W90" s="21">
        <v>9</v>
      </c>
      <c r="X90" s="21">
        <v>39251.379999999997</v>
      </c>
      <c r="Y90" s="21">
        <v>9</v>
      </c>
      <c r="Z90" s="21">
        <v>39251.379999999997</v>
      </c>
      <c r="AA90" s="21">
        <v>0</v>
      </c>
      <c r="AB90" s="21">
        <v>0</v>
      </c>
      <c r="AC90" s="21">
        <v>39232999</v>
      </c>
      <c r="AD90" s="21" t="s">
        <v>189</v>
      </c>
      <c r="AE90" s="23">
        <v>46245</v>
      </c>
      <c r="AF90" s="21">
        <v>0</v>
      </c>
      <c r="AG90" s="21">
        <v>0</v>
      </c>
      <c r="AH90" s="21"/>
      <c r="AI90" s="21">
        <v>0</v>
      </c>
      <c r="AJ90" s="21"/>
      <c r="AK90" s="21"/>
      <c r="AL90" s="21"/>
      <c r="AM90" s="21">
        <v>0</v>
      </c>
      <c r="AN90" s="21">
        <v>0</v>
      </c>
      <c r="AO90" s="21">
        <v>0</v>
      </c>
      <c r="AP90" s="21">
        <v>0</v>
      </c>
      <c r="AQ90" s="21">
        <v>0</v>
      </c>
      <c r="AR90" s="21">
        <v>0</v>
      </c>
      <c r="AS90" s="21">
        <v>0</v>
      </c>
      <c r="AT90" s="21">
        <v>0</v>
      </c>
      <c r="AU90" s="21"/>
      <c r="AV90" s="21" t="s">
        <v>252</v>
      </c>
      <c r="AW90" s="21" t="s">
        <v>202</v>
      </c>
      <c r="AX90" s="21" t="s">
        <v>186</v>
      </c>
      <c r="AY90" s="21" t="s">
        <v>187</v>
      </c>
      <c r="AZ90" s="21" t="s">
        <v>188</v>
      </c>
      <c r="BA90" s="21" t="s">
        <v>152</v>
      </c>
      <c r="BB90" s="21" t="s">
        <v>152</v>
      </c>
    </row>
    <row r="91" spans="1:54" x14ac:dyDescent="0.25">
      <c r="A91" s="22"/>
      <c r="B91" s="21" t="s">
        <v>167</v>
      </c>
      <c r="C91" s="21">
        <v>477</v>
      </c>
      <c r="D91" s="23">
        <v>46245</v>
      </c>
      <c r="E91" s="21" t="s">
        <v>226</v>
      </c>
      <c r="F91" s="21" t="s">
        <v>603</v>
      </c>
      <c r="G91" s="21" t="s">
        <v>590</v>
      </c>
      <c r="H91" s="21" t="s">
        <v>432</v>
      </c>
      <c r="I91" s="21">
        <v>198.56</v>
      </c>
      <c r="J91" s="21">
        <v>2592</v>
      </c>
      <c r="K91" s="21" t="s">
        <v>168</v>
      </c>
      <c r="L91" s="21">
        <v>514667.52000000002</v>
      </c>
      <c r="M91" s="21">
        <v>2592</v>
      </c>
      <c r="N91" s="21">
        <v>2592</v>
      </c>
      <c r="O91" s="21">
        <v>0</v>
      </c>
      <c r="P91" s="21" t="s">
        <v>200</v>
      </c>
      <c r="Q91" s="21" t="s">
        <v>200</v>
      </c>
      <c r="R91" s="21"/>
      <c r="S91" s="21"/>
      <c r="T91" s="21" t="s">
        <v>229</v>
      </c>
      <c r="U91" s="21">
        <v>1</v>
      </c>
      <c r="V91" s="21"/>
      <c r="W91" s="21">
        <v>9</v>
      </c>
      <c r="X91" s="21">
        <v>46320.08</v>
      </c>
      <c r="Y91" s="21">
        <v>9</v>
      </c>
      <c r="Z91" s="21">
        <v>46320.08</v>
      </c>
      <c r="AA91" s="21">
        <v>0</v>
      </c>
      <c r="AB91" s="21">
        <v>0</v>
      </c>
      <c r="AC91" s="21">
        <v>39232999</v>
      </c>
      <c r="AD91" s="21" t="s">
        <v>189</v>
      </c>
      <c r="AE91" s="23">
        <v>46245</v>
      </c>
      <c r="AF91" s="21">
        <v>0</v>
      </c>
      <c r="AG91" s="21">
        <v>0</v>
      </c>
      <c r="AH91" s="21"/>
      <c r="AI91" s="21">
        <v>0</v>
      </c>
      <c r="AJ91" s="21"/>
      <c r="AK91" s="21"/>
      <c r="AL91" s="21"/>
      <c r="AM91" s="21">
        <v>0</v>
      </c>
      <c r="AN91" s="21">
        <v>0</v>
      </c>
      <c r="AO91" s="21">
        <v>0</v>
      </c>
      <c r="AP91" s="21">
        <v>0</v>
      </c>
      <c r="AQ91" s="21">
        <v>0</v>
      </c>
      <c r="AR91" s="21">
        <v>0</v>
      </c>
      <c r="AS91" s="21">
        <v>0</v>
      </c>
      <c r="AT91" s="21">
        <v>0</v>
      </c>
      <c r="AU91" s="21"/>
      <c r="AV91" s="21" t="s">
        <v>252</v>
      </c>
      <c r="AW91" s="21" t="s">
        <v>202</v>
      </c>
      <c r="AX91" s="21" t="s">
        <v>186</v>
      </c>
      <c r="AY91" s="21" t="s">
        <v>187</v>
      </c>
      <c r="AZ91" s="21" t="s">
        <v>188</v>
      </c>
      <c r="BA91" s="21" t="s">
        <v>152</v>
      </c>
      <c r="BB91" s="21" t="s">
        <v>152</v>
      </c>
    </row>
    <row r="92" spans="1:54" x14ac:dyDescent="0.25">
      <c r="A92" s="22"/>
      <c r="B92" s="21" t="s">
        <v>167</v>
      </c>
      <c r="C92" s="21">
        <v>477</v>
      </c>
      <c r="D92" s="23">
        <v>46245</v>
      </c>
      <c r="E92" s="21" t="s">
        <v>226</v>
      </c>
      <c r="F92" s="21" t="s">
        <v>603</v>
      </c>
      <c r="G92" s="21" t="s">
        <v>590</v>
      </c>
      <c r="H92" s="21" t="s">
        <v>433</v>
      </c>
      <c r="I92" s="21">
        <v>210.77</v>
      </c>
      <c r="J92" s="21">
        <v>2612</v>
      </c>
      <c r="K92" s="21" t="s">
        <v>168</v>
      </c>
      <c r="L92" s="21">
        <v>550531.24</v>
      </c>
      <c r="M92" s="21">
        <v>2612</v>
      </c>
      <c r="N92" s="21">
        <v>2612</v>
      </c>
      <c r="O92" s="21">
        <v>0</v>
      </c>
      <c r="P92" s="21" t="s">
        <v>200</v>
      </c>
      <c r="Q92" s="21" t="s">
        <v>200</v>
      </c>
      <c r="R92" s="21"/>
      <c r="S92" s="21"/>
      <c r="T92" s="21" t="s">
        <v>229</v>
      </c>
      <c r="U92" s="21">
        <v>1</v>
      </c>
      <c r="V92" s="21"/>
      <c r="W92" s="21">
        <v>9</v>
      </c>
      <c r="X92" s="21">
        <v>49547.81</v>
      </c>
      <c r="Y92" s="21">
        <v>9</v>
      </c>
      <c r="Z92" s="21">
        <v>49547.81</v>
      </c>
      <c r="AA92" s="21">
        <v>0</v>
      </c>
      <c r="AB92" s="21">
        <v>0</v>
      </c>
      <c r="AC92" s="21">
        <v>39232999</v>
      </c>
      <c r="AD92" s="21" t="s">
        <v>189</v>
      </c>
      <c r="AE92" s="23">
        <v>46245</v>
      </c>
      <c r="AF92" s="21">
        <v>0</v>
      </c>
      <c r="AG92" s="21">
        <v>0</v>
      </c>
      <c r="AH92" s="21"/>
      <c r="AI92" s="21">
        <v>0</v>
      </c>
      <c r="AJ92" s="21"/>
      <c r="AK92" s="21"/>
      <c r="AL92" s="21"/>
      <c r="AM92" s="21">
        <v>0</v>
      </c>
      <c r="AN92" s="21">
        <v>0</v>
      </c>
      <c r="AO92" s="21">
        <v>0</v>
      </c>
      <c r="AP92" s="21">
        <v>0</v>
      </c>
      <c r="AQ92" s="21">
        <v>0</v>
      </c>
      <c r="AR92" s="21">
        <v>0</v>
      </c>
      <c r="AS92" s="21">
        <v>0</v>
      </c>
      <c r="AT92" s="21">
        <v>0</v>
      </c>
      <c r="AU92" s="21"/>
      <c r="AV92" s="21" t="s">
        <v>252</v>
      </c>
      <c r="AW92" s="21" t="s">
        <v>202</v>
      </c>
      <c r="AX92" s="21" t="s">
        <v>186</v>
      </c>
      <c r="AY92" s="21" t="s">
        <v>187</v>
      </c>
      <c r="AZ92" s="21" t="s">
        <v>188</v>
      </c>
      <c r="BA92" s="21" t="s">
        <v>152</v>
      </c>
      <c r="BB92" s="21" t="s">
        <v>152</v>
      </c>
    </row>
    <row r="93" spans="1:54" x14ac:dyDescent="0.25">
      <c r="A93" s="22"/>
      <c r="B93" s="21" t="s">
        <v>167</v>
      </c>
      <c r="C93" s="21">
        <v>478</v>
      </c>
      <c r="D93" s="23">
        <v>46245</v>
      </c>
      <c r="E93" s="21" t="s">
        <v>226</v>
      </c>
      <c r="F93" s="21" t="s">
        <v>604</v>
      </c>
      <c r="G93" s="21" t="s">
        <v>590</v>
      </c>
      <c r="H93" s="21" t="s">
        <v>438</v>
      </c>
      <c r="I93" s="21">
        <v>344.28</v>
      </c>
      <c r="J93" s="21">
        <v>3846.6</v>
      </c>
      <c r="K93" s="21" t="s">
        <v>168</v>
      </c>
      <c r="L93" s="21">
        <v>1324307.45</v>
      </c>
      <c r="M93" s="21">
        <v>3846.6</v>
      </c>
      <c r="N93" s="21">
        <v>3846.6</v>
      </c>
      <c r="O93" s="21">
        <v>5845886.9000000004</v>
      </c>
      <c r="P93" s="21" t="s">
        <v>200</v>
      </c>
      <c r="Q93" s="21" t="s">
        <v>200</v>
      </c>
      <c r="R93" s="21"/>
      <c r="S93" s="21"/>
      <c r="T93" s="21" t="s">
        <v>229</v>
      </c>
      <c r="U93" s="21">
        <v>1</v>
      </c>
      <c r="V93" s="21"/>
      <c r="W93" s="21">
        <v>9</v>
      </c>
      <c r="X93" s="21">
        <v>119187.67</v>
      </c>
      <c r="Y93" s="21">
        <v>9</v>
      </c>
      <c r="Z93" s="21">
        <v>119187.67</v>
      </c>
      <c r="AA93" s="21">
        <v>0</v>
      </c>
      <c r="AB93" s="21">
        <v>0</v>
      </c>
      <c r="AC93" s="21">
        <v>39232999</v>
      </c>
      <c r="AD93" s="21" t="s">
        <v>189</v>
      </c>
      <c r="AE93" s="23">
        <v>46245</v>
      </c>
      <c r="AF93" s="21">
        <v>0</v>
      </c>
      <c r="AG93" s="21">
        <v>0</v>
      </c>
      <c r="AH93" s="21"/>
      <c r="AI93" s="21">
        <v>0</v>
      </c>
      <c r="AJ93" s="21"/>
      <c r="AK93" s="21"/>
      <c r="AL93" s="21"/>
      <c r="AM93" s="21">
        <v>0</v>
      </c>
      <c r="AN93" s="21">
        <v>0</v>
      </c>
      <c r="AO93" s="21">
        <v>0</v>
      </c>
      <c r="AP93" s="21">
        <v>0</v>
      </c>
      <c r="AQ93" s="21">
        <v>0</v>
      </c>
      <c r="AR93" s="21">
        <v>0</v>
      </c>
      <c r="AS93" s="21">
        <v>0</v>
      </c>
      <c r="AT93" s="21">
        <v>0</v>
      </c>
      <c r="AU93" s="21"/>
      <c r="AV93" s="21" t="s">
        <v>252</v>
      </c>
      <c r="AW93" s="21" t="s">
        <v>202</v>
      </c>
      <c r="AX93" s="21" t="s">
        <v>186</v>
      </c>
      <c r="AY93" s="21" t="s">
        <v>187</v>
      </c>
      <c r="AZ93" s="21" t="s">
        <v>188</v>
      </c>
      <c r="BA93" s="21" t="s">
        <v>152</v>
      </c>
      <c r="BB93" s="21" t="s">
        <v>152</v>
      </c>
    </row>
    <row r="94" spans="1:54" x14ac:dyDescent="0.25">
      <c r="A94" s="22"/>
      <c r="B94" s="21" t="s">
        <v>167</v>
      </c>
      <c r="C94" s="21">
        <v>478</v>
      </c>
      <c r="D94" s="23">
        <v>46245</v>
      </c>
      <c r="E94" s="21" t="s">
        <v>226</v>
      </c>
      <c r="F94" s="21" t="s">
        <v>604</v>
      </c>
      <c r="G94" s="21" t="s">
        <v>590</v>
      </c>
      <c r="H94" s="21" t="s">
        <v>439</v>
      </c>
      <c r="I94" s="21">
        <v>234</v>
      </c>
      <c r="J94" s="21">
        <v>870</v>
      </c>
      <c r="K94" s="21" t="s">
        <v>168</v>
      </c>
      <c r="L94" s="21">
        <v>203580</v>
      </c>
      <c r="M94" s="21">
        <v>870</v>
      </c>
      <c r="N94" s="21">
        <v>870</v>
      </c>
      <c r="O94" s="21">
        <v>0</v>
      </c>
      <c r="P94" s="21" t="s">
        <v>200</v>
      </c>
      <c r="Q94" s="21" t="s">
        <v>200</v>
      </c>
      <c r="R94" s="21"/>
      <c r="S94" s="21"/>
      <c r="T94" s="21" t="s">
        <v>229</v>
      </c>
      <c r="U94" s="21">
        <v>1</v>
      </c>
      <c r="V94" s="21"/>
      <c r="W94" s="21">
        <v>9</v>
      </c>
      <c r="X94" s="21">
        <v>18322.2</v>
      </c>
      <c r="Y94" s="21">
        <v>9</v>
      </c>
      <c r="Z94" s="21">
        <v>18322.2</v>
      </c>
      <c r="AA94" s="21">
        <v>0</v>
      </c>
      <c r="AB94" s="21">
        <v>0</v>
      </c>
      <c r="AC94" s="21">
        <v>39232999</v>
      </c>
      <c r="AD94" s="21" t="s">
        <v>189</v>
      </c>
      <c r="AE94" s="23">
        <v>46245</v>
      </c>
      <c r="AF94" s="21">
        <v>0</v>
      </c>
      <c r="AG94" s="21">
        <v>0</v>
      </c>
      <c r="AH94" s="21"/>
      <c r="AI94" s="21">
        <v>0</v>
      </c>
      <c r="AJ94" s="21"/>
      <c r="AK94" s="21"/>
      <c r="AL94" s="21"/>
      <c r="AM94" s="21">
        <v>0</v>
      </c>
      <c r="AN94" s="21">
        <v>0</v>
      </c>
      <c r="AO94" s="21">
        <v>0</v>
      </c>
      <c r="AP94" s="21">
        <v>0</v>
      </c>
      <c r="AQ94" s="21">
        <v>0</v>
      </c>
      <c r="AR94" s="21">
        <v>0</v>
      </c>
      <c r="AS94" s="21">
        <v>0</v>
      </c>
      <c r="AT94" s="21">
        <v>0</v>
      </c>
      <c r="AU94" s="21"/>
      <c r="AV94" s="21" t="s">
        <v>252</v>
      </c>
      <c r="AW94" s="21" t="s">
        <v>202</v>
      </c>
      <c r="AX94" s="21" t="s">
        <v>186</v>
      </c>
      <c r="AY94" s="21" t="s">
        <v>187</v>
      </c>
      <c r="AZ94" s="21" t="s">
        <v>188</v>
      </c>
      <c r="BA94" s="21" t="s">
        <v>152</v>
      </c>
      <c r="BB94" s="21" t="s">
        <v>152</v>
      </c>
    </row>
    <row r="95" spans="1:54" x14ac:dyDescent="0.25">
      <c r="A95" s="22"/>
      <c r="B95" s="21" t="s">
        <v>167</v>
      </c>
      <c r="C95" s="21">
        <v>478</v>
      </c>
      <c r="D95" s="23">
        <v>46245</v>
      </c>
      <c r="E95" s="21" t="s">
        <v>226</v>
      </c>
      <c r="F95" s="21" t="s">
        <v>604</v>
      </c>
      <c r="G95" s="21" t="s">
        <v>590</v>
      </c>
      <c r="H95" s="21" t="s">
        <v>440</v>
      </c>
      <c r="I95" s="21">
        <v>225.21</v>
      </c>
      <c r="J95" s="21">
        <v>2576</v>
      </c>
      <c r="K95" s="21" t="s">
        <v>168</v>
      </c>
      <c r="L95" s="21">
        <v>580140.96</v>
      </c>
      <c r="M95" s="21">
        <v>2576</v>
      </c>
      <c r="N95" s="21">
        <v>2576</v>
      </c>
      <c r="O95" s="21">
        <v>0</v>
      </c>
      <c r="P95" s="21" t="s">
        <v>200</v>
      </c>
      <c r="Q95" s="21" t="s">
        <v>200</v>
      </c>
      <c r="R95" s="21"/>
      <c r="S95" s="21"/>
      <c r="T95" s="21" t="s">
        <v>229</v>
      </c>
      <c r="U95" s="21">
        <v>1</v>
      </c>
      <c r="V95" s="21"/>
      <c r="W95" s="21">
        <v>9</v>
      </c>
      <c r="X95" s="21">
        <v>52212.69</v>
      </c>
      <c r="Y95" s="21">
        <v>9</v>
      </c>
      <c r="Z95" s="21">
        <v>52212.69</v>
      </c>
      <c r="AA95" s="21">
        <v>0</v>
      </c>
      <c r="AB95" s="21">
        <v>0</v>
      </c>
      <c r="AC95" s="21">
        <v>39232999</v>
      </c>
      <c r="AD95" s="21" t="s">
        <v>189</v>
      </c>
      <c r="AE95" s="23">
        <v>46245</v>
      </c>
      <c r="AF95" s="21">
        <v>0</v>
      </c>
      <c r="AG95" s="21">
        <v>0</v>
      </c>
      <c r="AH95" s="21"/>
      <c r="AI95" s="21">
        <v>0</v>
      </c>
      <c r="AJ95" s="21"/>
      <c r="AK95" s="21"/>
      <c r="AL95" s="21"/>
      <c r="AM95" s="21">
        <v>0</v>
      </c>
      <c r="AN95" s="21">
        <v>0</v>
      </c>
      <c r="AO95" s="21">
        <v>0</v>
      </c>
      <c r="AP95" s="21">
        <v>0</v>
      </c>
      <c r="AQ95" s="21">
        <v>0</v>
      </c>
      <c r="AR95" s="21">
        <v>0</v>
      </c>
      <c r="AS95" s="21">
        <v>0</v>
      </c>
      <c r="AT95" s="21">
        <v>0</v>
      </c>
      <c r="AU95" s="21"/>
      <c r="AV95" s="21" t="s">
        <v>252</v>
      </c>
      <c r="AW95" s="21" t="s">
        <v>202</v>
      </c>
      <c r="AX95" s="21" t="s">
        <v>186</v>
      </c>
      <c r="AY95" s="21" t="s">
        <v>187</v>
      </c>
      <c r="AZ95" s="21" t="s">
        <v>188</v>
      </c>
      <c r="BA95" s="21" t="s">
        <v>152</v>
      </c>
      <c r="BB95" s="21" t="s">
        <v>152</v>
      </c>
    </row>
    <row r="96" spans="1:54" x14ac:dyDescent="0.25">
      <c r="A96" s="22"/>
      <c r="B96" s="21" t="s">
        <v>167</v>
      </c>
      <c r="C96" s="21">
        <v>478</v>
      </c>
      <c r="D96" s="23">
        <v>46245</v>
      </c>
      <c r="E96" s="21" t="s">
        <v>226</v>
      </c>
      <c r="F96" s="21" t="s">
        <v>604</v>
      </c>
      <c r="G96" s="21" t="s">
        <v>590</v>
      </c>
      <c r="H96" s="21" t="s">
        <v>285</v>
      </c>
      <c r="I96" s="21">
        <v>199.43</v>
      </c>
      <c r="J96" s="21">
        <v>1314</v>
      </c>
      <c r="K96" s="21" t="s">
        <v>168</v>
      </c>
      <c r="L96" s="21">
        <v>262051.02</v>
      </c>
      <c r="M96" s="21">
        <v>1314</v>
      </c>
      <c r="N96" s="21">
        <v>1314</v>
      </c>
      <c r="O96" s="21">
        <v>0</v>
      </c>
      <c r="P96" s="21" t="s">
        <v>200</v>
      </c>
      <c r="Q96" s="21" t="s">
        <v>200</v>
      </c>
      <c r="R96" s="21"/>
      <c r="S96" s="21"/>
      <c r="T96" s="21" t="s">
        <v>229</v>
      </c>
      <c r="U96" s="21">
        <v>1</v>
      </c>
      <c r="V96" s="21"/>
      <c r="W96" s="21">
        <v>9</v>
      </c>
      <c r="X96" s="21">
        <v>23584.59</v>
      </c>
      <c r="Y96" s="21">
        <v>9</v>
      </c>
      <c r="Z96" s="21">
        <v>23584.59</v>
      </c>
      <c r="AA96" s="21">
        <v>0</v>
      </c>
      <c r="AB96" s="21">
        <v>0</v>
      </c>
      <c r="AC96" s="21">
        <v>39232999</v>
      </c>
      <c r="AD96" s="21" t="s">
        <v>189</v>
      </c>
      <c r="AE96" s="23">
        <v>46245</v>
      </c>
      <c r="AF96" s="21">
        <v>0</v>
      </c>
      <c r="AG96" s="21">
        <v>0</v>
      </c>
      <c r="AH96" s="21"/>
      <c r="AI96" s="21">
        <v>0</v>
      </c>
      <c r="AJ96" s="21"/>
      <c r="AK96" s="21"/>
      <c r="AL96" s="21"/>
      <c r="AM96" s="21">
        <v>0</v>
      </c>
      <c r="AN96" s="21">
        <v>0</v>
      </c>
      <c r="AO96" s="21">
        <v>0</v>
      </c>
      <c r="AP96" s="21">
        <v>0</v>
      </c>
      <c r="AQ96" s="21">
        <v>0</v>
      </c>
      <c r="AR96" s="21">
        <v>0</v>
      </c>
      <c r="AS96" s="21">
        <v>0</v>
      </c>
      <c r="AT96" s="21">
        <v>0</v>
      </c>
      <c r="AU96" s="21"/>
      <c r="AV96" s="21" t="s">
        <v>252</v>
      </c>
      <c r="AW96" s="21" t="s">
        <v>202</v>
      </c>
      <c r="AX96" s="21" t="s">
        <v>186</v>
      </c>
      <c r="AY96" s="21" t="s">
        <v>187</v>
      </c>
      <c r="AZ96" s="21" t="s">
        <v>188</v>
      </c>
      <c r="BA96" s="21" t="s">
        <v>152</v>
      </c>
      <c r="BB96" s="21" t="s">
        <v>152</v>
      </c>
    </row>
    <row r="97" spans="1:54" x14ac:dyDescent="0.25">
      <c r="A97" s="22"/>
      <c r="B97" s="21" t="s">
        <v>167</v>
      </c>
      <c r="C97" s="21">
        <v>478</v>
      </c>
      <c r="D97" s="23">
        <v>46245</v>
      </c>
      <c r="E97" s="21" t="s">
        <v>226</v>
      </c>
      <c r="F97" s="21" t="s">
        <v>604</v>
      </c>
      <c r="G97" s="21" t="s">
        <v>590</v>
      </c>
      <c r="H97" s="21" t="s">
        <v>441</v>
      </c>
      <c r="I97" s="21">
        <v>198.11</v>
      </c>
      <c r="J97" s="21">
        <v>2644</v>
      </c>
      <c r="K97" s="21" t="s">
        <v>168</v>
      </c>
      <c r="L97" s="21">
        <v>523802.84</v>
      </c>
      <c r="M97" s="21">
        <v>2644</v>
      </c>
      <c r="N97" s="21">
        <v>2644</v>
      </c>
      <c r="O97" s="21">
        <v>0</v>
      </c>
      <c r="P97" s="21" t="s">
        <v>200</v>
      </c>
      <c r="Q97" s="21" t="s">
        <v>200</v>
      </c>
      <c r="R97" s="21"/>
      <c r="S97" s="21"/>
      <c r="T97" s="21" t="s">
        <v>229</v>
      </c>
      <c r="U97" s="21">
        <v>1</v>
      </c>
      <c r="V97" s="21"/>
      <c r="W97" s="21">
        <v>9</v>
      </c>
      <c r="X97" s="21">
        <v>47142.26</v>
      </c>
      <c r="Y97" s="21">
        <v>9</v>
      </c>
      <c r="Z97" s="21">
        <v>47142.26</v>
      </c>
      <c r="AA97" s="21">
        <v>0</v>
      </c>
      <c r="AB97" s="21">
        <v>0</v>
      </c>
      <c r="AC97" s="21">
        <v>39232999</v>
      </c>
      <c r="AD97" s="21" t="s">
        <v>189</v>
      </c>
      <c r="AE97" s="23">
        <v>46245</v>
      </c>
      <c r="AF97" s="21">
        <v>0</v>
      </c>
      <c r="AG97" s="21">
        <v>0</v>
      </c>
      <c r="AH97" s="21"/>
      <c r="AI97" s="21">
        <v>0</v>
      </c>
      <c r="AJ97" s="21"/>
      <c r="AK97" s="21"/>
      <c r="AL97" s="21"/>
      <c r="AM97" s="21">
        <v>0</v>
      </c>
      <c r="AN97" s="21">
        <v>0</v>
      </c>
      <c r="AO97" s="21">
        <v>0</v>
      </c>
      <c r="AP97" s="21">
        <v>0</v>
      </c>
      <c r="AQ97" s="21">
        <v>0</v>
      </c>
      <c r="AR97" s="21">
        <v>0</v>
      </c>
      <c r="AS97" s="21">
        <v>0</v>
      </c>
      <c r="AT97" s="21">
        <v>0</v>
      </c>
      <c r="AU97" s="21"/>
      <c r="AV97" s="21" t="s">
        <v>252</v>
      </c>
      <c r="AW97" s="21" t="s">
        <v>202</v>
      </c>
      <c r="AX97" s="21" t="s">
        <v>186</v>
      </c>
      <c r="AY97" s="21" t="s">
        <v>187</v>
      </c>
      <c r="AZ97" s="21" t="s">
        <v>188</v>
      </c>
      <c r="BA97" s="21" t="s">
        <v>152</v>
      </c>
      <c r="BB97" s="21" t="s">
        <v>152</v>
      </c>
    </row>
    <row r="98" spans="1:54" x14ac:dyDescent="0.25">
      <c r="A98" s="22"/>
      <c r="B98" s="21" t="s">
        <v>167</v>
      </c>
      <c r="C98" s="21">
        <v>478</v>
      </c>
      <c r="D98" s="23">
        <v>46245</v>
      </c>
      <c r="E98" s="21" t="s">
        <v>226</v>
      </c>
      <c r="F98" s="21" t="s">
        <v>604</v>
      </c>
      <c r="G98" s="21" t="s">
        <v>590</v>
      </c>
      <c r="H98" s="21" t="s">
        <v>435</v>
      </c>
      <c r="I98" s="21">
        <v>197.09</v>
      </c>
      <c r="J98" s="21">
        <v>456</v>
      </c>
      <c r="K98" s="21" t="s">
        <v>168</v>
      </c>
      <c r="L98" s="21">
        <v>89873.04</v>
      </c>
      <c r="M98" s="21">
        <v>456</v>
      </c>
      <c r="N98" s="21">
        <v>456</v>
      </c>
      <c r="O98" s="21">
        <v>0</v>
      </c>
      <c r="P98" s="21" t="s">
        <v>200</v>
      </c>
      <c r="Q98" s="21" t="s">
        <v>200</v>
      </c>
      <c r="R98" s="21"/>
      <c r="S98" s="21"/>
      <c r="T98" s="21" t="s">
        <v>229</v>
      </c>
      <c r="U98" s="21">
        <v>1</v>
      </c>
      <c r="V98" s="21"/>
      <c r="W98" s="21">
        <v>9</v>
      </c>
      <c r="X98" s="21">
        <v>8088.57</v>
      </c>
      <c r="Y98" s="21">
        <v>9</v>
      </c>
      <c r="Z98" s="21">
        <v>8088.57</v>
      </c>
      <c r="AA98" s="21">
        <v>0</v>
      </c>
      <c r="AB98" s="21">
        <v>0</v>
      </c>
      <c r="AC98" s="21">
        <v>39232999</v>
      </c>
      <c r="AD98" s="21" t="s">
        <v>189</v>
      </c>
      <c r="AE98" s="23">
        <v>46245</v>
      </c>
      <c r="AF98" s="21">
        <v>0</v>
      </c>
      <c r="AG98" s="21">
        <v>0</v>
      </c>
      <c r="AH98" s="21"/>
      <c r="AI98" s="21">
        <v>0</v>
      </c>
      <c r="AJ98" s="21"/>
      <c r="AK98" s="21"/>
      <c r="AL98" s="21"/>
      <c r="AM98" s="21">
        <v>0</v>
      </c>
      <c r="AN98" s="21">
        <v>0</v>
      </c>
      <c r="AO98" s="21">
        <v>0</v>
      </c>
      <c r="AP98" s="21">
        <v>0</v>
      </c>
      <c r="AQ98" s="21">
        <v>0</v>
      </c>
      <c r="AR98" s="21">
        <v>0</v>
      </c>
      <c r="AS98" s="21">
        <v>0</v>
      </c>
      <c r="AT98" s="21">
        <v>0</v>
      </c>
      <c r="AU98" s="21"/>
      <c r="AV98" s="21" t="s">
        <v>252</v>
      </c>
      <c r="AW98" s="21" t="s">
        <v>202</v>
      </c>
      <c r="AX98" s="21" t="s">
        <v>186</v>
      </c>
      <c r="AY98" s="21" t="s">
        <v>187</v>
      </c>
      <c r="AZ98" s="21" t="s">
        <v>188</v>
      </c>
      <c r="BA98" s="21" t="s">
        <v>152</v>
      </c>
      <c r="BB98" s="21" t="s">
        <v>152</v>
      </c>
    </row>
    <row r="99" spans="1:54" x14ac:dyDescent="0.25">
      <c r="A99" s="22"/>
      <c r="B99" s="21" t="s">
        <v>167</v>
      </c>
      <c r="C99" s="21">
        <v>478</v>
      </c>
      <c r="D99" s="23">
        <v>46245</v>
      </c>
      <c r="E99" s="21" t="s">
        <v>226</v>
      </c>
      <c r="F99" s="21" t="s">
        <v>604</v>
      </c>
      <c r="G99" s="21" t="s">
        <v>590</v>
      </c>
      <c r="H99" s="21" t="s">
        <v>436</v>
      </c>
      <c r="I99" s="21">
        <v>200.4</v>
      </c>
      <c r="J99" s="21">
        <v>4712</v>
      </c>
      <c r="K99" s="21" t="s">
        <v>168</v>
      </c>
      <c r="L99" s="21">
        <v>944284.8</v>
      </c>
      <c r="M99" s="21">
        <v>4712</v>
      </c>
      <c r="N99" s="21">
        <v>4712</v>
      </c>
      <c r="O99" s="21">
        <v>0</v>
      </c>
      <c r="P99" s="21" t="s">
        <v>200</v>
      </c>
      <c r="Q99" s="21" t="s">
        <v>200</v>
      </c>
      <c r="R99" s="21"/>
      <c r="S99" s="21"/>
      <c r="T99" s="21" t="s">
        <v>229</v>
      </c>
      <c r="U99" s="21">
        <v>1</v>
      </c>
      <c r="V99" s="21"/>
      <c r="W99" s="21">
        <v>9</v>
      </c>
      <c r="X99" s="21">
        <v>84985.63</v>
      </c>
      <c r="Y99" s="21">
        <v>9</v>
      </c>
      <c r="Z99" s="21">
        <v>84985.63</v>
      </c>
      <c r="AA99" s="21">
        <v>0</v>
      </c>
      <c r="AB99" s="21">
        <v>0</v>
      </c>
      <c r="AC99" s="21">
        <v>39232999</v>
      </c>
      <c r="AD99" s="21" t="s">
        <v>189</v>
      </c>
      <c r="AE99" s="23">
        <v>46245</v>
      </c>
      <c r="AF99" s="21">
        <v>0</v>
      </c>
      <c r="AG99" s="21">
        <v>0</v>
      </c>
      <c r="AH99" s="21"/>
      <c r="AI99" s="21">
        <v>0</v>
      </c>
      <c r="AJ99" s="21"/>
      <c r="AK99" s="21"/>
      <c r="AL99" s="21"/>
      <c r="AM99" s="21">
        <v>0</v>
      </c>
      <c r="AN99" s="21">
        <v>0</v>
      </c>
      <c r="AO99" s="21">
        <v>0</v>
      </c>
      <c r="AP99" s="21">
        <v>0</v>
      </c>
      <c r="AQ99" s="21">
        <v>0</v>
      </c>
      <c r="AR99" s="21">
        <v>0</v>
      </c>
      <c r="AS99" s="21">
        <v>0</v>
      </c>
      <c r="AT99" s="21">
        <v>0</v>
      </c>
      <c r="AU99" s="21"/>
      <c r="AV99" s="21" t="s">
        <v>252</v>
      </c>
      <c r="AW99" s="21" t="s">
        <v>202</v>
      </c>
      <c r="AX99" s="21" t="s">
        <v>186</v>
      </c>
      <c r="AY99" s="21" t="s">
        <v>187</v>
      </c>
      <c r="AZ99" s="21" t="s">
        <v>188</v>
      </c>
      <c r="BA99" s="21" t="s">
        <v>152</v>
      </c>
      <c r="BB99" s="21" t="s">
        <v>152</v>
      </c>
    </row>
    <row r="100" spans="1:54" x14ac:dyDescent="0.25">
      <c r="A100" s="22"/>
      <c r="B100" s="21" t="s">
        <v>167</v>
      </c>
      <c r="C100" s="21">
        <v>478</v>
      </c>
      <c r="D100" s="23">
        <v>46245</v>
      </c>
      <c r="E100" s="21" t="s">
        <v>226</v>
      </c>
      <c r="F100" s="21" t="s">
        <v>604</v>
      </c>
      <c r="G100" s="21" t="s">
        <v>590</v>
      </c>
      <c r="H100" s="21" t="s">
        <v>437</v>
      </c>
      <c r="I100" s="21">
        <v>212.74</v>
      </c>
      <c r="J100" s="21">
        <v>2158</v>
      </c>
      <c r="K100" s="21" t="s">
        <v>168</v>
      </c>
      <c r="L100" s="21">
        <v>459092.92</v>
      </c>
      <c r="M100" s="21">
        <v>2158</v>
      </c>
      <c r="N100" s="21">
        <v>2158</v>
      </c>
      <c r="O100" s="21">
        <v>0</v>
      </c>
      <c r="P100" s="21" t="s">
        <v>200</v>
      </c>
      <c r="Q100" s="21" t="s">
        <v>200</v>
      </c>
      <c r="R100" s="21"/>
      <c r="S100" s="21"/>
      <c r="T100" s="21" t="s">
        <v>229</v>
      </c>
      <c r="U100" s="21">
        <v>1</v>
      </c>
      <c r="V100" s="21"/>
      <c r="W100" s="21">
        <v>9</v>
      </c>
      <c r="X100" s="21">
        <v>41318.36</v>
      </c>
      <c r="Y100" s="21">
        <v>9</v>
      </c>
      <c r="Z100" s="21">
        <v>41318.36</v>
      </c>
      <c r="AA100" s="21">
        <v>0</v>
      </c>
      <c r="AB100" s="21">
        <v>0</v>
      </c>
      <c r="AC100" s="21">
        <v>39232999</v>
      </c>
      <c r="AD100" s="21" t="s">
        <v>189</v>
      </c>
      <c r="AE100" s="23">
        <v>46245</v>
      </c>
      <c r="AF100" s="21">
        <v>0</v>
      </c>
      <c r="AG100" s="21">
        <v>0</v>
      </c>
      <c r="AH100" s="21"/>
      <c r="AI100" s="21">
        <v>0</v>
      </c>
      <c r="AJ100" s="21"/>
      <c r="AK100" s="21"/>
      <c r="AL100" s="21"/>
      <c r="AM100" s="21">
        <v>0</v>
      </c>
      <c r="AN100" s="21">
        <v>0</v>
      </c>
      <c r="AO100" s="21">
        <v>0</v>
      </c>
      <c r="AP100" s="21">
        <v>0</v>
      </c>
      <c r="AQ100" s="21">
        <v>0</v>
      </c>
      <c r="AR100" s="21">
        <v>0</v>
      </c>
      <c r="AS100" s="21">
        <v>0</v>
      </c>
      <c r="AT100" s="21">
        <v>0</v>
      </c>
      <c r="AU100" s="21"/>
      <c r="AV100" s="21" t="s">
        <v>252</v>
      </c>
      <c r="AW100" s="21" t="s">
        <v>202</v>
      </c>
      <c r="AX100" s="21" t="s">
        <v>186</v>
      </c>
      <c r="AY100" s="21" t="s">
        <v>187</v>
      </c>
      <c r="AZ100" s="21" t="s">
        <v>188</v>
      </c>
      <c r="BA100" s="21" t="s">
        <v>152</v>
      </c>
      <c r="BB100" s="21" t="s">
        <v>152</v>
      </c>
    </row>
    <row r="101" spans="1:54" x14ac:dyDescent="0.25">
      <c r="A101" s="22"/>
      <c r="B101" s="21" t="s">
        <v>167</v>
      </c>
      <c r="C101" s="21">
        <v>478</v>
      </c>
      <c r="D101" s="23">
        <v>46245</v>
      </c>
      <c r="E101" s="21" t="s">
        <v>226</v>
      </c>
      <c r="F101" s="21" t="s">
        <v>604</v>
      </c>
      <c r="G101" s="21" t="s">
        <v>605</v>
      </c>
      <c r="H101" s="21" t="s">
        <v>442</v>
      </c>
      <c r="I101" s="21">
        <v>230.66</v>
      </c>
      <c r="J101" s="21">
        <v>2458.1999999999998</v>
      </c>
      <c r="K101" s="21" t="s">
        <v>168</v>
      </c>
      <c r="L101" s="21">
        <v>567008.41</v>
      </c>
      <c r="M101" s="21">
        <v>2458.1999999999998</v>
      </c>
      <c r="N101" s="21">
        <v>2458.1999999999998</v>
      </c>
      <c r="O101" s="21">
        <v>0</v>
      </c>
      <c r="P101" s="21" t="s">
        <v>200</v>
      </c>
      <c r="Q101" s="21" t="s">
        <v>200</v>
      </c>
      <c r="R101" s="21"/>
      <c r="S101" s="21"/>
      <c r="T101" s="21" t="s">
        <v>229</v>
      </c>
      <c r="U101" s="21">
        <v>1</v>
      </c>
      <c r="V101" s="21"/>
      <c r="W101" s="21">
        <v>9</v>
      </c>
      <c r="X101" s="21">
        <v>51030.76</v>
      </c>
      <c r="Y101" s="21">
        <v>9</v>
      </c>
      <c r="Z101" s="21">
        <v>51030.76</v>
      </c>
      <c r="AA101" s="21">
        <v>0</v>
      </c>
      <c r="AB101" s="21">
        <v>0</v>
      </c>
      <c r="AC101" s="21">
        <v>39232999</v>
      </c>
      <c r="AD101" s="21" t="s">
        <v>189</v>
      </c>
      <c r="AE101" s="23">
        <v>46245</v>
      </c>
      <c r="AF101" s="21">
        <v>0</v>
      </c>
      <c r="AG101" s="21">
        <v>0</v>
      </c>
      <c r="AH101" s="21"/>
      <c r="AI101" s="21">
        <v>0</v>
      </c>
      <c r="AJ101" s="21"/>
      <c r="AK101" s="21"/>
      <c r="AL101" s="21"/>
      <c r="AM101" s="21">
        <v>0</v>
      </c>
      <c r="AN101" s="21">
        <v>0</v>
      </c>
      <c r="AO101" s="21">
        <v>0</v>
      </c>
      <c r="AP101" s="21">
        <v>0</v>
      </c>
      <c r="AQ101" s="21">
        <v>0</v>
      </c>
      <c r="AR101" s="21">
        <v>0</v>
      </c>
      <c r="AS101" s="21">
        <v>0</v>
      </c>
      <c r="AT101" s="21">
        <v>0</v>
      </c>
      <c r="AU101" s="21"/>
      <c r="AV101" s="21" t="s">
        <v>252</v>
      </c>
      <c r="AW101" s="21" t="s">
        <v>202</v>
      </c>
      <c r="AX101" s="21" t="s">
        <v>306</v>
      </c>
      <c r="AY101" s="21" t="s">
        <v>288</v>
      </c>
      <c r="AZ101" s="21" t="s">
        <v>188</v>
      </c>
      <c r="BA101" s="21" t="s">
        <v>286</v>
      </c>
      <c r="BB101" s="21" t="s">
        <v>287</v>
      </c>
    </row>
    <row r="102" spans="1:54" x14ac:dyDescent="0.25">
      <c r="A102" s="22"/>
      <c r="B102" s="21" t="s">
        <v>167</v>
      </c>
      <c r="C102" s="21">
        <v>479</v>
      </c>
      <c r="D102" s="23">
        <v>46246</v>
      </c>
      <c r="E102" s="21" t="s">
        <v>212</v>
      </c>
      <c r="F102" s="21" t="s">
        <v>251</v>
      </c>
      <c r="G102" s="21" t="s">
        <v>235</v>
      </c>
      <c r="H102" s="21" t="s">
        <v>282</v>
      </c>
      <c r="I102" s="21">
        <v>135.58000000000001</v>
      </c>
      <c r="J102" s="21">
        <v>267.7</v>
      </c>
      <c r="K102" s="21" t="s">
        <v>168</v>
      </c>
      <c r="L102" s="21">
        <v>36294.769999999997</v>
      </c>
      <c r="M102" s="21">
        <v>267.7</v>
      </c>
      <c r="N102" s="21">
        <v>267.7</v>
      </c>
      <c r="O102" s="21">
        <v>42827.83</v>
      </c>
      <c r="P102" s="21" t="s">
        <v>181</v>
      </c>
      <c r="Q102" s="21" t="s">
        <v>181</v>
      </c>
      <c r="R102" s="21"/>
      <c r="S102" s="21"/>
      <c r="T102" s="21" t="s">
        <v>229</v>
      </c>
      <c r="U102" s="21">
        <v>1</v>
      </c>
      <c r="V102" s="21"/>
      <c r="W102" s="21">
        <v>9</v>
      </c>
      <c r="X102" s="21">
        <v>3266.53</v>
      </c>
      <c r="Y102" s="21">
        <v>9</v>
      </c>
      <c r="Z102" s="21">
        <v>3266.53</v>
      </c>
      <c r="AA102" s="21">
        <v>0</v>
      </c>
      <c r="AB102" s="21">
        <v>0</v>
      </c>
      <c r="AC102" s="21">
        <v>39269080</v>
      </c>
      <c r="AD102" s="21" t="s">
        <v>189</v>
      </c>
      <c r="AE102" s="23">
        <v>46246</v>
      </c>
      <c r="AF102" s="21">
        <v>0</v>
      </c>
      <c r="AG102" s="21">
        <v>0</v>
      </c>
      <c r="AH102" s="21"/>
      <c r="AI102" s="21">
        <v>0</v>
      </c>
      <c r="AJ102" s="21"/>
      <c r="AK102" s="21"/>
      <c r="AL102" s="21"/>
      <c r="AM102" s="21">
        <v>0</v>
      </c>
      <c r="AN102" s="21">
        <v>0</v>
      </c>
      <c r="AO102" s="21">
        <v>0</v>
      </c>
      <c r="AP102" s="21">
        <v>0</v>
      </c>
      <c r="AQ102" s="21">
        <v>0</v>
      </c>
      <c r="AR102" s="21">
        <v>0</v>
      </c>
      <c r="AS102" s="21">
        <v>0</v>
      </c>
      <c r="AT102" s="21">
        <v>0</v>
      </c>
      <c r="AU102" s="21"/>
      <c r="AV102" s="21" t="s">
        <v>236</v>
      </c>
      <c r="AW102" s="21" t="s">
        <v>202</v>
      </c>
      <c r="AX102" s="21" t="s">
        <v>180</v>
      </c>
      <c r="AY102" s="21" t="s">
        <v>181</v>
      </c>
      <c r="AZ102" s="21" t="s">
        <v>169</v>
      </c>
      <c r="BA102" s="21" t="s">
        <v>181</v>
      </c>
      <c r="BB102" s="21" t="s">
        <v>154</v>
      </c>
    </row>
    <row r="103" spans="1:54" x14ac:dyDescent="0.25">
      <c r="A103" s="22"/>
      <c r="B103" s="21" t="s">
        <v>167</v>
      </c>
      <c r="C103" s="21">
        <v>480</v>
      </c>
      <c r="D103" s="23">
        <v>46246</v>
      </c>
      <c r="E103" s="21" t="s">
        <v>198</v>
      </c>
      <c r="F103" s="21" t="s">
        <v>251</v>
      </c>
      <c r="G103" s="21" t="s">
        <v>259</v>
      </c>
      <c r="H103" s="21" t="s">
        <v>196</v>
      </c>
      <c r="I103" s="21">
        <v>259</v>
      </c>
      <c r="J103" s="21">
        <v>50</v>
      </c>
      <c r="K103" s="21" t="s">
        <v>168</v>
      </c>
      <c r="L103" s="21">
        <v>12950</v>
      </c>
      <c r="M103" s="21">
        <v>50</v>
      </c>
      <c r="N103" s="21">
        <v>50</v>
      </c>
      <c r="O103" s="21">
        <v>15281</v>
      </c>
      <c r="P103" s="21" t="s">
        <v>237</v>
      </c>
      <c r="Q103" s="21" t="s">
        <v>237</v>
      </c>
      <c r="R103" s="21"/>
      <c r="S103" s="21"/>
      <c r="T103" s="21" t="s">
        <v>229</v>
      </c>
      <c r="U103" s="21">
        <v>1</v>
      </c>
      <c r="V103" s="21"/>
      <c r="W103" s="21">
        <v>9</v>
      </c>
      <c r="X103" s="21">
        <v>1165.5</v>
      </c>
      <c r="Y103" s="21">
        <v>9</v>
      </c>
      <c r="Z103" s="21">
        <v>1165.5</v>
      </c>
      <c r="AA103" s="21">
        <v>0</v>
      </c>
      <c r="AB103" s="21">
        <v>0</v>
      </c>
      <c r="AC103" s="21">
        <v>39201019</v>
      </c>
      <c r="AD103" s="21" t="s">
        <v>189</v>
      </c>
      <c r="AE103" s="23">
        <v>46246</v>
      </c>
      <c r="AF103" s="21">
        <v>0</v>
      </c>
      <c r="AG103" s="21">
        <v>0</v>
      </c>
      <c r="AH103" s="21"/>
      <c r="AI103" s="21">
        <v>0</v>
      </c>
      <c r="AJ103" s="21"/>
      <c r="AK103" s="21"/>
      <c r="AL103" s="21"/>
      <c r="AM103" s="21">
        <v>0</v>
      </c>
      <c r="AN103" s="21">
        <v>0</v>
      </c>
      <c r="AO103" s="21">
        <v>0</v>
      </c>
      <c r="AP103" s="21">
        <v>0</v>
      </c>
      <c r="AQ103" s="21">
        <v>0</v>
      </c>
      <c r="AR103" s="21">
        <v>0</v>
      </c>
      <c r="AS103" s="21">
        <v>0</v>
      </c>
      <c r="AT103" s="21">
        <v>0</v>
      </c>
      <c r="AU103" s="21"/>
      <c r="AV103" s="21" t="s">
        <v>230</v>
      </c>
      <c r="AW103" s="21" t="s">
        <v>202</v>
      </c>
      <c r="AX103" s="21" t="s">
        <v>195</v>
      </c>
      <c r="AY103" s="21" t="s">
        <v>196</v>
      </c>
      <c r="AZ103" s="21" t="s">
        <v>169</v>
      </c>
      <c r="BA103" s="21" t="s">
        <v>197</v>
      </c>
      <c r="BB103" s="21" t="s">
        <v>158</v>
      </c>
    </row>
    <row r="104" spans="1:54" x14ac:dyDescent="0.25">
      <c r="A104" s="22"/>
      <c r="B104" s="21" t="s">
        <v>167</v>
      </c>
      <c r="C104" s="21">
        <v>482</v>
      </c>
      <c r="D104" s="23">
        <v>46246</v>
      </c>
      <c r="E104" s="21" t="s">
        <v>212</v>
      </c>
      <c r="F104" s="21" t="s">
        <v>174</v>
      </c>
      <c r="G104" s="21" t="s">
        <v>233</v>
      </c>
      <c r="H104" s="21" t="s">
        <v>454</v>
      </c>
      <c r="I104" s="21">
        <v>138.58000000000001</v>
      </c>
      <c r="J104" s="21">
        <v>256</v>
      </c>
      <c r="K104" s="21" t="s">
        <v>168</v>
      </c>
      <c r="L104" s="21">
        <v>35476.480000000003</v>
      </c>
      <c r="M104" s="21">
        <v>256</v>
      </c>
      <c r="N104" s="21">
        <v>266</v>
      </c>
      <c r="O104" s="21">
        <v>125225.42</v>
      </c>
      <c r="P104" s="21" t="s">
        <v>232</v>
      </c>
      <c r="Q104" s="21" t="s">
        <v>232</v>
      </c>
      <c r="R104" s="21"/>
      <c r="S104" s="21"/>
      <c r="T104" s="21" t="s">
        <v>229</v>
      </c>
      <c r="U104" s="21">
        <v>1</v>
      </c>
      <c r="V104" s="21"/>
      <c r="W104" s="21">
        <v>9</v>
      </c>
      <c r="X104" s="21">
        <v>3192.88</v>
      </c>
      <c r="Y104" s="21">
        <v>9</v>
      </c>
      <c r="Z104" s="21">
        <v>3192.88</v>
      </c>
      <c r="AA104" s="21">
        <v>0</v>
      </c>
      <c r="AB104" s="21">
        <v>0</v>
      </c>
      <c r="AC104" s="21">
        <v>39269080</v>
      </c>
      <c r="AD104" s="21" t="s">
        <v>189</v>
      </c>
      <c r="AE104" s="23">
        <v>46246</v>
      </c>
      <c r="AF104" s="21">
        <v>0</v>
      </c>
      <c r="AG104" s="21">
        <v>0</v>
      </c>
      <c r="AH104" s="21"/>
      <c r="AI104" s="21">
        <v>0</v>
      </c>
      <c r="AJ104" s="21"/>
      <c r="AK104" s="21"/>
      <c r="AL104" s="21"/>
      <c r="AM104" s="21">
        <v>0</v>
      </c>
      <c r="AN104" s="21">
        <v>0</v>
      </c>
      <c r="AO104" s="21">
        <v>0</v>
      </c>
      <c r="AP104" s="21">
        <v>0</v>
      </c>
      <c r="AQ104" s="21">
        <v>0</v>
      </c>
      <c r="AR104" s="21">
        <v>0</v>
      </c>
      <c r="AS104" s="21">
        <v>0</v>
      </c>
      <c r="AT104" s="21">
        <v>0</v>
      </c>
      <c r="AU104" s="21"/>
      <c r="AV104" s="21" t="s">
        <v>236</v>
      </c>
      <c r="AW104" s="21" t="s">
        <v>202</v>
      </c>
      <c r="AX104" s="21" t="s">
        <v>177</v>
      </c>
      <c r="AY104" s="21" t="s">
        <v>178</v>
      </c>
      <c r="AZ104" s="21" t="s">
        <v>169</v>
      </c>
      <c r="BA104" s="21" t="s">
        <v>179</v>
      </c>
      <c r="BB104" s="21" t="s">
        <v>156</v>
      </c>
    </row>
    <row r="105" spans="1:54" x14ac:dyDescent="0.25">
      <c r="A105" s="22"/>
      <c r="B105" s="21" t="s">
        <v>167</v>
      </c>
      <c r="C105" s="21">
        <v>482</v>
      </c>
      <c r="D105" s="23">
        <v>46246</v>
      </c>
      <c r="E105" s="21" t="s">
        <v>212</v>
      </c>
      <c r="F105" s="21" t="s">
        <v>174</v>
      </c>
      <c r="G105" s="21" t="s">
        <v>233</v>
      </c>
      <c r="H105" s="21" t="s">
        <v>265</v>
      </c>
      <c r="I105" s="21">
        <v>113.58</v>
      </c>
      <c r="J105" s="21">
        <v>304</v>
      </c>
      <c r="K105" s="21" t="s">
        <v>168</v>
      </c>
      <c r="L105" s="21">
        <v>34528.32</v>
      </c>
      <c r="M105" s="21">
        <v>304</v>
      </c>
      <c r="N105" s="21">
        <v>304</v>
      </c>
      <c r="O105" s="21">
        <v>0</v>
      </c>
      <c r="P105" s="21" t="s">
        <v>232</v>
      </c>
      <c r="Q105" s="21" t="s">
        <v>232</v>
      </c>
      <c r="R105" s="21"/>
      <c r="S105" s="21"/>
      <c r="T105" s="21" t="s">
        <v>229</v>
      </c>
      <c r="U105" s="21">
        <v>1</v>
      </c>
      <c r="V105" s="21"/>
      <c r="W105" s="21">
        <v>9</v>
      </c>
      <c r="X105" s="21">
        <v>3107.55</v>
      </c>
      <c r="Y105" s="21">
        <v>9</v>
      </c>
      <c r="Z105" s="21">
        <v>3107.55</v>
      </c>
      <c r="AA105" s="21">
        <v>0</v>
      </c>
      <c r="AB105" s="21">
        <v>0</v>
      </c>
      <c r="AC105" s="21">
        <v>39269080</v>
      </c>
      <c r="AD105" s="21" t="s">
        <v>189</v>
      </c>
      <c r="AE105" s="23">
        <v>46246</v>
      </c>
      <c r="AF105" s="21">
        <v>0</v>
      </c>
      <c r="AG105" s="21">
        <v>0</v>
      </c>
      <c r="AH105" s="21"/>
      <c r="AI105" s="21">
        <v>0</v>
      </c>
      <c r="AJ105" s="21"/>
      <c r="AK105" s="21"/>
      <c r="AL105" s="21"/>
      <c r="AM105" s="21">
        <v>0</v>
      </c>
      <c r="AN105" s="21">
        <v>0</v>
      </c>
      <c r="AO105" s="21">
        <v>0</v>
      </c>
      <c r="AP105" s="21">
        <v>0</v>
      </c>
      <c r="AQ105" s="21">
        <v>0</v>
      </c>
      <c r="AR105" s="21">
        <v>0</v>
      </c>
      <c r="AS105" s="21">
        <v>0</v>
      </c>
      <c r="AT105" s="21">
        <v>0</v>
      </c>
      <c r="AU105" s="21"/>
      <c r="AV105" s="21" t="s">
        <v>236</v>
      </c>
      <c r="AW105" s="21" t="s">
        <v>202</v>
      </c>
      <c r="AX105" s="21" t="s">
        <v>234</v>
      </c>
      <c r="AY105" s="21" t="s">
        <v>153</v>
      </c>
      <c r="AZ105" s="21" t="s">
        <v>188</v>
      </c>
      <c r="BA105" s="21" t="s">
        <v>153</v>
      </c>
      <c r="BB105" s="21" t="s">
        <v>153</v>
      </c>
    </row>
    <row r="106" spans="1:54" x14ac:dyDescent="0.25">
      <c r="A106" s="22"/>
      <c r="B106" s="21" t="s">
        <v>167</v>
      </c>
      <c r="C106" s="21">
        <v>482</v>
      </c>
      <c r="D106" s="23">
        <v>46246</v>
      </c>
      <c r="E106" s="21" t="s">
        <v>212</v>
      </c>
      <c r="F106" s="21" t="s">
        <v>174</v>
      </c>
      <c r="G106" s="21" t="s">
        <v>299</v>
      </c>
      <c r="H106" s="21" t="s">
        <v>283</v>
      </c>
      <c r="I106" s="21">
        <v>113.58</v>
      </c>
      <c r="J106" s="21">
        <v>318</v>
      </c>
      <c r="K106" s="21" t="s">
        <v>168</v>
      </c>
      <c r="L106" s="21">
        <v>36118.44</v>
      </c>
      <c r="M106" s="21">
        <v>318</v>
      </c>
      <c r="N106" s="21">
        <v>318</v>
      </c>
      <c r="O106" s="21">
        <v>0</v>
      </c>
      <c r="P106" s="21" t="s">
        <v>232</v>
      </c>
      <c r="Q106" s="21" t="s">
        <v>232</v>
      </c>
      <c r="R106" s="21"/>
      <c r="S106" s="21"/>
      <c r="T106" s="21" t="s">
        <v>229</v>
      </c>
      <c r="U106" s="21">
        <v>1</v>
      </c>
      <c r="V106" s="21"/>
      <c r="W106" s="21">
        <v>9</v>
      </c>
      <c r="X106" s="21">
        <v>3250.66</v>
      </c>
      <c r="Y106" s="21">
        <v>9</v>
      </c>
      <c r="Z106" s="21">
        <v>3250.66</v>
      </c>
      <c r="AA106" s="21">
        <v>0</v>
      </c>
      <c r="AB106" s="21">
        <v>0</v>
      </c>
      <c r="AC106" s="21">
        <v>39232999</v>
      </c>
      <c r="AD106" s="21" t="s">
        <v>189</v>
      </c>
      <c r="AE106" s="23">
        <v>46246</v>
      </c>
      <c r="AF106" s="21">
        <v>0</v>
      </c>
      <c r="AG106" s="21">
        <v>0</v>
      </c>
      <c r="AH106" s="21"/>
      <c r="AI106" s="21">
        <v>0</v>
      </c>
      <c r="AJ106" s="21"/>
      <c r="AK106" s="21"/>
      <c r="AL106" s="21"/>
      <c r="AM106" s="21">
        <v>0</v>
      </c>
      <c r="AN106" s="21">
        <v>0</v>
      </c>
      <c r="AO106" s="21">
        <v>0</v>
      </c>
      <c r="AP106" s="21">
        <v>0</v>
      </c>
      <c r="AQ106" s="21">
        <v>0</v>
      </c>
      <c r="AR106" s="21">
        <v>0</v>
      </c>
      <c r="AS106" s="21">
        <v>0</v>
      </c>
      <c r="AT106" s="21">
        <v>0</v>
      </c>
      <c r="AU106" s="21"/>
      <c r="AV106" s="21" t="s">
        <v>236</v>
      </c>
      <c r="AW106" s="21" t="s">
        <v>202</v>
      </c>
      <c r="AX106" s="21" t="s">
        <v>234</v>
      </c>
      <c r="AY106" s="21" t="s">
        <v>153</v>
      </c>
      <c r="AZ106" s="21" t="s">
        <v>188</v>
      </c>
      <c r="BA106" s="21" t="s">
        <v>153</v>
      </c>
      <c r="BB106" s="21" t="s">
        <v>153</v>
      </c>
    </row>
    <row r="107" spans="1:54" x14ac:dyDescent="0.25">
      <c r="A107" s="22"/>
      <c r="B107" s="21" t="s">
        <v>167</v>
      </c>
      <c r="C107" s="21">
        <v>483</v>
      </c>
      <c r="D107" s="23">
        <v>46246</v>
      </c>
      <c r="E107" s="21" t="s">
        <v>198</v>
      </c>
      <c r="F107" s="21" t="s">
        <v>606</v>
      </c>
      <c r="G107" s="21" t="s">
        <v>607</v>
      </c>
      <c r="H107" s="21" t="s">
        <v>312</v>
      </c>
      <c r="I107" s="21">
        <v>156.4</v>
      </c>
      <c r="J107" s="21">
        <v>382.7</v>
      </c>
      <c r="K107" s="21" t="s">
        <v>168</v>
      </c>
      <c r="L107" s="21">
        <v>59854.28</v>
      </c>
      <c r="M107" s="21">
        <v>382.7</v>
      </c>
      <c r="N107" s="21">
        <v>382.7</v>
      </c>
      <c r="O107" s="21">
        <v>62847</v>
      </c>
      <c r="P107" s="21" t="s">
        <v>250</v>
      </c>
      <c r="Q107" s="21" t="s">
        <v>250</v>
      </c>
      <c r="R107" s="21"/>
      <c r="S107" s="21"/>
      <c r="T107" s="21" t="s">
        <v>229</v>
      </c>
      <c r="U107" s="21">
        <v>1</v>
      </c>
      <c r="V107" s="21"/>
      <c r="W107" s="21">
        <v>2.5</v>
      </c>
      <c r="X107" s="21">
        <v>1496.36</v>
      </c>
      <c r="Y107" s="21">
        <v>2.5</v>
      </c>
      <c r="Z107" s="21">
        <v>1496.36</v>
      </c>
      <c r="AA107" s="21">
        <v>0</v>
      </c>
      <c r="AB107" s="21">
        <v>0</v>
      </c>
      <c r="AC107" s="21">
        <v>54026930</v>
      </c>
      <c r="AD107" s="21" t="s">
        <v>189</v>
      </c>
      <c r="AE107" s="23">
        <v>46246</v>
      </c>
      <c r="AF107" s="21">
        <v>0</v>
      </c>
      <c r="AG107" s="21">
        <v>0</v>
      </c>
      <c r="AH107" s="21"/>
      <c r="AI107" s="21">
        <v>0</v>
      </c>
      <c r="AJ107" s="21"/>
      <c r="AK107" s="21"/>
      <c r="AL107" s="21"/>
      <c r="AM107" s="21">
        <v>0</v>
      </c>
      <c r="AN107" s="21">
        <v>0</v>
      </c>
      <c r="AO107" s="21">
        <v>0</v>
      </c>
      <c r="AP107" s="21">
        <v>0</v>
      </c>
      <c r="AQ107" s="21">
        <v>0</v>
      </c>
      <c r="AR107" s="21">
        <v>0</v>
      </c>
      <c r="AS107" s="21">
        <v>0</v>
      </c>
      <c r="AT107" s="21">
        <v>0</v>
      </c>
      <c r="AU107" s="21"/>
      <c r="AV107" s="21" t="s">
        <v>230</v>
      </c>
      <c r="AW107" s="21" t="s">
        <v>202</v>
      </c>
      <c r="AX107" s="21" t="s">
        <v>318</v>
      </c>
      <c r="AY107" s="21" t="s">
        <v>312</v>
      </c>
      <c r="AZ107" s="21" t="s">
        <v>169</v>
      </c>
      <c r="BA107" s="21" t="s">
        <v>170</v>
      </c>
      <c r="BB107" s="21" t="s">
        <v>157</v>
      </c>
    </row>
    <row r="108" spans="1:54" ht="15" customHeight="1" x14ac:dyDescent="0.25">
      <c r="A108" s="21"/>
      <c r="B108" s="21" t="s">
        <v>167</v>
      </c>
      <c r="C108" s="21">
        <v>484</v>
      </c>
      <c r="D108" s="23">
        <v>46246</v>
      </c>
      <c r="E108" s="21" t="s">
        <v>226</v>
      </c>
      <c r="F108" s="21" t="s">
        <v>608</v>
      </c>
      <c r="G108" s="21" t="s">
        <v>590</v>
      </c>
      <c r="H108" s="21" t="s">
        <v>609</v>
      </c>
      <c r="I108" s="21">
        <v>197.57</v>
      </c>
      <c r="J108" s="21">
        <v>19598</v>
      </c>
      <c r="K108" s="21" t="s">
        <v>168</v>
      </c>
      <c r="L108" s="21">
        <v>3871976.86</v>
      </c>
      <c r="M108" s="21">
        <v>19598</v>
      </c>
      <c r="N108" s="21">
        <v>19598</v>
      </c>
      <c r="O108" s="21">
        <v>4568932.7</v>
      </c>
      <c r="P108" s="21" t="s">
        <v>200</v>
      </c>
      <c r="Q108" s="21" t="s">
        <v>200</v>
      </c>
      <c r="R108" s="21"/>
      <c r="S108" s="21"/>
      <c r="T108" s="21" t="s">
        <v>229</v>
      </c>
      <c r="U108" s="21">
        <v>1</v>
      </c>
      <c r="V108" s="21"/>
      <c r="W108" s="21">
        <v>9</v>
      </c>
      <c r="X108" s="21">
        <v>348477.92</v>
      </c>
      <c r="Y108" s="21">
        <v>9</v>
      </c>
      <c r="Z108" s="21">
        <v>348477.92</v>
      </c>
      <c r="AA108" s="21">
        <v>0</v>
      </c>
      <c r="AB108" s="21">
        <v>0</v>
      </c>
      <c r="AC108" s="21">
        <v>39232999</v>
      </c>
      <c r="AD108" s="21" t="s">
        <v>189</v>
      </c>
      <c r="AE108" s="23">
        <v>46246</v>
      </c>
      <c r="AF108" s="21">
        <v>0</v>
      </c>
      <c r="AG108" s="21">
        <v>0</v>
      </c>
      <c r="AH108" s="21"/>
      <c r="AI108" s="21">
        <v>0</v>
      </c>
      <c r="AJ108" s="21"/>
      <c r="AK108" s="21"/>
      <c r="AL108" s="21"/>
      <c r="AM108" s="21">
        <v>0</v>
      </c>
      <c r="AN108" s="21">
        <v>0</v>
      </c>
      <c r="AO108" s="21">
        <v>0</v>
      </c>
      <c r="AP108" s="21">
        <v>0</v>
      </c>
      <c r="AQ108" s="21">
        <v>0</v>
      </c>
      <c r="AR108" s="21">
        <v>0</v>
      </c>
      <c r="AS108" s="21">
        <v>0</v>
      </c>
      <c r="AT108" s="21">
        <v>0</v>
      </c>
      <c r="AU108" s="21"/>
      <c r="AV108" s="21" t="s">
        <v>252</v>
      </c>
      <c r="AW108" s="21" t="s">
        <v>202</v>
      </c>
      <c r="AX108" s="21" t="s">
        <v>186</v>
      </c>
      <c r="AY108" s="21" t="s">
        <v>187</v>
      </c>
      <c r="AZ108" s="21" t="s">
        <v>188</v>
      </c>
      <c r="BA108" s="21" t="s">
        <v>152</v>
      </c>
      <c r="BB108" s="21" t="s">
        <v>152</v>
      </c>
    </row>
    <row r="109" spans="1:54" x14ac:dyDescent="0.25">
      <c r="A109" s="22"/>
      <c r="B109" s="21" t="s">
        <v>167</v>
      </c>
      <c r="C109" s="21">
        <v>485</v>
      </c>
      <c r="D109" s="23">
        <v>46247</v>
      </c>
      <c r="E109" s="21" t="s">
        <v>198</v>
      </c>
      <c r="F109" s="21" t="s">
        <v>606</v>
      </c>
      <c r="G109" s="21" t="s">
        <v>590</v>
      </c>
      <c r="H109" s="21" t="s">
        <v>456</v>
      </c>
      <c r="I109" s="21">
        <v>345.98</v>
      </c>
      <c r="J109" s="21">
        <v>156</v>
      </c>
      <c r="K109" s="21" t="s">
        <v>168</v>
      </c>
      <c r="L109" s="21">
        <v>53972.88</v>
      </c>
      <c r="M109" s="21">
        <v>156</v>
      </c>
      <c r="N109" s="21">
        <v>156</v>
      </c>
      <c r="O109" s="21">
        <v>63688</v>
      </c>
      <c r="P109" s="21" t="s">
        <v>200</v>
      </c>
      <c r="Q109" s="21" t="s">
        <v>200</v>
      </c>
      <c r="R109" s="21"/>
      <c r="S109" s="21"/>
      <c r="T109" s="21" t="s">
        <v>229</v>
      </c>
      <c r="U109" s="21">
        <v>1</v>
      </c>
      <c r="V109" s="21"/>
      <c r="W109" s="21">
        <v>9</v>
      </c>
      <c r="X109" s="21">
        <v>4857.5600000000004</v>
      </c>
      <c r="Y109" s="21">
        <v>9</v>
      </c>
      <c r="Z109" s="21">
        <v>4857.5600000000004</v>
      </c>
      <c r="AA109" s="21">
        <v>0</v>
      </c>
      <c r="AB109" s="21">
        <v>0</v>
      </c>
      <c r="AC109" s="21">
        <v>39232999</v>
      </c>
      <c r="AD109" s="21" t="s">
        <v>189</v>
      </c>
      <c r="AE109" s="23">
        <v>46247</v>
      </c>
      <c r="AF109" s="21">
        <v>0</v>
      </c>
      <c r="AG109" s="21">
        <v>0</v>
      </c>
      <c r="AH109" s="21"/>
      <c r="AI109" s="21">
        <v>0</v>
      </c>
      <c r="AJ109" s="21"/>
      <c r="AK109" s="21"/>
      <c r="AL109" s="21"/>
      <c r="AM109" s="21">
        <v>0</v>
      </c>
      <c r="AN109" s="21">
        <v>0</v>
      </c>
      <c r="AO109" s="21">
        <v>0</v>
      </c>
      <c r="AP109" s="21">
        <v>0</v>
      </c>
      <c r="AQ109" s="21">
        <v>0</v>
      </c>
      <c r="AR109" s="21">
        <v>0</v>
      </c>
      <c r="AS109" s="21">
        <v>0</v>
      </c>
      <c r="AT109" s="21">
        <v>0</v>
      </c>
      <c r="AU109" s="21"/>
      <c r="AV109" s="21" t="s">
        <v>230</v>
      </c>
      <c r="AW109" s="21" t="s">
        <v>202</v>
      </c>
      <c r="AX109" s="21" t="s">
        <v>186</v>
      </c>
      <c r="AY109" s="21" t="s">
        <v>187</v>
      </c>
      <c r="AZ109" s="21" t="s">
        <v>188</v>
      </c>
      <c r="BA109" s="21" t="s">
        <v>152</v>
      </c>
      <c r="BB109" s="21" t="s">
        <v>152</v>
      </c>
    </row>
    <row r="110" spans="1:54" x14ac:dyDescent="0.25">
      <c r="A110" s="22"/>
      <c r="B110" s="21" t="s">
        <v>167</v>
      </c>
      <c r="C110" s="21">
        <v>486</v>
      </c>
      <c r="D110" s="23">
        <v>46247</v>
      </c>
      <c r="E110" s="21" t="s">
        <v>198</v>
      </c>
      <c r="F110" s="21" t="s">
        <v>254</v>
      </c>
      <c r="G110" s="21" t="s">
        <v>259</v>
      </c>
      <c r="H110" s="21" t="s">
        <v>196</v>
      </c>
      <c r="I110" s="21">
        <v>240</v>
      </c>
      <c r="J110" s="21">
        <v>15</v>
      </c>
      <c r="K110" s="21" t="s">
        <v>168</v>
      </c>
      <c r="L110" s="21">
        <v>3600</v>
      </c>
      <c r="M110" s="21">
        <v>15</v>
      </c>
      <c r="N110" s="21">
        <v>15</v>
      </c>
      <c r="O110" s="21">
        <v>4248</v>
      </c>
      <c r="P110" s="21" t="s">
        <v>237</v>
      </c>
      <c r="Q110" s="21" t="s">
        <v>237</v>
      </c>
      <c r="R110" s="21"/>
      <c r="S110" s="21"/>
      <c r="T110" s="21" t="s">
        <v>229</v>
      </c>
      <c r="U110" s="21">
        <v>1</v>
      </c>
      <c r="V110" s="21"/>
      <c r="W110" s="21">
        <v>9</v>
      </c>
      <c r="X110" s="21">
        <v>324</v>
      </c>
      <c r="Y110" s="21">
        <v>9</v>
      </c>
      <c r="Z110" s="21">
        <v>324</v>
      </c>
      <c r="AA110" s="21">
        <v>0</v>
      </c>
      <c r="AB110" s="21">
        <v>0</v>
      </c>
      <c r="AC110" s="21">
        <v>39201019</v>
      </c>
      <c r="AD110" s="21" t="s">
        <v>189</v>
      </c>
      <c r="AE110" s="23">
        <v>46247</v>
      </c>
      <c r="AF110" s="21">
        <v>0</v>
      </c>
      <c r="AG110" s="21">
        <v>0</v>
      </c>
      <c r="AH110" s="21"/>
      <c r="AI110" s="21">
        <v>0</v>
      </c>
      <c r="AJ110" s="21"/>
      <c r="AK110" s="21"/>
      <c r="AL110" s="21"/>
      <c r="AM110" s="21">
        <v>0</v>
      </c>
      <c r="AN110" s="21">
        <v>0</v>
      </c>
      <c r="AO110" s="21">
        <v>0</v>
      </c>
      <c r="AP110" s="21">
        <v>0</v>
      </c>
      <c r="AQ110" s="21">
        <v>0</v>
      </c>
      <c r="AR110" s="21">
        <v>0</v>
      </c>
      <c r="AS110" s="21">
        <v>0</v>
      </c>
      <c r="AT110" s="21">
        <v>0</v>
      </c>
      <c r="AU110" s="21"/>
      <c r="AV110" s="21" t="s">
        <v>230</v>
      </c>
      <c r="AW110" s="21" t="s">
        <v>202</v>
      </c>
      <c r="AX110" s="21" t="s">
        <v>195</v>
      </c>
      <c r="AY110" s="21" t="s">
        <v>196</v>
      </c>
      <c r="AZ110" s="21" t="s">
        <v>169</v>
      </c>
      <c r="BA110" s="21" t="s">
        <v>197</v>
      </c>
      <c r="BB110" s="21" t="s">
        <v>158</v>
      </c>
    </row>
    <row r="111" spans="1:54" x14ac:dyDescent="0.25">
      <c r="A111" s="22"/>
      <c r="B111" s="21" t="s">
        <v>167</v>
      </c>
      <c r="C111" s="21">
        <v>487</v>
      </c>
      <c r="D111" s="23">
        <v>46247</v>
      </c>
      <c r="E111" s="21" t="s">
        <v>212</v>
      </c>
      <c r="F111" s="21" t="s">
        <v>610</v>
      </c>
      <c r="G111" s="21" t="s">
        <v>590</v>
      </c>
      <c r="H111" s="21" t="s">
        <v>459</v>
      </c>
      <c r="I111" s="21">
        <v>171.48</v>
      </c>
      <c r="J111" s="21">
        <v>9970</v>
      </c>
      <c r="K111" s="21" t="s">
        <v>168</v>
      </c>
      <c r="L111" s="21">
        <v>1709655.6</v>
      </c>
      <c r="M111" s="21">
        <v>9970</v>
      </c>
      <c r="N111" s="21">
        <v>9970</v>
      </c>
      <c r="O111" s="21">
        <v>4237367.93</v>
      </c>
      <c r="P111" s="21" t="s">
        <v>200</v>
      </c>
      <c r="Q111" s="21" t="s">
        <v>200</v>
      </c>
      <c r="R111" s="21"/>
      <c r="S111" s="21"/>
      <c r="T111" s="21" t="s">
        <v>229</v>
      </c>
      <c r="U111" s="21">
        <v>1</v>
      </c>
      <c r="V111" s="21"/>
      <c r="W111" s="21">
        <v>9</v>
      </c>
      <c r="X111" s="21">
        <v>153869</v>
      </c>
      <c r="Y111" s="21">
        <v>9</v>
      </c>
      <c r="Z111" s="21">
        <v>153869</v>
      </c>
      <c r="AA111" s="21">
        <v>0</v>
      </c>
      <c r="AB111" s="21">
        <v>0</v>
      </c>
      <c r="AC111" s="21">
        <v>39232999</v>
      </c>
      <c r="AD111" s="21" t="s">
        <v>189</v>
      </c>
      <c r="AE111" s="23">
        <v>46247</v>
      </c>
      <c r="AF111" s="21">
        <v>0</v>
      </c>
      <c r="AG111" s="21">
        <v>0</v>
      </c>
      <c r="AH111" s="21"/>
      <c r="AI111" s="21">
        <v>0</v>
      </c>
      <c r="AJ111" s="21"/>
      <c r="AK111" s="21"/>
      <c r="AL111" s="21"/>
      <c r="AM111" s="21">
        <v>0</v>
      </c>
      <c r="AN111" s="21">
        <v>0</v>
      </c>
      <c r="AO111" s="21">
        <v>0</v>
      </c>
      <c r="AP111" s="21">
        <v>0</v>
      </c>
      <c r="AQ111" s="21">
        <v>0</v>
      </c>
      <c r="AR111" s="21">
        <v>0</v>
      </c>
      <c r="AS111" s="21">
        <v>0</v>
      </c>
      <c r="AT111" s="21">
        <v>0</v>
      </c>
      <c r="AU111" s="21"/>
      <c r="AV111" s="21" t="s">
        <v>236</v>
      </c>
      <c r="AW111" s="21" t="s">
        <v>202</v>
      </c>
      <c r="AX111" s="21" t="s">
        <v>186</v>
      </c>
      <c r="AY111" s="21" t="s">
        <v>187</v>
      </c>
      <c r="AZ111" s="21" t="s">
        <v>188</v>
      </c>
      <c r="BA111" s="21" t="s">
        <v>152</v>
      </c>
      <c r="BB111" s="21" t="s">
        <v>152</v>
      </c>
    </row>
    <row r="112" spans="1:54" x14ac:dyDescent="0.25">
      <c r="A112" s="22"/>
      <c r="B112" s="21" t="s">
        <v>167</v>
      </c>
      <c r="C112" s="21">
        <v>487</v>
      </c>
      <c r="D112" s="23">
        <v>46247</v>
      </c>
      <c r="E112" s="21" t="s">
        <v>212</v>
      </c>
      <c r="F112" s="21" t="s">
        <v>610</v>
      </c>
      <c r="G112" s="21" t="s">
        <v>590</v>
      </c>
      <c r="H112" s="21" t="s">
        <v>460</v>
      </c>
      <c r="I112" s="21">
        <v>163.81</v>
      </c>
      <c r="J112" s="21">
        <v>2988</v>
      </c>
      <c r="K112" s="21" t="s">
        <v>168</v>
      </c>
      <c r="L112" s="21">
        <v>489464.28</v>
      </c>
      <c r="M112" s="21">
        <v>2988</v>
      </c>
      <c r="N112" s="21">
        <v>2988</v>
      </c>
      <c r="O112" s="21">
        <v>0</v>
      </c>
      <c r="P112" s="21" t="s">
        <v>200</v>
      </c>
      <c r="Q112" s="21" t="s">
        <v>200</v>
      </c>
      <c r="R112" s="21"/>
      <c r="S112" s="21"/>
      <c r="T112" s="21" t="s">
        <v>229</v>
      </c>
      <c r="U112" s="21">
        <v>1</v>
      </c>
      <c r="V112" s="21"/>
      <c r="W112" s="21">
        <v>9</v>
      </c>
      <c r="X112" s="21">
        <v>44051.79</v>
      </c>
      <c r="Y112" s="21">
        <v>9</v>
      </c>
      <c r="Z112" s="21">
        <v>44051.79</v>
      </c>
      <c r="AA112" s="21">
        <v>0</v>
      </c>
      <c r="AB112" s="21">
        <v>0</v>
      </c>
      <c r="AC112" s="21">
        <v>39232999</v>
      </c>
      <c r="AD112" s="21" t="s">
        <v>189</v>
      </c>
      <c r="AE112" s="23">
        <v>46247</v>
      </c>
      <c r="AF112" s="21">
        <v>0</v>
      </c>
      <c r="AG112" s="21">
        <v>0</v>
      </c>
      <c r="AH112" s="21"/>
      <c r="AI112" s="21">
        <v>0</v>
      </c>
      <c r="AJ112" s="21"/>
      <c r="AK112" s="21"/>
      <c r="AL112" s="21"/>
      <c r="AM112" s="21">
        <v>0</v>
      </c>
      <c r="AN112" s="21">
        <v>0</v>
      </c>
      <c r="AO112" s="21">
        <v>0</v>
      </c>
      <c r="AP112" s="21">
        <v>0</v>
      </c>
      <c r="AQ112" s="21">
        <v>0</v>
      </c>
      <c r="AR112" s="21">
        <v>0</v>
      </c>
      <c r="AS112" s="21">
        <v>0</v>
      </c>
      <c r="AT112" s="21">
        <v>0</v>
      </c>
      <c r="AU112" s="21"/>
      <c r="AV112" s="21" t="s">
        <v>236</v>
      </c>
      <c r="AW112" s="21" t="s">
        <v>202</v>
      </c>
      <c r="AX112" s="21" t="s">
        <v>186</v>
      </c>
      <c r="AY112" s="21" t="s">
        <v>187</v>
      </c>
      <c r="AZ112" s="21" t="s">
        <v>188</v>
      </c>
      <c r="BA112" s="21" t="s">
        <v>152</v>
      </c>
      <c r="BB112" s="21" t="s">
        <v>152</v>
      </c>
    </row>
    <row r="113" spans="1:54" x14ac:dyDescent="0.25">
      <c r="A113" s="22"/>
      <c r="B113" s="21" t="s">
        <v>167</v>
      </c>
      <c r="C113" s="21">
        <v>487</v>
      </c>
      <c r="D113" s="23">
        <v>46247</v>
      </c>
      <c r="E113" s="21" t="s">
        <v>212</v>
      </c>
      <c r="F113" s="21" t="s">
        <v>610</v>
      </c>
      <c r="G113" s="21" t="s">
        <v>590</v>
      </c>
      <c r="H113" s="21" t="s">
        <v>461</v>
      </c>
      <c r="I113" s="21">
        <v>172.71</v>
      </c>
      <c r="J113" s="21">
        <v>8059</v>
      </c>
      <c r="K113" s="21" t="s">
        <v>168</v>
      </c>
      <c r="L113" s="21">
        <v>1391869.89</v>
      </c>
      <c r="M113" s="21">
        <v>8059</v>
      </c>
      <c r="N113" s="21">
        <v>8059</v>
      </c>
      <c r="O113" s="21">
        <v>0</v>
      </c>
      <c r="P113" s="21" t="s">
        <v>200</v>
      </c>
      <c r="Q113" s="21" t="s">
        <v>200</v>
      </c>
      <c r="R113" s="21"/>
      <c r="S113" s="21"/>
      <c r="T113" s="21" t="s">
        <v>229</v>
      </c>
      <c r="U113" s="21">
        <v>1</v>
      </c>
      <c r="V113" s="21"/>
      <c r="W113" s="21">
        <v>9</v>
      </c>
      <c r="X113" s="21">
        <v>125268.29</v>
      </c>
      <c r="Y113" s="21">
        <v>9</v>
      </c>
      <c r="Z113" s="21">
        <v>125268.29</v>
      </c>
      <c r="AA113" s="21">
        <v>0</v>
      </c>
      <c r="AB113" s="21">
        <v>0</v>
      </c>
      <c r="AC113" s="21">
        <v>39232999</v>
      </c>
      <c r="AD113" s="21" t="s">
        <v>189</v>
      </c>
      <c r="AE113" s="23">
        <v>46247</v>
      </c>
      <c r="AF113" s="21">
        <v>0</v>
      </c>
      <c r="AG113" s="21">
        <v>0</v>
      </c>
      <c r="AH113" s="21"/>
      <c r="AI113" s="21">
        <v>0</v>
      </c>
      <c r="AJ113" s="21"/>
      <c r="AK113" s="21"/>
      <c r="AL113" s="21"/>
      <c r="AM113" s="21">
        <v>0</v>
      </c>
      <c r="AN113" s="21">
        <v>0</v>
      </c>
      <c r="AO113" s="21">
        <v>0</v>
      </c>
      <c r="AP113" s="21">
        <v>0</v>
      </c>
      <c r="AQ113" s="21">
        <v>0</v>
      </c>
      <c r="AR113" s="21">
        <v>0</v>
      </c>
      <c r="AS113" s="21">
        <v>0</v>
      </c>
      <c r="AT113" s="21">
        <v>0</v>
      </c>
      <c r="AU113" s="21"/>
      <c r="AV113" s="21" t="s">
        <v>236</v>
      </c>
      <c r="AW113" s="21" t="s">
        <v>202</v>
      </c>
      <c r="AX113" s="21" t="s">
        <v>186</v>
      </c>
      <c r="AY113" s="21" t="s">
        <v>187</v>
      </c>
      <c r="AZ113" s="21" t="s">
        <v>188</v>
      </c>
      <c r="BA113" s="21" t="s">
        <v>152</v>
      </c>
      <c r="BB113" s="21" t="s">
        <v>152</v>
      </c>
    </row>
    <row r="114" spans="1:54" x14ac:dyDescent="0.25">
      <c r="A114" s="21"/>
      <c r="B114" s="21" t="s">
        <v>167</v>
      </c>
      <c r="C114" s="21" t="s">
        <v>463</v>
      </c>
      <c r="D114" s="23">
        <v>46247</v>
      </c>
      <c r="E114" s="21" t="s">
        <v>462</v>
      </c>
      <c r="F114" s="21" t="s">
        <v>611</v>
      </c>
      <c r="G114" s="21" t="s">
        <v>238</v>
      </c>
      <c r="H114" s="21" t="s">
        <v>464</v>
      </c>
      <c r="I114" s="21">
        <v>4.5895959499999996</v>
      </c>
      <c r="J114" s="21">
        <v>9900</v>
      </c>
      <c r="K114" s="21" t="s">
        <v>224</v>
      </c>
      <c r="L114" s="21">
        <v>4354415</v>
      </c>
      <c r="M114" s="21">
        <v>19487</v>
      </c>
      <c r="N114" s="21">
        <v>20159</v>
      </c>
      <c r="O114" s="21">
        <v>4909467.8499999996</v>
      </c>
      <c r="P114" s="21" t="s">
        <v>200</v>
      </c>
      <c r="Q114" s="21" t="s">
        <v>200</v>
      </c>
      <c r="R114" s="21"/>
      <c r="S114" s="21"/>
      <c r="T114" s="21" t="s">
        <v>239</v>
      </c>
      <c r="U114" s="21">
        <v>108.05</v>
      </c>
      <c r="V114" s="21" t="s">
        <v>240</v>
      </c>
      <c r="W114" s="21"/>
      <c r="X114" s="21"/>
      <c r="Y114" s="21"/>
      <c r="Z114" s="21"/>
      <c r="AA114" s="21">
        <v>18</v>
      </c>
      <c r="AB114" s="21">
        <v>8178.66</v>
      </c>
      <c r="AC114" s="21">
        <v>63053200</v>
      </c>
      <c r="AD114" s="21"/>
      <c r="AE114" s="23">
        <v>46247</v>
      </c>
      <c r="AF114" s="21">
        <v>40300</v>
      </c>
      <c r="AG114" s="21">
        <v>4354415</v>
      </c>
      <c r="AH114" s="21" t="s">
        <v>241</v>
      </c>
      <c r="AI114" s="21">
        <v>45437</v>
      </c>
      <c r="AJ114" s="21"/>
      <c r="AK114" s="21"/>
      <c r="AL114" s="21">
        <v>6220250</v>
      </c>
      <c r="AM114" s="21">
        <v>5114.28</v>
      </c>
      <c r="AN114" s="21">
        <v>22.72</v>
      </c>
      <c r="AO114" s="21">
        <v>0</v>
      </c>
      <c r="AP114" s="21">
        <v>0</v>
      </c>
      <c r="AQ114" s="21">
        <v>0</v>
      </c>
      <c r="AR114" s="21">
        <v>0</v>
      </c>
      <c r="AS114" s="21">
        <v>0</v>
      </c>
      <c r="AT114" s="21">
        <v>0</v>
      </c>
      <c r="AU114" s="21" t="s">
        <v>612</v>
      </c>
      <c r="AV114" s="21" t="s">
        <v>613</v>
      </c>
      <c r="AW114" s="21" t="s">
        <v>466</v>
      </c>
      <c r="AX114" s="21" t="s">
        <v>186</v>
      </c>
      <c r="AY114" s="21" t="s">
        <v>187</v>
      </c>
      <c r="AZ114" s="21" t="s">
        <v>188</v>
      </c>
      <c r="BA114" s="21" t="s">
        <v>152</v>
      </c>
      <c r="BB114" s="21" t="s">
        <v>162</v>
      </c>
    </row>
    <row r="115" spans="1:54" x14ac:dyDescent="0.25">
      <c r="A115" s="22"/>
      <c r="B115" s="21" t="s">
        <v>167</v>
      </c>
      <c r="C115" s="21">
        <v>490</v>
      </c>
      <c r="D115" s="23">
        <v>46248</v>
      </c>
      <c r="E115" s="21" t="s">
        <v>212</v>
      </c>
      <c r="F115" s="21" t="s">
        <v>614</v>
      </c>
      <c r="G115" s="21" t="s">
        <v>246</v>
      </c>
      <c r="H115" s="21" t="s">
        <v>178</v>
      </c>
      <c r="I115" s="21">
        <v>135.58000000000001</v>
      </c>
      <c r="J115" s="21">
        <v>1222</v>
      </c>
      <c r="K115" s="21" t="s">
        <v>168</v>
      </c>
      <c r="L115" s="21">
        <v>165678.76</v>
      </c>
      <c r="M115" s="21">
        <v>1222</v>
      </c>
      <c r="N115" s="21">
        <v>1222</v>
      </c>
      <c r="O115" s="21">
        <v>195500.94</v>
      </c>
      <c r="P115" s="21" t="s">
        <v>232</v>
      </c>
      <c r="Q115" s="21" t="s">
        <v>232</v>
      </c>
      <c r="R115" s="21"/>
      <c r="S115" s="21"/>
      <c r="T115" s="21" t="s">
        <v>229</v>
      </c>
      <c r="U115" s="21">
        <v>1</v>
      </c>
      <c r="V115" s="21"/>
      <c r="W115" s="21">
        <v>9</v>
      </c>
      <c r="X115" s="21">
        <v>14911.09</v>
      </c>
      <c r="Y115" s="21">
        <v>9</v>
      </c>
      <c r="Z115" s="21">
        <v>14911.09</v>
      </c>
      <c r="AA115" s="21">
        <v>0</v>
      </c>
      <c r="AB115" s="21">
        <v>0</v>
      </c>
      <c r="AC115" s="21">
        <v>39269080</v>
      </c>
      <c r="AD115" s="21" t="s">
        <v>189</v>
      </c>
      <c r="AE115" s="23">
        <v>46248</v>
      </c>
      <c r="AF115" s="21">
        <v>0</v>
      </c>
      <c r="AG115" s="21">
        <v>0</v>
      </c>
      <c r="AH115" s="21"/>
      <c r="AI115" s="21">
        <v>0</v>
      </c>
      <c r="AJ115" s="21"/>
      <c r="AK115" s="21"/>
      <c r="AL115" s="21"/>
      <c r="AM115" s="21">
        <v>0</v>
      </c>
      <c r="AN115" s="21">
        <v>0</v>
      </c>
      <c r="AO115" s="21">
        <v>0</v>
      </c>
      <c r="AP115" s="21">
        <v>0</v>
      </c>
      <c r="AQ115" s="21">
        <v>0</v>
      </c>
      <c r="AR115" s="21">
        <v>0</v>
      </c>
      <c r="AS115" s="21">
        <v>0</v>
      </c>
      <c r="AT115" s="21">
        <v>0</v>
      </c>
      <c r="AU115" s="21"/>
      <c r="AV115" s="21" t="s">
        <v>236</v>
      </c>
      <c r="AW115" s="21" t="s">
        <v>202</v>
      </c>
      <c r="AX115" s="21" t="s">
        <v>177</v>
      </c>
      <c r="AY115" s="21" t="s">
        <v>178</v>
      </c>
      <c r="AZ115" s="21" t="s">
        <v>169</v>
      </c>
      <c r="BA115" s="21" t="s">
        <v>179</v>
      </c>
      <c r="BB115" s="21" t="s">
        <v>156</v>
      </c>
    </row>
    <row r="116" spans="1:54" x14ac:dyDescent="0.25">
      <c r="A116" s="22"/>
      <c r="B116" s="21" t="s">
        <v>167</v>
      </c>
      <c r="C116" s="21">
        <v>491</v>
      </c>
      <c r="D116" s="23">
        <v>46248</v>
      </c>
      <c r="E116" s="21" t="s">
        <v>212</v>
      </c>
      <c r="F116" s="21" t="s">
        <v>251</v>
      </c>
      <c r="G116" s="21" t="s">
        <v>259</v>
      </c>
      <c r="H116" s="21" t="s">
        <v>196</v>
      </c>
      <c r="I116" s="21">
        <v>270</v>
      </c>
      <c r="J116" s="21">
        <v>16.100000000000001</v>
      </c>
      <c r="K116" s="21" t="s">
        <v>168</v>
      </c>
      <c r="L116" s="21">
        <v>4347</v>
      </c>
      <c r="M116" s="21">
        <v>16.100000000000001</v>
      </c>
      <c r="N116" s="21">
        <v>16.100000000000001</v>
      </c>
      <c r="O116" s="21">
        <v>5129.46</v>
      </c>
      <c r="P116" s="21" t="s">
        <v>237</v>
      </c>
      <c r="Q116" s="21" t="s">
        <v>237</v>
      </c>
      <c r="R116" s="21"/>
      <c r="S116" s="21"/>
      <c r="T116" s="21" t="s">
        <v>229</v>
      </c>
      <c r="U116" s="21">
        <v>1</v>
      </c>
      <c r="V116" s="21"/>
      <c r="W116" s="21">
        <v>9</v>
      </c>
      <c r="X116" s="21">
        <v>391.23</v>
      </c>
      <c r="Y116" s="21">
        <v>9</v>
      </c>
      <c r="Z116" s="21">
        <v>391.23</v>
      </c>
      <c r="AA116" s="21">
        <v>0</v>
      </c>
      <c r="AB116" s="21">
        <v>0</v>
      </c>
      <c r="AC116" s="21">
        <v>39201019</v>
      </c>
      <c r="AD116" s="21" t="s">
        <v>189</v>
      </c>
      <c r="AE116" s="23">
        <v>46248</v>
      </c>
      <c r="AF116" s="21">
        <v>0</v>
      </c>
      <c r="AG116" s="21">
        <v>0</v>
      </c>
      <c r="AH116" s="21"/>
      <c r="AI116" s="21">
        <v>0</v>
      </c>
      <c r="AJ116" s="21"/>
      <c r="AK116" s="21"/>
      <c r="AL116" s="21"/>
      <c r="AM116" s="21">
        <v>0</v>
      </c>
      <c r="AN116" s="21">
        <v>0</v>
      </c>
      <c r="AO116" s="21">
        <v>0</v>
      </c>
      <c r="AP116" s="21">
        <v>0</v>
      </c>
      <c r="AQ116" s="21">
        <v>0</v>
      </c>
      <c r="AR116" s="21">
        <v>0</v>
      </c>
      <c r="AS116" s="21">
        <v>0</v>
      </c>
      <c r="AT116" s="21">
        <v>0</v>
      </c>
      <c r="AU116" s="21"/>
      <c r="AV116" s="21" t="s">
        <v>236</v>
      </c>
      <c r="AW116" s="21" t="s">
        <v>202</v>
      </c>
      <c r="AX116" s="21" t="s">
        <v>195</v>
      </c>
      <c r="AY116" s="21" t="s">
        <v>196</v>
      </c>
      <c r="AZ116" s="21" t="s">
        <v>169</v>
      </c>
      <c r="BA116" s="21" t="s">
        <v>197</v>
      </c>
      <c r="BB116" s="21" t="s">
        <v>158</v>
      </c>
    </row>
    <row r="117" spans="1:54" x14ac:dyDescent="0.25">
      <c r="A117" s="22"/>
      <c r="B117" s="21" t="s">
        <v>167</v>
      </c>
      <c r="C117" s="21">
        <v>492</v>
      </c>
      <c r="D117" s="23">
        <v>46248</v>
      </c>
      <c r="E117" s="21" t="s">
        <v>210</v>
      </c>
      <c r="F117" s="21" t="s">
        <v>604</v>
      </c>
      <c r="G117" s="21" t="s">
        <v>590</v>
      </c>
      <c r="H117" s="21" t="s">
        <v>472</v>
      </c>
      <c r="I117" s="21">
        <v>241.68</v>
      </c>
      <c r="J117" s="21">
        <v>1609</v>
      </c>
      <c r="K117" s="21" t="s">
        <v>168</v>
      </c>
      <c r="L117" s="21">
        <v>388863.12</v>
      </c>
      <c r="M117" s="21">
        <v>1609</v>
      </c>
      <c r="N117" s="21">
        <v>1609</v>
      </c>
      <c r="O117" s="21">
        <v>5428358.2699999996</v>
      </c>
      <c r="P117" s="21" t="s">
        <v>200</v>
      </c>
      <c r="Q117" s="21" t="s">
        <v>200</v>
      </c>
      <c r="R117" s="21"/>
      <c r="S117" s="21"/>
      <c r="T117" s="21" t="s">
        <v>229</v>
      </c>
      <c r="U117" s="21">
        <v>1</v>
      </c>
      <c r="V117" s="21"/>
      <c r="W117" s="21">
        <v>9</v>
      </c>
      <c r="X117" s="21">
        <v>34997.68</v>
      </c>
      <c r="Y117" s="21">
        <v>9</v>
      </c>
      <c r="Z117" s="21">
        <v>34997.68</v>
      </c>
      <c r="AA117" s="21">
        <v>0</v>
      </c>
      <c r="AB117" s="21">
        <v>0</v>
      </c>
      <c r="AC117" s="21">
        <v>39232999</v>
      </c>
      <c r="AD117" s="21" t="s">
        <v>189</v>
      </c>
      <c r="AE117" s="23">
        <v>46248</v>
      </c>
      <c r="AF117" s="21">
        <v>0</v>
      </c>
      <c r="AG117" s="21">
        <v>0</v>
      </c>
      <c r="AH117" s="21"/>
      <c r="AI117" s="21">
        <v>0</v>
      </c>
      <c r="AJ117" s="21"/>
      <c r="AK117" s="21"/>
      <c r="AL117" s="21"/>
      <c r="AM117" s="21">
        <v>0</v>
      </c>
      <c r="AN117" s="21">
        <v>0</v>
      </c>
      <c r="AO117" s="21">
        <v>0</v>
      </c>
      <c r="AP117" s="21">
        <v>0</v>
      </c>
      <c r="AQ117" s="21">
        <v>0</v>
      </c>
      <c r="AR117" s="21">
        <v>0</v>
      </c>
      <c r="AS117" s="21">
        <v>0</v>
      </c>
      <c r="AT117" s="21">
        <v>0</v>
      </c>
      <c r="AU117" s="21"/>
      <c r="AV117" s="21" t="s">
        <v>248</v>
      </c>
      <c r="AW117" s="21" t="s">
        <v>202</v>
      </c>
      <c r="AX117" s="21" t="s">
        <v>186</v>
      </c>
      <c r="AY117" s="21" t="s">
        <v>187</v>
      </c>
      <c r="AZ117" s="21" t="s">
        <v>188</v>
      </c>
      <c r="BA117" s="21" t="s">
        <v>152</v>
      </c>
      <c r="BB117" s="21" t="s">
        <v>152</v>
      </c>
    </row>
    <row r="118" spans="1:54" x14ac:dyDescent="0.25">
      <c r="A118" s="22"/>
      <c r="B118" s="21" t="s">
        <v>167</v>
      </c>
      <c r="C118" s="21">
        <v>492</v>
      </c>
      <c r="D118" s="23">
        <v>46248</v>
      </c>
      <c r="E118" s="21" t="s">
        <v>210</v>
      </c>
      <c r="F118" s="21" t="s">
        <v>604</v>
      </c>
      <c r="G118" s="21" t="s">
        <v>590</v>
      </c>
      <c r="H118" s="21" t="s">
        <v>468</v>
      </c>
      <c r="I118" s="21">
        <v>239.67</v>
      </c>
      <c r="J118" s="21">
        <v>1393.3</v>
      </c>
      <c r="K118" s="21" t="s">
        <v>168</v>
      </c>
      <c r="L118" s="21">
        <v>333932.21000000002</v>
      </c>
      <c r="M118" s="21">
        <v>1393.3</v>
      </c>
      <c r="N118" s="21">
        <v>1393.3</v>
      </c>
      <c r="O118" s="21">
        <v>0</v>
      </c>
      <c r="P118" s="21" t="s">
        <v>200</v>
      </c>
      <c r="Q118" s="21" t="s">
        <v>200</v>
      </c>
      <c r="R118" s="21"/>
      <c r="S118" s="21"/>
      <c r="T118" s="21" t="s">
        <v>229</v>
      </c>
      <c r="U118" s="21">
        <v>1</v>
      </c>
      <c r="V118" s="21"/>
      <c r="W118" s="21">
        <v>9</v>
      </c>
      <c r="X118" s="21">
        <v>30053.9</v>
      </c>
      <c r="Y118" s="21">
        <v>9</v>
      </c>
      <c r="Z118" s="21">
        <v>30053.9</v>
      </c>
      <c r="AA118" s="21">
        <v>0</v>
      </c>
      <c r="AB118" s="21">
        <v>0</v>
      </c>
      <c r="AC118" s="21">
        <v>39232999</v>
      </c>
      <c r="AD118" s="21" t="s">
        <v>189</v>
      </c>
      <c r="AE118" s="23">
        <v>46248</v>
      </c>
      <c r="AF118" s="21">
        <v>0</v>
      </c>
      <c r="AG118" s="21">
        <v>0</v>
      </c>
      <c r="AH118" s="21"/>
      <c r="AI118" s="21">
        <v>0</v>
      </c>
      <c r="AJ118" s="21"/>
      <c r="AK118" s="21"/>
      <c r="AL118" s="21"/>
      <c r="AM118" s="21">
        <v>0</v>
      </c>
      <c r="AN118" s="21">
        <v>0</v>
      </c>
      <c r="AO118" s="21">
        <v>0</v>
      </c>
      <c r="AP118" s="21">
        <v>0</v>
      </c>
      <c r="AQ118" s="21">
        <v>0</v>
      </c>
      <c r="AR118" s="21">
        <v>0</v>
      </c>
      <c r="AS118" s="21">
        <v>0</v>
      </c>
      <c r="AT118" s="21">
        <v>0</v>
      </c>
      <c r="AU118" s="21"/>
      <c r="AV118" s="21" t="s">
        <v>248</v>
      </c>
      <c r="AW118" s="21" t="s">
        <v>202</v>
      </c>
      <c r="AX118" s="21" t="s">
        <v>186</v>
      </c>
      <c r="AY118" s="21" t="s">
        <v>187</v>
      </c>
      <c r="AZ118" s="21" t="s">
        <v>188</v>
      </c>
      <c r="BA118" s="21" t="s">
        <v>152</v>
      </c>
      <c r="BB118" s="21" t="s">
        <v>152</v>
      </c>
    </row>
    <row r="119" spans="1:54" x14ac:dyDescent="0.25">
      <c r="A119" s="22"/>
      <c r="B119" s="21" t="s">
        <v>167</v>
      </c>
      <c r="C119" s="21">
        <v>492</v>
      </c>
      <c r="D119" s="23">
        <v>46248</v>
      </c>
      <c r="E119" s="21" t="s">
        <v>210</v>
      </c>
      <c r="F119" s="21" t="s">
        <v>604</v>
      </c>
      <c r="G119" s="21" t="s">
        <v>590</v>
      </c>
      <c r="H119" s="21" t="s">
        <v>469</v>
      </c>
      <c r="I119" s="21">
        <v>258.83999999999997</v>
      </c>
      <c r="J119" s="21">
        <v>1282.0999999999999</v>
      </c>
      <c r="K119" s="21" t="s">
        <v>168</v>
      </c>
      <c r="L119" s="21">
        <v>331858.76</v>
      </c>
      <c r="M119" s="21">
        <v>1282.0999999999999</v>
      </c>
      <c r="N119" s="21">
        <v>1282.0999999999999</v>
      </c>
      <c r="O119" s="21">
        <v>0</v>
      </c>
      <c r="P119" s="21" t="s">
        <v>200</v>
      </c>
      <c r="Q119" s="21" t="s">
        <v>200</v>
      </c>
      <c r="R119" s="21"/>
      <c r="S119" s="21"/>
      <c r="T119" s="21" t="s">
        <v>229</v>
      </c>
      <c r="U119" s="21">
        <v>1</v>
      </c>
      <c r="V119" s="21"/>
      <c r="W119" s="21">
        <v>9</v>
      </c>
      <c r="X119" s="21">
        <v>29867.29</v>
      </c>
      <c r="Y119" s="21">
        <v>9</v>
      </c>
      <c r="Z119" s="21">
        <v>29867.29</v>
      </c>
      <c r="AA119" s="21">
        <v>0</v>
      </c>
      <c r="AB119" s="21">
        <v>0</v>
      </c>
      <c r="AC119" s="21">
        <v>39232999</v>
      </c>
      <c r="AD119" s="21" t="s">
        <v>189</v>
      </c>
      <c r="AE119" s="23">
        <v>46248</v>
      </c>
      <c r="AF119" s="21">
        <v>0</v>
      </c>
      <c r="AG119" s="21">
        <v>0</v>
      </c>
      <c r="AH119" s="21"/>
      <c r="AI119" s="21">
        <v>0</v>
      </c>
      <c r="AJ119" s="21"/>
      <c r="AK119" s="21"/>
      <c r="AL119" s="21"/>
      <c r="AM119" s="21">
        <v>0</v>
      </c>
      <c r="AN119" s="21">
        <v>0</v>
      </c>
      <c r="AO119" s="21">
        <v>0</v>
      </c>
      <c r="AP119" s="21">
        <v>0</v>
      </c>
      <c r="AQ119" s="21">
        <v>0</v>
      </c>
      <c r="AR119" s="21">
        <v>0</v>
      </c>
      <c r="AS119" s="21">
        <v>0</v>
      </c>
      <c r="AT119" s="21">
        <v>0</v>
      </c>
      <c r="AU119" s="21"/>
      <c r="AV119" s="21" t="s">
        <v>248</v>
      </c>
      <c r="AW119" s="21" t="s">
        <v>202</v>
      </c>
      <c r="AX119" s="21" t="s">
        <v>186</v>
      </c>
      <c r="AY119" s="21" t="s">
        <v>187</v>
      </c>
      <c r="AZ119" s="21" t="s">
        <v>188</v>
      </c>
      <c r="BA119" s="21" t="s">
        <v>152</v>
      </c>
      <c r="BB119" s="21" t="s">
        <v>152</v>
      </c>
    </row>
    <row r="120" spans="1:54" x14ac:dyDescent="0.25">
      <c r="A120" s="22"/>
      <c r="B120" s="21" t="s">
        <v>167</v>
      </c>
      <c r="C120" s="21">
        <v>492</v>
      </c>
      <c r="D120" s="23">
        <v>46248</v>
      </c>
      <c r="E120" s="21" t="s">
        <v>210</v>
      </c>
      <c r="F120" s="21" t="s">
        <v>604</v>
      </c>
      <c r="G120" s="21" t="s">
        <v>590</v>
      </c>
      <c r="H120" s="21" t="s">
        <v>284</v>
      </c>
      <c r="I120" s="21">
        <v>257.91000000000003</v>
      </c>
      <c r="J120" s="21">
        <v>2407.3000000000002</v>
      </c>
      <c r="K120" s="21" t="s">
        <v>168</v>
      </c>
      <c r="L120" s="21">
        <v>620866.74</v>
      </c>
      <c r="M120" s="21">
        <v>2407.3000000000002</v>
      </c>
      <c r="N120" s="21">
        <v>2407.3000000000002</v>
      </c>
      <c r="O120" s="21">
        <v>0</v>
      </c>
      <c r="P120" s="21" t="s">
        <v>200</v>
      </c>
      <c r="Q120" s="21" t="s">
        <v>200</v>
      </c>
      <c r="R120" s="21"/>
      <c r="S120" s="21"/>
      <c r="T120" s="21" t="s">
        <v>229</v>
      </c>
      <c r="U120" s="21">
        <v>1</v>
      </c>
      <c r="V120" s="21"/>
      <c r="W120" s="21">
        <v>9</v>
      </c>
      <c r="X120" s="21">
        <v>55878.01</v>
      </c>
      <c r="Y120" s="21">
        <v>9</v>
      </c>
      <c r="Z120" s="21">
        <v>55878.01</v>
      </c>
      <c r="AA120" s="21">
        <v>0</v>
      </c>
      <c r="AB120" s="21">
        <v>0</v>
      </c>
      <c r="AC120" s="21">
        <v>39232999</v>
      </c>
      <c r="AD120" s="21" t="s">
        <v>189</v>
      </c>
      <c r="AE120" s="23">
        <v>46248</v>
      </c>
      <c r="AF120" s="21">
        <v>0</v>
      </c>
      <c r="AG120" s="21">
        <v>0</v>
      </c>
      <c r="AH120" s="21"/>
      <c r="AI120" s="21">
        <v>0</v>
      </c>
      <c r="AJ120" s="21"/>
      <c r="AK120" s="21"/>
      <c r="AL120" s="21"/>
      <c r="AM120" s="21">
        <v>0</v>
      </c>
      <c r="AN120" s="21">
        <v>0</v>
      </c>
      <c r="AO120" s="21">
        <v>0</v>
      </c>
      <c r="AP120" s="21">
        <v>0</v>
      </c>
      <c r="AQ120" s="21">
        <v>0</v>
      </c>
      <c r="AR120" s="21">
        <v>0</v>
      </c>
      <c r="AS120" s="21">
        <v>0</v>
      </c>
      <c r="AT120" s="21">
        <v>0</v>
      </c>
      <c r="AU120" s="21"/>
      <c r="AV120" s="21" t="s">
        <v>248</v>
      </c>
      <c r="AW120" s="21" t="s">
        <v>202</v>
      </c>
      <c r="AX120" s="21" t="s">
        <v>186</v>
      </c>
      <c r="AY120" s="21" t="s">
        <v>187</v>
      </c>
      <c r="AZ120" s="21" t="s">
        <v>188</v>
      </c>
      <c r="BA120" s="21" t="s">
        <v>152</v>
      </c>
      <c r="BB120" s="21" t="s">
        <v>152</v>
      </c>
    </row>
    <row r="121" spans="1:54" x14ac:dyDescent="0.25">
      <c r="A121" s="22"/>
      <c r="B121" s="21" t="s">
        <v>167</v>
      </c>
      <c r="C121" s="21">
        <v>492</v>
      </c>
      <c r="D121" s="23">
        <v>46248</v>
      </c>
      <c r="E121" s="21" t="s">
        <v>210</v>
      </c>
      <c r="F121" s="21" t="s">
        <v>604</v>
      </c>
      <c r="G121" s="21" t="s">
        <v>590</v>
      </c>
      <c r="H121" s="21" t="s">
        <v>470</v>
      </c>
      <c r="I121" s="21">
        <v>219.86</v>
      </c>
      <c r="J121" s="21">
        <v>6563</v>
      </c>
      <c r="K121" s="21" t="s">
        <v>168</v>
      </c>
      <c r="L121" s="21">
        <v>1442941.18</v>
      </c>
      <c r="M121" s="21">
        <v>6563</v>
      </c>
      <c r="N121" s="21">
        <v>6563</v>
      </c>
      <c r="O121" s="21">
        <v>0</v>
      </c>
      <c r="P121" s="21" t="s">
        <v>200</v>
      </c>
      <c r="Q121" s="21" t="s">
        <v>200</v>
      </c>
      <c r="R121" s="21"/>
      <c r="S121" s="21"/>
      <c r="T121" s="21" t="s">
        <v>229</v>
      </c>
      <c r="U121" s="21">
        <v>1</v>
      </c>
      <c r="V121" s="21"/>
      <c r="W121" s="21">
        <v>9</v>
      </c>
      <c r="X121" s="21">
        <v>129864.71</v>
      </c>
      <c r="Y121" s="21">
        <v>9</v>
      </c>
      <c r="Z121" s="21">
        <v>129864.71</v>
      </c>
      <c r="AA121" s="21">
        <v>0</v>
      </c>
      <c r="AB121" s="21">
        <v>0</v>
      </c>
      <c r="AC121" s="21">
        <v>39232999</v>
      </c>
      <c r="AD121" s="21" t="s">
        <v>189</v>
      </c>
      <c r="AE121" s="23">
        <v>46248</v>
      </c>
      <c r="AF121" s="21">
        <v>0</v>
      </c>
      <c r="AG121" s="21">
        <v>0</v>
      </c>
      <c r="AH121" s="21"/>
      <c r="AI121" s="21">
        <v>0</v>
      </c>
      <c r="AJ121" s="21"/>
      <c r="AK121" s="21"/>
      <c r="AL121" s="21"/>
      <c r="AM121" s="21">
        <v>0</v>
      </c>
      <c r="AN121" s="21">
        <v>0</v>
      </c>
      <c r="AO121" s="21">
        <v>0</v>
      </c>
      <c r="AP121" s="21">
        <v>0</v>
      </c>
      <c r="AQ121" s="21">
        <v>0</v>
      </c>
      <c r="AR121" s="21">
        <v>0</v>
      </c>
      <c r="AS121" s="21">
        <v>0</v>
      </c>
      <c r="AT121" s="21">
        <v>0</v>
      </c>
      <c r="AU121" s="21"/>
      <c r="AV121" s="21" t="s">
        <v>248</v>
      </c>
      <c r="AW121" s="21" t="s">
        <v>202</v>
      </c>
      <c r="AX121" s="21" t="s">
        <v>186</v>
      </c>
      <c r="AY121" s="21" t="s">
        <v>187</v>
      </c>
      <c r="AZ121" s="21" t="s">
        <v>188</v>
      </c>
      <c r="BA121" s="21" t="s">
        <v>152</v>
      </c>
      <c r="BB121" s="21" t="s">
        <v>152</v>
      </c>
    </row>
    <row r="122" spans="1:54" x14ac:dyDescent="0.25">
      <c r="A122" s="22"/>
      <c r="B122" s="21" t="s">
        <v>167</v>
      </c>
      <c r="C122" s="21">
        <v>492</v>
      </c>
      <c r="D122" s="23">
        <v>46248</v>
      </c>
      <c r="E122" s="21" t="s">
        <v>210</v>
      </c>
      <c r="F122" s="21" t="s">
        <v>604</v>
      </c>
      <c r="G122" s="21" t="s">
        <v>590</v>
      </c>
      <c r="H122" s="21" t="s">
        <v>471</v>
      </c>
      <c r="I122" s="21">
        <v>253.74</v>
      </c>
      <c r="J122" s="21">
        <v>5840</v>
      </c>
      <c r="K122" s="21" t="s">
        <v>168</v>
      </c>
      <c r="L122" s="21">
        <v>1481841.6</v>
      </c>
      <c r="M122" s="21">
        <v>5840</v>
      </c>
      <c r="N122" s="21">
        <v>5840</v>
      </c>
      <c r="O122" s="21">
        <v>0</v>
      </c>
      <c r="P122" s="21" t="s">
        <v>200</v>
      </c>
      <c r="Q122" s="21" t="s">
        <v>200</v>
      </c>
      <c r="R122" s="21"/>
      <c r="S122" s="21"/>
      <c r="T122" s="21" t="s">
        <v>229</v>
      </c>
      <c r="U122" s="21">
        <v>1</v>
      </c>
      <c r="V122" s="21"/>
      <c r="W122" s="21">
        <v>9</v>
      </c>
      <c r="X122" s="21">
        <v>133365.74</v>
      </c>
      <c r="Y122" s="21">
        <v>9</v>
      </c>
      <c r="Z122" s="21">
        <v>133365.74</v>
      </c>
      <c r="AA122" s="21">
        <v>0</v>
      </c>
      <c r="AB122" s="21">
        <v>0</v>
      </c>
      <c r="AC122" s="21">
        <v>39232999</v>
      </c>
      <c r="AD122" s="21" t="s">
        <v>189</v>
      </c>
      <c r="AE122" s="23">
        <v>46248</v>
      </c>
      <c r="AF122" s="21">
        <v>0</v>
      </c>
      <c r="AG122" s="21">
        <v>0</v>
      </c>
      <c r="AH122" s="21"/>
      <c r="AI122" s="21">
        <v>0</v>
      </c>
      <c r="AJ122" s="21"/>
      <c r="AK122" s="21"/>
      <c r="AL122" s="21"/>
      <c r="AM122" s="21">
        <v>0</v>
      </c>
      <c r="AN122" s="21">
        <v>0</v>
      </c>
      <c r="AO122" s="21">
        <v>0</v>
      </c>
      <c r="AP122" s="21">
        <v>0</v>
      </c>
      <c r="AQ122" s="21">
        <v>0</v>
      </c>
      <c r="AR122" s="21">
        <v>0</v>
      </c>
      <c r="AS122" s="21">
        <v>0</v>
      </c>
      <c r="AT122" s="21">
        <v>0</v>
      </c>
      <c r="AU122" s="21"/>
      <c r="AV122" s="21" t="s">
        <v>248</v>
      </c>
      <c r="AW122" s="21" t="s">
        <v>202</v>
      </c>
      <c r="AX122" s="21" t="s">
        <v>186</v>
      </c>
      <c r="AY122" s="21" t="s">
        <v>187</v>
      </c>
      <c r="AZ122" s="21" t="s">
        <v>188</v>
      </c>
      <c r="BA122" s="21" t="s">
        <v>152</v>
      </c>
      <c r="BB122" s="21" t="s">
        <v>152</v>
      </c>
    </row>
    <row r="123" spans="1:54" x14ac:dyDescent="0.25">
      <c r="A123" s="22"/>
      <c r="B123" s="21" t="s">
        <v>167</v>
      </c>
      <c r="C123" s="21">
        <v>494</v>
      </c>
      <c r="D123" s="23">
        <v>46250</v>
      </c>
      <c r="E123" s="21" t="s">
        <v>212</v>
      </c>
      <c r="F123" s="21" t="s">
        <v>615</v>
      </c>
      <c r="G123" s="21" t="s">
        <v>590</v>
      </c>
      <c r="H123" s="21" t="s">
        <v>295</v>
      </c>
      <c r="I123" s="21">
        <v>225.64</v>
      </c>
      <c r="J123" s="21">
        <v>771</v>
      </c>
      <c r="K123" s="21" t="s">
        <v>168</v>
      </c>
      <c r="L123" s="21">
        <v>173968.44</v>
      </c>
      <c r="M123" s="21">
        <v>771</v>
      </c>
      <c r="N123" s="21">
        <v>771</v>
      </c>
      <c r="O123" s="21">
        <v>5271068.38</v>
      </c>
      <c r="P123" s="21" t="s">
        <v>200</v>
      </c>
      <c r="Q123" s="21" t="s">
        <v>200</v>
      </c>
      <c r="R123" s="21"/>
      <c r="S123" s="21"/>
      <c r="T123" s="21" t="s">
        <v>229</v>
      </c>
      <c r="U123" s="21">
        <v>1</v>
      </c>
      <c r="V123" s="21"/>
      <c r="W123" s="21">
        <v>9</v>
      </c>
      <c r="X123" s="21">
        <v>15657.16</v>
      </c>
      <c r="Y123" s="21">
        <v>9</v>
      </c>
      <c r="Z123" s="21">
        <v>15657.16</v>
      </c>
      <c r="AA123" s="21">
        <v>0</v>
      </c>
      <c r="AB123" s="21">
        <v>0</v>
      </c>
      <c r="AC123" s="21">
        <v>39232999</v>
      </c>
      <c r="AD123" s="21" t="s">
        <v>189</v>
      </c>
      <c r="AE123" s="23">
        <v>46250</v>
      </c>
      <c r="AF123" s="21">
        <v>0</v>
      </c>
      <c r="AG123" s="21">
        <v>0</v>
      </c>
      <c r="AH123" s="21"/>
      <c r="AI123" s="21">
        <v>0</v>
      </c>
      <c r="AJ123" s="21"/>
      <c r="AK123" s="21"/>
      <c r="AL123" s="21"/>
      <c r="AM123" s="21">
        <v>0</v>
      </c>
      <c r="AN123" s="21">
        <v>0</v>
      </c>
      <c r="AO123" s="21">
        <v>0</v>
      </c>
      <c r="AP123" s="21">
        <v>0</v>
      </c>
      <c r="AQ123" s="21">
        <v>0</v>
      </c>
      <c r="AR123" s="21">
        <v>0</v>
      </c>
      <c r="AS123" s="21">
        <v>0</v>
      </c>
      <c r="AT123" s="21">
        <v>0</v>
      </c>
      <c r="AU123" s="21"/>
      <c r="AV123" s="21" t="s">
        <v>236</v>
      </c>
      <c r="AW123" s="21" t="s">
        <v>202</v>
      </c>
      <c r="AX123" s="21" t="s">
        <v>190</v>
      </c>
      <c r="AY123" s="21" t="s">
        <v>191</v>
      </c>
      <c r="AZ123" s="21" t="s">
        <v>188</v>
      </c>
      <c r="BA123" s="21" t="s">
        <v>152</v>
      </c>
      <c r="BB123" s="21" t="s">
        <v>152</v>
      </c>
    </row>
    <row r="124" spans="1:54" x14ac:dyDescent="0.25">
      <c r="A124" s="22"/>
      <c r="B124" s="21" t="s">
        <v>167</v>
      </c>
      <c r="C124" s="21">
        <v>494</v>
      </c>
      <c r="D124" s="23">
        <v>46250</v>
      </c>
      <c r="E124" s="21" t="s">
        <v>212</v>
      </c>
      <c r="F124" s="21" t="s">
        <v>615</v>
      </c>
      <c r="G124" s="21" t="s">
        <v>590</v>
      </c>
      <c r="H124" s="21" t="s">
        <v>486</v>
      </c>
      <c r="I124" s="21">
        <v>226.55</v>
      </c>
      <c r="J124" s="21">
        <v>2584</v>
      </c>
      <c r="K124" s="21" t="s">
        <v>168</v>
      </c>
      <c r="L124" s="21">
        <v>585405.19999999995</v>
      </c>
      <c r="M124" s="21">
        <v>2584</v>
      </c>
      <c r="N124" s="21">
        <v>2584</v>
      </c>
      <c r="O124" s="21">
        <v>0</v>
      </c>
      <c r="P124" s="21" t="s">
        <v>200</v>
      </c>
      <c r="Q124" s="21" t="s">
        <v>200</v>
      </c>
      <c r="R124" s="21"/>
      <c r="S124" s="21"/>
      <c r="T124" s="21" t="s">
        <v>229</v>
      </c>
      <c r="U124" s="21">
        <v>1</v>
      </c>
      <c r="V124" s="21"/>
      <c r="W124" s="21">
        <v>9</v>
      </c>
      <c r="X124" s="21">
        <v>52686.47</v>
      </c>
      <c r="Y124" s="21">
        <v>9</v>
      </c>
      <c r="Z124" s="21">
        <v>52686.47</v>
      </c>
      <c r="AA124" s="21">
        <v>0</v>
      </c>
      <c r="AB124" s="21">
        <v>0</v>
      </c>
      <c r="AC124" s="21">
        <v>39232999</v>
      </c>
      <c r="AD124" s="21" t="s">
        <v>189</v>
      </c>
      <c r="AE124" s="23">
        <v>46250</v>
      </c>
      <c r="AF124" s="21">
        <v>0</v>
      </c>
      <c r="AG124" s="21">
        <v>0</v>
      </c>
      <c r="AH124" s="21"/>
      <c r="AI124" s="21">
        <v>0</v>
      </c>
      <c r="AJ124" s="21"/>
      <c r="AK124" s="21"/>
      <c r="AL124" s="21"/>
      <c r="AM124" s="21">
        <v>0</v>
      </c>
      <c r="AN124" s="21">
        <v>0</v>
      </c>
      <c r="AO124" s="21">
        <v>0</v>
      </c>
      <c r="AP124" s="21">
        <v>0</v>
      </c>
      <c r="AQ124" s="21">
        <v>0</v>
      </c>
      <c r="AR124" s="21">
        <v>0</v>
      </c>
      <c r="AS124" s="21">
        <v>0</v>
      </c>
      <c r="AT124" s="21">
        <v>0</v>
      </c>
      <c r="AU124" s="21"/>
      <c r="AV124" s="21" t="s">
        <v>236</v>
      </c>
      <c r="AW124" s="21" t="s">
        <v>202</v>
      </c>
      <c r="AX124" s="21" t="s">
        <v>186</v>
      </c>
      <c r="AY124" s="21" t="s">
        <v>187</v>
      </c>
      <c r="AZ124" s="21" t="s">
        <v>188</v>
      </c>
      <c r="BA124" s="21" t="s">
        <v>152</v>
      </c>
      <c r="BB124" s="21" t="s">
        <v>152</v>
      </c>
    </row>
    <row r="125" spans="1:54" ht="15" customHeight="1" x14ac:dyDescent="0.25">
      <c r="A125" s="21"/>
      <c r="B125" s="21" t="s">
        <v>167</v>
      </c>
      <c r="C125" s="21">
        <v>494</v>
      </c>
      <c r="D125" s="23">
        <v>46250</v>
      </c>
      <c r="E125" s="21" t="s">
        <v>212</v>
      </c>
      <c r="F125" s="21" t="s">
        <v>615</v>
      </c>
      <c r="G125" s="21" t="s">
        <v>590</v>
      </c>
      <c r="H125" s="21" t="s">
        <v>616</v>
      </c>
      <c r="I125" s="21">
        <v>225.87</v>
      </c>
      <c r="J125" s="21">
        <v>16414.900000000001</v>
      </c>
      <c r="K125" s="21" t="s">
        <v>168</v>
      </c>
      <c r="L125" s="21">
        <v>3707633.46</v>
      </c>
      <c r="M125" s="21">
        <v>16414.900000000001</v>
      </c>
      <c r="N125" s="21">
        <v>16414.900000000001</v>
      </c>
      <c r="O125" s="21">
        <v>0</v>
      </c>
      <c r="P125" s="21" t="s">
        <v>200</v>
      </c>
      <c r="Q125" s="21" t="s">
        <v>200</v>
      </c>
      <c r="R125" s="21"/>
      <c r="S125" s="21"/>
      <c r="T125" s="21" t="s">
        <v>229</v>
      </c>
      <c r="U125" s="21">
        <v>1</v>
      </c>
      <c r="V125" s="21"/>
      <c r="W125" s="21">
        <v>9</v>
      </c>
      <c r="X125" s="21">
        <v>333687.01</v>
      </c>
      <c r="Y125" s="21">
        <v>9</v>
      </c>
      <c r="Z125" s="21">
        <v>333687.01</v>
      </c>
      <c r="AA125" s="21">
        <v>0</v>
      </c>
      <c r="AB125" s="21">
        <v>0</v>
      </c>
      <c r="AC125" s="21">
        <v>39232999</v>
      </c>
      <c r="AD125" s="21" t="s">
        <v>189</v>
      </c>
      <c r="AE125" s="23">
        <v>46250</v>
      </c>
      <c r="AF125" s="21">
        <v>0</v>
      </c>
      <c r="AG125" s="21">
        <v>0</v>
      </c>
      <c r="AH125" s="21"/>
      <c r="AI125" s="21">
        <v>0</v>
      </c>
      <c r="AJ125" s="21"/>
      <c r="AK125" s="21"/>
      <c r="AL125" s="21"/>
      <c r="AM125" s="21">
        <v>0</v>
      </c>
      <c r="AN125" s="21">
        <v>0</v>
      </c>
      <c r="AO125" s="21">
        <v>0</v>
      </c>
      <c r="AP125" s="21">
        <v>0</v>
      </c>
      <c r="AQ125" s="21">
        <v>0</v>
      </c>
      <c r="AR125" s="21">
        <v>0</v>
      </c>
      <c r="AS125" s="21">
        <v>0</v>
      </c>
      <c r="AT125" s="21">
        <v>0</v>
      </c>
      <c r="AU125" s="21"/>
      <c r="AV125" s="21" t="s">
        <v>236</v>
      </c>
      <c r="AW125" s="21" t="s">
        <v>202</v>
      </c>
      <c r="AX125" s="21" t="s">
        <v>190</v>
      </c>
      <c r="AY125" s="21" t="s">
        <v>191</v>
      </c>
      <c r="AZ125" s="21" t="s">
        <v>188</v>
      </c>
      <c r="BA125" s="21" t="s">
        <v>152</v>
      </c>
      <c r="BB125" s="21" t="s">
        <v>152</v>
      </c>
    </row>
    <row r="126" spans="1:54" x14ac:dyDescent="0.25">
      <c r="A126" s="22"/>
      <c r="B126" s="21" t="s">
        <v>167</v>
      </c>
      <c r="C126" s="21">
        <v>495</v>
      </c>
      <c r="D126" s="23">
        <v>46250</v>
      </c>
      <c r="E126" s="21" t="s">
        <v>226</v>
      </c>
      <c r="F126" s="21" t="s">
        <v>617</v>
      </c>
      <c r="G126" s="21" t="s">
        <v>590</v>
      </c>
      <c r="H126" s="21" t="s">
        <v>479</v>
      </c>
      <c r="I126" s="21">
        <v>194.09</v>
      </c>
      <c r="J126" s="21">
        <v>4066</v>
      </c>
      <c r="K126" s="21" t="s">
        <v>168</v>
      </c>
      <c r="L126" s="21">
        <v>789169.94</v>
      </c>
      <c r="M126" s="21">
        <v>4066</v>
      </c>
      <c r="N126" s="21">
        <v>4066</v>
      </c>
      <c r="O126" s="21">
        <v>4355991.99</v>
      </c>
      <c r="P126" s="21" t="s">
        <v>200</v>
      </c>
      <c r="Q126" s="21" t="s">
        <v>200</v>
      </c>
      <c r="R126" s="21"/>
      <c r="S126" s="21"/>
      <c r="T126" s="21" t="s">
        <v>229</v>
      </c>
      <c r="U126" s="21">
        <v>1</v>
      </c>
      <c r="V126" s="21"/>
      <c r="W126" s="21">
        <v>9</v>
      </c>
      <c r="X126" s="21">
        <v>71025.289999999994</v>
      </c>
      <c r="Y126" s="21">
        <v>9</v>
      </c>
      <c r="Z126" s="21">
        <v>71025.289999999994</v>
      </c>
      <c r="AA126" s="21">
        <v>0</v>
      </c>
      <c r="AB126" s="21">
        <v>0</v>
      </c>
      <c r="AC126" s="21">
        <v>39232999</v>
      </c>
      <c r="AD126" s="21" t="s">
        <v>189</v>
      </c>
      <c r="AE126" s="23">
        <v>46250</v>
      </c>
      <c r="AF126" s="21">
        <v>0</v>
      </c>
      <c r="AG126" s="21">
        <v>0</v>
      </c>
      <c r="AH126" s="21"/>
      <c r="AI126" s="21">
        <v>0</v>
      </c>
      <c r="AJ126" s="21"/>
      <c r="AK126" s="21"/>
      <c r="AL126" s="21"/>
      <c r="AM126" s="21">
        <v>0</v>
      </c>
      <c r="AN126" s="21">
        <v>0</v>
      </c>
      <c r="AO126" s="21">
        <v>0</v>
      </c>
      <c r="AP126" s="21">
        <v>0</v>
      </c>
      <c r="AQ126" s="21">
        <v>0</v>
      </c>
      <c r="AR126" s="21">
        <v>0</v>
      </c>
      <c r="AS126" s="21">
        <v>0</v>
      </c>
      <c r="AT126" s="21">
        <v>0</v>
      </c>
      <c r="AU126" s="21"/>
      <c r="AV126" s="21" t="s">
        <v>252</v>
      </c>
      <c r="AW126" s="21" t="s">
        <v>202</v>
      </c>
      <c r="AX126" s="21" t="s">
        <v>186</v>
      </c>
      <c r="AY126" s="21" t="s">
        <v>187</v>
      </c>
      <c r="AZ126" s="21" t="s">
        <v>188</v>
      </c>
      <c r="BA126" s="21" t="s">
        <v>152</v>
      </c>
      <c r="BB126" s="21" t="s">
        <v>152</v>
      </c>
    </row>
    <row r="127" spans="1:54" x14ac:dyDescent="0.25">
      <c r="A127" s="22"/>
      <c r="B127" s="21" t="s">
        <v>167</v>
      </c>
      <c r="C127" s="21">
        <v>495</v>
      </c>
      <c r="D127" s="23">
        <v>46250</v>
      </c>
      <c r="E127" s="21" t="s">
        <v>226</v>
      </c>
      <c r="F127" s="21" t="s">
        <v>617</v>
      </c>
      <c r="G127" s="21" t="s">
        <v>590</v>
      </c>
      <c r="H127" s="21" t="s">
        <v>480</v>
      </c>
      <c r="I127" s="21">
        <v>205.37</v>
      </c>
      <c r="J127" s="21">
        <v>2906</v>
      </c>
      <c r="K127" s="21" t="s">
        <v>168</v>
      </c>
      <c r="L127" s="21">
        <v>596805.22</v>
      </c>
      <c r="M127" s="21">
        <v>2906</v>
      </c>
      <c r="N127" s="21">
        <v>2906</v>
      </c>
      <c r="O127" s="21">
        <v>0</v>
      </c>
      <c r="P127" s="21" t="s">
        <v>200</v>
      </c>
      <c r="Q127" s="21" t="s">
        <v>200</v>
      </c>
      <c r="R127" s="21"/>
      <c r="S127" s="21"/>
      <c r="T127" s="21" t="s">
        <v>229</v>
      </c>
      <c r="U127" s="21">
        <v>1</v>
      </c>
      <c r="V127" s="21"/>
      <c r="W127" s="21">
        <v>9</v>
      </c>
      <c r="X127" s="21">
        <v>53712.47</v>
      </c>
      <c r="Y127" s="21">
        <v>9</v>
      </c>
      <c r="Z127" s="21">
        <v>53712.47</v>
      </c>
      <c r="AA127" s="21">
        <v>0</v>
      </c>
      <c r="AB127" s="21">
        <v>0</v>
      </c>
      <c r="AC127" s="21">
        <v>39232999</v>
      </c>
      <c r="AD127" s="21" t="s">
        <v>189</v>
      </c>
      <c r="AE127" s="23">
        <v>46250</v>
      </c>
      <c r="AF127" s="21">
        <v>0</v>
      </c>
      <c r="AG127" s="21">
        <v>0</v>
      </c>
      <c r="AH127" s="21"/>
      <c r="AI127" s="21">
        <v>0</v>
      </c>
      <c r="AJ127" s="21"/>
      <c r="AK127" s="21"/>
      <c r="AL127" s="21"/>
      <c r="AM127" s="21">
        <v>0</v>
      </c>
      <c r="AN127" s="21">
        <v>0</v>
      </c>
      <c r="AO127" s="21">
        <v>0</v>
      </c>
      <c r="AP127" s="21">
        <v>0</v>
      </c>
      <c r="AQ127" s="21">
        <v>0</v>
      </c>
      <c r="AR127" s="21">
        <v>0</v>
      </c>
      <c r="AS127" s="21">
        <v>0</v>
      </c>
      <c r="AT127" s="21">
        <v>0</v>
      </c>
      <c r="AU127" s="21"/>
      <c r="AV127" s="21" t="s">
        <v>252</v>
      </c>
      <c r="AW127" s="21" t="s">
        <v>202</v>
      </c>
      <c r="AX127" s="21" t="s">
        <v>186</v>
      </c>
      <c r="AY127" s="21" t="s">
        <v>187</v>
      </c>
      <c r="AZ127" s="21" t="s">
        <v>188</v>
      </c>
      <c r="BA127" s="21" t="s">
        <v>152</v>
      </c>
      <c r="BB127" s="21" t="s">
        <v>152</v>
      </c>
    </row>
    <row r="128" spans="1:54" x14ac:dyDescent="0.25">
      <c r="A128" s="22"/>
      <c r="B128" s="21" t="s">
        <v>167</v>
      </c>
      <c r="C128" s="21">
        <v>495</v>
      </c>
      <c r="D128" s="23">
        <v>46250</v>
      </c>
      <c r="E128" s="21" t="s">
        <v>226</v>
      </c>
      <c r="F128" s="21" t="s">
        <v>617</v>
      </c>
      <c r="G128" s="21" t="s">
        <v>590</v>
      </c>
      <c r="H128" s="21" t="s">
        <v>476</v>
      </c>
      <c r="I128" s="21">
        <v>205.23</v>
      </c>
      <c r="J128" s="21">
        <v>1282</v>
      </c>
      <c r="K128" s="21" t="s">
        <v>168</v>
      </c>
      <c r="L128" s="21">
        <v>263104.86</v>
      </c>
      <c r="M128" s="21">
        <v>1282</v>
      </c>
      <c r="N128" s="21">
        <v>1282</v>
      </c>
      <c r="O128" s="21">
        <v>0</v>
      </c>
      <c r="P128" s="21" t="s">
        <v>200</v>
      </c>
      <c r="Q128" s="21" t="s">
        <v>200</v>
      </c>
      <c r="R128" s="21"/>
      <c r="S128" s="21"/>
      <c r="T128" s="21" t="s">
        <v>229</v>
      </c>
      <c r="U128" s="21">
        <v>1</v>
      </c>
      <c r="V128" s="21"/>
      <c r="W128" s="21">
        <v>9</v>
      </c>
      <c r="X128" s="21">
        <v>23679.439999999999</v>
      </c>
      <c r="Y128" s="21">
        <v>9</v>
      </c>
      <c r="Z128" s="21">
        <v>23679.439999999999</v>
      </c>
      <c r="AA128" s="21">
        <v>0</v>
      </c>
      <c r="AB128" s="21">
        <v>0</v>
      </c>
      <c r="AC128" s="21">
        <v>39232999</v>
      </c>
      <c r="AD128" s="21" t="s">
        <v>189</v>
      </c>
      <c r="AE128" s="23">
        <v>46250</v>
      </c>
      <c r="AF128" s="21">
        <v>0</v>
      </c>
      <c r="AG128" s="21">
        <v>0</v>
      </c>
      <c r="AH128" s="21"/>
      <c r="AI128" s="21">
        <v>0</v>
      </c>
      <c r="AJ128" s="21"/>
      <c r="AK128" s="21"/>
      <c r="AL128" s="21"/>
      <c r="AM128" s="21">
        <v>0</v>
      </c>
      <c r="AN128" s="21">
        <v>0</v>
      </c>
      <c r="AO128" s="21">
        <v>0</v>
      </c>
      <c r="AP128" s="21">
        <v>0</v>
      </c>
      <c r="AQ128" s="21">
        <v>0</v>
      </c>
      <c r="AR128" s="21">
        <v>0</v>
      </c>
      <c r="AS128" s="21">
        <v>0</v>
      </c>
      <c r="AT128" s="21">
        <v>0</v>
      </c>
      <c r="AU128" s="21"/>
      <c r="AV128" s="21" t="s">
        <v>252</v>
      </c>
      <c r="AW128" s="21" t="s">
        <v>202</v>
      </c>
      <c r="AX128" s="21" t="s">
        <v>186</v>
      </c>
      <c r="AY128" s="21" t="s">
        <v>187</v>
      </c>
      <c r="AZ128" s="21" t="s">
        <v>188</v>
      </c>
      <c r="BA128" s="21" t="s">
        <v>152</v>
      </c>
      <c r="BB128" s="21" t="s">
        <v>152</v>
      </c>
    </row>
    <row r="129" spans="1:54" x14ac:dyDescent="0.25">
      <c r="A129" s="22"/>
      <c r="B129" s="21" t="s">
        <v>167</v>
      </c>
      <c r="C129" s="21">
        <v>495</v>
      </c>
      <c r="D129" s="23">
        <v>46250</v>
      </c>
      <c r="E129" s="21" t="s">
        <v>226</v>
      </c>
      <c r="F129" s="21" t="s">
        <v>617</v>
      </c>
      <c r="G129" s="21" t="s">
        <v>590</v>
      </c>
      <c r="H129" s="21" t="s">
        <v>477</v>
      </c>
      <c r="I129" s="21">
        <v>187.19</v>
      </c>
      <c r="J129" s="21">
        <v>6205</v>
      </c>
      <c r="K129" s="21" t="s">
        <v>168</v>
      </c>
      <c r="L129" s="21">
        <v>1161513.95</v>
      </c>
      <c r="M129" s="21">
        <v>6205</v>
      </c>
      <c r="N129" s="21">
        <v>6205</v>
      </c>
      <c r="O129" s="21">
        <v>0</v>
      </c>
      <c r="P129" s="21" t="s">
        <v>200</v>
      </c>
      <c r="Q129" s="21" t="s">
        <v>200</v>
      </c>
      <c r="R129" s="21"/>
      <c r="S129" s="21"/>
      <c r="T129" s="21" t="s">
        <v>229</v>
      </c>
      <c r="U129" s="21">
        <v>1</v>
      </c>
      <c r="V129" s="21"/>
      <c r="W129" s="21">
        <v>9</v>
      </c>
      <c r="X129" s="21">
        <v>104536.26</v>
      </c>
      <c r="Y129" s="21">
        <v>9</v>
      </c>
      <c r="Z129" s="21">
        <v>104536.26</v>
      </c>
      <c r="AA129" s="21">
        <v>0</v>
      </c>
      <c r="AB129" s="21">
        <v>0</v>
      </c>
      <c r="AC129" s="21">
        <v>39232999</v>
      </c>
      <c r="AD129" s="21" t="s">
        <v>189</v>
      </c>
      <c r="AE129" s="23">
        <v>46250</v>
      </c>
      <c r="AF129" s="21">
        <v>0</v>
      </c>
      <c r="AG129" s="21">
        <v>0</v>
      </c>
      <c r="AH129" s="21"/>
      <c r="AI129" s="21">
        <v>0</v>
      </c>
      <c r="AJ129" s="21"/>
      <c r="AK129" s="21"/>
      <c r="AL129" s="21"/>
      <c r="AM129" s="21">
        <v>0</v>
      </c>
      <c r="AN129" s="21">
        <v>0</v>
      </c>
      <c r="AO129" s="21">
        <v>0</v>
      </c>
      <c r="AP129" s="21">
        <v>0</v>
      </c>
      <c r="AQ129" s="21">
        <v>0</v>
      </c>
      <c r="AR129" s="21">
        <v>0</v>
      </c>
      <c r="AS129" s="21">
        <v>0</v>
      </c>
      <c r="AT129" s="21">
        <v>0</v>
      </c>
      <c r="AU129" s="21"/>
      <c r="AV129" s="21" t="s">
        <v>252</v>
      </c>
      <c r="AW129" s="21" t="s">
        <v>202</v>
      </c>
      <c r="AX129" s="21" t="s">
        <v>186</v>
      </c>
      <c r="AY129" s="21" t="s">
        <v>187</v>
      </c>
      <c r="AZ129" s="21" t="s">
        <v>188</v>
      </c>
      <c r="BA129" s="21" t="s">
        <v>152</v>
      </c>
      <c r="BB129" s="21" t="s">
        <v>152</v>
      </c>
    </row>
    <row r="130" spans="1:54" x14ac:dyDescent="0.25">
      <c r="A130" s="22"/>
      <c r="B130" s="21" t="s">
        <v>167</v>
      </c>
      <c r="C130" s="21">
        <v>495</v>
      </c>
      <c r="D130" s="23">
        <v>46250</v>
      </c>
      <c r="E130" s="21" t="s">
        <v>226</v>
      </c>
      <c r="F130" s="21" t="s">
        <v>617</v>
      </c>
      <c r="G130" s="21" t="s">
        <v>590</v>
      </c>
      <c r="H130" s="21" t="s">
        <v>478</v>
      </c>
      <c r="I130" s="21">
        <v>193.27</v>
      </c>
      <c r="J130" s="21">
        <v>4558</v>
      </c>
      <c r="K130" s="21" t="s">
        <v>168</v>
      </c>
      <c r="L130" s="21">
        <v>880924.66</v>
      </c>
      <c r="M130" s="21">
        <v>4558</v>
      </c>
      <c r="N130" s="21">
        <v>4558</v>
      </c>
      <c r="O130" s="21">
        <v>0</v>
      </c>
      <c r="P130" s="21" t="s">
        <v>200</v>
      </c>
      <c r="Q130" s="21" t="s">
        <v>200</v>
      </c>
      <c r="R130" s="21"/>
      <c r="S130" s="21"/>
      <c r="T130" s="21" t="s">
        <v>229</v>
      </c>
      <c r="U130" s="21">
        <v>1</v>
      </c>
      <c r="V130" s="21"/>
      <c r="W130" s="21">
        <v>9</v>
      </c>
      <c r="X130" s="21">
        <v>79283.22</v>
      </c>
      <c r="Y130" s="21">
        <v>9</v>
      </c>
      <c r="Z130" s="21">
        <v>79283.22</v>
      </c>
      <c r="AA130" s="21">
        <v>0</v>
      </c>
      <c r="AB130" s="21">
        <v>0</v>
      </c>
      <c r="AC130" s="21">
        <v>39232999</v>
      </c>
      <c r="AD130" s="21" t="s">
        <v>189</v>
      </c>
      <c r="AE130" s="23">
        <v>46250</v>
      </c>
      <c r="AF130" s="21">
        <v>0</v>
      </c>
      <c r="AG130" s="21">
        <v>0</v>
      </c>
      <c r="AH130" s="21"/>
      <c r="AI130" s="21">
        <v>0</v>
      </c>
      <c r="AJ130" s="21"/>
      <c r="AK130" s="21"/>
      <c r="AL130" s="21"/>
      <c r="AM130" s="21">
        <v>0</v>
      </c>
      <c r="AN130" s="21">
        <v>0</v>
      </c>
      <c r="AO130" s="21">
        <v>0</v>
      </c>
      <c r="AP130" s="21">
        <v>0</v>
      </c>
      <c r="AQ130" s="21">
        <v>0</v>
      </c>
      <c r="AR130" s="21">
        <v>0</v>
      </c>
      <c r="AS130" s="21">
        <v>0</v>
      </c>
      <c r="AT130" s="21">
        <v>0</v>
      </c>
      <c r="AU130" s="21"/>
      <c r="AV130" s="21" t="s">
        <v>252</v>
      </c>
      <c r="AW130" s="21" t="s">
        <v>202</v>
      </c>
      <c r="AX130" s="21" t="s">
        <v>186</v>
      </c>
      <c r="AY130" s="21" t="s">
        <v>187</v>
      </c>
      <c r="AZ130" s="21" t="s">
        <v>188</v>
      </c>
      <c r="BA130" s="21" t="s">
        <v>152</v>
      </c>
      <c r="BB130" s="21" t="s">
        <v>152</v>
      </c>
    </row>
    <row r="131" spans="1:54" x14ac:dyDescent="0.25">
      <c r="A131" s="22"/>
      <c r="B131" s="21" t="s">
        <v>167</v>
      </c>
      <c r="C131" s="21">
        <v>496</v>
      </c>
      <c r="D131" s="23">
        <v>46250</v>
      </c>
      <c r="E131" s="21" t="s">
        <v>198</v>
      </c>
      <c r="F131" s="21" t="s">
        <v>263</v>
      </c>
      <c r="G131" s="21" t="s">
        <v>231</v>
      </c>
      <c r="H131" s="21" t="s">
        <v>483</v>
      </c>
      <c r="I131" s="21">
        <v>133.58000000000001</v>
      </c>
      <c r="J131" s="21">
        <v>550</v>
      </c>
      <c r="K131" s="21" t="s">
        <v>168</v>
      </c>
      <c r="L131" s="21">
        <v>73469</v>
      </c>
      <c r="M131" s="21">
        <v>550</v>
      </c>
      <c r="N131" s="21">
        <v>550</v>
      </c>
      <c r="O131" s="21">
        <v>271818.28000000003</v>
      </c>
      <c r="P131" s="21" t="s">
        <v>232</v>
      </c>
      <c r="Q131" s="21" t="s">
        <v>232</v>
      </c>
      <c r="R131" s="21"/>
      <c r="S131" s="21"/>
      <c r="T131" s="21" t="s">
        <v>229</v>
      </c>
      <c r="U131" s="21">
        <v>1</v>
      </c>
      <c r="V131" s="21"/>
      <c r="W131" s="21">
        <v>9</v>
      </c>
      <c r="X131" s="21">
        <v>6612.21</v>
      </c>
      <c r="Y131" s="21">
        <v>9</v>
      </c>
      <c r="Z131" s="21">
        <v>6612.21</v>
      </c>
      <c r="AA131" s="21">
        <v>0</v>
      </c>
      <c r="AB131" s="21">
        <v>0</v>
      </c>
      <c r="AC131" s="21">
        <v>39269080</v>
      </c>
      <c r="AD131" s="21" t="s">
        <v>189</v>
      </c>
      <c r="AE131" s="23">
        <v>46250</v>
      </c>
      <c r="AF131" s="21">
        <v>0</v>
      </c>
      <c r="AG131" s="21">
        <v>0</v>
      </c>
      <c r="AH131" s="21"/>
      <c r="AI131" s="21">
        <v>0</v>
      </c>
      <c r="AJ131" s="21"/>
      <c r="AK131" s="21"/>
      <c r="AL131" s="21"/>
      <c r="AM131" s="21">
        <v>0</v>
      </c>
      <c r="AN131" s="21">
        <v>0</v>
      </c>
      <c r="AO131" s="21">
        <v>0</v>
      </c>
      <c r="AP131" s="21">
        <v>0</v>
      </c>
      <c r="AQ131" s="21">
        <v>0</v>
      </c>
      <c r="AR131" s="21">
        <v>0</v>
      </c>
      <c r="AS131" s="21">
        <v>0</v>
      </c>
      <c r="AT131" s="21">
        <v>0</v>
      </c>
      <c r="AU131" s="21"/>
      <c r="AV131" s="21" t="s">
        <v>230</v>
      </c>
      <c r="AW131" s="21" t="s">
        <v>202</v>
      </c>
      <c r="AX131" s="21" t="s">
        <v>234</v>
      </c>
      <c r="AY131" s="21" t="s">
        <v>153</v>
      </c>
      <c r="AZ131" s="21" t="s">
        <v>188</v>
      </c>
      <c r="BA131" s="21" t="s">
        <v>153</v>
      </c>
      <c r="BB131" s="21" t="s">
        <v>153</v>
      </c>
    </row>
    <row r="132" spans="1:54" x14ac:dyDescent="0.25">
      <c r="A132" s="22"/>
      <c r="B132" s="21" t="s">
        <v>167</v>
      </c>
      <c r="C132" s="21">
        <v>496</v>
      </c>
      <c r="D132" s="23">
        <v>46250</v>
      </c>
      <c r="E132" s="21" t="s">
        <v>198</v>
      </c>
      <c r="F132" s="21" t="s">
        <v>263</v>
      </c>
      <c r="G132" s="21" t="s">
        <v>233</v>
      </c>
      <c r="H132" s="21" t="s">
        <v>391</v>
      </c>
      <c r="I132" s="21">
        <v>138.58000000000001</v>
      </c>
      <c r="J132" s="21">
        <v>457</v>
      </c>
      <c r="K132" s="21" t="s">
        <v>168</v>
      </c>
      <c r="L132" s="21">
        <v>63331.06</v>
      </c>
      <c r="M132" s="21">
        <v>457</v>
      </c>
      <c r="N132" s="21">
        <v>457</v>
      </c>
      <c r="O132" s="21">
        <v>0</v>
      </c>
      <c r="P132" s="21" t="s">
        <v>232</v>
      </c>
      <c r="Q132" s="21" t="s">
        <v>232</v>
      </c>
      <c r="R132" s="21"/>
      <c r="S132" s="21"/>
      <c r="T132" s="21" t="s">
        <v>229</v>
      </c>
      <c r="U132" s="21">
        <v>1</v>
      </c>
      <c r="V132" s="21"/>
      <c r="W132" s="21">
        <v>9</v>
      </c>
      <c r="X132" s="21">
        <v>5699.8</v>
      </c>
      <c r="Y132" s="21">
        <v>9</v>
      </c>
      <c r="Z132" s="21">
        <v>5699.8</v>
      </c>
      <c r="AA132" s="21">
        <v>0</v>
      </c>
      <c r="AB132" s="21">
        <v>0</v>
      </c>
      <c r="AC132" s="21">
        <v>39269080</v>
      </c>
      <c r="AD132" s="21" t="s">
        <v>189</v>
      </c>
      <c r="AE132" s="23">
        <v>46250</v>
      </c>
      <c r="AF132" s="21">
        <v>0</v>
      </c>
      <c r="AG132" s="21">
        <v>0</v>
      </c>
      <c r="AH132" s="21"/>
      <c r="AI132" s="21">
        <v>0</v>
      </c>
      <c r="AJ132" s="21"/>
      <c r="AK132" s="21"/>
      <c r="AL132" s="21"/>
      <c r="AM132" s="21">
        <v>0</v>
      </c>
      <c r="AN132" s="21">
        <v>0</v>
      </c>
      <c r="AO132" s="21">
        <v>0</v>
      </c>
      <c r="AP132" s="21">
        <v>0</v>
      </c>
      <c r="AQ132" s="21">
        <v>0</v>
      </c>
      <c r="AR132" s="21">
        <v>0</v>
      </c>
      <c r="AS132" s="21">
        <v>0</v>
      </c>
      <c r="AT132" s="21">
        <v>0</v>
      </c>
      <c r="AU132" s="21"/>
      <c r="AV132" s="21" t="s">
        <v>230</v>
      </c>
      <c r="AW132" s="21" t="s">
        <v>202</v>
      </c>
      <c r="AX132" s="21" t="s">
        <v>177</v>
      </c>
      <c r="AY132" s="21" t="s">
        <v>178</v>
      </c>
      <c r="AZ132" s="21" t="s">
        <v>169</v>
      </c>
      <c r="BA132" s="21" t="s">
        <v>179</v>
      </c>
      <c r="BB132" s="21" t="s">
        <v>156</v>
      </c>
    </row>
    <row r="133" spans="1:54" x14ac:dyDescent="0.25">
      <c r="A133" s="22"/>
      <c r="B133" s="21" t="s">
        <v>167</v>
      </c>
      <c r="C133" s="21">
        <v>496</v>
      </c>
      <c r="D133" s="23">
        <v>46250</v>
      </c>
      <c r="E133" s="21" t="s">
        <v>198</v>
      </c>
      <c r="F133" s="21" t="s">
        <v>263</v>
      </c>
      <c r="G133" s="21" t="s">
        <v>233</v>
      </c>
      <c r="H133" s="21" t="s">
        <v>482</v>
      </c>
      <c r="I133" s="21">
        <v>137.58000000000001</v>
      </c>
      <c r="J133" s="21">
        <v>680</v>
      </c>
      <c r="K133" s="21" t="s">
        <v>168</v>
      </c>
      <c r="L133" s="21">
        <v>93554.4</v>
      </c>
      <c r="M133" s="21">
        <v>680</v>
      </c>
      <c r="N133" s="21">
        <v>680</v>
      </c>
      <c r="O133" s="21">
        <v>0</v>
      </c>
      <c r="P133" s="21" t="s">
        <v>232</v>
      </c>
      <c r="Q133" s="21" t="s">
        <v>232</v>
      </c>
      <c r="R133" s="21"/>
      <c r="S133" s="21"/>
      <c r="T133" s="21" t="s">
        <v>229</v>
      </c>
      <c r="U133" s="21">
        <v>1</v>
      </c>
      <c r="V133" s="21"/>
      <c r="W133" s="21">
        <v>9</v>
      </c>
      <c r="X133" s="21">
        <v>8419.9</v>
      </c>
      <c r="Y133" s="21">
        <v>9</v>
      </c>
      <c r="Z133" s="21">
        <v>8419.9</v>
      </c>
      <c r="AA133" s="21">
        <v>0</v>
      </c>
      <c r="AB133" s="21">
        <v>0</v>
      </c>
      <c r="AC133" s="21">
        <v>39269080</v>
      </c>
      <c r="AD133" s="21" t="s">
        <v>189</v>
      </c>
      <c r="AE133" s="23">
        <v>46250</v>
      </c>
      <c r="AF133" s="21">
        <v>0</v>
      </c>
      <c r="AG133" s="21">
        <v>0</v>
      </c>
      <c r="AH133" s="21"/>
      <c r="AI133" s="21">
        <v>0</v>
      </c>
      <c r="AJ133" s="21"/>
      <c r="AK133" s="21"/>
      <c r="AL133" s="21"/>
      <c r="AM133" s="21">
        <v>0</v>
      </c>
      <c r="AN133" s="21">
        <v>0</v>
      </c>
      <c r="AO133" s="21">
        <v>0</v>
      </c>
      <c r="AP133" s="21">
        <v>0</v>
      </c>
      <c r="AQ133" s="21">
        <v>0</v>
      </c>
      <c r="AR133" s="21">
        <v>0</v>
      </c>
      <c r="AS133" s="21">
        <v>0</v>
      </c>
      <c r="AT133" s="21">
        <v>0</v>
      </c>
      <c r="AU133" s="21"/>
      <c r="AV133" s="21" t="s">
        <v>230</v>
      </c>
      <c r="AW133" s="21" t="s">
        <v>202</v>
      </c>
      <c r="AX133" s="21" t="s">
        <v>177</v>
      </c>
      <c r="AY133" s="21" t="s">
        <v>178</v>
      </c>
      <c r="AZ133" s="21" t="s">
        <v>169</v>
      </c>
      <c r="BA133" s="21" t="s">
        <v>179</v>
      </c>
      <c r="BB133" s="21" t="s">
        <v>156</v>
      </c>
    </row>
    <row r="134" spans="1:54" x14ac:dyDescent="0.25">
      <c r="A134" s="22"/>
      <c r="B134" s="21" t="s">
        <v>167</v>
      </c>
      <c r="C134" s="21">
        <v>498</v>
      </c>
      <c r="D134" s="23">
        <v>46250</v>
      </c>
      <c r="E134" s="21" t="s">
        <v>212</v>
      </c>
      <c r="F134" s="21" t="s">
        <v>251</v>
      </c>
      <c r="G134" s="21" t="s">
        <v>259</v>
      </c>
      <c r="H134" s="21" t="s">
        <v>196</v>
      </c>
      <c r="I134" s="21">
        <v>247</v>
      </c>
      <c r="J134" s="21">
        <v>4</v>
      </c>
      <c r="K134" s="21" t="s">
        <v>168</v>
      </c>
      <c r="L134" s="21">
        <v>988</v>
      </c>
      <c r="M134" s="21">
        <v>4</v>
      </c>
      <c r="N134" s="21">
        <v>4</v>
      </c>
      <c r="O134" s="21">
        <v>1165.8399999999999</v>
      </c>
      <c r="P134" s="21" t="s">
        <v>237</v>
      </c>
      <c r="Q134" s="21" t="s">
        <v>237</v>
      </c>
      <c r="R134" s="21"/>
      <c r="S134" s="21"/>
      <c r="T134" s="21" t="s">
        <v>229</v>
      </c>
      <c r="U134" s="21">
        <v>1</v>
      </c>
      <c r="V134" s="21"/>
      <c r="W134" s="21">
        <v>9</v>
      </c>
      <c r="X134" s="21">
        <v>88.92</v>
      </c>
      <c r="Y134" s="21">
        <v>9</v>
      </c>
      <c r="Z134" s="21">
        <v>88.92</v>
      </c>
      <c r="AA134" s="21">
        <v>0</v>
      </c>
      <c r="AB134" s="21">
        <v>0</v>
      </c>
      <c r="AC134" s="21">
        <v>39201019</v>
      </c>
      <c r="AD134" s="21" t="s">
        <v>189</v>
      </c>
      <c r="AE134" s="23">
        <v>46250</v>
      </c>
      <c r="AF134" s="21">
        <v>0</v>
      </c>
      <c r="AG134" s="21">
        <v>0</v>
      </c>
      <c r="AH134" s="21"/>
      <c r="AI134" s="21">
        <v>0</v>
      </c>
      <c r="AJ134" s="21"/>
      <c r="AK134" s="21"/>
      <c r="AL134" s="21"/>
      <c r="AM134" s="21">
        <v>0</v>
      </c>
      <c r="AN134" s="21">
        <v>0</v>
      </c>
      <c r="AO134" s="21">
        <v>0</v>
      </c>
      <c r="AP134" s="21">
        <v>0</v>
      </c>
      <c r="AQ134" s="21">
        <v>0</v>
      </c>
      <c r="AR134" s="21">
        <v>0</v>
      </c>
      <c r="AS134" s="21">
        <v>0</v>
      </c>
      <c r="AT134" s="21">
        <v>0</v>
      </c>
      <c r="AU134" s="21"/>
      <c r="AV134" s="21" t="s">
        <v>236</v>
      </c>
      <c r="AW134" s="21" t="s">
        <v>202</v>
      </c>
      <c r="AX134" s="21" t="s">
        <v>195</v>
      </c>
      <c r="AY134" s="21" t="s">
        <v>196</v>
      </c>
      <c r="AZ134" s="21" t="s">
        <v>169</v>
      </c>
      <c r="BA134" s="21" t="s">
        <v>197</v>
      </c>
      <c r="BB134" s="21" t="s">
        <v>158</v>
      </c>
    </row>
    <row r="135" spans="1:54" x14ac:dyDescent="0.25">
      <c r="A135" s="22"/>
      <c r="B135" s="21" t="s">
        <v>167</v>
      </c>
      <c r="C135" s="21">
        <v>499</v>
      </c>
      <c r="D135" s="23">
        <v>46251</v>
      </c>
      <c r="E135" s="21" t="s">
        <v>198</v>
      </c>
      <c r="F135" s="21" t="s">
        <v>618</v>
      </c>
      <c r="G135" s="21" t="s">
        <v>590</v>
      </c>
      <c r="H135" s="21" t="s">
        <v>489</v>
      </c>
      <c r="I135" s="21">
        <v>207.31</v>
      </c>
      <c r="J135" s="21">
        <v>9169</v>
      </c>
      <c r="K135" s="21" t="s">
        <v>168</v>
      </c>
      <c r="L135" s="21">
        <v>1900825.39</v>
      </c>
      <c r="M135" s="21">
        <v>9169</v>
      </c>
      <c r="N135" s="21">
        <v>9169</v>
      </c>
      <c r="O135" s="21">
        <v>2242973.9700000002</v>
      </c>
      <c r="P135" s="21" t="s">
        <v>200</v>
      </c>
      <c r="Q135" s="21" t="s">
        <v>200</v>
      </c>
      <c r="R135" s="21"/>
      <c r="S135" s="21"/>
      <c r="T135" s="21" t="s">
        <v>229</v>
      </c>
      <c r="U135" s="21">
        <v>1</v>
      </c>
      <c r="V135" s="21"/>
      <c r="W135" s="21">
        <v>9</v>
      </c>
      <c r="X135" s="21">
        <v>171074.29</v>
      </c>
      <c r="Y135" s="21">
        <v>9</v>
      </c>
      <c r="Z135" s="21">
        <v>171074.29</v>
      </c>
      <c r="AA135" s="21">
        <v>0</v>
      </c>
      <c r="AB135" s="21">
        <v>0</v>
      </c>
      <c r="AC135" s="21">
        <v>39232999</v>
      </c>
      <c r="AD135" s="21" t="s">
        <v>189</v>
      </c>
      <c r="AE135" s="23">
        <v>46251</v>
      </c>
      <c r="AF135" s="21">
        <v>0</v>
      </c>
      <c r="AG135" s="21">
        <v>0</v>
      </c>
      <c r="AH135" s="21"/>
      <c r="AI135" s="21">
        <v>0</v>
      </c>
      <c r="AJ135" s="21"/>
      <c r="AK135" s="21"/>
      <c r="AL135" s="21"/>
      <c r="AM135" s="21">
        <v>0</v>
      </c>
      <c r="AN135" s="21">
        <v>0</v>
      </c>
      <c r="AO135" s="21">
        <v>0</v>
      </c>
      <c r="AP135" s="21">
        <v>0</v>
      </c>
      <c r="AQ135" s="21">
        <v>0</v>
      </c>
      <c r="AR135" s="21">
        <v>0</v>
      </c>
      <c r="AS135" s="21">
        <v>0</v>
      </c>
      <c r="AT135" s="21">
        <v>0</v>
      </c>
      <c r="AU135" s="21"/>
      <c r="AV135" s="21" t="s">
        <v>230</v>
      </c>
      <c r="AW135" s="21" t="s">
        <v>202</v>
      </c>
      <c r="AX135" s="21" t="s">
        <v>186</v>
      </c>
      <c r="AY135" s="21" t="s">
        <v>187</v>
      </c>
      <c r="AZ135" s="21" t="s">
        <v>188</v>
      </c>
      <c r="BA135" s="21" t="s">
        <v>152</v>
      </c>
      <c r="BB135" s="21" t="s">
        <v>152</v>
      </c>
    </row>
    <row r="136" spans="1:54" x14ac:dyDescent="0.25">
      <c r="A136" s="22"/>
      <c r="B136" s="21" t="s">
        <v>167</v>
      </c>
      <c r="C136" s="21">
        <v>501</v>
      </c>
      <c r="D136" s="23">
        <v>46251</v>
      </c>
      <c r="E136" s="21" t="s">
        <v>212</v>
      </c>
      <c r="F136" s="21" t="s">
        <v>619</v>
      </c>
      <c r="G136" s="21" t="s">
        <v>300</v>
      </c>
      <c r="H136" s="21" t="s">
        <v>280</v>
      </c>
      <c r="I136" s="21">
        <v>25</v>
      </c>
      <c r="J136" s="21">
        <v>1590</v>
      </c>
      <c r="K136" s="21" t="s">
        <v>168</v>
      </c>
      <c r="L136" s="21">
        <v>39750</v>
      </c>
      <c r="M136" s="21">
        <v>1590</v>
      </c>
      <c r="N136" s="21">
        <v>1590</v>
      </c>
      <c r="O136" s="21">
        <v>47843.1</v>
      </c>
      <c r="P136" s="21" t="s">
        <v>301</v>
      </c>
      <c r="Q136" s="21" t="s">
        <v>301</v>
      </c>
      <c r="R136" s="21"/>
      <c r="S136" s="21"/>
      <c r="T136" s="21" t="s">
        <v>229</v>
      </c>
      <c r="U136" s="21">
        <v>1</v>
      </c>
      <c r="V136" s="21"/>
      <c r="W136" s="21">
        <v>9</v>
      </c>
      <c r="X136" s="21">
        <v>3577.5</v>
      </c>
      <c r="Y136" s="21">
        <v>9</v>
      </c>
      <c r="Z136" s="21">
        <v>3577.5</v>
      </c>
      <c r="AA136" s="21">
        <v>0</v>
      </c>
      <c r="AB136" s="21">
        <v>0</v>
      </c>
      <c r="AC136" s="21">
        <v>39159029</v>
      </c>
      <c r="AD136" s="21" t="s">
        <v>189</v>
      </c>
      <c r="AE136" s="23">
        <v>46251</v>
      </c>
      <c r="AF136" s="21">
        <v>0</v>
      </c>
      <c r="AG136" s="21">
        <v>0</v>
      </c>
      <c r="AH136" s="21"/>
      <c r="AI136" s="21">
        <v>0</v>
      </c>
      <c r="AJ136" s="21"/>
      <c r="AK136" s="21"/>
      <c r="AL136" s="21"/>
      <c r="AM136" s="21">
        <v>0</v>
      </c>
      <c r="AN136" s="21">
        <v>0</v>
      </c>
      <c r="AO136" s="21">
        <v>0</v>
      </c>
      <c r="AP136" s="21">
        <v>0</v>
      </c>
      <c r="AQ136" s="21">
        <v>0</v>
      </c>
      <c r="AR136" s="21">
        <v>0</v>
      </c>
      <c r="AS136" s="21">
        <v>0</v>
      </c>
      <c r="AT136" s="21">
        <v>0</v>
      </c>
      <c r="AU136" s="21"/>
      <c r="AV136" s="21" t="s">
        <v>236</v>
      </c>
      <c r="AW136" s="21" t="s">
        <v>202</v>
      </c>
      <c r="AX136" s="21" t="s">
        <v>302</v>
      </c>
      <c r="AY136" s="21" t="s">
        <v>279</v>
      </c>
      <c r="AZ136" s="21" t="s">
        <v>169</v>
      </c>
      <c r="BA136" s="21" t="s">
        <v>277</v>
      </c>
      <c r="BB136" s="21" t="s">
        <v>277</v>
      </c>
    </row>
    <row r="137" spans="1:54" x14ac:dyDescent="0.25">
      <c r="A137" s="22"/>
      <c r="B137" s="21" t="s">
        <v>167</v>
      </c>
      <c r="C137" s="21">
        <v>502</v>
      </c>
      <c r="D137" s="23">
        <v>46252</v>
      </c>
      <c r="E137" s="21" t="s">
        <v>212</v>
      </c>
      <c r="F137" s="21" t="s">
        <v>251</v>
      </c>
      <c r="G137" s="21" t="s">
        <v>231</v>
      </c>
      <c r="H137" s="21" t="s">
        <v>498</v>
      </c>
      <c r="I137" s="21">
        <v>113.58</v>
      </c>
      <c r="J137" s="21">
        <v>232</v>
      </c>
      <c r="K137" s="21" t="s">
        <v>168</v>
      </c>
      <c r="L137" s="21">
        <v>26350.560000000001</v>
      </c>
      <c r="M137" s="21">
        <v>232</v>
      </c>
      <c r="N137" s="21">
        <v>232</v>
      </c>
      <c r="O137" s="21">
        <v>31093.66</v>
      </c>
      <c r="P137" s="21" t="s">
        <v>237</v>
      </c>
      <c r="Q137" s="21" t="s">
        <v>232</v>
      </c>
      <c r="R137" s="21"/>
      <c r="S137" s="21"/>
      <c r="T137" s="21" t="s">
        <v>229</v>
      </c>
      <c r="U137" s="21">
        <v>1</v>
      </c>
      <c r="V137" s="21"/>
      <c r="W137" s="21">
        <v>9</v>
      </c>
      <c r="X137" s="21">
        <v>2371.5500000000002</v>
      </c>
      <c r="Y137" s="21">
        <v>9</v>
      </c>
      <c r="Z137" s="21">
        <v>2371.5500000000002</v>
      </c>
      <c r="AA137" s="21">
        <v>0</v>
      </c>
      <c r="AB137" s="21">
        <v>0</v>
      </c>
      <c r="AC137" s="21">
        <v>39269080</v>
      </c>
      <c r="AD137" s="21" t="s">
        <v>189</v>
      </c>
      <c r="AE137" s="23">
        <v>46252</v>
      </c>
      <c r="AF137" s="21">
        <v>0</v>
      </c>
      <c r="AG137" s="21">
        <v>0</v>
      </c>
      <c r="AH137" s="21"/>
      <c r="AI137" s="21">
        <v>0</v>
      </c>
      <c r="AJ137" s="21"/>
      <c r="AK137" s="21"/>
      <c r="AL137" s="21"/>
      <c r="AM137" s="21">
        <v>0</v>
      </c>
      <c r="AN137" s="21">
        <v>0</v>
      </c>
      <c r="AO137" s="21">
        <v>0</v>
      </c>
      <c r="AP137" s="21">
        <v>0</v>
      </c>
      <c r="AQ137" s="21">
        <v>0</v>
      </c>
      <c r="AR137" s="21">
        <v>0</v>
      </c>
      <c r="AS137" s="21">
        <v>0</v>
      </c>
      <c r="AT137" s="21">
        <v>0</v>
      </c>
      <c r="AU137" s="21"/>
      <c r="AV137" s="21" t="s">
        <v>236</v>
      </c>
      <c r="AW137" s="21" t="s">
        <v>202</v>
      </c>
      <c r="AX137" s="21" t="s">
        <v>234</v>
      </c>
      <c r="AY137" s="21" t="s">
        <v>153</v>
      </c>
      <c r="AZ137" s="21" t="s">
        <v>188</v>
      </c>
      <c r="BA137" s="21" t="s">
        <v>153</v>
      </c>
      <c r="BB137" s="21" t="s">
        <v>153</v>
      </c>
    </row>
    <row r="138" spans="1:54" x14ac:dyDescent="0.25">
      <c r="A138" s="22"/>
      <c r="B138" s="21" t="s">
        <v>167</v>
      </c>
      <c r="C138" s="21">
        <v>504</v>
      </c>
      <c r="D138" s="23">
        <v>46252</v>
      </c>
      <c r="E138" s="21" t="s">
        <v>212</v>
      </c>
      <c r="F138" s="21" t="s">
        <v>251</v>
      </c>
      <c r="G138" s="21" t="s">
        <v>235</v>
      </c>
      <c r="H138" s="21" t="s">
        <v>500</v>
      </c>
      <c r="I138" s="21">
        <v>138.58000000000001</v>
      </c>
      <c r="J138" s="21">
        <v>24</v>
      </c>
      <c r="K138" s="21" t="s">
        <v>168</v>
      </c>
      <c r="L138" s="21">
        <v>3325.92</v>
      </c>
      <c r="M138" s="21">
        <v>24</v>
      </c>
      <c r="N138" s="21">
        <v>24</v>
      </c>
      <c r="O138" s="21">
        <v>6931.22</v>
      </c>
      <c r="P138" s="21" t="s">
        <v>237</v>
      </c>
      <c r="Q138" s="21" t="s">
        <v>181</v>
      </c>
      <c r="R138" s="21"/>
      <c r="S138" s="21"/>
      <c r="T138" s="21" t="s">
        <v>229</v>
      </c>
      <c r="U138" s="21">
        <v>1</v>
      </c>
      <c r="V138" s="21"/>
      <c r="W138" s="21">
        <v>9</v>
      </c>
      <c r="X138" s="21">
        <v>299.33</v>
      </c>
      <c r="Y138" s="21">
        <v>9</v>
      </c>
      <c r="Z138" s="21">
        <v>299.33</v>
      </c>
      <c r="AA138" s="21">
        <v>0</v>
      </c>
      <c r="AB138" s="21">
        <v>0</v>
      </c>
      <c r="AC138" s="21">
        <v>39269080</v>
      </c>
      <c r="AD138" s="21" t="s">
        <v>189</v>
      </c>
      <c r="AE138" s="23">
        <v>46252</v>
      </c>
      <c r="AF138" s="21">
        <v>0</v>
      </c>
      <c r="AG138" s="21">
        <v>0</v>
      </c>
      <c r="AH138" s="21"/>
      <c r="AI138" s="21">
        <v>0</v>
      </c>
      <c r="AJ138" s="21"/>
      <c r="AK138" s="21"/>
      <c r="AL138" s="21"/>
      <c r="AM138" s="21">
        <v>0</v>
      </c>
      <c r="AN138" s="21">
        <v>0</v>
      </c>
      <c r="AO138" s="21">
        <v>0</v>
      </c>
      <c r="AP138" s="21">
        <v>0</v>
      </c>
      <c r="AQ138" s="21">
        <v>0</v>
      </c>
      <c r="AR138" s="21">
        <v>0</v>
      </c>
      <c r="AS138" s="21">
        <v>0</v>
      </c>
      <c r="AT138" s="21">
        <v>0</v>
      </c>
      <c r="AU138" s="21"/>
      <c r="AV138" s="21" t="s">
        <v>236</v>
      </c>
      <c r="AW138" s="21" t="s">
        <v>202</v>
      </c>
      <c r="AX138" s="21" t="s">
        <v>180</v>
      </c>
      <c r="AY138" s="21" t="s">
        <v>181</v>
      </c>
      <c r="AZ138" s="21" t="s">
        <v>169</v>
      </c>
      <c r="BA138" s="21" t="s">
        <v>181</v>
      </c>
      <c r="BB138" s="21" t="s">
        <v>154</v>
      </c>
    </row>
    <row r="139" spans="1:54" x14ac:dyDescent="0.25">
      <c r="A139" s="22"/>
      <c r="B139" s="21" t="s">
        <v>167</v>
      </c>
      <c r="C139" s="21">
        <v>504</v>
      </c>
      <c r="D139" s="23">
        <v>46252</v>
      </c>
      <c r="E139" s="21" t="s">
        <v>212</v>
      </c>
      <c r="F139" s="21" t="s">
        <v>251</v>
      </c>
      <c r="G139" s="21" t="s">
        <v>259</v>
      </c>
      <c r="H139" s="21" t="s">
        <v>196</v>
      </c>
      <c r="I139" s="21">
        <v>260</v>
      </c>
      <c r="J139" s="21">
        <v>9.8000000000000007</v>
      </c>
      <c r="K139" s="21" t="s">
        <v>168</v>
      </c>
      <c r="L139" s="21">
        <v>2548</v>
      </c>
      <c r="M139" s="21">
        <v>9.8000000000000007</v>
      </c>
      <c r="N139" s="21">
        <v>9.8000000000000007</v>
      </c>
      <c r="O139" s="21">
        <v>0</v>
      </c>
      <c r="P139" s="21" t="s">
        <v>237</v>
      </c>
      <c r="Q139" s="21" t="s">
        <v>196</v>
      </c>
      <c r="R139" s="21"/>
      <c r="S139" s="21"/>
      <c r="T139" s="21" t="s">
        <v>229</v>
      </c>
      <c r="U139" s="21">
        <v>1</v>
      </c>
      <c r="V139" s="21"/>
      <c r="W139" s="21">
        <v>9</v>
      </c>
      <c r="X139" s="21">
        <v>229.32</v>
      </c>
      <c r="Y139" s="21">
        <v>9</v>
      </c>
      <c r="Z139" s="21">
        <v>229.32</v>
      </c>
      <c r="AA139" s="21">
        <v>0</v>
      </c>
      <c r="AB139" s="21">
        <v>0</v>
      </c>
      <c r="AC139" s="21">
        <v>39201019</v>
      </c>
      <c r="AD139" s="21" t="s">
        <v>189</v>
      </c>
      <c r="AE139" s="23">
        <v>46252</v>
      </c>
      <c r="AF139" s="21">
        <v>0</v>
      </c>
      <c r="AG139" s="21">
        <v>0</v>
      </c>
      <c r="AH139" s="21"/>
      <c r="AI139" s="21">
        <v>0</v>
      </c>
      <c r="AJ139" s="21"/>
      <c r="AK139" s="21"/>
      <c r="AL139" s="21"/>
      <c r="AM139" s="21">
        <v>0</v>
      </c>
      <c r="AN139" s="21">
        <v>0</v>
      </c>
      <c r="AO139" s="21">
        <v>0</v>
      </c>
      <c r="AP139" s="21">
        <v>0</v>
      </c>
      <c r="AQ139" s="21">
        <v>0</v>
      </c>
      <c r="AR139" s="21">
        <v>0</v>
      </c>
      <c r="AS139" s="21">
        <v>0</v>
      </c>
      <c r="AT139" s="21">
        <v>0</v>
      </c>
      <c r="AU139" s="21"/>
      <c r="AV139" s="21" t="s">
        <v>236</v>
      </c>
      <c r="AW139" s="21" t="s">
        <v>202</v>
      </c>
      <c r="AX139" s="21" t="s">
        <v>195</v>
      </c>
      <c r="AY139" s="21" t="s">
        <v>196</v>
      </c>
      <c r="AZ139" s="21" t="s">
        <v>169</v>
      </c>
      <c r="BA139" s="21" t="s">
        <v>197</v>
      </c>
      <c r="BB139" s="21" t="s">
        <v>158</v>
      </c>
    </row>
    <row r="140" spans="1:54" x14ac:dyDescent="0.25">
      <c r="A140" s="22"/>
      <c r="B140" s="21" t="s">
        <v>167</v>
      </c>
      <c r="C140" s="21">
        <v>506</v>
      </c>
      <c r="D140" s="23">
        <v>46252</v>
      </c>
      <c r="E140" s="21" t="s">
        <v>212</v>
      </c>
      <c r="F140" s="21" t="s">
        <v>320</v>
      </c>
      <c r="G140" s="21" t="s">
        <v>233</v>
      </c>
      <c r="H140" s="21" t="s">
        <v>363</v>
      </c>
      <c r="I140" s="21">
        <v>135.58000000000001</v>
      </c>
      <c r="J140" s="21">
        <v>2330</v>
      </c>
      <c r="K140" s="21" t="s">
        <v>168</v>
      </c>
      <c r="L140" s="21">
        <v>315901.40000000002</v>
      </c>
      <c r="M140" s="21">
        <v>2330</v>
      </c>
      <c r="N140" s="21">
        <v>2330</v>
      </c>
      <c r="O140" s="21">
        <v>372763.66</v>
      </c>
      <c r="P140" s="21" t="s">
        <v>232</v>
      </c>
      <c r="Q140" s="21" t="s">
        <v>232</v>
      </c>
      <c r="R140" s="21"/>
      <c r="S140" s="21"/>
      <c r="T140" s="21" t="s">
        <v>229</v>
      </c>
      <c r="U140" s="21">
        <v>1</v>
      </c>
      <c r="V140" s="21"/>
      <c r="W140" s="21">
        <v>9</v>
      </c>
      <c r="X140" s="21">
        <v>28431.13</v>
      </c>
      <c r="Y140" s="21">
        <v>9</v>
      </c>
      <c r="Z140" s="21">
        <v>28431.13</v>
      </c>
      <c r="AA140" s="21">
        <v>0</v>
      </c>
      <c r="AB140" s="21">
        <v>0</v>
      </c>
      <c r="AC140" s="21">
        <v>39269080</v>
      </c>
      <c r="AD140" s="21" t="s">
        <v>189</v>
      </c>
      <c r="AE140" s="23">
        <v>46252</v>
      </c>
      <c r="AF140" s="21">
        <v>0</v>
      </c>
      <c r="AG140" s="21">
        <v>0</v>
      </c>
      <c r="AH140" s="21"/>
      <c r="AI140" s="21">
        <v>0</v>
      </c>
      <c r="AJ140" s="21"/>
      <c r="AK140" s="21"/>
      <c r="AL140" s="21"/>
      <c r="AM140" s="21">
        <v>0</v>
      </c>
      <c r="AN140" s="21">
        <v>0</v>
      </c>
      <c r="AO140" s="21">
        <v>0</v>
      </c>
      <c r="AP140" s="21">
        <v>0</v>
      </c>
      <c r="AQ140" s="21">
        <v>0</v>
      </c>
      <c r="AR140" s="21">
        <v>0</v>
      </c>
      <c r="AS140" s="21">
        <v>0</v>
      </c>
      <c r="AT140" s="21">
        <v>0</v>
      </c>
      <c r="AU140" s="21"/>
      <c r="AV140" s="21" t="s">
        <v>236</v>
      </c>
      <c r="AW140" s="21" t="s">
        <v>202</v>
      </c>
      <c r="AX140" s="21" t="s">
        <v>177</v>
      </c>
      <c r="AY140" s="21" t="s">
        <v>178</v>
      </c>
      <c r="AZ140" s="21" t="s">
        <v>169</v>
      </c>
      <c r="BA140" s="21" t="s">
        <v>179</v>
      </c>
      <c r="BB140" s="21" t="s">
        <v>156</v>
      </c>
    </row>
    <row r="141" spans="1:54" x14ac:dyDescent="0.25">
      <c r="A141" s="22"/>
      <c r="B141" s="21" t="s">
        <v>167</v>
      </c>
      <c r="C141" s="21">
        <v>508</v>
      </c>
      <c r="D141" s="23">
        <v>46252</v>
      </c>
      <c r="E141" s="21" t="s">
        <v>212</v>
      </c>
      <c r="F141" s="21" t="s">
        <v>174</v>
      </c>
      <c r="G141" s="21" t="s">
        <v>235</v>
      </c>
      <c r="H141" s="21" t="s">
        <v>503</v>
      </c>
      <c r="I141" s="21">
        <v>138.58000000000001</v>
      </c>
      <c r="J141" s="21">
        <v>360.4</v>
      </c>
      <c r="K141" s="21" t="s">
        <v>168</v>
      </c>
      <c r="L141" s="21">
        <v>49944.23</v>
      </c>
      <c r="M141" s="21">
        <v>360.4</v>
      </c>
      <c r="N141" s="21">
        <v>360.4</v>
      </c>
      <c r="O141" s="21">
        <v>58934.19</v>
      </c>
      <c r="P141" s="21" t="s">
        <v>181</v>
      </c>
      <c r="Q141" s="21" t="s">
        <v>181</v>
      </c>
      <c r="R141" s="21"/>
      <c r="S141" s="21"/>
      <c r="T141" s="21" t="s">
        <v>229</v>
      </c>
      <c r="U141" s="21">
        <v>1</v>
      </c>
      <c r="V141" s="21"/>
      <c r="W141" s="21">
        <v>9</v>
      </c>
      <c r="X141" s="21">
        <v>4494.9799999999996</v>
      </c>
      <c r="Y141" s="21">
        <v>9</v>
      </c>
      <c r="Z141" s="21">
        <v>4494.9799999999996</v>
      </c>
      <c r="AA141" s="21">
        <v>0</v>
      </c>
      <c r="AB141" s="21">
        <v>0</v>
      </c>
      <c r="AC141" s="21">
        <v>39269080</v>
      </c>
      <c r="AD141" s="21" t="s">
        <v>189</v>
      </c>
      <c r="AE141" s="23">
        <v>46252</v>
      </c>
      <c r="AF141" s="21">
        <v>0</v>
      </c>
      <c r="AG141" s="21">
        <v>0</v>
      </c>
      <c r="AH141" s="21"/>
      <c r="AI141" s="21">
        <v>0</v>
      </c>
      <c r="AJ141" s="21"/>
      <c r="AK141" s="21"/>
      <c r="AL141" s="21"/>
      <c r="AM141" s="21">
        <v>0</v>
      </c>
      <c r="AN141" s="21">
        <v>0</v>
      </c>
      <c r="AO141" s="21">
        <v>0</v>
      </c>
      <c r="AP141" s="21">
        <v>0</v>
      </c>
      <c r="AQ141" s="21">
        <v>0</v>
      </c>
      <c r="AR141" s="21">
        <v>0</v>
      </c>
      <c r="AS141" s="21">
        <v>0</v>
      </c>
      <c r="AT141" s="21">
        <v>0</v>
      </c>
      <c r="AU141" s="21"/>
      <c r="AV141" s="21" t="s">
        <v>236</v>
      </c>
      <c r="AW141" s="21" t="s">
        <v>202</v>
      </c>
      <c r="AX141" s="21" t="s">
        <v>180</v>
      </c>
      <c r="AY141" s="21" t="s">
        <v>181</v>
      </c>
      <c r="AZ141" s="21" t="s">
        <v>169</v>
      </c>
      <c r="BA141" s="21" t="s">
        <v>181</v>
      </c>
      <c r="BB141" s="21" t="s">
        <v>154</v>
      </c>
    </row>
    <row r="142" spans="1:54" x14ac:dyDescent="0.25">
      <c r="A142" s="22"/>
      <c r="B142" s="21" t="s">
        <v>167</v>
      </c>
      <c r="C142" s="21">
        <v>511</v>
      </c>
      <c r="D142" s="23">
        <v>46252</v>
      </c>
      <c r="E142" s="21" t="s">
        <v>212</v>
      </c>
      <c r="F142" s="21" t="s">
        <v>251</v>
      </c>
      <c r="G142" s="21" t="s">
        <v>310</v>
      </c>
      <c r="H142" s="21" t="s">
        <v>272</v>
      </c>
      <c r="I142" s="21">
        <v>176.2</v>
      </c>
      <c r="J142" s="21">
        <v>115.5</v>
      </c>
      <c r="K142" s="21" t="s">
        <v>168</v>
      </c>
      <c r="L142" s="21">
        <v>20351.099999999999</v>
      </c>
      <c r="M142" s="21">
        <v>115.5</v>
      </c>
      <c r="N142" s="21">
        <v>115.5</v>
      </c>
      <c r="O142" s="21">
        <v>21368.66</v>
      </c>
      <c r="P142" s="21" t="s">
        <v>250</v>
      </c>
      <c r="Q142" s="21" t="s">
        <v>237</v>
      </c>
      <c r="R142" s="21"/>
      <c r="S142" s="21"/>
      <c r="T142" s="21" t="s">
        <v>229</v>
      </c>
      <c r="U142" s="21">
        <v>1</v>
      </c>
      <c r="V142" s="21"/>
      <c r="W142" s="21">
        <v>2.5</v>
      </c>
      <c r="X142" s="21">
        <v>508.78</v>
      </c>
      <c r="Y142" s="21">
        <v>2.5</v>
      </c>
      <c r="Z142" s="21">
        <v>508.78</v>
      </c>
      <c r="AA142" s="21">
        <v>0</v>
      </c>
      <c r="AB142" s="21">
        <v>0</v>
      </c>
      <c r="AC142" s="21">
        <v>54026930</v>
      </c>
      <c r="AD142" s="21" t="s">
        <v>189</v>
      </c>
      <c r="AE142" s="23">
        <v>46252</v>
      </c>
      <c r="AF142" s="21">
        <v>0</v>
      </c>
      <c r="AG142" s="21">
        <v>0</v>
      </c>
      <c r="AH142" s="21"/>
      <c r="AI142" s="21">
        <v>0</v>
      </c>
      <c r="AJ142" s="21"/>
      <c r="AK142" s="21"/>
      <c r="AL142" s="21"/>
      <c r="AM142" s="21">
        <v>0</v>
      </c>
      <c r="AN142" s="21">
        <v>0</v>
      </c>
      <c r="AO142" s="21">
        <v>0</v>
      </c>
      <c r="AP142" s="21">
        <v>0</v>
      </c>
      <c r="AQ142" s="21">
        <v>0</v>
      </c>
      <c r="AR142" s="21">
        <v>0</v>
      </c>
      <c r="AS142" s="21">
        <v>0</v>
      </c>
      <c r="AT142" s="21">
        <v>0</v>
      </c>
      <c r="AU142" s="21"/>
      <c r="AV142" s="21" t="s">
        <v>236</v>
      </c>
      <c r="AW142" s="21" t="s">
        <v>202</v>
      </c>
      <c r="AX142" s="21" t="s">
        <v>271</v>
      </c>
      <c r="AY142" s="21" t="s">
        <v>272</v>
      </c>
      <c r="AZ142" s="21" t="s">
        <v>169</v>
      </c>
      <c r="BA142" s="21" t="s">
        <v>170</v>
      </c>
      <c r="BB142" s="21" t="s">
        <v>157</v>
      </c>
    </row>
    <row r="143" spans="1:54" x14ac:dyDescent="0.25">
      <c r="A143" s="21"/>
      <c r="B143" s="21" t="s">
        <v>167</v>
      </c>
      <c r="C143" s="21" t="s">
        <v>496</v>
      </c>
      <c r="D143" s="23">
        <v>46252</v>
      </c>
      <c r="E143" s="21" t="s">
        <v>266</v>
      </c>
      <c r="F143" s="21" t="s">
        <v>320</v>
      </c>
      <c r="G143" s="21" t="s">
        <v>276</v>
      </c>
      <c r="H143" s="21" t="s">
        <v>274</v>
      </c>
      <c r="I143" s="21">
        <v>172</v>
      </c>
      <c r="J143" s="21">
        <v>760</v>
      </c>
      <c r="K143" s="21" t="s">
        <v>168</v>
      </c>
      <c r="L143" s="21">
        <v>130720</v>
      </c>
      <c r="M143" s="21">
        <v>760</v>
      </c>
      <c r="N143" s="21">
        <v>760</v>
      </c>
      <c r="O143" s="21">
        <v>130720</v>
      </c>
      <c r="P143" s="21" t="s">
        <v>237</v>
      </c>
      <c r="Q143" s="21" t="s">
        <v>250</v>
      </c>
      <c r="R143" s="21"/>
      <c r="S143" s="21"/>
      <c r="T143" s="21" t="s">
        <v>229</v>
      </c>
      <c r="U143" s="21">
        <v>1</v>
      </c>
      <c r="V143" s="21" t="s">
        <v>240</v>
      </c>
      <c r="W143" s="21">
        <v>0</v>
      </c>
      <c r="X143" s="21">
        <v>0</v>
      </c>
      <c r="Y143" s="21">
        <v>0</v>
      </c>
      <c r="Z143" s="21">
        <v>0</v>
      </c>
      <c r="AA143" s="21">
        <v>5</v>
      </c>
      <c r="AB143" s="21">
        <v>6536</v>
      </c>
      <c r="AC143" s="21">
        <v>540263</v>
      </c>
      <c r="AD143" s="21" t="s">
        <v>189</v>
      </c>
      <c r="AE143" s="23">
        <v>46252</v>
      </c>
      <c r="AF143" s="21">
        <v>0</v>
      </c>
      <c r="AG143" s="21">
        <v>0</v>
      </c>
      <c r="AH143" s="21"/>
      <c r="AI143" s="21">
        <v>0</v>
      </c>
      <c r="AJ143" s="21"/>
      <c r="AK143" s="21"/>
      <c r="AL143" s="21"/>
      <c r="AM143" s="21">
        <v>0</v>
      </c>
      <c r="AN143" s="21">
        <v>0</v>
      </c>
      <c r="AO143" s="21">
        <v>0</v>
      </c>
      <c r="AP143" s="21">
        <v>0</v>
      </c>
      <c r="AQ143" s="21">
        <v>0</v>
      </c>
      <c r="AR143" s="21">
        <v>0</v>
      </c>
      <c r="AS143" s="21">
        <v>0</v>
      </c>
      <c r="AT143" s="21">
        <v>0</v>
      </c>
      <c r="AU143" s="21"/>
      <c r="AV143" s="21" t="s">
        <v>244</v>
      </c>
      <c r="AW143" s="21" t="s">
        <v>202</v>
      </c>
      <c r="AX143" s="21" t="s">
        <v>273</v>
      </c>
      <c r="AY143" s="21" t="s">
        <v>274</v>
      </c>
      <c r="AZ143" s="21" t="s">
        <v>169</v>
      </c>
      <c r="BA143" s="21" t="s">
        <v>170</v>
      </c>
      <c r="BB143" s="21" t="s">
        <v>157</v>
      </c>
    </row>
    <row r="144" spans="1:54" x14ac:dyDescent="0.25">
      <c r="A144" s="22"/>
      <c r="B144" s="21" t="s">
        <v>167</v>
      </c>
      <c r="C144" s="21" t="s">
        <v>493</v>
      </c>
      <c r="D144" s="23">
        <v>46252</v>
      </c>
      <c r="E144" s="21" t="s">
        <v>204</v>
      </c>
      <c r="F144" s="21" t="s">
        <v>275</v>
      </c>
      <c r="G144" s="21" t="s">
        <v>309</v>
      </c>
      <c r="H144" s="21" t="s">
        <v>207</v>
      </c>
      <c r="I144" s="21">
        <v>2</v>
      </c>
      <c r="J144" s="21">
        <v>9358</v>
      </c>
      <c r="K144" s="21" t="s">
        <v>168</v>
      </c>
      <c r="L144" s="21">
        <v>1751817.5999999901</v>
      </c>
      <c r="M144" s="21">
        <v>9358</v>
      </c>
      <c r="N144" s="21">
        <v>9358</v>
      </c>
      <c r="O144" s="21">
        <v>1751817.5999999901</v>
      </c>
      <c r="P144" s="21" t="s">
        <v>200</v>
      </c>
      <c r="Q144" s="21" t="s">
        <v>200</v>
      </c>
      <c r="R144" s="21"/>
      <c r="S144" s="21"/>
      <c r="T144" s="21" t="s">
        <v>242</v>
      </c>
      <c r="U144" s="21">
        <v>93.6</v>
      </c>
      <c r="V144" s="21" t="s">
        <v>240</v>
      </c>
      <c r="W144" s="21"/>
      <c r="X144" s="21"/>
      <c r="Y144" s="21"/>
      <c r="Z144" s="21"/>
      <c r="AA144" s="21">
        <v>18</v>
      </c>
      <c r="AB144" s="21">
        <v>3368.88</v>
      </c>
      <c r="AC144" s="21">
        <v>63053200</v>
      </c>
      <c r="AD144" s="21">
        <v>31</v>
      </c>
      <c r="AE144" s="23">
        <v>46252</v>
      </c>
      <c r="AF144" s="21">
        <v>18716</v>
      </c>
      <c r="AG144" s="21">
        <v>1751817.5999999901</v>
      </c>
      <c r="AH144" s="21" t="s">
        <v>243</v>
      </c>
      <c r="AI144" s="21">
        <v>18716</v>
      </c>
      <c r="AJ144" s="21"/>
      <c r="AK144" s="21"/>
      <c r="AL144" s="21">
        <v>6220250</v>
      </c>
      <c r="AM144" s="21">
        <v>0</v>
      </c>
      <c r="AN144" s="21">
        <v>0</v>
      </c>
      <c r="AO144" s="21">
        <v>0</v>
      </c>
      <c r="AP144" s="21">
        <v>0</v>
      </c>
      <c r="AQ144" s="21">
        <v>0</v>
      </c>
      <c r="AR144" s="21">
        <v>0</v>
      </c>
      <c r="AS144" s="21">
        <v>0</v>
      </c>
      <c r="AT144" s="21">
        <v>0</v>
      </c>
      <c r="AU144" s="21"/>
      <c r="AV144" s="21" t="s">
        <v>244</v>
      </c>
      <c r="AW144" s="21" t="s">
        <v>202</v>
      </c>
      <c r="AX144" s="21" t="s">
        <v>186</v>
      </c>
      <c r="AY144" s="21" t="s">
        <v>187</v>
      </c>
      <c r="AZ144" s="21" t="s">
        <v>188</v>
      </c>
      <c r="BA144" s="21" t="s">
        <v>152</v>
      </c>
      <c r="BB144" s="21" t="s">
        <v>162</v>
      </c>
    </row>
    <row r="145" spans="1:54" x14ac:dyDescent="0.25">
      <c r="A145" s="22"/>
      <c r="B145" s="21" t="s">
        <v>167</v>
      </c>
      <c r="C145" s="21" t="s">
        <v>494</v>
      </c>
      <c r="D145" s="23">
        <v>46252</v>
      </c>
      <c r="E145" s="21" t="s">
        <v>204</v>
      </c>
      <c r="F145" s="21" t="s">
        <v>275</v>
      </c>
      <c r="G145" s="21" t="s">
        <v>309</v>
      </c>
      <c r="H145" s="21" t="s">
        <v>495</v>
      </c>
      <c r="I145" s="21">
        <v>2</v>
      </c>
      <c r="J145" s="21">
        <v>4676</v>
      </c>
      <c r="K145" s="21" t="s">
        <v>168</v>
      </c>
      <c r="L145" s="21">
        <v>875347.2</v>
      </c>
      <c r="M145" s="21">
        <v>4676</v>
      </c>
      <c r="N145" s="21">
        <v>6246</v>
      </c>
      <c r="O145" s="21">
        <v>875347.2</v>
      </c>
      <c r="P145" s="21" t="s">
        <v>200</v>
      </c>
      <c r="Q145" s="21" t="s">
        <v>200</v>
      </c>
      <c r="R145" s="21"/>
      <c r="S145" s="21"/>
      <c r="T145" s="21" t="s">
        <v>242</v>
      </c>
      <c r="U145" s="21">
        <v>93.6</v>
      </c>
      <c r="V145" s="21" t="s">
        <v>240</v>
      </c>
      <c r="W145" s="21"/>
      <c r="X145" s="21"/>
      <c r="Y145" s="21"/>
      <c r="Z145" s="21"/>
      <c r="AA145" s="21">
        <v>18</v>
      </c>
      <c r="AB145" s="21">
        <v>1683.36</v>
      </c>
      <c r="AC145" s="21">
        <v>63053200</v>
      </c>
      <c r="AD145" s="21">
        <v>32</v>
      </c>
      <c r="AE145" s="23">
        <v>46252</v>
      </c>
      <c r="AF145" s="21">
        <v>12490</v>
      </c>
      <c r="AG145" s="21">
        <v>1169064</v>
      </c>
      <c r="AH145" s="21" t="s">
        <v>243</v>
      </c>
      <c r="AI145" s="21">
        <v>12490</v>
      </c>
      <c r="AJ145" s="21"/>
      <c r="AK145" s="21"/>
      <c r="AL145" s="21">
        <v>6220250</v>
      </c>
      <c r="AM145" s="21">
        <v>0</v>
      </c>
      <c r="AN145" s="21">
        <v>0</v>
      </c>
      <c r="AO145" s="21">
        <v>0</v>
      </c>
      <c r="AP145" s="21">
        <v>0</v>
      </c>
      <c r="AQ145" s="21">
        <v>0</v>
      </c>
      <c r="AR145" s="21">
        <v>0</v>
      </c>
      <c r="AS145" s="21">
        <v>0</v>
      </c>
      <c r="AT145" s="21">
        <v>0</v>
      </c>
      <c r="AU145" s="21"/>
      <c r="AV145" s="21" t="s">
        <v>244</v>
      </c>
      <c r="AW145" s="21" t="s">
        <v>202</v>
      </c>
      <c r="AX145" s="21" t="s">
        <v>190</v>
      </c>
      <c r="AY145" s="21" t="s">
        <v>191</v>
      </c>
      <c r="AZ145" s="21" t="s">
        <v>188</v>
      </c>
      <c r="BA145" s="21" t="s">
        <v>152</v>
      </c>
      <c r="BB145" s="21" t="s">
        <v>162</v>
      </c>
    </row>
    <row r="146" spans="1:54" x14ac:dyDescent="0.25">
      <c r="A146" s="22"/>
      <c r="B146" s="21" t="s">
        <v>167</v>
      </c>
      <c r="C146" s="21" t="s">
        <v>494</v>
      </c>
      <c r="D146" s="23">
        <v>46252</v>
      </c>
      <c r="E146" s="21" t="s">
        <v>204</v>
      </c>
      <c r="F146" s="21" t="s">
        <v>275</v>
      </c>
      <c r="G146" s="21" t="s">
        <v>309</v>
      </c>
      <c r="H146" s="21" t="s">
        <v>495</v>
      </c>
      <c r="I146" s="21">
        <v>2</v>
      </c>
      <c r="J146" s="21">
        <v>1569</v>
      </c>
      <c r="K146" s="21" t="s">
        <v>168</v>
      </c>
      <c r="L146" s="21">
        <v>293716.8</v>
      </c>
      <c r="M146" s="21">
        <v>1569</v>
      </c>
      <c r="N146" s="21">
        <v>6246</v>
      </c>
      <c r="O146" s="21">
        <v>0</v>
      </c>
      <c r="P146" s="21" t="s">
        <v>200</v>
      </c>
      <c r="Q146" s="21" t="s">
        <v>200</v>
      </c>
      <c r="R146" s="21"/>
      <c r="S146" s="21"/>
      <c r="T146" s="21" t="s">
        <v>242</v>
      </c>
      <c r="U146" s="21">
        <v>93.6</v>
      </c>
      <c r="V146" s="21" t="s">
        <v>240</v>
      </c>
      <c r="W146" s="21"/>
      <c r="X146" s="21"/>
      <c r="Y146" s="21"/>
      <c r="Z146" s="21"/>
      <c r="AA146" s="21">
        <v>18</v>
      </c>
      <c r="AB146" s="21">
        <v>564.84</v>
      </c>
      <c r="AC146" s="21">
        <v>63053200</v>
      </c>
      <c r="AD146" s="21">
        <v>32</v>
      </c>
      <c r="AE146" s="23">
        <v>46252</v>
      </c>
      <c r="AF146" s="21">
        <v>0</v>
      </c>
      <c r="AG146" s="21">
        <v>0</v>
      </c>
      <c r="AH146" s="21" t="s">
        <v>243</v>
      </c>
      <c r="AI146" s="21">
        <v>12490</v>
      </c>
      <c r="AJ146" s="21"/>
      <c r="AK146" s="21"/>
      <c r="AL146" s="21">
        <v>6220250</v>
      </c>
      <c r="AM146" s="21">
        <v>0</v>
      </c>
      <c r="AN146" s="21">
        <v>0</v>
      </c>
      <c r="AO146" s="21">
        <v>0</v>
      </c>
      <c r="AP146" s="21">
        <v>0</v>
      </c>
      <c r="AQ146" s="21">
        <v>0</v>
      </c>
      <c r="AR146" s="21">
        <v>0</v>
      </c>
      <c r="AS146" s="21">
        <v>0</v>
      </c>
      <c r="AT146" s="21">
        <v>0</v>
      </c>
      <c r="AU146" s="21"/>
      <c r="AV146" s="21" t="s">
        <v>244</v>
      </c>
      <c r="AW146" s="21" t="s">
        <v>202</v>
      </c>
      <c r="AX146" s="21" t="s">
        <v>186</v>
      </c>
      <c r="AY146" s="21" t="s">
        <v>187</v>
      </c>
      <c r="AZ146" s="21" t="s">
        <v>188</v>
      </c>
      <c r="BA146" s="21" t="s">
        <v>152</v>
      </c>
      <c r="BB146" s="21" t="s">
        <v>162</v>
      </c>
    </row>
    <row r="147" spans="1:54" x14ac:dyDescent="0.25">
      <c r="A147" s="22"/>
      <c r="B147" s="21" t="s">
        <v>167</v>
      </c>
      <c r="C147" s="21">
        <v>514</v>
      </c>
      <c r="D147" s="23">
        <v>46253</v>
      </c>
      <c r="E147" s="21" t="s">
        <v>226</v>
      </c>
      <c r="F147" s="21" t="s">
        <v>589</v>
      </c>
      <c r="G147" s="21" t="s">
        <v>590</v>
      </c>
      <c r="H147" s="21" t="s">
        <v>506</v>
      </c>
      <c r="I147" s="21">
        <v>285.89999999999998</v>
      </c>
      <c r="J147" s="21">
        <v>17921</v>
      </c>
      <c r="K147" s="21" t="s">
        <v>168</v>
      </c>
      <c r="L147" s="21">
        <v>5123613.9000000004</v>
      </c>
      <c r="M147" s="21">
        <v>17921</v>
      </c>
      <c r="N147" s="21">
        <v>17921</v>
      </c>
      <c r="O147" s="21">
        <v>6045864.4000000004</v>
      </c>
      <c r="P147" s="21" t="s">
        <v>200</v>
      </c>
      <c r="Q147" s="21" t="s">
        <v>200</v>
      </c>
      <c r="R147" s="21"/>
      <c r="S147" s="21"/>
      <c r="T147" s="21" t="s">
        <v>229</v>
      </c>
      <c r="U147" s="21">
        <v>1</v>
      </c>
      <c r="V147" s="21"/>
      <c r="W147" s="21">
        <v>9</v>
      </c>
      <c r="X147" s="21">
        <v>461125.25</v>
      </c>
      <c r="Y147" s="21">
        <v>9</v>
      </c>
      <c r="Z147" s="21">
        <v>461125.25</v>
      </c>
      <c r="AA147" s="21">
        <v>0</v>
      </c>
      <c r="AB147" s="21">
        <v>0</v>
      </c>
      <c r="AC147" s="21">
        <v>39232999</v>
      </c>
      <c r="AD147" s="21" t="s">
        <v>189</v>
      </c>
      <c r="AE147" s="23">
        <v>46253</v>
      </c>
      <c r="AF147" s="21">
        <v>0</v>
      </c>
      <c r="AG147" s="21">
        <v>0</v>
      </c>
      <c r="AH147" s="21"/>
      <c r="AI147" s="21">
        <v>0</v>
      </c>
      <c r="AJ147" s="21"/>
      <c r="AK147" s="21"/>
      <c r="AL147" s="21"/>
      <c r="AM147" s="21">
        <v>0</v>
      </c>
      <c r="AN147" s="21">
        <v>0</v>
      </c>
      <c r="AO147" s="21">
        <v>0</v>
      </c>
      <c r="AP147" s="21">
        <v>0</v>
      </c>
      <c r="AQ147" s="21">
        <v>0</v>
      </c>
      <c r="AR147" s="21">
        <v>0</v>
      </c>
      <c r="AS147" s="21">
        <v>0</v>
      </c>
      <c r="AT147" s="21">
        <v>0</v>
      </c>
      <c r="AU147" s="21"/>
      <c r="AV147" s="21" t="s">
        <v>252</v>
      </c>
      <c r="AW147" s="21" t="s">
        <v>202</v>
      </c>
      <c r="AX147" s="21" t="s">
        <v>186</v>
      </c>
      <c r="AY147" s="21" t="s">
        <v>187</v>
      </c>
      <c r="AZ147" s="21" t="s">
        <v>188</v>
      </c>
      <c r="BA147" s="21" t="s">
        <v>152</v>
      </c>
      <c r="BB147" s="21" t="s">
        <v>152</v>
      </c>
    </row>
    <row r="148" spans="1:54" x14ac:dyDescent="0.25">
      <c r="A148" s="22"/>
      <c r="B148" s="21" t="s">
        <v>167</v>
      </c>
      <c r="C148" s="21">
        <v>515</v>
      </c>
      <c r="D148" s="23">
        <v>46253</v>
      </c>
      <c r="E148" s="21" t="s">
        <v>212</v>
      </c>
      <c r="F148" s="21" t="s">
        <v>174</v>
      </c>
      <c r="G148" s="21" t="s">
        <v>231</v>
      </c>
      <c r="H148" s="21" t="s">
        <v>183</v>
      </c>
      <c r="I148" s="21">
        <v>135.58000000000001</v>
      </c>
      <c r="J148" s="21">
        <v>1507</v>
      </c>
      <c r="K148" s="21" t="s">
        <v>168</v>
      </c>
      <c r="L148" s="21">
        <v>204319.06</v>
      </c>
      <c r="M148" s="21">
        <v>1507</v>
      </c>
      <c r="N148" s="21">
        <v>1534</v>
      </c>
      <c r="O148" s="21">
        <v>241096.5</v>
      </c>
      <c r="P148" s="21" t="s">
        <v>232</v>
      </c>
      <c r="Q148" s="21" t="s">
        <v>232</v>
      </c>
      <c r="R148" s="21"/>
      <c r="S148" s="21"/>
      <c r="T148" s="21" t="s">
        <v>229</v>
      </c>
      <c r="U148" s="21">
        <v>1</v>
      </c>
      <c r="V148" s="21"/>
      <c r="W148" s="21">
        <v>9</v>
      </c>
      <c r="X148" s="21">
        <v>18388.72</v>
      </c>
      <c r="Y148" s="21">
        <v>9</v>
      </c>
      <c r="Z148" s="21">
        <v>18388.72</v>
      </c>
      <c r="AA148" s="21">
        <v>0</v>
      </c>
      <c r="AB148" s="21">
        <v>0</v>
      </c>
      <c r="AC148" s="21">
        <v>39269080</v>
      </c>
      <c r="AD148" s="21" t="s">
        <v>189</v>
      </c>
      <c r="AE148" s="23">
        <v>46253</v>
      </c>
      <c r="AF148" s="21">
        <v>0</v>
      </c>
      <c r="AG148" s="21">
        <v>0</v>
      </c>
      <c r="AH148" s="21"/>
      <c r="AI148" s="21">
        <v>0</v>
      </c>
      <c r="AJ148" s="21"/>
      <c r="AK148" s="21"/>
      <c r="AL148" s="21"/>
      <c r="AM148" s="21">
        <v>0</v>
      </c>
      <c r="AN148" s="21">
        <v>0</v>
      </c>
      <c r="AO148" s="21">
        <v>0</v>
      </c>
      <c r="AP148" s="21">
        <v>0</v>
      </c>
      <c r="AQ148" s="21">
        <v>0</v>
      </c>
      <c r="AR148" s="21">
        <v>0</v>
      </c>
      <c r="AS148" s="21">
        <v>0</v>
      </c>
      <c r="AT148" s="21">
        <v>0</v>
      </c>
      <c r="AU148" s="21"/>
      <c r="AV148" s="21" t="s">
        <v>236</v>
      </c>
      <c r="AW148" s="21" t="s">
        <v>202</v>
      </c>
      <c r="AX148" s="21" t="s">
        <v>182</v>
      </c>
      <c r="AY148" s="21" t="s">
        <v>183</v>
      </c>
      <c r="AZ148" s="21" t="s">
        <v>169</v>
      </c>
      <c r="BA148" s="21" t="s">
        <v>179</v>
      </c>
      <c r="BB148" s="21" t="s">
        <v>155</v>
      </c>
    </row>
    <row r="149" spans="1:54" x14ac:dyDescent="0.25">
      <c r="A149" s="22"/>
      <c r="B149" s="21" t="s">
        <v>167</v>
      </c>
      <c r="C149" s="21">
        <v>517</v>
      </c>
      <c r="D149" s="23">
        <v>46253</v>
      </c>
      <c r="E149" s="21" t="s">
        <v>198</v>
      </c>
      <c r="F149" s="21" t="s">
        <v>263</v>
      </c>
      <c r="G149" s="21" t="s">
        <v>259</v>
      </c>
      <c r="H149" s="21" t="s">
        <v>196</v>
      </c>
      <c r="I149" s="21">
        <v>247</v>
      </c>
      <c r="J149" s="21">
        <v>65</v>
      </c>
      <c r="K149" s="21" t="s">
        <v>168</v>
      </c>
      <c r="L149" s="21">
        <v>16055</v>
      </c>
      <c r="M149" s="21">
        <v>65</v>
      </c>
      <c r="N149" s="21">
        <v>65</v>
      </c>
      <c r="O149" s="21">
        <v>168262.49</v>
      </c>
      <c r="P149" s="21" t="s">
        <v>200</v>
      </c>
      <c r="Q149" s="21" t="s">
        <v>237</v>
      </c>
      <c r="R149" s="21"/>
      <c r="S149" s="21"/>
      <c r="T149" s="21" t="s">
        <v>229</v>
      </c>
      <c r="U149" s="21">
        <v>1</v>
      </c>
      <c r="V149" s="21"/>
      <c r="W149" s="21">
        <v>9</v>
      </c>
      <c r="X149" s="21">
        <v>1444.95</v>
      </c>
      <c r="Y149" s="21">
        <v>9</v>
      </c>
      <c r="Z149" s="21">
        <v>1444.95</v>
      </c>
      <c r="AA149" s="21">
        <v>0</v>
      </c>
      <c r="AB149" s="21">
        <v>0</v>
      </c>
      <c r="AC149" s="21">
        <v>39201019</v>
      </c>
      <c r="AD149" s="21" t="s">
        <v>189</v>
      </c>
      <c r="AE149" s="23">
        <v>46253</v>
      </c>
      <c r="AF149" s="21">
        <v>0</v>
      </c>
      <c r="AG149" s="21">
        <v>0</v>
      </c>
      <c r="AH149" s="21"/>
      <c r="AI149" s="21">
        <v>0</v>
      </c>
      <c r="AJ149" s="21"/>
      <c r="AK149" s="21"/>
      <c r="AL149" s="21"/>
      <c r="AM149" s="21">
        <v>0</v>
      </c>
      <c r="AN149" s="21">
        <v>0</v>
      </c>
      <c r="AO149" s="21">
        <v>0</v>
      </c>
      <c r="AP149" s="21">
        <v>0</v>
      </c>
      <c r="AQ149" s="21">
        <v>0</v>
      </c>
      <c r="AR149" s="21">
        <v>0</v>
      </c>
      <c r="AS149" s="21">
        <v>0</v>
      </c>
      <c r="AT149" s="21">
        <v>0</v>
      </c>
      <c r="AU149" s="21"/>
      <c r="AV149" s="21" t="s">
        <v>230</v>
      </c>
      <c r="AW149" s="21" t="s">
        <v>202</v>
      </c>
      <c r="AX149" s="21" t="s">
        <v>195</v>
      </c>
      <c r="AY149" s="21" t="s">
        <v>196</v>
      </c>
      <c r="AZ149" s="21" t="s">
        <v>169</v>
      </c>
      <c r="BA149" s="21" t="s">
        <v>197</v>
      </c>
      <c r="BB149" s="21" t="s">
        <v>158</v>
      </c>
    </row>
    <row r="150" spans="1:54" x14ac:dyDescent="0.25">
      <c r="A150" s="22"/>
      <c r="B150" s="21" t="s">
        <v>167</v>
      </c>
      <c r="C150" s="21">
        <v>517</v>
      </c>
      <c r="D150" s="23">
        <v>46253</v>
      </c>
      <c r="E150" s="21" t="s">
        <v>198</v>
      </c>
      <c r="F150" s="21" t="s">
        <v>263</v>
      </c>
      <c r="G150" s="21" t="s">
        <v>231</v>
      </c>
      <c r="H150" s="21" t="s">
        <v>510</v>
      </c>
      <c r="I150" s="21">
        <v>133.58000000000001</v>
      </c>
      <c r="J150" s="21">
        <v>947.3</v>
      </c>
      <c r="K150" s="21" t="s">
        <v>168</v>
      </c>
      <c r="L150" s="21">
        <v>126540.33</v>
      </c>
      <c r="M150" s="21">
        <v>947.3</v>
      </c>
      <c r="N150" s="21">
        <v>947.3</v>
      </c>
      <c r="O150" s="21">
        <v>0</v>
      </c>
      <c r="P150" s="21" t="s">
        <v>200</v>
      </c>
      <c r="Q150" s="21" t="s">
        <v>232</v>
      </c>
      <c r="R150" s="21"/>
      <c r="S150" s="21"/>
      <c r="T150" s="21" t="s">
        <v>229</v>
      </c>
      <c r="U150" s="21">
        <v>1</v>
      </c>
      <c r="V150" s="21"/>
      <c r="W150" s="21">
        <v>9</v>
      </c>
      <c r="X150" s="21">
        <v>11388.63</v>
      </c>
      <c r="Y150" s="21">
        <v>9</v>
      </c>
      <c r="Z150" s="21">
        <v>11388.63</v>
      </c>
      <c r="AA150" s="21">
        <v>0</v>
      </c>
      <c r="AB150" s="21">
        <v>0</v>
      </c>
      <c r="AC150" s="21">
        <v>39269080</v>
      </c>
      <c r="AD150" s="21" t="s">
        <v>189</v>
      </c>
      <c r="AE150" s="23">
        <v>46253</v>
      </c>
      <c r="AF150" s="21">
        <v>0</v>
      </c>
      <c r="AG150" s="21">
        <v>0</v>
      </c>
      <c r="AH150" s="21"/>
      <c r="AI150" s="21">
        <v>0</v>
      </c>
      <c r="AJ150" s="21"/>
      <c r="AK150" s="21"/>
      <c r="AL150" s="21"/>
      <c r="AM150" s="21">
        <v>0</v>
      </c>
      <c r="AN150" s="21">
        <v>0</v>
      </c>
      <c r="AO150" s="21">
        <v>0</v>
      </c>
      <c r="AP150" s="21">
        <v>0</v>
      </c>
      <c r="AQ150" s="21">
        <v>0</v>
      </c>
      <c r="AR150" s="21">
        <v>0</v>
      </c>
      <c r="AS150" s="21">
        <v>0</v>
      </c>
      <c r="AT150" s="21">
        <v>0</v>
      </c>
      <c r="AU150" s="21"/>
      <c r="AV150" s="21" t="s">
        <v>230</v>
      </c>
      <c r="AW150" s="21" t="s">
        <v>202</v>
      </c>
      <c r="AX150" s="21" t="s">
        <v>182</v>
      </c>
      <c r="AY150" s="21" t="s">
        <v>183</v>
      </c>
      <c r="AZ150" s="21" t="s">
        <v>169</v>
      </c>
      <c r="BA150" s="21" t="s">
        <v>179</v>
      </c>
      <c r="BB150" s="21" t="s">
        <v>155</v>
      </c>
    </row>
    <row r="151" spans="1:54" x14ac:dyDescent="0.25">
      <c r="A151" s="22"/>
      <c r="B151" s="21" t="s">
        <v>167</v>
      </c>
      <c r="C151" s="21">
        <v>519</v>
      </c>
      <c r="D151" s="23">
        <v>46253</v>
      </c>
      <c r="E151" s="21" t="s">
        <v>212</v>
      </c>
      <c r="F151" s="21" t="s">
        <v>620</v>
      </c>
      <c r="G151" s="21" t="s">
        <v>590</v>
      </c>
      <c r="H151" s="21" t="s">
        <v>513</v>
      </c>
      <c r="I151" s="21">
        <v>584</v>
      </c>
      <c r="J151" s="21">
        <v>1200</v>
      </c>
      <c r="K151" s="21" t="s">
        <v>224</v>
      </c>
      <c r="L151" s="21">
        <v>700800</v>
      </c>
      <c r="M151" s="21">
        <v>3596</v>
      </c>
      <c r="N151" s="21">
        <v>3596</v>
      </c>
      <c r="O151" s="21">
        <v>826944</v>
      </c>
      <c r="P151" s="21" t="s">
        <v>200</v>
      </c>
      <c r="Q151" s="21" t="s">
        <v>200</v>
      </c>
      <c r="R151" s="21"/>
      <c r="S151" s="21"/>
      <c r="T151" s="21" t="s">
        <v>229</v>
      </c>
      <c r="U151" s="21">
        <v>1</v>
      </c>
      <c r="V151" s="21"/>
      <c r="W151" s="21">
        <v>9</v>
      </c>
      <c r="X151" s="21">
        <v>63072</v>
      </c>
      <c r="Y151" s="21">
        <v>9</v>
      </c>
      <c r="Z151" s="21">
        <v>63072</v>
      </c>
      <c r="AA151" s="21">
        <v>0</v>
      </c>
      <c r="AB151" s="21">
        <v>0</v>
      </c>
      <c r="AC151" s="21">
        <v>39232999</v>
      </c>
      <c r="AD151" s="21" t="s">
        <v>189</v>
      </c>
      <c r="AE151" s="23">
        <v>46253</v>
      </c>
      <c r="AF151" s="21">
        <v>0</v>
      </c>
      <c r="AG151" s="21">
        <v>0</v>
      </c>
      <c r="AH151" s="21"/>
      <c r="AI151" s="21">
        <v>0</v>
      </c>
      <c r="AJ151" s="21"/>
      <c r="AK151" s="21"/>
      <c r="AL151" s="21"/>
      <c r="AM151" s="21">
        <v>0</v>
      </c>
      <c r="AN151" s="21">
        <v>0</v>
      </c>
      <c r="AO151" s="21">
        <v>0</v>
      </c>
      <c r="AP151" s="21">
        <v>0</v>
      </c>
      <c r="AQ151" s="21">
        <v>0</v>
      </c>
      <c r="AR151" s="21">
        <v>0</v>
      </c>
      <c r="AS151" s="21">
        <v>0</v>
      </c>
      <c r="AT151" s="21">
        <v>0</v>
      </c>
      <c r="AU151" s="21"/>
      <c r="AV151" s="21" t="s">
        <v>236</v>
      </c>
      <c r="AW151" s="21" t="s">
        <v>202</v>
      </c>
      <c r="AX151" s="21" t="s">
        <v>186</v>
      </c>
      <c r="AY151" s="21" t="s">
        <v>187</v>
      </c>
      <c r="AZ151" s="21" t="s">
        <v>188</v>
      </c>
      <c r="BA151" s="21" t="s">
        <v>152</v>
      </c>
      <c r="BB151" s="21" t="s">
        <v>152</v>
      </c>
    </row>
    <row r="152" spans="1:54" ht="15" customHeight="1" x14ac:dyDescent="0.25">
      <c r="A152" s="21"/>
      <c r="B152" s="21" t="s">
        <v>167</v>
      </c>
      <c r="C152" s="21">
        <v>520</v>
      </c>
      <c r="D152" s="23">
        <v>46253</v>
      </c>
      <c r="E152" s="21" t="s">
        <v>226</v>
      </c>
      <c r="F152" s="21" t="s">
        <v>580</v>
      </c>
      <c r="G152" s="21" t="s">
        <v>590</v>
      </c>
      <c r="H152" s="21" t="s">
        <v>621</v>
      </c>
      <c r="I152" s="21">
        <v>197.34</v>
      </c>
      <c r="J152" s="21">
        <v>19619</v>
      </c>
      <c r="K152" s="21" t="s">
        <v>168</v>
      </c>
      <c r="L152" s="21">
        <v>3871613.46</v>
      </c>
      <c r="M152" s="21">
        <v>19619</v>
      </c>
      <c r="N152" s="21">
        <v>19619</v>
      </c>
      <c r="O152" s="21">
        <v>4568503.88</v>
      </c>
      <c r="P152" s="21" t="s">
        <v>200</v>
      </c>
      <c r="Q152" s="21" t="s">
        <v>200</v>
      </c>
      <c r="R152" s="21"/>
      <c r="S152" s="21"/>
      <c r="T152" s="21" t="s">
        <v>229</v>
      </c>
      <c r="U152" s="21">
        <v>1</v>
      </c>
      <c r="V152" s="21"/>
      <c r="W152" s="21">
        <v>9</v>
      </c>
      <c r="X152" s="21">
        <v>348445.21</v>
      </c>
      <c r="Y152" s="21">
        <v>9</v>
      </c>
      <c r="Z152" s="21">
        <v>348445.21</v>
      </c>
      <c r="AA152" s="21">
        <v>0</v>
      </c>
      <c r="AB152" s="21">
        <v>0</v>
      </c>
      <c r="AC152" s="21">
        <v>39232999</v>
      </c>
      <c r="AD152" s="21" t="s">
        <v>189</v>
      </c>
      <c r="AE152" s="23">
        <v>46253</v>
      </c>
      <c r="AF152" s="21">
        <v>0</v>
      </c>
      <c r="AG152" s="21">
        <v>0</v>
      </c>
      <c r="AH152" s="21"/>
      <c r="AI152" s="21">
        <v>0</v>
      </c>
      <c r="AJ152" s="21"/>
      <c r="AK152" s="21"/>
      <c r="AL152" s="21"/>
      <c r="AM152" s="21">
        <v>0</v>
      </c>
      <c r="AN152" s="21">
        <v>0</v>
      </c>
      <c r="AO152" s="21">
        <v>0</v>
      </c>
      <c r="AP152" s="21">
        <v>0</v>
      </c>
      <c r="AQ152" s="21">
        <v>0</v>
      </c>
      <c r="AR152" s="21">
        <v>0</v>
      </c>
      <c r="AS152" s="21">
        <v>0</v>
      </c>
      <c r="AT152" s="21">
        <v>0</v>
      </c>
      <c r="AU152" s="21"/>
      <c r="AV152" s="21" t="s">
        <v>252</v>
      </c>
      <c r="AW152" s="21" t="s">
        <v>202</v>
      </c>
      <c r="AX152" s="21" t="s">
        <v>186</v>
      </c>
      <c r="AY152" s="21" t="s">
        <v>187</v>
      </c>
      <c r="AZ152" s="21" t="s">
        <v>188</v>
      </c>
      <c r="BA152" s="21" t="s">
        <v>152</v>
      </c>
      <c r="BB152" s="21" t="s">
        <v>152</v>
      </c>
    </row>
    <row r="153" spans="1:54" x14ac:dyDescent="0.25">
      <c r="A153" s="22"/>
      <c r="B153" s="21" t="s">
        <v>167</v>
      </c>
      <c r="C153" s="21">
        <v>521</v>
      </c>
      <c r="D153" s="23">
        <v>46254</v>
      </c>
      <c r="E153" s="21" t="s">
        <v>212</v>
      </c>
      <c r="F153" s="21" t="s">
        <v>260</v>
      </c>
      <c r="G153" s="21" t="s">
        <v>310</v>
      </c>
      <c r="H153" s="21" t="s">
        <v>272</v>
      </c>
      <c r="I153" s="21">
        <v>176.12</v>
      </c>
      <c r="J153" s="21">
        <v>252.6</v>
      </c>
      <c r="K153" s="21" t="s">
        <v>168</v>
      </c>
      <c r="L153" s="21">
        <v>44487.91</v>
      </c>
      <c r="M153" s="21">
        <v>252.6</v>
      </c>
      <c r="N153" s="21">
        <v>252.6</v>
      </c>
      <c r="O153" s="21">
        <v>46712.31</v>
      </c>
      <c r="P153" s="21" t="s">
        <v>250</v>
      </c>
      <c r="Q153" s="21" t="s">
        <v>237</v>
      </c>
      <c r="R153" s="21"/>
      <c r="S153" s="21"/>
      <c r="T153" s="21" t="s">
        <v>229</v>
      </c>
      <c r="U153" s="21">
        <v>1</v>
      </c>
      <c r="V153" s="21"/>
      <c r="W153" s="21">
        <v>2.5</v>
      </c>
      <c r="X153" s="21">
        <v>1112.2</v>
      </c>
      <c r="Y153" s="21">
        <v>2.5</v>
      </c>
      <c r="Z153" s="21">
        <v>1112.2</v>
      </c>
      <c r="AA153" s="21">
        <v>0</v>
      </c>
      <c r="AB153" s="21">
        <v>0</v>
      </c>
      <c r="AC153" s="21">
        <v>54026930</v>
      </c>
      <c r="AD153" s="21" t="s">
        <v>245</v>
      </c>
      <c r="AE153" s="23">
        <v>46254</v>
      </c>
      <c r="AF153" s="21">
        <v>0</v>
      </c>
      <c r="AG153" s="21">
        <v>0</v>
      </c>
      <c r="AH153" s="21"/>
      <c r="AI153" s="21">
        <v>0</v>
      </c>
      <c r="AJ153" s="21"/>
      <c r="AK153" s="21"/>
      <c r="AL153" s="21"/>
      <c r="AM153" s="21">
        <v>0</v>
      </c>
      <c r="AN153" s="21">
        <v>0</v>
      </c>
      <c r="AO153" s="21">
        <v>0</v>
      </c>
      <c r="AP153" s="21">
        <v>0</v>
      </c>
      <c r="AQ153" s="21">
        <v>0</v>
      </c>
      <c r="AR153" s="21">
        <v>0</v>
      </c>
      <c r="AS153" s="21">
        <v>0</v>
      </c>
      <c r="AT153" s="21">
        <v>0</v>
      </c>
      <c r="AU153" s="21"/>
      <c r="AV153" s="21" t="s">
        <v>236</v>
      </c>
      <c r="AW153" s="21" t="s">
        <v>202</v>
      </c>
      <c r="AX153" s="21" t="s">
        <v>271</v>
      </c>
      <c r="AY153" s="21" t="s">
        <v>272</v>
      </c>
      <c r="AZ153" s="21" t="s">
        <v>169</v>
      </c>
      <c r="BA153" s="21" t="s">
        <v>170</v>
      </c>
      <c r="BB153" s="21" t="s">
        <v>157</v>
      </c>
    </row>
    <row r="154" spans="1:54" x14ac:dyDescent="0.25">
      <c r="A154" s="22"/>
      <c r="B154" s="21" t="s">
        <v>167</v>
      </c>
      <c r="C154" s="21">
        <v>522</v>
      </c>
      <c r="D154" s="23">
        <v>46254</v>
      </c>
      <c r="E154" s="21" t="s">
        <v>212</v>
      </c>
      <c r="F154" s="21" t="s">
        <v>610</v>
      </c>
      <c r="G154" s="21" t="s">
        <v>590</v>
      </c>
      <c r="H154" s="21" t="s">
        <v>526</v>
      </c>
      <c r="I154" s="21">
        <v>229.88</v>
      </c>
      <c r="J154" s="21">
        <v>2029</v>
      </c>
      <c r="K154" s="21" t="s">
        <v>168</v>
      </c>
      <c r="L154" s="21">
        <v>466426.52</v>
      </c>
      <c r="M154" s="21">
        <v>2029</v>
      </c>
      <c r="N154" s="21">
        <v>2029</v>
      </c>
      <c r="O154" s="21">
        <v>5502888.5499999998</v>
      </c>
      <c r="P154" s="21" t="s">
        <v>200</v>
      </c>
      <c r="Q154" s="21" t="s">
        <v>200</v>
      </c>
      <c r="R154" s="21"/>
      <c r="S154" s="21"/>
      <c r="T154" s="21" t="s">
        <v>229</v>
      </c>
      <c r="U154" s="21">
        <v>1</v>
      </c>
      <c r="V154" s="21"/>
      <c r="W154" s="21">
        <v>9</v>
      </c>
      <c r="X154" s="21">
        <v>41978.39</v>
      </c>
      <c r="Y154" s="21">
        <v>9</v>
      </c>
      <c r="Z154" s="21">
        <v>41978.39</v>
      </c>
      <c r="AA154" s="21">
        <v>0</v>
      </c>
      <c r="AB154" s="21">
        <v>0</v>
      </c>
      <c r="AC154" s="21">
        <v>39232999</v>
      </c>
      <c r="AD154" s="21" t="s">
        <v>189</v>
      </c>
      <c r="AE154" s="23">
        <v>46254</v>
      </c>
      <c r="AF154" s="21">
        <v>0</v>
      </c>
      <c r="AG154" s="21">
        <v>0</v>
      </c>
      <c r="AH154" s="21"/>
      <c r="AI154" s="21">
        <v>0</v>
      </c>
      <c r="AJ154" s="21"/>
      <c r="AK154" s="21"/>
      <c r="AL154" s="21"/>
      <c r="AM154" s="21">
        <v>0</v>
      </c>
      <c r="AN154" s="21">
        <v>0</v>
      </c>
      <c r="AO154" s="21">
        <v>0</v>
      </c>
      <c r="AP154" s="21">
        <v>0</v>
      </c>
      <c r="AQ154" s="21">
        <v>0</v>
      </c>
      <c r="AR154" s="21">
        <v>0</v>
      </c>
      <c r="AS154" s="21">
        <v>0</v>
      </c>
      <c r="AT154" s="21">
        <v>0</v>
      </c>
      <c r="AU154" s="21"/>
      <c r="AV154" s="21" t="s">
        <v>236</v>
      </c>
      <c r="AW154" s="21" t="s">
        <v>202</v>
      </c>
      <c r="AX154" s="21" t="s">
        <v>186</v>
      </c>
      <c r="AY154" s="21" t="s">
        <v>187</v>
      </c>
      <c r="AZ154" s="21" t="s">
        <v>188</v>
      </c>
      <c r="BA154" s="21" t="s">
        <v>152</v>
      </c>
      <c r="BB154" s="21" t="s">
        <v>152</v>
      </c>
    </row>
    <row r="155" spans="1:54" x14ac:dyDescent="0.25">
      <c r="A155" s="22"/>
      <c r="B155" s="21" t="s">
        <v>167</v>
      </c>
      <c r="C155" s="21">
        <v>522</v>
      </c>
      <c r="D155" s="23">
        <v>46254</v>
      </c>
      <c r="E155" s="21" t="s">
        <v>212</v>
      </c>
      <c r="F155" s="21" t="s">
        <v>610</v>
      </c>
      <c r="G155" s="21" t="s">
        <v>590</v>
      </c>
      <c r="H155" s="21" t="s">
        <v>520</v>
      </c>
      <c r="I155" s="21">
        <v>264.77999999999997</v>
      </c>
      <c r="J155" s="21">
        <v>415</v>
      </c>
      <c r="K155" s="21" t="s">
        <v>168</v>
      </c>
      <c r="L155" s="21">
        <v>109883.7</v>
      </c>
      <c r="M155" s="21">
        <v>415</v>
      </c>
      <c r="N155" s="21">
        <v>415</v>
      </c>
      <c r="O155" s="21">
        <v>0</v>
      </c>
      <c r="P155" s="21" t="s">
        <v>200</v>
      </c>
      <c r="Q155" s="21" t="s">
        <v>200</v>
      </c>
      <c r="R155" s="21"/>
      <c r="S155" s="21"/>
      <c r="T155" s="21" t="s">
        <v>229</v>
      </c>
      <c r="U155" s="21">
        <v>1</v>
      </c>
      <c r="V155" s="21"/>
      <c r="W155" s="21">
        <v>9</v>
      </c>
      <c r="X155" s="21">
        <v>9889.5300000000007</v>
      </c>
      <c r="Y155" s="21">
        <v>9</v>
      </c>
      <c r="Z155" s="21">
        <v>9889.5300000000007</v>
      </c>
      <c r="AA155" s="21">
        <v>0</v>
      </c>
      <c r="AB155" s="21">
        <v>0</v>
      </c>
      <c r="AC155" s="21">
        <v>39232999</v>
      </c>
      <c r="AD155" s="21" t="s">
        <v>189</v>
      </c>
      <c r="AE155" s="23">
        <v>46254</v>
      </c>
      <c r="AF155" s="21">
        <v>0</v>
      </c>
      <c r="AG155" s="21">
        <v>0</v>
      </c>
      <c r="AH155" s="21"/>
      <c r="AI155" s="21">
        <v>0</v>
      </c>
      <c r="AJ155" s="21"/>
      <c r="AK155" s="21"/>
      <c r="AL155" s="21"/>
      <c r="AM155" s="21">
        <v>0</v>
      </c>
      <c r="AN155" s="21">
        <v>0</v>
      </c>
      <c r="AO155" s="21">
        <v>0</v>
      </c>
      <c r="AP155" s="21">
        <v>0</v>
      </c>
      <c r="AQ155" s="21">
        <v>0</v>
      </c>
      <c r="AR155" s="21">
        <v>0</v>
      </c>
      <c r="AS155" s="21">
        <v>0</v>
      </c>
      <c r="AT155" s="21">
        <v>0</v>
      </c>
      <c r="AU155" s="21"/>
      <c r="AV155" s="21" t="s">
        <v>236</v>
      </c>
      <c r="AW155" s="21" t="s">
        <v>202</v>
      </c>
      <c r="AX155" s="21" t="s">
        <v>190</v>
      </c>
      <c r="AY155" s="21" t="s">
        <v>191</v>
      </c>
      <c r="AZ155" s="21" t="s">
        <v>188</v>
      </c>
      <c r="BA155" s="21" t="s">
        <v>152</v>
      </c>
      <c r="BB155" s="21" t="s">
        <v>152</v>
      </c>
    </row>
    <row r="156" spans="1:54" x14ac:dyDescent="0.25">
      <c r="A156" s="22"/>
      <c r="B156" s="21" t="s">
        <v>167</v>
      </c>
      <c r="C156" s="21">
        <v>522</v>
      </c>
      <c r="D156" s="23">
        <v>46254</v>
      </c>
      <c r="E156" s="21" t="s">
        <v>212</v>
      </c>
      <c r="F156" s="21" t="s">
        <v>610</v>
      </c>
      <c r="G156" s="21" t="s">
        <v>590</v>
      </c>
      <c r="H156" s="21" t="s">
        <v>521</v>
      </c>
      <c r="I156" s="21">
        <v>245.31</v>
      </c>
      <c r="J156" s="21">
        <v>410</v>
      </c>
      <c r="K156" s="21" t="s">
        <v>168</v>
      </c>
      <c r="L156" s="21">
        <v>100577.1</v>
      </c>
      <c r="M156" s="21">
        <v>410</v>
      </c>
      <c r="N156" s="21">
        <v>410</v>
      </c>
      <c r="O156" s="21">
        <v>0</v>
      </c>
      <c r="P156" s="21" t="s">
        <v>200</v>
      </c>
      <c r="Q156" s="21" t="s">
        <v>200</v>
      </c>
      <c r="R156" s="21"/>
      <c r="S156" s="21"/>
      <c r="T156" s="21" t="s">
        <v>229</v>
      </c>
      <c r="U156" s="21">
        <v>1</v>
      </c>
      <c r="V156" s="21"/>
      <c r="W156" s="21">
        <v>9</v>
      </c>
      <c r="X156" s="21">
        <v>9051.94</v>
      </c>
      <c r="Y156" s="21">
        <v>9</v>
      </c>
      <c r="Z156" s="21">
        <v>9051.94</v>
      </c>
      <c r="AA156" s="21">
        <v>0</v>
      </c>
      <c r="AB156" s="21">
        <v>0</v>
      </c>
      <c r="AC156" s="21">
        <v>39232999</v>
      </c>
      <c r="AD156" s="21" t="s">
        <v>189</v>
      </c>
      <c r="AE156" s="23">
        <v>46254</v>
      </c>
      <c r="AF156" s="21">
        <v>0</v>
      </c>
      <c r="AG156" s="21">
        <v>0</v>
      </c>
      <c r="AH156" s="21"/>
      <c r="AI156" s="21">
        <v>0</v>
      </c>
      <c r="AJ156" s="21"/>
      <c r="AK156" s="21"/>
      <c r="AL156" s="21"/>
      <c r="AM156" s="21">
        <v>0</v>
      </c>
      <c r="AN156" s="21">
        <v>0</v>
      </c>
      <c r="AO156" s="21">
        <v>0</v>
      </c>
      <c r="AP156" s="21">
        <v>0</v>
      </c>
      <c r="AQ156" s="21">
        <v>0</v>
      </c>
      <c r="AR156" s="21">
        <v>0</v>
      </c>
      <c r="AS156" s="21">
        <v>0</v>
      </c>
      <c r="AT156" s="21">
        <v>0</v>
      </c>
      <c r="AU156" s="21"/>
      <c r="AV156" s="21" t="s">
        <v>236</v>
      </c>
      <c r="AW156" s="21" t="s">
        <v>202</v>
      </c>
      <c r="AX156" s="21" t="s">
        <v>186</v>
      </c>
      <c r="AY156" s="21" t="s">
        <v>187</v>
      </c>
      <c r="AZ156" s="21" t="s">
        <v>188</v>
      </c>
      <c r="BA156" s="21" t="s">
        <v>152</v>
      </c>
      <c r="BB156" s="21" t="s">
        <v>152</v>
      </c>
    </row>
    <row r="157" spans="1:54" x14ac:dyDescent="0.25">
      <c r="A157" s="22"/>
      <c r="B157" s="21" t="s">
        <v>167</v>
      </c>
      <c r="C157" s="21">
        <v>522</v>
      </c>
      <c r="D157" s="23">
        <v>46254</v>
      </c>
      <c r="E157" s="21" t="s">
        <v>212</v>
      </c>
      <c r="F157" s="21" t="s">
        <v>610</v>
      </c>
      <c r="G157" s="21" t="s">
        <v>590</v>
      </c>
      <c r="H157" s="21" t="s">
        <v>518</v>
      </c>
      <c r="I157" s="21">
        <v>223.32</v>
      </c>
      <c r="J157" s="21">
        <v>1981</v>
      </c>
      <c r="K157" s="21" t="s">
        <v>168</v>
      </c>
      <c r="L157" s="21">
        <v>442396.92</v>
      </c>
      <c r="M157" s="21">
        <v>1981</v>
      </c>
      <c r="N157" s="21">
        <v>1981</v>
      </c>
      <c r="O157" s="21">
        <v>0</v>
      </c>
      <c r="P157" s="21" t="s">
        <v>200</v>
      </c>
      <c r="Q157" s="21" t="s">
        <v>200</v>
      </c>
      <c r="R157" s="21"/>
      <c r="S157" s="21"/>
      <c r="T157" s="21" t="s">
        <v>229</v>
      </c>
      <c r="U157" s="21">
        <v>1</v>
      </c>
      <c r="V157" s="21"/>
      <c r="W157" s="21">
        <v>9</v>
      </c>
      <c r="X157" s="21">
        <v>39815.72</v>
      </c>
      <c r="Y157" s="21">
        <v>9</v>
      </c>
      <c r="Z157" s="21">
        <v>39815.72</v>
      </c>
      <c r="AA157" s="21">
        <v>0</v>
      </c>
      <c r="AB157" s="21">
        <v>0</v>
      </c>
      <c r="AC157" s="21">
        <v>39232999</v>
      </c>
      <c r="AD157" s="21" t="s">
        <v>189</v>
      </c>
      <c r="AE157" s="23">
        <v>46254</v>
      </c>
      <c r="AF157" s="21">
        <v>0</v>
      </c>
      <c r="AG157" s="21">
        <v>0</v>
      </c>
      <c r="AH157" s="21"/>
      <c r="AI157" s="21">
        <v>0</v>
      </c>
      <c r="AJ157" s="21"/>
      <c r="AK157" s="21"/>
      <c r="AL157" s="21"/>
      <c r="AM157" s="21">
        <v>0</v>
      </c>
      <c r="AN157" s="21">
        <v>0</v>
      </c>
      <c r="AO157" s="21">
        <v>0</v>
      </c>
      <c r="AP157" s="21">
        <v>0</v>
      </c>
      <c r="AQ157" s="21">
        <v>0</v>
      </c>
      <c r="AR157" s="21">
        <v>0</v>
      </c>
      <c r="AS157" s="21">
        <v>0</v>
      </c>
      <c r="AT157" s="21">
        <v>0</v>
      </c>
      <c r="AU157" s="21"/>
      <c r="AV157" s="21" t="s">
        <v>236</v>
      </c>
      <c r="AW157" s="21" t="s">
        <v>202</v>
      </c>
      <c r="AX157" s="21" t="s">
        <v>190</v>
      </c>
      <c r="AY157" s="21" t="s">
        <v>191</v>
      </c>
      <c r="AZ157" s="21" t="s">
        <v>188</v>
      </c>
      <c r="BA157" s="21" t="s">
        <v>152</v>
      </c>
      <c r="BB157" s="21" t="s">
        <v>152</v>
      </c>
    </row>
    <row r="158" spans="1:54" x14ac:dyDescent="0.25">
      <c r="A158" s="22"/>
      <c r="B158" s="21" t="s">
        <v>167</v>
      </c>
      <c r="C158" s="21">
        <v>522</v>
      </c>
      <c r="D158" s="23">
        <v>46254</v>
      </c>
      <c r="E158" s="21" t="s">
        <v>212</v>
      </c>
      <c r="F158" s="21" t="s">
        <v>610</v>
      </c>
      <c r="G158" s="21" t="s">
        <v>590</v>
      </c>
      <c r="H158" s="21" t="s">
        <v>519</v>
      </c>
      <c r="I158" s="21">
        <v>226.17</v>
      </c>
      <c r="J158" s="21">
        <v>1987</v>
      </c>
      <c r="K158" s="21" t="s">
        <v>168</v>
      </c>
      <c r="L158" s="21">
        <v>449399.79</v>
      </c>
      <c r="M158" s="21">
        <v>1987</v>
      </c>
      <c r="N158" s="21">
        <v>1987</v>
      </c>
      <c r="O158" s="21">
        <v>0</v>
      </c>
      <c r="P158" s="21" t="s">
        <v>200</v>
      </c>
      <c r="Q158" s="21" t="s">
        <v>200</v>
      </c>
      <c r="R158" s="21"/>
      <c r="S158" s="21"/>
      <c r="T158" s="21" t="s">
        <v>229</v>
      </c>
      <c r="U158" s="21">
        <v>1</v>
      </c>
      <c r="V158" s="21"/>
      <c r="W158" s="21">
        <v>9</v>
      </c>
      <c r="X158" s="21">
        <v>40445.980000000003</v>
      </c>
      <c r="Y158" s="21">
        <v>9</v>
      </c>
      <c r="Z158" s="21">
        <v>40445.980000000003</v>
      </c>
      <c r="AA158" s="21">
        <v>0</v>
      </c>
      <c r="AB158" s="21">
        <v>0</v>
      </c>
      <c r="AC158" s="21">
        <v>39232999</v>
      </c>
      <c r="AD158" s="21" t="s">
        <v>189</v>
      </c>
      <c r="AE158" s="23">
        <v>46254</v>
      </c>
      <c r="AF158" s="21">
        <v>0</v>
      </c>
      <c r="AG158" s="21">
        <v>0</v>
      </c>
      <c r="AH158" s="21"/>
      <c r="AI158" s="21">
        <v>0</v>
      </c>
      <c r="AJ158" s="21"/>
      <c r="AK158" s="21"/>
      <c r="AL158" s="21"/>
      <c r="AM158" s="21">
        <v>0</v>
      </c>
      <c r="AN158" s="21">
        <v>0</v>
      </c>
      <c r="AO158" s="21">
        <v>0</v>
      </c>
      <c r="AP158" s="21">
        <v>0</v>
      </c>
      <c r="AQ158" s="21">
        <v>0</v>
      </c>
      <c r="AR158" s="21">
        <v>0</v>
      </c>
      <c r="AS158" s="21">
        <v>0</v>
      </c>
      <c r="AT158" s="21">
        <v>0</v>
      </c>
      <c r="AU158" s="21"/>
      <c r="AV158" s="21" t="s">
        <v>236</v>
      </c>
      <c r="AW158" s="21" t="s">
        <v>202</v>
      </c>
      <c r="AX158" s="21" t="s">
        <v>190</v>
      </c>
      <c r="AY158" s="21" t="s">
        <v>191</v>
      </c>
      <c r="AZ158" s="21" t="s">
        <v>188</v>
      </c>
      <c r="BA158" s="21" t="s">
        <v>152</v>
      </c>
      <c r="BB158" s="21" t="s">
        <v>152</v>
      </c>
    </row>
    <row r="159" spans="1:54" ht="15" customHeight="1" x14ac:dyDescent="0.25">
      <c r="A159" s="21"/>
      <c r="B159" s="21" t="s">
        <v>167</v>
      </c>
      <c r="C159" s="21">
        <v>522</v>
      </c>
      <c r="D159" s="23">
        <v>46254</v>
      </c>
      <c r="E159" s="21" t="s">
        <v>212</v>
      </c>
      <c r="F159" s="21" t="s">
        <v>610</v>
      </c>
      <c r="G159" s="21" t="s">
        <v>590</v>
      </c>
      <c r="H159" s="21" t="s">
        <v>289</v>
      </c>
      <c r="I159" s="21">
        <v>241.64</v>
      </c>
      <c r="J159" s="21">
        <v>845</v>
      </c>
      <c r="K159" s="21" t="s">
        <v>168</v>
      </c>
      <c r="L159" s="21">
        <v>204185.8</v>
      </c>
      <c r="M159" s="21">
        <v>845</v>
      </c>
      <c r="N159" s="21">
        <v>845</v>
      </c>
      <c r="O159" s="21">
        <v>0</v>
      </c>
      <c r="P159" s="21" t="s">
        <v>200</v>
      </c>
      <c r="Q159" s="21" t="s">
        <v>200</v>
      </c>
      <c r="R159" s="21"/>
      <c r="S159" s="21"/>
      <c r="T159" s="21" t="s">
        <v>229</v>
      </c>
      <c r="U159" s="21">
        <v>1</v>
      </c>
      <c r="V159" s="21"/>
      <c r="W159" s="21">
        <v>9</v>
      </c>
      <c r="X159" s="21">
        <v>18376.72</v>
      </c>
      <c r="Y159" s="21">
        <v>9</v>
      </c>
      <c r="Z159" s="21">
        <v>18376.72</v>
      </c>
      <c r="AA159" s="21">
        <v>0</v>
      </c>
      <c r="AB159" s="21">
        <v>0</v>
      </c>
      <c r="AC159" s="21">
        <v>39232999</v>
      </c>
      <c r="AD159" s="21" t="s">
        <v>189</v>
      </c>
      <c r="AE159" s="23">
        <v>46254</v>
      </c>
      <c r="AF159" s="21">
        <v>0</v>
      </c>
      <c r="AG159" s="21">
        <v>0</v>
      </c>
      <c r="AH159" s="21"/>
      <c r="AI159" s="21">
        <v>0</v>
      </c>
      <c r="AJ159" s="21"/>
      <c r="AK159" s="21"/>
      <c r="AL159" s="21"/>
      <c r="AM159" s="21">
        <v>0</v>
      </c>
      <c r="AN159" s="21">
        <v>0</v>
      </c>
      <c r="AO159" s="21">
        <v>0</v>
      </c>
      <c r="AP159" s="21">
        <v>0</v>
      </c>
      <c r="AQ159" s="21">
        <v>0</v>
      </c>
      <c r="AR159" s="21">
        <v>0</v>
      </c>
      <c r="AS159" s="21">
        <v>0</v>
      </c>
      <c r="AT159" s="21">
        <v>0</v>
      </c>
      <c r="AU159" s="21"/>
      <c r="AV159" s="21" t="s">
        <v>236</v>
      </c>
      <c r="AW159" s="21" t="s">
        <v>202</v>
      </c>
      <c r="AX159" s="21" t="s">
        <v>186</v>
      </c>
      <c r="AY159" s="21" t="s">
        <v>187</v>
      </c>
      <c r="AZ159" s="21" t="s">
        <v>188</v>
      </c>
      <c r="BA159" s="21" t="s">
        <v>152</v>
      </c>
      <c r="BB159" s="21" t="s">
        <v>152</v>
      </c>
    </row>
    <row r="160" spans="1:54" ht="15" customHeight="1" x14ac:dyDescent="0.25">
      <c r="A160" s="21"/>
      <c r="B160" s="21" t="s">
        <v>167</v>
      </c>
      <c r="C160" s="21">
        <v>522</v>
      </c>
      <c r="D160" s="23">
        <v>46254</v>
      </c>
      <c r="E160" s="21" t="s">
        <v>212</v>
      </c>
      <c r="F160" s="21" t="s">
        <v>610</v>
      </c>
      <c r="G160" s="21" t="s">
        <v>590</v>
      </c>
      <c r="H160" s="21" t="s">
        <v>290</v>
      </c>
      <c r="I160" s="21">
        <v>242.26</v>
      </c>
      <c r="J160" s="21">
        <v>5478</v>
      </c>
      <c r="K160" s="21" t="s">
        <v>168</v>
      </c>
      <c r="L160" s="21">
        <v>1327100.28</v>
      </c>
      <c r="M160" s="21">
        <v>5478</v>
      </c>
      <c r="N160" s="21">
        <v>5478</v>
      </c>
      <c r="O160" s="21">
        <v>0</v>
      </c>
      <c r="P160" s="21" t="s">
        <v>200</v>
      </c>
      <c r="Q160" s="21" t="s">
        <v>200</v>
      </c>
      <c r="R160" s="21"/>
      <c r="S160" s="21"/>
      <c r="T160" s="21" t="s">
        <v>229</v>
      </c>
      <c r="U160" s="21">
        <v>1</v>
      </c>
      <c r="V160" s="21"/>
      <c r="W160" s="21">
        <v>9</v>
      </c>
      <c r="X160" s="21">
        <v>119439.03</v>
      </c>
      <c r="Y160" s="21">
        <v>9</v>
      </c>
      <c r="Z160" s="21">
        <v>119439.03</v>
      </c>
      <c r="AA160" s="21">
        <v>0</v>
      </c>
      <c r="AB160" s="21">
        <v>0</v>
      </c>
      <c r="AC160" s="21">
        <v>39232999</v>
      </c>
      <c r="AD160" s="21" t="s">
        <v>189</v>
      </c>
      <c r="AE160" s="23">
        <v>46254</v>
      </c>
      <c r="AF160" s="21">
        <v>0</v>
      </c>
      <c r="AG160" s="21">
        <v>0</v>
      </c>
      <c r="AH160" s="21"/>
      <c r="AI160" s="21">
        <v>0</v>
      </c>
      <c r="AJ160" s="21"/>
      <c r="AK160" s="21"/>
      <c r="AL160" s="21"/>
      <c r="AM160" s="21">
        <v>0</v>
      </c>
      <c r="AN160" s="21">
        <v>0</v>
      </c>
      <c r="AO160" s="21">
        <v>0</v>
      </c>
      <c r="AP160" s="21">
        <v>0</v>
      </c>
      <c r="AQ160" s="21">
        <v>0</v>
      </c>
      <c r="AR160" s="21">
        <v>0</v>
      </c>
      <c r="AS160" s="21">
        <v>0</v>
      </c>
      <c r="AT160" s="21">
        <v>0</v>
      </c>
      <c r="AU160" s="21"/>
      <c r="AV160" s="21" t="s">
        <v>236</v>
      </c>
      <c r="AW160" s="21" t="s">
        <v>202</v>
      </c>
      <c r="AX160" s="21" t="s">
        <v>186</v>
      </c>
      <c r="AY160" s="21" t="s">
        <v>187</v>
      </c>
      <c r="AZ160" s="21" t="s">
        <v>188</v>
      </c>
      <c r="BA160" s="21" t="s">
        <v>152</v>
      </c>
      <c r="BB160" s="21" t="s">
        <v>152</v>
      </c>
    </row>
    <row r="161" spans="1:54" ht="15" customHeight="1" x14ac:dyDescent="0.25">
      <c r="A161" s="21"/>
      <c r="B161" s="21" t="s">
        <v>167</v>
      </c>
      <c r="C161" s="21">
        <v>522</v>
      </c>
      <c r="D161" s="23">
        <v>46254</v>
      </c>
      <c r="E161" s="21" t="s">
        <v>212</v>
      </c>
      <c r="F161" s="21" t="s">
        <v>610</v>
      </c>
      <c r="G161" s="21" t="s">
        <v>590</v>
      </c>
      <c r="H161" s="21" t="s">
        <v>291</v>
      </c>
      <c r="I161" s="21">
        <v>237.92</v>
      </c>
      <c r="J161" s="21">
        <v>4293</v>
      </c>
      <c r="K161" s="21" t="s">
        <v>168</v>
      </c>
      <c r="L161" s="21">
        <v>1021390.56</v>
      </c>
      <c r="M161" s="21">
        <v>4293</v>
      </c>
      <c r="N161" s="21">
        <v>4293</v>
      </c>
      <c r="O161" s="21">
        <v>0</v>
      </c>
      <c r="P161" s="21" t="s">
        <v>200</v>
      </c>
      <c r="Q161" s="21" t="s">
        <v>200</v>
      </c>
      <c r="R161" s="21"/>
      <c r="S161" s="21"/>
      <c r="T161" s="21" t="s">
        <v>229</v>
      </c>
      <c r="U161" s="21">
        <v>1</v>
      </c>
      <c r="V161" s="21"/>
      <c r="W161" s="21">
        <v>9</v>
      </c>
      <c r="X161" s="21">
        <v>91925.15</v>
      </c>
      <c r="Y161" s="21">
        <v>9</v>
      </c>
      <c r="Z161" s="21">
        <v>91925.15</v>
      </c>
      <c r="AA161" s="21">
        <v>0</v>
      </c>
      <c r="AB161" s="21">
        <v>0</v>
      </c>
      <c r="AC161" s="21">
        <v>39232999</v>
      </c>
      <c r="AD161" s="21" t="s">
        <v>189</v>
      </c>
      <c r="AE161" s="23">
        <v>46254</v>
      </c>
      <c r="AF161" s="21">
        <v>0</v>
      </c>
      <c r="AG161" s="21">
        <v>0</v>
      </c>
      <c r="AH161" s="21"/>
      <c r="AI161" s="21">
        <v>0</v>
      </c>
      <c r="AJ161" s="21"/>
      <c r="AK161" s="21"/>
      <c r="AL161" s="21"/>
      <c r="AM161" s="21">
        <v>0</v>
      </c>
      <c r="AN161" s="21">
        <v>0</v>
      </c>
      <c r="AO161" s="21">
        <v>0</v>
      </c>
      <c r="AP161" s="21">
        <v>0</v>
      </c>
      <c r="AQ161" s="21">
        <v>0</v>
      </c>
      <c r="AR161" s="21">
        <v>0</v>
      </c>
      <c r="AS161" s="21">
        <v>0</v>
      </c>
      <c r="AT161" s="21">
        <v>0</v>
      </c>
      <c r="AU161" s="21"/>
      <c r="AV161" s="21" t="s">
        <v>236</v>
      </c>
      <c r="AW161" s="21" t="s">
        <v>202</v>
      </c>
      <c r="AX161" s="21" t="s">
        <v>186</v>
      </c>
      <c r="AY161" s="21" t="s">
        <v>187</v>
      </c>
      <c r="AZ161" s="21" t="s">
        <v>188</v>
      </c>
      <c r="BA161" s="21" t="s">
        <v>152</v>
      </c>
      <c r="BB161" s="21" t="s">
        <v>152</v>
      </c>
    </row>
    <row r="162" spans="1:54" x14ac:dyDescent="0.25">
      <c r="A162" s="22"/>
      <c r="B162" s="21" t="s">
        <v>167</v>
      </c>
      <c r="C162" s="21">
        <v>522</v>
      </c>
      <c r="D162" s="23">
        <v>46254</v>
      </c>
      <c r="E162" s="21" t="s">
        <v>212</v>
      </c>
      <c r="F162" s="21" t="s">
        <v>610</v>
      </c>
      <c r="G162" s="21" t="s">
        <v>590</v>
      </c>
      <c r="H162" s="21" t="s">
        <v>525</v>
      </c>
      <c r="I162" s="21">
        <v>217.8</v>
      </c>
      <c r="J162" s="21">
        <v>2489</v>
      </c>
      <c r="K162" s="21" t="s">
        <v>168</v>
      </c>
      <c r="L162" s="21">
        <v>542104.19999999995</v>
      </c>
      <c r="M162" s="21">
        <v>2489</v>
      </c>
      <c r="N162" s="21">
        <v>2489</v>
      </c>
      <c r="O162" s="21">
        <v>0</v>
      </c>
      <c r="P162" s="21" t="s">
        <v>200</v>
      </c>
      <c r="Q162" s="21" t="s">
        <v>200</v>
      </c>
      <c r="R162" s="21"/>
      <c r="S162" s="21"/>
      <c r="T162" s="21" t="s">
        <v>229</v>
      </c>
      <c r="U162" s="21">
        <v>1</v>
      </c>
      <c r="V162" s="21"/>
      <c r="W162" s="21">
        <v>9</v>
      </c>
      <c r="X162" s="21">
        <v>48789.38</v>
      </c>
      <c r="Y162" s="21">
        <v>9</v>
      </c>
      <c r="Z162" s="21">
        <v>48789.38</v>
      </c>
      <c r="AA162" s="21">
        <v>0</v>
      </c>
      <c r="AB162" s="21">
        <v>0</v>
      </c>
      <c r="AC162" s="21">
        <v>39232999</v>
      </c>
      <c r="AD162" s="21" t="s">
        <v>189</v>
      </c>
      <c r="AE162" s="23">
        <v>46254</v>
      </c>
      <c r="AF162" s="21">
        <v>0</v>
      </c>
      <c r="AG162" s="21">
        <v>0</v>
      </c>
      <c r="AH162" s="21"/>
      <c r="AI162" s="21">
        <v>0</v>
      </c>
      <c r="AJ162" s="21"/>
      <c r="AK162" s="21"/>
      <c r="AL162" s="21"/>
      <c r="AM162" s="21">
        <v>0</v>
      </c>
      <c r="AN162" s="21">
        <v>0</v>
      </c>
      <c r="AO162" s="21">
        <v>0</v>
      </c>
      <c r="AP162" s="21">
        <v>0</v>
      </c>
      <c r="AQ162" s="21">
        <v>0</v>
      </c>
      <c r="AR162" s="21">
        <v>0</v>
      </c>
      <c r="AS162" s="21">
        <v>0</v>
      </c>
      <c r="AT162" s="21">
        <v>0</v>
      </c>
      <c r="AU162" s="21"/>
      <c r="AV162" s="21" t="s">
        <v>236</v>
      </c>
      <c r="AW162" s="21" t="s">
        <v>202</v>
      </c>
      <c r="AX162" s="21" t="s">
        <v>186</v>
      </c>
      <c r="AY162" s="21" t="s">
        <v>187</v>
      </c>
      <c r="AZ162" s="21" t="s">
        <v>188</v>
      </c>
      <c r="BA162" s="21" t="s">
        <v>152</v>
      </c>
      <c r="BB162" s="21" t="s">
        <v>152</v>
      </c>
    </row>
    <row r="163" spans="1:54" x14ac:dyDescent="0.25">
      <c r="A163" s="22"/>
      <c r="B163" s="21" t="s">
        <v>167</v>
      </c>
      <c r="C163" s="21">
        <v>523</v>
      </c>
      <c r="D163" s="23">
        <v>46254</v>
      </c>
      <c r="E163" s="21" t="s">
        <v>226</v>
      </c>
      <c r="F163" s="21" t="s">
        <v>622</v>
      </c>
      <c r="G163" s="21" t="s">
        <v>590</v>
      </c>
      <c r="H163" s="21" t="s">
        <v>515</v>
      </c>
      <c r="I163" s="21">
        <v>283.70999999999998</v>
      </c>
      <c r="J163" s="21">
        <v>18051</v>
      </c>
      <c r="K163" s="21" t="s">
        <v>168</v>
      </c>
      <c r="L163" s="21">
        <v>5121249.21</v>
      </c>
      <c r="M163" s="21">
        <v>18051</v>
      </c>
      <c r="N163" s="21">
        <v>18051</v>
      </c>
      <c r="O163" s="21">
        <v>6043074.0700000003</v>
      </c>
      <c r="P163" s="21" t="s">
        <v>200</v>
      </c>
      <c r="Q163" s="21" t="s">
        <v>200</v>
      </c>
      <c r="R163" s="21"/>
      <c r="S163" s="21"/>
      <c r="T163" s="21" t="s">
        <v>229</v>
      </c>
      <c r="U163" s="21">
        <v>1</v>
      </c>
      <c r="V163" s="21"/>
      <c r="W163" s="21">
        <v>9</v>
      </c>
      <c r="X163" s="21">
        <v>460912.43</v>
      </c>
      <c r="Y163" s="21">
        <v>9</v>
      </c>
      <c r="Z163" s="21">
        <v>460912.43</v>
      </c>
      <c r="AA163" s="21">
        <v>0</v>
      </c>
      <c r="AB163" s="21">
        <v>0</v>
      </c>
      <c r="AC163" s="21">
        <v>39232999</v>
      </c>
      <c r="AD163" s="21" t="s">
        <v>189</v>
      </c>
      <c r="AE163" s="23">
        <v>46254</v>
      </c>
      <c r="AF163" s="21">
        <v>0</v>
      </c>
      <c r="AG163" s="21">
        <v>0</v>
      </c>
      <c r="AH163" s="21"/>
      <c r="AI163" s="21">
        <v>0</v>
      </c>
      <c r="AJ163" s="21"/>
      <c r="AK163" s="21"/>
      <c r="AL163" s="21"/>
      <c r="AM163" s="21">
        <v>0</v>
      </c>
      <c r="AN163" s="21">
        <v>0</v>
      </c>
      <c r="AO163" s="21">
        <v>0</v>
      </c>
      <c r="AP163" s="21">
        <v>0</v>
      </c>
      <c r="AQ163" s="21">
        <v>0</v>
      </c>
      <c r="AR163" s="21">
        <v>0</v>
      </c>
      <c r="AS163" s="21">
        <v>0</v>
      </c>
      <c r="AT163" s="21">
        <v>0</v>
      </c>
      <c r="AU163" s="21"/>
      <c r="AV163" s="21" t="s">
        <v>252</v>
      </c>
      <c r="AW163" s="21" t="s">
        <v>202</v>
      </c>
      <c r="AX163" s="21" t="s">
        <v>186</v>
      </c>
      <c r="AY163" s="21" t="s">
        <v>187</v>
      </c>
      <c r="AZ163" s="21" t="s">
        <v>188</v>
      </c>
      <c r="BA163" s="21" t="s">
        <v>152</v>
      </c>
      <c r="BB163" s="21" t="s">
        <v>152</v>
      </c>
    </row>
    <row r="164" spans="1:54" x14ac:dyDescent="0.25">
      <c r="A164" s="21"/>
      <c r="B164" s="21" t="s">
        <v>167</v>
      </c>
      <c r="C164" s="21">
        <v>524</v>
      </c>
      <c r="D164" s="23">
        <v>46254</v>
      </c>
      <c r="E164" s="21" t="s">
        <v>267</v>
      </c>
      <c r="F164" s="21" t="s">
        <v>275</v>
      </c>
      <c r="G164" s="21" t="s">
        <v>590</v>
      </c>
      <c r="H164" s="21" t="s">
        <v>528</v>
      </c>
      <c r="I164" s="21">
        <v>509</v>
      </c>
      <c r="J164" s="21">
        <v>4000</v>
      </c>
      <c r="K164" s="21" t="s">
        <v>224</v>
      </c>
      <c r="L164" s="21">
        <v>2036000</v>
      </c>
      <c r="M164" s="21">
        <v>9536</v>
      </c>
      <c r="N164" s="21">
        <v>9536</v>
      </c>
      <c r="O164" s="21">
        <v>2402480</v>
      </c>
      <c r="P164" s="21" t="s">
        <v>200</v>
      </c>
      <c r="Q164" s="21" t="s">
        <v>200</v>
      </c>
      <c r="R164" s="21"/>
      <c r="S164" s="21"/>
      <c r="T164" s="21" t="s">
        <v>229</v>
      </c>
      <c r="U164" s="21">
        <v>1</v>
      </c>
      <c r="V164" s="21"/>
      <c r="W164" s="21">
        <v>9</v>
      </c>
      <c r="X164" s="21">
        <v>183240</v>
      </c>
      <c r="Y164" s="21">
        <v>9</v>
      </c>
      <c r="Z164" s="21">
        <v>183240</v>
      </c>
      <c r="AA164" s="21">
        <v>0</v>
      </c>
      <c r="AB164" s="21">
        <v>0</v>
      </c>
      <c r="AC164" s="21">
        <v>39232999</v>
      </c>
      <c r="AD164" s="21" t="s">
        <v>189</v>
      </c>
      <c r="AE164" s="23">
        <v>46254</v>
      </c>
      <c r="AF164" s="21">
        <v>0</v>
      </c>
      <c r="AG164" s="21">
        <v>0</v>
      </c>
      <c r="AH164" s="21"/>
      <c r="AI164" s="21">
        <v>0</v>
      </c>
      <c r="AJ164" s="21"/>
      <c r="AK164" s="21"/>
      <c r="AL164" s="21"/>
      <c r="AM164" s="21">
        <v>0</v>
      </c>
      <c r="AN164" s="21">
        <v>0</v>
      </c>
      <c r="AO164" s="21">
        <v>0</v>
      </c>
      <c r="AP164" s="21">
        <v>0</v>
      </c>
      <c r="AQ164" s="21">
        <v>0</v>
      </c>
      <c r="AR164" s="21">
        <v>0</v>
      </c>
      <c r="AS164" s="21">
        <v>0</v>
      </c>
      <c r="AT164" s="21">
        <v>0</v>
      </c>
      <c r="AU164" s="21"/>
      <c r="AV164" s="21" t="s">
        <v>236</v>
      </c>
      <c r="AW164" s="21" t="s">
        <v>202</v>
      </c>
      <c r="AX164" s="21" t="s">
        <v>190</v>
      </c>
      <c r="AY164" s="21" t="s">
        <v>191</v>
      </c>
      <c r="AZ164" s="21" t="s">
        <v>188</v>
      </c>
      <c r="BA164" s="21" t="s">
        <v>152</v>
      </c>
      <c r="BB164" s="21" t="s">
        <v>152</v>
      </c>
    </row>
    <row r="165" spans="1:54" x14ac:dyDescent="0.25">
      <c r="A165" s="22"/>
      <c r="B165" s="21" t="s">
        <v>167</v>
      </c>
      <c r="C165" s="21">
        <v>525</v>
      </c>
      <c r="D165" s="23">
        <v>46255</v>
      </c>
      <c r="E165" s="21" t="s">
        <v>212</v>
      </c>
      <c r="F165" s="21" t="s">
        <v>174</v>
      </c>
      <c r="G165" s="21" t="s">
        <v>231</v>
      </c>
      <c r="H165" s="21" t="s">
        <v>498</v>
      </c>
      <c r="I165" s="21">
        <v>113.58</v>
      </c>
      <c r="J165" s="21">
        <v>984</v>
      </c>
      <c r="K165" s="21" t="s">
        <v>168</v>
      </c>
      <c r="L165" s="21">
        <v>111762.72</v>
      </c>
      <c r="M165" s="21">
        <v>984</v>
      </c>
      <c r="N165" s="21">
        <v>984</v>
      </c>
      <c r="O165" s="21">
        <v>174082.4</v>
      </c>
      <c r="P165" s="21" t="s">
        <v>237</v>
      </c>
      <c r="Q165" s="21" t="s">
        <v>232</v>
      </c>
      <c r="R165" s="21"/>
      <c r="S165" s="21"/>
      <c r="T165" s="21" t="s">
        <v>229</v>
      </c>
      <c r="U165" s="21">
        <v>1</v>
      </c>
      <c r="V165" s="21"/>
      <c r="W165" s="21">
        <v>9</v>
      </c>
      <c r="X165" s="21">
        <v>10058.64</v>
      </c>
      <c r="Y165" s="21">
        <v>9</v>
      </c>
      <c r="Z165" s="21">
        <v>10058.64</v>
      </c>
      <c r="AA165" s="21">
        <v>0</v>
      </c>
      <c r="AB165" s="21">
        <v>0</v>
      </c>
      <c r="AC165" s="21">
        <v>39269080</v>
      </c>
      <c r="AD165" s="21" t="s">
        <v>189</v>
      </c>
      <c r="AE165" s="23">
        <v>46255</v>
      </c>
      <c r="AF165" s="21">
        <v>0</v>
      </c>
      <c r="AG165" s="21">
        <v>0</v>
      </c>
      <c r="AH165" s="21"/>
      <c r="AI165" s="21">
        <v>0</v>
      </c>
      <c r="AJ165" s="21"/>
      <c r="AK165" s="21"/>
      <c r="AL165" s="21"/>
      <c r="AM165" s="21">
        <v>0</v>
      </c>
      <c r="AN165" s="21">
        <v>0</v>
      </c>
      <c r="AO165" s="21">
        <v>0</v>
      </c>
      <c r="AP165" s="21">
        <v>0</v>
      </c>
      <c r="AQ165" s="21">
        <v>0</v>
      </c>
      <c r="AR165" s="21">
        <v>0</v>
      </c>
      <c r="AS165" s="21">
        <v>0</v>
      </c>
      <c r="AT165" s="21">
        <v>0</v>
      </c>
      <c r="AU165" s="21"/>
      <c r="AV165" s="21" t="s">
        <v>236</v>
      </c>
      <c r="AW165" s="21" t="s">
        <v>202</v>
      </c>
      <c r="AX165" s="21" t="s">
        <v>234</v>
      </c>
      <c r="AY165" s="21" t="s">
        <v>153</v>
      </c>
      <c r="AZ165" s="21" t="s">
        <v>188</v>
      </c>
      <c r="BA165" s="21" t="s">
        <v>153</v>
      </c>
      <c r="BB165" s="21" t="s">
        <v>153</v>
      </c>
    </row>
    <row r="166" spans="1:54" x14ac:dyDescent="0.25">
      <c r="A166" s="22"/>
      <c r="B166" s="21" t="s">
        <v>167</v>
      </c>
      <c r="C166" s="21">
        <v>525</v>
      </c>
      <c r="D166" s="23">
        <v>46255</v>
      </c>
      <c r="E166" s="21" t="s">
        <v>212</v>
      </c>
      <c r="F166" s="21" t="s">
        <v>174</v>
      </c>
      <c r="G166" s="21" t="s">
        <v>255</v>
      </c>
      <c r="H166" s="21" t="s">
        <v>173</v>
      </c>
      <c r="I166" s="21">
        <v>220.77</v>
      </c>
      <c r="J166" s="21">
        <v>162</v>
      </c>
      <c r="K166" s="21" t="s">
        <v>168</v>
      </c>
      <c r="L166" s="21">
        <v>35764.74</v>
      </c>
      <c r="M166" s="21">
        <v>162</v>
      </c>
      <c r="N166" s="21">
        <v>162</v>
      </c>
      <c r="O166" s="21">
        <v>0</v>
      </c>
      <c r="P166" s="21" t="s">
        <v>237</v>
      </c>
      <c r="Q166" s="21" t="s">
        <v>237</v>
      </c>
      <c r="R166" s="21"/>
      <c r="S166" s="21"/>
      <c r="T166" s="21" t="s">
        <v>229</v>
      </c>
      <c r="U166" s="21">
        <v>1</v>
      </c>
      <c r="V166" s="21"/>
      <c r="W166" s="21">
        <v>9</v>
      </c>
      <c r="X166" s="21">
        <v>3218.83</v>
      </c>
      <c r="Y166" s="21">
        <v>9</v>
      </c>
      <c r="Z166" s="21">
        <v>3218.83</v>
      </c>
      <c r="AA166" s="21">
        <v>0</v>
      </c>
      <c r="AB166" s="21">
        <v>0</v>
      </c>
      <c r="AC166" s="21">
        <v>392310</v>
      </c>
      <c r="AD166" s="21" t="s">
        <v>189</v>
      </c>
      <c r="AE166" s="23">
        <v>46255</v>
      </c>
      <c r="AF166" s="21">
        <v>0</v>
      </c>
      <c r="AG166" s="21">
        <v>0</v>
      </c>
      <c r="AH166" s="21"/>
      <c r="AI166" s="21">
        <v>0</v>
      </c>
      <c r="AJ166" s="21"/>
      <c r="AK166" s="21"/>
      <c r="AL166" s="21"/>
      <c r="AM166" s="21">
        <v>0</v>
      </c>
      <c r="AN166" s="21">
        <v>0</v>
      </c>
      <c r="AO166" s="21">
        <v>0</v>
      </c>
      <c r="AP166" s="21">
        <v>0</v>
      </c>
      <c r="AQ166" s="21">
        <v>0</v>
      </c>
      <c r="AR166" s="21">
        <v>0</v>
      </c>
      <c r="AS166" s="21">
        <v>0</v>
      </c>
      <c r="AT166" s="21">
        <v>0</v>
      </c>
      <c r="AU166" s="21"/>
      <c r="AV166" s="21" t="s">
        <v>236</v>
      </c>
      <c r="AW166" s="21" t="s">
        <v>202</v>
      </c>
      <c r="AX166" s="21" t="s">
        <v>172</v>
      </c>
      <c r="AY166" s="21" t="s">
        <v>173</v>
      </c>
      <c r="AZ166" s="21" t="s">
        <v>169</v>
      </c>
      <c r="BA166" s="21" t="s">
        <v>175</v>
      </c>
      <c r="BB166" s="21" t="s">
        <v>159</v>
      </c>
    </row>
    <row r="167" spans="1:54" x14ac:dyDescent="0.25">
      <c r="A167" s="22"/>
      <c r="B167" s="21" t="s">
        <v>167</v>
      </c>
      <c r="C167" s="21">
        <v>526</v>
      </c>
      <c r="D167" s="23">
        <v>46255</v>
      </c>
      <c r="E167" s="21" t="s">
        <v>212</v>
      </c>
      <c r="F167" s="21" t="s">
        <v>174</v>
      </c>
      <c r="G167" s="21" t="s">
        <v>231</v>
      </c>
      <c r="H167" s="21" t="s">
        <v>183</v>
      </c>
      <c r="I167" s="21">
        <v>133.58000000000001</v>
      </c>
      <c r="J167" s="21">
        <v>188</v>
      </c>
      <c r="K167" s="21" t="s">
        <v>168</v>
      </c>
      <c r="L167" s="21">
        <v>25113.040000000001</v>
      </c>
      <c r="M167" s="21">
        <v>188</v>
      </c>
      <c r="N167" s="21">
        <v>188</v>
      </c>
      <c r="O167" s="21">
        <v>29633.38</v>
      </c>
      <c r="P167" s="21" t="s">
        <v>232</v>
      </c>
      <c r="Q167" s="21" t="s">
        <v>232</v>
      </c>
      <c r="R167" s="21"/>
      <c r="S167" s="21"/>
      <c r="T167" s="21" t="s">
        <v>229</v>
      </c>
      <c r="U167" s="21">
        <v>1</v>
      </c>
      <c r="V167" s="21"/>
      <c r="W167" s="21">
        <v>9</v>
      </c>
      <c r="X167" s="21">
        <v>2260.17</v>
      </c>
      <c r="Y167" s="21">
        <v>9</v>
      </c>
      <c r="Z167" s="21">
        <v>2260.17</v>
      </c>
      <c r="AA167" s="21">
        <v>0</v>
      </c>
      <c r="AB167" s="21">
        <v>0</v>
      </c>
      <c r="AC167" s="21">
        <v>39269080</v>
      </c>
      <c r="AD167" s="21" t="s">
        <v>189</v>
      </c>
      <c r="AE167" s="23">
        <v>46255</v>
      </c>
      <c r="AF167" s="21">
        <v>0</v>
      </c>
      <c r="AG167" s="21">
        <v>0</v>
      </c>
      <c r="AH167" s="21"/>
      <c r="AI167" s="21">
        <v>0</v>
      </c>
      <c r="AJ167" s="21"/>
      <c r="AK167" s="21"/>
      <c r="AL167" s="21"/>
      <c r="AM167" s="21">
        <v>0</v>
      </c>
      <c r="AN167" s="21">
        <v>0</v>
      </c>
      <c r="AO167" s="21">
        <v>0</v>
      </c>
      <c r="AP167" s="21">
        <v>0</v>
      </c>
      <c r="AQ167" s="21">
        <v>0</v>
      </c>
      <c r="AR167" s="21">
        <v>0</v>
      </c>
      <c r="AS167" s="21">
        <v>0</v>
      </c>
      <c r="AT167" s="21">
        <v>0</v>
      </c>
      <c r="AU167" s="21"/>
      <c r="AV167" s="21" t="s">
        <v>236</v>
      </c>
      <c r="AW167" s="21" t="s">
        <v>202</v>
      </c>
      <c r="AX167" s="21" t="s">
        <v>182</v>
      </c>
      <c r="AY167" s="21" t="s">
        <v>183</v>
      </c>
      <c r="AZ167" s="21" t="s">
        <v>169</v>
      </c>
      <c r="BA167" s="21" t="s">
        <v>179</v>
      </c>
      <c r="BB167" s="21" t="s">
        <v>155</v>
      </c>
    </row>
    <row r="168" spans="1:54" x14ac:dyDescent="0.25">
      <c r="A168" s="22"/>
      <c r="B168" s="21" t="s">
        <v>167</v>
      </c>
      <c r="C168" s="21">
        <v>528</v>
      </c>
      <c r="D168" s="23">
        <v>46255</v>
      </c>
      <c r="E168" s="21" t="s">
        <v>212</v>
      </c>
      <c r="F168" s="21" t="s">
        <v>174</v>
      </c>
      <c r="G168" s="21" t="s">
        <v>590</v>
      </c>
      <c r="H168" s="21" t="s">
        <v>533</v>
      </c>
      <c r="I168" s="21">
        <v>227.75</v>
      </c>
      <c r="J168" s="21">
        <v>898</v>
      </c>
      <c r="K168" s="21" t="s">
        <v>168</v>
      </c>
      <c r="L168" s="21">
        <v>204519.5</v>
      </c>
      <c r="M168" s="21">
        <v>898</v>
      </c>
      <c r="N168" s="21">
        <v>898</v>
      </c>
      <c r="O168" s="21">
        <v>241333.02</v>
      </c>
      <c r="P168" s="21" t="s">
        <v>200</v>
      </c>
      <c r="Q168" s="21" t="s">
        <v>200</v>
      </c>
      <c r="R168" s="21"/>
      <c r="S168" s="21"/>
      <c r="T168" s="21" t="s">
        <v>229</v>
      </c>
      <c r="U168" s="21">
        <v>1</v>
      </c>
      <c r="V168" s="21"/>
      <c r="W168" s="21">
        <v>9</v>
      </c>
      <c r="X168" s="21">
        <v>18406.759999999998</v>
      </c>
      <c r="Y168" s="21">
        <v>9</v>
      </c>
      <c r="Z168" s="21">
        <v>18406.759999999998</v>
      </c>
      <c r="AA168" s="21">
        <v>0</v>
      </c>
      <c r="AB168" s="21">
        <v>0</v>
      </c>
      <c r="AC168" s="21">
        <v>39232999</v>
      </c>
      <c r="AD168" s="21" t="s">
        <v>189</v>
      </c>
      <c r="AE168" s="23">
        <v>46255</v>
      </c>
      <c r="AF168" s="21">
        <v>0</v>
      </c>
      <c r="AG168" s="21">
        <v>0</v>
      </c>
      <c r="AH168" s="21"/>
      <c r="AI168" s="21">
        <v>0</v>
      </c>
      <c r="AJ168" s="21"/>
      <c r="AK168" s="21"/>
      <c r="AL168" s="21"/>
      <c r="AM168" s="21">
        <v>0</v>
      </c>
      <c r="AN168" s="21">
        <v>0</v>
      </c>
      <c r="AO168" s="21">
        <v>0</v>
      </c>
      <c r="AP168" s="21">
        <v>0</v>
      </c>
      <c r="AQ168" s="21">
        <v>0</v>
      </c>
      <c r="AR168" s="21">
        <v>0</v>
      </c>
      <c r="AS168" s="21">
        <v>0</v>
      </c>
      <c r="AT168" s="21">
        <v>0</v>
      </c>
      <c r="AU168" s="21"/>
      <c r="AV168" s="21" t="s">
        <v>236</v>
      </c>
      <c r="AW168" s="21" t="s">
        <v>202</v>
      </c>
      <c r="AX168" s="21" t="s">
        <v>186</v>
      </c>
      <c r="AY168" s="21" t="s">
        <v>187</v>
      </c>
      <c r="AZ168" s="21" t="s">
        <v>188</v>
      </c>
      <c r="BA168" s="21" t="s">
        <v>152</v>
      </c>
      <c r="BB168" s="21" t="s">
        <v>152</v>
      </c>
    </row>
    <row r="169" spans="1:54" x14ac:dyDescent="0.25">
      <c r="A169" s="22"/>
      <c r="B169" s="21" t="s">
        <v>167</v>
      </c>
      <c r="C169" s="21">
        <v>530</v>
      </c>
      <c r="D169" s="23">
        <v>46256</v>
      </c>
      <c r="E169" s="21" t="s">
        <v>212</v>
      </c>
      <c r="F169" s="21" t="s">
        <v>174</v>
      </c>
      <c r="G169" s="21" t="s">
        <v>623</v>
      </c>
      <c r="H169" s="21" t="s">
        <v>536</v>
      </c>
      <c r="I169" s="21">
        <v>66</v>
      </c>
      <c r="J169" s="21">
        <v>2500</v>
      </c>
      <c r="K169" s="21" t="s">
        <v>168</v>
      </c>
      <c r="L169" s="21">
        <v>165000</v>
      </c>
      <c r="M169" s="21">
        <v>2500</v>
      </c>
      <c r="N169" s="21">
        <v>2500</v>
      </c>
      <c r="O169" s="21">
        <v>194700</v>
      </c>
      <c r="P169" s="21" t="s">
        <v>624</v>
      </c>
      <c r="Q169" s="21" t="s">
        <v>624</v>
      </c>
      <c r="R169" s="21"/>
      <c r="S169" s="21"/>
      <c r="T169" s="21" t="s">
        <v>229</v>
      </c>
      <c r="U169" s="21">
        <v>1</v>
      </c>
      <c r="V169" s="21"/>
      <c r="W169" s="21">
        <v>9</v>
      </c>
      <c r="X169" s="21">
        <v>14850</v>
      </c>
      <c r="Y169" s="21">
        <v>9</v>
      </c>
      <c r="Z169" s="21">
        <v>14850</v>
      </c>
      <c r="AA169" s="21">
        <v>0</v>
      </c>
      <c r="AB169" s="21">
        <v>0</v>
      </c>
      <c r="AC169" s="21">
        <v>39029000</v>
      </c>
      <c r="AD169" s="21" t="s">
        <v>189</v>
      </c>
      <c r="AE169" s="23">
        <v>46256</v>
      </c>
      <c r="AF169" s="21">
        <v>0</v>
      </c>
      <c r="AG169" s="21">
        <v>0</v>
      </c>
      <c r="AH169" s="21"/>
      <c r="AI169" s="21">
        <v>0</v>
      </c>
      <c r="AJ169" s="21"/>
      <c r="AK169" s="21"/>
      <c r="AL169" s="21"/>
      <c r="AM169" s="21">
        <v>0</v>
      </c>
      <c r="AN169" s="21">
        <v>0</v>
      </c>
      <c r="AO169" s="21">
        <v>0</v>
      </c>
      <c r="AP169" s="21">
        <v>0</v>
      </c>
      <c r="AQ169" s="21">
        <v>0</v>
      </c>
      <c r="AR169" s="21">
        <v>0</v>
      </c>
      <c r="AS169" s="21">
        <v>0</v>
      </c>
      <c r="AT169" s="21">
        <v>0</v>
      </c>
      <c r="AU169" s="21"/>
      <c r="AV169" s="21" t="s">
        <v>236</v>
      </c>
      <c r="AW169" s="21" t="s">
        <v>202</v>
      </c>
      <c r="AX169" s="21" t="s">
        <v>319</v>
      </c>
      <c r="AY169" s="21" t="s">
        <v>314</v>
      </c>
      <c r="AZ169" s="21" t="s">
        <v>169</v>
      </c>
      <c r="BA169" s="21" t="s">
        <v>314</v>
      </c>
      <c r="BB169" s="21" t="s">
        <v>314</v>
      </c>
    </row>
    <row r="170" spans="1:54" ht="15" customHeight="1" x14ac:dyDescent="0.25">
      <c r="A170" s="21"/>
      <c r="B170" s="21" t="s">
        <v>167</v>
      </c>
      <c r="C170" s="21" t="s">
        <v>534</v>
      </c>
      <c r="D170" s="23">
        <v>46256</v>
      </c>
      <c r="E170" s="21" t="s">
        <v>266</v>
      </c>
      <c r="F170" s="21" t="s">
        <v>275</v>
      </c>
      <c r="G170" s="21" t="s">
        <v>255</v>
      </c>
      <c r="H170" s="21" t="s">
        <v>228</v>
      </c>
      <c r="I170" s="21">
        <v>256</v>
      </c>
      <c r="J170" s="21">
        <v>23</v>
      </c>
      <c r="K170" s="21" t="s">
        <v>168</v>
      </c>
      <c r="L170" s="21">
        <v>5888</v>
      </c>
      <c r="M170" s="21">
        <v>23</v>
      </c>
      <c r="N170" s="21">
        <v>23</v>
      </c>
      <c r="O170" s="21">
        <v>1375227.45</v>
      </c>
      <c r="P170" s="21" t="s">
        <v>237</v>
      </c>
      <c r="Q170" s="21" t="s">
        <v>237</v>
      </c>
      <c r="R170" s="21"/>
      <c r="S170" s="21"/>
      <c r="T170" s="21" t="s">
        <v>229</v>
      </c>
      <c r="U170" s="21">
        <v>1</v>
      </c>
      <c r="V170" s="21" t="s">
        <v>240</v>
      </c>
      <c r="W170" s="21">
        <v>0</v>
      </c>
      <c r="X170" s="21">
        <v>0</v>
      </c>
      <c r="Y170" s="21">
        <v>0</v>
      </c>
      <c r="Z170" s="21">
        <v>0</v>
      </c>
      <c r="AA170" s="21">
        <v>18</v>
      </c>
      <c r="AB170" s="21">
        <v>1059.8399999999999</v>
      </c>
      <c r="AC170" s="21">
        <v>392310</v>
      </c>
      <c r="AD170" s="21" t="s">
        <v>189</v>
      </c>
      <c r="AE170" s="23">
        <v>46256</v>
      </c>
      <c r="AF170" s="21">
        <v>0</v>
      </c>
      <c r="AG170" s="21">
        <v>0</v>
      </c>
      <c r="AH170" s="21"/>
      <c r="AI170" s="21">
        <v>0</v>
      </c>
      <c r="AJ170" s="21"/>
      <c r="AK170" s="21"/>
      <c r="AL170" s="21"/>
      <c r="AM170" s="21">
        <v>0</v>
      </c>
      <c r="AN170" s="21">
        <v>0</v>
      </c>
      <c r="AO170" s="21">
        <v>0</v>
      </c>
      <c r="AP170" s="21">
        <v>0</v>
      </c>
      <c r="AQ170" s="21">
        <v>0</v>
      </c>
      <c r="AR170" s="21">
        <v>0</v>
      </c>
      <c r="AS170" s="21">
        <v>0</v>
      </c>
      <c r="AT170" s="21">
        <v>0</v>
      </c>
      <c r="AU170" s="21"/>
      <c r="AV170" s="21" t="s">
        <v>244</v>
      </c>
      <c r="AW170" s="21" t="s">
        <v>202</v>
      </c>
      <c r="AX170" s="21" t="s">
        <v>227</v>
      </c>
      <c r="AY170" s="21" t="s">
        <v>228</v>
      </c>
      <c r="AZ170" s="21" t="s">
        <v>169</v>
      </c>
      <c r="BA170" s="21" t="s">
        <v>175</v>
      </c>
      <c r="BB170" s="21" t="s">
        <v>159</v>
      </c>
    </row>
    <row r="171" spans="1:54" ht="15" customHeight="1" x14ac:dyDescent="0.25">
      <c r="A171" s="21"/>
      <c r="B171" s="21" t="s">
        <v>167</v>
      </c>
      <c r="C171" s="21" t="s">
        <v>534</v>
      </c>
      <c r="D171" s="23">
        <v>46256</v>
      </c>
      <c r="E171" s="21" t="s">
        <v>266</v>
      </c>
      <c r="F171" s="21" t="s">
        <v>275</v>
      </c>
      <c r="G171" s="21" t="s">
        <v>310</v>
      </c>
      <c r="H171" s="21" t="s">
        <v>272</v>
      </c>
      <c r="I171" s="21">
        <v>177</v>
      </c>
      <c r="J171" s="21">
        <v>1161.1300000000001</v>
      </c>
      <c r="K171" s="21" t="s">
        <v>168</v>
      </c>
      <c r="L171" s="21">
        <v>205520.01</v>
      </c>
      <c r="M171" s="21">
        <v>1161.1300000000001</v>
      </c>
      <c r="N171" s="21">
        <v>1161.1300000000001</v>
      </c>
      <c r="O171" s="21">
        <v>0</v>
      </c>
      <c r="P171" s="21" t="s">
        <v>237</v>
      </c>
      <c r="Q171" s="21" t="s">
        <v>250</v>
      </c>
      <c r="R171" s="21"/>
      <c r="S171" s="21"/>
      <c r="T171" s="21" t="s">
        <v>229</v>
      </c>
      <c r="U171" s="21">
        <v>1</v>
      </c>
      <c r="V171" s="21" t="s">
        <v>240</v>
      </c>
      <c r="W171" s="21">
        <v>0</v>
      </c>
      <c r="X171" s="21">
        <v>0</v>
      </c>
      <c r="Y171" s="21">
        <v>0</v>
      </c>
      <c r="Z171" s="21">
        <v>0</v>
      </c>
      <c r="AA171" s="21">
        <v>5</v>
      </c>
      <c r="AB171" s="21">
        <v>10276</v>
      </c>
      <c r="AC171" s="21">
        <v>54026930</v>
      </c>
      <c r="AD171" s="21" t="s">
        <v>189</v>
      </c>
      <c r="AE171" s="23">
        <v>46256</v>
      </c>
      <c r="AF171" s="21">
        <v>0</v>
      </c>
      <c r="AG171" s="21">
        <v>0</v>
      </c>
      <c r="AH171" s="21"/>
      <c r="AI171" s="21">
        <v>0</v>
      </c>
      <c r="AJ171" s="21"/>
      <c r="AK171" s="21"/>
      <c r="AL171" s="21"/>
      <c r="AM171" s="21">
        <v>0</v>
      </c>
      <c r="AN171" s="21">
        <v>0</v>
      </c>
      <c r="AO171" s="21">
        <v>0</v>
      </c>
      <c r="AP171" s="21">
        <v>0</v>
      </c>
      <c r="AQ171" s="21">
        <v>0</v>
      </c>
      <c r="AR171" s="21">
        <v>0</v>
      </c>
      <c r="AS171" s="21">
        <v>0</v>
      </c>
      <c r="AT171" s="21">
        <v>0</v>
      </c>
      <c r="AU171" s="21"/>
      <c r="AV171" s="21" t="s">
        <v>244</v>
      </c>
      <c r="AW171" s="21" t="s">
        <v>202</v>
      </c>
      <c r="AX171" s="21" t="s">
        <v>271</v>
      </c>
      <c r="AY171" s="21" t="s">
        <v>272</v>
      </c>
      <c r="AZ171" s="21" t="s">
        <v>169</v>
      </c>
      <c r="BA171" s="21" t="s">
        <v>170</v>
      </c>
      <c r="BB171" s="21" t="s">
        <v>157</v>
      </c>
    </row>
    <row r="172" spans="1:54" x14ac:dyDescent="0.25">
      <c r="A172" s="21"/>
      <c r="B172" s="21" t="s">
        <v>167</v>
      </c>
      <c r="C172" s="21" t="s">
        <v>534</v>
      </c>
      <c r="D172" s="23">
        <v>46256</v>
      </c>
      <c r="E172" s="21" t="s">
        <v>266</v>
      </c>
      <c r="F172" s="21" t="s">
        <v>275</v>
      </c>
      <c r="G172" s="21" t="s">
        <v>276</v>
      </c>
      <c r="H172" s="21" t="s">
        <v>274</v>
      </c>
      <c r="I172" s="21">
        <v>173</v>
      </c>
      <c r="J172" s="21">
        <v>6727.28</v>
      </c>
      <c r="K172" s="21" t="s">
        <v>168</v>
      </c>
      <c r="L172" s="21">
        <v>1163819.44</v>
      </c>
      <c r="M172" s="21">
        <v>6727.28</v>
      </c>
      <c r="N172" s="21">
        <v>6727.28</v>
      </c>
      <c r="O172" s="21">
        <v>0</v>
      </c>
      <c r="P172" s="21" t="s">
        <v>237</v>
      </c>
      <c r="Q172" s="21" t="s">
        <v>250</v>
      </c>
      <c r="R172" s="21"/>
      <c r="S172" s="21"/>
      <c r="T172" s="21" t="s">
        <v>229</v>
      </c>
      <c r="U172" s="21">
        <v>1</v>
      </c>
      <c r="V172" s="21" t="s">
        <v>240</v>
      </c>
      <c r="W172" s="21">
        <v>0</v>
      </c>
      <c r="X172" s="21">
        <v>0</v>
      </c>
      <c r="Y172" s="21">
        <v>0</v>
      </c>
      <c r="Z172" s="21">
        <v>0</v>
      </c>
      <c r="AA172" s="21">
        <v>5</v>
      </c>
      <c r="AB172" s="21">
        <v>58190.97</v>
      </c>
      <c r="AC172" s="21">
        <v>540263</v>
      </c>
      <c r="AD172" s="21" t="s">
        <v>189</v>
      </c>
      <c r="AE172" s="23">
        <v>46256</v>
      </c>
      <c r="AF172" s="21">
        <v>0</v>
      </c>
      <c r="AG172" s="21">
        <v>0</v>
      </c>
      <c r="AH172" s="21"/>
      <c r="AI172" s="21">
        <v>0</v>
      </c>
      <c r="AJ172" s="21"/>
      <c r="AK172" s="21"/>
      <c r="AL172" s="21"/>
      <c r="AM172" s="21">
        <v>0</v>
      </c>
      <c r="AN172" s="21">
        <v>0</v>
      </c>
      <c r="AO172" s="21">
        <v>0</v>
      </c>
      <c r="AP172" s="21">
        <v>0</v>
      </c>
      <c r="AQ172" s="21">
        <v>0</v>
      </c>
      <c r="AR172" s="21">
        <v>0</v>
      </c>
      <c r="AS172" s="21">
        <v>0</v>
      </c>
      <c r="AT172" s="21">
        <v>0</v>
      </c>
      <c r="AU172" s="21"/>
      <c r="AV172" s="21" t="s">
        <v>244</v>
      </c>
      <c r="AW172" s="21" t="s">
        <v>202</v>
      </c>
      <c r="AX172" s="21" t="s">
        <v>273</v>
      </c>
      <c r="AY172" s="21" t="s">
        <v>274</v>
      </c>
      <c r="AZ172" s="21" t="s">
        <v>169</v>
      </c>
      <c r="BA172" s="21" t="s">
        <v>170</v>
      </c>
      <c r="BB172" s="21" t="s">
        <v>157</v>
      </c>
    </row>
    <row r="173" spans="1:54" x14ac:dyDescent="0.25">
      <c r="A173" s="22"/>
      <c r="B173" s="21" t="s">
        <v>167</v>
      </c>
      <c r="C173" s="21">
        <v>531</v>
      </c>
      <c r="D173" s="23">
        <v>46258</v>
      </c>
      <c r="E173" s="21" t="s">
        <v>212</v>
      </c>
      <c r="F173" s="21" t="s">
        <v>251</v>
      </c>
      <c r="G173" s="21" t="s">
        <v>235</v>
      </c>
      <c r="H173" s="21" t="s">
        <v>503</v>
      </c>
      <c r="I173" s="21">
        <v>138.58000000000001</v>
      </c>
      <c r="J173" s="21">
        <v>97.2</v>
      </c>
      <c r="K173" s="21" t="s">
        <v>168</v>
      </c>
      <c r="L173" s="21">
        <v>13469.98</v>
      </c>
      <c r="M173" s="21">
        <v>97.2</v>
      </c>
      <c r="N173" s="21">
        <v>97.2</v>
      </c>
      <c r="O173" s="21">
        <v>23617.68</v>
      </c>
      <c r="P173" s="21" t="s">
        <v>181</v>
      </c>
      <c r="Q173" s="21" t="s">
        <v>181</v>
      </c>
      <c r="R173" s="21"/>
      <c r="S173" s="21"/>
      <c r="T173" s="21" t="s">
        <v>229</v>
      </c>
      <c r="U173" s="21">
        <v>1</v>
      </c>
      <c r="V173" s="21"/>
      <c r="W173" s="21">
        <v>9</v>
      </c>
      <c r="X173" s="21">
        <v>1212.3</v>
      </c>
      <c r="Y173" s="21">
        <v>9</v>
      </c>
      <c r="Z173" s="21">
        <v>1212.3</v>
      </c>
      <c r="AA173" s="21">
        <v>0</v>
      </c>
      <c r="AB173" s="21">
        <v>0</v>
      </c>
      <c r="AC173" s="21">
        <v>39269080</v>
      </c>
      <c r="AD173" s="21" t="s">
        <v>189</v>
      </c>
      <c r="AE173" s="23">
        <v>46258</v>
      </c>
      <c r="AF173" s="21">
        <v>0</v>
      </c>
      <c r="AG173" s="21">
        <v>0</v>
      </c>
      <c r="AH173" s="21"/>
      <c r="AI173" s="21">
        <v>0</v>
      </c>
      <c r="AJ173" s="21"/>
      <c r="AK173" s="21"/>
      <c r="AL173" s="21"/>
      <c r="AM173" s="21">
        <v>0</v>
      </c>
      <c r="AN173" s="21">
        <v>0</v>
      </c>
      <c r="AO173" s="21">
        <v>0</v>
      </c>
      <c r="AP173" s="21">
        <v>0</v>
      </c>
      <c r="AQ173" s="21">
        <v>0</v>
      </c>
      <c r="AR173" s="21">
        <v>0</v>
      </c>
      <c r="AS173" s="21">
        <v>0</v>
      </c>
      <c r="AT173" s="21">
        <v>0</v>
      </c>
      <c r="AU173" s="21"/>
      <c r="AV173" s="21" t="s">
        <v>236</v>
      </c>
      <c r="AW173" s="21" t="s">
        <v>202</v>
      </c>
      <c r="AX173" s="21" t="s">
        <v>180</v>
      </c>
      <c r="AY173" s="21" t="s">
        <v>181</v>
      </c>
      <c r="AZ173" s="21" t="s">
        <v>169</v>
      </c>
      <c r="BA173" s="21" t="s">
        <v>181</v>
      </c>
      <c r="BB173" s="21" t="s">
        <v>154</v>
      </c>
    </row>
    <row r="174" spans="1:54" x14ac:dyDescent="0.25">
      <c r="A174" s="22"/>
      <c r="B174" s="21" t="s">
        <v>167</v>
      </c>
      <c r="C174" s="21">
        <v>531</v>
      </c>
      <c r="D174" s="23">
        <v>46258</v>
      </c>
      <c r="E174" s="21" t="s">
        <v>212</v>
      </c>
      <c r="F174" s="21" t="s">
        <v>251</v>
      </c>
      <c r="G174" s="21" t="s">
        <v>259</v>
      </c>
      <c r="H174" s="21" t="s">
        <v>196</v>
      </c>
      <c r="I174" s="21">
        <v>275</v>
      </c>
      <c r="J174" s="21">
        <v>23.8</v>
      </c>
      <c r="K174" s="21" t="s">
        <v>168</v>
      </c>
      <c r="L174" s="21">
        <v>6545</v>
      </c>
      <c r="M174" s="21">
        <v>23.8</v>
      </c>
      <c r="N174" s="21">
        <v>23.8</v>
      </c>
      <c r="O174" s="21">
        <v>0</v>
      </c>
      <c r="P174" s="21" t="s">
        <v>181</v>
      </c>
      <c r="Q174" s="21" t="s">
        <v>237</v>
      </c>
      <c r="R174" s="21"/>
      <c r="S174" s="21"/>
      <c r="T174" s="21" t="s">
        <v>229</v>
      </c>
      <c r="U174" s="21">
        <v>1</v>
      </c>
      <c r="V174" s="21"/>
      <c r="W174" s="21">
        <v>9</v>
      </c>
      <c r="X174" s="21">
        <v>589.04999999999995</v>
      </c>
      <c r="Y174" s="21">
        <v>9</v>
      </c>
      <c r="Z174" s="21">
        <v>589.04999999999995</v>
      </c>
      <c r="AA174" s="21">
        <v>0</v>
      </c>
      <c r="AB174" s="21">
        <v>0</v>
      </c>
      <c r="AC174" s="21">
        <v>39201019</v>
      </c>
      <c r="AD174" s="21" t="s">
        <v>189</v>
      </c>
      <c r="AE174" s="23">
        <v>46258</v>
      </c>
      <c r="AF174" s="21">
        <v>0</v>
      </c>
      <c r="AG174" s="21">
        <v>0</v>
      </c>
      <c r="AH174" s="21"/>
      <c r="AI174" s="21">
        <v>0</v>
      </c>
      <c r="AJ174" s="21"/>
      <c r="AK174" s="21"/>
      <c r="AL174" s="21"/>
      <c r="AM174" s="21">
        <v>0</v>
      </c>
      <c r="AN174" s="21">
        <v>0</v>
      </c>
      <c r="AO174" s="21">
        <v>0</v>
      </c>
      <c r="AP174" s="21">
        <v>0</v>
      </c>
      <c r="AQ174" s="21">
        <v>0</v>
      </c>
      <c r="AR174" s="21">
        <v>0</v>
      </c>
      <c r="AS174" s="21">
        <v>0</v>
      </c>
      <c r="AT174" s="21">
        <v>0</v>
      </c>
      <c r="AU174" s="21"/>
      <c r="AV174" s="21" t="s">
        <v>236</v>
      </c>
      <c r="AW174" s="21" t="s">
        <v>202</v>
      </c>
      <c r="AX174" s="21" t="s">
        <v>195</v>
      </c>
      <c r="AY174" s="21" t="s">
        <v>196</v>
      </c>
      <c r="AZ174" s="21" t="s">
        <v>169</v>
      </c>
      <c r="BA174" s="21" t="s">
        <v>197</v>
      </c>
      <c r="BB174" s="21" t="s">
        <v>158</v>
      </c>
    </row>
    <row r="175" spans="1:54" x14ac:dyDescent="0.25">
      <c r="A175" s="22"/>
      <c r="B175" s="21" t="s">
        <v>167</v>
      </c>
      <c r="C175" s="21">
        <v>532</v>
      </c>
      <c r="D175" s="23">
        <v>46258</v>
      </c>
      <c r="E175" s="21" t="s">
        <v>226</v>
      </c>
      <c r="F175" s="21" t="s">
        <v>611</v>
      </c>
      <c r="G175" s="21" t="s">
        <v>590</v>
      </c>
      <c r="H175" s="21" t="s">
        <v>541</v>
      </c>
      <c r="I175" s="21">
        <v>251.48</v>
      </c>
      <c r="J175" s="21">
        <v>2971</v>
      </c>
      <c r="K175" s="21" t="s">
        <v>168</v>
      </c>
      <c r="L175" s="21">
        <v>747147.08</v>
      </c>
      <c r="M175" s="21">
        <v>2971</v>
      </c>
      <c r="N175" s="21">
        <v>2971</v>
      </c>
      <c r="O175" s="21">
        <v>4470671.3899999997</v>
      </c>
      <c r="P175" s="21" t="s">
        <v>200</v>
      </c>
      <c r="Q175" s="21" t="s">
        <v>200</v>
      </c>
      <c r="R175" s="21"/>
      <c r="S175" s="21"/>
      <c r="T175" s="21" t="s">
        <v>229</v>
      </c>
      <c r="U175" s="21">
        <v>1</v>
      </c>
      <c r="V175" s="21"/>
      <c r="W175" s="21">
        <v>9</v>
      </c>
      <c r="X175" s="21">
        <v>67243.240000000005</v>
      </c>
      <c r="Y175" s="21">
        <v>9</v>
      </c>
      <c r="Z175" s="21">
        <v>67243.240000000005</v>
      </c>
      <c r="AA175" s="21">
        <v>0</v>
      </c>
      <c r="AB175" s="21">
        <v>0</v>
      </c>
      <c r="AC175" s="21">
        <v>39232999</v>
      </c>
      <c r="AD175" s="21" t="s">
        <v>189</v>
      </c>
      <c r="AE175" s="23">
        <v>46258</v>
      </c>
      <c r="AF175" s="21">
        <v>0</v>
      </c>
      <c r="AG175" s="21">
        <v>0</v>
      </c>
      <c r="AH175" s="21"/>
      <c r="AI175" s="21">
        <v>0</v>
      </c>
      <c r="AJ175" s="21"/>
      <c r="AK175" s="21"/>
      <c r="AL175" s="21"/>
      <c r="AM175" s="21">
        <v>0</v>
      </c>
      <c r="AN175" s="21">
        <v>0</v>
      </c>
      <c r="AO175" s="21">
        <v>0</v>
      </c>
      <c r="AP175" s="21">
        <v>0</v>
      </c>
      <c r="AQ175" s="21">
        <v>0</v>
      </c>
      <c r="AR175" s="21">
        <v>0</v>
      </c>
      <c r="AS175" s="21">
        <v>0</v>
      </c>
      <c r="AT175" s="21">
        <v>0</v>
      </c>
      <c r="AU175" s="21"/>
      <c r="AV175" s="21" t="s">
        <v>252</v>
      </c>
      <c r="AW175" s="21" t="s">
        <v>202</v>
      </c>
      <c r="AX175" s="21" t="s">
        <v>190</v>
      </c>
      <c r="AY175" s="21" t="s">
        <v>191</v>
      </c>
      <c r="AZ175" s="21" t="s">
        <v>188</v>
      </c>
      <c r="BA175" s="21" t="s">
        <v>152</v>
      </c>
      <c r="BB175" s="21" t="s">
        <v>152</v>
      </c>
    </row>
    <row r="176" spans="1:54" x14ac:dyDescent="0.25">
      <c r="A176" s="22"/>
      <c r="B176" s="21" t="s">
        <v>167</v>
      </c>
      <c r="C176" s="21">
        <v>532</v>
      </c>
      <c r="D176" s="23">
        <v>46258</v>
      </c>
      <c r="E176" s="21" t="s">
        <v>226</v>
      </c>
      <c r="F176" s="21" t="s">
        <v>611</v>
      </c>
      <c r="G176" s="21" t="s">
        <v>590</v>
      </c>
      <c r="H176" s="21" t="s">
        <v>539</v>
      </c>
      <c r="I176" s="21">
        <v>188.33</v>
      </c>
      <c r="J176" s="21">
        <v>6617</v>
      </c>
      <c r="K176" s="21" t="s">
        <v>168</v>
      </c>
      <c r="L176" s="21">
        <v>1246179.6100000001</v>
      </c>
      <c r="M176" s="21">
        <v>6617</v>
      </c>
      <c r="N176" s="21">
        <v>6617</v>
      </c>
      <c r="O176" s="21">
        <v>0</v>
      </c>
      <c r="P176" s="21" t="s">
        <v>200</v>
      </c>
      <c r="Q176" s="21" t="s">
        <v>200</v>
      </c>
      <c r="R176" s="21"/>
      <c r="S176" s="21"/>
      <c r="T176" s="21" t="s">
        <v>229</v>
      </c>
      <c r="U176" s="21">
        <v>1</v>
      </c>
      <c r="V176" s="21"/>
      <c r="W176" s="21">
        <v>9</v>
      </c>
      <c r="X176" s="21">
        <v>112156.16</v>
      </c>
      <c r="Y176" s="21">
        <v>9</v>
      </c>
      <c r="Z176" s="21">
        <v>112156.16</v>
      </c>
      <c r="AA176" s="21">
        <v>0</v>
      </c>
      <c r="AB176" s="21">
        <v>0</v>
      </c>
      <c r="AC176" s="21">
        <v>39232999</v>
      </c>
      <c r="AD176" s="21" t="s">
        <v>189</v>
      </c>
      <c r="AE176" s="23">
        <v>46258</v>
      </c>
      <c r="AF176" s="21">
        <v>0</v>
      </c>
      <c r="AG176" s="21">
        <v>0</v>
      </c>
      <c r="AH176" s="21"/>
      <c r="AI176" s="21">
        <v>0</v>
      </c>
      <c r="AJ176" s="21"/>
      <c r="AK176" s="21"/>
      <c r="AL176" s="21"/>
      <c r="AM176" s="21">
        <v>0</v>
      </c>
      <c r="AN176" s="21">
        <v>0</v>
      </c>
      <c r="AO176" s="21">
        <v>0</v>
      </c>
      <c r="AP176" s="21">
        <v>0</v>
      </c>
      <c r="AQ176" s="21">
        <v>0</v>
      </c>
      <c r="AR176" s="21">
        <v>0</v>
      </c>
      <c r="AS176" s="21">
        <v>0</v>
      </c>
      <c r="AT176" s="21">
        <v>0</v>
      </c>
      <c r="AU176" s="21"/>
      <c r="AV176" s="21" t="s">
        <v>252</v>
      </c>
      <c r="AW176" s="21" t="s">
        <v>202</v>
      </c>
      <c r="AX176" s="21" t="s">
        <v>186</v>
      </c>
      <c r="AY176" s="21" t="s">
        <v>187</v>
      </c>
      <c r="AZ176" s="21" t="s">
        <v>188</v>
      </c>
      <c r="BA176" s="21" t="s">
        <v>152</v>
      </c>
      <c r="BB176" s="21" t="s">
        <v>152</v>
      </c>
    </row>
    <row r="177" spans="1:54" x14ac:dyDescent="0.25">
      <c r="A177" s="22"/>
      <c r="B177" s="21" t="s">
        <v>167</v>
      </c>
      <c r="C177" s="21">
        <v>532</v>
      </c>
      <c r="D177" s="23">
        <v>46258</v>
      </c>
      <c r="E177" s="21" t="s">
        <v>226</v>
      </c>
      <c r="F177" s="21" t="s">
        <v>611</v>
      </c>
      <c r="G177" s="21" t="s">
        <v>590</v>
      </c>
      <c r="H177" s="21" t="s">
        <v>540</v>
      </c>
      <c r="I177" s="21">
        <v>197.87</v>
      </c>
      <c r="J177" s="21">
        <v>1004</v>
      </c>
      <c r="K177" s="21" t="s">
        <v>168</v>
      </c>
      <c r="L177" s="21">
        <v>198661.48</v>
      </c>
      <c r="M177" s="21">
        <v>1004</v>
      </c>
      <c r="N177" s="21">
        <v>1004</v>
      </c>
      <c r="O177" s="21">
        <v>0</v>
      </c>
      <c r="P177" s="21" t="s">
        <v>200</v>
      </c>
      <c r="Q177" s="21" t="s">
        <v>200</v>
      </c>
      <c r="R177" s="21"/>
      <c r="S177" s="21"/>
      <c r="T177" s="21" t="s">
        <v>229</v>
      </c>
      <c r="U177" s="21">
        <v>1</v>
      </c>
      <c r="V177" s="21"/>
      <c r="W177" s="21">
        <v>9</v>
      </c>
      <c r="X177" s="21">
        <v>17879.53</v>
      </c>
      <c r="Y177" s="21">
        <v>9</v>
      </c>
      <c r="Z177" s="21">
        <v>17879.53</v>
      </c>
      <c r="AA177" s="21">
        <v>0</v>
      </c>
      <c r="AB177" s="21">
        <v>0</v>
      </c>
      <c r="AC177" s="21">
        <v>39232999</v>
      </c>
      <c r="AD177" s="21" t="s">
        <v>189</v>
      </c>
      <c r="AE177" s="23">
        <v>46258</v>
      </c>
      <c r="AF177" s="21">
        <v>0</v>
      </c>
      <c r="AG177" s="21">
        <v>0</v>
      </c>
      <c r="AH177" s="21"/>
      <c r="AI177" s="21">
        <v>0</v>
      </c>
      <c r="AJ177" s="21"/>
      <c r="AK177" s="21"/>
      <c r="AL177" s="21"/>
      <c r="AM177" s="21">
        <v>0</v>
      </c>
      <c r="AN177" s="21">
        <v>0</v>
      </c>
      <c r="AO177" s="21">
        <v>0</v>
      </c>
      <c r="AP177" s="21">
        <v>0</v>
      </c>
      <c r="AQ177" s="21">
        <v>0</v>
      </c>
      <c r="AR177" s="21">
        <v>0</v>
      </c>
      <c r="AS177" s="21">
        <v>0</v>
      </c>
      <c r="AT177" s="21">
        <v>0</v>
      </c>
      <c r="AU177" s="21"/>
      <c r="AV177" s="21" t="s">
        <v>252</v>
      </c>
      <c r="AW177" s="21" t="s">
        <v>202</v>
      </c>
      <c r="AX177" s="21" t="s">
        <v>186</v>
      </c>
      <c r="AY177" s="21" t="s">
        <v>187</v>
      </c>
      <c r="AZ177" s="21" t="s">
        <v>188</v>
      </c>
      <c r="BA177" s="21" t="s">
        <v>152</v>
      </c>
      <c r="BB177" s="21" t="s">
        <v>152</v>
      </c>
    </row>
    <row r="178" spans="1:54" x14ac:dyDescent="0.25">
      <c r="A178" s="22"/>
      <c r="B178" s="21" t="s">
        <v>167</v>
      </c>
      <c r="C178" s="21">
        <v>532</v>
      </c>
      <c r="D178" s="23">
        <v>46258</v>
      </c>
      <c r="E178" s="21" t="s">
        <v>226</v>
      </c>
      <c r="F178" s="21" t="s">
        <v>611</v>
      </c>
      <c r="G178" s="21" t="s">
        <v>590</v>
      </c>
      <c r="H178" s="21" t="s">
        <v>538</v>
      </c>
      <c r="I178" s="21">
        <v>193.3</v>
      </c>
      <c r="J178" s="21">
        <v>1705</v>
      </c>
      <c r="K178" s="21" t="s">
        <v>168</v>
      </c>
      <c r="L178" s="21">
        <v>329576.5</v>
      </c>
      <c r="M178" s="21">
        <v>1705</v>
      </c>
      <c r="N178" s="21">
        <v>1705</v>
      </c>
      <c r="O178" s="21">
        <v>0</v>
      </c>
      <c r="P178" s="21" t="s">
        <v>200</v>
      </c>
      <c r="Q178" s="21" t="s">
        <v>200</v>
      </c>
      <c r="R178" s="21"/>
      <c r="S178" s="21"/>
      <c r="T178" s="21" t="s">
        <v>229</v>
      </c>
      <c r="U178" s="21">
        <v>1</v>
      </c>
      <c r="V178" s="21"/>
      <c r="W178" s="21">
        <v>9</v>
      </c>
      <c r="X178" s="21">
        <v>29661.88</v>
      </c>
      <c r="Y178" s="21">
        <v>9</v>
      </c>
      <c r="Z178" s="21">
        <v>29661.88</v>
      </c>
      <c r="AA178" s="21">
        <v>0</v>
      </c>
      <c r="AB178" s="21">
        <v>0</v>
      </c>
      <c r="AC178" s="21">
        <v>39232999</v>
      </c>
      <c r="AD178" s="21" t="s">
        <v>189</v>
      </c>
      <c r="AE178" s="23">
        <v>46258</v>
      </c>
      <c r="AF178" s="21">
        <v>0</v>
      </c>
      <c r="AG178" s="21">
        <v>0</v>
      </c>
      <c r="AH178" s="21"/>
      <c r="AI178" s="21">
        <v>0</v>
      </c>
      <c r="AJ178" s="21"/>
      <c r="AK178" s="21"/>
      <c r="AL178" s="21"/>
      <c r="AM178" s="21">
        <v>0</v>
      </c>
      <c r="AN178" s="21">
        <v>0</v>
      </c>
      <c r="AO178" s="21">
        <v>0</v>
      </c>
      <c r="AP178" s="21">
        <v>0</v>
      </c>
      <c r="AQ178" s="21">
        <v>0</v>
      </c>
      <c r="AR178" s="21">
        <v>0</v>
      </c>
      <c r="AS178" s="21">
        <v>0</v>
      </c>
      <c r="AT178" s="21">
        <v>0</v>
      </c>
      <c r="AU178" s="21"/>
      <c r="AV178" s="21" t="s">
        <v>252</v>
      </c>
      <c r="AW178" s="21" t="s">
        <v>202</v>
      </c>
      <c r="AX178" s="21" t="s">
        <v>186</v>
      </c>
      <c r="AY178" s="21" t="s">
        <v>187</v>
      </c>
      <c r="AZ178" s="21" t="s">
        <v>188</v>
      </c>
      <c r="BA178" s="21" t="s">
        <v>152</v>
      </c>
      <c r="BB178" s="21" t="s">
        <v>152</v>
      </c>
    </row>
    <row r="179" spans="1:54" x14ac:dyDescent="0.25">
      <c r="A179" s="22"/>
      <c r="B179" s="21" t="s">
        <v>167</v>
      </c>
      <c r="C179" s="21">
        <v>532</v>
      </c>
      <c r="D179" s="23">
        <v>46258</v>
      </c>
      <c r="E179" s="21" t="s">
        <v>226</v>
      </c>
      <c r="F179" s="21" t="s">
        <v>611</v>
      </c>
      <c r="G179" s="21" t="s">
        <v>590</v>
      </c>
      <c r="H179" s="21" t="s">
        <v>542</v>
      </c>
      <c r="I179" s="21">
        <v>187.49</v>
      </c>
      <c r="J179" s="21">
        <v>1326</v>
      </c>
      <c r="K179" s="21" t="s">
        <v>168</v>
      </c>
      <c r="L179" s="21">
        <v>248611.74</v>
      </c>
      <c r="M179" s="21">
        <v>1326</v>
      </c>
      <c r="N179" s="21">
        <v>1326</v>
      </c>
      <c r="O179" s="21">
        <v>0</v>
      </c>
      <c r="P179" s="21" t="s">
        <v>200</v>
      </c>
      <c r="Q179" s="21" t="s">
        <v>200</v>
      </c>
      <c r="R179" s="21"/>
      <c r="S179" s="21"/>
      <c r="T179" s="21" t="s">
        <v>229</v>
      </c>
      <c r="U179" s="21">
        <v>1</v>
      </c>
      <c r="V179" s="21"/>
      <c r="W179" s="21">
        <v>9</v>
      </c>
      <c r="X179" s="21">
        <v>22375.06</v>
      </c>
      <c r="Y179" s="21">
        <v>9</v>
      </c>
      <c r="Z179" s="21">
        <v>22375.06</v>
      </c>
      <c r="AA179" s="21">
        <v>0</v>
      </c>
      <c r="AB179" s="21">
        <v>0</v>
      </c>
      <c r="AC179" s="21">
        <v>39232999</v>
      </c>
      <c r="AD179" s="21" t="s">
        <v>189</v>
      </c>
      <c r="AE179" s="23">
        <v>46258</v>
      </c>
      <c r="AF179" s="21">
        <v>0</v>
      </c>
      <c r="AG179" s="21">
        <v>0</v>
      </c>
      <c r="AH179" s="21"/>
      <c r="AI179" s="21">
        <v>0</v>
      </c>
      <c r="AJ179" s="21"/>
      <c r="AK179" s="21"/>
      <c r="AL179" s="21"/>
      <c r="AM179" s="21">
        <v>0</v>
      </c>
      <c r="AN179" s="21">
        <v>0</v>
      </c>
      <c r="AO179" s="21">
        <v>0</v>
      </c>
      <c r="AP179" s="21">
        <v>0</v>
      </c>
      <c r="AQ179" s="21">
        <v>0</v>
      </c>
      <c r="AR179" s="21">
        <v>0</v>
      </c>
      <c r="AS179" s="21">
        <v>0</v>
      </c>
      <c r="AT179" s="21">
        <v>0</v>
      </c>
      <c r="AU179" s="21"/>
      <c r="AV179" s="21" t="s">
        <v>252</v>
      </c>
      <c r="AW179" s="21" t="s">
        <v>202</v>
      </c>
      <c r="AX179" s="21" t="s">
        <v>186</v>
      </c>
      <c r="AY179" s="21" t="s">
        <v>187</v>
      </c>
      <c r="AZ179" s="21" t="s">
        <v>188</v>
      </c>
      <c r="BA179" s="21" t="s">
        <v>152</v>
      </c>
      <c r="BB179" s="21" t="s">
        <v>152</v>
      </c>
    </row>
    <row r="180" spans="1:54" x14ac:dyDescent="0.25">
      <c r="A180" s="22"/>
      <c r="B180" s="21" t="s">
        <v>167</v>
      </c>
      <c r="C180" s="21">
        <v>532</v>
      </c>
      <c r="D180" s="23">
        <v>46258</v>
      </c>
      <c r="E180" s="21" t="s">
        <v>226</v>
      </c>
      <c r="F180" s="21" t="s">
        <v>611</v>
      </c>
      <c r="G180" s="21" t="s">
        <v>590</v>
      </c>
      <c r="H180" s="21" t="s">
        <v>543</v>
      </c>
      <c r="I180" s="21">
        <v>185.38</v>
      </c>
      <c r="J180" s="21">
        <v>3692</v>
      </c>
      <c r="K180" s="21" t="s">
        <v>168</v>
      </c>
      <c r="L180" s="21">
        <v>684422.96</v>
      </c>
      <c r="M180" s="21">
        <v>3692</v>
      </c>
      <c r="N180" s="21">
        <v>3692</v>
      </c>
      <c r="O180" s="21">
        <v>0</v>
      </c>
      <c r="P180" s="21" t="s">
        <v>200</v>
      </c>
      <c r="Q180" s="21" t="s">
        <v>200</v>
      </c>
      <c r="R180" s="21"/>
      <c r="S180" s="21"/>
      <c r="T180" s="21" t="s">
        <v>229</v>
      </c>
      <c r="U180" s="21">
        <v>1</v>
      </c>
      <c r="V180" s="21"/>
      <c r="W180" s="21">
        <v>9</v>
      </c>
      <c r="X180" s="21">
        <v>61598.07</v>
      </c>
      <c r="Y180" s="21">
        <v>9</v>
      </c>
      <c r="Z180" s="21">
        <v>61598.07</v>
      </c>
      <c r="AA180" s="21">
        <v>0</v>
      </c>
      <c r="AB180" s="21">
        <v>0</v>
      </c>
      <c r="AC180" s="21">
        <v>39232999</v>
      </c>
      <c r="AD180" s="21" t="s">
        <v>189</v>
      </c>
      <c r="AE180" s="23">
        <v>46258</v>
      </c>
      <c r="AF180" s="21">
        <v>0</v>
      </c>
      <c r="AG180" s="21">
        <v>0</v>
      </c>
      <c r="AH180" s="21"/>
      <c r="AI180" s="21">
        <v>0</v>
      </c>
      <c r="AJ180" s="21"/>
      <c r="AK180" s="21"/>
      <c r="AL180" s="21"/>
      <c r="AM180" s="21">
        <v>0</v>
      </c>
      <c r="AN180" s="21">
        <v>0</v>
      </c>
      <c r="AO180" s="21">
        <v>0</v>
      </c>
      <c r="AP180" s="21">
        <v>0</v>
      </c>
      <c r="AQ180" s="21">
        <v>0</v>
      </c>
      <c r="AR180" s="21">
        <v>0</v>
      </c>
      <c r="AS180" s="21">
        <v>0</v>
      </c>
      <c r="AT180" s="21">
        <v>0</v>
      </c>
      <c r="AU180" s="21"/>
      <c r="AV180" s="21" t="s">
        <v>252</v>
      </c>
      <c r="AW180" s="21" t="s">
        <v>202</v>
      </c>
      <c r="AX180" s="21" t="s">
        <v>186</v>
      </c>
      <c r="AY180" s="21" t="s">
        <v>187</v>
      </c>
      <c r="AZ180" s="21" t="s">
        <v>188</v>
      </c>
      <c r="BA180" s="21" t="s">
        <v>152</v>
      </c>
      <c r="BB180" s="21" t="s">
        <v>152</v>
      </c>
    </row>
    <row r="181" spans="1:54" x14ac:dyDescent="0.25">
      <c r="A181" s="22"/>
      <c r="B181" s="21" t="s">
        <v>167</v>
      </c>
      <c r="C181" s="21">
        <v>532</v>
      </c>
      <c r="D181" s="23">
        <v>46258</v>
      </c>
      <c r="E181" s="21" t="s">
        <v>226</v>
      </c>
      <c r="F181" s="21" t="s">
        <v>611</v>
      </c>
      <c r="G181" s="21" t="s">
        <v>590</v>
      </c>
      <c r="H181" s="21" t="s">
        <v>544</v>
      </c>
      <c r="I181" s="21">
        <v>188.76</v>
      </c>
      <c r="J181" s="21">
        <v>1770</v>
      </c>
      <c r="K181" s="21" t="s">
        <v>168</v>
      </c>
      <c r="L181" s="21">
        <v>334105.2</v>
      </c>
      <c r="M181" s="21">
        <v>1770</v>
      </c>
      <c r="N181" s="21">
        <v>1770</v>
      </c>
      <c r="O181" s="21">
        <v>0</v>
      </c>
      <c r="P181" s="21" t="s">
        <v>200</v>
      </c>
      <c r="Q181" s="21" t="s">
        <v>200</v>
      </c>
      <c r="R181" s="21"/>
      <c r="S181" s="21"/>
      <c r="T181" s="21" t="s">
        <v>229</v>
      </c>
      <c r="U181" s="21">
        <v>1</v>
      </c>
      <c r="V181" s="21"/>
      <c r="W181" s="21">
        <v>9</v>
      </c>
      <c r="X181" s="21">
        <v>30069.47</v>
      </c>
      <c r="Y181" s="21">
        <v>9</v>
      </c>
      <c r="Z181" s="21">
        <v>30069.47</v>
      </c>
      <c r="AA181" s="21">
        <v>0</v>
      </c>
      <c r="AB181" s="21">
        <v>0</v>
      </c>
      <c r="AC181" s="21">
        <v>39232999</v>
      </c>
      <c r="AD181" s="21" t="s">
        <v>189</v>
      </c>
      <c r="AE181" s="23">
        <v>46258</v>
      </c>
      <c r="AF181" s="21">
        <v>0</v>
      </c>
      <c r="AG181" s="21">
        <v>0</v>
      </c>
      <c r="AH181" s="21"/>
      <c r="AI181" s="21">
        <v>0</v>
      </c>
      <c r="AJ181" s="21"/>
      <c r="AK181" s="21"/>
      <c r="AL181" s="21"/>
      <c r="AM181" s="21">
        <v>0</v>
      </c>
      <c r="AN181" s="21">
        <v>0</v>
      </c>
      <c r="AO181" s="21">
        <v>0</v>
      </c>
      <c r="AP181" s="21">
        <v>0</v>
      </c>
      <c r="AQ181" s="21">
        <v>0</v>
      </c>
      <c r="AR181" s="21">
        <v>0</v>
      </c>
      <c r="AS181" s="21">
        <v>0</v>
      </c>
      <c r="AT181" s="21">
        <v>0</v>
      </c>
      <c r="AU181" s="21"/>
      <c r="AV181" s="21" t="s">
        <v>252</v>
      </c>
      <c r="AW181" s="21" t="s">
        <v>202</v>
      </c>
      <c r="AX181" s="21" t="s">
        <v>186</v>
      </c>
      <c r="AY181" s="21" t="s">
        <v>187</v>
      </c>
      <c r="AZ181" s="21" t="s">
        <v>188</v>
      </c>
      <c r="BA181" s="21" t="s">
        <v>152</v>
      </c>
      <c r="BB181" s="21" t="s">
        <v>152</v>
      </c>
    </row>
    <row r="182" spans="1:54" x14ac:dyDescent="0.25">
      <c r="A182" s="22"/>
      <c r="B182" s="21" t="s">
        <v>167</v>
      </c>
      <c r="C182" s="21">
        <v>533</v>
      </c>
      <c r="D182" s="23">
        <v>46258</v>
      </c>
      <c r="E182" s="21" t="s">
        <v>219</v>
      </c>
      <c r="F182" s="21" t="s">
        <v>625</v>
      </c>
      <c r="G182" s="21" t="s">
        <v>233</v>
      </c>
      <c r="H182" s="21" t="s">
        <v>281</v>
      </c>
      <c r="I182" s="21">
        <v>60</v>
      </c>
      <c r="J182" s="21">
        <v>14863</v>
      </c>
      <c r="K182" s="21" t="s">
        <v>168</v>
      </c>
      <c r="L182" s="21">
        <v>891780</v>
      </c>
      <c r="M182" s="21">
        <v>14863</v>
      </c>
      <c r="N182" s="21">
        <v>14863</v>
      </c>
      <c r="O182" s="21">
        <v>1052300.3999999999</v>
      </c>
      <c r="P182" s="21" t="s">
        <v>232</v>
      </c>
      <c r="Q182" s="21" t="s">
        <v>232</v>
      </c>
      <c r="R182" s="21"/>
      <c r="S182" s="21"/>
      <c r="T182" s="21" t="s">
        <v>229</v>
      </c>
      <c r="U182" s="21">
        <v>1</v>
      </c>
      <c r="V182" s="21"/>
      <c r="W182" s="21">
        <v>0</v>
      </c>
      <c r="X182" s="21">
        <v>0</v>
      </c>
      <c r="Y182" s="21">
        <v>0</v>
      </c>
      <c r="Z182" s="21">
        <v>0</v>
      </c>
      <c r="AA182" s="21">
        <v>18</v>
      </c>
      <c r="AB182" s="21">
        <v>160520.4</v>
      </c>
      <c r="AC182" s="21">
        <v>39269080</v>
      </c>
      <c r="AD182" s="21">
        <v>472</v>
      </c>
      <c r="AE182" s="23">
        <v>46258</v>
      </c>
      <c r="AF182" s="21">
        <v>0</v>
      </c>
      <c r="AG182" s="21">
        <v>0</v>
      </c>
      <c r="AH182" s="21"/>
      <c r="AI182" s="21">
        <v>0</v>
      </c>
      <c r="AJ182" s="21"/>
      <c r="AK182" s="21"/>
      <c r="AL182" s="21"/>
      <c r="AM182" s="21">
        <v>0</v>
      </c>
      <c r="AN182" s="21">
        <v>0</v>
      </c>
      <c r="AO182" s="21">
        <v>0</v>
      </c>
      <c r="AP182" s="21">
        <v>0</v>
      </c>
      <c r="AQ182" s="21">
        <v>0</v>
      </c>
      <c r="AR182" s="21">
        <v>0</v>
      </c>
      <c r="AS182" s="21">
        <v>0</v>
      </c>
      <c r="AT182" s="21">
        <v>0</v>
      </c>
      <c r="AU182" s="21"/>
      <c r="AV182" s="21" t="s">
        <v>247</v>
      </c>
      <c r="AW182" s="21" t="s">
        <v>202</v>
      </c>
      <c r="AX182" s="21" t="s">
        <v>177</v>
      </c>
      <c r="AY182" s="21" t="s">
        <v>178</v>
      </c>
      <c r="AZ182" s="21" t="s">
        <v>169</v>
      </c>
      <c r="BA182" s="21" t="s">
        <v>179</v>
      </c>
      <c r="BB182" s="21" t="s">
        <v>156</v>
      </c>
    </row>
    <row r="183" spans="1:54" x14ac:dyDescent="0.25">
      <c r="A183" s="22"/>
      <c r="B183" s="21" t="s">
        <v>167</v>
      </c>
      <c r="C183" s="21">
        <v>534</v>
      </c>
      <c r="D183" s="23">
        <v>46259</v>
      </c>
      <c r="E183" s="21" t="s">
        <v>212</v>
      </c>
      <c r="F183" s="21" t="s">
        <v>174</v>
      </c>
      <c r="G183" s="21" t="s">
        <v>231</v>
      </c>
      <c r="H183" s="21" t="s">
        <v>183</v>
      </c>
      <c r="I183" s="21">
        <v>133.58000000000001</v>
      </c>
      <c r="J183" s="21">
        <v>690</v>
      </c>
      <c r="K183" s="21" t="s">
        <v>168</v>
      </c>
      <c r="L183" s="21">
        <v>92170.2</v>
      </c>
      <c r="M183" s="21">
        <v>690</v>
      </c>
      <c r="N183" s="21">
        <v>720</v>
      </c>
      <c r="O183" s="21">
        <v>189874.35</v>
      </c>
      <c r="P183" s="21" t="s">
        <v>232</v>
      </c>
      <c r="Q183" s="21" t="s">
        <v>232</v>
      </c>
      <c r="R183" s="21"/>
      <c r="S183" s="21"/>
      <c r="T183" s="21" t="s">
        <v>229</v>
      </c>
      <c r="U183" s="21">
        <v>1</v>
      </c>
      <c r="V183" s="21"/>
      <c r="W183" s="21">
        <v>9</v>
      </c>
      <c r="X183" s="21">
        <v>8295.32</v>
      </c>
      <c r="Y183" s="21">
        <v>9</v>
      </c>
      <c r="Z183" s="21">
        <v>8295.32</v>
      </c>
      <c r="AA183" s="21">
        <v>0</v>
      </c>
      <c r="AB183" s="21">
        <v>0</v>
      </c>
      <c r="AC183" s="21">
        <v>39269080</v>
      </c>
      <c r="AD183" s="21" t="s">
        <v>189</v>
      </c>
      <c r="AE183" s="23">
        <v>46259</v>
      </c>
      <c r="AF183" s="21">
        <v>0</v>
      </c>
      <c r="AG183" s="21">
        <v>0</v>
      </c>
      <c r="AH183" s="21"/>
      <c r="AI183" s="21">
        <v>0</v>
      </c>
      <c r="AJ183" s="21"/>
      <c r="AK183" s="21"/>
      <c r="AL183" s="21"/>
      <c r="AM183" s="21">
        <v>0</v>
      </c>
      <c r="AN183" s="21">
        <v>0</v>
      </c>
      <c r="AO183" s="21">
        <v>0</v>
      </c>
      <c r="AP183" s="21">
        <v>0</v>
      </c>
      <c r="AQ183" s="21">
        <v>0</v>
      </c>
      <c r="AR183" s="21">
        <v>0</v>
      </c>
      <c r="AS183" s="21">
        <v>0</v>
      </c>
      <c r="AT183" s="21">
        <v>0</v>
      </c>
      <c r="AU183" s="21"/>
      <c r="AV183" s="21" t="s">
        <v>236</v>
      </c>
      <c r="AW183" s="21" t="s">
        <v>202</v>
      </c>
      <c r="AX183" s="21" t="s">
        <v>182</v>
      </c>
      <c r="AY183" s="21" t="s">
        <v>183</v>
      </c>
      <c r="AZ183" s="21" t="s">
        <v>169</v>
      </c>
      <c r="BA183" s="21" t="s">
        <v>179</v>
      </c>
      <c r="BB183" s="21" t="s">
        <v>155</v>
      </c>
    </row>
    <row r="184" spans="1:54" x14ac:dyDescent="0.25">
      <c r="A184" s="22"/>
      <c r="B184" s="21" t="s">
        <v>167</v>
      </c>
      <c r="C184" s="21">
        <v>534</v>
      </c>
      <c r="D184" s="23">
        <v>46259</v>
      </c>
      <c r="E184" s="21" t="s">
        <v>212</v>
      </c>
      <c r="F184" s="21" t="s">
        <v>174</v>
      </c>
      <c r="G184" s="21" t="s">
        <v>231</v>
      </c>
      <c r="H184" s="21" t="s">
        <v>183</v>
      </c>
      <c r="I184" s="21">
        <v>133.58000000000001</v>
      </c>
      <c r="J184" s="21">
        <v>514.6</v>
      </c>
      <c r="K184" s="21" t="s">
        <v>168</v>
      </c>
      <c r="L184" s="21">
        <v>68740.27</v>
      </c>
      <c r="M184" s="21">
        <v>514.6</v>
      </c>
      <c r="N184" s="21">
        <v>536.6</v>
      </c>
      <c r="O184" s="21">
        <v>0</v>
      </c>
      <c r="P184" s="21" t="s">
        <v>232</v>
      </c>
      <c r="Q184" s="21" t="s">
        <v>232</v>
      </c>
      <c r="R184" s="21"/>
      <c r="S184" s="21"/>
      <c r="T184" s="21" t="s">
        <v>229</v>
      </c>
      <c r="U184" s="21">
        <v>1</v>
      </c>
      <c r="V184" s="21"/>
      <c r="W184" s="21">
        <v>9</v>
      </c>
      <c r="X184" s="21">
        <v>6186.62</v>
      </c>
      <c r="Y184" s="21">
        <v>9</v>
      </c>
      <c r="Z184" s="21">
        <v>6186.62</v>
      </c>
      <c r="AA184" s="21">
        <v>0</v>
      </c>
      <c r="AB184" s="21">
        <v>0</v>
      </c>
      <c r="AC184" s="21">
        <v>39269080</v>
      </c>
      <c r="AD184" s="21" t="s">
        <v>189</v>
      </c>
      <c r="AE184" s="23">
        <v>46259</v>
      </c>
      <c r="AF184" s="21">
        <v>0</v>
      </c>
      <c r="AG184" s="21">
        <v>0</v>
      </c>
      <c r="AH184" s="21"/>
      <c r="AI184" s="21">
        <v>0</v>
      </c>
      <c r="AJ184" s="21"/>
      <c r="AK184" s="21"/>
      <c r="AL184" s="21"/>
      <c r="AM184" s="21">
        <v>0</v>
      </c>
      <c r="AN184" s="21">
        <v>0</v>
      </c>
      <c r="AO184" s="21">
        <v>0</v>
      </c>
      <c r="AP184" s="21">
        <v>0</v>
      </c>
      <c r="AQ184" s="21">
        <v>0</v>
      </c>
      <c r="AR184" s="21">
        <v>0</v>
      </c>
      <c r="AS184" s="21">
        <v>0</v>
      </c>
      <c r="AT184" s="21">
        <v>0</v>
      </c>
      <c r="AU184" s="21"/>
      <c r="AV184" s="21" t="s">
        <v>236</v>
      </c>
      <c r="AW184" s="21" t="s">
        <v>202</v>
      </c>
      <c r="AX184" s="21" t="s">
        <v>182</v>
      </c>
      <c r="AY184" s="21" t="s">
        <v>183</v>
      </c>
      <c r="AZ184" s="21" t="s">
        <v>169</v>
      </c>
      <c r="BA184" s="21" t="s">
        <v>179</v>
      </c>
      <c r="BB184" s="21" t="s">
        <v>155</v>
      </c>
    </row>
    <row r="185" spans="1:54" x14ac:dyDescent="0.25">
      <c r="A185" s="22"/>
      <c r="B185" s="21" t="s">
        <v>167</v>
      </c>
      <c r="C185" s="21">
        <v>537</v>
      </c>
      <c r="D185" s="23">
        <v>46260</v>
      </c>
      <c r="E185" s="21" t="s">
        <v>212</v>
      </c>
      <c r="F185" s="21" t="s">
        <v>174</v>
      </c>
      <c r="G185" s="21" t="s">
        <v>231</v>
      </c>
      <c r="H185" s="21" t="s">
        <v>183</v>
      </c>
      <c r="I185" s="21">
        <v>133.58000000000001</v>
      </c>
      <c r="J185" s="21">
        <v>535</v>
      </c>
      <c r="K185" s="21" t="s">
        <v>168</v>
      </c>
      <c r="L185" s="21">
        <v>71465.3</v>
      </c>
      <c r="M185" s="21">
        <v>535</v>
      </c>
      <c r="N185" s="21">
        <v>559</v>
      </c>
      <c r="O185" s="21">
        <v>84329.06</v>
      </c>
      <c r="P185" s="21" t="s">
        <v>232</v>
      </c>
      <c r="Q185" s="21" t="s">
        <v>232</v>
      </c>
      <c r="R185" s="21"/>
      <c r="S185" s="21"/>
      <c r="T185" s="21" t="s">
        <v>229</v>
      </c>
      <c r="U185" s="21">
        <v>1</v>
      </c>
      <c r="V185" s="21"/>
      <c r="W185" s="21">
        <v>9</v>
      </c>
      <c r="X185" s="21">
        <v>6431.88</v>
      </c>
      <c r="Y185" s="21">
        <v>9</v>
      </c>
      <c r="Z185" s="21">
        <v>6431.88</v>
      </c>
      <c r="AA185" s="21">
        <v>0</v>
      </c>
      <c r="AB185" s="21">
        <v>0</v>
      </c>
      <c r="AC185" s="21">
        <v>39269080</v>
      </c>
      <c r="AD185" s="21" t="s">
        <v>189</v>
      </c>
      <c r="AE185" s="23">
        <v>46260</v>
      </c>
      <c r="AF185" s="21">
        <v>0</v>
      </c>
      <c r="AG185" s="21">
        <v>0</v>
      </c>
      <c r="AH185" s="21"/>
      <c r="AI185" s="21">
        <v>0</v>
      </c>
      <c r="AJ185" s="21"/>
      <c r="AK185" s="21"/>
      <c r="AL185" s="21"/>
      <c r="AM185" s="21">
        <v>0</v>
      </c>
      <c r="AN185" s="21">
        <v>0</v>
      </c>
      <c r="AO185" s="21">
        <v>0</v>
      </c>
      <c r="AP185" s="21">
        <v>0</v>
      </c>
      <c r="AQ185" s="21">
        <v>0</v>
      </c>
      <c r="AR185" s="21">
        <v>0</v>
      </c>
      <c r="AS185" s="21">
        <v>0</v>
      </c>
      <c r="AT185" s="21">
        <v>0</v>
      </c>
      <c r="AU185" s="21"/>
      <c r="AV185" s="21" t="s">
        <v>236</v>
      </c>
      <c r="AW185" s="21" t="s">
        <v>202</v>
      </c>
      <c r="AX185" s="21" t="s">
        <v>182</v>
      </c>
      <c r="AY185" s="21" t="s">
        <v>183</v>
      </c>
      <c r="AZ185" s="21" t="s">
        <v>169</v>
      </c>
      <c r="BA185" s="21" t="s">
        <v>179</v>
      </c>
      <c r="BB185" s="21" t="s">
        <v>155</v>
      </c>
    </row>
    <row r="186" spans="1:54" x14ac:dyDescent="0.25">
      <c r="A186" s="22"/>
      <c r="B186" s="21" t="s">
        <v>167</v>
      </c>
      <c r="C186" s="21">
        <v>538</v>
      </c>
      <c r="D186" s="23">
        <v>46260</v>
      </c>
      <c r="E186" s="21" t="s">
        <v>212</v>
      </c>
      <c r="F186" s="21" t="s">
        <v>194</v>
      </c>
      <c r="G186" s="21" t="s">
        <v>256</v>
      </c>
      <c r="H186" s="21" t="s">
        <v>161</v>
      </c>
      <c r="I186" s="21">
        <v>123.58</v>
      </c>
      <c r="J186" s="21">
        <v>1775</v>
      </c>
      <c r="K186" s="21" t="s">
        <v>168</v>
      </c>
      <c r="L186" s="21">
        <v>219354.5</v>
      </c>
      <c r="M186" s="21">
        <v>1775</v>
      </c>
      <c r="N186" s="21">
        <v>1775</v>
      </c>
      <c r="O186" s="21">
        <v>258838.3</v>
      </c>
      <c r="P186" s="21" t="s">
        <v>237</v>
      </c>
      <c r="Q186" s="21" t="s">
        <v>258</v>
      </c>
      <c r="R186" s="21"/>
      <c r="S186" s="21"/>
      <c r="T186" s="21" t="s">
        <v>229</v>
      </c>
      <c r="U186" s="21">
        <v>1</v>
      </c>
      <c r="V186" s="21"/>
      <c r="W186" s="21">
        <v>9</v>
      </c>
      <c r="X186" s="21">
        <v>19741.900000000001</v>
      </c>
      <c r="Y186" s="21">
        <v>9</v>
      </c>
      <c r="Z186" s="21">
        <v>19741.900000000001</v>
      </c>
      <c r="AA186" s="21">
        <v>0</v>
      </c>
      <c r="AB186" s="21">
        <v>0</v>
      </c>
      <c r="AC186" s="21">
        <v>39199090</v>
      </c>
      <c r="AD186" s="21" t="s">
        <v>189</v>
      </c>
      <c r="AE186" s="23">
        <v>46260</v>
      </c>
      <c r="AF186" s="21">
        <v>0</v>
      </c>
      <c r="AG186" s="21">
        <v>0</v>
      </c>
      <c r="AH186" s="21"/>
      <c r="AI186" s="21">
        <v>0</v>
      </c>
      <c r="AJ186" s="21"/>
      <c r="AK186" s="21"/>
      <c r="AL186" s="21"/>
      <c r="AM186" s="21">
        <v>0</v>
      </c>
      <c r="AN186" s="21">
        <v>0</v>
      </c>
      <c r="AO186" s="21">
        <v>0</v>
      </c>
      <c r="AP186" s="21">
        <v>0</v>
      </c>
      <c r="AQ186" s="21">
        <v>0</v>
      </c>
      <c r="AR186" s="21">
        <v>0</v>
      </c>
      <c r="AS186" s="21">
        <v>0</v>
      </c>
      <c r="AT186" s="21">
        <v>0</v>
      </c>
      <c r="AU186" s="21"/>
      <c r="AV186" s="21" t="s">
        <v>236</v>
      </c>
      <c r="AW186" s="21" t="s">
        <v>202</v>
      </c>
      <c r="AX186" s="21" t="s">
        <v>192</v>
      </c>
      <c r="AY186" s="21" t="s">
        <v>161</v>
      </c>
      <c r="AZ186" s="21" t="s">
        <v>169</v>
      </c>
      <c r="BA186" s="21" t="s">
        <v>193</v>
      </c>
      <c r="BB186" s="21" t="s">
        <v>161</v>
      </c>
    </row>
    <row r="187" spans="1:54" x14ac:dyDescent="0.25">
      <c r="A187" s="22"/>
      <c r="B187" s="21" t="s">
        <v>167</v>
      </c>
      <c r="C187" s="21">
        <v>539</v>
      </c>
      <c r="D187" s="23">
        <v>46260</v>
      </c>
      <c r="E187" s="21" t="s">
        <v>212</v>
      </c>
      <c r="F187" s="21" t="s">
        <v>317</v>
      </c>
      <c r="G187" s="21" t="s">
        <v>310</v>
      </c>
      <c r="H187" s="21" t="s">
        <v>272</v>
      </c>
      <c r="I187" s="21">
        <v>177</v>
      </c>
      <c r="J187" s="21">
        <v>228.9</v>
      </c>
      <c r="K187" s="21" t="s">
        <v>168</v>
      </c>
      <c r="L187" s="21">
        <v>40515.300000000003</v>
      </c>
      <c r="M187" s="21">
        <v>228.9</v>
      </c>
      <c r="N187" s="21">
        <v>228.9</v>
      </c>
      <c r="O187" s="21">
        <v>42541.06</v>
      </c>
      <c r="P187" s="21" t="s">
        <v>237</v>
      </c>
      <c r="Q187" s="21" t="s">
        <v>237</v>
      </c>
      <c r="R187" s="21"/>
      <c r="S187" s="21"/>
      <c r="T187" s="21" t="s">
        <v>229</v>
      </c>
      <c r="U187" s="21">
        <v>1</v>
      </c>
      <c r="V187" s="21"/>
      <c r="W187" s="21">
        <v>2.5</v>
      </c>
      <c r="X187" s="21">
        <v>1012.88</v>
      </c>
      <c r="Y187" s="21">
        <v>2.5</v>
      </c>
      <c r="Z187" s="21">
        <v>1012.88</v>
      </c>
      <c r="AA187" s="21">
        <v>0</v>
      </c>
      <c r="AB187" s="21">
        <v>0</v>
      </c>
      <c r="AC187" s="21">
        <v>54026930</v>
      </c>
      <c r="AD187" s="21" t="s">
        <v>189</v>
      </c>
      <c r="AE187" s="23">
        <v>46260</v>
      </c>
      <c r="AF187" s="21">
        <v>0</v>
      </c>
      <c r="AG187" s="21">
        <v>0</v>
      </c>
      <c r="AH187" s="21"/>
      <c r="AI187" s="21">
        <v>0</v>
      </c>
      <c r="AJ187" s="21"/>
      <c r="AK187" s="21"/>
      <c r="AL187" s="21"/>
      <c r="AM187" s="21">
        <v>0</v>
      </c>
      <c r="AN187" s="21">
        <v>0</v>
      </c>
      <c r="AO187" s="21">
        <v>0</v>
      </c>
      <c r="AP187" s="21">
        <v>0</v>
      </c>
      <c r="AQ187" s="21">
        <v>0</v>
      </c>
      <c r="AR187" s="21">
        <v>0</v>
      </c>
      <c r="AS187" s="21">
        <v>0</v>
      </c>
      <c r="AT187" s="21">
        <v>0</v>
      </c>
      <c r="AU187" s="21"/>
      <c r="AV187" s="21" t="s">
        <v>236</v>
      </c>
      <c r="AW187" s="21" t="s">
        <v>202</v>
      </c>
      <c r="AX187" s="21" t="s">
        <v>271</v>
      </c>
      <c r="AY187" s="21" t="s">
        <v>272</v>
      </c>
      <c r="AZ187" s="21" t="s">
        <v>169</v>
      </c>
      <c r="BA187" s="21" t="s">
        <v>170</v>
      </c>
      <c r="BB187" s="21" t="s">
        <v>157</v>
      </c>
    </row>
    <row r="188" spans="1:54" x14ac:dyDescent="0.25">
      <c r="A188" s="22"/>
      <c r="B188" s="21" t="s">
        <v>167</v>
      </c>
      <c r="C188" s="21">
        <v>540</v>
      </c>
      <c r="D188" s="23">
        <v>46260</v>
      </c>
      <c r="E188" s="21" t="s">
        <v>198</v>
      </c>
      <c r="F188" s="21" t="s">
        <v>304</v>
      </c>
      <c r="G188" s="21" t="s">
        <v>233</v>
      </c>
      <c r="H188" s="21" t="s">
        <v>178</v>
      </c>
      <c r="I188" s="21">
        <v>137.58000000000001</v>
      </c>
      <c r="J188" s="21">
        <v>346</v>
      </c>
      <c r="K188" s="21" t="s">
        <v>168</v>
      </c>
      <c r="L188" s="21">
        <v>47602.68</v>
      </c>
      <c r="M188" s="21">
        <v>346</v>
      </c>
      <c r="N188" s="21">
        <v>350</v>
      </c>
      <c r="O188" s="21">
        <v>89182.16</v>
      </c>
      <c r="P188" s="21" t="s">
        <v>232</v>
      </c>
      <c r="Q188" s="21" t="s">
        <v>232</v>
      </c>
      <c r="R188" s="21"/>
      <c r="S188" s="21"/>
      <c r="T188" s="21" t="s">
        <v>229</v>
      </c>
      <c r="U188" s="21">
        <v>1</v>
      </c>
      <c r="V188" s="21"/>
      <c r="W188" s="21">
        <v>9</v>
      </c>
      <c r="X188" s="21">
        <v>4284.24</v>
      </c>
      <c r="Y188" s="21">
        <v>9</v>
      </c>
      <c r="Z188" s="21">
        <v>4284.24</v>
      </c>
      <c r="AA188" s="21">
        <v>0</v>
      </c>
      <c r="AB188" s="21">
        <v>0</v>
      </c>
      <c r="AC188" s="21">
        <v>39269080</v>
      </c>
      <c r="AD188" s="21" t="s">
        <v>189</v>
      </c>
      <c r="AE188" s="23">
        <v>46260</v>
      </c>
      <c r="AF188" s="21">
        <v>0</v>
      </c>
      <c r="AG188" s="21">
        <v>0</v>
      </c>
      <c r="AH188" s="21"/>
      <c r="AI188" s="21">
        <v>0</v>
      </c>
      <c r="AJ188" s="21"/>
      <c r="AK188" s="21"/>
      <c r="AL188" s="21"/>
      <c r="AM188" s="21">
        <v>0</v>
      </c>
      <c r="AN188" s="21">
        <v>0</v>
      </c>
      <c r="AO188" s="21">
        <v>0</v>
      </c>
      <c r="AP188" s="21">
        <v>0</v>
      </c>
      <c r="AQ188" s="21">
        <v>0</v>
      </c>
      <c r="AR188" s="21">
        <v>0</v>
      </c>
      <c r="AS188" s="21">
        <v>0</v>
      </c>
      <c r="AT188" s="21">
        <v>0</v>
      </c>
      <c r="AU188" s="21"/>
      <c r="AV188" s="21" t="s">
        <v>230</v>
      </c>
      <c r="AW188" s="21" t="s">
        <v>202</v>
      </c>
      <c r="AX188" s="21" t="s">
        <v>177</v>
      </c>
      <c r="AY188" s="21" t="s">
        <v>178</v>
      </c>
      <c r="AZ188" s="21" t="s">
        <v>169</v>
      </c>
      <c r="BA188" s="21" t="s">
        <v>179</v>
      </c>
      <c r="BB188" s="21" t="s">
        <v>156</v>
      </c>
    </row>
    <row r="189" spans="1:54" x14ac:dyDescent="0.25">
      <c r="A189" s="22"/>
      <c r="B189" s="21" t="s">
        <v>167</v>
      </c>
      <c r="C189" s="21">
        <v>540</v>
      </c>
      <c r="D189" s="23">
        <v>46260</v>
      </c>
      <c r="E189" s="21" t="s">
        <v>198</v>
      </c>
      <c r="F189" s="21" t="s">
        <v>304</v>
      </c>
      <c r="G189" s="21" t="s">
        <v>233</v>
      </c>
      <c r="H189" s="21" t="s">
        <v>178</v>
      </c>
      <c r="I189" s="21">
        <v>140.58000000000001</v>
      </c>
      <c r="J189" s="21">
        <v>199</v>
      </c>
      <c r="K189" s="21" t="s">
        <v>168</v>
      </c>
      <c r="L189" s="21">
        <v>27975.42</v>
      </c>
      <c r="M189" s="21">
        <v>199</v>
      </c>
      <c r="N189" s="21">
        <v>209</v>
      </c>
      <c r="O189" s="21">
        <v>0</v>
      </c>
      <c r="P189" s="21" t="s">
        <v>232</v>
      </c>
      <c r="Q189" s="21" t="s">
        <v>232</v>
      </c>
      <c r="R189" s="21"/>
      <c r="S189" s="21"/>
      <c r="T189" s="21" t="s">
        <v>229</v>
      </c>
      <c r="U189" s="21">
        <v>1</v>
      </c>
      <c r="V189" s="21"/>
      <c r="W189" s="21">
        <v>9</v>
      </c>
      <c r="X189" s="21">
        <v>2517.79</v>
      </c>
      <c r="Y189" s="21">
        <v>9</v>
      </c>
      <c r="Z189" s="21">
        <v>2517.79</v>
      </c>
      <c r="AA189" s="21">
        <v>0</v>
      </c>
      <c r="AB189" s="21">
        <v>0</v>
      </c>
      <c r="AC189" s="21">
        <v>39269080</v>
      </c>
      <c r="AD189" s="21" t="s">
        <v>189</v>
      </c>
      <c r="AE189" s="23">
        <v>46260</v>
      </c>
      <c r="AF189" s="21">
        <v>0</v>
      </c>
      <c r="AG189" s="21">
        <v>0</v>
      </c>
      <c r="AH189" s="21"/>
      <c r="AI189" s="21">
        <v>0</v>
      </c>
      <c r="AJ189" s="21"/>
      <c r="AK189" s="21"/>
      <c r="AL189" s="21"/>
      <c r="AM189" s="21">
        <v>0</v>
      </c>
      <c r="AN189" s="21">
        <v>0</v>
      </c>
      <c r="AO189" s="21">
        <v>0</v>
      </c>
      <c r="AP189" s="21">
        <v>0</v>
      </c>
      <c r="AQ189" s="21">
        <v>0</v>
      </c>
      <c r="AR189" s="21">
        <v>0</v>
      </c>
      <c r="AS189" s="21">
        <v>0</v>
      </c>
      <c r="AT189" s="21">
        <v>0</v>
      </c>
      <c r="AU189" s="21"/>
      <c r="AV189" s="21" t="s">
        <v>230</v>
      </c>
      <c r="AW189" s="21" t="s">
        <v>202</v>
      </c>
      <c r="AX189" s="21" t="s">
        <v>177</v>
      </c>
      <c r="AY189" s="21" t="s">
        <v>178</v>
      </c>
      <c r="AZ189" s="21" t="s">
        <v>169</v>
      </c>
      <c r="BA189" s="21" t="s">
        <v>179</v>
      </c>
      <c r="BB189" s="21" t="s">
        <v>156</v>
      </c>
    </row>
    <row r="190" spans="1:54" x14ac:dyDescent="0.25">
      <c r="A190" s="22"/>
      <c r="B190" s="21" t="s">
        <v>167</v>
      </c>
      <c r="C190" s="21">
        <v>541</v>
      </c>
      <c r="D190" s="23">
        <v>46260</v>
      </c>
      <c r="E190" s="21" t="s">
        <v>198</v>
      </c>
      <c r="F190" s="21" t="s">
        <v>304</v>
      </c>
      <c r="G190" s="21" t="s">
        <v>233</v>
      </c>
      <c r="H190" s="21" t="s">
        <v>183</v>
      </c>
      <c r="I190" s="21">
        <v>135.58000000000001</v>
      </c>
      <c r="J190" s="21">
        <v>533.70000000000005</v>
      </c>
      <c r="K190" s="21" t="s">
        <v>168</v>
      </c>
      <c r="L190" s="21">
        <v>72359.05</v>
      </c>
      <c r="M190" s="21">
        <v>533.70000000000005</v>
      </c>
      <c r="N190" s="21">
        <v>547.70000000000005</v>
      </c>
      <c r="O190" s="21">
        <v>85383.67</v>
      </c>
      <c r="P190" s="21" t="s">
        <v>232</v>
      </c>
      <c r="Q190" s="21" t="s">
        <v>232</v>
      </c>
      <c r="R190" s="21"/>
      <c r="S190" s="21"/>
      <c r="T190" s="21" t="s">
        <v>229</v>
      </c>
      <c r="U190" s="21">
        <v>1</v>
      </c>
      <c r="V190" s="21"/>
      <c r="W190" s="21">
        <v>9</v>
      </c>
      <c r="X190" s="21">
        <v>6512.31</v>
      </c>
      <c r="Y190" s="21">
        <v>9</v>
      </c>
      <c r="Z190" s="21">
        <v>6512.31</v>
      </c>
      <c r="AA190" s="21">
        <v>0</v>
      </c>
      <c r="AB190" s="21">
        <v>0</v>
      </c>
      <c r="AC190" s="21">
        <v>39269080</v>
      </c>
      <c r="AD190" s="21" t="s">
        <v>189</v>
      </c>
      <c r="AE190" s="23">
        <v>46260</v>
      </c>
      <c r="AF190" s="21">
        <v>0</v>
      </c>
      <c r="AG190" s="21">
        <v>0</v>
      </c>
      <c r="AH190" s="21"/>
      <c r="AI190" s="21">
        <v>0</v>
      </c>
      <c r="AJ190" s="21"/>
      <c r="AK190" s="21"/>
      <c r="AL190" s="21"/>
      <c r="AM190" s="21">
        <v>0</v>
      </c>
      <c r="AN190" s="21">
        <v>0</v>
      </c>
      <c r="AO190" s="21">
        <v>0</v>
      </c>
      <c r="AP190" s="21">
        <v>0</v>
      </c>
      <c r="AQ190" s="21">
        <v>0</v>
      </c>
      <c r="AR190" s="21">
        <v>0</v>
      </c>
      <c r="AS190" s="21">
        <v>0</v>
      </c>
      <c r="AT190" s="21">
        <v>0</v>
      </c>
      <c r="AU190" s="21"/>
      <c r="AV190" s="21" t="s">
        <v>230</v>
      </c>
      <c r="AW190" s="21" t="s">
        <v>202</v>
      </c>
      <c r="AX190" s="21" t="s">
        <v>177</v>
      </c>
      <c r="AY190" s="21" t="s">
        <v>178</v>
      </c>
      <c r="AZ190" s="21" t="s">
        <v>169</v>
      </c>
      <c r="BA190" s="21" t="s">
        <v>179</v>
      </c>
      <c r="BB190" s="21" t="s">
        <v>155</v>
      </c>
    </row>
    <row r="191" spans="1:54" x14ac:dyDescent="0.25">
      <c r="A191" s="22"/>
      <c r="B191" s="21" t="s">
        <v>167</v>
      </c>
      <c r="C191" s="21">
        <v>543</v>
      </c>
      <c r="D191" s="23">
        <v>46260</v>
      </c>
      <c r="E191" s="21" t="s">
        <v>198</v>
      </c>
      <c r="F191" s="21" t="s">
        <v>263</v>
      </c>
      <c r="G191" s="21" t="s">
        <v>259</v>
      </c>
      <c r="H191" s="21" t="s">
        <v>196</v>
      </c>
      <c r="I191" s="21">
        <v>260</v>
      </c>
      <c r="J191" s="21">
        <v>35.5</v>
      </c>
      <c r="K191" s="21" t="s">
        <v>168</v>
      </c>
      <c r="L191" s="21">
        <v>9230</v>
      </c>
      <c r="M191" s="21">
        <v>35.5</v>
      </c>
      <c r="N191" s="21">
        <v>35.5</v>
      </c>
      <c r="O191" s="21">
        <v>10891.4</v>
      </c>
      <c r="P191" s="21" t="s">
        <v>237</v>
      </c>
      <c r="Q191" s="21" t="s">
        <v>237</v>
      </c>
      <c r="R191" s="21"/>
      <c r="S191" s="21"/>
      <c r="T191" s="21" t="s">
        <v>229</v>
      </c>
      <c r="U191" s="21">
        <v>1</v>
      </c>
      <c r="V191" s="21"/>
      <c r="W191" s="21">
        <v>9</v>
      </c>
      <c r="X191" s="21">
        <v>830.7</v>
      </c>
      <c r="Y191" s="21">
        <v>9</v>
      </c>
      <c r="Z191" s="21">
        <v>830.7</v>
      </c>
      <c r="AA191" s="21">
        <v>0</v>
      </c>
      <c r="AB191" s="21">
        <v>0</v>
      </c>
      <c r="AC191" s="21">
        <v>39201019</v>
      </c>
      <c r="AD191" s="21" t="s">
        <v>189</v>
      </c>
      <c r="AE191" s="23">
        <v>46260</v>
      </c>
      <c r="AF191" s="21">
        <v>0</v>
      </c>
      <c r="AG191" s="21">
        <v>0</v>
      </c>
      <c r="AH191" s="21"/>
      <c r="AI191" s="21">
        <v>0</v>
      </c>
      <c r="AJ191" s="21"/>
      <c r="AK191" s="21"/>
      <c r="AL191" s="21"/>
      <c r="AM191" s="21">
        <v>0</v>
      </c>
      <c r="AN191" s="21">
        <v>0</v>
      </c>
      <c r="AO191" s="21">
        <v>0</v>
      </c>
      <c r="AP191" s="21">
        <v>0</v>
      </c>
      <c r="AQ191" s="21">
        <v>0</v>
      </c>
      <c r="AR191" s="21">
        <v>0</v>
      </c>
      <c r="AS191" s="21">
        <v>0</v>
      </c>
      <c r="AT191" s="21">
        <v>0</v>
      </c>
      <c r="AU191" s="21"/>
      <c r="AV191" s="21" t="s">
        <v>230</v>
      </c>
      <c r="AW191" s="21" t="s">
        <v>202</v>
      </c>
      <c r="AX191" s="21" t="s">
        <v>195</v>
      </c>
      <c r="AY191" s="21" t="s">
        <v>196</v>
      </c>
      <c r="AZ191" s="21" t="s">
        <v>169</v>
      </c>
      <c r="BA191" s="21" t="s">
        <v>197</v>
      </c>
      <c r="BB191" s="21" t="s">
        <v>158</v>
      </c>
    </row>
    <row r="192" spans="1:54" x14ac:dyDescent="0.25">
      <c r="A192" s="22"/>
      <c r="B192" s="21" t="s">
        <v>167</v>
      </c>
      <c r="C192" s="21" t="s">
        <v>552</v>
      </c>
      <c r="D192" s="23">
        <v>46260</v>
      </c>
      <c r="E192" s="21" t="s">
        <v>204</v>
      </c>
      <c r="F192" s="21" t="s">
        <v>194</v>
      </c>
      <c r="G192" s="21" t="s">
        <v>309</v>
      </c>
      <c r="H192" s="21" t="s">
        <v>554</v>
      </c>
      <c r="I192" s="21">
        <v>2</v>
      </c>
      <c r="J192" s="21">
        <v>2486.9499999999998</v>
      </c>
      <c r="K192" s="21" t="s">
        <v>168</v>
      </c>
      <c r="L192" s="21">
        <v>460085.74999999901</v>
      </c>
      <c r="M192" s="21">
        <v>2486.9499999999998</v>
      </c>
      <c r="N192" s="21">
        <v>2486.9499999999998</v>
      </c>
      <c r="O192" s="21">
        <v>460085.74999999901</v>
      </c>
      <c r="P192" s="21" t="s">
        <v>200</v>
      </c>
      <c r="Q192" s="21" t="s">
        <v>200</v>
      </c>
      <c r="R192" s="21"/>
      <c r="S192" s="21"/>
      <c r="T192" s="21" t="s">
        <v>242</v>
      </c>
      <c r="U192" s="21">
        <v>92.5</v>
      </c>
      <c r="V192" s="21" t="s">
        <v>240</v>
      </c>
      <c r="W192" s="21"/>
      <c r="X192" s="21"/>
      <c r="Y192" s="21"/>
      <c r="Z192" s="21"/>
      <c r="AA192" s="21">
        <v>18</v>
      </c>
      <c r="AB192" s="21">
        <v>895.3</v>
      </c>
      <c r="AC192" s="21">
        <v>63053200</v>
      </c>
      <c r="AD192" s="21">
        <v>34</v>
      </c>
      <c r="AE192" s="23">
        <v>46260</v>
      </c>
      <c r="AF192" s="21">
        <v>4973.8999999999996</v>
      </c>
      <c r="AG192" s="21">
        <v>460085.74999999901</v>
      </c>
      <c r="AH192" s="21" t="s">
        <v>243</v>
      </c>
      <c r="AI192" s="21">
        <v>4973.8999999999996</v>
      </c>
      <c r="AJ192" s="21"/>
      <c r="AK192" s="21"/>
      <c r="AL192" s="21">
        <v>6220250</v>
      </c>
      <c r="AM192" s="21">
        <v>0</v>
      </c>
      <c r="AN192" s="21">
        <v>0</v>
      </c>
      <c r="AO192" s="21">
        <v>0</v>
      </c>
      <c r="AP192" s="21">
        <v>0</v>
      </c>
      <c r="AQ192" s="21">
        <v>0</v>
      </c>
      <c r="AR192" s="21">
        <v>0</v>
      </c>
      <c r="AS192" s="21">
        <v>0</v>
      </c>
      <c r="AT192" s="21">
        <v>0</v>
      </c>
      <c r="AU192" s="21"/>
      <c r="AV192" s="21" t="s">
        <v>244</v>
      </c>
      <c r="AW192" s="21" t="s">
        <v>202</v>
      </c>
      <c r="AX192" s="21" t="s">
        <v>190</v>
      </c>
      <c r="AY192" s="21" t="s">
        <v>191</v>
      </c>
      <c r="AZ192" s="21" t="s">
        <v>188</v>
      </c>
      <c r="BA192" s="21" t="s">
        <v>152</v>
      </c>
      <c r="BB192" s="21" t="s">
        <v>162</v>
      </c>
    </row>
    <row r="193" spans="1:54" x14ac:dyDescent="0.25">
      <c r="A193" s="22"/>
      <c r="B193" s="21" t="s">
        <v>167</v>
      </c>
      <c r="C193" s="21" t="s">
        <v>555</v>
      </c>
      <c r="D193" s="23">
        <v>46260</v>
      </c>
      <c r="E193" s="21" t="s">
        <v>204</v>
      </c>
      <c r="F193" s="21" t="s">
        <v>194</v>
      </c>
      <c r="G193" s="21" t="s">
        <v>309</v>
      </c>
      <c r="H193" s="21" t="s">
        <v>557</v>
      </c>
      <c r="I193" s="21">
        <v>2</v>
      </c>
      <c r="J193" s="21">
        <v>1048</v>
      </c>
      <c r="K193" s="21" t="s">
        <v>168</v>
      </c>
      <c r="L193" s="21">
        <v>197652.8</v>
      </c>
      <c r="M193" s="21">
        <v>1048</v>
      </c>
      <c r="N193" s="21">
        <v>1264.05</v>
      </c>
      <c r="O193" s="21">
        <v>197652.8</v>
      </c>
      <c r="P193" s="21" t="s">
        <v>200</v>
      </c>
      <c r="Q193" s="21" t="s">
        <v>200</v>
      </c>
      <c r="R193" s="21"/>
      <c r="S193" s="21"/>
      <c r="T193" s="21" t="s">
        <v>242</v>
      </c>
      <c r="U193" s="21">
        <v>94.3</v>
      </c>
      <c r="V193" s="21" t="s">
        <v>240</v>
      </c>
      <c r="W193" s="21"/>
      <c r="X193" s="21"/>
      <c r="Y193" s="21"/>
      <c r="Z193" s="21"/>
      <c r="AA193" s="21">
        <v>18</v>
      </c>
      <c r="AB193" s="21">
        <v>377.28</v>
      </c>
      <c r="AC193" s="21">
        <v>63053200</v>
      </c>
      <c r="AD193" s="21">
        <v>34</v>
      </c>
      <c r="AE193" s="23">
        <v>46260</v>
      </c>
      <c r="AF193" s="21">
        <v>2528.1</v>
      </c>
      <c r="AG193" s="21">
        <v>238399.83</v>
      </c>
      <c r="AH193" s="21" t="s">
        <v>243</v>
      </c>
      <c r="AI193" s="21">
        <v>2528.1</v>
      </c>
      <c r="AJ193" s="21"/>
      <c r="AK193" s="21"/>
      <c r="AL193" s="21">
        <v>6220250</v>
      </c>
      <c r="AM193" s="21">
        <v>0</v>
      </c>
      <c r="AN193" s="21">
        <v>0</v>
      </c>
      <c r="AO193" s="21">
        <v>0</v>
      </c>
      <c r="AP193" s="21">
        <v>0</v>
      </c>
      <c r="AQ193" s="21">
        <v>0</v>
      </c>
      <c r="AR193" s="21">
        <v>0</v>
      </c>
      <c r="AS193" s="21">
        <v>0</v>
      </c>
      <c r="AT193" s="21">
        <v>0</v>
      </c>
      <c r="AU193" s="21"/>
      <c r="AV193" s="21" t="s">
        <v>244</v>
      </c>
      <c r="AW193" s="21" t="s">
        <v>202</v>
      </c>
      <c r="AX193" s="21" t="s">
        <v>186</v>
      </c>
      <c r="AY193" s="21" t="s">
        <v>187</v>
      </c>
      <c r="AZ193" s="21" t="s">
        <v>188</v>
      </c>
      <c r="BA193" s="21" t="s">
        <v>152</v>
      </c>
      <c r="BB193" s="21" t="s">
        <v>162</v>
      </c>
    </row>
    <row r="194" spans="1:54" x14ac:dyDescent="0.25">
      <c r="A194" s="22"/>
      <c r="B194" s="21" t="s">
        <v>167</v>
      </c>
      <c r="C194" s="21" t="s">
        <v>555</v>
      </c>
      <c r="D194" s="23">
        <v>46260</v>
      </c>
      <c r="E194" s="21" t="s">
        <v>204</v>
      </c>
      <c r="F194" s="21" t="s">
        <v>194</v>
      </c>
      <c r="G194" s="21" t="s">
        <v>309</v>
      </c>
      <c r="H194" s="21" t="s">
        <v>556</v>
      </c>
      <c r="I194" s="21">
        <v>2</v>
      </c>
      <c r="J194" s="21">
        <v>216.05</v>
      </c>
      <c r="K194" s="21" t="s">
        <v>168</v>
      </c>
      <c r="L194" s="21">
        <v>40747.03</v>
      </c>
      <c r="M194" s="21">
        <v>216.05</v>
      </c>
      <c r="N194" s="21">
        <v>1264.05</v>
      </c>
      <c r="O194" s="21">
        <v>0</v>
      </c>
      <c r="P194" s="21" t="s">
        <v>200</v>
      </c>
      <c r="Q194" s="21" t="s">
        <v>200</v>
      </c>
      <c r="R194" s="21"/>
      <c r="S194" s="21"/>
      <c r="T194" s="21" t="s">
        <v>242</v>
      </c>
      <c r="U194" s="21">
        <v>94.3</v>
      </c>
      <c r="V194" s="21" t="s">
        <v>240</v>
      </c>
      <c r="W194" s="21"/>
      <c r="X194" s="21"/>
      <c r="Y194" s="21"/>
      <c r="Z194" s="21"/>
      <c r="AA194" s="21">
        <v>18</v>
      </c>
      <c r="AB194" s="21">
        <v>77.78</v>
      </c>
      <c r="AC194" s="21">
        <v>63053200</v>
      </c>
      <c r="AD194" s="21">
        <v>34</v>
      </c>
      <c r="AE194" s="23">
        <v>46260</v>
      </c>
      <c r="AF194" s="21">
        <v>0</v>
      </c>
      <c r="AG194" s="21">
        <v>0</v>
      </c>
      <c r="AH194" s="21" t="s">
        <v>243</v>
      </c>
      <c r="AI194" s="21">
        <v>2528.1</v>
      </c>
      <c r="AJ194" s="21"/>
      <c r="AK194" s="21"/>
      <c r="AL194" s="21">
        <v>6220250</v>
      </c>
      <c r="AM194" s="21">
        <v>0</v>
      </c>
      <c r="AN194" s="21">
        <v>0</v>
      </c>
      <c r="AO194" s="21">
        <v>0</v>
      </c>
      <c r="AP194" s="21">
        <v>0</v>
      </c>
      <c r="AQ194" s="21">
        <v>0</v>
      </c>
      <c r="AR194" s="21">
        <v>0</v>
      </c>
      <c r="AS194" s="21">
        <v>0</v>
      </c>
      <c r="AT194" s="21">
        <v>0</v>
      </c>
      <c r="AU194" s="21"/>
      <c r="AV194" s="21" t="s">
        <v>244</v>
      </c>
      <c r="AW194" s="21" t="s">
        <v>202</v>
      </c>
      <c r="AX194" s="21" t="s">
        <v>190</v>
      </c>
      <c r="AY194" s="21" t="s">
        <v>191</v>
      </c>
      <c r="AZ194" s="21" t="s">
        <v>188</v>
      </c>
      <c r="BA194" s="21" t="s">
        <v>152</v>
      </c>
      <c r="BB194" s="21" t="s">
        <v>162</v>
      </c>
    </row>
    <row r="195" spans="1:54" x14ac:dyDescent="0.25">
      <c r="A195" s="22"/>
      <c r="B195" s="21" t="s">
        <v>167</v>
      </c>
      <c r="C195" s="21">
        <v>544</v>
      </c>
      <c r="D195" s="23">
        <v>46261</v>
      </c>
      <c r="E195" s="21" t="s">
        <v>212</v>
      </c>
      <c r="F195" s="21" t="s">
        <v>626</v>
      </c>
      <c r="G195" s="21" t="s">
        <v>231</v>
      </c>
      <c r="H195" s="21" t="s">
        <v>183</v>
      </c>
      <c r="I195" s="21">
        <v>133.58000000000001</v>
      </c>
      <c r="J195" s="21">
        <v>330.6</v>
      </c>
      <c r="K195" s="21" t="s">
        <v>168</v>
      </c>
      <c r="L195" s="21">
        <v>44161.55</v>
      </c>
      <c r="M195" s="21">
        <v>330.6</v>
      </c>
      <c r="N195" s="21">
        <v>347.6</v>
      </c>
      <c r="O195" s="21">
        <v>52110.63</v>
      </c>
      <c r="P195" s="21" t="s">
        <v>232</v>
      </c>
      <c r="Q195" s="21" t="s">
        <v>232</v>
      </c>
      <c r="R195" s="21"/>
      <c r="S195" s="21"/>
      <c r="T195" s="21" t="s">
        <v>229</v>
      </c>
      <c r="U195" s="21">
        <v>1</v>
      </c>
      <c r="V195" s="21"/>
      <c r="W195" s="21">
        <v>9</v>
      </c>
      <c r="X195" s="21">
        <v>3974.54</v>
      </c>
      <c r="Y195" s="21">
        <v>9</v>
      </c>
      <c r="Z195" s="21">
        <v>3974.54</v>
      </c>
      <c r="AA195" s="21">
        <v>0</v>
      </c>
      <c r="AB195" s="21">
        <v>0</v>
      </c>
      <c r="AC195" s="21">
        <v>39269080</v>
      </c>
      <c r="AD195" s="21" t="s">
        <v>189</v>
      </c>
      <c r="AE195" s="23">
        <v>46261</v>
      </c>
      <c r="AF195" s="21">
        <v>0</v>
      </c>
      <c r="AG195" s="21">
        <v>0</v>
      </c>
      <c r="AH195" s="21"/>
      <c r="AI195" s="21">
        <v>0</v>
      </c>
      <c r="AJ195" s="21"/>
      <c r="AK195" s="21"/>
      <c r="AL195" s="21"/>
      <c r="AM195" s="21">
        <v>0</v>
      </c>
      <c r="AN195" s="21">
        <v>0</v>
      </c>
      <c r="AO195" s="21">
        <v>0</v>
      </c>
      <c r="AP195" s="21">
        <v>0</v>
      </c>
      <c r="AQ195" s="21">
        <v>0</v>
      </c>
      <c r="AR195" s="21">
        <v>0</v>
      </c>
      <c r="AS195" s="21">
        <v>0</v>
      </c>
      <c r="AT195" s="21">
        <v>0</v>
      </c>
      <c r="AU195" s="21"/>
      <c r="AV195" s="21" t="s">
        <v>236</v>
      </c>
      <c r="AW195" s="21" t="s">
        <v>202</v>
      </c>
      <c r="AX195" s="21" t="s">
        <v>182</v>
      </c>
      <c r="AY195" s="21" t="s">
        <v>183</v>
      </c>
      <c r="AZ195" s="21" t="s">
        <v>169</v>
      </c>
      <c r="BA195" s="21" t="s">
        <v>179</v>
      </c>
      <c r="BB195" s="21" t="s">
        <v>155</v>
      </c>
    </row>
    <row r="196" spans="1:54" ht="15" customHeight="1" x14ac:dyDescent="0.25">
      <c r="A196" s="21"/>
      <c r="B196" s="21" t="s">
        <v>167</v>
      </c>
      <c r="C196" s="21">
        <v>546</v>
      </c>
      <c r="D196" s="23">
        <v>46261</v>
      </c>
      <c r="E196" s="21" t="s">
        <v>293</v>
      </c>
      <c r="F196" s="21" t="s">
        <v>627</v>
      </c>
      <c r="G196" s="21" t="s">
        <v>590</v>
      </c>
      <c r="H196" s="21" t="s">
        <v>566</v>
      </c>
      <c r="I196" s="21">
        <v>650</v>
      </c>
      <c r="J196" s="21">
        <v>500</v>
      </c>
      <c r="K196" s="21" t="s">
        <v>224</v>
      </c>
      <c r="L196" s="21">
        <v>325000</v>
      </c>
      <c r="M196" s="21">
        <v>1386</v>
      </c>
      <c r="N196" s="21">
        <v>1386</v>
      </c>
      <c r="O196" s="21">
        <v>409460</v>
      </c>
      <c r="P196" s="21" t="s">
        <v>200</v>
      </c>
      <c r="Q196" s="21" t="s">
        <v>200</v>
      </c>
      <c r="R196" s="21"/>
      <c r="S196" s="21"/>
      <c r="T196" s="21" t="s">
        <v>229</v>
      </c>
      <c r="U196" s="21">
        <v>1</v>
      </c>
      <c r="V196" s="21"/>
      <c r="W196" s="21">
        <v>0</v>
      </c>
      <c r="X196" s="21">
        <v>0</v>
      </c>
      <c r="Y196" s="21">
        <v>0</v>
      </c>
      <c r="Z196" s="21">
        <v>0</v>
      </c>
      <c r="AA196" s="21">
        <v>18</v>
      </c>
      <c r="AB196" s="21">
        <v>58500</v>
      </c>
      <c r="AC196" s="21">
        <v>39232999</v>
      </c>
      <c r="AD196" s="21">
        <v>104</v>
      </c>
      <c r="AE196" s="23">
        <v>46261</v>
      </c>
      <c r="AF196" s="21">
        <v>0</v>
      </c>
      <c r="AG196" s="21">
        <v>0</v>
      </c>
      <c r="AH196" s="21"/>
      <c r="AI196" s="21">
        <v>0</v>
      </c>
      <c r="AJ196" s="21"/>
      <c r="AK196" s="21"/>
      <c r="AL196" s="21"/>
      <c r="AM196" s="21">
        <v>0</v>
      </c>
      <c r="AN196" s="21">
        <v>0</v>
      </c>
      <c r="AO196" s="21">
        <v>22000</v>
      </c>
      <c r="AP196" s="21">
        <v>0</v>
      </c>
      <c r="AQ196" s="21">
        <v>0</v>
      </c>
      <c r="AR196" s="21">
        <v>0</v>
      </c>
      <c r="AS196" s="21">
        <v>0</v>
      </c>
      <c r="AT196" s="21">
        <v>0</v>
      </c>
      <c r="AU196" s="21"/>
      <c r="AV196" s="21" t="s">
        <v>307</v>
      </c>
      <c r="AW196" s="21" t="s">
        <v>202</v>
      </c>
      <c r="AX196" s="21" t="s">
        <v>190</v>
      </c>
      <c r="AY196" s="21" t="s">
        <v>191</v>
      </c>
      <c r="AZ196" s="21" t="s">
        <v>188</v>
      </c>
      <c r="BA196" s="21" t="s">
        <v>152</v>
      </c>
      <c r="BB196" s="21" t="s">
        <v>152</v>
      </c>
    </row>
    <row r="197" spans="1:54" x14ac:dyDescent="0.25">
      <c r="A197" s="22"/>
      <c r="B197" s="21" t="s">
        <v>167</v>
      </c>
      <c r="C197" s="21">
        <v>549</v>
      </c>
      <c r="D197" s="23">
        <v>46262</v>
      </c>
      <c r="E197" s="21" t="s">
        <v>212</v>
      </c>
      <c r="F197" s="21" t="s">
        <v>311</v>
      </c>
      <c r="G197" s="21" t="s">
        <v>590</v>
      </c>
      <c r="H197" s="21" t="s">
        <v>568</v>
      </c>
      <c r="I197" s="21">
        <v>584</v>
      </c>
      <c r="J197" s="21">
        <v>500</v>
      </c>
      <c r="K197" s="21" t="s">
        <v>224</v>
      </c>
      <c r="L197" s="21">
        <v>292000</v>
      </c>
      <c r="M197" s="21">
        <v>1493</v>
      </c>
      <c r="N197" s="21">
        <v>1493</v>
      </c>
      <c r="O197" s="21">
        <v>344560</v>
      </c>
      <c r="P197" s="21" t="s">
        <v>200</v>
      </c>
      <c r="Q197" s="21" t="s">
        <v>200</v>
      </c>
      <c r="R197" s="21"/>
      <c r="S197" s="21"/>
      <c r="T197" s="21" t="s">
        <v>229</v>
      </c>
      <c r="U197" s="21">
        <v>1</v>
      </c>
      <c r="V197" s="21"/>
      <c r="W197" s="21">
        <v>9</v>
      </c>
      <c r="X197" s="21">
        <v>26280</v>
      </c>
      <c r="Y197" s="21">
        <v>9</v>
      </c>
      <c r="Z197" s="21">
        <v>26280</v>
      </c>
      <c r="AA197" s="21">
        <v>0</v>
      </c>
      <c r="AB197" s="21">
        <v>0</v>
      </c>
      <c r="AC197" s="21">
        <v>39232999</v>
      </c>
      <c r="AD197" s="21" t="s">
        <v>189</v>
      </c>
      <c r="AE197" s="23">
        <v>46262</v>
      </c>
      <c r="AF197" s="21">
        <v>0</v>
      </c>
      <c r="AG197" s="21">
        <v>0</v>
      </c>
      <c r="AH197" s="21"/>
      <c r="AI197" s="21">
        <v>0</v>
      </c>
      <c r="AJ197" s="21"/>
      <c r="AK197" s="21"/>
      <c r="AL197" s="21"/>
      <c r="AM197" s="21">
        <v>0</v>
      </c>
      <c r="AN197" s="21">
        <v>0</v>
      </c>
      <c r="AO197" s="21">
        <v>0</v>
      </c>
      <c r="AP197" s="21">
        <v>0</v>
      </c>
      <c r="AQ197" s="21">
        <v>0</v>
      </c>
      <c r="AR197" s="21">
        <v>0</v>
      </c>
      <c r="AS197" s="21">
        <v>0</v>
      </c>
      <c r="AT197" s="21">
        <v>0</v>
      </c>
      <c r="AU197" s="21"/>
      <c r="AV197" s="21" t="s">
        <v>236</v>
      </c>
      <c r="AW197" s="21" t="s">
        <v>202</v>
      </c>
      <c r="AX197" s="21" t="s">
        <v>186</v>
      </c>
      <c r="AY197" s="21" t="s">
        <v>187</v>
      </c>
      <c r="AZ197" s="21" t="s">
        <v>188</v>
      </c>
      <c r="BA197" s="21" t="s">
        <v>152</v>
      </c>
      <c r="BB197" s="21" t="s">
        <v>152</v>
      </c>
    </row>
    <row r="198" spans="1:54" x14ac:dyDescent="0.25">
      <c r="A198" s="22"/>
      <c r="B198" s="21" t="s">
        <v>167</v>
      </c>
      <c r="C198" s="21">
        <v>550</v>
      </c>
      <c r="D198" s="23">
        <v>46262</v>
      </c>
      <c r="E198" s="21" t="s">
        <v>212</v>
      </c>
      <c r="F198" s="21" t="s">
        <v>174</v>
      </c>
      <c r="G198" s="21" t="s">
        <v>231</v>
      </c>
      <c r="H198" s="21" t="s">
        <v>183</v>
      </c>
      <c r="I198" s="21">
        <v>133.58000000000001</v>
      </c>
      <c r="J198" s="21">
        <v>629</v>
      </c>
      <c r="K198" s="21" t="s">
        <v>168</v>
      </c>
      <c r="L198" s="21">
        <v>84021.82</v>
      </c>
      <c r="M198" s="21">
        <v>629</v>
      </c>
      <c r="N198" s="21">
        <v>629</v>
      </c>
      <c r="O198" s="21">
        <v>99145.74</v>
      </c>
      <c r="P198" s="21" t="s">
        <v>232</v>
      </c>
      <c r="Q198" s="21" t="s">
        <v>232</v>
      </c>
      <c r="R198" s="21"/>
      <c r="S198" s="21"/>
      <c r="T198" s="21" t="s">
        <v>229</v>
      </c>
      <c r="U198" s="21">
        <v>1</v>
      </c>
      <c r="V198" s="21"/>
      <c r="W198" s="21">
        <v>9</v>
      </c>
      <c r="X198" s="21">
        <v>7561.96</v>
      </c>
      <c r="Y198" s="21">
        <v>9</v>
      </c>
      <c r="Z198" s="21">
        <v>7561.96</v>
      </c>
      <c r="AA198" s="21">
        <v>0</v>
      </c>
      <c r="AB198" s="21">
        <v>0</v>
      </c>
      <c r="AC198" s="21">
        <v>39269080</v>
      </c>
      <c r="AD198" s="21" t="s">
        <v>189</v>
      </c>
      <c r="AE198" s="23">
        <v>46262</v>
      </c>
      <c r="AF198" s="21">
        <v>0</v>
      </c>
      <c r="AG198" s="21">
        <v>0</v>
      </c>
      <c r="AH198" s="21"/>
      <c r="AI198" s="21">
        <v>0</v>
      </c>
      <c r="AJ198" s="21"/>
      <c r="AK198" s="21"/>
      <c r="AL198" s="21"/>
      <c r="AM198" s="21">
        <v>0</v>
      </c>
      <c r="AN198" s="21">
        <v>0</v>
      </c>
      <c r="AO198" s="21">
        <v>0</v>
      </c>
      <c r="AP198" s="21">
        <v>0</v>
      </c>
      <c r="AQ198" s="21">
        <v>0</v>
      </c>
      <c r="AR198" s="21">
        <v>0</v>
      </c>
      <c r="AS198" s="21">
        <v>0</v>
      </c>
      <c r="AT198" s="21">
        <v>0</v>
      </c>
      <c r="AU198" s="21"/>
      <c r="AV198" s="21" t="s">
        <v>236</v>
      </c>
      <c r="AW198" s="21" t="s">
        <v>202</v>
      </c>
      <c r="AX198" s="21" t="s">
        <v>182</v>
      </c>
      <c r="AY198" s="21" t="s">
        <v>183</v>
      </c>
      <c r="AZ198" s="21" t="s">
        <v>169</v>
      </c>
      <c r="BA198" s="21" t="s">
        <v>179</v>
      </c>
      <c r="BB198" s="21" t="s">
        <v>155</v>
      </c>
    </row>
    <row r="199" spans="1:54" x14ac:dyDescent="0.25">
      <c r="A199" s="22"/>
      <c r="B199" s="21" t="s">
        <v>167</v>
      </c>
      <c r="C199" s="21">
        <v>552</v>
      </c>
      <c r="D199" s="23">
        <v>46263</v>
      </c>
      <c r="E199" s="21" t="s">
        <v>198</v>
      </c>
      <c r="F199" s="21" t="s">
        <v>308</v>
      </c>
      <c r="G199" s="21" t="s">
        <v>231</v>
      </c>
      <c r="H199" s="21" t="s">
        <v>183</v>
      </c>
      <c r="I199" s="21">
        <v>133.58000000000001</v>
      </c>
      <c r="J199" s="21">
        <v>788.3</v>
      </c>
      <c r="K199" s="21" t="s">
        <v>168</v>
      </c>
      <c r="L199" s="21">
        <v>105301.11</v>
      </c>
      <c r="M199" s="21">
        <v>788.3</v>
      </c>
      <c r="N199" s="21">
        <v>807.3</v>
      </c>
      <c r="O199" s="21">
        <v>163380.31</v>
      </c>
      <c r="P199" s="21" t="s">
        <v>232</v>
      </c>
      <c r="Q199" s="21" t="s">
        <v>232</v>
      </c>
      <c r="R199" s="21"/>
      <c r="S199" s="21"/>
      <c r="T199" s="21" t="s">
        <v>229</v>
      </c>
      <c r="U199" s="21">
        <v>1</v>
      </c>
      <c r="V199" s="21"/>
      <c r="W199" s="21">
        <v>9</v>
      </c>
      <c r="X199" s="21">
        <v>9477.1</v>
      </c>
      <c r="Y199" s="21">
        <v>9</v>
      </c>
      <c r="Z199" s="21">
        <v>9477.1</v>
      </c>
      <c r="AA199" s="21">
        <v>0</v>
      </c>
      <c r="AB199" s="21">
        <v>0</v>
      </c>
      <c r="AC199" s="21">
        <v>39269080</v>
      </c>
      <c r="AD199" s="21" t="s">
        <v>189</v>
      </c>
      <c r="AE199" s="23">
        <v>46263</v>
      </c>
      <c r="AF199" s="21">
        <v>0</v>
      </c>
      <c r="AG199" s="21">
        <v>0</v>
      </c>
      <c r="AH199" s="21"/>
      <c r="AI199" s="21">
        <v>0</v>
      </c>
      <c r="AJ199" s="21"/>
      <c r="AK199" s="21"/>
      <c r="AL199" s="21"/>
      <c r="AM199" s="21">
        <v>0</v>
      </c>
      <c r="AN199" s="21">
        <v>0</v>
      </c>
      <c r="AO199" s="21">
        <v>0</v>
      </c>
      <c r="AP199" s="21">
        <v>0</v>
      </c>
      <c r="AQ199" s="21">
        <v>0</v>
      </c>
      <c r="AR199" s="21">
        <v>0</v>
      </c>
      <c r="AS199" s="21">
        <v>0</v>
      </c>
      <c r="AT199" s="21">
        <v>0</v>
      </c>
      <c r="AU199" s="21"/>
      <c r="AV199" s="21" t="s">
        <v>230</v>
      </c>
      <c r="AW199" s="21" t="s">
        <v>202</v>
      </c>
      <c r="AX199" s="21" t="s">
        <v>182</v>
      </c>
      <c r="AY199" s="21" t="s">
        <v>183</v>
      </c>
      <c r="AZ199" s="21" t="s">
        <v>169</v>
      </c>
      <c r="BA199" s="21" t="s">
        <v>179</v>
      </c>
      <c r="BB199" s="21" t="s">
        <v>155</v>
      </c>
    </row>
    <row r="200" spans="1:54" x14ac:dyDescent="0.25">
      <c r="A200" s="22"/>
      <c r="B200" s="21" t="s">
        <v>167</v>
      </c>
      <c r="C200" s="21">
        <v>552</v>
      </c>
      <c r="D200" s="23">
        <v>46263</v>
      </c>
      <c r="E200" s="21" t="s">
        <v>198</v>
      </c>
      <c r="F200" s="21" t="s">
        <v>308</v>
      </c>
      <c r="G200" s="21" t="s">
        <v>233</v>
      </c>
      <c r="H200" s="21" t="s">
        <v>178</v>
      </c>
      <c r="I200" s="21">
        <v>137.58000000000001</v>
      </c>
      <c r="J200" s="21">
        <v>241</v>
      </c>
      <c r="K200" s="21" t="s">
        <v>168</v>
      </c>
      <c r="L200" s="21">
        <v>33156.78</v>
      </c>
      <c r="M200" s="21">
        <v>241</v>
      </c>
      <c r="N200" s="21">
        <v>251</v>
      </c>
      <c r="O200" s="21">
        <v>0</v>
      </c>
      <c r="P200" s="21" t="s">
        <v>232</v>
      </c>
      <c r="Q200" s="21" t="s">
        <v>232</v>
      </c>
      <c r="R200" s="21"/>
      <c r="S200" s="21"/>
      <c r="T200" s="21" t="s">
        <v>229</v>
      </c>
      <c r="U200" s="21">
        <v>1</v>
      </c>
      <c r="V200" s="21"/>
      <c r="W200" s="21">
        <v>9</v>
      </c>
      <c r="X200" s="21">
        <v>2984.11</v>
      </c>
      <c r="Y200" s="21">
        <v>9</v>
      </c>
      <c r="Z200" s="21">
        <v>2984.11</v>
      </c>
      <c r="AA200" s="21">
        <v>0</v>
      </c>
      <c r="AB200" s="21">
        <v>0</v>
      </c>
      <c r="AC200" s="21">
        <v>39269080</v>
      </c>
      <c r="AD200" s="21" t="s">
        <v>189</v>
      </c>
      <c r="AE200" s="23">
        <v>46263</v>
      </c>
      <c r="AF200" s="21">
        <v>0</v>
      </c>
      <c r="AG200" s="21">
        <v>0</v>
      </c>
      <c r="AH200" s="21"/>
      <c r="AI200" s="21">
        <v>0</v>
      </c>
      <c r="AJ200" s="21"/>
      <c r="AK200" s="21"/>
      <c r="AL200" s="21"/>
      <c r="AM200" s="21">
        <v>0</v>
      </c>
      <c r="AN200" s="21">
        <v>0</v>
      </c>
      <c r="AO200" s="21">
        <v>0</v>
      </c>
      <c r="AP200" s="21">
        <v>0</v>
      </c>
      <c r="AQ200" s="21">
        <v>0</v>
      </c>
      <c r="AR200" s="21">
        <v>0</v>
      </c>
      <c r="AS200" s="21">
        <v>0</v>
      </c>
      <c r="AT200" s="21">
        <v>0</v>
      </c>
      <c r="AU200" s="21"/>
      <c r="AV200" s="21" t="s">
        <v>230</v>
      </c>
      <c r="AW200" s="21" t="s">
        <v>202</v>
      </c>
      <c r="AX200" s="21" t="s">
        <v>177</v>
      </c>
      <c r="AY200" s="21" t="s">
        <v>178</v>
      </c>
      <c r="AZ200" s="21" t="s">
        <v>169</v>
      </c>
      <c r="BA200" s="21" t="s">
        <v>179</v>
      </c>
      <c r="BB200" s="21" t="s">
        <v>156</v>
      </c>
    </row>
    <row r="201" spans="1:54" x14ac:dyDescent="0.25">
      <c r="A201" s="22"/>
      <c r="B201" s="21" t="s">
        <v>167</v>
      </c>
      <c r="C201" s="21">
        <v>555</v>
      </c>
      <c r="D201" s="23">
        <v>46264</v>
      </c>
      <c r="E201" s="21" t="s">
        <v>212</v>
      </c>
      <c r="F201" s="21" t="s">
        <v>174</v>
      </c>
      <c r="G201" s="21" t="s">
        <v>231</v>
      </c>
      <c r="H201" s="21" t="s">
        <v>183</v>
      </c>
      <c r="I201" s="21">
        <v>133.58000000000001</v>
      </c>
      <c r="J201" s="21">
        <v>1176.7</v>
      </c>
      <c r="K201" s="21" t="s">
        <v>168</v>
      </c>
      <c r="L201" s="21">
        <v>157183.59</v>
      </c>
      <c r="M201" s="21">
        <v>1176.7</v>
      </c>
      <c r="N201" s="21">
        <v>1176.7</v>
      </c>
      <c r="O201" s="21">
        <v>215873.67</v>
      </c>
      <c r="P201" s="21" t="s">
        <v>232</v>
      </c>
      <c r="Q201" s="21" t="s">
        <v>232</v>
      </c>
      <c r="R201" s="21"/>
      <c r="S201" s="21"/>
      <c r="T201" s="21" t="s">
        <v>229</v>
      </c>
      <c r="U201" s="21">
        <v>1</v>
      </c>
      <c r="V201" s="21"/>
      <c r="W201" s="21">
        <v>9</v>
      </c>
      <c r="X201" s="21">
        <v>14146.52</v>
      </c>
      <c r="Y201" s="21">
        <v>9</v>
      </c>
      <c r="Z201" s="21">
        <v>14146.52</v>
      </c>
      <c r="AA201" s="21">
        <v>0</v>
      </c>
      <c r="AB201" s="21">
        <v>0</v>
      </c>
      <c r="AC201" s="21">
        <v>39269080</v>
      </c>
      <c r="AD201" s="21" t="s">
        <v>189</v>
      </c>
      <c r="AE201" s="23">
        <v>46264</v>
      </c>
      <c r="AF201" s="21">
        <v>0</v>
      </c>
      <c r="AG201" s="21">
        <v>0</v>
      </c>
      <c r="AH201" s="21"/>
      <c r="AI201" s="21">
        <v>0</v>
      </c>
      <c r="AJ201" s="21"/>
      <c r="AK201" s="21"/>
      <c r="AL201" s="21"/>
      <c r="AM201" s="21">
        <v>0</v>
      </c>
      <c r="AN201" s="21">
        <v>0</v>
      </c>
      <c r="AO201" s="21">
        <v>0</v>
      </c>
      <c r="AP201" s="21">
        <v>0</v>
      </c>
      <c r="AQ201" s="21">
        <v>0</v>
      </c>
      <c r="AR201" s="21">
        <v>0</v>
      </c>
      <c r="AS201" s="21">
        <v>0</v>
      </c>
      <c r="AT201" s="21">
        <v>0</v>
      </c>
      <c r="AU201" s="21"/>
      <c r="AV201" s="21" t="s">
        <v>236</v>
      </c>
      <c r="AW201" s="21" t="s">
        <v>202</v>
      </c>
      <c r="AX201" s="21" t="s">
        <v>182</v>
      </c>
      <c r="AY201" s="21" t="s">
        <v>183</v>
      </c>
      <c r="AZ201" s="21" t="s">
        <v>169</v>
      </c>
      <c r="BA201" s="21" t="s">
        <v>179</v>
      </c>
      <c r="BB201" s="21" t="s">
        <v>155</v>
      </c>
    </row>
    <row r="202" spans="1:54" x14ac:dyDescent="0.25">
      <c r="A202" s="22"/>
      <c r="B202" s="21" t="s">
        <v>167</v>
      </c>
      <c r="C202" s="21">
        <v>555</v>
      </c>
      <c r="D202" s="23">
        <v>46264</v>
      </c>
      <c r="E202" s="21" t="s">
        <v>212</v>
      </c>
      <c r="F202" s="21" t="s">
        <v>174</v>
      </c>
      <c r="G202" s="21" t="s">
        <v>233</v>
      </c>
      <c r="H202" s="21" t="s">
        <v>178</v>
      </c>
      <c r="I202" s="21">
        <v>135.58000000000001</v>
      </c>
      <c r="J202" s="21">
        <v>190</v>
      </c>
      <c r="K202" s="21" t="s">
        <v>168</v>
      </c>
      <c r="L202" s="21">
        <v>25760.2</v>
      </c>
      <c r="M202" s="21">
        <v>190</v>
      </c>
      <c r="N202" s="21">
        <v>190</v>
      </c>
      <c r="O202" s="21">
        <v>0</v>
      </c>
      <c r="P202" s="21" t="s">
        <v>232</v>
      </c>
      <c r="Q202" s="21" t="s">
        <v>232</v>
      </c>
      <c r="R202" s="21"/>
      <c r="S202" s="21"/>
      <c r="T202" s="21" t="s">
        <v>229</v>
      </c>
      <c r="U202" s="21">
        <v>1</v>
      </c>
      <c r="V202" s="21"/>
      <c r="W202" s="21">
        <v>9</v>
      </c>
      <c r="X202" s="21">
        <v>2318.42</v>
      </c>
      <c r="Y202" s="21">
        <v>9</v>
      </c>
      <c r="Z202" s="21">
        <v>2318.42</v>
      </c>
      <c r="AA202" s="21">
        <v>0</v>
      </c>
      <c r="AB202" s="21">
        <v>0</v>
      </c>
      <c r="AC202" s="21">
        <v>39269080</v>
      </c>
      <c r="AD202" s="21" t="s">
        <v>189</v>
      </c>
      <c r="AE202" s="23">
        <v>46264</v>
      </c>
      <c r="AF202" s="21">
        <v>0</v>
      </c>
      <c r="AG202" s="21">
        <v>0</v>
      </c>
      <c r="AH202" s="21"/>
      <c r="AI202" s="21">
        <v>0</v>
      </c>
      <c r="AJ202" s="21"/>
      <c r="AK202" s="21"/>
      <c r="AL202" s="21"/>
      <c r="AM202" s="21">
        <v>0</v>
      </c>
      <c r="AN202" s="21">
        <v>0</v>
      </c>
      <c r="AO202" s="21">
        <v>0</v>
      </c>
      <c r="AP202" s="21">
        <v>0</v>
      </c>
      <c r="AQ202" s="21">
        <v>0</v>
      </c>
      <c r="AR202" s="21">
        <v>0</v>
      </c>
      <c r="AS202" s="21">
        <v>0</v>
      </c>
      <c r="AT202" s="21">
        <v>0</v>
      </c>
      <c r="AU202" s="21"/>
      <c r="AV202" s="21" t="s">
        <v>236</v>
      </c>
      <c r="AW202" s="21" t="s">
        <v>202</v>
      </c>
      <c r="AX202" s="21" t="s">
        <v>177</v>
      </c>
      <c r="AY202" s="21" t="s">
        <v>178</v>
      </c>
      <c r="AZ202" s="21" t="s">
        <v>169</v>
      </c>
      <c r="BA202" s="21" t="s">
        <v>179</v>
      </c>
      <c r="BB202" s="21" t="s">
        <v>156</v>
      </c>
    </row>
    <row r="203" spans="1:54" x14ac:dyDescent="0.25">
      <c r="A203" s="22"/>
      <c r="B203" s="21" t="s">
        <v>167</v>
      </c>
      <c r="C203" s="21">
        <v>556</v>
      </c>
      <c r="D203" s="23">
        <v>46264</v>
      </c>
      <c r="E203" s="21" t="s">
        <v>212</v>
      </c>
      <c r="F203" s="21" t="s">
        <v>251</v>
      </c>
      <c r="G203" s="21" t="s">
        <v>628</v>
      </c>
      <c r="H203" s="21" t="s">
        <v>173</v>
      </c>
      <c r="I203" s="21">
        <v>158.5</v>
      </c>
      <c r="J203" s="21">
        <v>28.5</v>
      </c>
      <c r="K203" s="21" t="s">
        <v>168</v>
      </c>
      <c r="L203" s="21">
        <v>4517.25</v>
      </c>
      <c r="M203" s="21">
        <v>28.5</v>
      </c>
      <c r="N203" s="21">
        <v>28.5</v>
      </c>
      <c r="O203" s="21">
        <v>5330.35</v>
      </c>
      <c r="P203" s="21" t="s">
        <v>237</v>
      </c>
      <c r="Q203" s="21" t="s">
        <v>232</v>
      </c>
      <c r="R203" s="21"/>
      <c r="S203" s="21"/>
      <c r="T203" s="21" t="s">
        <v>229</v>
      </c>
      <c r="U203" s="21">
        <v>1</v>
      </c>
      <c r="V203" s="21"/>
      <c r="W203" s="21">
        <v>9</v>
      </c>
      <c r="X203" s="21">
        <v>406.55</v>
      </c>
      <c r="Y203" s="21">
        <v>9</v>
      </c>
      <c r="Z203" s="21">
        <v>406.55</v>
      </c>
      <c r="AA203" s="21">
        <v>0</v>
      </c>
      <c r="AB203" s="21">
        <v>0</v>
      </c>
      <c r="AC203" s="21">
        <v>39232100</v>
      </c>
      <c r="AD203" s="21" t="s">
        <v>189</v>
      </c>
      <c r="AE203" s="23">
        <v>46264</v>
      </c>
      <c r="AF203" s="21">
        <v>0</v>
      </c>
      <c r="AG203" s="21">
        <v>0</v>
      </c>
      <c r="AH203" s="21"/>
      <c r="AI203" s="21">
        <v>0</v>
      </c>
      <c r="AJ203" s="21"/>
      <c r="AK203" s="21"/>
      <c r="AL203" s="21"/>
      <c r="AM203" s="21">
        <v>0</v>
      </c>
      <c r="AN203" s="21">
        <v>0</v>
      </c>
      <c r="AO203" s="21">
        <v>0</v>
      </c>
      <c r="AP203" s="21">
        <v>0</v>
      </c>
      <c r="AQ203" s="21">
        <v>0</v>
      </c>
      <c r="AR203" s="21">
        <v>0</v>
      </c>
      <c r="AS203" s="21">
        <v>0</v>
      </c>
      <c r="AT203" s="21">
        <v>0</v>
      </c>
      <c r="AU203" s="21"/>
      <c r="AV203" s="21" t="s">
        <v>236</v>
      </c>
      <c r="AW203" s="21" t="s">
        <v>202</v>
      </c>
      <c r="AX203" s="21" t="s">
        <v>172</v>
      </c>
      <c r="AY203" s="21" t="s">
        <v>173</v>
      </c>
      <c r="AZ203" s="21" t="s">
        <v>169</v>
      </c>
      <c r="BA203" s="21" t="s">
        <v>175</v>
      </c>
      <c r="BB203" s="21" t="s">
        <v>159</v>
      </c>
    </row>
    <row r="204" spans="1:54" x14ac:dyDescent="0.25">
      <c r="A204" s="22"/>
      <c r="B204" s="21" t="s">
        <v>167</v>
      </c>
      <c r="C204" s="21">
        <v>559</v>
      </c>
      <c r="D204" s="23">
        <v>46265</v>
      </c>
      <c r="E204" s="21" t="s">
        <v>198</v>
      </c>
      <c r="F204" s="21" t="s">
        <v>629</v>
      </c>
      <c r="G204" s="21" t="s">
        <v>590</v>
      </c>
      <c r="H204" s="21" t="s">
        <v>574</v>
      </c>
      <c r="I204" s="21">
        <v>199.8</v>
      </c>
      <c r="J204" s="21">
        <v>1153</v>
      </c>
      <c r="K204" s="21" t="s">
        <v>168</v>
      </c>
      <c r="L204" s="21">
        <v>230369.4</v>
      </c>
      <c r="M204" s="21">
        <v>1153</v>
      </c>
      <c r="N204" s="21">
        <v>1153</v>
      </c>
      <c r="O204" s="21">
        <v>271835.90000000002</v>
      </c>
      <c r="P204" s="21" t="s">
        <v>200</v>
      </c>
      <c r="Q204" s="21" t="s">
        <v>200</v>
      </c>
      <c r="R204" s="21"/>
      <c r="S204" s="21"/>
      <c r="T204" s="21" t="s">
        <v>229</v>
      </c>
      <c r="U204" s="21">
        <v>1</v>
      </c>
      <c r="V204" s="21"/>
      <c r="W204" s="21">
        <v>9</v>
      </c>
      <c r="X204" s="21">
        <v>20733.25</v>
      </c>
      <c r="Y204" s="21">
        <v>9</v>
      </c>
      <c r="Z204" s="21">
        <v>20733.25</v>
      </c>
      <c r="AA204" s="21">
        <v>0</v>
      </c>
      <c r="AB204" s="21">
        <v>0</v>
      </c>
      <c r="AC204" s="21">
        <v>39232999</v>
      </c>
      <c r="AD204" s="21" t="s">
        <v>189</v>
      </c>
      <c r="AE204" s="23">
        <v>46265</v>
      </c>
      <c r="AF204" s="21">
        <v>0</v>
      </c>
      <c r="AG204" s="21">
        <v>0</v>
      </c>
      <c r="AH204" s="21"/>
      <c r="AI204" s="21">
        <v>0</v>
      </c>
      <c r="AJ204" s="21"/>
      <c r="AK204" s="21"/>
      <c r="AL204" s="21"/>
      <c r="AM204" s="21">
        <v>0</v>
      </c>
      <c r="AN204" s="21">
        <v>0</v>
      </c>
      <c r="AO204" s="21">
        <v>0</v>
      </c>
      <c r="AP204" s="21">
        <v>0</v>
      </c>
      <c r="AQ204" s="21">
        <v>0</v>
      </c>
      <c r="AR204" s="21">
        <v>0</v>
      </c>
      <c r="AS204" s="21">
        <v>0</v>
      </c>
      <c r="AT204" s="21">
        <v>0</v>
      </c>
      <c r="AU204" s="21"/>
      <c r="AV204" s="21" t="s">
        <v>230</v>
      </c>
      <c r="AW204" s="21" t="s">
        <v>202</v>
      </c>
      <c r="AX204" s="21" t="s">
        <v>186</v>
      </c>
      <c r="AY204" s="21" t="s">
        <v>187</v>
      </c>
      <c r="AZ204" s="21" t="s">
        <v>188</v>
      </c>
      <c r="BA204" s="21" t="s">
        <v>152</v>
      </c>
      <c r="BB204" s="21" t="s">
        <v>152</v>
      </c>
    </row>
    <row r="205" spans="1:54" x14ac:dyDescent="0.25">
      <c r="A205" s="22"/>
      <c r="B205" s="21" t="s">
        <v>167</v>
      </c>
      <c r="C205" s="21">
        <v>560</v>
      </c>
      <c r="D205" s="23">
        <v>46265</v>
      </c>
      <c r="E205" s="21" t="s">
        <v>198</v>
      </c>
      <c r="F205" s="21" t="s">
        <v>629</v>
      </c>
      <c r="G205" s="21" t="s">
        <v>259</v>
      </c>
      <c r="H205" s="21" t="s">
        <v>196</v>
      </c>
      <c r="I205" s="21">
        <v>246</v>
      </c>
      <c r="J205" s="21">
        <v>23.4</v>
      </c>
      <c r="K205" s="21" t="s">
        <v>168</v>
      </c>
      <c r="L205" s="21">
        <v>5756.4</v>
      </c>
      <c r="M205" s="21">
        <v>23.4</v>
      </c>
      <c r="N205" s="21">
        <v>23.4</v>
      </c>
      <c r="O205" s="21">
        <v>6792.56</v>
      </c>
      <c r="P205" s="21" t="s">
        <v>200</v>
      </c>
      <c r="Q205" s="21" t="s">
        <v>237</v>
      </c>
      <c r="R205" s="21"/>
      <c r="S205" s="21"/>
      <c r="T205" s="21" t="s">
        <v>229</v>
      </c>
      <c r="U205" s="21">
        <v>1</v>
      </c>
      <c r="V205" s="21"/>
      <c r="W205" s="21">
        <v>9</v>
      </c>
      <c r="X205" s="21">
        <v>518.08000000000004</v>
      </c>
      <c r="Y205" s="21">
        <v>9</v>
      </c>
      <c r="Z205" s="21">
        <v>518.08000000000004</v>
      </c>
      <c r="AA205" s="21">
        <v>0</v>
      </c>
      <c r="AB205" s="21">
        <v>0</v>
      </c>
      <c r="AC205" s="21">
        <v>39201019</v>
      </c>
      <c r="AD205" s="21" t="s">
        <v>189</v>
      </c>
      <c r="AE205" s="23">
        <v>46265</v>
      </c>
      <c r="AF205" s="21">
        <v>0</v>
      </c>
      <c r="AG205" s="21">
        <v>0</v>
      </c>
      <c r="AH205" s="21"/>
      <c r="AI205" s="21">
        <v>0</v>
      </c>
      <c r="AJ205" s="21"/>
      <c r="AK205" s="21"/>
      <c r="AL205" s="21"/>
      <c r="AM205" s="21">
        <v>0</v>
      </c>
      <c r="AN205" s="21">
        <v>0</v>
      </c>
      <c r="AO205" s="21">
        <v>0</v>
      </c>
      <c r="AP205" s="21">
        <v>0</v>
      </c>
      <c r="AQ205" s="21">
        <v>0</v>
      </c>
      <c r="AR205" s="21">
        <v>0</v>
      </c>
      <c r="AS205" s="21">
        <v>0</v>
      </c>
      <c r="AT205" s="21">
        <v>0</v>
      </c>
      <c r="AU205" s="21"/>
      <c r="AV205" s="21" t="s">
        <v>230</v>
      </c>
      <c r="AW205" s="21" t="s">
        <v>202</v>
      </c>
      <c r="AX205" s="21" t="s">
        <v>195</v>
      </c>
      <c r="AY205" s="21" t="s">
        <v>196</v>
      </c>
      <c r="AZ205" s="21" t="s">
        <v>169</v>
      </c>
      <c r="BA205" s="21" t="s">
        <v>197</v>
      </c>
      <c r="BB205" s="21" t="s">
        <v>158</v>
      </c>
    </row>
    <row r="206" spans="1:54" x14ac:dyDescent="0.25">
      <c r="A206" s="22"/>
      <c r="B206" s="21" t="s">
        <v>167</v>
      </c>
      <c r="C206" s="21">
        <v>561</v>
      </c>
      <c r="D206" s="23">
        <v>46265</v>
      </c>
      <c r="E206" s="21" t="s">
        <v>198</v>
      </c>
      <c r="F206" s="21" t="s">
        <v>263</v>
      </c>
      <c r="G206" s="21" t="s">
        <v>231</v>
      </c>
      <c r="H206" s="21" t="s">
        <v>183</v>
      </c>
      <c r="I206" s="21">
        <v>133.58000000000001</v>
      </c>
      <c r="J206" s="21">
        <v>510</v>
      </c>
      <c r="K206" s="21" t="s">
        <v>168</v>
      </c>
      <c r="L206" s="21">
        <v>68125.8</v>
      </c>
      <c r="M206" s="21">
        <v>510</v>
      </c>
      <c r="N206" s="21">
        <v>510</v>
      </c>
      <c r="O206" s="21">
        <v>80388.44</v>
      </c>
      <c r="P206" s="21" t="s">
        <v>232</v>
      </c>
      <c r="Q206" s="21" t="s">
        <v>232</v>
      </c>
      <c r="R206" s="21"/>
      <c r="S206" s="21"/>
      <c r="T206" s="21" t="s">
        <v>229</v>
      </c>
      <c r="U206" s="21">
        <v>1</v>
      </c>
      <c r="V206" s="21"/>
      <c r="W206" s="21">
        <v>9</v>
      </c>
      <c r="X206" s="21">
        <v>6131.32</v>
      </c>
      <c r="Y206" s="21">
        <v>9</v>
      </c>
      <c r="Z206" s="21">
        <v>6131.32</v>
      </c>
      <c r="AA206" s="21">
        <v>0</v>
      </c>
      <c r="AB206" s="21">
        <v>0</v>
      </c>
      <c r="AC206" s="21">
        <v>39269080</v>
      </c>
      <c r="AD206" s="21" t="s">
        <v>189</v>
      </c>
      <c r="AE206" s="23">
        <v>46265</v>
      </c>
      <c r="AF206" s="21">
        <v>0</v>
      </c>
      <c r="AG206" s="21">
        <v>0</v>
      </c>
      <c r="AH206" s="21"/>
      <c r="AI206" s="21">
        <v>0</v>
      </c>
      <c r="AJ206" s="21"/>
      <c r="AK206" s="21"/>
      <c r="AL206" s="21"/>
      <c r="AM206" s="21">
        <v>0</v>
      </c>
      <c r="AN206" s="21">
        <v>0</v>
      </c>
      <c r="AO206" s="21">
        <v>0</v>
      </c>
      <c r="AP206" s="21">
        <v>0</v>
      </c>
      <c r="AQ206" s="21">
        <v>0</v>
      </c>
      <c r="AR206" s="21">
        <v>0</v>
      </c>
      <c r="AS206" s="21">
        <v>0</v>
      </c>
      <c r="AT206" s="21">
        <v>0</v>
      </c>
      <c r="AU206" s="21"/>
      <c r="AV206" s="21" t="s">
        <v>230</v>
      </c>
      <c r="AW206" s="21" t="s">
        <v>202</v>
      </c>
      <c r="AX206" s="21" t="s">
        <v>182</v>
      </c>
      <c r="AY206" s="21" t="s">
        <v>183</v>
      </c>
      <c r="AZ206" s="21" t="s">
        <v>169</v>
      </c>
      <c r="BA206" s="21" t="s">
        <v>179</v>
      </c>
      <c r="BB206" s="21" t="s">
        <v>155</v>
      </c>
    </row>
    <row r="207" spans="1:54" x14ac:dyDescent="0.25">
      <c r="A207" s="22"/>
      <c r="B207" s="21" t="s">
        <v>167</v>
      </c>
      <c r="C207" s="21">
        <v>563</v>
      </c>
      <c r="D207" s="23">
        <v>46265</v>
      </c>
      <c r="E207" s="21" t="s">
        <v>212</v>
      </c>
      <c r="F207" s="21" t="s">
        <v>174</v>
      </c>
      <c r="G207" s="21" t="s">
        <v>235</v>
      </c>
      <c r="H207" s="21" t="s">
        <v>282</v>
      </c>
      <c r="I207" s="21">
        <v>135.58000000000001</v>
      </c>
      <c r="J207" s="21">
        <v>2138</v>
      </c>
      <c r="K207" s="21" t="s">
        <v>168</v>
      </c>
      <c r="L207" s="21">
        <v>289870.03999999998</v>
      </c>
      <c r="M207" s="21">
        <v>2138</v>
      </c>
      <c r="N207" s="21">
        <v>2138</v>
      </c>
      <c r="O207" s="21">
        <v>382398.48</v>
      </c>
      <c r="P207" s="21" t="s">
        <v>181</v>
      </c>
      <c r="Q207" s="21" t="s">
        <v>181</v>
      </c>
      <c r="R207" s="21"/>
      <c r="S207" s="21"/>
      <c r="T207" s="21" t="s">
        <v>229</v>
      </c>
      <c r="U207" s="21">
        <v>1</v>
      </c>
      <c r="V207" s="21"/>
      <c r="W207" s="21">
        <v>9</v>
      </c>
      <c r="X207" s="21">
        <v>26088.3</v>
      </c>
      <c r="Y207" s="21">
        <v>9</v>
      </c>
      <c r="Z207" s="21">
        <v>26088.3</v>
      </c>
      <c r="AA207" s="21">
        <v>0</v>
      </c>
      <c r="AB207" s="21">
        <v>0</v>
      </c>
      <c r="AC207" s="21">
        <v>39269080</v>
      </c>
      <c r="AD207" s="21" t="s">
        <v>189</v>
      </c>
      <c r="AE207" s="23">
        <v>46265</v>
      </c>
      <c r="AF207" s="21">
        <v>0</v>
      </c>
      <c r="AG207" s="21">
        <v>0</v>
      </c>
      <c r="AH207" s="21"/>
      <c r="AI207" s="21">
        <v>0</v>
      </c>
      <c r="AJ207" s="21"/>
      <c r="AK207" s="21"/>
      <c r="AL207" s="21"/>
      <c r="AM207" s="21">
        <v>0</v>
      </c>
      <c r="AN207" s="21">
        <v>0</v>
      </c>
      <c r="AO207" s="21">
        <v>0</v>
      </c>
      <c r="AP207" s="21">
        <v>0</v>
      </c>
      <c r="AQ207" s="21">
        <v>0</v>
      </c>
      <c r="AR207" s="21">
        <v>0</v>
      </c>
      <c r="AS207" s="21">
        <v>0</v>
      </c>
      <c r="AT207" s="21">
        <v>0</v>
      </c>
      <c r="AU207" s="21"/>
      <c r="AV207" s="21" t="s">
        <v>236</v>
      </c>
      <c r="AW207" s="21" t="s">
        <v>202</v>
      </c>
      <c r="AX207" s="21" t="s">
        <v>180</v>
      </c>
      <c r="AY207" s="21" t="s">
        <v>181</v>
      </c>
      <c r="AZ207" s="21" t="s">
        <v>169</v>
      </c>
      <c r="BA207" s="21" t="s">
        <v>181</v>
      </c>
      <c r="BB207" s="21" t="s">
        <v>154</v>
      </c>
    </row>
    <row r="208" spans="1:54" x14ac:dyDescent="0.25">
      <c r="A208" s="22"/>
      <c r="B208" s="21" t="s">
        <v>167</v>
      </c>
      <c r="C208" s="21">
        <v>563</v>
      </c>
      <c r="D208" s="23">
        <v>46265</v>
      </c>
      <c r="E208" s="21" t="s">
        <v>212</v>
      </c>
      <c r="F208" s="21" t="s">
        <v>174</v>
      </c>
      <c r="G208" s="21" t="s">
        <v>231</v>
      </c>
      <c r="H208" s="21" t="s">
        <v>183</v>
      </c>
      <c r="I208" s="21">
        <v>133.58000000000001</v>
      </c>
      <c r="J208" s="21">
        <v>256</v>
      </c>
      <c r="K208" s="21" t="s">
        <v>168</v>
      </c>
      <c r="L208" s="21">
        <v>34196.480000000003</v>
      </c>
      <c r="M208" s="21">
        <v>256</v>
      </c>
      <c r="N208" s="21">
        <v>267</v>
      </c>
      <c r="O208" s="21">
        <v>0</v>
      </c>
      <c r="P208" s="21" t="s">
        <v>181</v>
      </c>
      <c r="Q208" s="21" t="s">
        <v>232</v>
      </c>
      <c r="R208" s="21"/>
      <c r="S208" s="21"/>
      <c r="T208" s="21" t="s">
        <v>229</v>
      </c>
      <c r="U208" s="21">
        <v>1</v>
      </c>
      <c r="V208" s="21"/>
      <c r="W208" s="21">
        <v>9</v>
      </c>
      <c r="X208" s="21">
        <v>3077.68</v>
      </c>
      <c r="Y208" s="21">
        <v>9</v>
      </c>
      <c r="Z208" s="21">
        <v>3077.68</v>
      </c>
      <c r="AA208" s="21">
        <v>0</v>
      </c>
      <c r="AB208" s="21">
        <v>0</v>
      </c>
      <c r="AC208" s="21">
        <v>39269080</v>
      </c>
      <c r="AD208" s="21" t="s">
        <v>189</v>
      </c>
      <c r="AE208" s="23">
        <v>46265</v>
      </c>
      <c r="AF208" s="21">
        <v>0</v>
      </c>
      <c r="AG208" s="21">
        <v>0</v>
      </c>
      <c r="AH208" s="21"/>
      <c r="AI208" s="21">
        <v>0</v>
      </c>
      <c r="AJ208" s="21"/>
      <c r="AK208" s="21"/>
      <c r="AL208" s="21"/>
      <c r="AM208" s="21">
        <v>0</v>
      </c>
      <c r="AN208" s="21">
        <v>0</v>
      </c>
      <c r="AO208" s="21">
        <v>0</v>
      </c>
      <c r="AP208" s="21">
        <v>0</v>
      </c>
      <c r="AQ208" s="21">
        <v>0</v>
      </c>
      <c r="AR208" s="21">
        <v>0</v>
      </c>
      <c r="AS208" s="21">
        <v>0</v>
      </c>
      <c r="AT208" s="21">
        <v>0</v>
      </c>
      <c r="AU208" s="21"/>
      <c r="AV208" s="21" t="s">
        <v>236</v>
      </c>
      <c r="AW208" s="21" t="s">
        <v>202</v>
      </c>
      <c r="AX208" s="21" t="s">
        <v>182</v>
      </c>
      <c r="AY208" s="21" t="s">
        <v>183</v>
      </c>
      <c r="AZ208" s="21" t="s">
        <v>169</v>
      </c>
      <c r="BA208" s="21" t="s">
        <v>179</v>
      </c>
      <c r="BB208" s="21" t="s">
        <v>155</v>
      </c>
    </row>
    <row r="209" spans="7:13" x14ac:dyDescent="0.25">
      <c r="G209" s="3"/>
      <c r="I209" s="3"/>
      <c r="J209" s="3"/>
      <c r="L209" s="17"/>
      <c r="M209" s="17"/>
    </row>
    <row r="210" spans="7:13" x14ac:dyDescent="0.25">
      <c r="G210" s="3"/>
      <c r="I210" s="3"/>
      <c r="J210" s="3"/>
      <c r="L210" s="17"/>
      <c r="M210" s="17"/>
    </row>
    <row r="211" spans="7:13" x14ac:dyDescent="0.25">
      <c r="G211" s="3"/>
      <c r="I211" s="3"/>
      <c r="J211" s="3"/>
      <c r="L211" s="17"/>
      <c r="M211" s="17"/>
    </row>
    <row r="212" spans="7:13" x14ac:dyDescent="0.25">
      <c r="G212" s="3"/>
      <c r="I212" s="3"/>
      <c r="J212" s="3"/>
      <c r="L212" s="17"/>
      <c r="M212" s="17"/>
    </row>
    <row r="213" spans="7:13" x14ac:dyDescent="0.25">
      <c r="G213" s="3"/>
      <c r="I213" s="3"/>
      <c r="J213" s="3"/>
      <c r="L213" s="17"/>
      <c r="M213" s="17"/>
    </row>
    <row r="214" spans="7:13" x14ac:dyDescent="0.25">
      <c r="G214" s="3"/>
      <c r="I214" s="3"/>
      <c r="J214" s="3"/>
      <c r="L214" s="17"/>
      <c r="M214" s="17"/>
    </row>
    <row r="215" spans="7:13" x14ac:dyDescent="0.25">
      <c r="G215" s="3"/>
      <c r="I215" s="3"/>
      <c r="J215" s="3"/>
      <c r="L215" s="17"/>
      <c r="M215" s="17"/>
    </row>
    <row r="216" spans="7:13" x14ac:dyDescent="0.25">
      <c r="G216" s="3"/>
      <c r="I216" s="3"/>
      <c r="J216" s="3"/>
      <c r="L216" s="17"/>
      <c r="M216" s="17"/>
    </row>
    <row r="217" spans="7:13" x14ac:dyDescent="0.25">
      <c r="G217" s="3"/>
      <c r="I217" s="3"/>
      <c r="J217" s="3"/>
      <c r="L217" s="17"/>
      <c r="M217" s="17"/>
    </row>
    <row r="218" spans="7:13" x14ac:dyDescent="0.25">
      <c r="G218" s="3"/>
      <c r="I218" s="3"/>
      <c r="J218" s="3"/>
      <c r="L218" s="17"/>
      <c r="M218" s="17"/>
    </row>
    <row r="219" spans="7:13" x14ac:dyDescent="0.25">
      <c r="G219" s="3"/>
      <c r="I219" s="3"/>
      <c r="J219" s="3"/>
      <c r="L219" s="17"/>
      <c r="M219" s="17"/>
    </row>
    <row r="220" spans="7:13" x14ac:dyDescent="0.25">
      <c r="G220" s="3"/>
      <c r="I220" s="3"/>
      <c r="J220" s="3"/>
      <c r="L220" s="17"/>
      <c r="M220" s="17"/>
    </row>
    <row r="221" spans="7:13" x14ac:dyDescent="0.25">
      <c r="G221" s="3"/>
      <c r="I221" s="3"/>
      <c r="J221" s="3"/>
      <c r="L221" s="17"/>
      <c r="M221" s="17"/>
    </row>
    <row r="222" spans="7:13" x14ac:dyDescent="0.25">
      <c r="G222" s="3"/>
      <c r="I222" s="3"/>
      <c r="J222" s="3"/>
      <c r="L222" s="17"/>
      <c r="M222" s="17"/>
    </row>
    <row r="223" spans="7:13" x14ac:dyDescent="0.25">
      <c r="G223" s="3"/>
      <c r="I223" s="3"/>
      <c r="J223" s="3"/>
      <c r="L223" s="17"/>
      <c r="M223" s="17"/>
    </row>
    <row r="224" spans="7:13" x14ac:dyDescent="0.25">
      <c r="G224" s="3"/>
      <c r="I224" s="3"/>
      <c r="J224" s="3"/>
      <c r="L224" s="17"/>
      <c r="M224" s="17"/>
    </row>
    <row r="225" spans="7:13" x14ac:dyDescent="0.25">
      <c r="G225" s="3"/>
      <c r="I225" s="3"/>
      <c r="J225" s="3"/>
      <c r="L225" s="17"/>
      <c r="M225" s="17"/>
    </row>
    <row r="226" spans="7:13" x14ac:dyDescent="0.25">
      <c r="G226" s="3"/>
      <c r="I226" s="3"/>
      <c r="J226" s="3"/>
      <c r="L226" s="17"/>
      <c r="M226" s="17"/>
    </row>
    <row r="227" spans="7:13" x14ac:dyDescent="0.25">
      <c r="G227" s="3"/>
      <c r="I227" s="3"/>
      <c r="J227" s="3"/>
      <c r="L227" s="17"/>
      <c r="M227" s="17"/>
    </row>
    <row r="228" spans="7:13" x14ac:dyDescent="0.25">
      <c r="G228" s="3"/>
      <c r="I228" s="3"/>
      <c r="J228" s="3"/>
      <c r="L228" s="17"/>
      <c r="M228" s="17"/>
    </row>
    <row r="229" spans="7:13" x14ac:dyDescent="0.25">
      <c r="G229" s="3"/>
      <c r="I229" s="3"/>
      <c r="J229" s="3"/>
      <c r="L229" s="17"/>
      <c r="M229" s="17"/>
    </row>
    <row r="230" spans="7:13" x14ac:dyDescent="0.25">
      <c r="G230" s="3"/>
      <c r="I230" s="3"/>
      <c r="J230" s="3"/>
      <c r="L230" s="17"/>
      <c r="M230" s="17"/>
    </row>
    <row r="231" spans="7:13" x14ac:dyDescent="0.25">
      <c r="G231" s="3"/>
      <c r="I231" s="3"/>
      <c r="J231" s="3"/>
      <c r="L231" s="17"/>
      <c r="M231" s="17"/>
    </row>
    <row r="232" spans="7:13" x14ac:dyDescent="0.25">
      <c r="G232" s="3"/>
      <c r="I232" s="3"/>
      <c r="J232" s="3"/>
      <c r="L232" s="17"/>
      <c r="M232" s="17"/>
    </row>
    <row r="233" spans="7:13" x14ac:dyDescent="0.25">
      <c r="G233" s="3"/>
      <c r="I233" s="3"/>
      <c r="J233" s="3"/>
      <c r="L233" s="17"/>
      <c r="M233" s="17"/>
    </row>
    <row r="234" spans="7:13" x14ac:dyDescent="0.25">
      <c r="G234" s="3"/>
      <c r="I234" s="3"/>
      <c r="J234" s="3"/>
      <c r="L234" s="17"/>
      <c r="M234" s="17"/>
    </row>
    <row r="235" spans="7:13" x14ac:dyDescent="0.25">
      <c r="G235" s="3"/>
      <c r="I235" s="3"/>
      <c r="J235" s="3"/>
      <c r="L235" s="17"/>
      <c r="M235" s="17"/>
    </row>
    <row r="236" spans="7:13" x14ac:dyDescent="0.25">
      <c r="G236" s="17"/>
      <c r="I236" s="3"/>
      <c r="J236" s="3"/>
    </row>
    <row r="237" spans="7:13" x14ac:dyDescent="0.25">
      <c r="G237" s="17"/>
      <c r="I237" s="3"/>
      <c r="J237" s="3"/>
    </row>
    <row r="238" spans="7:13" x14ac:dyDescent="0.25">
      <c r="G238" s="17"/>
      <c r="I238" s="3"/>
      <c r="J238" s="3"/>
    </row>
    <row r="239" spans="7:13" x14ac:dyDescent="0.25">
      <c r="G239" s="17"/>
      <c r="I239" s="3"/>
      <c r="J239" s="3"/>
    </row>
    <row r="240" spans="7:13" x14ac:dyDescent="0.25">
      <c r="G240" s="17"/>
      <c r="I240" s="3"/>
      <c r="J240" s="3"/>
    </row>
    <row r="241" spans="7:10" x14ac:dyDescent="0.25">
      <c r="G241" s="17"/>
      <c r="I241" s="3"/>
      <c r="J241" s="3"/>
    </row>
    <row r="242" spans="7:10" x14ac:dyDescent="0.25">
      <c r="G242" s="17"/>
      <c r="I242" s="3"/>
      <c r="J242" s="3"/>
    </row>
    <row r="243" spans="7:10" x14ac:dyDescent="0.25">
      <c r="G243" s="17"/>
      <c r="I243" s="3"/>
      <c r="J243" s="3"/>
    </row>
    <row r="244" spans="7:10" x14ac:dyDescent="0.25">
      <c r="G244" s="17"/>
      <c r="I244" s="3"/>
      <c r="J244" s="3"/>
    </row>
    <row r="245" spans="7:10" x14ac:dyDescent="0.25">
      <c r="G245" s="17"/>
      <c r="I245" s="3"/>
      <c r="J245" s="3"/>
    </row>
    <row r="246" spans="7:10" x14ac:dyDescent="0.25">
      <c r="G246" s="17"/>
      <c r="I246" s="3"/>
      <c r="J246" s="3"/>
    </row>
    <row r="247" spans="7:10" x14ac:dyDescent="0.25">
      <c r="G247" s="17"/>
      <c r="I247" s="3"/>
      <c r="J247" s="3"/>
    </row>
    <row r="248" spans="7:10" x14ac:dyDescent="0.25">
      <c r="G248" s="17"/>
      <c r="I248" s="3"/>
      <c r="J248" s="3"/>
    </row>
    <row r="249" spans="7:10" x14ac:dyDescent="0.25">
      <c r="G249" s="17"/>
      <c r="I249" s="3"/>
      <c r="J249" s="3"/>
    </row>
    <row r="250" spans="7:10" x14ac:dyDescent="0.25">
      <c r="G250" s="17"/>
      <c r="I250" s="3"/>
      <c r="J250" s="3"/>
    </row>
    <row r="251" spans="7:10" x14ac:dyDescent="0.25">
      <c r="G251" s="17"/>
      <c r="I251" s="3"/>
      <c r="J251" s="3"/>
    </row>
    <row r="252" spans="7:10" x14ac:dyDescent="0.25">
      <c r="G252" s="17"/>
      <c r="I252" s="3"/>
      <c r="J252" s="3"/>
    </row>
    <row r="253" spans="7:10" x14ac:dyDescent="0.25">
      <c r="G253" s="17"/>
      <c r="I253" s="3"/>
      <c r="J253" s="3"/>
    </row>
    <row r="254" spans="7:10" x14ac:dyDescent="0.25">
      <c r="G254" s="17"/>
      <c r="I254" s="3"/>
      <c r="J254" s="3"/>
    </row>
    <row r="255" spans="7:10" x14ac:dyDescent="0.25">
      <c r="G255" s="17"/>
      <c r="I255" s="3"/>
      <c r="J255" s="3"/>
    </row>
    <row r="256" spans="7:10" x14ac:dyDescent="0.25">
      <c r="G256" s="17"/>
      <c r="I256" s="3"/>
      <c r="J256" s="3"/>
    </row>
    <row r="257" spans="7:10" x14ac:dyDescent="0.25">
      <c r="G257" s="17"/>
      <c r="I257" s="3"/>
      <c r="J257" s="3"/>
    </row>
    <row r="258" spans="7:10" x14ac:dyDescent="0.25">
      <c r="G258" s="17"/>
      <c r="I258" s="3"/>
      <c r="J258" s="3"/>
    </row>
    <row r="259" spans="7:10" x14ac:dyDescent="0.25">
      <c r="G259" s="17"/>
      <c r="I259" s="3"/>
      <c r="J259" s="3"/>
    </row>
    <row r="260" spans="7:10" x14ac:dyDescent="0.25">
      <c r="G260" s="17"/>
      <c r="I260" s="3"/>
      <c r="J260" s="3"/>
    </row>
    <row r="261" spans="7:10" x14ac:dyDescent="0.25">
      <c r="G261" s="17"/>
      <c r="I261" s="3"/>
      <c r="J261" s="3"/>
    </row>
    <row r="262" spans="7:10" x14ac:dyDescent="0.25">
      <c r="G262" s="17"/>
      <c r="I262" s="3"/>
      <c r="J262" s="3"/>
    </row>
    <row r="263" spans="7:10" x14ac:dyDescent="0.25">
      <c r="G263" s="17"/>
      <c r="I263" s="3"/>
      <c r="J263" s="3"/>
    </row>
    <row r="264" spans="7:10" x14ac:dyDescent="0.25">
      <c r="G264" s="17"/>
      <c r="I264" s="3"/>
      <c r="J264" s="3"/>
    </row>
    <row r="265" spans="7:10" x14ac:dyDescent="0.25">
      <c r="G265" s="17"/>
      <c r="I265" s="3"/>
      <c r="J265" s="3"/>
    </row>
    <row r="266" spans="7:10" x14ac:dyDescent="0.25">
      <c r="G266" s="17"/>
      <c r="I266" s="3"/>
      <c r="J266" s="3"/>
    </row>
    <row r="267" spans="7:10" x14ac:dyDescent="0.25">
      <c r="G267" s="17"/>
      <c r="I267" s="3"/>
      <c r="J267" s="3"/>
    </row>
    <row r="268" spans="7:10" x14ac:dyDescent="0.25">
      <c r="G268" s="17"/>
      <c r="I268" s="3"/>
      <c r="J268" s="3"/>
    </row>
    <row r="269" spans="7:10" x14ac:dyDescent="0.25">
      <c r="G269" s="17"/>
      <c r="I269" s="3"/>
      <c r="J269" s="3"/>
    </row>
    <row r="270" spans="7:10" x14ac:dyDescent="0.25">
      <c r="G270" s="17"/>
      <c r="I270" s="3"/>
      <c r="J270" s="3"/>
    </row>
    <row r="271" spans="7:10" x14ac:dyDescent="0.25">
      <c r="G271" s="17"/>
      <c r="I271" s="3"/>
      <c r="J271" s="3"/>
    </row>
    <row r="272" spans="7:10" x14ac:dyDescent="0.25">
      <c r="G272" s="17"/>
      <c r="I272" s="3"/>
      <c r="J272" s="3"/>
    </row>
    <row r="273" spans="7:10" x14ac:dyDescent="0.25">
      <c r="G273" s="17"/>
      <c r="I273" s="3"/>
      <c r="J273" s="3"/>
    </row>
    <row r="274" spans="7:10" x14ac:dyDescent="0.25">
      <c r="G274" s="17"/>
      <c r="I274" s="3"/>
      <c r="J274" s="3"/>
    </row>
    <row r="275" spans="7:10" x14ac:dyDescent="0.25">
      <c r="G275" s="17"/>
      <c r="I275" s="3"/>
      <c r="J275" s="3"/>
    </row>
    <row r="276" spans="7:10" x14ac:dyDescent="0.25">
      <c r="G276" s="17"/>
      <c r="I276" s="3"/>
      <c r="J276" s="3"/>
    </row>
    <row r="277" spans="7:10" x14ac:dyDescent="0.25">
      <c r="G277" s="17"/>
      <c r="I277" s="3"/>
      <c r="J277" s="3"/>
    </row>
    <row r="278" spans="7:10" x14ac:dyDescent="0.25">
      <c r="G278" s="17"/>
      <c r="I278" s="3"/>
      <c r="J278" s="3"/>
    </row>
    <row r="279" spans="7:10" x14ac:dyDescent="0.25">
      <c r="G279" s="17"/>
      <c r="I279" s="3"/>
      <c r="J279" s="3"/>
    </row>
    <row r="280" spans="7:10" x14ac:dyDescent="0.25">
      <c r="G280" s="17"/>
      <c r="I280" s="3"/>
      <c r="J280" s="3"/>
    </row>
    <row r="281" spans="7:10" x14ac:dyDescent="0.25">
      <c r="G281" s="17"/>
      <c r="I281" s="3"/>
      <c r="J281" s="3"/>
    </row>
    <row r="282" spans="7:10" x14ac:dyDescent="0.25">
      <c r="G282" s="17"/>
      <c r="I282" s="3"/>
      <c r="J282" s="3"/>
    </row>
    <row r="283" spans="7:10" x14ac:dyDescent="0.25">
      <c r="G283" s="17"/>
      <c r="I283" s="3"/>
      <c r="J283" s="3"/>
    </row>
    <row r="284" spans="7:10" x14ac:dyDescent="0.25">
      <c r="G284" s="17"/>
      <c r="I284" s="3"/>
      <c r="J284" s="3"/>
    </row>
    <row r="285" spans="7:10" x14ac:dyDescent="0.25">
      <c r="G285" s="17"/>
      <c r="I285" s="3"/>
      <c r="J285" s="3"/>
    </row>
    <row r="286" spans="7:10" x14ac:dyDescent="0.25">
      <c r="G286" s="17"/>
      <c r="I286" s="3"/>
      <c r="J286" s="3"/>
    </row>
    <row r="287" spans="7:10" x14ac:dyDescent="0.25">
      <c r="G287" s="17"/>
      <c r="I287" s="3"/>
      <c r="J287" s="3"/>
    </row>
    <row r="288" spans="7:10" x14ac:dyDescent="0.25">
      <c r="G288" s="17"/>
      <c r="I288" s="3"/>
      <c r="J288" s="3"/>
    </row>
    <row r="289" spans="7:10" x14ac:dyDescent="0.25">
      <c r="G289" s="17"/>
      <c r="I289" s="3"/>
      <c r="J289" s="3"/>
    </row>
    <row r="290" spans="7:10" x14ac:dyDescent="0.25">
      <c r="G290" s="17"/>
      <c r="I290" s="3"/>
      <c r="J290" s="3"/>
    </row>
    <row r="291" spans="7:10" x14ac:dyDescent="0.25">
      <c r="G291" s="17"/>
      <c r="I291" s="3"/>
      <c r="J291" s="3"/>
    </row>
  </sheetData>
  <autoFilter ref="B1:BB208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50"/>
  <sheetViews>
    <sheetView topLeftCell="G335" workbookViewId="0">
      <selection activeCell="K350" sqref="K350"/>
    </sheetView>
  </sheetViews>
  <sheetFormatPr defaultRowHeight="15" x14ac:dyDescent="0.25"/>
  <cols>
    <col min="1" max="1" width="7" style="6" customWidth="1"/>
    <col min="2" max="2" width="12.28515625" style="8" customWidth="1"/>
    <col min="3" max="3" width="32.140625" style="6" customWidth="1"/>
    <col min="4" max="4" width="14.5703125" style="6" customWidth="1"/>
    <col min="5" max="5" width="12.85546875" style="6" customWidth="1"/>
    <col min="6" max="6" width="45.28515625" style="6" customWidth="1"/>
    <col min="7" max="7" width="17.42578125" style="2" customWidth="1"/>
    <col min="8" max="8" width="12.42578125" style="2" customWidth="1"/>
    <col min="9" max="9" width="12.140625" style="6" customWidth="1"/>
    <col min="10" max="10" width="16.5703125" style="6" customWidth="1"/>
    <col min="11" max="11" width="18.85546875" style="8" customWidth="1"/>
    <col min="12" max="12" width="23.28515625" style="8" customWidth="1"/>
    <col min="13" max="13" width="30.5703125" style="8" customWidth="1"/>
    <col min="14" max="15" width="14.7109375" style="8" customWidth="1"/>
    <col min="16" max="16" width="30.42578125" style="8" customWidth="1"/>
    <col min="17" max="31" width="14.7109375" style="6" customWidth="1"/>
    <col min="32" max="32" width="14" style="8" customWidth="1"/>
    <col min="33" max="16384" width="9.140625" style="6"/>
  </cols>
  <sheetData>
    <row r="1" spans="1:33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9" t="s">
        <v>6</v>
      </c>
      <c r="I1" s="1" t="s">
        <v>7</v>
      </c>
      <c r="J1" s="1" t="s">
        <v>8</v>
      </c>
      <c r="K1" s="4" t="s">
        <v>9</v>
      </c>
      <c r="L1" s="1" t="s">
        <v>140</v>
      </c>
      <c r="M1" s="1" t="s">
        <v>11</v>
      </c>
      <c r="N1" s="1" t="s">
        <v>12</v>
      </c>
      <c r="O1" s="25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4" t="s">
        <v>30</v>
      </c>
      <c r="AG1" s="1" t="s">
        <v>31</v>
      </c>
    </row>
    <row r="2" spans="1:33" x14ac:dyDescent="0.25">
      <c r="A2" s="22"/>
      <c r="B2" s="23">
        <v>46030</v>
      </c>
      <c r="C2" s="21" t="s">
        <v>633</v>
      </c>
      <c r="D2" s="21" t="s">
        <v>1247</v>
      </c>
      <c r="E2" s="21" t="s">
        <v>637</v>
      </c>
      <c r="F2" s="21" t="s">
        <v>1248</v>
      </c>
      <c r="G2" s="21" t="s">
        <v>634</v>
      </c>
      <c r="H2" s="23">
        <v>46030</v>
      </c>
      <c r="I2" s="21" t="s">
        <v>169</v>
      </c>
      <c r="J2" s="21" t="s">
        <v>179</v>
      </c>
      <c r="K2" s="21" t="s">
        <v>155</v>
      </c>
      <c r="L2" s="21" t="s">
        <v>203</v>
      </c>
      <c r="M2" s="21" t="s">
        <v>183</v>
      </c>
      <c r="N2" s="21">
        <v>513</v>
      </c>
      <c r="O2" s="33">
        <v>72374.039999999994</v>
      </c>
      <c r="P2" s="21" t="s">
        <v>183</v>
      </c>
      <c r="Q2" s="21">
        <v>637244.65</v>
      </c>
      <c r="R2" s="21">
        <v>9</v>
      </c>
      <c r="S2" s="21">
        <v>6513.66</v>
      </c>
      <c r="T2" s="21">
        <v>9</v>
      </c>
      <c r="U2" s="21">
        <v>6513.66</v>
      </c>
      <c r="V2" s="21">
        <v>0</v>
      </c>
      <c r="W2" s="21">
        <v>0</v>
      </c>
      <c r="X2" s="21">
        <v>0</v>
      </c>
      <c r="Y2" s="21">
        <v>13027.32</v>
      </c>
      <c r="Z2" s="21">
        <v>0</v>
      </c>
      <c r="AA2" s="21" t="s">
        <v>176</v>
      </c>
      <c r="AB2" s="21" t="s">
        <v>168</v>
      </c>
      <c r="AC2" s="21">
        <v>39269080</v>
      </c>
      <c r="AD2" s="21" t="s">
        <v>201</v>
      </c>
      <c r="AE2" s="21">
        <v>1</v>
      </c>
      <c r="AF2" s="21">
        <v>513</v>
      </c>
      <c r="AG2" s="21" t="s">
        <v>202</v>
      </c>
    </row>
    <row r="3" spans="1:33" x14ac:dyDescent="0.25">
      <c r="A3" s="22"/>
      <c r="B3" s="23">
        <v>46030</v>
      </c>
      <c r="C3" s="21" t="s">
        <v>633</v>
      </c>
      <c r="D3" s="21" t="s">
        <v>1247</v>
      </c>
      <c r="E3" s="21" t="s">
        <v>637</v>
      </c>
      <c r="F3" s="21" t="s">
        <v>1248</v>
      </c>
      <c r="G3" s="21" t="s">
        <v>634</v>
      </c>
      <c r="H3" s="23">
        <v>46030</v>
      </c>
      <c r="I3" s="21" t="s">
        <v>169</v>
      </c>
      <c r="J3" s="21" t="s">
        <v>179</v>
      </c>
      <c r="K3" s="21" t="s">
        <v>155</v>
      </c>
      <c r="L3" s="21" t="s">
        <v>203</v>
      </c>
      <c r="M3" s="21" t="s">
        <v>183</v>
      </c>
      <c r="N3" s="21">
        <v>658</v>
      </c>
      <c r="O3" s="33">
        <v>94804.64</v>
      </c>
      <c r="P3" s="21" t="s">
        <v>183</v>
      </c>
      <c r="Q3" s="21">
        <v>0</v>
      </c>
      <c r="R3" s="21">
        <v>9</v>
      </c>
      <c r="S3" s="21">
        <v>8532.42</v>
      </c>
      <c r="T3" s="21">
        <v>9</v>
      </c>
      <c r="U3" s="21">
        <v>8532.42</v>
      </c>
      <c r="V3" s="21">
        <v>0</v>
      </c>
      <c r="W3" s="21">
        <v>0</v>
      </c>
      <c r="X3" s="21">
        <v>0</v>
      </c>
      <c r="Y3" s="21">
        <v>17064.84</v>
      </c>
      <c r="Z3" s="21">
        <v>0</v>
      </c>
      <c r="AA3" s="21" t="s">
        <v>176</v>
      </c>
      <c r="AB3" s="21" t="s">
        <v>168</v>
      </c>
      <c r="AC3" s="21">
        <v>39269080</v>
      </c>
      <c r="AD3" s="21" t="s">
        <v>201</v>
      </c>
      <c r="AE3" s="21">
        <v>1</v>
      </c>
      <c r="AF3" s="21">
        <v>658</v>
      </c>
      <c r="AG3" s="21" t="s">
        <v>202</v>
      </c>
    </row>
    <row r="4" spans="1:33" x14ac:dyDescent="0.25">
      <c r="A4" s="22"/>
      <c r="B4" s="23">
        <v>46030</v>
      </c>
      <c r="C4" s="21" t="s">
        <v>633</v>
      </c>
      <c r="D4" s="21" t="s">
        <v>1247</v>
      </c>
      <c r="E4" s="21" t="s">
        <v>637</v>
      </c>
      <c r="F4" s="21" t="s">
        <v>1248</v>
      </c>
      <c r="G4" s="21" t="s">
        <v>634</v>
      </c>
      <c r="H4" s="23">
        <v>46030</v>
      </c>
      <c r="I4" s="21" t="s">
        <v>169</v>
      </c>
      <c r="J4" s="21" t="s">
        <v>179</v>
      </c>
      <c r="K4" s="21" t="s">
        <v>156</v>
      </c>
      <c r="L4" s="21" t="s">
        <v>211</v>
      </c>
      <c r="M4" s="21" t="s">
        <v>178</v>
      </c>
      <c r="N4" s="33">
        <v>2229</v>
      </c>
      <c r="O4" s="33">
        <v>325612.32</v>
      </c>
      <c r="P4" s="21" t="s">
        <v>178</v>
      </c>
      <c r="Q4" s="21">
        <v>0</v>
      </c>
      <c r="R4" s="21">
        <v>9</v>
      </c>
      <c r="S4" s="21">
        <v>29305.11</v>
      </c>
      <c r="T4" s="21">
        <v>9</v>
      </c>
      <c r="U4" s="21">
        <v>29305.11</v>
      </c>
      <c r="V4" s="21">
        <v>0</v>
      </c>
      <c r="W4" s="21">
        <v>0</v>
      </c>
      <c r="X4" s="21">
        <v>0</v>
      </c>
      <c r="Y4" s="21">
        <v>58610.22</v>
      </c>
      <c r="Z4" s="21">
        <v>0</v>
      </c>
      <c r="AA4" s="21" t="s">
        <v>176</v>
      </c>
      <c r="AB4" s="21" t="s">
        <v>168</v>
      </c>
      <c r="AC4" s="21">
        <v>63053300</v>
      </c>
      <c r="AD4" s="21" t="s">
        <v>201</v>
      </c>
      <c r="AE4" s="21">
        <v>1</v>
      </c>
      <c r="AF4" s="33">
        <v>2229</v>
      </c>
      <c r="AG4" s="21" t="s">
        <v>202</v>
      </c>
    </row>
    <row r="5" spans="1:33" x14ac:dyDescent="0.25">
      <c r="A5" s="22"/>
      <c r="B5" s="23">
        <v>46030</v>
      </c>
      <c r="C5" s="21" t="s">
        <v>633</v>
      </c>
      <c r="D5" s="21" t="s">
        <v>1247</v>
      </c>
      <c r="E5" s="21" t="s">
        <v>637</v>
      </c>
      <c r="F5" s="21" t="s">
        <v>1248</v>
      </c>
      <c r="G5" s="21" t="s">
        <v>634</v>
      </c>
      <c r="H5" s="23">
        <v>46030</v>
      </c>
      <c r="I5" s="21" t="s">
        <v>169</v>
      </c>
      <c r="J5" s="21" t="s">
        <v>181</v>
      </c>
      <c r="K5" s="21" t="s">
        <v>154</v>
      </c>
      <c r="L5" s="21" t="s">
        <v>154</v>
      </c>
      <c r="M5" s="21" t="s">
        <v>181</v>
      </c>
      <c r="N5" s="21">
        <v>331.1</v>
      </c>
      <c r="O5" s="33">
        <v>47704.89</v>
      </c>
      <c r="P5" s="21" t="s">
        <v>181</v>
      </c>
      <c r="Q5" s="21">
        <v>0</v>
      </c>
      <c r="R5" s="21">
        <v>9</v>
      </c>
      <c r="S5" s="21">
        <v>4293.4399999999996</v>
      </c>
      <c r="T5" s="21">
        <v>9</v>
      </c>
      <c r="U5" s="21">
        <v>4293.4399999999996</v>
      </c>
      <c r="V5" s="21">
        <v>0</v>
      </c>
      <c r="W5" s="21">
        <v>0</v>
      </c>
      <c r="X5" s="21">
        <v>0</v>
      </c>
      <c r="Y5" s="21">
        <v>8586.8799999999992</v>
      </c>
      <c r="Z5" s="21">
        <v>0</v>
      </c>
      <c r="AA5" s="21" t="s">
        <v>176</v>
      </c>
      <c r="AB5" s="21" t="s">
        <v>168</v>
      </c>
      <c r="AC5" s="21">
        <v>3926908</v>
      </c>
      <c r="AD5" s="21" t="s">
        <v>201</v>
      </c>
      <c r="AE5" s="21">
        <v>1</v>
      </c>
      <c r="AF5" s="21">
        <v>331.1</v>
      </c>
      <c r="AG5" s="21" t="s">
        <v>202</v>
      </c>
    </row>
    <row r="6" spans="1:33" x14ac:dyDescent="0.25">
      <c r="A6" s="22"/>
      <c r="B6" s="23">
        <v>46030</v>
      </c>
      <c r="C6" s="21" t="s">
        <v>633</v>
      </c>
      <c r="D6" s="21" t="s">
        <v>1247</v>
      </c>
      <c r="E6" s="21" t="s">
        <v>647</v>
      </c>
      <c r="F6" s="21" t="s">
        <v>1248</v>
      </c>
      <c r="G6" s="21" t="s">
        <v>646</v>
      </c>
      <c r="H6" s="23">
        <v>46030</v>
      </c>
      <c r="I6" s="21" t="s">
        <v>639</v>
      </c>
      <c r="J6" s="21" t="s">
        <v>648</v>
      </c>
      <c r="K6" s="21" t="s">
        <v>166</v>
      </c>
      <c r="L6" s="21" t="s">
        <v>166</v>
      </c>
      <c r="M6" s="21" t="s">
        <v>650</v>
      </c>
      <c r="N6" s="33">
        <v>1375</v>
      </c>
      <c r="O6" s="33">
        <v>163735</v>
      </c>
      <c r="P6" s="21" t="s">
        <v>650</v>
      </c>
      <c r="Q6" s="21">
        <v>617616.18999999994</v>
      </c>
      <c r="R6" s="21">
        <v>9</v>
      </c>
      <c r="S6" s="21">
        <v>14736.15</v>
      </c>
      <c r="T6" s="21">
        <v>9</v>
      </c>
      <c r="U6" s="21">
        <v>14736.15</v>
      </c>
      <c r="V6" s="21">
        <v>0</v>
      </c>
      <c r="W6" s="21">
        <v>0</v>
      </c>
      <c r="X6" s="21">
        <v>0</v>
      </c>
      <c r="Y6" s="21">
        <v>29472.3</v>
      </c>
      <c r="Z6" s="21">
        <v>0</v>
      </c>
      <c r="AA6" s="21" t="s">
        <v>176</v>
      </c>
      <c r="AB6" s="21" t="s">
        <v>168</v>
      </c>
      <c r="AC6" s="21">
        <v>39021000</v>
      </c>
      <c r="AD6" s="21" t="s">
        <v>201</v>
      </c>
      <c r="AE6" s="21">
        <v>1</v>
      </c>
      <c r="AF6" s="33">
        <v>1375</v>
      </c>
      <c r="AG6" s="21" t="s">
        <v>202</v>
      </c>
    </row>
    <row r="7" spans="1:33" x14ac:dyDescent="0.25">
      <c r="A7" s="22"/>
      <c r="B7" s="23">
        <v>46030</v>
      </c>
      <c r="C7" s="21" t="s">
        <v>633</v>
      </c>
      <c r="D7" s="21" t="s">
        <v>1247</v>
      </c>
      <c r="E7" s="21" t="s">
        <v>647</v>
      </c>
      <c r="F7" s="21" t="s">
        <v>1248</v>
      </c>
      <c r="G7" s="21" t="s">
        <v>646</v>
      </c>
      <c r="H7" s="23">
        <v>46030</v>
      </c>
      <c r="I7" s="21" t="s">
        <v>639</v>
      </c>
      <c r="J7" s="21" t="s">
        <v>648</v>
      </c>
      <c r="K7" s="21" t="s">
        <v>316</v>
      </c>
      <c r="L7" s="21" t="s">
        <v>1249</v>
      </c>
      <c r="M7" s="21" t="s">
        <v>644</v>
      </c>
      <c r="N7" s="33">
        <v>1375</v>
      </c>
      <c r="O7" s="33">
        <v>151250</v>
      </c>
      <c r="P7" s="21" t="s">
        <v>644</v>
      </c>
      <c r="Q7" s="21">
        <v>0</v>
      </c>
      <c r="R7" s="21">
        <v>9</v>
      </c>
      <c r="S7" s="21">
        <v>13612.5</v>
      </c>
      <c r="T7" s="21">
        <v>9</v>
      </c>
      <c r="U7" s="21">
        <v>13612.5</v>
      </c>
      <c r="V7" s="21">
        <v>0</v>
      </c>
      <c r="W7" s="21">
        <v>0</v>
      </c>
      <c r="X7" s="21">
        <v>0</v>
      </c>
      <c r="Y7" s="21">
        <v>27225</v>
      </c>
      <c r="Z7" s="21">
        <v>0</v>
      </c>
      <c r="AA7" s="21" t="s">
        <v>176</v>
      </c>
      <c r="AB7" s="21" t="s">
        <v>168</v>
      </c>
      <c r="AC7" s="21">
        <v>39011020</v>
      </c>
      <c r="AD7" s="21" t="s">
        <v>201</v>
      </c>
      <c r="AE7" s="21">
        <v>1</v>
      </c>
      <c r="AF7" s="33">
        <v>1375</v>
      </c>
      <c r="AG7" s="21" t="s">
        <v>202</v>
      </c>
    </row>
    <row r="8" spans="1:33" x14ac:dyDescent="0.25">
      <c r="A8" s="22"/>
      <c r="B8" s="23">
        <v>46030</v>
      </c>
      <c r="C8" s="21" t="s">
        <v>633</v>
      </c>
      <c r="D8" s="21" t="s">
        <v>1247</v>
      </c>
      <c r="E8" s="21" t="s">
        <v>647</v>
      </c>
      <c r="F8" s="21" t="s">
        <v>1248</v>
      </c>
      <c r="G8" s="21" t="s">
        <v>646</v>
      </c>
      <c r="H8" s="23">
        <v>46030</v>
      </c>
      <c r="I8" s="21" t="s">
        <v>639</v>
      </c>
      <c r="J8" s="21" t="s">
        <v>648</v>
      </c>
      <c r="K8" s="21" t="s">
        <v>316</v>
      </c>
      <c r="L8" s="21" t="s">
        <v>1249</v>
      </c>
      <c r="M8" s="21" t="s">
        <v>652</v>
      </c>
      <c r="N8" s="33">
        <v>1375</v>
      </c>
      <c r="O8" s="33">
        <v>208862.5</v>
      </c>
      <c r="P8" s="21" t="s">
        <v>652</v>
      </c>
      <c r="Q8" s="21">
        <v>0</v>
      </c>
      <c r="R8" s="21">
        <v>9</v>
      </c>
      <c r="S8" s="21">
        <v>18797.62</v>
      </c>
      <c r="T8" s="21">
        <v>9</v>
      </c>
      <c r="U8" s="21">
        <v>18797.62</v>
      </c>
      <c r="V8" s="21">
        <v>0</v>
      </c>
      <c r="W8" s="21">
        <v>0</v>
      </c>
      <c r="X8" s="21">
        <v>0</v>
      </c>
      <c r="Y8" s="21">
        <v>37595.24</v>
      </c>
      <c r="Z8" s="21">
        <v>0</v>
      </c>
      <c r="AA8" s="21" t="s">
        <v>176</v>
      </c>
      <c r="AB8" s="21" t="s">
        <v>168</v>
      </c>
      <c r="AC8" s="21">
        <v>390110</v>
      </c>
      <c r="AD8" s="21" t="s">
        <v>201</v>
      </c>
      <c r="AE8" s="21">
        <v>1</v>
      </c>
      <c r="AF8" s="33">
        <v>1375</v>
      </c>
      <c r="AG8" s="21" t="s">
        <v>202</v>
      </c>
    </row>
    <row r="9" spans="1:33" x14ac:dyDescent="0.25">
      <c r="A9" s="22"/>
      <c r="B9" s="23">
        <v>46061</v>
      </c>
      <c r="C9" s="21" t="s">
        <v>663</v>
      </c>
      <c r="D9" s="21" t="s">
        <v>1247</v>
      </c>
      <c r="E9" s="21" t="s">
        <v>665</v>
      </c>
      <c r="F9" s="21" t="s">
        <v>1248</v>
      </c>
      <c r="G9" s="21" t="s">
        <v>664</v>
      </c>
      <c r="H9" s="23">
        <v>46030</v>
      </c>
      <c r="I9" s="21" t="s">
        <v>169</v>
      </c>
      <c r="J9" s="21" t="s">
        <v>175</v>
      </c>
      <c r="K9" s="21" t="s">
        <v>159</v>
      </c>
      <c r="L9" s="21" t="s">
        <v>159</v>
      </c>
      <c r="M9" s="21" t="s">
        <v>173</v>
      </c>
      <c r="N9" s="21">
        <v>394</v>
      </c>
      <c r="O9" s="33">
        <v>63993.48</v>
      </c>
      <c r="P9" s="21" t="s">
        <v>173</v>
      </c>
      <c r="Q9" s="21">
        <v>510580.08</v>
      </c>
      <c r="R9" s="21">
        <v>9</v>
      </c>
      <c r="S9" s="21">
        <v>5759.41</v>
      </c>
      <c r="T9" s="21">
        <v>9</v>
      </c>
      <c r="U9" s="21">
        <v>5759.41</v>
      </c>
      <c r="V9" s="21">
        <v>0</v>
      </c>
      <c r="W9" s="21">
        <v>0</v>
      </c>
      <c r="X9" s="21">
        <v>0</v>
      </c>
      <c r="Y9" s="21">
        <v>11518.82</v>
      </c>
      <c r="Z9" s="21">
        <v>0</v>
      </c>
      <c r="AA9" s="21" t="s">
        <v>185</v>
      </c>
      <c r="AB9" s="21" t="s">
        <v>168</v>
      </c>
      <c r="AC9" s="21">
        <v>39200000</v>
      </c>
      <c r="AD9" s="21" t="s">
        <v>201</v>
      </c>
      <c r="AE9" s="21">
        <v>1</v>
      </c>
      <c r="AF9" s="21">
        <v>394</v>
      </c>
      <c r="AG9" s="21" t="s">
        <v>202</v>
      </c>
    </row>
    <row r="10" spans="1:33" x14ac:dyDescent="0.25">
      <c r="A10" s="22"/>
      <c r="B10" s="23">
        <v>46061</v>
      </c>
      <c r="C10" s="21" t="s">
        <v>663</v>
      </c>
      <c r="D10" s="21" t="s">
        <v>1247</v>
      </c>
      <c r="E10" s="21" t="s">
        <v>665</v>
      </c>
      <c r="F10" s="21" t="s">
        <v>1248</v>
      </c>
      <c r="G10" s="21" t="s">
        <v>664</v>
      </c>
      <c r="H10" s="23">
        <v>46030</v>
      </c>
      <c r="I10" s="21" t="s">
        <v>169</v>
      </c>
      <c r="J10" s="21" t="s">
        <v>179</v>
      </c>
      <c r="K10" s="21" t="s">
        <v>155</v>
      </c>
      <c r="L10" s="21" t="s">
        <v>203</v>
      </c>
      <c r="M10" s="21" t="s">
        <v>183</v>
      </c>
      <c r="N10" s="33">
        <v>1911</v>
      </c>
      <c r="O10" s="33">
        <v>299052.39</v>
      </c>
      <c r="P10" s="21" t="s">
        <v>183</v>
      </c>
      <c r="Q10" s="21">
        <v>0</v>
      </c>
      <c r="R10" s="21">
        <v>9</v>
      </c>
      <c r="S10" s="21">
        <v>26914.720000000001</v>
      </c>
      <c r="T10" s="21">
        <v>9</v>
      </c>
      <c r="U10" s="21">
        <v>26914.720000000001</v>
      </c>
      <c r="V10" s="21">
        <v>0</v>
      </c>
      <c r="W10" s="21">
        <v>0</v>
      </c>
      <c r="X10" s="21">
        <v>0</v>
      </c>
      <c r="Y10" s="21">
        <v>53829.440000000002</v>
      </c>
      <c r="Z10" s="21">
        <v>0</v>
      </c>
      <c r="AA10" s="21" t="s">
        <v>185</v>
      </c>
      <c r="AB10" s="21" t="s">
        <v>168</v>
      </c>
      <c r="AC10" s="21">
        <v>39269080</v>
      </c>
      <c r="AD10" s="21" t="s">
        <v>201</v>
      </c>
      <c r="AE10" s="21">
        <v>1</v>
      </c>
      <c r="AF10" s="33">
        <v>1911</v>
      </c>
      <c r="AG10" s="21" t="s">
        <v>202</v>
      </c>
    </row>
    <row r="11" spans="1:33" x14ac:dyDescent="0.25">
      <c r="A11" s="22"/>
      <c r="B11" s="23">
        <v>46061</v>
      </c>
      <c r="C11" s="21" t="s">
        <v>663</v>
      </c>
      <c r="D11" s="21" t="s">
        <v>1247</v>
      </c>
      <c r="E11" s="21" t="s">
        <v>665</v>
      </c>
      <c r="F11" s="21" t="s">
        <v>1248</v>
      </c>
      <c r="G11" s="21" t="s">
        <v>664</v>
      </c>
      <c r="H11" s="23">
        <v>46030</v>
      </c>
      <c r="I11" s="21" t="s">
        <v>169</v>
      </c>
      <c r="J11" s="21" t="s">
        <v>179</v>
      </c>
      <c r="K11" s="21" t="s">
        <v>155</v>
      </c>
      <c r="L11" s="21" t="s">
        <v>203</v>
      </c>
      <c r="M11" s="21" t="s">
        <v>183</v>
      </c>
      <c r="N11" s="21">
        <v>439</v>
      </c>
      <c r="O11" s="33">
        <v>70016.11</v>
      </c>
      <c r="P11" s="21" t="s">
        <v>183</v>
      </c>
      <c r="Q11" s="21">
        <v>0</v>
      </c>
      <c r="R11" s="21">
        <v>9</v>
      </c>
      <c r="S11" s="21">
        <v>6301.45</v>
      </c>
      <c r="T11" s="21">
        <v>9</v>
      </c>
      <c r="U11" s="21">
        <v>6301.45</v>
      </c>
      <c r="V11" s="21">
        <v>0</v>
      </c>
      <c r="W11" s="21">
        <v>0</v>
      </c>
      <c r="X11" s="21">
        <v>0</v>
      </c>
      <c r="Y11" s="21">
        <v>12602.9</v>
      </c>
      <c r="Z11" s="21">
        <v>0</v>
      </c>
      <c r="AA11" s="21" t="s">
        <v>185</v>
      </c>
      <c r="AB11" s="21" t="s">
        <v>168</v>
      </c>
      <c r="AC11" s="21">
        <v>39269080</v>
      </c>
      <c r="AD11" s="21" t="s">
        <v>201</v>
      </c>
      <c r="AE11" s="21">
        <v>1</v>
      </c>
      <c r="AF11" s="21">
        <v>439</v>
      </c>
      <c r="AG11" s="21" t="s">
        <v>202</v>
      </c>
    </row>
    <row r="12" spans="1:33" x14ac:dyDescent="0.25">
      <c r="A12" s="22"/>
      <c r="B12" s="23">
        <v>46061</v>
      </c>
      <c r="C12" s="21" t="s">
        <v>633</v>
      </c>
      <c r="D12" s="21" t="s">
        <v>1247</v>
      </c>
      <c r="E12" s="21" t="s">
        <v>669</v>
      </c>
      <c r="F12" s="21" t="s">
        <v>1248</v>
      </c>
      <c r="G12" s="21" t="s">
        <v>668</v>
      </c>
      <c r="H12" s="23">
        <v>46061</v>
      </c>
      <c r="I12" s="21" t="s">
        <v>169</v>
      </c>
      <c r="J12" s="21" t="s">
        <v>175</v>
      </c>
      <c r="K12" s="21" t="s">
        <v>159</v>
      </c>
      <c r="L12" s="21" t="s">
        <v>159</v>
      </c>
      <c r="M12" s="21" t="s">
        <v>173</v>
      </c>
      <c r="N12" s="21">
        <v>101</v>
      </c>
      <c r="O12" s="33">
        <v>17862.86</v>
      </c>
      <c r="P12" s="21" t="s">
        <v>173</v>
      </c>
      <c r="Q12" s="21">
        <v>21060.32</v>
      </c>
      <c r="R12" s="21">
        <v>9</v>
      </c>
      <c r="S12" s="21">
        <v>1607.66</v>
      </c>
      <c r="T12" s="21">
        <v>9</v>
      </c>
      <c r="U12" s="21">
        <v>1607.66</v>
      </c>
      <c r="V12" s="21">
        <v>0</v>
      </c>
      <c r="W12" s="21">
        <v>0</v>
      </c>
      <c r="X12" s="21">
        <v>0</v>
      </c>
      <c r="Y12" s="21">
        <v>3215.32</v>
      </c>
      <c r="Z12" s="21">
        <v>0</v>
      </c>
      <c r="AA12" s="21" t="s">
        <v>176</v>
      </c>
      <c r="AB12" s="21" t="s">
        <v>168</v>
      </c>
      <c r="AC12" s="21">
        <v>39200000</v>
      </c>
      <c r="AD12" s="21" t="s">
        <v>201</v>
      </c>
      <c r="AE12" s="21">
        <v>1</v>
      </c>
      <c r="AF12" s="21">
        <v>101</v>
      </c>
      <c r="AG12" s="21" t="s">
        <v>202</v>
      </c>
    </row>
    <row r="13" spans="1:33" x14ac:dyDescent="0.25">
      <c r="A13" s="22"/>
      <c r="B13" s="23">
        <v>46061</v>
      </c>
      <c r="C13" s="21" t="s">
        <v>633</v>
      </c>
      <c r="D13" s="21" t="s">
        <v>1247</v>
      </c>
      <c r="E13" s="21" t="s">
        <v>673</v>
      </c>
      <c r="F13" s="21" t="s">
        <v>1248</v>
      </c>
      <c r="G13" s="21" t="s">
        <v>672</v>
      </c>
      <c r="H13" s="23">
        <v>46061</v>
      </c>
      <c r="I13" s="21" t="s">
        <v>169</v>
      </c>
      <c r="J13" s="21" t="s">
        <v>175</v>
      </c>
      <c r="K13" s="21" t="s">
        <v>159</v>
      </c>
      <c r="L13" s="21" t="s">
        <v>159</v>
      </c>
      <c r="M13" s="21" t="s">
        <v>228</v>
      </c>
      <c r="N13" s="21">
        <v>11.8</v>
      </c>
      <c r="O13" s="33">
        <v>3374.8</v>
      </c>
      <c r="P13" s="21" t="s">
        <v>228</v>
      </c>
      <c r="Q13" s="21">
        <v>668483.66</v>
      </c>
      <c r="R13" s="21">
        <v>9</v>
      </c>
      <c r="S13" s="21">
        <v>303.73</v>
      </c>
      <c r="T13" s="21">
        <v>9</v>
      </c>
      <c r="U13" s="21">
        <v>303.73</v>
      </c>
      <c r="V13" s="21">
        <v>0</v>
      </c>
      <c r="W13" s="21">
        <v>0</v>
      </c>
      <c r="X13" s="21">
        <v>0</v>
      </c>
      <c r="Y13" s="21">
        <v>607.46</v>
      </c>
      <c r="Z13" s="21">
        <v>0</v>
      </c>
      <c r="AA13" s="21" t="s">
        <v>176</v>
      </c>
      <c r="AB13" s="21" t="s">
        <v>168</v>
      </c>
      <c r="AC13" s="21">
        <v>3920101</v>
      </c>
      <c r="AD13" s="21" t="s">
        <v>201</v>
      </c>
      <c r="AE13" s="21">
        <v>1</v>
      </c>
      <c r="AF13" s="21">
        <v>11.8</v>
      </c>
      <c r="AG13" s="21" t="s">
        <v>202</v>
      </c>
    </row>
    <row r="14" spans="1:33" x14ac:dyDescent="0.25">
      <c r="A14" s="22"/>
      <c r="B14" s="23">
        <v>46061</v>
      </c>
      <c r="C14" s="21" t="s">
        <v>633</v>
      </c>
      <c r="D14" s="21" t="s">
        <v>1247</v>
      </c>
      <c r="E14" s="21" t="s">
        <v>673</v>
      </c>
      <c r="F14" s="21" t="s">
        <v>1248</v>
      </c>
      <c r="G14" s="21" t="s">
        <v>672</v>
      </c>
      <c r="H14" s="23">
        <v>46061</v>
      </c>
      <c r="I14" s="21" t="s">
        <v>169</v>
      </c>
      <c r="J14" s="21" t="s">
        <v>179</v>
      </c>
      <c r="K14" s="21" t="s">
        <v>155</v>
      </c>
      <c r="L14" s="21" t="s">
        <v>203</v>
      </c>
      <c r="M14" s="21" t="s">
        <v>183</v>
      </c>
      <c r="N14" s="21">
        <v>755</v>
      </c>
      <c r="O14" s="33">
        <v>108780.4</v>
      </c>
      <c r="P14" s="21" t="s">
        <v>183</v>
      </c>
      <c r="Q14" s="21">
        <v>0</v>
      </c>
      <c r="R14" s="21">
        <v>9</v>
      </c>
      <c r="S14" s="21">
        <v>9790.24</v>
      </c>
      <c r="T14" s="21">
        <v>9</v>
      </c>
      <c r="U14" s="21">
        <v>9790.24</v>
      </c>
      <c r="V14" s="21">
        <v>0</v>
      </c>
      <c r="W14" s="21">
        <v>0</v>
      </c>
      <c r="X14" s="21">
        <v>0</v>
      </c>
      <c r="Y14" s="21">
        <v>19580.48</v>
      </c>
      <c r="Z14" s="21">
        <v>0</v>
      </c>
      <c r="AA14" s="21" t="s">
        <v>176</v>
      </c>
      <c r="AB14" s="21" t="s">
        <v>168</v>
      </c>
      <c r="AC14" s="21">
        <v>39269080</v>
      </c>
      <c r="AD14" s="21" t="s">
        <v>201</v>
      </c>
      <c r="AE14" s="21">
        <v>1</v>
      </c>
      <c r="AF14" s="21">
        <v>755</v>
      </c>
      <c r="AG14" s="21" t="s">
        <v>202</v>
      </c>
    </row>
    <row r="15" spans="1:33" x14ac:dyDescent="0.25">
      <c r="A15" s="22"/>
      <c r="B15" s="23">
        <v>46061</v>
      </c>
      <c r="C15" s="21" t="s">
        <v>633</v>
      </c>
      <c r="D15" s="21" t="s">
        <v>1247</v>
      </c>
      <c r="E15" s="21" t="s">
        <v>673</v>
      </c>
      <c r="F15" s="21" t="s">
        <v>1248</v>
      </c>
      <c r="G15" s="21" t="s">
        <v>672</v>
      </c>
      <c r="H15" s="23">
        <v>46061</v>
      </c>
      <c r="I15" s="21" t="s">
        <v>169</v>
      </c>
      <c r="J15" s="21" t="s">
        <v>179</v>
      </c>
      <c r="K15" s="21" t="s">
        <v>156</v>
      </c>
      <c r="L15" s="21" t="s">
        <v>211</v>
      </c>
      <c r="M15" s="21" t="s">
        <v>178</v>
      </c>
      <c r="N15" s="33">
        <v>2131</v>
      </c>
      <c r="O15" s="33">
        <v>311296.48</v>
      </c>
      <c r="P15" s="21" t="s">
        <v>178</v>
      </c>
      <c r="Q15" s="21">
        <v>0</v>
      </c>
      <c r="R15" s="21">
        <v>9</v>
      </c>
      <c r="S15" s="21">
        <v>28016.68</v>
      </c>
      <c r="T15" s="21">
        <v>9</v>
      </c>
      <c r="U15" s="21">
        <v>28016.68</v>
      </c>
      <c r="V15" s="21">
        <v>0</v>
      </c>
      <c r="W15" s="21">
        <v>0</v>
      </c>
      <c r="X15" s="21">
        <v>0</v>
      </c>
      <c r="Y15" s="21">
        <v>56033.36</v>
      </c>
      <c r="Z15" s="21">
        <v>0</v>
      </c>
      <c r="AA15" s="21" t="s">
        <v>176</v>
      </c>
      <c r="AB15" s="21" t="s">
        <v>168</v>
      </c>
      <c r="AC15" s="21">
        <v>63053300</v>
      </c>
      <c r="AD15" s="21" t="s">
        <v>201</v>
      </c>
      <c r="AE15" s="21">
        <v>1</v>
      </c>
      <c r="AF15" s="33">
        <v>2131</v>
      </c>
      <c r="AG15" s="21" t="s">
        <v>202</v>
      </c>
    </row>
    <row r="16" spans="1:33" x14ac:dyDescent="0.25">
      <c r="A16" s="22"/>
      <c r="B16" s="23">
        <v>46061</v>
      </c>
      <c r="C16" s="21" t="s">
        <v>633</v>
      </c>
      <c r="D16" s="21" t="s">
        <v>1247</v>
      </c>
      <c r="E16" s="21" t="s">
        <v>673</v>
      </c>
      <c r="F16" s="21" t="s">
        <v>1248</v>
      </c>
      <c r="G16" s="21" t="s">
        <v>672</v>
      </c>
      <c r="H16" s="23">
        <v>46061</v>
      </c>
      <c r="I16" s="21" t="s">
        <v>169</v>
      </c>
      <c r="J16" s="21" t="s">
        <v>179</v>
      </c>
      <c r="K16" s="21" t="s">
        <v>156</v>
      </c>
      <c r="L16" s="21" t="s">
        <v>211</v>
      </c>
      <c r="M16" s="21" t="s">
        <v>178</v>
      </c>
      <c r="N16" s="21">
        <v>302</v>
      </c>
      <c r="O16" s="33">
        <v>43210.16</v>
      </c>
      <c r="P16" s="21" t="s">
        <v>178</v>
      </c>
      <c r="Q16" s="21">
        <v>0</v>
      </c>
      <c r="R16" s="21">
        <v>9</v>
      </c>
      <c r="S16" s="21">
        <v>3888.91</v>
      </c>
      <c r="T16" s="21">
        <v>9</v>
      </c>
      <c r="U16" s="21">
        <v>3888.91</v>
      </c>
      <c r="V16" s="21">
        <v>0</v>
      </c>
      <c r="W16" s="21">
        <v>0</v>
      </c>
      <c r="X16" s="21">
        <v>0</v>
      </c>
      <c r="Y16" s="21">
        <v>7777.82</v>
      </c>
      <c r="Z16" s="21">
        <v>0</v>
      </c>
      <c r="AA16" s="21" t="s">
        <v>176</v>
      </c>
      <c r="AB16" s="21" t="s">
        <v>168</v>
      </c>
      <c r="AC16" s="21">
        <v>63053300</v>
      </c>
      <c r="AD16" s="21" t="s">
        <v>201</v>
      </c>
      <c r="AE16" s="21">
        <v>1</v>
      </c>
      <c r="AF16" s="21">
        <v>302</v>
      </c>
      <c r="AG16" s="21" t="s">
        <v>202</v>
      </c>
    </row>
    <row r="17" spans="1:33" x14ac:dyDescent="0.25">
      <c r="A17" s="22"/>
      <c r="B17" s="23">
        <v>46061</v>
      </c>
      <c r="C17" s="21" t="s">
        <v>633</v>
      </c>
      <c r="D17" s="21" t="s">
        <v>1247</v>
      </c>
      <c r="E17" s="21" t="s">
        <v>673</v>
      </c>
      <c r="F17" s="21" t="s">
        <v>1248</v>
      </c>
      <c r="G17" s="21" t="s">
        <v>672</v>
      </c>
      <c r="H17" s="23">
        <v>46061</v>
      </c>
      <c r="I17" s="21" t="s">
        <v>169</v>
      </c>
      <c r="J17" s="21" t="s">
        <v>181</v>
      </c>
      <c r="K17" s="21" t="s">
        <v>154</v>
      </c>
      <c r="L17" s="21" t="s">
        <v>154</v>
      </c>
      <c r="M17" s="21" t="s">
        <v>181</v>
      </c>
      <c r="N17" s="21">
        <v>446.1</v>
      </c>
      <c r="O17" s="33">
        <v>64274.09</v>
      </c>
      <c r="P17" s="21" t="s">
        <v>181</v>
      </c>
      <c r="Q17" s="21">
        <v>0</v>
      </c>
      <c r="R17" s="21">
        <v>9</v>
      </c>
      <c r="S17" s="21">
        <v>5784.67</v>
      </c>
      <c r="T17" s="21">
        <v>9</v>
      </c>
      <c r="U17" s="21">
        <v>5784.67</v>
      </c>
      <c r="V17" s="21">
        <v>0</v>
      </c>
      <c r="W17" s="21">
        <v>0</v>
      </c>
      <c r="X17" s="21">
        <v>0</v>
      </c>
      <c r="Y17" s="21">
        <v>11569.34</v>
      </c>
      <c r="Z17" s="21">
        <v>0</v>
      </c>
      <c r="AA17" s="21" t="s">
        <v>176</v>
      </c>
      <c r="AB17" s="21" t="s">
        <v>168</v>
      </c>
      <c r="AC17" s="21">
        <v>3926908</v>
      </c>
      <c r="AD17" s="21" t="s">
        <v>201</v>
      </c>
      <c r="AE17" s="21">
        <v>1</v>
      </c>
      <c r="AF17" s="21">
        <v>446.1</v>
      </c>
      <c r="AG17" s="21" t="s">
        <v>202</v>
      </c>
    </row>
    <row r="18" spans="1:33" x14ac:dyDescent="0.25">
      <c r="A18" s="22"/>
      <c r="B18" s="23">
        <v>46061</v>
      </c>
      <c r="C18" s="21" t="s">
        <v>633</v>
      </c>
      <c r="D18" s="21" t="s">
        <v>1247</v>
      </c>
      <c r="E18" s="21" t="s">
        <v>673</v>
      </c>
      <c r="F18" s="21" t="s">
        <v>1248</v>
      </c>
      <c r="G18" s="21" t="s">
        <v>672</v>
      </c>
      <c r="H18" s="23">
        <v>46061</v>
      </c>
      <c r="I18" s="21" t="s">
        <v>188</v>
      </c>
      <c r="J18" s="21" t="s">
        <v>153</v>
      </c>
      <c r="K18" s="21" t="s">
        <v>153</v>
      </c>
      <c r="L18" s="21" t="s">
        <v>211</v>
      </c>
      <c r="M18" s="21" t="s">
        <v>153</v>
      </c>
      <c r="N18" s="21">
        <v>252</v>
      </c>
      <c r="O18" s="33">
        <v>36056.160000000003</v>
      </c>
      <c r="P18" s="21" t="s">
        <v>153</v>
      </c>
      <c r="Q18" s="21">
        <v>0</v>
      </c>
      <c r="R18" s="21">
        <v>9</v>
      </c>
      <c r="S18" s="21">
        <v>3245.05</v>
      </c>
      <c r="T18" s="21">
        <v>9</v>
      </c>
      <c r="U18" s="21">
        <v>3245.05</v>
      </c>
      <c r="V18" s="21">
        <v>0</v>
      </c>
      <c r="W18" s="21">
        <v>0</v>
      </c>
      <c r="X18" s="21">
        <v>0</v>
      </c>
      <c r="Y18" s="21">
        <v>6490.1</v>
      </c>
      <c r="Z18" s="21">
        <v>0</v>
      </c>
      <c r="AA18" s="21" t="s">
        <v>176</v>
      </c>
      <c r="AB18" s="21" t="s">
        <v>168</v>
      </c>
      <c r="AC18" s="21">
        <v>39269080</v>
      </c>
      <c r="AD18" s="21" t="s">
        <v>201</v>
      </c>
      <c r="AE18" s="21">
        <v>1</v>
      </c>
      <c r="AF18" s="21">
        <v>252</v>
      </c>
      <c r="AG18" s="21" t="s">
        <v>202</v>
      </c>
    </row>
    <row r="19" spans="1:33" x14ac:dyDescent="0.25">
      <c r="A19" s="22"/>
      <c r="B19" s="23">
        <v>46061</v>
      </c>
      <c r="C19" s="21" t="s">
        <v>656</v>
      </c>
      <c r="D19" s="21" t="s">
        <v>1247</v>
      </c>
      <c r="E19" s="21" t="s">
        <v>658</v>
      </c>
      <c r="F19" s="21" t="s">
        <v>1248</v>
      </c>
      <c r="G19" s="21" t="s">
        <v>657</v>
      </c>
      <c r="H19" s="23">
        <v>46030</v>
      </c>
      <c r="I19" s="21" t="s">
        <v>169</v>
      </c>
      <c r="J19" s="21" t="s">
        <v>179</v>
      </c>
      <c r="K19" s="21" t="s">
        <v>155</v>
      </c>
      <c r="L19" s="21" t="s">
        <v>203</v>
      </c>
      <c r="M19" s="21" t="s">
        <v>183</v>
      </c>
      <c r="N19" s="33">
        <v>4445</v>
      </c>
      <c r="O19" s="33">
        <v>542290</v>
      </c>
      <c r="P19" s="21" t="s">
        <v>183</v>
      </c>
      <c r="Q19" s="21">
        <v>639359.91</v>
      </c>
      <c r="R19" s="21">
        <v>9</v>
      </c>
      <c r="S19" s="21">
        <v>48806.1</v>
      </c>
      <c r="T19" s="21">
        <v>9</v>
      </c>
      <c r="U19" s="21">
        <v>48806.1</v>
      </c>
      <c r="V19" s="21">
        <v>0</v>
      </c>
      <c r="W19" s="21">
        <v>0</v>
      </c>
      <c r="X19" s="21">
        <v>0</v>
      </c>
      <c r="Y19" s="21">
        <v>97612.2</v>
      </c>
      <c r="Z19" s="21">
        <v>0</v>
      </c>
      <c r="AA19" s="21" t="s">
        <v>176</v>
      </c>
      <c r="AB19" s="21" t="s">
        <v>168</v>
      </c>
      <c r="AC19" s="21">
        <v>39269080</v>
      </c>
      <c r="AD19" s="21" t="s">
        <v>201</v>
      </c>
      <c r="AE19" s="21">
        <v>1</v>
      </c>
      <c r="AF19" s="33">
        <v>4445</v>
      </c>
      <c r="AG19" s="21" t="s">
        <v>202</v>
      </c>
    </row>
    <row r="20" spans="1:33" x14ac:dyDescent="0.25">
      <c r="A20" s="22"/>
      <c r="B20" s="23">
        <v>46089</v>
      </c>
      <c r="C20" s="21" t="s">
        <v>663</v>
      </c>
      <c r="D20" s="21" t="s">
        <v>1247</v>
      </c>
      <c r="E20" s="21" t="s">
        <v>685</v>
      </c>
      <c r="F20" s="21" t="s">
        <v>1248</v>
      </c>
      <c r="G20" s="21" t="s">
        <v>684</v>
      </c>
      <c r="H20" s="23">
        <v>46061</v>
      </c>
      <c r="I20" s="21" t="s">
        <v>188</v>
      </c>
      <c r="J20" s="21" t="s">
        <v>286</v>
      </c>
      <c r="K20" s="21" t="s">
        <v>287</v>
      </c>
      <c r="L20" s="21" t="s">
        <v>200</v>
      </c>
      <c r="M20" s="21" t="s">
        <v>288</v>
      </c>
      <c r="N20" s="33">
        <v>2458.1999999999998</v>
      </c>
      <c r="O20" s="33">
        <v>567008.41</v>
      </c>
      <c r="P20" s="21" t="s">
        <v>288</v>
      </c>
      <c r="Q20" s="21">
        <v>668502.92000000004</v>
      </c>
      <c r="R20" s="21">
        <v>9</v>
      </c>
      <c r="S20" s="21">
        <v>51030.76</v>
      </c>
      <c r="T20" s="21">
        <v>9</v>
      </c>
      <c r="U20" s="21">
        <v>51030.76</v>
      </c>
      <c r="V20" s="21">
        <v>0</v>
      </c>
      <c r="W20" s="21">
        <v>0</v>
      </c>
      <c r="X20" s="21">
        <v>0</v>
      </c>
      <c r="Y20" s="21">
        <v>102061.52</v>
      </c>
      <c r="Z20" s="21">
        <v>0</v>
      </c>
      <c r="AA20" s="21" t="s">
        <v>185</v>
      </c>
      <c r="AB20" s="21" t="s">
        <v>168</v>
      </c>
      <c r="AC20" s="21">
        <v>39232990</v>
      </c>
      <c r="AD20" s="21" t="s">
        <v>201</v>
      </c>
      <c r="AE20" s="21">
        <v>1</v>
      </c>
      <c r="AF20" s="33">
        <v>2458.1999999999998</v>
      </c>
      <c r="AG20" s="21" t="s">
        <v>202</v>
      </c>
    </row>
    <row r="21" spans="1:33" x14ac:dyDescent="0.25">
      <c r="A21" s="22"/>
      <c r="B21" s="23">
        <v>46089</v>
      </c>
      <c r="C21" s="21" t="s">
        <v>677</v>
      </c>
      <c r="D21" s="21" t="s">
        <v>1247</v>
      </c>
      <c r="E21" s="21" t="s">
        <v>693</v>
      </c>
      <c r="F21" s="21" t="s">
        <v>1248</v>
      </c>
      <c r="G21" s="21" t="s">
        <v>692</v>
      </c>
      <c r="H21" s="23">
        <v>46089</v>
      </c>
      <c r="I21" s="21" t="s">
        <v>188</v>
      </c>
      <c r="J21" s="21" t="s">
        <v>152</v>
      </c>
      <c r="K21" s="21" t="s">
        <v>152</v>
      </c>
      <c r="L21" s="21" t="s">
        <v>200</v>
      </c>
      <c r="M21" s="21" t="s">
        <v>191</v>
      </c>
      <c r="N21" s="33">
        <v>3557</v>
      </c>
      <c r="O21" s="33">
        <v>1164277.24</v>
      </c>
      <c r="P21" s="21" t="s">
        <v>191</v>
      </c>
      <c r="Q21" s="21">
        <v>1372682.86</v>
      </c>
      <c r="R21" s="21">
        <v>9</v>
      </c>
      <c r="S21" s="21">
        <v>104784.95</v>
      </c>
      <c r="T21" s="21">
        <v>9</v>
      </c>
      <c r="U21" s="21">
        <v>104784.95</v>
      </c>
      <c r="V21" s="21">
        <v>0</v>
      </c>
      <c r="W21" s="21">
        <v>0</v>
      </c>
      <c r="X21" s="21">
        <v>0</v>
      </c>
      <c r="Y21" s="21">
        <v>209569.9</v>
      </c>
      <c r="Z21" s="21">
        <v>0</v>
      </c>
      <c r="AA21" s="21" t="s">
        <v>171</v>
      </c>
      <c r="AB21" s="21" t="s">
        <v>168</v>
      </c>
      <c r="AC21" s="21">
        <v>63053200</v>
      </c>
      <c r="AD21" s="21" t="s">
        <v>201</v>
      </c>
      <c r="AE21" s="21">
        <v>1</v>
      </c>
      <c r="AF21" s="33">
        <v>3557</v>
      </c>
      <c r="AG21" s="21" t="s">
        <v>202</v>
      </c>
    </row>
    <row r="22" spans="1:33" x14ac:dyDescent="0.25">
      <c r="A22" s="22"/>
      <c r="B22" s="23">
        <v>46089</v>
      </c>
      <c r="C22" s="21" t="s">
        <v>633</v>
      </c>
      <c r="D22" s="21" t="s">
        <v>1247</v>
      </c>
      <c r="E22" s="21" t="s">
        <v>689</v>
      </c>
      <c r="F22" s="21" t="s">
        <v>1248</v>
      </c>
      <c r="G22" s="21" t="s">
        <v>688</v>
      </c>
      <c r="H22" s="23">
        <v>46089</v>
      </c>
      <c r="I22" s="21" t="s">
        <v>169</v>
      </c>
      <c r="J22" s="21" t="s">
        <v>175</v>
      </c>
      <c r="K22" s="21" t="s">
        <v>159</v>
      </c>
      <c r="L22" s="21" t="s">
        <v>159</v>
      </c>
      <c r="M22" s="21" t="s">
        <v>173</v>
      </c>
      <c r="N22" s="33">
        <v>1690.3</v>
      </c>
      <c r="O22" s="33">
        <v>339513.66</v>
      </c>
      <c r="P22" s="21" t="s">
        <v>173</v>
      </c>
      <c r="Q22" s="21">
        <v>519988.19</v>
      </c>
      <c r="R22" s="21">
        <v>9</v>
      </c>
      <c r="S22" s="21">
        <v>30556.23</v>
      </c>
      <c r="T22" s="21">
        <v>9</v>
      </c>
      <c r="U22" s="21">
        <v>30556.23</v>
      </c>
      <c r="V22" s="21">
        <v>0</v>
      </c>
      <c r="W22" s="21">
        <v>0</v>
      </c>
      <c r="X22" s="21">
        <v>0</v>
      </c>
      <c r="Y22" s="21">
        <v>61112.46</v>
      </c>
      <c r="Z22" s="21">
        <v>0</v>
      </c>
      <c r="AA22" s="21" t="s">
        <v>176</v>
      </c>
      <c r="AB22" s="21" t="s">
        <v>168</v>
      </c>
      <c r="AC22" s="21">
        <v>39200000</v>
      </c>
      <c r="AD22" s="21" t="s">
        <v>201</v>
      </c>
      <c r="AE22" s="21">
        <v>1</v>
      </c>
      <c r="AF22" s="33">
        <v>1690.3</v>
      </c>
      <c r="AG22" s="21" t="s">
        <v>202</v>
      </c>
    </row>
    <row r="23" spans="1:33" x14ac:dyDescent="0.25">
      <c r="A23" s="22"/>
      <c r="B23" s="23">
        <v>46089</v>
      </c>
      <c r="C23" s="21" t="s">
        <v>633</v>
      </c>
      <c r="D23" s="21" t="s">
        <v>1247</v>
      </c>
      <c r="E23" s="21" t="s">
        <v>689</v>
      </c>
      <c r="F23" s="21" t="s">
        <v>1248</v>
      </c>
      <c r="G23" s="21" t="s">
        <v>688</v>
      </c>
      <c r="H23" s="23">
        <v>46089</v>
      </c>
      <c r="I23" s="21" t="s">
        <v>169</v>
      </c>
      <c r="J23" s="21" t="s">
        <v>179</v>
      </c>
      <c r="K23" s="21" t="s">
        <v>156</v>
      </c>
      <c r="L23" s="21" t="s">
        <v>211</v>
      </c>
      <c r="M23" s="21" t="s">
        <v>178</v>
      </c>
      <c r="N23" s="21">
        <v>178</v>
      </c>
      <c r="O23" s="33">
        <v>25468.240000000002</v>
      </c>
      <c r="P23" s="21" t="s">
        <v>178</v>
      </c>
      <c r="Q23" s="21">
        <v>0</v>
      </c>
      <c r="R23" s="21">
        <v>9</v>
      </c>
      <c r="S23" s="21">
        <v>2292.14</v>
      </c>
      <c r="T23" s="21">
        <v>9</v>
      </c>
      <c r="U23" s="21">
        <v>2292.14</v>
      </c>
      <c r="V23" s="21">
        <v>0</v>
      </c>
      <c r="W23" s="21">
        <v>0</v>
      </c>
      <c r="X23" s="21">
        <v>0</v>
      </c>
      <c r="Y23" s="21">
        <v>4584.28</v>
      </c>
      <c r="Z23" s="21">
        <v>0</v>
      </c>
      <c r="AA23" s="21" t="s">
        <v>176</v>
      </c>
      <c r="AB23" s="21" t="s">
        <v>168</v>
      </c>
      <c r="AC23" s="21">
        <v>63053300</v>
      </c>
      <c r="AD23" s="21" t="s">
        <v>201</v>
      </c>
      <c r="AE23" s="21">
        <v>1</v>
      </c>
      <c r="AF23" s="21">
        <v>178</v>
      </c>
      <c r="AG23" s="21" t="s">
        <v>202</v>
      </c>
    </row>
    <row r="24" spans="1:33" x14ac:dyDescent="0.25">
      <c r="A24" s="22"/>
      <c r="B24" s="23">
        <v>46089</v>
      </c>
      <c r="C24" s="21" t="s">
        <v>633</v>
      </c>
      <c r="D24" s="21" t="s">
        <v>1247</v>
      </c>
      <c r="E24" s="21" t="s">
        <v>689</v>
      </c>
      <c r="F24" s="21" t="s">
        <v>1248</v>
      </c>
      <c r="G24" s="21" t="s">
        <v>688</v>
      </c>
      <c r="H24" s="23">
        <v>46089</v>
      </c>
      <c r="I24" s="21" t="s">
        <v>169</v>
      </c>
      <c r="J24" s="21" t="s">
        <v>181</v>
      </c>
      <c r="K24" s="21" t="s">
        <v>154</v>
      </c>
      <c r="L24" s="21" t="s">
        <v>154</v>
      </c>
      <c r="M24" s="21" t="s">
        <v>181</v>
      </c>
      <c r="N24" s="21">
        <v>527.9</v>
      </c>
      <c r="O24" s="33">
        <v>76059.83</v>
      </c>
      <c r="P24" s="21" t="s">
        <v>181</v>
      </c>
      <c r="Q24" s="21">
        <v>0</v>
      </c>
      <c r="R24" s="21">
        <v>9</v>
      </c>
      <c r="S24" s="21">
        <v>6845.38</v>
      </c>
      <c r="T24" s="21">
        <v>9</v>
      </c>
      <c r="U24" s="21">
        <v>6845.38</v>
      </c>
      <c r="V24" s="21">
        <v>0</v>
      </c>
      <c r="W24" s="21">
        <v>0</v>
      </c>
      <c r="X24" s="21">
        <v>0</v>
      </c>
      <c r="Y24" s="21">
        <v>13690.76</v>
      </c>
      <c r="Z24" s="21">
        <v>0</v>
      </c>
      <c r="AA24" s="21" t="s">
        <v>176</v>
      </c>
      <c r="AB24" s="21" t="s">
        <v>168</v>
      </c>
      <c r="AC24" s="21">
        <v>3926908</v>
      </c>
      <c r="AD24" s="21" t="s">
        <v>201</v>
      </c>
      <c r="AE24" s="21">
        <v>1</v>
      </c>
      <c r="AF24" s="21">
        <v>527.9</v>
      </c>
      <c r="AG24" s="21" t="s">
        <v>202</v>
      </c>
    </row>
    <row r="25" spans="1:33" x14ac:dyDescent="0.25">
      <c r="A25" s="22"/>
      <c r="B25" s="23">
        <v>46120</v>
      </c>
      <c r="C25" s="21" t="s">
        <v>677</v>
      </c>
      <c r="D25" s="21" t="s">
        <v>1247</v>
      </c>
      <c r="E25" s="21" t="s">
        <v>698</v>
      </c>
      <c r="F25" s="21" t="s">
        <v>1248</v>
      </c>
      <c r="G25" s="21" t="s">
        <v>697</v>
      </c>
      <c r="H25" s="23">
        <v>46089</v>
      </c>
      <c r="I25" s="21" t="s">
        <v>188</v>
      </c>
      <c r="J25" s="21" t="s">
        <v>152</v>
      </c>
      <c r="K25" s="21" t="s">
        <v>152</v>
      </c>
      <c r="L25" s="21" t="s">
        <v>200</v>
      </c>
      <c r="M25" s="21" t="s">
        <v>191</v>
      </c>
      <c r="N25" s="33">
        <v>4168</v>
      </c>
      <c r="O25" s="33">
        <v>1118482.8</v>
      </c>
      <c r="P25" s="21" t="s">
        <v>191</v>
      </c>
      <c r="Q25" s="21">
        <v>1318691.22</v>
      </c>
      <c r="R25" s="21">
        <v>9</v>
      </c>
      <c r="S25" s="21">
        <v>100663.45</v>
      </c>
      <c r="T25" s="21">
        <v>9</v>
      </c>
      <c r="U25" s="21">
        <v>100663.45</v>
      </c>
      <c r="V25" s="21">
        <v>0</v>
      </c>
      <c r="W25" s="21">
        <v>0</v>
      </c>
      <c r="X25" s="21">
        <v>0</v>
      </c>
      <c r="Y25" s="21">
        <v>201326.9</v>
      </c>
      <c r="Z25" s="21">
        <v>0</v>
      </c>
      <c r="AA25" s="21" t="s">
        <v>171</v>
      </c>
      <c r="AB25" s="21" t="s">
        <v>168</v>
      </c>
      <c r="AC25" s="21">
        <v>63053200</v>
      </c>
      <c r="AD25" s="21" t="s">
        <v>201</v>
      </c>
      <c r="AE25" s="21">
        <v>1</v>
      </c>
      <c r="AF25" s="33">
        <v>4168</v>
      </c>
      <c r="AG25" s="21" t="s">
        <v>202</v>
      </c>
    </row>
    <row r="26" spans="1:33" x14ac:dyDescent="0.25">
      <c r="A26" s="22"/>
      <c r="B26" s="23">
        <v>46120</v>
      </c>
      <c r="C26" s="21" t="s">
        <v>633</v>
      </c>
      <c r="D26" s="21" t="s">
        <v>1247</v>
      </c>
      <c r="E26" s="21" t="s">
        <v>703</v>
      </c>
      <c r="F26" s="21" t="s">
        <v>1248</v>
      </c>
      <c r="G26" s="21" t="s">
        <v>702</v>
      </c>
      <c r="H26" s="23">
        <v>46120</v>
      </c>
      <c r="I26" s="21" t="s">
        <v>169</v>
      </c>
      <c r="J26" s="21" t="s">
        <v>179</v>
      </c>
      <c r="K26" s="21" t="s">
        <v>155</v>
      </c>
      <c r="L26" s="21" t="s">
        <v>203</v>
      </c>
      <c r="M26" s="21" t="s">
        <v>183</v>
      </c>
      <c r="N26" s="21">
        <v>388</v>
      </c>
      <c r="O26" s="33">
        <v>54739.040000000001</v>
      </c>
      <c r="P26" s="21" t="s">
        <v>183</v>
      </c>
      <c r="Q26" s="21">
        <v>562740.80000000005</v>
      </c>
      <c r="R26" s="21">
        <v>9</v>
      </c>
      <c r="S26" s="21">
        <v>4926.51</v>
      </c>
      <c r="T26" s="21">
        <v>9</v>
      </c>
      <c r="U26" s="21">
        <v>4926.51</v>
      </c>
      <c r="V26" s="21">
        <v>0</v>
      </c>
      <c r="W26" s="21">
        <v>0</v>
      </c>
      <c r="X26" s="21">
        <v>0</v>
      </c>
      <c r="Y26" s="21">
        <v>9853.02</v>
      </c>
      <c r="Z26" s="21">
        <v>0</v>
      </c>
      <c r="AA26" s="21" t="s">
        <v>176</v>
      </c>
      <c r="AB26" s="21" t="s">
        <v>168</v>
      </c>
      <c r="AC26" s="21">
        <v>39269080</v>
      </c>
      <c r="AD26" s="21" t="s">
        <v>201</v>
      </c>
      <c r="AE26" s="21">
        <v>1</v>
      </c>
      <c r="AF26" s="21">
        <v>388</v>
      </c>
      <c r="AG26" s="21" t="s">
        <v>202</v>
      </c>
    </row>
    <row r="27" spans="1:33" x14ac:dyDescent="0.25">
      <c r="A27" s="22"/>
      <c r="B27" s="23">
        <v>46120</v>
      </c>
      <c r="C27" s="21" t="s">
        <v>633</v>
      </c>
      <c r="D27" s="21" t="s">
        <v>1247</v>
      </c>
      <c r="E27" s="21" t="s">
        <v>703</v>
      </c>
      <c r="F27" s="21" t="s">
        <v>1248</v>
      </c>
      <c r="G27" s="21" t="s">
        <v>702</v>
      </c>
      <c r="H27" s="23">
        <v>46120</v>
      </c>
      <c r="I27" s="21" t="s">
        <v>169</v>
      </c>
      <c r="J27" s="21" t="s">
        <v>181</v>
      </c>
      <c r="K27" s="21" t="s">
        <v>154</v>
      </c>
      <c r="L27" s="21" t="s">
        <v>154</v>
      </c>
      <c r="M27" s="21" t="s">
        <v>181</v>
      </c>
      <c r="N27" s="21">
        <v>392.9</v>
      </c>
      <c r="O27" s="33">
        <v>55430.33</v>
      </c>
      <c r="P27" s="21" t="s">
        <v>181</v>
      </c>
      <c r="Q27" s="21">
        <v>0</v>
      </c>
      <c r="R27" s="21">
        <v>9</v>
      </c>
      <c r="S27" s="21">
        <v>4988.7299999999996</v>
      </c>
      <c r="T27" s="21">
        <v>9</v>
      </c>
      <c r="U27" s="21">
        <v>4988.7299999999996</v>
      </c>
      <c r="V27" s="21">
        <v>0</v>
      </c>
      <c r="W27" s="21">
        <v>0</v>
      </c>
      <c r="X27" s="21">
        <v>0</v>
      </c>
      <c r="Y27" s="21">
        <v>9977.4599999999991</v>
      </c>
      <c r="Z27" s="21">
        <v>0</v>
      </c>
      <c r="AA27" s="21" t="s">
        <v>176</v>
      </c>
      <c r="AB27" s="21" t="s">
        <v>168</v>
      </c>
      <c r="AC27" s="21">
        <v>3926908</v>
      </c>
      <c r="AD27" s="21" t="s">
        <v>201</v>
      </c>
      <c r="AE27" s="21">
        <v>1</v>
      </c>
      <c r="AF27" s="21">
        <v>392.9</v>
      </c>
      <c r="AG27" s="21" t="s">
        <v>202</v>
      </c>
    </row>
    <row r="28" spans="1:33" x14ac:dyDescent="0.25">
      <c r="A28" s="22"/>
      <c r="B28" s="23">
        <v>46120</v>
      </c>
      <c r="C28" s="21" t="s">
        <v>633</v>
      </c>
      <c r="D28" s="21" t="s">
        <v>1247</v>
      </c>
      <c r="E28" s="21" t="s">
        <v>703</v>
      </c>
      <c r="F28" s="21" t="s">
        <v>1248</v>
      </c>
      <c r="G28" s="21" t="s">
        <v>702</v>
      </c>
      <c r="H28" s="23">
        <v>46120</v>
      </c>
      <c r="I28" s="21" t="s">
        <v>169</v>
      </c>
      <c r="J28" s="21" t="s">
        <v>181</v>
      </c>
      <c r="K28" s="21" t="s">
        <v>154</v>
      </c>
      <c r="L28" s="21" t="s">
        <v>154</v>
      </c>
      <c r="M28" s="21" t="s">
        <v>181</v>
      </c>
      <c r="N28" s="21">
        <v>782.8</v>
      </c>
      <c r="O28" s="33">
        <v>112785.82</v>
      </c>
      <c r="P28" s="21" t="s">
        <v>181</v>
      </c>
      <c r="Q28" s="21">
        <v>0</v>
      </c>
      <c r="R28" s="21">
        <v>9</v>
      </c>
      <c r="S28" s="21">
        <v>10150.719999999999</v>
      </c>
      <c r="T28" s="21">
        <v>9</v>
      </c>
      <c r="U28" s="21">
        <v>10150.719999999999</v>
      </c>
      <c r="V28" s="21">
        <v>0</v>
      </c>
      <c r="W28" s="21">
        <v>0</v>
      </c>
      <c r="X28" s="21">
        <v>0</v>
      </c>
      <c r="Y28" s="21">
        <v>20301.439999999999</v>
      </c>
      <c r="Z28" s="21">
        <v>0</v>
      </c>
      <c r="AA28" s="21" t="s">
        <v>176</v>
      </c>
      <c r="AB28" s="21" t="s">
        <v>168</v>
      </c>
      <c r="AC28" s="21">
        <v>3926908</v>
      </c>
      <c r="AD28" s="21" t="s">
        <v>201</v>
      </c>
      <c r="AE28" s="21">
        <v>1</v>
      </c>
      <c r="AF28" s="21">
        <v>782.8</v>
      </c>
      <c r="AG28" s="21" t="s">
        <v>202</v>
      </c>
    </row>
    <row r="29" spans="1:33" x14ac:dyDescent="0.25">
      <c r="A29" s="22"/>
      <c r="B29" s="23">
        <v>46120</v>
      </c>
      <c r="C29" s="21" t="s">
        <v>633</v>
      </c>
      <c r="D29" s="21" t="s">
        <v>1247</v>
      </c>
      <c r="E29" s="21" t="s">
        <v>703</v>
      </c>
      <c r="F29" s="21" t="s">
        <v>1248</v>
      </c>
      <c r="G29" s="21" t="s">
        <v>702</v>
      </c>
      <c r="H29" s="23">
        <v>46120</v>
      </c>
      <c r="I29" s="21" t="s">
        <v>169</v>
      </c>
      <c r="J29" s="21" t="s">
        <v>170</v>
      </c>
      <c r="K29" s="21" t="s">
        <v>157</v>
      </c>
      <c r="L29" s="21" t="s">
        <v>225</v>
      </c>
      <c r="M29" s="21" t="s">
        <v>705</v>
      </c>
      <c r="N29" s="35">
        <v>921.97</v>
      </c>
      <c r="O29" s="33">
        <v>139291.22</v>
      </c>
      <c r="P29" s="21" t="s">
        <v>705</v>
      </c>
      <c r="Q29" s="21">
        <v>0</v>
      </c>
      <c r="R29" s="21">
        <v>2.5</v>
      </c>
      <c r="S29" s="21">
        <v>3482.28</v>
      </c>
      <c r="T29" s="21">
        <v>2.5</v>
      </c>
      <c r="U29" s="21">
        <v>3482.28</v>
      </c>
      <c r="V29" s="21">
        <v>0</v>
      </c>
      <c r="W29" s="21">
        <v>0</v>
      </c>
      <c r="X29" s="21">
        <v>0</v>
      </c>
      <c r="Y29" s="21">
        <v>6964.56</v>
      </c>
      <c r="Z29" s="21">
        <v>0</v>
      </c>
      <c r="AA29" s="21" t="s">
        <v>176</v>
      </c>
      <c r="AB29" s="21" t="s">
        <v>184</v>
      </c>
      <c r="AC29" s="21">
        <v>54026930</v>
      </c>
      <c r="AD29" s="21" t="s">
        <v>201</v>
      </c>
      <c r="AE29" s="21">
        <v>1</v>
      </c>
      <c r="AF29" s="21">
        <v>921.97</v>
      </c>
      <c r="AG29" s="21" t="s">
        <v>202</v>
      </c>
    </row>
    <row r="30" spans="1:33" x14ac:dyDescent="0.25">
      <c r="A30" s="22"/>
      <c r="B30" s="23">
        <v>46120</v>
      </c>
      <c r="C30" s="21" t="s">
        <v>633</v>
      </c>
      <c r="D30" s="21" t="s">
        <v>1247</v>
      </c>
      <c r="E30" s="21" t="s">
        <v>703</v>
      </c>
      <c r="F30" s="21" t="s">
        <v>1248</v>
      </c>
      <c r="G30" s="21" t="s">
        <v>702</v>
      </c>
      <c r="H30" s="23">
        <v>46120</v>
      </c>
      <c r="I30" s="21" t="s">
        <v>169</v>
      </c>
      <c r="J30" s="21" t="s">
        <v>170</v>
      </c>
      <c r="K30" s="21" t="s">
        <v>157</v>
      </c>
      <c r="L30" s="21" t="s">
        <v>225</v>
      </c>
      <c r="M30" s="21" t="s">
        <v>707</v>
      </c>
      <c r="N30" s="35">
        <v>970.2</v>
      </c>
      <c r="O30" s="33">
        <v>146577.82999999999</v>
      </c>
      <c r="P30" s="21" t="s">
        <v>707</v>
      </c>
      <c r="Q30" s="21">
        <v>0</v>
      </c>
      <c r="R30" s="21">
        <v>2.5</v>
      </c>
      <c r="S30" s="21">
        <v>3664.45</v>
      </c>
      <c r="T30" s="21">
        <v>2.5</v>
      </c>
      <c r="U30" s="21">
        <v>3664.45</v>
      </c>
      <c r="V30" s="21">
        <v>0</v>
      </c>
      <c r="W30" s="21">
        <v>0</v>
      </c>
      <c r="X30" s="21">
        <v>0</v>
      </c>
      <c r="Y30" s="21">
        <v>7328.9</v>
      </c>
      <c r="Z30" s="21">
        <v>0</v>
      </c>
      <c r="AA30" s="21" t="s">
        <v>176</v>
      </c>
      <c r="AB30" s="21" t="s">
        <v>184</v>
      </c>
      <c r="AC30" s="21">
        <v>540263</v>
      </c>
      <c r="AD30" s="21" t="s">
        <v>201</v>
      </c>
      <c r="AE30" s="21">
        <v>1</v>
      </c>
      <c r="AF30" s="21">
        <v>970.2</v>
      </c>
      <c r="AG30" s="21" t="s">
        <v>202</v>
      </c>
    </row>
    <row r="31" spans="1:33" x14ac:dyDescent="0.25">
      <c r="A31" s="22"/>
      <c r="B31" s="23">
        <v>46120</v>
      </c>
      <c r="C31" s="21" t="s">
        <v>656</v>
      </c>
      <c r="D31" s="21" t="s">
        <v>1247</v>
      </c>
      <c r="E31" s="21" t="s">
        <v>714</v>
      </c>
      <c r="F31" s="21" t="s">
        <v>1248</v>
      </c>
      <c r="G31" s="21" t="s">
        <v>713</v>
      </c>
      <c r="H31" s="23">
        <v>46089</v>
      </c>
      <c r="I31" s="21" t="s">
        <v>639</v>
      </c>
      <c r="J31" s="21" t="s">
        <v>648</v>
      </c>
      <c r="K31" s="21" t="s">
        <v>313</v>
      </c>
      <c r="L31" s="21" t="s">
        <v>1250</v>
      </c>
      <c r="M31" s="21" t="s">
        <v>710</v>
      </c>
      <c r="N31" s="33">
        <v>3000</v>
      </c>
      <c r="O31" s="33">
        <v>546000</v>
      </c>
      <c r="P31" s="21" t="s">
        <v>710</v>
      </c>
      <c r="Q31" s="21">
        <v>643734</v>
      </c>
      <c r="R31" s="21">
        <v>9</v>
      </c>
      <c r="S31" s="21">
        <v>49140</v>
      </c>
      <c r="T31" s="21">
        <v>9</v>
      </c>
      <c r="U31" s="21">
        <v>49140</v>
      </c>
      <c r="V31" s="21">
        <v>0</v>
      </c>
      <c r="W31" s="21">
        <v>0</v>
      </c>
      <c r="X31" s="21">
        <v>0</v>
      </c>
      <c r="Y31" s="21">
        <v>98280</v>
      </c>
      <c r="Z31" s="21">
        <v>0</v>
      </c>
      <c r="AA31" s="21" t="s">
        <v>176</v>
      </c>
      <c r="AB31" s="21" t="s">
        <v>168</v>
      </c>
      <c r="AC31" s="21">
        <v>38123990</v>
      </c>
      <c r="AD31" s="21" t="s">
        <v>201</v>
      </c>
      <c r="AE31" s="21">
        <v>1</v>
      </c>
      <c r="AF31" s="33">
        <v>3000</v>
      </c>
      <c r="AG31" s="21" t="s">
        <v>202</v>
      </c>
    </row>
    <row r="32" spans="1:33" x14ac:dyDescent="0.25">
      <c r="A32" s="22"/>
      <c r="B32" s="23">
        <v>46120</v>
      </c>
      <c r="C32" s="21" t="s">
        <v>656</v>
      </c>
      <c r="D32" s="21" t="s">
        <v>1247</v>
      </c>
      <c r="E32" s="21" t="s">
        <v>720</v>
      </c>
      <c r="F32" s="21" t="s">
        <v>1248</v>
      </c>
      <c r="G32" s="21" t="s">
        <v>719</v>
      </c>
      <c r="H32" s="23">
        <v>46089</v>
      </c>
      <c r="I32" s="21" t="s">
        <v>639</v>
      </c>
      <c r="J32" s="21" t="s">
        <v>648</v>
      </c>
      <c r="K32" s="21" t="s">
        <v>313</v>
      </c>
      <c r="L32" s="21" t="s">
        <v>1250</v>
      </c>
      <c r="M32" s="21" t="s">
        <v>710</v>
      </c>
      <c r="N32" s="33">
        <v>4000</v>
      </c>
      <c r="O32" s="33">
        <v>728000</v>
      </c>
      <c r="P32" s="21" t="s">
        <v>710</v>
      </c>
      <c r="Q32" s="21">
        <v>858312</v>
      </c>
      <c r="R32" s="21">
        <v>9</v>
      </c>
      <c r="S32" s="21">
        <v>65520</v>
      </c>
      <c r="T32" s="21">
        <v>9</v>
      </c>
      <c r="U32" s="21">
        <v>65520</v>
      </c>
      <c r="V32" s="21">
        <v>0</v>
      </c>
      <c r="W32" s="21">
        <v>0</v>
      </c>
      <c r="X32" s="21">
        <v>0</v>
      </c>
      <c r="Y32" s="21">
        <v>131040</v>
      </c>
      <c r="Z32" s="21">
        <v>0</v>
      </c>
      <c r="AA32" s="21" t="s">
        <v>176</v>
      </c>
      <c r="AB32" s="21" t="s">
        <v>168</v>
      </c>
      <c r="AC32" s="21">
        <v>38123990</v>
      </c>
      <c r="AD32" s="21" t="s">
        <v>201</v>
      </c>
      <c r="AE32" s="21">
        <v>1</v>
      </c>
      <c r="AF32" s="33">
        <v>4000</v>
      </c>
      <c r="AG32" s="21" t="s">
        <v>202</v>
      </c>
    </row>
    <row r="33" spans="1:33" x14ac:dyDescent="0.25">
      <c r="A33" s="22"/>
      <c r="B33" s="23">
        <v>46150</v>
      </c>
      <c r="C33" s="21" t="s">
        <v>730</v>
      </c>
      <c r="D33" s="21" t="s">
        <v>1247</v>
      </c>
      <c r="E33" s="21" t="s">
        <v>732</v>
      </c>
      <c r="F33" s="21" t="s">
        <v>1248</v>
      </c>
      <c r="G33" s="21" t="s">
        <v>731</v>
      </c>
      <c r="H33" s="23">
        <v>46150</v>
      </c>
      <c r="I33" s="21" t="s">
        <v>188</v>
      </c>
      <c r="J33" s="21" t="s">
        <v>153</v>
      </c>
      <c r="K33" s="21" t="s">
        <v>153</v>
      </c>
      <c r="L33" s="21" t="s">
        <v>154</v>
      </c>
      <c r="M33" s="21" t="s">
        <v>153</v>
      </c>
      <c r="N33" s="21">
        <v>370</v>
      </c>
      <c r="O33" s="33">
        <v>54508.4</v>
      </c>
      <c r="P33" s="21" t="s">
        <v>153</v>
      </c>
      <c r="Q33" s="21">
        <v>64265.41</v>
      </c>
      <c r="R33" s="21">
        <v>9</v>
      </c>
      <c r="S33" s="21">
        <v>4905.76</v>
      </c>
      <c r="T33" s="21">
        <v>9</v>
      </c>
      <c r="U33" s="21">
        <v>4905.76</v>
      </c>
      <c r="V33" s="21">
        <v>0</v>
      </c>
      <c r="W33" s="21">
        <v>0</v>
      </c>
      <c r="X33" s="21">
        <v>0</v>
      </c>
      <c r="Y33" s="21">
        <v>9811.52</v>
      </c>
      <c r="Z33" s="21">
        <v>0</v>
      </c>
      <c r="AA33" s="21" t="s">
        <v>185</v>
      </c>
      <c r="AB33" s="21" t="s">
        <v>168</v>
      </c>
      <c r="AC33" s="21">
        <v>39269080</v>
      </c>
      <c r="AD33" s="21" t="s">
        <v>201</v>
      </c>
      <c r="AE33" s="21">
        <v>1</v>
      </c>
      <c r="AF33" s="21">
        <v>370</v>
      </c>
      <c r="AG33" s="21" t="s">
        <v>202</v>
      </c>
    </row>
    <row r="34" spans="1:33" x14ac:dyDescent="0.25">
      <c r="A34" s="22"/>
      <c r="B34" s="23">
        <v>46150</v>
      </c>
      <c r="C34" s="21" t="s">
        <v>633</v>
      </c>
      <c r="D34" s="21" t="s">
        <v>1247</v>
      </c>
      <c r="E34" s="21" t="s">
        <v>725</v>
      </c>
      <c r="F34" s="21" t="s">
        <v>1248</v>
      </c>
      <c r="G34" s="21" t="s">
        <v>724</v>
      </c>
      <c r="H34" s="23">
        <v>46150</v>
      </c>
      <c r="I34" s="21" t="s">
        <v>169</v>
      </c>
      <c r="J34" s="21" t="s">
        <v>193</v>
      </c>
      <c r="K34" s="21" t="s">
        <v>161</v>
      </c>
      <c r="L34" s="21" t="s">
        <v>256</v>
      </c>
      <c r="M34" s="21" t="s">
        <v>161</v>
      </c>
      <c r="N34" s="33">
        <v>1765.6</v>
      </c>
      <c r="O34" s="33">
        <v>253045.79</v>
      </c>
      <c r="P34" s="21" t="s">
        <v>161</v>
      </c>
      <c r="Q34" s="21">
        <v>662365</v>
      </c>
      <c r="R34" s="21">
        <v>9</v>
      </c>
      <c r="S34" s="21">
        <v>22774.12</v>
      </c>
      <c r="T34" s="21">
        <v>9</v>
      </c>
      <c r="U34" s="21">
        <v>22774.12</v>
      </c>
      <c r="V34" s="21">
        <v>0</v>
      </c>
      <c r="W34" s="21">
        <v>0</v>
      </c>
      <c r="X34" s="21">
        <v>0</v>
      </c>
      <c r="Y34" s="21">
        <v>45548.24</v>
      </c>
      <c r="Z34" s="21">
        <v>0</v>
      </c>
      <c r="AA34" s="21" t="s">
        <v>176</v>
      </c>
      <c r="AB34" s="21" t="s">
        <v>168</v>
      </c>
      <c r="AC34" s="21">
        <v>39199090</v>
      </c>
      <c r="AD34" s="21" t="s">
        <v>201</v>
      </c>
      <c r="AE34" s="21">
        <v>1</v>
      </c>
      <c r="AF34" s="33">
        <v>1765.6</v>
      </c>
      <c r="AG34" s="21" t="s">
        <v>202</v>
      </c>
    </row>
    <row r="35" spans="1:33" x14ac:dyDescent="0.25">
      <c r="A35" s="22"/>
      <c r="B35" s="23">
        <v>46150</v>
      </c>
      <c r="C35" s="21" t="s">
        <v>633</v>
      </c>
      <c r="D35" s="21" t="s">
        <v>1247</v>
      </c>
      <c r="E35" s="21" t="s">
        <v>725</v>
      </c>
      <c r="F35" s="21" t="s">
        <v>1248</v>
      </c>
      <c r="G35" s="21" t="s">
        <v>724</v>
      </c>
      <c r="H35" s="23">
        <v>46150</v>
      </c>
      <c r="I35" s="21" t="s">
        <v>169</v>
      </c>
      <c r="J35" s="21" t="s">
        <v>193</v>
      </c>
      <c r="K35" s="21" t="s">
        <v>161</v>
      </c>
      <c r="L35" s="21" t="s">
        <v>256</v>
      </c>
      <c r="M35" s="21" t="s">
        <v>161</v>
      </c>
      <c r="N35" s="33">
        <v>1131.3</v>
      </c>
      <c r="O35" s="33">
        <v>158744.01999999999</v>
      </c>
      <c r="P35" s="21" t="s">
        <v>161</v>
      </c>
      <c r="Q35" s="21">
        <v>0</v>
      </c>
      <c r="R35" s="21">
        <v>9</v>
      </c>
      <c r="S35" s="21">
        <v>14286.96</v>
      </c>
      <c r="T35" s="21">
        <v>9</v>
      </c>
      <c r="U35" s="21">
        <v>14286.96</v>
      </c>
      <c r="V35" s="21">
        <v>0</v>
      </c>
      <c r="W35" s="21">
        <v>0</v>
      </c>
      <c r="X35" s="21">
        <v>0</v>
      </c>
      <c r="Y35" s="21">
        <v>28573.919999999998</v>
      </c>
      <c r="Z35" s="21">
        <v>0</v>
      </c>
      <c r="AA35" s="21" t="s">
        <v>176</v>
      </c>
      <c r="AB35" s="21" t="s">
        <v>168</v>
      </c>
      <c r="AC35" s="21">
        <v>39199090</v>
      </c>
      <c r="AD35" s="21" t="s">
        <v>201</v>
      </c>
      <c r="AE35" s="21">
        <v>1</v>
      </c>
      <c r="AF35" s="33">
        <v>1131.3</v>
      </c>
      <c r="AG35" s="21" t="s">
        <v>202</v>
      </c>
    </row>
    <row r="36" spans="1:33" x14ac:dyDescent="0.25">
      <c r="A36" s="22"/>
      <c r="B36" s="23">
        <v>46150</v>
      </c>
      <c r="C36" s="21" t="s">
        <v>633</v>
      </c>
      <c r="D36" s="21" t="s">
        <v>1247</v>
      </c>
      <c r="E36" s="21" t="s">
        <v>725</v>
      </c>
      <c r="F36" s="21" t="s">
        <v>1248</v>
      </c>
      <c r="G36" s="21" t="s">
        <v>724</v>
      </c>
      <c r="H36" s="23">
        <v>46150</v>
      </c>
      <c r="I36" s="21" t="s">
        <v>169</v>
      </c>
      <c r="J36" s="21" t="s">
        <v>181</v>
      </c>
      <c r="K36" s="21" t="s">
        <v>154</v>
      </c>
      <c r="L36" s="21" t="s">
        <v>154</v>
      </c>
      <c r="M36" s="21" t="s">
        <v>181</v>
      </c>
      <c r="N36" s="21">
        <v>513.70000000000005</v>
      </c>
      <c r="O36" s="33">
        <v>74137.179999999993</v>
      </c>
      <c r="P36" s="21" t="s">
        <v>181</v>
      </c>
      <c r="Q36" s="21">
        <v>0</v>
      </c>
      <c r="R36" s="21">
        <v>9</v>
      </c>
      <c r="S36" s="21">
        <v>6672.35</v>
      </c>
      <c r="T36" s="21">
        <v>9</v>
      </c>
      <c r="U36" s="21">
        <v>6672.35</v>
      </c>
      <c r="V36" s="21">
        <v>0</v>
      </c>
      <c r="W36" s="21">
        <v>0</v>
      </c>
      <c r="X36" s="21">
        <v>0</v>
      </c>
      <c r="Y36" s="21">
        <v>13344.7</v>
      </c>
      <c r="Z36" s="21">
        <v>0</v>
      </c>
      <c r="AA36" s="21" t="s">
        <v>176</v>
      </c>
      <c r="AB36" s="21" t="s">
        <v>168</v>
      </c>
      <c r="AC36" s="21">
        <v>3926908</v>
      </c>
      <c r="AD36" s="21" t="s">
        <v>201</v>
      </c>
      <c r="AE36" s="21">
        <v>1</v>
      </c>
      <c r="AF36" s="21">
        <v>513.70000000000005</v>
      </c>
      <c r="AG36" s="21" t="s">
        <v>202</v>
      </c>
    </row>
    <row r="37" spans="1:33" x14ac:dyDescent="0.25">
      <c r="A37" s="22"/>
      <c r="B37" s="23">
        <v>46150</v>
      </c>
      <c r="C37" s="21" t="s">
        <v>633</v>
      </c>
      <c r="D37" s="21" t="s">
        <v>1247</v>
      </c>
      <c r="E37" s="21" t="s">
        <v>725</v>
      </c>
      <c r="F37" s="21" t="s">
        <v>1248</v>
      </c>
      <c r="G37" s="21" t="s">
        <v>724</v>
      </c>
      <c r="H37" s="23">
        <v>46150</v>
      </c>
      <c r="I37" s="21" t="s">
        <v>169</v>
      </c>
      <c r="J37" s="21" t="s">
        <v>181</v>
      </c>
      <c r="K37" s="21" t="s">
        <v>154</v>
      </c>
      <c r="L37" s="21" t="s">
        <v>154</v>
      </c>
      <c r="M37" s="21" t="s">
        <v>181</v>
      </c>
      <c r="N37" s="21">
        <v>370.2</v>
      </c>
      <c r="O37" s="33">
        <v>54537.86</v>
      </c>
      <c r="P37" s="21" t="s">
        <v>181</v>
      </c>
      <c r="Q37" s="21">
        <v>0</v>
      </c>
      <c r="R37" s="21">
        <v>9</v>
      </c>
      <c r="S37" s="21">
        <v>4908.41</v>
      </c>
      <c r="T37" s="21">
        <v>9</v>
      </c>
      <c r="U37" s="21">
        <v>4908.41</v>
      </c>
      <c r="V37" s="21">
        <v>0</v>
      </c>
      <c r="W37" s="21">
        <v>0</v>
      </c>
      <c r="X37" s="21">
        <v>0</v>
      </c>
      <c r="Y37" s="21">
        <v>9816.82</v>
      </c>
      <c r="Z37" s="21">
        <v>0</v>
      </c>
      <c r="AA37" s="21" t="s">
        <v>176</v>
      </c>
      <c r="AB37" s="21" t="s">
        <v>168</v>
      </c>
      <c r="AC37" s="21">
        <v>3926908</v>
      </c>
      <c r="AD37" s="21" t="s">
        <v>201</v>
      </c>
      <c r="AE37" s="21">
        <v>1</v>
      </c>
      <c r="AF37" s="21">
        <v>370.2</v>
      </c>
      <c r="AG37" s="21" t="s">
        <v>202</v>
      </c>
    </row>
    <row r="38" spans="1:33" x14ac:dyDescent="0.25">
      <c r="A38" s="22"/>
      <c r="B38" s="23">
        <v>46150</v>
      </c>
      <c r="C38" s="21" t="s">
        <v>633</v>
      </c>
      <c r="D38" s="21" t="s">
        <v>1247</v>
      </c>
      <c r="E38" s="21" t="s">
        <v>725</v>
      </c>
      <c r="F38" s="21" t="s">
        <v>1248</v>
      </c>
      <c r="G38" s="21" t="s">
        <v>724</v>
      </c>
      <c r="H38" s="23">
        <v>46150</v>
      </c>
      <c r="I38" s="21" t="s">
        <v>169</v>
      </c>
      <c r="J38" s="21" t="s">
        <v>170</v>
      </c>
      <c r="K38" s="21" t="s">
        <v>157</v>
      </c>
      <c r="L38" s="21" t="s">
        <v>225</v>
      </c>
      <c r="M38" s="21" t="s">
        <v>727</v>
      </c>
      <c r="N38" s="35">
        <v>151</v>
      </c>
      <c r="O38" s="33">
        <v>23981.82</v>
      </c>
      <c r="P38" s="21" t="s">
        <v>727</v>
      </c>
      <c r="Q38" s="21">
        <v>0</v>
      </c>
      <c r="R38" s="21">
        <v>2.5</v>
      </c>
      <c r="S38" s="21">
        <v>599.54999999999995</v>
      </c>
      <c r="T38" s="21">
        <v>2.5</v>
      </c>
      <c r="U38" s="21">
        <v>599.54999999999995</v>
      </c>
      <c r="V38" s="21">
        <v>0</v>
      </c>
      <c r="W38" s="21">
        <v>0</v>
      </c>
      <c r="X38" s="21">
        <v>0</v>
      </c>
      <c r="Y38" s="21">
        <v>1199.0999999999999</v>
      </c>
      <c r="Z38" s="21">
        <v>0</v>
      </c>
      <c r="AA38" s="21" t="s">
        <v>176</v>
      </c>
      <c r="AB38" s="21" t="s">
        <v>168</v>
      </c>
      <c r="AC38" s="21">
        <v>540269</v>
      </c>
      <c r="AD38" s="21" t="s">
        <v>201</v>
      </c>
      <c r="AE38" s="21">
        <v>1</v>
      </c>
      <c r="AF38" s="21">
        <v>151</v>
      </c>
      <c r="AG38" s="21" t="s">
        <v>202</v>
      </c>
    </row>
    <row r="39" spans="1:33" x14ac:dyDescent="0.25">
      <c r="A39" s="22"/>
      <c r="B39" s="23">
        <v>46181</v>
      </c>
      <c r="C39" s="21" t="s">
        <v>1260</v>
      </c>
      <c r="D39" s="21" t="s">
        <v>1252</v>
      </c>
      <c r="E39" s="21" t="s">
        <v>1264</v>
      </c>
      <c r="F39" s="21" t="s">
        <v>1253</v>
      </c>
      <c r="G39" s="21">
        <v>410</v>
      </c>
      <c r="H39" s="21" t="s">
        <v>1261</v>
      </c>
      <c r="I39" s="21" t="s">
        <v>169</v>
      </c>
      <c r="J39" s="21" t="s">
        <v>175</v>
      </c>
      <c r="K39" s="21" t="s">
        <v>159</v>
      </c>
      <c r="L39" s="21" t="s">
        <v>159</v>
      </c>
      <c r="M39" s="21" t="s">
        <v>228</v>
      </c>
      <c r="N39" s="21">
        <v>23.16</v>
      </c>
      <c r="O39" s="33">
        <v>7830</v>
      </c>
      <c r="P39" s="21" t="s">
        <v>228</v>
      </c>
      <c r="Q39" s="21">
        <v>9239</v>
      </c>
      <c r="R39" s="21">
        <v>9</v>
      </c>
      <c r="S39" s="21">
        <v>704.7</v>
      </c>
      <c r="T39" s="21">
        <v>9</v>
      </c>
      <c r="U39" s="21">
        <v>704.7</v>
      </c>
      <c r="V39" s="21">
        <v>0</v>
      </c>
      <c r="W39" s="21">
        <v>0</v>
      </c>
      <c r="X39" s="21">
        <v>0</v>
      </c>
      <c r="Y39" s="21">
        <v>1409.4</v>
      </c>
      <c r="Z39" s="21">
        <v>0</v>
      </c>
      <c r="AA39" s="21" t="s">
        <v>1269</v>
      </c>
      <c r="AB39" s="21" t="s">
        <v>168</v>
      </c>
      <c r="AC39" s="21">
        <v>3920101</v>
      </c>
      <c r="AD39" s="21" t="s">
        <v>201</v>
      </c>
      <c r="AE39" s="21">
        <v>1</v>
      </c>
      <c r="AF39" s="21">
        <v>23.16</v>
      </c>
      <c r="AG39" s="21"/>
    </row>
    <row r="40" spans="1:33" x14ac:dyDescent="0.25">
      <c r="A40" s="22"/>
      <c r="B40" s="23">
        <v>46181</v>
      </c>
      <c r="C40" s="21" t="s">
        <v>1260</v>
      </c>
      <c r="D40" s="21" t="s">
        <v>1252</v>
      </c>
      <c r="E40" s="21" t="s">
        <v>1272</v>
      </c>
      <c r="F40" s="21" t="s">
        <v>1253</v>
      </c>
      <c r="G40" s="21">
        <v>413</v>
      </c>
      <c r="H40" s="23">
        <v>46030</v>
      </c>
      <c r="I40" s="21" t="s">
        <v>169</v>
      </c>
      <c r="J40" s="21" t="s">
        <v>175</v>
      </c>
      <c r="K40" s="21" t="s">
        <v>159</v>
      </c>
      <c r="L40" s="21" t="s">
        <v>159</v>
      </c>
      <c r="M40" s="21" t="s">
        <v>228</v>
      </c>
      <c r="N40" s="21">
        <v>39.520000000000003</v>
      </c>
      <c r="O40" s="33">
        <v>11607.25</v>
      </c>
      <c r="P40" s="21" t="s">
        <v>228</v>
      </c>
      <c r="Q40" s="21">
        <v>35254.97</v>
      </c>
      <c r="R40" s="21">
        <v>9</v>
      </c>
      <c r="S40" s="21">
        <v>1044.6500000000001</v>
      </c>
      <c r="T40" s="21">
        <v>9</v>
      </c>
      <c r="U40" s="21">
        <v>1044.6500000000001</v>
      </c>
      <c r="V40" s="21">
        <v>0</v>
      </c>
      <c r="W40" s="21">
        <v>0</v>
      </c>
      <c r="X40" s="21">
        <v>0</v>
      </c>
      <c r="Y40" s="21">
        <v>2089.3000000000002</v>
      </c>
      <c r="Z40" s="21">
        <v>0</v>
      </c>
      <c r="AA40" s="21" t="s">
        <v>1269</v>
      </c>
      <c r="AB40" s="21" t="s">
        <v>168</v>
      </c>
      <c r="AC40" s="21">
        <v>3920101</v>
      </c>
      <c r="AD40" s="21" t="s">
        <v>201</v>
      </c>
      <c r="AE40" s="21">
        <v>1</v>
      </c>
      <c r="AF40" s="21">
        <v>39.520000000000003</v>
      </c>
      <c r="AG40" s="21"/>
    </row>
    <row r="41" spans="1:33" x14ac:dyDescent="0.25">
      <c r="A41" s="22"/>
      <c r="B41" s="23">
        <v>46181</v>
      </c>
      <c r="C41" s="21" t="s">
        <v>1260</v>
      </c>
      <c r="D41" s="21" t="s">
        <v>1252</v>
      </c>
      <c r="E41" s="21" t="s">
        <v>1272</v>
      </c>
      <c r="F41" s="21" t="s">
        <v>1253</v>
      </c>
      <c r="G41" s="21">
        <v>413</v>
      </c>
      <c r="H41" s="23">
        <v>46030</v>
      </c>
      <c r="I41" s="21" t="s">
        <v>169</v>
      </c>
      <c r="J41" s="21" t="s">
        <v>175</v>
      </c>
      <c r="K41" s="21" t="s">
        <v>159</v>
      </c>
      <c r="L41" s="21" t="s">
        <v>159</v>
      </c>
      <c r="M41" s="21" t="s">
        <v>228</v>
      </c>
      <c r="N41" s="21">
        <v>59.79</v>
      </c>
      <c r="O41" s="33">
        <v>18270</v>
      </c>
      <c r="P41" s="21" t="s">
        <v>228</v>
      </c>
      <c r="Q41" s="21">
        <v>0</v>
      </c>
      <c r="R41" s="21">
        <v>9</v>
      </c>
      <c r="S41" s="21">
        <v>1644.3</v>
      </c>
      <c r="T41" s="21">
        <v>9</v>
      </c>
      <c r="U41" s="21">
        <v>1644.3</v>
      </c>
      <c r="V41" s="21">
        <v>0</v>
      </c>
      <c r="W41" s="21">
        <v>0</v>
      </c>
      <c r="X41" s="21">
        <v>0</v>
      </c>
      <c r="Y41" s="21">
        <v>3288.6</v>
      </c>
      <c r="Z41" s="21">
        <v>0</v>
      </c>
      <c r="AA41" s="21" t="s">
        <v>1269</v>
      </c>
      <c r="AB41" s="21" t="s">
        <v>168</v>
      </c>
      <c r="AC41" s="21">
        <v>3920101</v>
      </c>
      <c r="AD41" s="21" t="s">
        <v>201</v>
      </c>
      <c r="AE41" s="21">
        <v>1</v>
      </c>
      <c r="AF41" s="21">
        <v>59.79</v>
      </c>
      <c r="AG41" s="21"/>
    </row>
    <row r="42" spans="1:33" x14ac:dyDescent="0.25">
      <c r="A42" s="22"/>
      <c r="B42" s="23">
        <v>46181</v>
      </c>
      <c r="C42" s="21" t="s">
        <v>663</v>
      </c>
      <c r="D42" s="21" t="s">
        <v>1247</v>
      </c>
      <c r="E42" s="21" t="s">
        <v>754</v>
      </c>
      <c r="F42" s="21" t="s">
        <v>1248</v>
      </c>
      <c r="G42" s="21" t="s">
        <v>753</v>
      </c>
      <c r="H42" s="23">
        <v>46150</v>
      </c>
      <c r="I42" s="21" t="s">
        <v>169</v>
      </c>
      <c r="J42" s="21" t="s">
        <v>179</v>
      </c>
      <c r="K42" s="21" t="s">
        <v>155</v>
      </c>
      <c r="L42" s="21" t="s">
        <v>203</v>
      </c>
      <c r="M42" s="21" t="s">
        <v>183</v>
      </c>
      <c r="N42" s="21">
        <v>634</v>
      </c>
      <c r="O42" s="33">
        <v>101116.66</v>
      </c>
      <c r="P42" s="21" t="s">
        <v>183</v>
      </c>
      <c r="Q42" s="21">
        <v>783053.69</v>
      </c>
      <c r="R42" s="21">
        <v>9</v>
      </c>
      <c r="S42" s="21">
        <v>9100.5</v>
      </c>
      <c r="T42" s="21">
        <v>9</v>
      </c>
      <c r="U42" s="21">
        <v>9100.5</v>
      </c>
      <c r="V42" s="21">
        <v>0</v>
      </c>
      <c r="W42" s="21">
        <v>0</v>
      </c>
      <c r="X42" s="21">
        <v>0</v>
      </c>
      <c r="Y42" s="21">
        <v>18201</v>
      </c>
      <c r="Z42" s="21">
        <v>0</v>
      </c>
      <c r="AA42" s="21" t="s">
        <v>185</v>
      </c>
      <c r="AB42" s="21" t="s">
        <v>168</v>
      </c>
      <c r="AC42" s="21">
        <v>39269080</v>
      </c>
      <c r="AD42" s="21" t="s">
        <v>201</v>
      </c>
      <c r="AE42" s="21">
        <v>1</v>
      </c>
      <c r="AF42" s="21">
        <v>634</v>
      </c>
      <c r="AG42" s="21" t="s">
        <v>202</v>
      </c>
    </row>
    <row r="43" spans="1:33" x14ac:dyDescent="0.25">
      <c r="A43" s="22"/>
      <c r="B43" s="23">
        <v>46181</v>
      </c>
      <c r="C43" s="21" t="s">
        <v>663</v>
      </c>
      <c r="D43" s="21" t="s">
        <v>1247</v>
      </c>
      <c r="E43" s="21" t="s">
        <v>754</v>
      </c>
      <c r="F43" s="21" t="s">
        <v>1248</v>
      </c>
      <c r="G43" s="21" t="s">
        <v>753</v>
      </c>
      <c r="H43" s="23">
        <v>46150</v>
      </c>
      <c r="I43" s="21" t="s">
        <v>169</v>
      </c>
      <c r="J43" s="21" t="s">
        <v>179</v>
      </c>
      <c r="K43" s="21" t="s">
        <v>155</v>
      </c>
      <c r="L43" s="21" t="s">
        <v>203</v>
      </c>
      <c r="M43" s="21" t="s">
        <v>183</v>
      </c>
      <c r="N43" s="33">
        <v>3598</v>
      </c>
      <c r="O43" s="33">
        <v>563051.02</v>
      </c>
      <c r="P43" s="21" t="s">
        <v>183</v>
      </c>
      <c r="Q43" s="21">
        <v>0</v>
      </c>
      <c r="R43" s="21">
        <v>9</v>
      </c>
      <c r="S43" s="21">
        <v>50674.59</v>
      </c>
      <c r="T43" s="21">
        <v>9</v>
      </c>
      <c r="U43" s="21">
        <v>50674.59</v>
      </c>
      <c r="V43" s="21">
        <v>0</v>
      </c>
      <c r="W43" s="21">
        <v>0</v>
      </c>
      <c r="X43" s="21">
        <v>0</v>
      </c>
      <c r="Y43" s="21">
        <v>101349.18</v>
      </c>
      <c r="Z43" s="21">
        <v>0</v>
      </c>
      <c r="AA43" s="21" t="s">
        <v>185</v>
      </c>
      <c r="AB43" s="21" t="s">
        <v>168</v>
      </c>
      <c r="AC43" s="21">
        <v>39269080</v>
      </c>
      <c r="AD43" s="21" t="s">
        <v>201</v>
      </c>
      <c r="AE43" s="21">
        <v>1</v>
      </c>
      <c r="AF43" s="33">
        <v>3598</v>
      </c>
      <c r="AG43" s="21" t="s">
        <v>202</v>
      </c>
    </row>
    <row r="44" spans="1:33" x14ac:dyDescent="0.25">
      <c r="A44" s="22"/>
      <c r="B44" s="23">
        <v>46181</v>
      </c>
      <c r="C44" s="21" t="s">
        <v>677</v>
      </c>
      <c r="D44" s="21" t="s">
        <v>1247</v>
      </c>
      <c r="E44" s="21" t="s">
        <v>749</v>
      </c>
      <c r="F44" s="21" t="s">
        <v>1248</v>
      </c>
      <c r="G44" s="21" t="s">
        <v>748</v>
      </c>
      <c r="H44" s="23">
        <v>46150</v>
      </c>
      <c r="I44" s="21" t="s">
        <v>169</v>
      </c>
      <c r="J44" s="21" t="s">
        <v>170</v>
      </c>
      <c r="K44" s="21" t="s">
        <v>157</v>
      </c>
      <c r="L44" s="21" t="s">
        <v>256</v>
      </c>
      <c r="M44" s="21" t="s">
        <v>745</v>
      </c>
      <c r="N44" s="35">
        <v>645</v>
      </c>
      <c r="O44" s="33">
        <v>102813</v>
      </c>
      <c r="P44" s="21" t="s">
        <v>745</v>
      </c>
      <c r="Q44" s="21">
        <v>348204</v>
      </c>
      <c r="R44" s="21">
        <v>2.5</v>
      </c>
      <c r="S44" s="21">
        <v>2570.3200000000002</v>
      </c>
      <c r="T44" s="21">
        <v>2.5</v>
      </c>
      <c r="U44" s="21">
        <v>2570.3200000000002</v>
      </c>
      <c r="V44" s="21">
        <v>0</v>
      </c>
      <c r="W44" s="21">
        <v>0</v>
      </c>
      <c r="X44" s="21">
        <v>0</v>
      </c>
      <c r="Y44" s="21">
        <v>5140.6400000000003</v>
      </c>
      <c r="Z44" s="21">
        <v>0</v>
      </c>
      <c r="AA44" s="21" t="s">
        <v>171</v>
      </c>
      <c r="AB44" s="21" t="s">
        <v>168</v>
      </c>
      <c r="AC44" s="21">
        <v>54026930</v>
      </c>
      <c r="AD44" s="21" t="s">
        <v>201</v>
      </c>
      <c r="AE44" s="21">
        <v>1</v>
      </c>
      <c r="AF44" s="21">
        <v>645</v>
      </c>
      <c r="AG44" s="21" t="s">
        <v>202</v>
      </c>
    </row>
    <row r="45" spans="1:33" x14ac:dyDescent="0.25">
      <c r="A45" s="22"/>
      <c r="B45" s="23">
        <v>46181</v>
      </c>
      <c r="C45" s="21" t="s">
        <v>677</v>
      </c>
      <c r="D45" s="21" t="s">
        <v>1247</v>
      </c>
      <c r="E45" s="21" t="s">
        <v>749</v>
      </c>
      <c r="F45" s="21" t="s">
        <v>1248</v>
      </c>
      <c r="G45" s="21" t="s">
        <v>748</v>
      </c>
      <c r="H45" s="23">
        <v>46150</v>
      </c>
      <c r="I45" s="21" t="s">
        <v>169</v>
      </c>
      <c r="J45" s="21" t="s">
        <v>170</v>
      </c>
      <c r="K45" s="21" t="s">
        <v>157</v>
      </c>
      <c r="L45" s="21" t="s">
        <v>256</v>
      </c>
      <c r="M45" s="21" t="s">
        <v>312</v>
      </c>
      <c r="N45" s="37">
        <v>1465</v>
      </c>
      <c r="O45" s="33">
        <v>229126</v>
      </c>
      <c r="P45" s="21" t="s">
        <v>312</v>
      </c>
      <c r="Q45" s="21">
        <v>0</v>
      </c>
      <c r="R45" s="21">
        <v>2.5</v>
      </c>
      <c r="S45" s="21">
        <v>5728.15</v>
      </c>
      <c r="T45" s="21">
        <v>2.5</v>
      </c>
      <c r="U45" s="21">
        <v>5728.15</v>
      </c>
      <c r="V45" s="21">
        <v>0</v>
      </c>
      <c r="W45" s="21">
        <v>0</v>
      </c>
      <c r="X45" s="21">
        <v>0</v>
      </c>
      <c r="Y45" s="21">
        <v>11456.3</v>
      </c>
      <c r="Z45" s="21">
        <v>0</v>
      </c>
      <c r="AA45" s="21" t="s">
        <v>171</v>
      </c>
      <c r="AB45" s="21" t="s">
        <v>168</v>
      </c>
      <c r="AC45" s="21">
        <v>54026930</v>
      </c>
      <c r="AD45" s="21" t="s">
        <v>201</v>
      </c>
      <c r="AE45" s="21">
        <v>1</v>
      </c>
      <c r="AF45" s="33">
        <v>1465</v>
      </c>
      <c r="AG45" s="21" t="s">
        <v>202</v>
      </c>
    </row>
    <row r="46" spans="1:33" x14ac:dyDescent="0.25">
      <c r="A46" s="22"/>
      <c r="B46" s="23">
        <v>46181</v>
      </c>
      <c r="C46" s="21" t="s">
        <v>633</v>
      </c>
      <c r="D46" s="21" t="s">
        <v>1247</v>
      </c>
      <c r="E46" s="21" t="s">
        <v>737</v>
      </c>
      <c r="F46" s="21" t="s">
        <v>1248</v>
      </c>
      <c r="G46" s="21" t="s">
        <v>736</v>
      </c>
      <c r="H46" s="23">
        <v>46150</v>
      </c>
      <c r="I46" s="21" t="s">
        <v>169</v>
      </c>
      <c r="J46" s="21" t="s">
        <v>179</v>
      </c>
      <c r="K46" s="21" t="s">
        <v>155</v>
      </c>
      <c r="L46" s="21" t="s">
        <v>203</v>
      </c>
      <c r="M46" s="21" t="s">
        <v>183</v>
      </c>
      <c r="N46" s="33">
        <v>2687</v>
      </c>
      <c r="O46" s="33">
        <v>382413.84</v>
      </c>
      <c r="P46" s="21" t="s">
        <v>183</v>
      </c>
      <c r="Q46" s="21">
        <v>450865.93</v>
      </c>
      <c r="R46" s="21">
        <v>9</v>
      </c>
      <c r="S46" s="21">
        <v>34417.25</v>
      </c>
      <c r="T46" s="21">
        <v>9</v>
      </c>
      <c r="U46" s="21">
        <v>34417.25</v>
      </c>
      <c r="V46" s="21">
        <v>0</v>
      </c>
      <c r="W46" s="21">
        <v>0</v>
      </c>
      <c r="X46" s="21">
        <v>0</v>
      </c>
      <c r="Y46" s="21">
        <v>68834.5</v>
      </c>
      <c r="Z46" s="21">
        <v>0</v>
      </c>
      <c r="AA46" s="21" t="s">
        <v>176</v>
      </c>
      <c r="AB46" s="21" t="s">
        <v>168</v>
      </c>
      <c r="AC46" s="21">
        <v>39269080</v>
      </c>
      <c r="AD46" s="21" t="s">
        <v>201</v>
      </c>
      <c r="AE46" s="21">
        <v>1</v>
      </c>
      <c r="AF46" s="33">
        <v>2687</v>
      </c>
      <c r="AG46" s="21" t="s">
        <v>202</v>
      </c>
    </row>
    <row r="47" spans="1:33" x14ac:dyDescent="0.25">
      <c r="A47" s="22"/>
      <c r="B47" s="23">
        <v>46181</v>
      </c>
      <c r="C47" s="21" t="s">
        <v>656</v>
      </c>
      <c r="D47" s="21" t="s">
        <v>1247</v>
      </c>
      <c r="E47" s="21" t="s">
        <v>741</v>
      </c>
      <c r="F47" s="21" t="s">
        <v>1248</v>
      </c>
      <c r="G47" s="21" t="s">
        <v>740</v>
      </c>
      <c r="H47" s="23">
        <v>46150</v>
      </c>
      <c r="I47" s="21" t="s">
        <v>188</v>
      </c>
      <c r="J47" s="21" t="s">
        <v>152</v>
      </c>
      <c r="K47" s="21" t="s">
        <v>152</v>
      </c>
      <c r="L47" s="21" t="s">
        <v>200</v>
      </c>
      <c r="M47" s="21" t="s">
        <v>187</v>
      </c>
      <c r="N47" s="33">
        <v>5375</v>
      </c>
      <c r="O47" s="33">
        <v>1178576.25</v>
      </c>
      <c r="P47" s="21" t="s">
        <v>187</v>
      </c>
      <c r="Q47" s="21">
        <v>1389541.39</v>
      </c>
      <c r="R47" s="21">
        <v>9</v>
      </c>
      <c r="S47" s="21">
        <v>106071.86</v>
      </c>
      <c r="T47" s="21">
        <v>9</v>
      </c>
      <c r="U47" s="21">
        <v>106071.86</v>
      </c>
      <c r="V47" s="21">
        <v>0</v>
      </c>
      <c r="W47" s="21">
        <v>0</v>
      </c>
      <c r="X47" s="21">
        <v>0</v>
      </c>
      <c r="Y47" s="21">
        <v>212143.72</v>
      </c>
      <c r="Z47" s="21">
        <v>0</v>
      </c>
      <c r="AA47" s="21" t="s">
        <v>176</v>
      </c>
      <c r="AB47" s="21" t="s">
        <v>168</v>
      </c>
      <c r="AC47" s="21">
        <v>63053200</v>
      </c>
      <c r="AD47" s="21" t="s">
        <v>201</v>
      </c>
      <c r="AE47" s="21">
        <v>1</v>
      </c>
      <c r="AF47" s="33">
        <v>5375</v>
      </c>
      <c r="AG47" s="21" t="s">
        <v>202</v>
      </c>
    </row>
    <row r="48" spans="1:33" x14ac:dyDescent="0.25">
      <c r="A48" s="22"/>
      <c r="B48" s="23">
        <v>46181</v>
      </c>
      <c r="C48" s="21" t="s">
        <v>1280</v>
      </c>
      <c r="D48" s="21" t="s">
        <v>1252</v>
      </c>
      <c r="E48" s="21" t="s">
        <v>1282</v>
      </c>
      <c r="F48" s="21" t="s">
        <v>1333</v>
      </c>
      <c r="G48" s="21" t="s">
        <v>1281</v>
      </c>
      <c r="H48" s="21" t="s">
        <v>1261</v>
      </c>
      <c r="I48" s="21" t="s">
        <v>1032</v>
      </c>
      <c r="J48" s="21" t="s">
        <v>1285</v>
      </c>
      <c r="K48" s="21" t="s">
        <v>159</v>
      </c>
      <c r="L48" s="21" t="s">
        <v>159</v>
      </c>
      <c r="M48" s="21" t="s">
        <v>1277</v>
      </c>
      <c r="N48" s="21">
        <v>12.8</v>
      </c>
      <c r="O48" s="33">
        <v>21250</v>
      </c>
      <c r="P48" s="21" t="s">
        <v>1277</v>
      </c>
      <c r="Q48" s="21">
        <v>49523</v>
      </c>
      <c r="R48" s="21">
        <v>0</v>
      </c>
      <c r="S48" s="21">
        <v>0</v>
      </c>
      <c r="T48" s="21">
        <v>0</v>
      </c>
      <c r="U48" s="21">
        <v>0</v>
      </c>
      <c r="V48" s="21">
        <v>5</v>
      </c>
      <c r="W48" s="21">
        <v>1062.5</v>
      </c>
      <c r="X48" s="21">
        <v>0</v>
      </c>
      <c r="Y48" s="21">
        <v>1062.5</v>
      </c>
      <c r="Z48" s="21">
        <v>0</v>
      </c>
      <c r="AA48" s="21" t="s">
        <v>1286</v>
      </c>
      <c r="AB48" s="21" t="s">
        <v>1279</v>
      </c>
      <c r="AC48" s="21">
        <v>58079010</v>
      </c>
      <c r="AD48" s="21" t="s">
        <v>201</v>
      </c>
      <c r="AE48" s="21">
        <v>1</v>
      </c>
      <c r="AF48" s="21">
        <v>12.8</v>
      </c>
      <c r="AG48" s="21" t="s">
        <v>202</v>
      </c>
    </row>
    <row r="49" spans="1:33" x14ac:dyDescent="0.25">
      <c r="A49" s="22"/>
      <c r="B49" s="23">
        <v>46181</v>
      </c>
      <c r="C49" s="21" t="s">
        <v>1280</v>
      </c>
      <c r="D49" s="21" t="s">
        <v>1252</v>
      </c>
      <c r="E49" s="21" t="s">
        <v>1282</v>
      </c>
      <c r="F49" s="21" t="s">
        <v>1333</v>
      </c>
      <c r="G49" s="21" t="s">
        <v>1281</v>
      </c>
      <c r="H49" s="21" t="s">
        <v>1261</v>
      </c>
      <c r="I49" s="21" t="s">
        <v>1032</v>
      </c>
      <c r="J49" s="21" t="s">
        <v>1285</v>
      </c>
      <c r="K49" s="21" t="s">
        <v>159</v>
      </c>
      <c r="L49" s="21" t="s">
        <v>159</v>
      </c>
      <c r="M49" s="21" t="s">
        <v>1277</v>
      </c>
      <c r="N49" s="21">
        <v>14.46</v>
      </c>
      <c r="O49" s="33">
        <v>25915</v>
      </c>
      <c r="P49" s="21" t="s">
        <v>1277</v>
      </c>
      <c r="Q49" s="21">
        <v>0</v>
      </c>
      <c r="R49" s="21">
        <v>0</v>
      </c>
      <c r="S49" s="21">
        <v>0</v>
      </c>
      <c r="T49" s="21">
        <v>0</v>
      </c>
      <c r="U49" s="21">
        <v>0</v>
      </c>
      <c r="V49" s="21">
        <v>5</v>
      </c>
      <c r="W49" s="21">
        <v>1295.75</v>
      </c>
      <c r="X49" s="21">
        <v>0</v>
      </c>
      <c r="Y49" s="21">
        <v>1295.75</v>
      </c>
      <c r="Z49" s="21">
        <v>0</v>
      </c>
      <c r="AA49" s="21" t="s">
        <v>1286</v>
      </c>
      <c r="AB49" s="21" t="s">
        <v>1279</v>
      </c>
      <c r="AC49" s="21">
        <v>58079010</v>
      </c>
      <c r="AD49" s="21" t="s">
        <v>201</v>
      </c>
      <c r="AE49" s="21">
        <v>1</v>
      </c>
      <c r="AF49" s="21">
        <v>14.46</v>
      </c>
      <c r="AG49" s="21" t="s">
        <v>202</v>
      </c>
    </row>
    <row r="50" spans="1:33" x14ac:dyDescent="0.25">
      <c r="A50" s="22"/>
      <c r="B50" s="23">
        <v>46181</v>
      </c>
      <c r="C50" s="21" t="s">
        <v>1280</v>
      </c>
      <c r="D50" s="21" t="s">
        <v>1252</v>
      </c>
      <c r="E50" s="21" t="s">
        <v>1292</v>
      </c>
      <c r="F50" s="21" t="s">
        <v>1333</v>
      </c>
      <c r="G50" s="21" t="s">
        <v>1290</v>
      </c>
      <c r="H50" s="21" t="s">
        <v>1291</v>
      </c>
      <c r="I50" s="21" t="s">
        <v>1032</v>
      </c>
      <c r="J50" s="21" t="s">
        <v>1285</v>
      </c>
      <c r="K50" s="21" t="s">
        <v>159</v>
      </c>
      <c r="L50" s="21" t="s">
        <v>159</v>
      </c>
      <c r="M50" s="21" t="s">
        <v>1277</v>
      </c>
      <c r="N50" s="21">
        <v>23.36</v>
      </c>
      <c r="O50" s="33">
        <v>39100</v>
      </c>
      <c r="P50" s="21" t="s">
        <v>1277</v>
      </c>
      <c r="Q50" s="21">
        <v>41790</v>
      </c>
      <c r="R50" s="21">
        <v>0</v>
      </c>
      <c r="S50" s="21">
        <v>0</v>
      </c>
      <c r="T50" s="21">
        <v>0</v>
      </c>
      <c r="U50" s="21">
        <v>0</v>
      </c>
      <c r="V50" s="21">
        <v>5</v>
      </c>
      <c r="W50" s="21">
        <v>1955</v>
      </c>
      <c r="X50" s="21">
        <v>35</v>
      </c>
      <c r="Y50" s="21">
        <v>1990</v>
      </c>
      <c r="Z50" s="21">
        <v>0</v>
      </c>
      <c r="AA50" s="21" t="s">
        <v>1286</v>
      </c>
      <c r="AB50" s="21" t="s">
        <v>1279</v>
      </c>
      <c r="AC50" s="21">
        <v>58079010</v>
      </c>
      <c r="AD50" s="21" t="s">
        <v>201</v>
      </c>
      <c r="AE50" s="21">
        <v>1</v>
      </c>
      <c r="AF50" s="21">
        <v>23.36</v>
      </c>
      <c r="AG50" s="21" t="s">
        <v>202</v>
      </c>
    </row>
    <row r="51" spans="1:33" x14ac:dyDescent="0.25">
      <c r="A51" s="22"/>
      <c r="B51" s="23">
        <v>46211</v>
      </c>
      <c r="C51" s="21" t="s">
        <v>633</v>
      </c>
      <c r="D51" s="21" t="s">
        <v>1247</v>
      </c>
      <c r="E51" s="21" t="s">
        <v>758</v>
      </c>
      <c r="F51" s="21" t="s">
        <v>1248</v>
      </c>
      <c r="G51" s="21" t="s">
        <v>757</v>
      </c>
      <c r="H51" s="23">
        <v>46181</v>
      </c>
      <c r="I51" s="21" t="s">
        <v>169</v>
      </c>
      <c r="J51" s="21" t="s">
        <v>170</v>
      </c>
      <c r="K51" s="21" t="s">
        <v>157</v>
      </c>
      <c r="L51" s="21" t="s">
        <v>225</v>
      </c>
      <c r="M51" s="21" t="s">
        <v>727</v>
      </c>
      <c r="N51" s="35">
        <v>26</v>
      </c>
      <c r="O51" s="33">
        <v>4129.32</v>
      </c>
      <c r="P51" s="21" t="s">
        <v>727</v>
      </c>
      <c r="Q51" s="21">
        <v>486933.6</v>
      </c>
      <c r="R51" s="21">
        <v>2.5</v>
      </c>
      <c r="S51" s="21">
        <v>103.23</v>
      </c>
      <c r="T51" s="21">
        <v>2.5</v>
      </c>
      <c r="U51" s="21">
        <v>103.23</v>
      </c>
      <c r="V51" s="21">
        <v>0</v>
      </c>
      <c r="W51" s="21">
        <v>0</v>
      </c>
      <c r="X51" s="21">
        <v>0</v>
      </c>
      <c r="Y51" s="21">
        <v>206.46</v>
      </c>
      <c r="Z51" s="21">
        <v>0</v>
      </c>
      <c r="AA51" s="21" t="s">
        <v>176</v>
      </c>
      <c r="AB51" s="21" t="s">
        <v>168</v>
      </c>
      <c r="AC51" s="21">
        <v>540269</v>
      </c>
      <c r="AD51" s="21" t="s">
        <v>201</v>
      </c>
      <c r="AE51" s="21">
        <v>1</v>
      </c>
      <c r="AF51" s="21">
        <v>26</v>
      </c>
      <c r="AG51" s="21" t="s">
        <v>202</v>
      </c>
    </row>
    <row r="52" spans="1:33" x14ac:dyDescent="0.25">
      <c r="A52" s="22"/>
      <c r="B52" s="23">
        <v>46211</v>
      </c>
      <c r="C52" s="21" t="s">
        <v>633</v>
      </c>
      <c r="D52" s="21" t="s">
        <v>1247</v>
      </c>
      <c r="E52" s="21" t="s">
        <v>758</v>
      </c>
      <c r="F52" s="21" t="s">
        <v>1248</v>
      </c>
      <c r="G52" s="21" t="s">
        <v>757</v>
      </c>
      <c r="H52" s="23">
        <v>46181</v>
      </c>
      <c r="I52" s="21" t="s">
        <v>169</v>
      </c>
      <c r="J52" s="21" t="s">
        <v>181</v>
      </c>
      <c r="K52" s="21" t="s">
        <v>154</v>
      </c>
      <c r="L52" s="21" t="s">
        <v>154</v>
      </c>
      <c r="M52" s="21" t="s">
        <v>181</v>
      </c>
      <c r="N52" s="21">
        <v>222.3</v>
      </c>
      <c r="O52" s="33">
        <v>32082.33</v>
      </c>
      <c r="P52" s="21" t="s">
        <v>181</v>
      </c>
      <c r="Q52" s="21">
        <v>0</v>
      </c>
      <c r="R52" s="21">
        <v>9</v>
      </c>
      <c r="S52" s="21">
        <v>2887.41</v>
      </c>
      <c r="T52" s="21">
        <v>9</v>
      </c>
      <c r="U52" s="21">
        <v>2887.41</v>
      </c>
      <c r="V52" s="21">
        <v>0</v>
      </c>
      <c r="W52" s="21">
        <v>0</v>
      </c>
      <c r="X52" s="21">
        <v>0</v>
      </c>
      <c r="Y52" s="21">
        <v>5774.82</v>
      </c>
      <c r="Z52" s="21">
        <v>0</v>
      </c>
      <c r="AA52" s="21" t="s">
        <v>176</v>
      </c>
      <c r="AB52" s="21" t="s">
        <v>168</v>
      </c>
      <c r="AC52" s="21">
        <v>3926908</v>
      </c>
      <c r="AD52" s="21" t="s">
        <v>201</v>
      </c>
      <c r="AE52" s="21">
        <v>1</v>
      </c>
      <c r="AF52" s="21">
        <v>222.3</v>
      </c>
      <c r="AG52" s="21" t="s">
        <v>202</v>
      </c>
    </row>
    <row r="53" spans="1:33" x14ac:dyDescent="0.25">
      <c r="A53" s="22"/>
      <c r="B53" s="23">
        <v>46211</v>
      </c>
      <c r="C53" s="21" t="s">
        <v>633</v>
      </c>
      <c r="D53" s="21" t="s">
        <v>1247</v>
      </c>
      <c r="E53" s="21" t="s">
        <v>758</v>
      </c>
      <c r="F53" s="21" t="s">
        <v>1248</v>
      </c>
      <c r="G53" s="21" t="s">
        <v>757</v>
      </c>
      <c r="H53" s="23">
        <v>46181</v>
      </c>
      <c r="I53" s="21" t="s">
        <v>169</v>
      </c>
      <c r="J53" s="21" t="s">
        <v>181</v>
      </c>
      <c r="K53" s="21" t="s">
        <v>154</v>
      </c>
      <c r="L53" s="21" t="s">
        <v>154</v>
      </c>
      <c r="M53" s="21" t="s">
        <v>181</v>
      </c>
      <c r="N53" s="21">
        <v>529.6</v>
      </c>
      <c r="O53" s="33">
        <v>78020.67</v>
      </c>
      <c r="P53" s="21" t="s">
        <v>181</v>
      </c>
      <c r="Q53" s="21">
        <v>0</v>
      </c>
      <c r="R53" s="21">
        <v>9</v>
      </c>
      <c r="S53" s="21">
        <v>7021.86</v>
      </c>
      <c r="T53" s="21">
        <v>9</v>
      </c>
      <c r="U53" s="21">
        <v>7021.86</v>
      </c>
      <c r="V53" s="21">
        <v>0</v>
      </c>
      <c r="W53" s="21">
        <v>0</v>
      </c>
      <c r="X53" s="21">
        <v>0</v>
      </c>
      <c r="Y53" s="21">
        <v>14043.72</v>
      </c>
      <c r="Z53" s="21">
        <v>0</v>
      </c>
      <c r="AA53" s="21" t="s">
        <v>176</v>
      </c>
      <c r="AB53" s="21" t="s">
        <v>168</v>
      </c>
      <c r="AC53" s="21">
        <v>3926908</v>
      </c>
      <c r="AD53" s="21" t="s">
        <v>201</v>
      </c>
      <c r="AE53" s="21">
        <v>1</v>
      </c>
      <c r="AF53" s="21">
        <v>529.6</v>
      </c>
      <c r="AG53" s="21" t="s">
        <v>202</v>
      </c>
    </row>
    <row r="54" spans="1:33" x14ac:dyDescent="0.25">
      <c r="A54" s="22"/>
      <c r="B54" s="23">
        <v>46211</v>
      </c>
      <c r="C54" s="21" t="s">
        <v>633</v>
      </c>
      <c r="D54" s="21" t="s">
        <v>1247</v>
      </c>
      <c r="E54" s="21" t="s">
        <v>758</v>
      </c>
      <c r="F54" s="21" t="s">
        <v>1248</v>
      </c>
      <c r="G54" s="21" t="s">
        <v>757</v>
      </c>
      <c r="H54" s="23">
        <v>46181</v>
      </c>
      <c r="I54" s="21" t="s">
        <v>169</v>
      </c>
      <c r="J54" s="21" t="s">
        <v>179</v>
      </c>
      <c r="K54" s="21" t="s">
        <v>156</v>
      </c>
      <c r="L54" s="21" t="s">
        <v>211</v>
      </c>
      <c r="M54" s="21" t="s">
        <v>178</v>
      </c>
      <c r="N54" s="33">
        <v>1619</v>
      </c>
      <c r="O54" s="33">
        <v>241749.08</v>
      </c>
      <c r="P54" s="21" t="s">
        <v>178</v>
      </c>
      <c r="Q54" s="21">
        <v>0</v>
      </c>
      <c r="R54" s="21">
        <v>9</v>
      </c>
      <c r="S54" s="21">
        <v>21757.42</v>
      </c>
      <c r="T54" s="21">
        <v>9</v>
      </c>
      <c r="U54" s="21">
        <v>21757.42</v>
      </c>
      <c r="V54" s="21">
        <v>0</v>
      </c>
      <c r="W54" s="21">
        <v>0</v>
      </c>
      <c r="X54" s="21">
        <v>0</v>
      </c>
      <c r="Y54" s="21">
        <v>43514.84</v>
      </c>
      <c r="Z54" s="21">
        <v>0</v>
      </c>
      <c r="AA54" s="21" t="s">
        <v>176</v>
      </c>
      <c r="AB54" s="21" t="s">
        <v>168</v>
      </c>
      <c r="AC54" s="21">
        <v>63053300</v>
      </c>
      <c r="AD54" s="21" t="s">
        <v>201</v>
      </c>
      <c r="AE54" s="21">
        <v>1</v>
      </c>
      <c r="AF54" s="33">
        <v>1619</v>
      </c>
      <c r="AG54" s="21" t="s">
        <v>202</v>
      </c>
    </row>
    <row r="55" spans="1:33" x14ac:dyDescent="0.25">
      <c r="A55" s="22"/>
      <c r="B55" s="23">
        <v>46211</v>
      </c>
      <c r="C55" s="21" t="s">
        <v>633</v>
      </c>
      <c r="D55" s="21" t="s">
        <v>1247</v>
      </c>
      <c r="E55" s="21" t="s">
        <v>758</v>
      </c>
      <c r="F55" s="21" t="s">
        <v>1248</v>
      </c>
      <c r="G55" s="21" t="s">
        <v>757</v>
      </c>
      <c r="H55" s="23">
        <v>46181</v>
      </c>
      <c r="I55" s="21" t="s">
        <v>169</v>
      </c>
      <c r="J55" s="21" t="s">
        <v>175</v>
      </c>
      <c r="K55" s="21" t="s">
        <v>159</v>
      </c>
      <c r="L55" s="21" t="s">
        <v>159</v>
      </c>
      <c r="M55" s="21" t="s">
        <v>173</v>
      </c>
      <c r="N55" s="21">
        <v>325</v>
      </c>
      <c r="O55" s="33">
        <v>57479.5</v>
      </c>
      <c r="P55" s="21" t="s">
        <v>173</v>
      </c>
      <c r="Q55" s="21">
        <v>0</v>
      </c>
      <c r="R55" s="21">
        <v>9</v>
      </c>
      <c r="S55" s="21">
        <v>5173.16</v>
      </c>
      <c r="T55" s="21">
        <v>9</v>
      </c>
      <c r="U55" s="21">
        <v>5173.16</v>
      </c>
      <c r="V55" s="21">
        <v>0</v>
      </c>
      <c r="W55" s="21">
        <v>0</v>
      </c>
      <c r="X55" s="21">
        <v>0</v>
      </c>
      <c r="Y55" s="21">
        <v>10346.32</v>
      </c>
      <c r="Z55" s="21">
        <v>0</v>
      </c>
      <c r="AA55" s="21" t="s">
        <v>176</v>
      </c>
      <c r="AB55" s="21" t="s">
        <v>168</v>
      </c>
      <c r="AC55" s="21">
        <v>39200000</v>
      </c>
      <c r="AD55" s="21" t="s">
        <v>201</v>
      </c>
      <c r="AE55" s="21">
        <v>1</v>
      </c>
      <c r="AF55" s="21">
        <v>325</v>
      </c>
      <c r="AG55" s="21" t="s">
        <v>202</v>
      </c>
    </row>
    <row r="56" spans="1:33" x14ac:dyDescent="0.25">
      <c r="A56" s="22"/>
      <c r="B56" s="23">
        <v>46211</v>
      </c>
      <c r="C56" s="21" t="s">
        <v>633</v>
      </c>
      <c r="D56" s="21" t="s">
        <v>1247</v>
      </c>
      <c r="E56" s="21" t="s">
        <v>762</v>
      </c>
      <c r="F56" s="21" t="s">
        <v>1248</v>
      </c>
      <c r="G56" s="21" t="s">
        <v>761</v>
      </c>
      <c r="H56" s="23">
        <v>46211</v>
      </c>
      <c r="I56" s="21" t="s">
        <v>169</v>
      </c>
      <c r="J56" s="21" t="s">
        <v>170</v>
      </c>
      <c r="K56" s="21" t="s">
        <v>157</v>
      </c>
      <c r="L56" s="21" t="s">
        <v>225</v>
      </c>
      <c r="M56" s="21" t="s">
        <v>727</v>
      </c>
      <c r="N56" s="35">
        <v>32.6</v>
      </c>
      <c r="O56" s="33">
        <v>5177.54</v>
      </c>
      <c r="P56" s="21" t="s">
        <v>727</v>
      </c>
      <c r="Q56" s="21">
        <v>1166024.45</v>
      </c>
      <c r="R56" s="21">
        <v>2.5</v>
      </c>
      <c r="S56" s="21">
        <v>129.44</v>
      </c>
      <c r="T56" s="21">
        <v>2.5</v>
      </c>
      <c r="U56" s="21">
        <v>129.44</v>
      </c>
      <c r="V56" s="21">
        <v>0</v>
      </c>
      <c r="W56" s="21">
        <v>0</v>
      </c>
      <c r="X56" s="21">
        <v>0</v>
      </c>
      <c r="Y56" s="21">
        <v>258.88</v>
      </c>
      <c r="Z56" s="21">
        <v>0</v>
      </c>
      <c r="AA56" s="21" t="s">
        <v>176</v>
      </c>
      <c r="AB56" s="21" t="s">
        <v>168</v>
      </c>
      <c r="AC56" s="21">
        <v>540269</v>
      </c>
      <c r="AD56" s="21" t="s">
        <v>201</v>
      </c>
      <c r="AE56" s="21">
        <v>1</v>
      </c>
      <c r="AF56" s="21">
        <v>32.6</v>
      </c>
      <c r="AG56" s="21" t="s">
        <v>202</v>
      </c>
    </row>
    <row r="57" spans="1:33" x14ac:dyDescent="0.25">
      <c r="A57" s="22"/>
      <c r="B57" s="23">
        <v>46211</v>
      </c>
      <c r="C57" s="21" t="s">
        <v>633</v>
      </c>
      <c r="D57" s="21" t="s">
        <v>1247</v>
      </c>
      <c r="E57" s="21" t="s">
        <v>762</v>
      </c>
      <c r="F57" s="21" t="s">
        <v>1248</v>
      </c>
      <c r="G57" s="21" t="s">
        <v>761</v>
      </c>
      <c r="H57" s="23">
        <v>46211</v>
      </c>
      <c r="I57" s="21" t="s">
        <v>169</v>
      </c>
      <c r="J57" s="21" t="s">
        <v>179</v>
      </c>
      <c r="K57" s="21" t="s">
        <v>156</v>
      </c>
      <c r="L57" s="21" t="s">
        <v>211</v>
      </c>
      <c r="M57" s="21" t="s">
        <v>178</v>
      </c>
      <c r="N57" s="33">
        <v>4875</v>
      </c>
      <c r="O57" s="33">
        <v>727935</v>
      </c>
      <c r="P57" s="21" t="s">
        <v>178</v>
      </c>
      <c r="Q57" s="21">
        <v>0</v>
      </c>
      <c r="R57" s="21">
        <v>9</v>
      </c>
      <c r="S57" s="21">
        <v>65514.15</v>
      </c>
      <c r="T57" s="21">
        <v>9</v>
      </c>
      <c r="U57" s="21">
        <v>65514.15</v>
      </c>
      <c r="V57" s="21">
        <v>0</v>
      </c>
      <c r="W57" s="21">
        <v>0</v>
      </c>
      <c r="X57" s="21">
        <v>0</v>
      </c>
      <c r="Y57" s="21">
        <v>131028.3</v>
      </c>
      <c r="Z57" s="21">
        <v>0</v>
      </c>
      <c r="AA57" s="21" t="s">
        <v>176</v>
      </c>
      <c r="AB57" s="21" t="s">
        <v>168</v>
      </c>
      <c r="AC57" s="21">
        <v>63053300</v>
      </c>
      <c r="AD57" s="21" t="s">
        <v>201</v>
      </c>
      <c r="AE57" s="21">
        <v>1</v>
      </c>
      <c r="AF57" s="33">
        <v>4875</v>
      </c>
      <c r="AG57" s="21" t="s">
        <v>202</v>
      </c>
    </row>
    <row r="58" spans="1:33" x14ac:dyDescent="0.25">
      <c r="A58" s="22"/>
      <c r="B58" s="23">
        <v>46211</v>
      </c>
      <c r="C58" s="21" t="s">
        <v>633</v>
      </c>
      <c r="D58" s="21" t="s">
        <v>1247</v>
      </c>
      <c r="E58" s="21" t="s">
        <v>762</v>
      </c>
      <c r="F58" s="21" t="s">
        <v>1248</v>
      </c>
      <c r="G58" s="21" t="s">
        <v>761</v>
      </c>
      <c r="H58" s="23">
        <v>46211</v>
      </c>
      <c r="I58" s="21" t="s">
        <v>169</v>
      </c>
      <c r="J58" s="21" t="s">
        <v>181</v>
      </c>
      <c r="K58" s="21" t="s">
        <v>154</v>
      </c>
      <c r="L58" s="21" t="s">
        <v>154</v>
      </c>
      <c r="M58" s="21" t="s">
        <v>181</v>
      </c>
      <c r="N58" s="21">
        <v>845.4</v>
      </c>
      <c r="O58" s="33">
        <v>124544.32000000001</v>
      </c>
      <c r="P58" s="21" t="s">
        <v>181</v>
      </c>
      <c r="Q58" s="21">
        <v>0</v>
      </c>
      <c r="R58" s="21">
        <v>9</v>
      </c>
      <c r="S58" s="21">
        <v>11208.99</v>
      </c>
      <c r="T58" s="21">
        <v>9</v>
      </c>
      <c r="U58" s="21">
        <v>11208.99</v>
      </c>
      <c r="V58" s="21">
        <v>0</v>
      </c>
      <c r="W58" s="21">
        <v>0</v>
      </c>
      <c r="X58" s="21">
        <v>0</v>
      </c>
      <c r="Y58" s="21">
        <v>22417.98</v>
      </c>
      <c r="Z58" s="21">
        <v>0</v>
      </c>
      <c r="AA58" s="21" t="s">
        <v>176</v>
      </c>
      <c r="AB58" s="21" t="s">
        <v>168</v>
      </c>
      <c r="AC58" s="21">
        <v>3926908</v>
      </c>
      <c r="AD58" s="21" t="s">
        <v>201</v>
      </c>
      <c r="AE58" s="21">
        <v>1</v>
      </c>
      <c r="AF58" s="21">
        <v>845.4</v>
      </c>
      <c r="AG58" s="21" t="s">
        <v>202</v>
      </c>
    </row>
    <row r="59" spans="1:33" x14ac:dyDescent="0.25">
      <c r="A59" s="22"/>
      <c r="B59" s="23">
        <v>46211</v>
      </c>
      <c r="C59" s="21" t="s">
        <v>633</v>
      </c>
      <c r="D59" s="21" t="s">
        <v>1247</v>
      </c>
      <c r="E59" s="21" t="s">
        <v>762</v>
      </c>
      <c r="F59" s="21" t="s">
        <v>1248</v>
      </c>
      <c r="G59" s="21" t="s">
        <v>761</v>
      </c>
      <c r="H59" s="23">
        <v>46211</v>
      </c>
      <c r="I59" s="21" t="s">
        <v>169</v>
      </c>
      <c r="J59" s="21" t="s">
        <v>181</v>
      </c>
      <c r="K59" s="21" t="s">
        <v>154</v>
      </c>
      <c r="L59" s="21" t="s">
        <v>154</v>
      </c>
      <c r="M59" s="21" t="s">
        <v>181</v>
      </c>
      <c r="N59" s="21">
        <v>914</v>
      </c>
      <c r="O59" s="33">
        <v>131908.48000000001</v>
      </c>
      <c r="P59" s="21" t="s">
        <v>181</v>
      </c>
      <c r="Q59" s="21">
        <v>0</v>
      </c>
      <c r="R59" s="21">
        <v>9</v>
      </c>
      <c r="S59" s="21">
        <v>11871.76</v>
      </c>
      <c r="T59" s="21">
        <v>9</v>
      </c>
      <c r="U59" s="21">
        <v>11871.76</v>
      </c>
      <c r="V59" s="21">
        <v>0</v>
      </c>
      <c r="W59" s="21">
        <v>0</v>
      </c>
      <c r="X59" s="21">
        <v>0</v>
      </c>
      <c r="Y59" s="21">
        <v>23743.52</v>
      </c>
      <c r="Z59" s="21">
        <v>0</v>
      </c>
      <c r="AA59" s="21" t="s">
        <v>176</v>
      </c>
      <c r="AB59" s="21" t="s">
        <v>168</v>
      </c>
      <c r="AC59" s="21">
        <v>3926908</v>
      </c>
      <c r="AD59" s="21" t="s">
        <v>201</v>
      </c>
      <c r="AE59" s="21">
        <v>1</v>
      </c>
      <c r="AF59" s="21">
        <v>914</v>
      </c>
      <c r="AG59" s="21" t="s">
        <v>202</v>
      </c>
    </row>
    <row r="60" spans="1:33" x14ac:dyDescent="0.25">
      <c r="A60" s="22"/>
      <c r="B60" s="23">
        <v>46242</v>
      </c>
      <c r="C60" s="21" t="s">
        <v>663</v>
      </c>
      <c r="D60" s="21" t="s">
        <v>1247</v>
      </c>
      <c r="E60" s="21" t="s">
        <v>794</v>
      </c>
      <c r="F60" s="21" t="s">
        <v>1248</v>
      </c>
      <c r="G60" s="21" t="s">
        <v>793</v>
      </c>
      <c r="H60" s="23">
        <v>46211</v>
      </c>
      <c r="I60" s="21" t="s">
        <v>169</v>
      </c>
      <c r="J60" s="21" t="s">
        <v>175</v>
      </c>
      <c r="K60" s="21" t="s">
        <v>159</v>
      </c>
      <c r="L60" s="21" t="s">
        <v>159</v>
      </c>
      <c r="M60" s="21" t="s">
        <v>173</v>
      </c>
      <c r="N60" s="21">
        <v>125</v>
      </c>
      <c r="O60" s="33">
        <v>21368.75</v>
      </c>
      <c r="P60" s="21" t="s">
        <v>173</v>
      </c>
      <c r="Q60" s="21">
        <v>1001945.82</v>
      </c>
      <c r="R60" s="21">
        <v>9</v>
      </c>
      <c r="S60" s="21">
        <v>1923.19</v>
      </c>
      <c r="T60" s="21">
        <v>9</v>
      </c>
      <c r="U60" s="21">
        <v>1923.19</v>
      </c>
      <c r="V60" s="21">
        <v>0</v>
      </c>
      <c r="W60" s="21">
        <v>0</v>
      </c>
      <c r="X60" s="21">
        <v>0</v>
      </c>
      <c r="Y60" s="21">
        <v>3846.38</v>
      </c>
      <c r="Z60" s="21">
        <v>0</v>
      </c>
      <c r="AA60" s="21" t="s">
        <v>185</v>
      </c>
      <c r="AB60" s="21" t="s">
        <v>168</v>
      </c>
      <c r="AC60" s="21">
        <v>39200000</v>
      </c>
      <c r="AD60" s="21" t="s">
        <v>201</v>
      </c>
      <c r="AE60" s="21">
        <v>1</v>
      </c>
      <c r="AF60" s="21">
        <v>125</v>
      </c>
      <c r="AG60" s="21" t="s">
        <v>202</v>
      </c>
    </row>
    <row r="61" spans="1:33" x14ac:dyDescent="0.25">
      <c r="A61" s="22"/>
      <c r="B61" s="23">
        <v>46242</v>
      </c>
      <c r="C61" s="21" t="s">
        <v>663</v>
      </c>
      <c r="D61" s="21" t="s">
        <v>1247</v>
      </c>
      <c r="E61" s="21" t="s">
        <v>794</v>
      </c>
      <c r="F61" s="21" t="s">
        <v>1248</v>
      </c>
      <c r="G61" s="21" t="s">
        <v>793</v>
      </c>
      <c r="H61" s="23">
        <v>46211</v>
      </c>
      <c r="I61" s="21" t="s">
        <v>169</v>
      </c>
      <c r="J61" s="21" t="s">
        <v>179</v>
      </c>
      <c r="K61" s="21" t="s">
        <v>155</v>
      </c>
      <c r="L61" s="21" t="s">
        <v>203</v>
      </c>
      <c r="M61" s="21" t="s">
        <v>183</v>
      </c>
      <c r="N61" s="33">
        <v>5294</v>
      </c>
      <c r="O61" s="33">
        <v>828458.06</v>
      </c>
      <c r="P61" s="21" t="s">
        <v>183</v>
      </c>
      <c r="Q61" s="21">
        <v>0</v>
      </c>
      <c r="R61" s="21">
        <v>9</v>
      </c>
      <c r="S61" s="21">
        <v>74561.23</v>
      </c>
      <c r="T61" s="21">
        <v>9</v>
      </c>
      <c r="U61" s="21">
        <v>74561.23</v>
      </c>
      <c r="V61" s="21">
        <v>0</v>
      </c>
      <c r="W61" s="21">
        <v>0</v>
      </c>
      <c r="X61" s="21">
        <v>0</v>
      </c>
      <c r="Y61" s="21">
        <v>149122.46</v>
      </c>
      <c r="Z61" s="21">
        <v>0</v>
      </c>
      <c r="AA61" s="21" t="s">
        <v>185</v>
      </c>
      <c r="AB61" s="21" t="s">
        <v>168</v>
      </c>
      <c r="AC61" s="21">
        <v>39269080</v>
      </c>
      <c r="AD61" s="21" t="s">
        <v>201</v>
      </c>
      <c r="AE61" s="21">
        <v>1</v>
      </c>
      <c r="AF61" s="33">
        <v>5294</v>
      </c>
      <c r="AG61" s="21" t="s">
        <v>202</v>
      </c>
    </row>
    <row r="62" spans="1:33" x14ac:dyDescent="0.25">
      <c r="A62" s="22"/>
      <c r="B62" s="23">
        <v>46242</v>
      </c>
      <c r="C62" s="21" t="s">
        <v>730</v>
      </c>
      <c r="D62" s="21" t="s">
        <v>1247</v>
      </c>
      <c r="E62" s="21" t="s">
        <v>775</v>
      </c>
      <c r="F62" s="21" t="s">
        <v>1248</v>
      </c>
      <c r="G62" s="21" t="s">
        <v>774</v>
      </c>
      <c r="H62" s="23">
        <v>46242</v>
      </c>
      <c r="I62" s="21" t="s">
        <v>188</v>
      </c>
      <c r="J62" s="21" t="s">
        <v>152</v>
      </c>
      <c r="K62" s="21" t="s">
        <v>152</v>
      </c>
      <c r="L62" s="21" t="s">
        <v>200</v>
      </c>
      <c r="M62" s="21" t="s">
        <v>191</v>
      </c>
      <c r="N62" s="33">
        <v>1633</v>
      </c>
      <c r="O62" s="33">
        <v>415369.88</v>
      </c>
      <c r="P62" s="21" t="s">
        <v>191</v>
      </c>
      <c r="Q62" s="21">
        <v>1680173.95</v>
      </c>
      <c r="R62" s="21">
        <v>9</v>
      </c>
      <c r="S62" s="21">
        <v>37383.29</v>
      </c>
      <c r="T62" s="21">
        <v>9</v>
      </c>
      <c r="U62" s="21">
        <v>37383.29</v>
      </c>
      <c r="V62" s="21">
        <v>0</v>
      </c>
      <c r="W62" s="21">
        <v>0</v>
      </c>
      <c r="X62" s="21">
        <v>0</v>
      </c>
      <c r="Y62" s="21">
        <v>74766.58</v>
      </c>
      <c r="Z62" s="21">
        <v>0</v>
      </c>
      <c r="AA62" s="21" t="s">
        <v>185</v>
      </c>
      <c r="AB62" s="21" t="s">
        <v>168</v>
      </c>
      <c r="AC62" s="21">
        <v>63053200</v>
      </c>
      <c r="AD62" s="21" t="s">
        <v>201</v>
      </c>
      <c r="AE62" s="21">
        <v>1</v>
      </c>
      <c r="AF62" s="33">
        <v>1633</v>
      </c>
      <c r="AG62" s="21" t="s">
        <v>202</v>
      </c>
    </row>
    <row r="63" spans="1:33" x14ac:dyDescent="0.25">
      <c r="A63" s="22"/>
      <c r="B63" s="23">
        <v>46242</v>
      </c>
      <c r="C63" s="21" t="s">
        <v>730</v>
      </c>
      <c r="D63" s="21" t="s">
        <v>1247</v>
      </c>
      <c r="E63" s="21" t="s">
        <v>775</v>
      </c>
      <c r="F63" s="21" t="s">
        <v>1248</v>
      </c>
      <c r="G63" s="21" t="s">
        <v>774</v>
      </c>
      <c r="H63" s="23">
        <v>46242</v>
      </c>
      <c r="I63" s="21" t="s">
        <v>188</v>
      </c>
      <c r="J63" s="21" t="s">
        <v>152</v>
      </c>
      <c r="K63" s="21" t="s">
        <v>152</v>
      </c>
      <c r="L63" s="21" t="s">
        <v>200</v>
      </c>
      <c r="M63" s="21" t="s">
        <v>191</v>
      </c>
      <c r="N63" s="21">
        <v>807</v>
      </c>
      <c r="O63" s="33">
        <v>209448.78</v>
      </c>
      <c r="P63" s="21" t="s">
        <v>191</v>
      </c>
      <c r="Q63" s="21">
        <v>0</v>
      </c>
      <c r="R63" s="21">
        <v>9</v>
      </c>
      <c r="S63" s="21">
        <v>18850.39</v>
      </c>
      <c r="T63" s="21">
        <v>9</v>
      </c>
      <c r="U63" s="21">
        <v>18850.39</v>
      </c>
      <c r="V63" s="21">
        <v>0</v>
      </c>
      <c r="W63" s="21">
        <v>0</v>
      </c>
      <c r="X63" s="21">
        <v>0</v>
      </c>
      <c r="Y63" s="21">
        <v>37700.78</v>
      </c>
      <c r="Z63" s="21">
        <v>0</v>
      </c>
      <c r="AA63" s="21" t="s">
        <v>185</v>
      </c>
      <c r="AB63" s="21" t="s">
        <v>168</v>
      </c>
      <c r="AC63" s="21">
        <v>63053200</v>
      </c>
      <c r="AD63" s="21" t="s">
        <v>201</v>
      </c>
      <c r="AE63" s="21">
        <v>1</v>
      </c>
      <c r="AF63" s="21">
        <v>807</v>
      </c>
      <c r="AG63" s="21" t="s">
        <v>202</v>
      </c>
    </row>
    <row r="64" spans="1:33" x14ac:dyDescent="0.25">
      <c r="A64" s="22"/>
      <c r="B64" s="23">
        <v>46242</v>
      </c>
      <c r="C64" s="21" t="s">
        <v>730</v>
      </c>
      <c r="D64" s="21" t="s">
        <v>1247</v>
      </c>
      <c r="E64" s="21" t="s">
        <v>775</v>
      </c>
      <c r="F64" s="21" t="s">
        <v>1248</v>
      </c>
      <c r="G64" s="21" t="s">
        <v>774</v>
      </c>
      <c r="H64" s="23">
        <v>46242</v>
      </c>
      <c r="I64" s="21" t="s">
        <v>188</v>
      </c>
      <c r="J64" s="21" t="s">
        <v>152</v>
      </c>
      <c r="K64" s="21" t="s">
        <v>152</v>
      </c>
      <c r="L64" s="21" t="s">
        <v>200</v>
      </c>
      <c r="M64" s="21" t="s">
        <v>191</v>
      </c>
      <c r="N64" s="33">
        <v>3171</v>
      </c>
      <c r="O64" s="33">
        <v>800265.27</v>
      </c>
      <c r="P64" s="21" t="s">
        <v>191</v>
      </c>
      <c r="Q64" s="21">
        <v>0</v>
      </c>
      <c r="R64" s="21">
        <v>9</v>
      </c>
      <c r="S64" s="21">
        <v>72023.87</v>
      </c>
      <c r="T64" s="21">
        <v>9</v>
      </c>
      <c r="U64" s="21">
        <v>72023.87</v>
      </c>
      <c r="V64" s="21">
        <v>0</v>
      </c>
      <c r="W64" s="21">
        <v>0</v>
      </c>
      <c r="X64" s="21">
        <v>0</v>
      </c>
      <c r="Y64" s="21">
        <v>144047.74</v>
      </c>
      <c r="Z64" s="21">
        <v>0</v>
      </c>
      <c r="AA64" s="21" t="s">
        <v>185</v>
      </c>
      <c r="AB64" s="21" t="s">
        <v>168</v>
      </c>
      <c r="AC64" s="21">
        <v>63053200</v>
      </c>
      <c r="AD64" s="21" t="s">
        <v>201</v>
      </c>
      <c r="AE64" s="21">
        <v>1</v>
      </c>
      <c r="AF64" s="33">
        <v>3171</v>
      </c>
      <c r="AG64" s="21" t="s">
        <v>202</v>
      </c>
    </row>
    <row r="65" spans="1:33" x14ac:dyDescent="0.25">
      <c r="A65" s="22"/>
      <c r="B65" s="23">
        <v>46242</v>
      </c>
      <c r="C65" s="21" t="s">
        <v>677</v>
      </c>
      <c r="D65" s="21" t="s">
        <v>1247</v>
      </c>
      <c r="E65" s="21" t="s">
        <v>784</v>
      </c>
      <c r="F65" s="21" t="s">
        <v>1248</v>
      </c>
      <c r="G65" s="21" t="s">
        <v>783</v>
      </c>
      <c r="H65" s="23">
        <v>46211</v>
      </c>
      <c r="I65" s="21" t="s">
        <v>169</v>
      </c>
      <c r="J65" s="21" t="s">
        <v>179</v>
      </c>
      <c r="K65" s="21" t="s">
        <v>155</v>
      </c>
      <c r="L65" s="21" t="s">
        <v>203</v>
      </c>
      <c r="M65" s="21" t="s">
        <v>403</v>
      </c>
      <c r="N65" s="33">
        <v>2712.4</v>
      </c>
      <c r="O65" s="33">
        <v>451343.35999999999</v>
      </c>
      <c r="P65" s="21" t="s">
        <v>403</v>
      </c>
      <c r="Q65" s="21">
        <v>750770.49</v>
      </c>
      <c r="R65" s="21">
        <v>9</v>
      </c>
      <c r="S65" s="21">
        <v>40620.9</v>
      </c>
      <c r="T65" s="21">
        <v>9</v>
      </c>
      <c r="U65" s="21">
        <v>40620.9</v>
      </c>
      <c r="V65" s="21">
        <v>0</v>
      </c>
      <c r="W65" s="21">
        <v>0</v>
      </c>
      <c r="X65" s="21">
        <v>0</v>
      </c>
      <c r="Y65" s="21">
        <v>81241.8</v>
      </c>
      <c r="Z65" s="21">
        <v>0</v>
      </c>
      <c r="AA65" s="21" t="s">
        <v>171</v>
      </c>
      <c r="AB65" s="21" t="s">
        <v>168</v>
      </c>
      <c r="AC65" s="21">
        <v>54072090</v>
      </c>
      <c r="AD65" s="21" t="s">
        <v>201</v>
      </c>
      <c r="AE65" s="21">
        <v>1</v>
      </c>
      <c r="AF65" s="33">
        <v>2712.4</v>
      </c>
      <c r="AG65" s="21" t="s">
        <v>202</v>
      </c>
    </row>
    <row r="66" spans="1:33" x14ac:dyDescent="0.25">
      <c r="A66" s="22"/>
      <c r="B66" s="23">
        <v>46242</v>
      </c>
      <c r="C66" s="21" t="s">
        <v>677</v>
      </c>
      <c r="D66" s="21" t="s">
        <v>1247</v>
      </c>
      <c r="E66" s="21" t="s">
        <v>784</v>
      </c>
      <c r="F66" s="21" t="s">
        <v>1248</v>
      </c>
      <c r="G66" s="21" t="s">
        <v>783</v>
      </c>
      <c r="H66" s="23">
        <v>46211</v>
      </c>
      <c r="I66" s="21" t="s">
        <v>169</v>
      </c>
      <c r="J66" s="21" t="s">
        <v>181</v>
      </c>
      <c r="K66" s="21" t="s">
        <v>154</v>
      </c>
      <c r="L66" s="21" t="s">
        <v>154</v>
      </c>
      <c r="M66" s="21" t="s">
        <v>181</v>
      </c>
      <c r="N66" s="21">
        <v>50</v>
      </c>
      <c r="O66" s="33">
        <v>8020</v>
      </c>
      <c r="P66" s="21" t="s">
        <v>181</v>
      </c>
      <c r="Q66" s="21">
        <v>0</v>
      </c>
      <c r="R66" s="21">
        <v>9</v>
      </c>
      <c r="S66" s="21">
        <v>721.8</v>
      </c>
      <c r="T66" s="21">
        <v>9</v>
      </c>
      <c r="U66" s="21">
        <v>721.8</v>
      </c>
      <c r="V66" s="21">
        <v>0</v>
      </c>
      <c r="W66" s="21">
        <v>0</v>
      </c>
      <c r="X66" s="21">
        <v>0</v>
      </c>
      <c r="Y66" s="21">
        <v>1443.6</v>
      </c>
      <c r="Z66" s="21">
        <v>0</v>
      </c>
      <c r="AA66" s="21" t="s">
        <v>171</v>
      </c>
      <c r="AB66" s="21" t="s">
        <v>168</v>
      </c>
      <c r="AC66" s="21">
        <v>3926908</v>
      </c>
      <c r="AD66" s="21" t="s">
        <v>201</v>
      </c>
      <c r="AE66" s="21">
        <v>1</v>
      </c>
      <c r="AF66" s="21">
        <v>50</v>
      </c>
      <c r="AG66" s="21" t="s">
        <v>202</v>
      </c>
    </row>
    <row r="67" spans="1:33" x14ac:dyDescent="0.25">
      <c r="A67" s="22"/>
      <c r="B67" s="23">
        <v>46242</v>
      </c>
      <c r="C67" s="21" t="s">
        <v>677</v>
      </c>
      <c r="D67" s="21" t="s">
        <v>1247</v>
      </c>
      <c r="E67" s="21" t="s">
        <v>784</v>
      </c>
      <c r="F67" s="21" t="s">
        <v>1248</v>
      </c>
      <c r="G67" s="21" t="s">
        <v>783</v>
      </c>
      <c r="H67" s="23">
        <v>46211</v>
      </c>
      <c r="I67" s="21" t="s">
        <v>169</v>
      </c>
      <c r="J67" s="21" t="s">
        <v>170</v>
      </c>
      <c r="K67" s="21" t="s">
        <v>157</v>
      </c>
      <c r="L67" s="21" t="s">
        <v>225</v>
      </c>
      <c r="M67" s="21" t="s">
        <v>312</v>
      </c>
      <c r="N67" s="37">
        <v>1275</v>
      </c>
      <c r="O67" s="33">
        <v>199410</v>
      </c>
      <c r="P67" s="21" t="s">
        <v>312</v>
      </c>
      <c r="Q67" s="21">
        <v>0</v>
      </c>
      <c r="R67" s="21">
        <v>2.5</v>
      </c>
      <c r="S67" s="21">
        <v>4985.25</v>
      </c>
      <c r="T67" s="21">
        <v>2.5</v>
      </c>
      <c r="U67" s="21">
        <v>4985.25</v>
      </c>
      <c r="V67" s="21">
        <v>0</v>
      </c>
      <c r="W67" s="21">
        <v>0</v>
      </c>
      <c r="X67" s="21">
        <v>0</v>
      </c>
      <c r="Y67" s="21">
        <v>9970.5</v>
      </c>
      <c r="Z67" s="21">
        <v>0</v>
      </c>
      <c r="AA67" s="21" t="s">
        <v>171</v>
      </c>
      <c r="AB67" s="21" t="s">
        <v>168</v>
      </c>
      <c r="AC67" s="21">
        <v>54026930</v>
      </c>
      <c r="AD67" s="21" t="s">
        <v>201</v>
      </c>
      <c r="AE67" s="21">
        <v>1</v>
      </c>
      <c r="AF67" s="33">
        <v>1275</v>
      </c>
      <c r="AG67" s="21" t="s">
        <v>202</v>
      </c>
    </row>
    <row r="68" spans="1:33" x14ac:dyDescent="0.25">
      <c r="A68" s="22"/>
      <c r="B68" s="23">
        <v>46242</v>
      </c>
      <c r="C68" s="21" t="s">
        <v>633</v>
      </c>
      <c r="D68" s="21" t="s">
        <v>1247</v>
      </c>
      <c r="E68" s="21" t="s">
        <v>771</v>
      </c>
      <c r="F68" s="21" t="s">
        <v>1248</v>
      </c>
      <c r="G68" s="21" t="s">
        <v>770</v>
      </c>
      <c r="H68" s="23">
        <v>46242</v>
      </c>
      <c r="I68" s="21" t="s">
        <v>169</v>
      </c>
      <c r="J68" s="21" t="s">
        <v>181</v>
      </c>
      <c r="K68" s="21" t="s">
        <v>154</v>
      </c>
      <c r="L68" s="21" t="s">
        <v>154</v>
      </c>
      <c r="M68" s="21" t="s">
        <v>181</v>
      </c>
      <c r="N68" s="21">
        <v>206.6</v>
      </c>
      <c r="O68" s="33">
        <v>34155.11</v>
      </c>
      <c r="P68" s="21" t="s">
        <v>181</v>
      </c>
      <c r="Q68" s="21">
        <v>226003.99</v>
      </c>
      <c r="R68" s="21">
        <v>9</v>
      </c>
      <c r="S68" s="21">
        <v>3073.96</v>
      </c>
      <c r="T68" s="21">
        <v>9</v>
      </c>
      <c r="U68" s="21">
        <v>3073.96</v>
      </c>
      <c r="V68" s="21">
        <v>0</v>
      </c>
      <c r="W68" s="21">
        <v>0</v>
      </c>
      <c r="X68" s="21">
        <v>0</v>
      </c>
      <c r="Y68" s="21">
        <v>6147.92</v>
      </c>
      <c r="Z68" s="21">
        <v>0</v>
      </c>
      <c r="AA68" s="21" t="s">
        <v>176</v>
      </c>
      <c r="AB68" s="21" t="s">
        <v>168</v>
      </c>
      <c r="AC68" s="21">
        <v>3926908</v>
      </c>
      <c r="AD68" s="21" t="s">
        <v>201</v>
      </c>
      <c r="AE68" s="21">
        <v>1</v>
      </c>
      <c r="AF68" s="21">
        <v>206.6</v>
      </c>
      <c r="AG68" s="21" t="s">
        <v>202</v>
      </c>
    </row>
    <row r="69" spans="1:33" x14ac:dyDescent="0.25">
      <c r="A69" s="22"/>
      <c r="B69" s="23">
        <v>46242</v>
      </c>
      <c r="C69" s="21" t="s">
        <v>633</v>
      </c>
      <c r="D69" s="21" t="s">
        <v>1247</v>
      </c>
      <c r="E69" s="21" t="s">
        <v>771</v>
      </c>
      <c r="F69" s="21" t="s">
        <v>1248</v>
      </c>
      <c r="G69" s="21" t="s">
        <v>770</v>
      </c>
      <c r="H69" s="23">
        <v>46242</v>
      </c>
      <c r="I69" s="21" t="s">
        <v>169</v>
      </c>
      <c r="J69" s="21" t="s">
        <v>181</v>
      </c>
      <c r="K69" s="21" t="s">
        <v>154</v>
      </c>
      <c r="L69" s="21" t="s">
        <v>154</v>
      </c>
      <c r="M69" s="21" t="s">
        <v>181</v>
      </c>
      <c r="N69" s="21">
        <v>773.6</v>
      </c>
      <c r="O69" s="33">
        <v>111645.95</v>
      </c>
      <c r="P69" s="21" t="s">
        <v>181</v>
      </c>
      <c r="Q69" s="21">
        <v>0</v>
      </c>
      <c r="R69" s="21">
        <v>9</v>
      </c>
      <c r="S69" s="21">
        <v>10048.14</v>
      </c>
      <c r="T69" s="21">
        <v>9</v>
      </c>
      <c r="U69" s="21">
        <v>10048.14</v>
      </c>
      <c r="V69" s="21">
        <v>0</v>
      </c>
      <c r="W69" s="21">
        <v>0</v>
      </c>
      <c r="X69" s="21">
        <v>0</v>
      </c>
      <c r="Y69" s="21">
        <v>20096.28</v>
      </c>
      <c r="Z69" s="21">
        <v>0</v>
      </c>
      <c r="AA69" s="21" t="s">
        <v>176</v>
      </c>
      <c r="AB69" s="21" t="s">
        <v>168</v>
      </c>
      <c r="AC69" s="21">
        <v>3926908</v>
      </c>
      <c r="AD69" s="21" t="s">
        <v>201</v>
      </c>
      <c r="AE69" s="21">
        <v>1</v>
      </c>
      <c r="AF69" s="21">
        <v>773.6</v>
      </c>
      <c r="AG69" s="21" t="s">
        <v>202</v>
      </c>
    </row>
    <row r="70" spans="1:33" x14ac:dyDescent="0.25">
      <c r="A70" s="22"/>
      <c r="B70" s="23">
        <v>46242</v>
      </c>
      <c r="C70" s="21" t="s">
        <v>633</v>
      </c>
      <c r="D70" s="21" t="s">
        <v>1247</v>
      </c>
      <c r="E70" s="21" t="s">
        <v>771</v>
      </c>
      <c r="F70" s="21" t="s">
        <v>1248</v>
      </c>
      <c r="G70" s="21" t="s">
        <v>770</v>
      </c>
      <c r="H70" s="23">
        <v>46242</v>
      </c>
      <c r="I70" s="21" t="s">
        <v>169</v>
      </c>
      <c r="J70" s="21" t="s">
        <v>181</v>
      </c>
      <c r="K70" s="21" t="s">
        <v>154</v>
      </c>
      <c r="L70" s="21" t="s">
        <v>154</v>
      </c>
      <c r="M70" s="21" t="s">
        <v>181</v>
      </c>
      <c r="N70" s="21">
        <v>311.5</v>
      </c>
      <c r="O70" s="33">
        <v>45890.18</v>
      </c>
      <c r="P70" s="21" t="s">
        <v>181</v>
      </c>
      <c r="Q70" s="21">
        <v>0</v>
      </c>
      <c r="R70" s="21">
        <v>9</v>
      </c>
      <c r="S70" s="21">
        <v>4130.12</v>
      </c>
      <c r="T70" s="21">
        <v>9</v>
      </c>
      <c r="U70" s="21">
        <v>4130.12</v>
      </c>
      <c r="V70" s="21">
        <v>0</v>
      </c>
      <c r="W70" s="21">
        <v>0</v>
      </c>
      <c r="X70" s="21">
        <v>0</v>
      </c>
      <c r="Y70" s="21">
        <v>8260.24</v>
      </c>
      <c r="Z70" s="21">
        <v>0</v>
      </c>
      <c r="AA70" s="21" t="s">
        <v>176</v>
      </c>
      <c r="AB70" s="21" t="s">
        <v>168</v>
      </c>
      <c r="AC70" s="21">
        <v>3926908</v>
      </c>
      <c r="AD70" s="21" t="s">
        <v>201</v>
      </c>
      <c r="AE70" s="21">
        <v>1</v>
      </c>
      <c r="AF70" s="21">
        <v>311.5</v>
      </c>
      <c r="AG70" s="21" t="s">
        <v>202</v>
      </c>
    </row>
    <row r="71" spans="1:33" x14ac:dyDescent="0.25">
      <c r="A71" s="22"/>
      <c r="B71" s="23">
        <v>46242</v>
      </c>
      <c r="C71" s="21" t="s">
        <v>633</v>
      </c>
      <c r="D71" s="21" t="s">
        <v>1247</v>
      </c>
      <c r="E71" s="21" t="s">
        <v>801</v>
      </c>
      <c r="F71" s="21" t="s">
        <v>1248</v>
      </c>
      <c r="G71" s="21" t="s">
        <v>800</v>
      </c>
      <c r="H71" s="23">
        <v>46242</v>
      </c>
      <c r="I71" s="21" t="s">
        <v>639</v>
      </c>
      <c r="J71" s="21" t="s">
        <v>648</v>
      </c>
      <c r="K71" s="21" t="s">
        <v>164</v>
      </c>
      <c r="L71" s="21" t="s">
        <v>1251</v>
      </c>
      <c r="M71" s="21" t="s">
        <v>797</v>
      </c>
      <c r="N71" s="33">
        <v>10000</v>
      </c>
      <c r="O71" s="33">
        <v>405000</v>
      </c>
      <c r="P71" s="21" t="s">
        <v>797</v>
      </c>
      <c r="Q71" s="21">
        <v>477495</v>
      </c>
      <c r="R71" s="21">
        <v>9</v>
      </c>
      <c r="S71" s="21">
        <v>36450</v>
      </c>
      <c r="T71" s="21">
        <v>9</v>
      </c>
      <c r="U71" s="21">
        <v>36450</v>
      </c>
      <c r="V71" s="21">
        <v>0</v>
      </c>
      <c r="W71" s="21">
        <v>0</v>
      </c>
      <c r="X71" s="21">
        <v>0</v>
      </c>
      <c r="Y71" s="21">
        <v>72900</v>
      </c>
      <c r="Z71" s="21">
        <v>0</v>
      </c>
      <c r="AA71" s="21" t="s">
        <v>176</v>
      </c>
      <c r="AB71" s="21" t="s">
        <v>168</v>
      </c>
      <c r="AC71" s="21">
        <v>32041990</v>
      </c>
      <c r="AD71" s="21" t="s">
        <v>201</v>
      </c>
      <c r="AE71" s="21">
        <v>1</v>
      </c>
      <c r="AF71" s="33">
        <v>10000</v>
      </c>
      <c r="AG71" s="21" t="s">
        <v>202</v>
      </c>
    </row>
    <row r="72" spans="1:33" x14ac:dyDescent="0.25">
      <c r="A72" s="22"/>
      <c r="B72" s="23">
        <v>46242</v>
      </c>
      <c r="C72" s="21" t="s">
        <v>633</v>
      </c>
      <c r="D72" s="21" t="s">
        <v>1247</v>
      </c>
      <c r="E72" s="21" t="s">
        <v>808</v>
      </c>
      <c r="F72" s="21" t="s">
        <v>1248</v>
      </c>
      <c r="G72" s="21" t="s">
        <v>807</v>
      </c>
      <c r="H72" s="23">
        <v>46242</v>
      </c>
      <c r="I72" s="21" t="s">
        <v>639</v>
      </c>
      <c r="J72" s="21" t="s">
        <v>648</v>
      </c>
      <c r="K72" s="21" t="s">
        <v>166</v>
      </c>
      <c r="L72" s="21" t="s">
        <v>166</v>
      </c>
      <c r="M72" s="21" t="s">
        <v>805</v>
      </c>
      <c r="N72" s="33">
        <v>5000</v>
      </c>
      <c r="O72" s="33">
        <v>748250</v>
      </c>
      <c r="P72" s="21" t="s">
        <v>805</v>
      </c>
      <c r="Q72" s="21">
        <v>882186.75</v>
      </c>
      <c r="R72" s="21">
        <v>9</v>
      </c>
      <c r="S72" s="21">
        <v>67342.5</v>
      </c>
      <c r="T72" s="21">
        <v>9</v>
      </c>
      <c r="U72" s="21">
        <v>67342.5</v>
      </c>
      <c r="V72" s="21">
        <v>0</v>
      </c>
      <c r="W72" s="21">
        <v>0</v>
      </c>
      <c r="X72" s="21">
        <v>0</v>
      </c>
      <c r="Y72" s="21">
        <v>134685</v>
      </c>
      <c r="Z72" s="21">
        <v>0</v>
      </c>
      <c r="AA72" s="21" t="s">
        <v>176</v>
      </c>
      <c r="AB72" s="21" t="s">
        <v>168</v>
      </c>
      <c r="AC72" s="21">
        <v>39021000</v>
      </c>
      <c r="AD72" s="21" t="s">
        <v>201</v>
      </c>
      <c r="AE72" s="21">
        <v>1</v>
      </c>
      <c r="AF72" s="33">
        <v>5000</v>
      </c>
      <c r="AG72" s="21" t="s">
        <v>202</v>
      </c>
    </row>
    <row r="73" spans="1:33" x14ac:dyDescent="0.25">
      <c r="A73" s="22"/>
      <c r="B73" s="23">
        <v>46242</v>
      </c>
      <c r="C73" s="21" t="s">
        <v>633</v>
      </c>
      <c r="D73" s="21" t="s">
        <v>1247</v>
      </c>
      <c r="E73" s="21" t="s">
        <v>812</v>
      </c>
      <c r="F73" s="21" t="s">
        <v>1248</v>
      </c>
      <c r="G73" s="21" t="s">
        <v>811</v>
      </c>
      <c r="H73" s="23">
        <v>46242</v>
      </c>
      <c r="I73" s="21" t="s">
        <v>169</v>
      </c>
      <c r="J73" s="21" t="s">
        <v>170</v>
      </c>
      <c r="K73" s="21" t="s">
        <v>157</v>
      </c>
      <c r="L73" s="21" t="s">
        <v>225</v>
      </c>
      <c r="M73" s="21" t="s">
        <v>705</v>
      </c>
      <c r="N73" s="35">
        <v>824.38</v>
      </c>
      <c r="O73" s="33">
        <v>127218.32</v>
      </c>
      <c r="P73" s="21" t="s">
        <v>705</v>
      </c>
      <c r="Q73" s="21">
        <v>133452.01999999999</v>
      </c>
      <c r="R73" s="21">
        <v>2.5</v>
      </c>
      <c r="S73" s="21">
        <v>3180.46</v>
      </c>
      <c r="T73" s="21">
        <v>2.5</v>
      </c>
      <c r="U73" s="21">
        <v>3180.46</v>
      </c>
      <c r="V73" s="21">
        <v>0</v>
      </c>
      <c r="W73" s="21">
        <v>0</v>
      </c>
      <c r="X73" s="21">
        <v>0</v>
      </c>
      <c r="Y73" s="21">
        <v>6360.92</v>
      </c>
      <c r="Z73" s="21">
        <v>0</v>
      </c>
      <c r="AA73" s="21" t="s">
        <v>176</v>
      </c>
      <c r="AB73" s="21" t="s">
        <v>184</v>
      </c>
      <c r="AC73" s="21">
        <v>54026930</v>
      </c>
      <c r="AD73" s="21" t="s">
        <v>201</v>
      </c>
      <c r="AE73" s="21">
        <v>1</v>
      </c>
      <c r="AF73" s="21">
        <v>824.38</v>
      </c>
      <c r="AG73" s="21" t="s">
        <v>202</v>
      </c>
    </row>
    <row r="74" spans="1:33" x14ac:dyDescent="0.25">
      <c r="A74" s="22"/>
      <c r="B74" s="23">
        <v>46242</v>
      </c>
      <c r="C74" s="21" t="s">
        <v>633</v>
      </c>
      <c r="D74" s="21" t="s">
        <v>1247</v>
      </c>
      <c r="E74" s="21" t="s">
        <v>816</v>
      </c>
      <c r="F74" s="21" t="s">
        <v>1248</v>
      </c>
      <c r="G74" s="21" t="s">
        <v>815</v>
      </c>
      <c r="H74" s="23">
        <v>46242</v>
      </c>
      <c r="I74" s="21" t="s">
        <v>169</v>
      </c>
      <c r="J74" s="21" t="s">
        <v>181</v>
      </c>
      <c r="K74" s="21" t="s">
        <v>154</v>
      </c>
      <c r="L74" s="21" t="s">
        <v>154</v>
      </c>
      <c r="M74" s="21" t="s">
        <v>181</v>
      </c>
      <c r="N74" s="21">
        <v>674.1</v>
      </c>
      <c r="O74" s="33">
        <v>99308.41</v>
      </c>
      <c r="P74" s="21" t="s">
        <v>181</v>
      </c>
      <c r="Q74" s="21">
        <v>218542.18</v>
      </c>
      <c r="R74" s="21">
        <v>9</v>
      </c>
      <c r="S74" s="21">
        <v>8937.76</v>
      </c>
      <c r="T74" s="21">
        <v>9</v>
      </c>
      <c r="U74" s="21">
        <v>8937.76</v>
      </c>
      <c r="V74" s="21">
        <v>0</v>
      </c>
      <c r="W74" s="21">
        <v>0</v>
      </c>
      <c r="X74" s="21">
        <v>0</v>
      </c>
      <c r="Y74" s="21">
        <v>17875.52</v>
      </c>
      <c r="Z74" s="21">
        <v>0</v>
      </c>
      <c r="AA74" s="21" t="s">
        <v>176</v>
      </c>
      <c r="AB74" s="21" t="s">
        <v>168</v>
      </c>
      <c r="AC74" s="21">
        <v>3926908</v>
      </c>
      <c r="AD74" s="21" t="s">
        <v>201</v>
      </c>
      <c r="AE74" s="21">
        <v>1</v>
      </c>
      <c r="AF74" s="21">
        <v>674.1</v>
      </c>
      <c r="AG74" s="21" t="s">
        <v>202</v>
      </c>
    </row>
    <row r="75" spans="1:33" x14ac:dyDescent="0.25">
      <c r="A75" s="22"/>
      <c r="B75" s="23">
        <v>46242</v>
      </c>
      <c r="C75" s="21" t="s">
        <v>633</v>
      </c>
      <c r="D75" s="21" t="s">
        <v>1247</v>
      </c>
      <c r="E75" s="21" t="s">
        <v>816</v>
      </c>
      <c r="F75" s="21" t="s">
        <v>1248</v>
      </c>
      <c r="G75" s="21" t="s">
        <v>815</v>
      </c>
      <c r="H75" s="23">
        <v>46242</v>
      </c>
      <c r="I75" s="21" t="s">
        <v>169</v>
      </c>
      <c r="J75" s="21" t="s">
        <v>181</v>
      </c>
      <c r="K75" s="21" t="s">
        <v>154</v>
      </c>
      <c r="L75" s="21" t="s">
        <v>154</v>
      </c>
      <c r="M75" s="21" t="s">
        <v>181</v>
      </c>
      <c r="N75" s="21">
        <v>280.10000000000002</v>
      </c>
      <c r="O75" s="33">
        <v>40424.03</v>
      </c>
      <c r="P75" s="21" t="s">
        <v>181</v>
      </c>
      <c r="Q75" s="21">
        <v>0</v>
      </c>
      <c r="R75" s="21">
        <v>9</v>
      </c>
      <c r="S75" s="21">
        <v>3638.16</v>
      </c>
      <c r="T75" s="21">
        <v>9</v>
      </c>
      <c r="U75" s="21">
        <v>3638.16</v>
      </c>
      <c r="V75" s="21">
        <v>0</v>
      </c>
      <c r="W75" s="21">
        <v>0</v>
      </c>
      <c r="X75" s="21">
        <v>0</v>
      </c>
      <c r="Y75" s="21">
        <v>7276.32</v>
      </c>
      <c r="Z75" s="21">
        <v>0</v>
      </c>
      <c r="AA75" s="21" t="s">
        <v>176</v>
      </c>
      <c r="AB75" s="21" t="s">
        <v>168</v>
      </c>
      <c r="AC75" s="21">
        <v>3926908</v>
      </c>
      <c r="AD75" s="21" t="s">
        <v>201</v>
      </c>
      <c r="AE75" s="21">
        <v>1</v>
      </c>
      <c r="AF75" s="21">
        <v>280.10000000000002</v>
      </c>
      <c r="AG75" s="21" t="s">
        <v>202</v>
      </c>
    </row>
    <row r="76" spans="1:33" x14ac:dyDescent="0.25">
      <c r="A76" s="22"/>
      <c r="B76" s="23">
        <v>46242</v>
      </c>
      <c r="C76" s="21" t="s">
        <v>633</v>
      </c>
      <c r="D76" s="21" t="s">
        <v>1247</v>
      </c>
      <c r="E76" s="21" t="s">
        <v>816</v>
      </c>
      <c r="F76" s="21" t="s">
        <v>1248</v>
      </c>
      <c r="G76" s="21" t="s">
        <v>815</v>
      </c>
      <c r="H76" s="23">
        <v>46242</v>
      </c>
      <c r="I76" s="21" t="s">
        <v>169</v>
      </c>
      <c r="J76" s="21" t="s">
        <v>175</v>
      </c>
      <c r="K76" s="21" t="s">
        <v>159</v>
      </c>
      <c r="L76" s="21" t="s">
        <v>159</v>
      </c>
      <c r="M76" s="21" t="s">
        <v>173</v>
      </c>
      <c r="N76" s="21">
        <v>258</v>
      </c>
      <c r="O76" s="33">
        <v>45629.88</v>
      </c>
      <c r="P76" s="21" t="s">
        <v>173</v>
      </c>
      <c r="Q76" s="21">
        <v>0</v>
      </c>
      <c r="R76" s="21">
        <v>9</v>
      </c>
      <c r="S76" s="21">
        <v>4106.6899999999996</v>
      </c>
      <c r="T76" s="21">
        <v>9</v>
      </c>
      <c r="U76" s="21">
        <v>4106.6899999999996</v>
      </c>
      <c r="V76" s="21">
        <v>0</v>
      </c>
      <c r="W76" s="21">
        <v>0</v>
      </c>
      <c r="X76" s="21">
        <v>0</v>
      </c>
      <c r="Y76" s="21">
        <v>8213.3799999999992</v>
      </c>
      <c r="Z76" s="21">
        <v>0</v>
      </c>
      <c r="AA76" s="21" t="s">
        <v>176</v>
      </c>
      <c r="AB76" s="21" t="s">
        <v>168</v>
      </c>
      <c r="AC76" s="21">
        <v>39200000</v>
      </c>
      <c r="AD76" s="21" t="s">
        <v>201</v>
      </c>
      <c r="AE76" s="21">
        <v>1</v>
      </c>
      <c r="AF76" s="21">
        <v>258</v>
      </c>
      <c r="AG76" s="21" t="s">
        <v>202</v>
      </c>
    </row>
    <row r="77" spans="1:33" x14ac:dyDescent="0.25">
      <c r="A77" s="22"/>
      <c r="B77" s="23">
        <v>46242</v>
      </c>
      <c r="C77" s="21" t="s">
        <v>656</v>
      </c>
      <c r="D77" s="21" t="s">
        <v>1247</v>
      </c>
      <c r="E77" s="21" t="s">
        <v>767</v>
      </c>
      <c r="F77" s="21" t="s">
        <v>1248</v>
      </c>
      <c r="G77" s="21" t="s">
        <v>766</v>
      </c>
      <c r="H77" s="23">
        <v>46242</v>
      </c>
      <c r="I77" s="21" t="s">
        <v>169</v>
      </c>
      <c r="J77" s="21" t="s">
        <v>170</v>
      </c>
      <c r="K77" s="21" t="s">
        <v>157</v>
      </c>
      <c r="L77" s="21" t="s">
        <v>276</v>
      </c>
      <c r="M77" s="21" t="s">
        <v>274</v>
      </c>
      <c r="N77" s="37">
        <v>5267.57</v>
      </c>
      <c r="O77" s="33">
        <v>718180.49</v>
      </c>
      <c r="P77" s="21" t="s">
        <v>274</v>
      </c>
      <c r="Q77" s="21">
        <v>753371.33</v>
      </c>
      <c r="R77" s="21">
        <v>2.5</v>
      </c>
      <c r="S77" s="21">
        <v>17954.509999999998</v>
      </c>
      <c r="T77" s="21">
        <v>2.5</v>
      </c>
      <c r="U77" s="21">
        <v>17954.509999999998</v>
      </c>
      <c r="V77" s="21">
        <v>0</v>
      </c>
      <c r="W77" s="21">
        <v>0</v>
      </c>
      <c r="X77" s="21">
        <v>0</v>
      </c>
      <c r="Y77" s="21">
        <v>35909.019999999997</v>
      </c>
      <c r="Z77" s="21">
        <v>0</v>
      </c>
      <c r="AA77" s="21" t="s">
        <v>176</v>
      </c>
      <c r="AB77" s="21" t="s">
        <v>168</v>
      </c>
      <c r="AC77" s="21">
        <v>540263</v>
      </c>
      <c r="AD77" s="21" t="s">
        <v>201</v>
      </c>
      <c r="AE77" s="21">
        <v>1</v>
      </c>
      <c r="AF77" s="33">
        <v>5267.57</v>
      </c>
      <c r="AG77" s="21" t="s">
        <v>202</v>
      </c>
    </row>
    <row r="78" spans="1:33" x14ac:dyDescent="0.25">
      <c r="A78" s="22" t="s">
        <v>1334</v>
      </c>
      <c r="B78" s="23">
        <v>46242</v>
      </c>
      <c r="C78" s="21" t="s">
        <v>656</v>
      </c>
      <c r="D78" s="21" t="s">
        <v>1247</v>
      </c>
      <c r="E78" s="21" t="s">
        <v>780</v>
      </c>
      <c r="F78" s="21" t="s">
        <v>1248</v>
      </c>
      <c r="G78" s="21" t="s">
        <v>779</v>
      </c>
      <c r="H78" s="23">
        <v>46181</v>
      </c>
      <c r="I78" s="21" t="s">
        <v>169</v>
      </c>
      <c r="J78" s="21" t="s">
        <v>179</v>
      </c>
      <c r="K78" s="21" t="s">
        <v>287</v>
      </c>
      <c r="L78" s="21" t="s">
        <v>211</v>
      </c>
      <c r="M78" s="21" t="s">
        <v>384</v>
      </c>
      <c r="N78" s="21">
        <v>330</v>
      </c>
      <c r="O78" s="33">
        <v>82952.100000000006</v>
      </c>
      <c r="P78" s="21" t="s">
        <v>384</v>
      </c>
      <c r="Q78" s="21">
        <v>178733.73</v>
      </c>
      <c r="R78" s="21">
        <v>9</v>
      </c>
      <c r="S78" s="21">
        <v>7465.69</v>
      </c>
      <c r="T78" s="21">
        <v>9</v>
      </c>
      <c r="U78" s="21">
        <v>7465.69</v>
      </c>
      <c r="V78" s="21">
        <v>0</v>
      </c>
      <c r="W78" s="21">
        <v>0</v>
      </c>
      <c r="X78" s="21">
        <v>0</v>
      </c>
      <c r="Y78" s="21">
        <v>14931.38</v>
      </c>
      <c r="Z78" s="21">
        <v>0</v>
      </c>
      <c r="AA78" s="21" t="s">
        <v>176</v>
      </c>
      <c r="AB78" s="21" t="s">
        <v>168</v>
      </c>
      <c r="AC78" s="21">
        <v>39269080</v>
      </c>
      <c r="AD78" s="21" t="s">
        <v>201</v>
      </c>
      <c r="AE78" s="21">
        <v>1</v>
      </c>
      <c r="AF78" s="21">
        <v>330</v>
      </c>
      <c r="AG78" s="21" t="s">
        <v>202</v>
      </c>
    </row>
    <row r="79" spans="1:33" x14ac:dyDescent="0.25">
      <c r="A79" s="22" t="s">
        <v>1334</v>
      </c>
      <c r="B79" s="23">
        <v>46242</v>
      </c>
      <c r="C79" s="21" t="s">
        <v>656</v>
      </c>
      <c r="D79" s="21" t="s">
        <v>1247</v>
      </c>
      <c r="E79" s="21" t="s">
        <v>780</v>
      </c>
      <c r="F79" s="21" t="s">
        <v>1248</v>
      </c>
      <c r="G79" s="21" t="s">
        <v>779</v>
      </c>
      <c r="H79" s="23">
        <v>46181</v>
      </c>
      <c r="I79" s="21" t="s">
        <v>169</v>
      </c>
      <c r="J79" s="21" t="s">
        <v>179</v>
      </c>
      <c r="K79" s="21" t="s">
        <v>287</v>
      </c>
      <c r="L79" s="21" t="s">
        <v>211</v>
      </c>
      <c r="M79" s="21" t="s">
        <v>384</v>
      </c>
      <c r="N79" s="21">
        <v>263</v>
      </c>
      <c r="O79" s="33">
        <v>68645.63</v>
      </c>
      <c r="P79" s="21" t="s">
        <v>384</v>
      </c>
      <c r="Q79" s="21">
        <v>0</v>
      </c>
      <c r="R79" s="21">
        <v>9</v>
      </c>
      <c r="S79" s="21">
        <v>6178.11</v>
      </c>
      <c r="T79" s="21">
        <v>9</v>
      </c>
      <c r="U79" s="21">
        <v>6178.11</v>
      </c>
      <c r="V79" s="21">
        <v>0</v>
      </c>
      <c r="W79" s="21">
        <v>0</v>
      </c>
      <c r="X79" s="21">
        <v>0</v>
      </c>
      <c r="Y79" s="21">
        <v>12356.22</v>
      </c>
      <c r="Z79" s="21">
        <v>0</v>
      </c>
      <c r="AA79" s="21" t="s">
        <v>176</v>
      </c>
      <c r="AB79" s="21" t="s">
        <v>168</v>
      </c>
      <c r="AC79" s="21">
        <v>39269080</v>
      </c>
      <c r="AD79" s="21" t="s">
        <v>201</v>
      </c>
      <c r="AE79" s="21">
        <v>1</v>
      </c>
      <c r="AF79" s="21">
        <v>263</v>
      </c>
      <c r="AG79" s="21" t="s">
        <v>202</v>
      </c>
    </row>
    <row r="80" spans="1:33" x14ac:dyDescent="0.25">
      <c r="A80" s="22"/>
      <c r="B80" s="23">
        <v>46242</v>
      </c>
      <c r="C80" s="21" t="s">
        <v>656</v>
      </c>
      <c r="D80" s="21" t="s">
        <v>1247</v>
      </c>
      <c r="E80" s="21" t="s">
        <v>789</v>
      </c>
      <c r="F80" s="21" t="s">
        <v>1248</v>
      </c>
      <c r="G80" s="21" t="s">
        <v>788</v>
      </c>
      <c r="H80" s="23">
        <v>46211</v>
      </c>
      <c r="I80" s="21" t="s">
        <v>188</v>
      </c>
      <c r="J80" s="21" t="s">
        <v>152</v>
      </c>
      <c r="K80" s="21" t="s">
        <v>152</v>
      </c>
      <c r="L80" s="21" t="s">
        <v>200</v>
      </c>
      <c r="M80" s="21" t="s">
        <v>187</v>
      </c>
      <c r="N80" s="33">
        <v>1656</v>
      </c>
      <c r="O80" s="33">
        <v>363111.12</v>
      </c>
      <c r="P80" s="21" t="s">
        <v>187</v>
      </c>
      <c r="Q80" s="21">
        <v>961778.25</v>
      </c>
      <c r="R80" s="21">
        <v>9</v>
      </c>
      <c r="S80" s="21">
        <v>32680</v>
      </c>
      <c r="T80" s="21">
        <v>9</v>
      </c>
      <c r="U80" s="21">
        <v>32680</v>
      </c>
      <c r="V80" s="21">
        <v>0</v>
      </c>
      <c r="W80" s="21">
        <v>0</v>
      </c>
      <c r="X80" s="21">
        <v>0</v>
      </c>
      <c r="Y80" s="21">
        <v>65360</v>
      </c>
      <c r="Z80" s="21">
        <v>0</v>
      </c>
      <c r="AA80" s="21" t="s">
        <v>176</v>
      </c>
      <c r="AB80" s="21" t="s">
        <v>168</v>
      </c>
      <c r="AC80" s="21">
        <v>63053200</v>
      </c>
      <c r="AD80" s="21" t="s">
        <v>201</v>
      </c>
      <c r="AE80" s="21">
        <v>1</v>
      </c>
      <c r="AF80" s="33">
        <v>1656</v>
      </c>
      <c r="AG80" s="21" t="s">
        <v>202</v>
      </c>
    </row>
    <row r="81" spans="1:33" x14ac:dyDescent="0.25">
      <c r="A81" s="22"/>
      <c r="B81" s="23">
        <v>46242</v>
      </c>
      <c r="C81" s="21" t="s">
        <v>656</v>
      </c>
      <c r="D81" s="21" t="s">
        <v>1247</v>
      </c>
      <c r="E81" s="21" t="s">
        <v>789</v>
      </c>
      <c r="F81" s="21" t="s">
        <v>1248</v>
      </c>
      <c r="G81" s="21" t="s">
        <v>788</v>
      </c>
      <c r="H81" s="23">
        <v>46211</v>
      </c>
      <c r="I81" s="21" t="s">
        <v>188</v>
      </c>
      <c r="J81" s="21" t="s">
        <v>152</v>
      </c>
      <c r="K81" s="21" t="s">
        <v>152</v>
      </c>
      <c r="L81" s="21" t="s">
        <v>200</v>
      </c>
      <c r="M81" s="21" t="s">
        <v>187</v>
      </c>
      <c r="N81" s="33">
        <v>1239</v>
      </c>
      <c r="O81" s="33">
        <v>276272.21999999997</v>
      </c>
      <c r="P81" s="21" t="s">
        <v>187</v>
      </c>
      <c r="Q81" s="21">
        <v>0</v>
      </c>
      <c r="R81" s="21">
        <v>9</v>
      </c>
      <c r="S81" s="21">
        <v>24864.5</v>
      </c>
      <c r="T81" s="21">
        <v>9</v>
      </c>
      <c r="U81" s="21">
        <v>24864.5</v>
      </c>
      <c r="V81" s="21">
        <v>0</v>
      </c>
      <c r="W81" s="21">
        <v>0</v>
      </c>
      <c r="X81" s="21">
        <v>0</v>
      </c>
      <c r="Y81" s="21">
        <v>49729</v>
      </c>
      <c r="Z81" s="21">
        <v>0</v>
      </c>
      <c r="AA81" s="21" t="s">
        <v>176</v>
      </c>
      <c r="AB81" s="21" t="s">
        <v>168</v>
      </c>
      <c r="AC81" s="21">
        <v>63053200</v>
      </c>
      <c r="AD81" s="21" t="s">
        <v>201</v>
      </c>
      <c r="AE81" s="21">
        <v>1</v>
      </c>
      <c r="AF81" s="33">
        <v>1239</v>
      </c>
      <c r="AG81" s="21" t="s">
        <v>202</v>
      </c>
    </row>
    <row r="82" spans="1:33" x14ac:dyDescent="0.25">
      <c r="A82" s="22"/>
      <c r="B82" s="23">
        <v>46242</v>
      </c>
      <c r="C82" s="21" t="s">
        <v>656</v>
      </c>
      <c r="D82" s="21" t="s">
        <v>1247</v>
      </c>
      <c r="E82" s="21" t="s">
        <v>789</v>
      </c>
      <c r="F82" s="21" t="s">
        <v>1248</v>
      </c>
      <c r="G82" s="21" t="s">
        <v>788</v>
      </c>
      <c r="H82" s="23">
        <v>46211</v>
      </c>
      <c r="I82" s="21" t="s">
        <v>188</v>
      </c>
      <c r="J82" s="21" t="s">
        <v>152</v>
      </c>
      <c r="K82" s="21" t="s">
        <v>152</v>
      </c>
      <c r="L82" s="21" t="s">
        <v>200</v>
      </c>
      <c r="M82" s="21" t="s">
        <v>187</v>
      </c>
      <c r="N82" s="21">
        <v>827</v>
      </c>
      <c r="O82" s="33">
        <v>176374.29</v>
      </c>
      <c r="P82" s="21" t="s">
        <v>187</v>
      </c>
      <c r="Q82" s="21">
        <v>0</v>
      </c>
      <c r="R82" s="21">
        <v>9</v>
      </c>
      <c r="S82" s="21">
        <v>15873.69</v>
      </c>
      <c r="T82" s="21">
        <v>9</v>
      </c>
      <c r="U82" s="21">
        <v>15873.69</v>
      </c>
      <c r="V82" s="21">
        <v>0</v>
      </c>
      <c r="W82" s="21">
        <v>0</v>
      </c>
      <c r="X82" s="21">
        <v>0</v>
      </c>
      <c r="Y82" s="21">
        <v>31747.38</v>
      </c>
      <c r="Z82" s="21">
        <v>0</v>
      </c>
      <c r="AA82" s="21" t="s">
        <v>176</v>
      </c>
      <c r="AB82" s="21" t="s">
        <v>168</v>
      </c>
      <c r="AC82" s="21">
        <v>63053200</v>
      </c>
      <c r="AD82" s="21" t="s">
        <v>201</v>
      </c>
      <c r="AE82" s="21">
        <v>1</v>
      </c>
      <c r="AF82" s="21">
        <v>827</v>
      </c>
      <c r="AG82" s="21" t="s">
        <v>202</v>
      </c>
    </row>
    <row r="83" spans="1:33" x14ac:dyDescent="0.25">
      <c r="A83" s="22"/>
      <c r="B83" s="23">
        <v>46273</v>
      </c>
      <c r="C83" s="21" t="s">
        <v>663</v>
      </c>
      <c r="D83" s="21" t="s">
        <v>1247</v>
      </c>
      <c r="E83" s="21" t="s">
        <v>821</v>
      </c>
      <c r="F83" s="21" t="s">
        <v>1248</v>
      </c>
      <c r="G83" s="21" t="s">
        <v>820</v>
      </c>
      <c r="H83" s="23">
        <v>46242</v>
      </c>
      <c r="I83" s="21" t="s">
        <v>169</v>
      </c>
      <c r="J83" s="21" t="s">
        <v>175</v>
      </c>
      <c r="K83" s="21" t="s">
        <v>159</v>
      </c>
      <c r="L83" s="21" t="s">
        <v>159</v>
      </c>
      <c r="M83" s="21" t="s">
        <v>173</v>
      </c>
      <c r="N83" s="33">
        <v>1044</v>
      </c>
      <c r="O83" s="33">
        <v>178471.8</v>
      </c>
      <c r="P83" s="21" t="s">
        <v>173</v>
      </c>
      <c r="Q83" s="21">
        <v>686068.33</v>
      </c>
      <c r="R83" s="21">
        <v>9</v>
      </c>
      <c r="S83" s="21">
        <v>16062.46</v>
      </c>
      <c r="T83" s="21">
        <v>9</v>
      </c>
      <c r="U83" s="21">
        <v>16062.46</v>
      </c>
      <c r="V83" s="21">
        <v>0</v>
      </c>
      <c r="W83" s="21">
        <v>0</v>
      </c>
      <c r="X83" s="21">
        <v>0</v>
      </c>
      <c r="Y83" s="21">
        <v>32124.92</v>
      </c>
      <c r="Z83" s="21">
        <v>0</v>
      </c>
      <c r="AA83" s="21" t="s">
        <v>185</v>
      </c>
      <c r="AB83" s="21" t="s">
        <v>168</v>
      </c>
      <c r="AC83" s="21">
        <v>39200000</v>
      </c>
      <c r="AD83" s="21" t="s">
        <v>201</v>
      </c>
      <c r="AE83" s="21">
        <v>1</v>
      </c>
      <c r="AF83" s="33">
        <v>1044</v>
      </c>
      <c r="AG83" s="21" t="s">
        <v>202</v>
      </c>
    </row>
    <row r="84" spans="1:33" x14ac:dyDescent="0.25">
      <c r="A84" s="22"/>
      <c r="B84" s="23">
        <v>46273</v>
      </c>
      <c r="C84" s="21" t="s">
        <v>663</v>
      </c>
      <c r="D84" s="21" t="s">
        <v>1247</v>
      </c>
      <c r="E84" s="21" t="s">
        <v>821</v>
      </c>
      <c r="F84" s="21" t="s">
        <v>1248</v>
      </c>
      <c r="G84" s="21" t="s">
        <v>820</v>
      </c>
      <c r="H84" s="23">
        <v>46242</v>
      </c>
      <c r="I84" s="21" t="s">
        <v>169</v>
      </c>
      <c r="J84" s="21" t="s">
        <v>179</v>
      </c>
      <c r="K84" s="21" t="s">
        <v>155</v>
      </c>
      <c r="L84" s="21" t="s">
        <v>203</v>
      </c>
      <c r="M84" s="21" t="s">
        <v>183</v>
      </c>
      <c r="N84" s="21">
        <v>311</v>
      </c>
      <c r="O84" s="33">
        <v>48046.39</v>
      </c>
      <c r="P84" s="21" t="s">
        <v>183</v>
      </c>
      <c r="Q84" s="21">
        <v>0</v>
      </c>
      <c r="R84" s="21">
        <v>9</v>
      </c>
      <c r="S84" s="21">
        <v>4324.18</v>
      </c>
      <c r="T84" s="21">
        <v>9</v>
      </c>
      <c r="U84" s="21">
        <v>4324.18</v>
      </c>
      <c r="V84" s="21">
        <v>0</v>
      </c>
      <c r="W84" s="21">
        <v>0</v>
      </c>
      <c r="X84" s="21">
        <v>0</v>
      </c>
      <c r="Y84" s="21">
        <v>8648.36</v>
      </c>
      <c r="Z84" s="21">
        <v>0</v>
      </c>
      <c r="AA84" s="21" t="s">
        <v>185</v>
      </c>
      <c r="AB84" s="21" t="s">
        <v>168</v>
      </c>
      <c r="AC84" s="21">
        <v>39269080</v>
      </c>
      <c r="AD84" s="21" t="s">
        <v>201</v>
      </c>
      <c r="AE84" s="21">
        <v>1</v>
      </c>
      <c r="AF84" s="21">
        <v>311</v>
      </c>
      <c r="AG84" s="21" t="s">
        <v>202</v>
      </c>
    </row>
    <row r="85" spans="1:33" x14ac:dyDescent="0.25">
      <c r="A85" s="22"/>
      <c r="B85" s="23">
        <v>46273</v>
      </c>
      <c r="C85" s="21" t="s">
        <v>663</v>
      </c>
      <c r="D85" s="21" t="s">
        <v>1247</v>
      </c>
      <c r="E85" s="21" t="s">
        <v>821</v>
      </c>
      <c r="F85" s="21" t="s">
        <v>1248</v>
      </c>
      <c r="G85" s="21" t="s">
        <v>820</v>
      </c>
      <c r="H85" s="23">
        <v>46242</v>
      </c>
      <c r="I85" s="21" t="s">
        <v>169</v>
      </c>
      <c r="J85" s="21" t="s">
        <v>179</v>
      </c>
      <c r="K85" s="21" t="s">
        <v>155</v>
      </c>
      <c r="L85" s="21" t="s">
        <v>203</v>
      </c>
      <c r="M85" s="21" t="s">
        <v>183</v>
      </c>
      <c r="N85" s="33">
        <v>2271</v>
      </c>
      <c r="O85" s="33">
        <v>355388.79</v>
      </c>
      <c r="P85" s="21" t="s">
        <v>183</v>
      </c>
      <c r="Q85" s="21">
        <v>0</v>
      </c>
      <c r="R85" s="21">
        <v>9</v>
      </c>
      <c r="S85" s="21">
        <v>31984.99</v>
      </c>
      <c r="T85" s="21">
        <v>9</v>
      </c>
      <c r="U85" s="21">
        <v>31984.99</v>
      </c>
      <c r="V85" s="21">
        <v>0</v>
      </c>
      <c r="W85" s="21">
        <v>0</v>
      </c>
      <c r="X85" s="21">
        <v>0</v>
      </c>
      <c r="Y85" s="21">
        <v>63969.98</v>
      </c>
      <c r="Z85" s="21">
        <v>0</v>
      </c>
      <c r="AA85" s="21" t="s">
        <v>185</v>
      </c>
      <c r="AB85" s="21" t="s">
        <v>168</v>
      </c>
      <c r="AC85" s="21">
        <v>39269080</v>
      </c>
      <c r="AD85" s="21" t="s">
        <v>201</v>
      </c>
      <c r="AE85" s="21">
        <v>1</v>
      </c>
      <c r="AF85" s="33">
        <v>2271</v>
      </c>
      <c r="AG85" s="21" t="s">
        <v>202</v>
      </c>
    </row>
    <row r="86" spans="1:33" x14ac:dyDescent="0.25">
      <c r="A86" s="22"/>
      <c r="B86" s="23">
        <v>46273</v>
      </c>
      <c r="C86" s="21" t="s">
        <v>633</v>
      </c>
      <c r="D86" s="21" t="s">
        <v>1247</v>
      </c>
      <c r="E86" s="21" t="s">
        <v>825</v>
      </c>
      <c r="F86" s="21" t="s">
        <v>1248</v>
      </c>
      <c r="G86" s="21" t="s">
        <v>824</v>
      </c>
      <c r="H86" s="23">
        <v>46273</v>
      </c>
      <c r="I86" s="21" t="s">
        <v>169</v>
      </c>
      <c r="J86" s="21" t="s">
        <v>179</v>
      </c>
      <c r="K86" s="21" t="s">
        <v>156</v>
      </c>
      <c r="L86" s="21" t="s">
        <v>211</v>
      </c>
      <c r="M86" s="21" t="s">
        <v>178</v>
      </c>
      <c r="N86" s="21">
        <v>615</v>
      </c>
      <c r="O86" s="33">
        <v>91831.8</v>
      </c>
      <c r="P86" s="21" t="s">
        <v>178</v>
      </c>
      <c r="Q86" s="21">
        <v>326979.21000000002</v>
      </c>
      <c r="R86" s="21">
        <v>9</v>
      </c>
      <c r="S86" s="21">
        <v>8264.86</v>
      </c>
      <c r="T86" s="21">
        <v>9</v>
      </c>
      <c r="U86" s="21">
        <v>8264.86</v>
      </c>
      <c r="V86" s="21">
        <v>0</v>
      </c>
      <c r="W86" s="21">
        <v>0</v>
      </c>
      <c r="X86" s="21">
        <v>0</v>
      </c>
      <c r="Y86" s="21">
        <v>16529.72</v>
      </c>
      <c r="Z86" s="21">
        <v>0</v>
      </c>
      <c r="AA86" s="21" t="s">
        <v>176</v>
      </c>
      <c r="AB86" s="21" t="s">
        <v>168</v>
      </c>
      <c r="AC86" s="21">
        <v>63053300</v>
      </c>
      <c r="AD86" s="21" t="s">
        <v>201</v>
      </c>
      <c r="AE86" s="21">
        <v>1</v>
      </c>
      <c r="AF86" s="21">
        <v>615</v>
      </c>
      <c r="AG86" s="21" t="s">
        <v>202</v>
      </c>
    </row>
    <row r="87" spans="1:33" x14ac:dyDescent="0.25">
      <c r="A87" s="22"/>
      <c r="B87" s="23">
        <v>46273</v>
      </c>
      <c r="C87" s="21" t="s">
        <v>633</v>
      </c>
      <c r="D87" s="21" t="s">
        <v>1247</v>
      </c>
      <c r="E87" s="21" t="s">
        <v>825</v>
      </c>
      <c r="F87" s="21" t="s">
        <v>1248</v>
      </c>
      <c r="G87" s="21" t="s">
        <v>824</v>
      </c>
      <c r="H87" s="23">
        <v>46273</v>
      </c>
      <c r="I87" s="21" t="s">
        <v>169</v>
      </c>
      <c r="J87" s="21" t="s">
        <v>181</v>
      </c>
      <c r="K87" s="21" t="s">
        <v>154</v>
      </c>
      <c r="L87" s="21" t="s">
        <v>154</v>
      </c>
      <c r="M87" s="21" t="s">
        <v>181</v>
      </c>
      <c r="N87" s="21">
        <v>744.1</v>
      </c>
      <c r="O87" s="33">
        <v>109620.81</v>
      </c>
      <c r="P87" s="21" t="s">
        <v>181</v>
      </c>
      <c r="Q87" s="21">
        <v>0</v>
      </c>
      <c r="R87" s="21">
        <v>9</v>
      </c>
      <c r="S87" s="21">
        <v>9865.8700000000008</v>
      </c>
      <c r="T87" s="21">
        <v>9</v>
      </c>
      <c r="U87" s="21">
        <v>9865.8700000000008</v>
      </c>
      <c r="V87" s="21">
        <v>0</v>
      </c>
      <c r="W87" s="21">
        <v>0</v>
      </c>
      <c r="X87" s="21">
        <v>0</v>
      </c>
      <c r="Y87" s="21">
        <v>19731.740000000002</v>
      </c>
      <c r="Z87" s="21">
        <v>0</v>
      </c>
      <c r="AA87" s="21" t="s">
        <v>176</v>
      </c>
      <c r="AB87" s="21" t="s">
        <v>168</v>
      </c>
      <c r="AC87" s="21">
        <v>3926908</v>
      </c>
      <c r="AD87" s="21" t="s">
        <v>201</v>
      </c>
      <c r="AE87" s="21">
        <v>1</v>
      </c>
      <c r="AF87" s="21">
        <v>744.1</v>
      </c>
      <c r="AG87" s="21" t="s">
        <v>202</v>
      </c>
    </row>
    <row r="88" spans="1:33" x14ac:dyDescent="0.25">
      <c r="A88" s="22"/>
      <c r="B88" s="23">
        <v>46273</v>
      </c>
      <c r="C88" s="21" t="s">
        <v>633</v>
      </c>
      <c r="D88" s="21" t="s">
        <v>1247</v>
      </c>
      <c r="E88" s="21" t="s">
        <v>825</v>
      </c>
      <c r="F88" s="21" t="s">
        <v>1248</v>
      </c>
      <c r="G88" s="21" t="s">
        <v>824</v>
      </c>
      <c r="H88" s="23">
        <v>46273</v>
      </c>
      <c r="I88" s="21" t="s">
        <v>169</v>
      </c>
      <c r="J88" s="21" t="s">
        <v>181</v>
      </c>
      <c r="K88" s="21" t="s">
        <v>154</v>
      </c>
      <c r="L88" s="21" t="s">
        <v>154</v>
      </c>
      <c r="M88" s="21" t="s">
        <v>181</v>
      </c>
      <c r="N88" s="21">
        <v>525.79999999999995</v>
      </c>
      <c r="O88" s="33">
        <v>75883.460000000006</v>
      </c>
      <c r="P88" s="21" t="s">
        <v>181</v>
      </c>
      <c r="Q88" s="21">
        <v>0</v>
      </c>
      <c r="R88" s="21">
        <v>9</v>
      </c>
      <c r="S88" s="21">
        <v>6829.51</v>
      </c>
      <c r="T88" s="21">
        <v>9</v>
      </c>
      <c r="U88" s="21">
        <v>6829.51</v>
      </c>
      <c r="V88" s="21">
        <v>0</v>
      </c>
      <c r="W88" s="21">
        <v>0</v>
      </c>
      <c r="X88" s="21">
        <v>0</v>
      </c>
      <c r="Y88" s="21">
        <v>13659.02</v>
      </c>
      <c r="Z88" s="21">
        <v>0</v>
      </c>
      <c r="AA88" s="21" t="s">
        <v>176</v>
      </c>
      <c r="AB88" s="21" t="s">
        <v>168</v>
      </c>
      <c r="AC88" s="21">
        <v>3926908</v>
      </c>
      <c r="AD88" s="21" t="s">
        <v>201</v>
      </c>
      <c r="AE88" s="21">
        <v>1</v>
      </c>
      <c r="AF88" s="21">
        <v>525.79999999999995</v>
      </c>
      <c r="AG88" s="21" t="s">
        <v>202</v>
      </c>
    </row>
    <row r="89" spans="1:33" x14ac:dyDescent="0.25">
      <c r="A89" s="22"/>
      <c r="B89" s="23">
        <v>46303</v>
      </c>
      <c r="C89" s="21" t="s">
        <v>633</v>
      </c>
      <c r="D89" s="21" t="s">
        <v>1247</v>
      </c>
      <c r="E89" s="21" t="s">
        <v>829</v>
      </c>
      <c r="F89" s="21" t="s">
        <v>1248</v>
      </c>
      <c r="G89" s="21" t="s">
        <v>828</v>
      </c>
      <c r="H89" s="23">
        <v>46303</v>
      </c>
      <c r="I89" s="21" t="s">
        <v>188</v>
      </c>
      <c r="J89" s="21" t="s">
        <v>152</v>
      </c>
      <c r="K89" s="21" t="s">
        <v>152</v>
      </c>
      <c r="L89" s="21" t="s">
        <v>200</v>
      </c>
      <c r="M89" s="21" t="s">
        <v>187</v>
      </c>
      <c r="N89" s="33">
        <v>1700</v>
      </c>
      <c r="O89" s="33">
        <v>380494</v>
      </c>
      <c r="P89" s="21" t="s">
        <v>187</v>
      </c>
      <c r="Q89" s="21">
        <v>448602.43</v>
      </c>
      <c r="R89" s="21">
        <v>9</v>
      </c>
      <c r="S89" s="21">
        <v>34244.46</v>
      </c>
      <c r="T89" s="21">
        <v>9</v>
      </c>
      <c r="U89" s="21">
        <v>34244.46</v>
      </c>
      <c r="V89" s="21">
        <v>0</v>
      </c>
      <c r="W89" s="21">
        <v>0</v>
      </c>
      <c r="X89" s="21">
        <v>0</v>
      </c>
      <c r="Y89" s="21">
        <v>68488.92</v>
      </c>
      <c r="Z89" s="21">
        <v>0</v>
      </c>
      <c r="AA89" s="21" t="s">
        <v>176</v>
      </c>
      <c r="AB89" s="21" t="s">
        <v>168</v>
      </c>
      <c r="AC89" s="21">
        <v>63053200</v>
      </c>
      <c r="AD89" s="21" t="s">
        <v>201</v>
      </c>
      <c r="AE89" s="21">
        <v>1</v>
      </c>
      <c r="AF89" s="33">
        <v>1700</v>
      </c>
      <c r="AG89" s="21" t="s">
        <v>202</v>
      </c>
    </row>
    <row r="90" spans="1:33" x14ac:dyDescent="0.25">
      <c r="A90" s="22"/>
      <c r="B90" s="23">
        <v>46303</v>
      </c>
      <c r="C90" s="21" t="s">
        <v>633</v>
      </c>
      <c r="D90" s="21" t="s">
        <v>1247</v>
      </c>
      <c r="E90" s="21" t="s">
        <v>833</v>
      </c>
      <c r="F90" s="21" t="s">
        <v>1248</v>
      </c>
      <c r="G90" s="21" t="s">
        <v>832</v>
      </c>
      <c r="H90" s="23">
        <v>46303</v>
      </c>
      <c r="I90" s="21" t="s">
        <v>169</v>
      </c>
      <c r="J90" s="21" t="s">
        <v>181</v>
      </c>
      <c r="K90" s="21" t="s">
        <v>154</v>
      </c>
      <c r="L90" s="21" t="s">
        <v>154</v>
      </c>
      <c r="M90" s="21" t="s">
        <v>181</v>
      </c>
      <c r="N90" s="21">
        <v>591</v>
      </c>
      <c r="O90" s="33">
        <v>87066.12</v>
      </c>
      <c r="P90" s="21" t="s">
        <v>181</v>
      </c>
      <c r="Q90" s="21">
        <v>1078088.08</v>
      </c>
      <c r="R90" s="21">
        <v>9</v>
      </c>
      <c r="S90" s="21">
        <v>7835.95</v>
      </c>
      <c r="T90" s="21">
        <v>9</v>
      </c>
      <c r="U90" s="21">
        <v>7835.95</v>
      </c>
      <c r="V90" s="21">
        <v>0</v>
      </c>
      <c r="W90" s="21">
        <v>0</v>
      </c>
      <c r="X90" s="21">
        <v>0</v>
      </c>
      <c r="Y90" s="21">
        <v>15671.9</v>
      </c>
      <c r="Z90" s="21">
        <v>0</v>
      </c>
      <c r="AA90" s="21" t="s">
        <v>176</v>
      </c>
      <c r="AB90" s="21" t="s">
        <v>168</v>
      </c>
      <c r="AC90" s="21">
        <v>3926908</v>
      </c>
      <c r="AD90" s="21" t="s">
        <v>201</v>
      </c>
      <c r="AE90" s="21">
        <v>1</v>
      </c>
      <c r="AF90" s="21">
        <v>591</v>
      </c>
      <c r="AG90" s="21" t="s">
        <v>202</v>
      </c>
    </row>
    <row r="91" spans="1:33" x14ac:dyDescent="0.25">
      <c r="A91" s="22"/>
      <c r="B91" s="23">
        <v>46303</v>
      </c>
      <c r="C91" s="21" t="s">
        <v>633</v>
      </c>
      <c r="D91" s="21" t="s">
        <v>1247</v>
      </c>
      <c r="E91" s="21" t="s">
        <v>833</v>
      </c>
      <c r="F91" s="21" t="s">
        <v>1248</v>
      </c>
      <c r="G91" s="21" t="s">
        <v>832</v>
      </c>
      <c r="H91" s="23">
        <v>46303</v>
      </c>
      <c r="I91" s="21" t="s">
        <v>169</v>
      </c>
      <c r="J91" s="21" t="s">
        <v>181</v>
      </c>
      <c r="K91" s="21" t="s">
        <v>154</v>
      </c>
      <c r="L91" s="21" t="s">
        <v>154</v>
      </c>
      <c r="M91" s="21" t="s">
        <v>181</v>
      </c>
      <c r="N91" s="21">
        <v>756.8</v>
      </c>
      <c r="O91" s="33">
        <v>109221.37</v>
      </c>
      <c r="P91" s="21" t="s">
        <v>181</v>
      </c>
      <c r="Q91" s="21">
        <v>0</v>
      </c>
      <c r="R91" s="21">
        <v>9</v>
      </c>
      <c r="S91" s="21">
        <v>9829.92</v>
      </c>
      <c r="T91" s="21">
        <v>9</v>
      </c>
      <c r="U91" s="21">
        <v>9829.92</v>
      </c>
      <c r="V91" s="21">
        <v>0</v>
      </c>
      <c r="W91" s="21">
        <v>0</v>
      </c>
      <c r="X91" s="21">
        <v>0</v>
      </c>
      <c r="Y91" s="21">
        <v>19659.84</v>
      </c>
      <c r="Z91" s="21">
        <v>0</v>
      </c>
      <c r="AA91" s="21" t="s">
        <v>176</v>
      </c>
      <c r="AB91" s="21" t="s">
        <v>168</v>
      </c>
      <c r="AC91" s="21">
        <v>3926908</v>
      </c>
      <c r="AD91" s="21" t="s">
        <v>201</v>
      </c>
      <c r="AE91" s="21">
        <v>1</v>
      </c>
      <c r="AF91" s="21">
        <v>756.8</v>
      </c>
      <c r="AG91" s="21" t="s">
        <v>202</v>
      </c>
    </row>
    <row r="92" spans="1:33" x14ac:dyDescent="0.25">
      <c r="A92" s="22"/>
      <c r="B92" s="23">
        <v>46303</v>
      </c>
      <c r="C92" s="21" t="s">
        <v>633</v>
      </c>
      <c r="D92" s="21" t="s">
        <v>1247</v>
      </c>
      <c r="E92" s="21" t="s">
        <v>833</v>
      </c>
      <c r="F92" s="21" t="s">
        <v>1248</v>
      </c>
      <c r="G92" s="21" t="s">
        <v>832</v>
      </c>
      <c r="H92" s="23">
        <v>46303</v>
      </c>
      <c r="I92" s="21" t="s">
        <v>169</v>
      </c>
      <c r="J92" s="21" t="s">
        <v>170</v>
      </c>
      <c r="K92" s="21" t="s">
        <v>157</v>
      </c>
      <c r="L92" s="21" t="s">
        <v>225</v>
      </c>
      <c r="M92" s="21" t="s">
        <v>727</v>
      </c>
      <c r="N92" s="35">
        <v>212.6</v>
      </c>
      <c r="O92" s="33">
        <v>33765.14</v>
      </c>
      <c r="P92" s="21" t="s">
        <v>727</v>
      </c>
      <c r="Q92" s="21">
        <v>0</v>
      </c>
      <c r="R92" s="21">
        <v>2.5</v>
      </c>
      <c r="S92" s="21">
        <v>844.13</v>
      </c>
      <c r="T92" s="21">
        <v>2.5</v>
      </c>
      <c r="U92" s="21">
        <v>844.13</v>
      </c>
      <c r="V92" s="21">
        <v>0</v>
      </c>
      <c r="W92" s="21">
        <v>0</v>
      </c>
      <c r="X92" s="21">
        <v>0</v>
      </c>
      <c r="Y92" s="21">
        <v>1688.26</v>
      </c>
      <c r="Z92" s="21">
        <v>0</v>
      </c>
      <c r="AA92" s="21" t="s">
        <v>176</v>
      </c>
      <c r="AB92" s="21" t="s">
        <v>168</v>
      </c>
      <c r="AC92" s="21">
        <v>540269</v>
      </c>
      <c r="AD92" s="21" t="s">
        <v>201</v>
      </c>
      <c r="AE92" s="21">
        <v>1</v>
      </c>
      <c r="AF92" s="21">
        <v>212.6</v>
      </c>
      <c r="AG92" s="21" t="s">
        <v>202</v>
      </c>
    </row>
    <row r="93" spans="1:33" x14ac:dyDescent="0.25">
      <c r="A93" s="22"/>
      <c r="B93" s="23">
        <v>46303</v>
      </c>
      <c r="C93" s="21" t="s">
        <v>633</v>
      </c>
      <c r="D93" s="21" t="s">
        <v>1247</v>
      </c>
      <c r="E93" s="21" t="s">
        <v>833</v>
      </c>
      <c r="F93" s="21" t="s">
        <v>1248</v>
      </c>
      <c r="G93" s="21" t="s">
        <v>832</v>
      </c>
      <c r="H93" s="23">
        <v>46303</v>
      </c>
      <c r="I93" s="21" t="s">
        <v>169</v>
      </c>
      <c r="J93" s="21" t="s">
        <v>179</v>
      </c>
      <c r="K93" s="21" t="s">
        <v>156</v>
      </c>
      <c r="L93" s="21" t="s">
        <v>211</v>
      </c>
      <c r="M93" s="21" t="s">
        <v>178</v>
      </c>
      <c r="N93" s="33">
        <v>2647</v>
      </c>
      <c r="O93" s="33">
        <v>395250.04</v>
      </c>
      <c r="P93" s="21" t="s">
        <v>178</v>
      </c>
      <c r="Q93" s="21">
        <v>0</v>
      </c>
      <c r="R93" s="21">
        <v>9</v>
      </c>
      <c r="S93" s="21">
        <v>35572.5</v>
      </c>
      <c r="T93" s="21">
        <v>9</v>
      </c>
      <c r="U93" s="21">
        <v>35572.5</v>
      </c>
      <c r="V93" s="21">
        <v>0</v>
      </c>
      <c r="W93" s="21">
        <v>0</v>
      </c>
      <c r="X93" s="21">
        <v>0</v>
      </c>
      <c r="Y93" s="21">
        <v>71145</v>
      </c>
      <c r="Z93" s="21">
        <v>0</v>
      </c>
      <c r="AA93" s="21" t="s">
        <v>176</v>
      </c>
      <c r="AB93" s="21" t="s">
        <v>168</v>
      </c>
      <c r="AC93" s="21">
        <v>63053300</v>
      </c>
      <c r="AD93" s="21" t="s">
        <v>201</v>
      </c>
      <c r="AE93" s="21">
        <v>1</v>
      </c>
      <c r="AF93" s="33">
        <v>2647</v>
      </c>
      <c r="AG93" s="21" t="s">
        <v>202</v>
      </c>
    </row>
    <row r="94" spans="1:33" x14ac:dyDescent="0.25">
      <c r="A94" s="22"/>
      <c r="B94" s="23">
        <v>46303</v>
      </c>
      <c r="C94" s="21" t="s">
        <v>633</v>
      </c>
      <c r="D94" s="21" t="s">
        <v>1247</v>
      </c>
      <c r="E94" s="21" t="s">
        <v>833</v>
      </c>
      <c r="F94" s="21" t="s">
        <v>1248</v>
      </c>
      <c r="G94" s="21" t="s">
        <v>832</v>
      </c>
      <c r="H94" s="23">
        <v>46303</v>
      </c>
      <c r="I94" s="21" t="s">
        <v>169</v>
      </c>
      <c r="J94" s="21" t="s">
        <v>179</v>
      </c>
      <c r="K94" s="21" t="s">
        <v>155</v>
      </c>
      <c r="L94" s="21" t="s">
        <v>203</v>
      </c>
      <c r="M94" s="21" t="s">
        <v>183</v>
      </c>
      <c r="N94" s="33">
        <v>1524</v>
      </c>
      <c r="O94" s="33">
        <v>224515.68</v>
      </c>
      <c r="P94" s="21" t="s">
        <v>183</v>
      </c>
      <c r="Q94" s="21">
        <v>0</v>
      </c>
      <c r="R94" s="21">
        <v>9</v>
      </c>
      <c r="S94" s="21">
        <v>20206.41</v>
      </c>
      <c r="T94" s="21">
        <v>9</v>
      </c>
      <c r="U94" s="21">
        <v>20206.41</v>
      </c>
      <c r="V94" s="21">
        <v>0</v>
      </c>
      <c r="W94" s="21">
        <v>0</v>
      </c>
      <c r="X94" s="21">
        <v>0</v>
      </c>
      <c r="Y94" s="21">
        <v>40412.82</v>
      </c>
      <c r="Z94" s="21">
        <v>0</v>
      </c>
      <c r="AA94" s="21" t="s">
        <v>176</v>
      </c>
      <c r="AB94" s="21" t="s">
        <v>168</v>
      </c>
      <c r="AC94" s="21">
        <v>39269080</v>
      </c>
      <c r="AD94" s="21" t="s">
        <v>201</v>
      </c>
      <c r="AE94" s="21">
        <v>1</v>
      </c>
      <c r="AF94" s="33">
        <v>1524</v>
      </c>
      <c r="AG94" s="21" t="s">
        <v>202</v>
      </c>
    </row>
    <row r="95" spans="1:33" x14ac:dyDescent="0.25">
      <c r="A95" s="22"/>
      <c r="B95" s="23">
        <v>46303</v>
      </c>
      <c r="C95" s="21" t="s">
        <v>633</v>
      </c>
      <c r="D95" s="21" t="s">
        <v>1247</v>
      </c>
      <c r="E95" s="21" t="s">
        <v>833</v>
      </c>
      <c r="F95" s="21" t="s">
        <v>1248</v>
      </c>
      <c r="G95" s="21" t="s">
        <v>832</v>
      </c>
      <c r="H95" s="23">
        <v>46303</v>
      </c>
      <c r="I95" s="21" t="s">
        <v>169</v>
      </c>
      <c r="J95" s="21" t="s">
        <v>179</v>
      </c>
      <c r="K95" s="21" t="s">
        <v>155</v>
      </c>
      <c r="L95" s="21" t="s">
        <v>203</v>
      </c>
      <c r="M95" s="21" t="s">
        <v>183</v>
      </c>
      <c r="N95" s="21">
        <v>480</v>
      </c>
      <c r="O95" s="33">
        <v>68313.600000000006</v>
      </c>
      <c r="P95" s="21" t="s">
        <v>183</v>
      </c>
      <c r="Q95" s="21">
        <v>0</v>
      </c>
      <c r="R95" s="21">
        <v>9</v>
      </c>
      <c r="S95" s="21">
        <v>6148.22</v>
      </c>
      <c r="T95" s="21">
        <v>9</v>
      </c>
      <c r="U95" s="21">
        <v>6148.22</v>
      </c>
      <c r="V95" s="21">
        <v>0</v>
      </c>
      <c r="W95" s="21">
        <v>0</v>
      </c>
      <c r="X95" s="21">
        <v>0</v>
      </c>
      <c r="Y95" s="21">
        <v>12296.44</v>
      </c>
      <c r="Z95" s="21">
        <v>0</v>
      </c>
      <c r="AA95" s="21" t="s">
        <v>176</v>
      </c>
      <c r="AB95" s="21" t="s">
        <v>168</v>
      </c>
      <c r="AC95" s="21">
        <v>39269080</v>
      </c>
      <c r="AD95" s="21" t="s">
        <v>201</v>
      </c>
      <c r="AE95" s="21">
        <v>1</v>
      </c>
      <c r="AF95" s="21">
        <v>480</v>
      </c>
      <c r="AG95" s="21" t="s">
        <v>202</v>
      </c>
    </row>
    <row r="96" spans="1:33" x14ac:dyDescent="0.25">
      <c r="A96" s="22"/>
      <c r="B96" s="23">
        <v>46334</v>
      </c>
      <c r="C96" s="21" t="s">
        <v>1260</v>
      </c>
      <c r="D96" s="21" t="s">
        <v>1252</v>
      </c>
      <c r="E96" s="21" t="s">
        <v>1305</v>
      </c>
      <c r="F96" s="21" t="s">
        <v>1253</v>
      </c>
      <c r="G96" s="21">
        <v>420</v>
      </c>
      <c r="H96" s="23">
        <v>46181</v>
      </c>
      <c r="I96" s="21" t="s">
        <v>169</v>
      </c>
      <c r="J96" s="21" t="s">
        <v>175</v>
      </c>
      <c r="K96" s="21" t="s">
        <v>159</v>
      </c>
      <c r="L96" s="21" t="s">
        <v>159</v>
      </c>
      <c r="M96" s="21" t="s">
        <v>228</v>
      </c>
      <c r="N96" s="21">
        <v>113</v>
      </c>
      <c r="O96" s="33">
        <v>31000</v>
      </c>
      <c r="P96" s="21" t="s">
        <v>228</v>
      </c>
      <c r="Q96" s="21">
        <v>36580</v>
      </c>
      <c r="R96" s="21">
        <v>9</v>
      </c>
      <c r="S96" s="21">
        <v>2790</v>
      </c>
      <c r="T96" s="21">
        <v>9</v>
      </c>
      <c r="U96" s="21">
        <v>2790</v>
      </c>
      <c r="V96" s="21">
        <v>0</v>
      </c>
      <c r="W96" s="21">
        <v>0</v>
      </c>
      <c r="X96" s="21">
        <v>0</v>
      </c>
      <c r="Y96" s="21">
        <v>5580</v>
      </c>
      <c r="Z96" s="21">
        <v>0</v>
      </c>
      <c r="AA96" s="21" t="s">
        <v>1269</v>
      </c>
      <c r="AB96" s="21" t="s">
        <v>168</v>
      </c>
      <c r="AC96" s="21">
        <v>3920101</v>
      </c>
      <c r="AD96" s="21" t="s">
        <v>201</v>
      </c>
      <c r="AE96" s="21">
        <v>1</v>
      </c>
      <c r="AF96" s="21">
        <v>113</v>
      </c>
      <c r="AG96" s="21"/>
    </row>
    <row r="97" spans="1:33" x14ac:dyDescent="0.25">
      <c r="A97" s="22"/>
      <c r="B97" s="23">
        <v>46334</v>
      </c>
      <c r="C97" s="21" t="s">
        <v>1260</v>
      </c>
      <c r="D97" s="21" t="s">
        <v>1252</v>
      </c>
      <c r="E97" s="21" t="s">
        <v>1309</v>
      </c>
      <c r="F97" s="21" t="s">
        <v>1253</v>
      </c>
      <c r="G97" s="21">
        <v>422</v>
      </c>
      <c r="H97" s="23">
        <v>46211</v>
      </c>
      <c r="I97" s="21" t="s">
        <v>169</v>
      </c>
      <c r="J97" s="21" t="s">
        <v>175</v>
      </c>
      <c r="K97" s="21" t="s">
        <v>159</v>
      </c>
      <c r="L97" s="21" t="s">
        <v>159</v>
      </c>
      <c r="M97" s="21" t="s">
        <v>228</v>
      </c>
      <c r="N97" s="21">
        <v>56.5</v>
      </c>
      <c r="O97" s="33">
        <v>15500</v>
      </c>
      <c r="P97" s="21" t="s">
        <v>228</v>
      </c>
      <c r="Q97" s="21">
        <v>18290</v>
      </c>
      <c r="R97" s="21">
        <v>9</v>
      </c>
      <c r="S97" s="21">
        <v>1395</v>
      </c>
      <c r="T97" s="21">
        <v>9</v>
      </c>
      <c r="U97" s="21">
        <v>1395</v>
      </c>
      <c r="V97" s="21">
        <v>0</v>
      </c>
      <c r="W97" s="21">
        <v>0</v>
      </c>
      <c r="X97" s="21">
        <v>0</v>
      </c>
      <c r="Y97" s="21">
        <v>2790</v>
      </c>
      <c r="Z97" s="21">
        <v>0</v>
      </c>
      <c r="AA97" s="21" t="s">
        <v>1269</v>
      </c>
      <c r="AB97" s="21" t="s">
        <v>168</v>
      </c>
      <c r="AC97" s="21">
        <v>3920101</v>
      </c>
      <c r="AD97" s="21" t="s">
        <v>201</v>
      </c>
      <c r="AE97" s="21">
        <v>1</v>
      </c>
      <c r="AF97" s="21">
        <v>56.5</v>
      </c>
      <c r="AG97" s="21"/>
    </row>
    <row r="98" spans="1:33" x14ac:dyDescent="0.25">
      <c r="A98" s="22"/>
      <c r="B98" s="23">
        <v>46334</v>
      </c>
      <c r="C98" s="21" t="s">
        <v>1297</v>
      </c>
      <c r="D98" s="21" t="s">
        <v>1252</v>
      </c>
      <c r="E98" s="21" t="s">
        <v>1298</v>
      </c>
      <c r="F98" s="21" t="s">
        <v>1253</v>
      </c>
      <c r="G98" s="21">
        <v>412</v>
      </c>
      <c r="H98" s="23">
        <v>46211</v>
      </c>
      <c r="I98" s="21" t="s">
        <v>1032</v>
      </c>
      <c r="J98" s="21" t="s">
        <v>1285</v>
      </c>
      <c r="K98" s="21" t="s">
        <v>159</v>
      </c>
      <c r="L98" s="21" t="s">
        <v>159</v>
      </c>
      <c r="M98" s="21" t="s">
        <v>1277</v>
      </c>
      <c r="N98" s="21">
        <v>3.68</v>
      </c>
      <c r="O98" s="33">
        <v>6024</v>
      </c>
      <c r="P98" s="21" t="s">
        <v>1277</v>
      </c>
      <c r="Q98" s="21">
        <v>7108.02</v>
      </c>
      <c r="R98" s="21">
        <v>9</v>
      </c>
      <c r="S98" s="21">
        <v>542.16</v>
      </c>
      <c r="T98" s="21">
        <v>9</v>
      </c>
      <c r="U98" s="21">
        <v>542.16</v>
      </c>
      <c r="V98" s="21">
        <v>0</v>
      </c>
      <c r="W98" s="21">
        <v>0</v>
      </c>
      <c r="X98" s="21">
        <v>0</v>
      </c>
      <c r="Y98" s="21">
        <v>1084.32</v>
      </c>
      <c r="Z98" s="21">
        <v>0</v>
      </c>
      <c r="AA98" s="21" t="s">
        <v>1302</v>
      </c>
      <c r="AB98" s="21" t="s">
        <v>1279</v>
      </c>
      <c r="AC98" s="21">
        <v>58079010</v>
      </c>
      <c r="AD98" s="21" t="s">
        <v>201</v>
      </c>
      <c r="AE98" s="21">
        <v>1</v>
      </c>
      <c r="AF98" s="21">
        <v>3.68</v>
      </c>
      <c r="AG98" s="21" t="s">
        <v>202</v>
      </c>
    </row>
    <row r="99" spans="1:33" x14ac:dyDescent="0.25">
      <c r="A99" s="22"/>
      <c r="B99" s="23">
        <v>46334</v>
      </c>
      <c r="C99" s="21" t="s">
        <v>663</v>
      </c>
      <c r="D99" s="21" t="s">
        <v>1247</v>
      </c>
      <c r="E99" s="21" t="s">
        <v>841</v>
      </c>
      <c r="F99" s="21" t="s">
        <v>1248</v>
      </c>
      <c r="G99" s="21" t="s">
        <v>840</v>
      </c>
      <c r="H99" s="23">
        <v>46303</v>
      </c>
      <c r="I99" s="21" t="s">
        <v>169</v>
      </c>
      <c r="J99" s="21" t="s">
        <v>179</v>
      </c>
      <c r="K99" s="21" t="s">
        <v>155</v>
      </c>
      <c r="L99" s="21" t="s">
        <v>203</v>
      </c>
      <c r="M99" s="21" t="s">
        <v>183</v>
      </c>
      <c r="N99" s="21">
        <v>215</v>
      </c>
      <c r="O99" s="33">
        <v>34290.35</v>
      </c>
      <c r="P99" s="21" t="s">
        <v>183</v>
      </c>
      <c r="Q99" s="21">
        <v>684708.3</v>
      </c>
      <c r="R99" s="21">
        <v>9</v>
      </c>
      <c r="S99" s="21">
        <v>3086.13</v>
      </c>
      <c r="T99" s="21">
        <v>9</v>
      </c>
      <c r="U99" s="21">
        <v>3086.13</v>
      </c>
      <c r="V99" s="21">
        <v>0</v>
      </c>
      <c r="W99" s="21">
        <v>0</v>
      </c>
      <c r="X99" s="21">
        <v>0</v>
      </c>
      <c r="Y99" s="21">
        <v>6172.26</v>
      </c>
      <c r="Z99" s="21">
        <v>0</v>
      </c>
      <c r="AA99" s="21" t="s">
        <v>185</v>
      </c>
      <c r="AB99" s="21" t="s">
        <v>168</v>
      </c>
      <c r="AC99" s="21">
        <v>39269080</v>
      </c>
      <c r="AD99" s="21" t="s">
        <v>201</v>
      </c>
      <c r="AE99" s="21">
        <v>1</v>
      </c>
      <c r="AF99" s="21">
        <v>215</v>
      </c>
      <c r="AG99" s="21" t="s">
        <v>202</v>
      </c>
    </row>
    <row r="100" spans="1:33" x14ac:dyDescent="0.25">
      <c r="A100" s="22"/>
      <c r="B100" s="23">
        <v>46334</v>
      </c>
      <c r="C100" s="21" t="s">
        <v>663</v>
      </c>
      <c r="D100" s="21" t="s">
        <v>1247</v>
      </c>
      <c r="E100" s="21" t="s">
        <v>841</v>
      </c>
      <c r="F100" s="21" t="s">
        <v>1248</v>
      </c>
      <c r="G100" s="21" t="s">
        <v>840</v>
      </c>
      <c r="H100" s="23">
        <v>46303</v>
      </c>
      <c r="I100" s="21" t="s">
        <v>169</v>
      </c>
      <c r="J100" s="21" t="s">
        <v>179</v>
      </c>
      <c r="K100" s="21" t="s">
        <v>155</v>
      </c>
      <c r="L100" s="21" t="s">
        <v>203</v>
      </c>
      <c r="M100" s="21" t="s">
        <v>183</v>
      </c>
      <c r="N100" s="33">
        <v>3492</v>
      </c>
      <c r="O100" s="33">
        <v>546463.07999999996</v>
      </c>
      <c r="P100" s="21" t="s">
        <v>183</v>
      </c>
      <c r="Q100" s="21">
        <v>0</v>
      </c>
      <c r="R100" s="21">
        <v>9</v>
      </c>
      <c r="S100" s="21">
        <v>49181.68</v>
      </c>
      <c r="T100" s="21">
        <v>9</v>
      </c>
      <c r="U100" s="21">
        <v>49181.68</v>
      </c>
      <c r="V100" s="21">
        <v>0</v>
      </c>
      <c r="W100" s="21">
        <v>0</v>
      </c>
      <c r="X100" s="21">
        <v>0</v>
      </c>
      <c r="Y100" s="21">
        <v>98363.36</v>
      </c>
      <c r="Z100" s="21">
        <v>0</v>
      </c>
      <c r="AA100" s="21" t="s">
        <v>185</v>
      </c>
      <c r="AB100" s="21" t="s">
        <v>168</v>
      </c>
      <c r="AC100" s="21">
        <v>39269080</v>
      </c>
      <c r="AD100" s="21" t="s">
        <v>201</v>
      </c>
      <c r="AE100" s="21">
        <v>1</v>
      </c>
      <c r="AF100" s="33">
        <v>3492</v>
      </c>
      <c r="AG100" s="21" t="s">
        <v>202</v>
      </c>
    </row>
    <row r="101" spans="1:33" x14ac:dyDescent="0.25">
      <c r="A101" s="22"/>
      <c r="B101" s="23">
        <v>46334</v>
      </c>
      <c r="C101" s="21" t="s">
        <v>633</v>
      </c>
      <c r="D101" s="21" t="s">
        <v>1247</v>
      </c>
      <c r="E101" s="21" t="s">
        <v>837</v>
      </c>
      <c r="F101" s="21" t="s">
        <v>1248</v>
      </c>
      <c r="G101" s="21" t="s">
        <v>836</v>
      </c>
      <c r="H101" s="23">
        <v>46334</v>
      </c>
      <c r="I101" s="21" t="s">
        <v>188</v>
      </c>
      <c r="J101" s="21" t="s">
        <v>152</v>
      </c>
      <c r="K101" s="21" t="s">
        <v>152</v>
      </c>
      <c r="L101" s="21" t="s">
        <v>200</v>
      </c>
      <c r="M101" s="21" t="s">
        <v>187</v>
      </c>
      <c r="N101" s="33">
        <v>1314</v>
      </c>
      <c r="O101" s="33">
        <v>292601.52</v>
      </c>
      <c r="P101" s="21" t="s">
        <v>187</v>
      </c>
      <c r="Q101" s="21">
        <v>2083837.48</v>
      </c>
      <c r="R101" s="21">
        <v>9</v>
      </c>
      <c r="S101" s="21">
        <v>26334.14</v>
      </c>
      <c r="T101" s="21">
        <v>9</v>
      </c>
      <c r="U101" s="21">
        <v>26334.14</v>
      </c>
      <c r="V101" s="21">
        <v>0</v>
      </c>
      <c r="W101" s="21">
        <v>0</v>
      </c>
      <c r="X101" s="21">
        <v>0</v>
      </c>
      <c r="Y101" s="21">
        <v>52668.28</v>
      </c>
      <c r="Z101" s="21">
        <v>0</v>
      </c>
      <c r="AA101" s="21" t="s">
        <v>176</v>
      </c>
      <c r="AB101" s="21" t="s">
        <v>168</v>
      </c>
      <c r="AC101" s="21">
        <v>63053200</v>
      </c>
      <c r="AD101" s="21" t="s">
        <v>201</v>
      </c>
      <c r="AE101" s="21">
        <v>1</v>
      </c>
      <c r="AF101" s="33">
        <v>1314</v>
      </c>
      <c r="AG101" s="21" t="s">
        <v>202</v>
      </c>
    </row>
    <row r="102" spans="1:33" x14ac:dyDescent="0.25">
      <c r="A102" s="22"/>
      <c r="B102" s="23">
        <v>46334</v>
      </c>
      <c r="C102" s="21" t="s">
        <v>633</v>
      </c>
      <c r="D102" s="21" t="s">
        <v>1247</v>
      </c>
      <c r="E102" s="21" t="s">
        <v>837</v>
      </c>
      <c r="F102" s="21" t="s">
        <v>1248</v>
      </c>
      <c r="G102" s="21" t="s">
        <v>836</v>
      </c>
      <c r="H102" s="23">
        <v>46334</v>
      </c>
      <c r="I102" s="21" t="s">
        <v>188</v>
      </c>
      <c r="J102" s="21" t="s">
        <v>152</v>
      </c>
      <c r="K102" s="21" t="s">
        <v>152</v>
      </c>
      <c r="L102" s="21" t="s">
        <v>200</v>
      </c>
      <c r="M102" s="21" t="s">
        <v>187</v>
      </c>
      <c r="N102" s="33">
        <v>2644</v>
      </c>
      <c r="O102" s="33">
        <v>585275.84</v>
      </c>
      <c r="P102" s="21" t="s">
        <v>187</v>
      </c>
      <c r="Q102" s="21">
        <v>0</v>
      </c>
      <c r="R102" s="21">
        <v>9</v>
      </c>
      <c r="S102" s="21">
        <v>52674.83</v>
      </c>
      <c r="T102" s="21">
        <v>9</v>
      </c>
      <c r="U102" s="21">
        <v>52674.83</v>
      </c>
      <c r="V102" s="21">
        <v>0</v>
      </c>
      <c r="W102" s="21">
        <v>0</v>
      </c>
      <c r="X102" s="21">
        <v>0</v>
      </c>
      <c r="Y102" s="21">
        <v>105349.66</v>
      </c>
      <c r="Z102" s="21">
        <v>0</v>
      </c>
      <c r="AA102" s="21" t="s">
        <v>176</v>
      </c>
      <c r="AB102" s="21" t="s">
        <v>168</v>
      </c>
      <c r="AC102" s="21">
        <v>63053200</v>
      </c>
      <c r="AD102" s="21" t="s">
        <v>201</v>
      </c>
      <c r="AE102" s="21">
        <v>1</v>
      </c>
      <c r="AF102" s="33">
        <v>2644</v>
      </c>
      <c r="AG102" s="21" t="s">
        <v>202</v>
      </c>
    </row>
    <row r="103" spans="1:33" x14ac:dyDescent="0.25">
      <c r="A103" s="22"/>
      <c r="B103" s="23">
        <v>46334</v>
      </c>
      <c r="C103" s="21" t="s">
        <v>633</v>
      </c>
      <c r="D103" s="21" t="s">
        <v>1247</v>
      </c>
      <c r="E103" s="21" t="s">
        <v>837</v>
      </c>
      <c r="F103" s="21" t="s">
        <v>1248</v>
      </c>
      <c r="G103" s="21" t="s">
        <v>836</v>
      </c>
      <c r="H103" s="23">
        <v>46334</v>
      </c>
      <c r="I103" s="21" t="s">
        <v>188</v>
      </c>
      <c r="J103" s="21" t="s">
        <v>152</v>
      </c>
      <c r="K103" s="21" t="s">
        <v>152</v>
      </c>
      <c r="L103" s="21" t="s">
        <v>200</v>
      </c>
      <c r="M103" s="21" t="s">
        <v>187</v>
      </c>
      <c r="N103" s="21">
        <v>456</v>
      </c>
      <c r="O103" s="33">
        <v>100475.04</v>
      </c>
      <c r="P103" s="21" t="s">
        <v>187</v>
      </c>
      <c r="Q103" s="21">
        <v>0</v>
      </c>
      <c r="R103" s="21">
        <v>9</v>
      </c>
      <c r="S103" s="21">
        <v>9042.75</v>
      </c>
      <c r="T103" s="21">
        <v>9</v>
      </c>
      <c r="U103" s="21">
        <v>9042.75</v>
      </c>
      <c r="V103" s="21">
        <v>0</v>
      </c>
      <c r="W103" s="21">
        <v>0</v>
      </c>
      <c r="X103" s="21">
        <v>0</v>
      </c>
      <c r="Y103" s="21">
        <v>18085.5</v>
      </c>
      <c r="Z103" s="21">
        <v>0</v>
      </c>
      <c r="AA103" s="21" t="s">
        <v>176</v>
      </c>
      <c r="AB103" s="21" t="s">
        <v>168</v>
      </c>
      <c r="AC103" s="21">
        <v>63053200</v>
      </c>
      <c r="AD103" s="21" t="s">
        <v>201</v>
      </c>
      <c r="AE103" s="21">
        <v>1</v>
      </c>
      <c r="AF103" s="21">
        <v>456</v>
      </c>
      <c r="AG103" s="21" t="s">
        <v>202</v>
      </c>
    </row>
    <row r="104" spans="1:33" x14ac:dyDescent="0.25">
      <c r="A104" s="22"/>
      <c r="B104" s="23">
        <v>46334</v>
      </c>
      <c r="C104" s="21" t="s">
        <v>633</v>
      </c>
      <c r="D104" s="21" t="s">
        <v>1247</v>
      </c>
      <c r="E104" s="21" t="s">
        <v>837</v>
      </c>
      <c r="F104" s="21" t="s">
        <v>1248</v>
      </c>
      <c r="G104" s="21" t="s">
        <v>836</v>
      </c>
      <c r="H104" s="23">
        <v>46334</v>
      </c>
      <c r="I104" s="21" t="s">
        <v>188</v>
      </c>
      <c r="J104" s="21" t="s">
        <v>152</v>
      </c>
      <c r="K104" s="21" t="s">
        <v>152</v>
      </c>
      <c r="L104" s="21" t="s">
        <v>200</v>
      </c>
      <c r="M104" s="21" t="s">
        <v>187</v>
      </c>
      <c r="N104" s="33">
        <v>2224</v>
      </c>
      <c r="O104" s="33">
        <v>487834.4</v>
      </c>
      <c r="P104" s="21" t="s">
        <v>187</v>
      </c>
      <c r="Q104" s="21">
        <v>0</v>
      </c>
      <c r="R104" s="21">
        <v>9</v>
      </c>
      <c r="S104" s="21">
        <v>43905.1</v>
      </c>
      <c r="T104" s="21">
        <v>9</v>
      </c>
      <c r="U104" s="21">
        <v>43905.1</v>
      </c>
      <c r="V104" s="21">
        <v>0</v>
      </c>
      <c r="W104" s="21">
        <v>0</v>
      </c>
      <c r="X104" s="21">
        <v>0</v>
      </c>
      <c r="Y104" s="21">
        <v>87810.2</v>
      </c>
      <c r="Z104" s="21">
        <v>0</v>
      </c>
      <c r="AA104" s="21" t="s">
        <v>176</v>
      </c>
      <c r="AB104" s="21" t="s">
        <v>168</v>
      </c>
      <c r="AC104" s="21">
        <v>63053200</v>
      </c>
      <c r="AD104" s="21" t="s">
        <v>201</v>
      </c>
      <c r="AE104" s="21">
        <v>1</v>
      </c>
      <c r="AF104" s="33">
        <v>2224</v>
      </c>
      <c r="AG104" s="21" t="s">
        <v>202</v>
      </c>
    </row>
    <row r="105" spans="1:33" x14ac:dyDescent="0.25">
      <c r="A105" s="22"/>
      <c r="B105" s="23">
        <v>46334</v>
      </c>
      <c r="C105" s="21" t="s">
        <v>633</v>
      </c>
      <c r="D105" s="21" t="s">
        <v>1247</v>
      </c>
      <c r="E105" s="21" t="s">
        <v>837</v>
      </c>
      <c r="F105" s="21" t="s">
        <v>1248</v>
      </c>
      <c r="G105" s="21" t="s">
        <v>836</v>
      </c>
      <c r="H105" s="23">
        <v>46334</v>
      </c>
      <c r="I105" s="21" t="s">
        <v>188</v>
      </c>
      <c r="J105" s="21" t="s">
        <v>152</v>
      </c>
      <c r="K105" s="21" t="s">
        <v>152</v>
      </c>
      <c r="L105" s="21" t="s">
        <v>200</v>
      </c>
      <c r="M105" s="21" t="s">
        <v>187</v>
      </c>
      <c r="N105" s="33">
        <v>1339</v>
      </c>
      <c r="O105" s="33">
        <v>301275</v>
      </c>
      <c r="P105" s="21" t="s">
        <v>187</v>
      </c>
      <c r="Q105" s="21">
        <v>0</v>
      </c>
      <c r="R105" s="21">
        <v>9</v>
      </c>
      <c r="S105" s="21">
        <v>27114.75</v>
      </c>
      <c r="T105" s="21">
        <v>9</v>
      </c>
      <c r="U105" s="21">
        <v>27114.75</v>
      </c>
      <c r="V105" s="21">
        <v>0</v>
      </c>
      <c r="W105" s="21">
        <v>0</v>
      </c>
      <c r="X105" s="21">
        <v>0</v>
      </c>
      <c r="Y105" s="21">
        <v>54229.5</v>
      </c>
      <c r="Z105" s="21">
        <v>0</v>
      </c>
      <c r="AA105" s="21" t="s">
        <v>176</v>
      </c>
      <c r="AB105" s="21" t="s">
        <v>168</v>
      </c>
      <c r="AC105" s="21">
        <v>63053200</v>
      </c>
      <c r="AD105" s="21" t="s">
        <v>201</v>
      </c>
      <c r="AE105" s="21">
        <v>1</v>
      </c>
      <c r="AF105" s="33">
        <v>1339</v>
      </c>
      <c r="AG105" s="21" t="s">
        <v>202</v>
      </c>
    </row>
    <row r="106" spans="1:33" x14ac:dyDescent="0.25">
      <c r="A106" s="22"/>
      <c r="B106" s="23">
        <v>46364</v>
      </c>
      <c r="C106" s="21" t="s">
        <v>677</v>
      </c>
      <c r="D106" s="21" t="s">
        <v>1247</v>
      </c>
      <c r="E106" s="21" t="s">
        <v>853</v>
      </c>
      <c r="F106" s="21" t="s">
        <v>1248</v>
      </c>
      <c r="G106" s="21" t="s">
        <v>852</v>
      </c>
      <c r="H106" s="23">
        <v>46334</v>
      </c>
      <c r="I106" s="21" t="s">
        <v>169</v>
      </c>
      <c r="J106" s="21" t="s">
        <v>170</v>
      </c>
      <c r="K106" s="21" t="s">
        <v>157</v>
      </c>
      <c r="L106" s="21" t="s">
        <v>225</v>
      </c>
      <c r="M106" s="21" t="s">
        <v>312</v>
      </c>
      <c r="N106" s="35">
        <v>375</v>
      </c>
      <c r="O106" s="33">
        <v>58650</v>
      </c>
      <c r="P106" s="21" t="s">
        <v>312</v>
      </c>
      <c r="Q106" s="21">
        <v>358322.68</v>
      </c>
      <c r="R106" s="21">
        <v>2.5</v>
      </c>
      <c r="S106" s="21">
        <v>1466.25</v>
      </c>
      <c r="T106" s="21">
        <v>2.5</v>
      </c>
      <c r="U106" s="21">
        <v>1466.25</v>
      </c>
      <c r="V106" s="21">
        <v>0</v>
      </c>
      <c r="W106" s="21">
        <v>0</v>
      </c>
      <c r="X106" s="21">
        <v>0</v>
      </c>
      <c r="Y106" s="21">
        <v>2932.5</v>
      </c>
      <c r="Z106" s="21">
        <v>0</v>
      </c>
      <c r="AA106" s="21" t="s">
        <v>171</v>
      </c>
      <c r="AB106" s="21" t="s">
        <v>168</v>
      </c>
      <c r="AC106" s="21">
        <v>54026930</v>
      </c>
      <c r="AD106" s="21" t="s">
        <v>201</v>
      </c>
      <c r="AE106" s="21">
        <v>1</v>
      </c>
      <c r="AF106" s="21">
        <v>375</v>
      </c>
      <c r="AG106" s="21" t="s">
        <v>202</v>
      </c>
    </row>
    <row r="107" spans="1:33" x14ac:dyDescent="0.25">
      <c r="A107" s="22"/>
      <c r="B107" s="23">
        <v>46364</v>
      </c>
      <c r="C107" s="21" t="s">
        <v>677</v>
      </c>
      <c r="D107" s="21" t="s">
        <v>1247</v>
      </c>
      <c r="E107" s="21" t="s">
        <v>853</v>
      </c>
      <c r="F107" s="21" t="s">
        <v>1248</v>
      </c>
      <c r="G107" s="21" t="s">
        <v>852</v>
      </c>
      <c r="H107" s="23">
        <v>46334</v>
      </c>
      <c r="I107" s="21" t="s">
        <v>169</v>
      </c>
      <c r="J107" s="21" t="s">
        <v>170</v>
      </c>
      <c r="K107" s="21" t="s">
        <v>157</v>
      </c>
      <c r="L107" s="21" t="s">
        <v>225</v>
      </c>
      <c r="M107" s="21" t="s">
        <v>745</v>
      </c>
      <c r="N107" s="37">
        <v>1775</v>
      </c>
      <c r="O107" s="33">
        <v>282935</v>
      </c>
      <c r="P107" s="21" t="s">
        <v>745</v>
      </c>
      <c r="Q107" s="21">
        <v>0</v>
      </c>
      <c r="R107" s="21">
        <v>2.5</v>
      </c>
      <c r="S107" s="21">
        <v>7073.38</v>
      </c>
      <c r="T107" s="21">
        <v>2.5</v>
      </c>
      <c r="U107" s="21">
        <v>7073.38</v>
      </c>
      <c r="V107" s="21">
        <v>0</v>
      </c>
      <c r="W107" s="21">
        <v>0</v>
      </c>
      <c r="X107" s="21">
        <v>0</v>
      </c>
      <c r="Y107" s="21">
        <v>14146.76</v>
      </c>
      <c r="Z107" s="21">
        <v>0</v>
      </c>
      <c r="AA107" s="21" t="s">
        <v>171</v>
      </c>
      <c r="AB107" s="21" t="s">
        <v>168</v>
      </c>
      <c r="AC107" s="21">
        <v>54026930</v>
      </c>
      <c r="AD107" s="21" t="s">
        <v>201</v>
      </c>
      <c r="AE107" s="21">
        <v>1</v>
      </c>
      <c r="AF107" s="33">
        <v>1775</v>
      </c>
      <c r="AG107" s="21" t="s">
        <v>202</v>
      </c>
    </row>
    <row r="108" spans="1:33" x14ac:dyDescent="0.25">
      <c r="A108" s="22"/>
      <c r="B108" s="23">
        <v>46364</v>
      </c>
      <c r="C108" s="21" t="s">
        <v>633</v>
      </c>
      <c r="D108" s="21" t="s">
        <v>1247</v>
      </c>
      <c r="E108" s="21" t="s">
        <v>845</v>
      </c>
      <c r="F108" s="21" t="s">
        <v>1248</v>
      </c>
      <c r="G108" s="21" t="s">
        <v>844</v>
      </c>
      <c r="H108" s="23">
        <v>46334</v>
      </c>
      <c r="I108" s="21" t="s">
        <v>169</v>
      </c>
      <c r="J108" s="21" t="s">
        <v>179</v>
      </c>
      <c r="K108" s="21" t="s">
        <v>156</v>
      </c>
      <c r="L108" s="21" t="s">
        <v>211</v>
      </c>
      <c r="M108" s="21" t="s">
        <v>178</v>
      </c>
      <c r="N108" s="33">
        <v>3258</v>
      </c>
      <c r="O108" s="33">
        <v>486484.56</v>
      </c>
      <c r="P108" s="21" t="s">
        <v>178</v>
      </c>
      <c r="Q108" s="21">
        <v>950703.34</v>
      </c>
      <c r="R108" s="21">
        <v>9</v>
      </c>
      <c r="S108" s="21">
        <v>43783.61</v>
      </c>
      <c r="T108" s="21">
        <v>9</v>
      </c>
      <c r="U108" s="21">
        <v>43783.61</v>
      </c>
      <c r="V108" s="21">
        <v>0</v>
      </c>
      <c r="W108" s="21">
        <v>0</v>
      </c>
      <c r="X108" s="21">
        <v>0</v>
      </c>
      <c r="Y108" s="21">
        <v>87567.22</v>
      </c>
      <c r="Z108" s="21">
        <v>0</v>
      </c>
      <c r="AA108" s="21" t="s">
        <v>176</v>
      </c>
      <c r="AB108" s="21" t="s">
        <v>168</v>
      </c>
      <c r="AC108" s="21">
        <v>63053300</v>
      </c>
      <c r="AD108" s="21" t="s">
        <v>201</v>
      </c>
      <c r="AE108" s="21">
        <v>1</v>
      </c>
      <c r="AF108" s="33">
        <v>3258</v>
      </c>
      <c r="AG108" s="21" t="s">
        <v>202</v>
      </c>
    </row>
    <row r="109" spans="1:33" x14ac:dyDescent="0.25">
      <c r="A109" s="22"/>
      <c r="B109" s="23">
        <v>46364</v>
      </c>
      <c r="C109" s="21" t="s">
        <v>633</v>
      </c>
      <c r="D109" s="21" t="s">
        <v>1247</v>
      </c>
      <c r="E109" s="21" t="s">
        <v>845</v>
      </c>
      <c r="F109" s="21" t="s">
        <v>1248</v>
      </c>
      <c r="G109" s="21" t="s">
        <v>844</v>
      </c>
      <c r="H109" s="23">
        <v>46334</v>
      </c>
      <c r="I109" s="21" t="s">
        <v>169</v>
      </c>
      <c r="J109" s="21" t="s">
        <v>181</v>
      </c>
      <c r="K109" s="21" t="s">
        <v>154</v>
      </c>
      <c r="L109" s="21" t="s">
        <v>154</v>
      </c>
      <c r="M109" s="21" t="s">
        <v>181</v>
      </c>
      <c r="N109" s="21">
        <v>769.9</v>
      </c>
      <c r="O109" s="33">
        <v>113421.66</v>
      </c>
      <c r="P109" s="21" t="s">
        <v>181</v>
      </c>
      <c r="Q109" s="21">
        <v>0</v>
      </c>
      <c r="R109" s="21">
        <v>9</v>
      </c>
      <c r="S109" s="21">
        <v>10207.950000000001</v>
      </c>
      <c r="T109" s="21">
        <v>9</v>
      </c>
      <c r="U109" s="21">
        <v>10207.950000000001</v>
      </c>
      <c r="V109" s="21">
        <v>0</v>
      </c>
      <c r="W109" s="21">
        <v>0</v>
      </c>
      <c r="X109" s="21">
        <v>0</v>
      </c>
      <c r="Y109" s="21">
        <v>20415.900000000001</v>
      </c>
      <c r="Z109" s="21">
        <v>0</v>
      </c>
      <c r="AA109" s="21" t="s">
        <v>176</v>
      </c>
      <c r="AB109" s="21" t="s">
        <v>168</v>
      </c>
      <c r="AC109" s="21">
        <v>3926908</v>
      </c>
      <c r="AD109" s="21" t="s">
        <v>201</v>
      </c>
      <c r="AE109" s="21">
        <v>1</v>
      </c>
      <c r="AF109" s="21">
        <v>769.9</v>
      </c>
      <c r="AG109" s="21" t="s">
        <v>202</v>
      </c>
    </row>
    <row r="110" spans="1:33" x14ac:dyDescent="0.25">
      <c r="A110" s="22"/>
      <c r="B110" s="23">
        <v>46364</v>
      </c>
      <c r="C110" s="21" t="s">
        <v>633</v>
      </c>
      <c r="D110" s="21" t="s">
        <v>1247</v>
      </c>
      <c r="E110" s="21" t="s">
        <v>845</v>
      </c>
      <c r="F110" s="21" t="s">
        <v>1248</v>
      </c>
      <c r="G110" s="21" t="s">
        <v>844</v>
      </c>
      <c r="H110" s="23">
        <v>46334</v>
      </c>
      <c r="I110" s="21" t="s">
        <v>169</v>
      </c>
      <c r="J110" s="21" t="s">
        <v>181</v>
      </c>
      <c r="K110" s="21" t="s">
        <v>154</v>
      </c>
      <c r="L110" s="21" t="s">
        <v>154</v>
      </c>
      <c r="M110" s="21" t="s">
        <v>181</v>
      </c>
      <c r="N110" s="21">
        <v>697.5</v>
      </c>
      <c r="O110" s="33">
        <v>100663.22</v>
      </c>
      <c r="P110" s="21" t="s">
        <v>181</v>
      </c>
      <c r="Q110" s="21">
        <v>0</v>
      </c>
      <c r="R110" s="21">
        <v>9</v>
      </c>
      <c r="S110" s="21">
        <v>9059.69</v>
      </c>
      <c r="T110" s="21">
        <v>9</v>
      </c>
      <c r="U110" s="21">
        <v>9059.69</v>
      </c>
      <c r="V110" s="21">
        <v>0</v>
      </c>
      <c r="W110" s="21">
        <v>0</v>
      </c>
      <c r="X110" s="21">
        <v>0</v>
      </c>
      <c r="Y110" s="21">
        <v>18119.38</v>
      </c>
      <c r="Z110" s="21">
        <v>0</v>
      </c>
      <c r="AA110" s="21" t="s">
        <v>176</v>
      </c>
      <c r="AB110" s="21" t="s">
        <v>168</v>
      </c>
      <c r="AC110" s="21">
        <v>3926908</v>
      </c>
      <c r="AD110" s="21" t="s">
        <v>201</v>
      </c>
      <c r="AE110" s="21">
        <v>1</v>
      </c>
      <c r="AF110" s="21">
        <v>697.5</v>
      </c>
      <c r="AG110" s="21" t="s">
        <v>202</v>
      </c>
    </row>
    <row r="111" spans="1:33" x14ac:dyDescent="0.25">
      <c r="A111" s="22"/>
      <c r="B111" s="23">
        <v>46364</v>
      </c>
      <c r="C111" s="21" t="s">
        <v>633</v>
      </c>
      <c r="D111" s="21" t="s">
        <v>1247</v>
      </c>
      <c r="E111" s="21" t="s">
        <v>845</v>
      </c>
      <c r="F111" s="21" t="s">
        <v>1248</v>
      </c>
      <c r="G111" s="21" t="s">
        <v>844</v>
      </c>
      <c r="H111" s="23">
        <v>46334</v>
      </c>
      <c r="I111" s="21" t="s">
        <v>169</v>
      </c>
      <c r="J111" s="21" t="s">
        <v>175</v>
      </c>
      <c r="K111" s="21" t="s">
        <v>159</v>
      </c>
      <c r="L111" s="21" t="s">
        <v>159</v>
      </c>
      <c r="M111" s="21" t="s">
        <v>173</v>
      </c>
      <c r="N111" s="21">
        <v>487</v>
      </c>
      <c r="O111" s="33">
        <v>97818.82</v>
      </c>
      <c r="P111" s="21" t="s">
        <v>173</v>
      </c>
      <c r="Q111" s="21">
        <v>0</v>
      </c>
      <c r="R111" s="21">
        <v>9</v>
      </c>
      <c r="S111" s="21">
        <v>8803.69</v>
      </c>
      <c r="T111" s="21">
        <v>9</v>
      </c>
      <c r="U111" s="21">
        <v>8803.69</v>
      </c>
      <c r="V111" s="21">
        <v>0</v>
      </c>
      <c r="W111" s="21">
        <v>0</v>
      </c>
      <c r="X111" s="21">
        <v>0</v>
      </c>
      <c r="Y111" s="21">
        <v>17607.38</v>
      </c>
      <c r="Z111" s="21">
        <v>0</v>
      </c>
      <c r="AA111" s="21" t="s">
        <v>176</v>
      </c>
      <c r="AB111" s="21" t="s">
        <v>168</v>
      </c>
      <c r="AC111" s="21">
        <v>39200000</v>
      </c>
      <c r="AD111" s="21" t="s">
        <v>201</v>
      </c>
      <c r="AE111" s="21">
        <v>1</v>
      </c>
      <c r="AF111" s="21">
        <v>487</v>
      </c>
      <c r="AG111" s="21" t="s">
        <v>202</v>
      </c>
    </row>
    <row r="112" spans="1:33" x14ac:dyDescent="0.25">
      <c r="A112" s="22"/>
      <c r="B112" s="23">
        <v>46364</v>
      </c>
      <c r="C112" s="21" t="s">
        <v>633</v>
      </c>
      <c r="D112" s="21" t="s">
        <v>1247</v>
      </c>
      <c r="E112" s="21" t="s">
        <v>845</v>
      </c>
      <c r="F112" s="21" t="s">
        <v>1248</v>
      </c>
      <c r="G112" s="21" t="s">
        <v>844</v>
      </c>
      <c r="H112" s="23">
        <v>46334</v>
      </c>
      <c r="I112" s="21" t="s">
        <v>169</v>
      </c>
      <c r="J112" s="21" t="s">
        <v>197</v>
      </c>
      <c r="K112" s="21" t="s">
        <v>158</v>
      </c>
      <c r="L112" s="21" t="s">
        <v>213</v>
      </c>
      <c r="M112" s="21" t="s">
        <v>196</v>
      </c>
      <c r="N112" s="21">
        <v>47.8</v>
      </c>
      <c r="O112" s="33">
        <v>7975.9</v>
      </c>
      <c r="P112" s="21" t="s">
        <v>196</v>
      </c>
      <c r="Q112" s="21">
        <v>0</v>
      </c>
      <c r="R112" s="21">
        <v>9</v>
      </c>
      <c r="S112" s="21">
        <v>717.83</v>
      </c>
      <c r="T112" s="21">
        <v>9</v>
      </c>
      <c r="U112" s="21">
        <v>717.83</v>
      </c>
      <c r="V112" s="21">
        <v>0</v>
      </c>
      <c r="W112" s="21">
        <v>0</v>
      </c>
      <c r="X112" s="21">
        <v>0</v>
      </c>
      <c r="Y112" s="21">
        <v>1435.66</v>
      </c>
      <c r="Z112" s="21">
        <v>0</v>
      </c>
      <c r="AA112" s="21" t="s">
        <v>176</v>
      </c>
      <c r="AB112" s="21" t="s">
        <v>168</v>
      </c>
      <c r="AC112" s="21">
        <v>3920101</v>
      </c>
      <c r="AD112" s="21" t="s">
        <v>201</v>
      </c>
      <c r="AE112" s="21">
        <v>1</v>
      </c>
      <c r="AF112" s="21">
        <v>47.8</v>
      </c>
      <c r="AG112" s="21" t="s">
        <v>202</v>
      </c>
    </row>
    <row r="113" spans="1:33" x14ac:dyDescent="0.25">
      <c r="A113" s="22"/>
      <c r="B113" s="23">
        <v>46364</v>
      </c>
      <c r="C113" s="21" t="s">
        <v>633</v>
      </c>
      <c r="D113" s="21" t="s">
        <v>1247</v>
      </c>
      <c r="E113" s="21" t="s">
        <v>849</v>
      </c>
      <c r="F113" s="21" t="s">
        <v>1248</v>
      </c>
      <c r="G113" s="21" t="s">
        <v>848</v>
      </c>
      <c r="H113" s="23">
        <v>46364</v>
      </c>
      <c r="I113" s="21" t="s">
        <v>169</v>
      </c>
      <c r="J113" s="21" t="s">
        <v>179</v>
      </c>
      <c r="K113" s="21" t="s">
        <v>155</v>
      </c>
      <c r="L113" s="21" t="s">
        <v>203</v>
      </c>
      <c r="M113" s="21" t="s">
        <v>183</v>
      </c>
      <c r="N113" s="33">
        <v>2760</v>
      </c>
      <c r="O113" s="33">
        <v>392803.2</v>
      </c>
      <c r="P113" s="21" t="s">
        <v>183</v>
      </c>
      <c r="Q113" s="21">
        <v>463114.98</v>
      </c>
      <c r="R113" s="21">
        <v>9</v>
      </c>
      <c r="S113" s="21">
        <v>35352.29</v>
      </c>
      <c r="T113" s="21">
        <v>9</v>
      </c>
      <c r="U113" s="21">
        <v>35352.29</v>
      </c>
      <c r="V113" s="21">
        <v>0</v>
      </c>
      <c r="W113" s="21">
        <v>0</v>
      </c>
      <c r="X113" s="21">
        <v>0</v>
      </c>
      <c r="Y113" s="21">
        <v>70704.58</v>
      </c>
      <c r="Z113" s="21">
        <v>0</v>
      </c>
      <c r="AA113" s="21" t="s">
        <v>176</v>
      </c>
      <c r="AB113" s="21" t="s">
        <v>168</v>
      </c>
      <c r="AC113" s="21">
        <v>39269080</v>
      </c>
      <c r="AD113" s="21" t="s">
        <v>201</v>
      </c>
      <c r="AE113" s="21">
        <v>1</v>
      </c>
      <c r="AF113" s="33">
        <v>2760</v>
      </c>
      <c r="AG113" s="21" t="s">
        <v>202</v>
      </c>
    </row>
    <row r="114" spans="1:33" x14ac:dyDescent="0.25">
      <c r="A114" s="22"/>
      <c r="B114" s="23">
        <v>46364</v>
      </c>
      <c r="C114" s="21" t="s">
        <v>633</v>
      </c>
      <c r="D114" s="21" t="s">
        <v>1247</v>
      </c>
      <c r="E114" s="21" t="s">
        <v>862</v>
      </c>
      <c r="F114" s="21" t="s">
        <v>1248</v>
      </c>
      <c r="G114" s="21" t="s">
        <v>861</v>
      </c>
      <c r="H114" s="23">
        <v>46364</v>
      </c>
      <c r="I114" s="21" t="s">
        <v>169</v>
      </c>
      <c r="J114" s="21" t="s">
        <v>175</v>
      </c>
      <c r="K114" s="21" t="s">
        <v>159</v>
      </c>
      <c r="L114" s="21" t="s">
        <v>159</v>
      </c>
      <c r="M114" s="21" t="s">
        <v>173</v>
      </c>
      <c r="N114" s="21">
        <v>525</v>
      </c>
      <c r="O114" s="33">
        <v>96001.5</v>
      </c>
      <c r="P114" s="21" t="s">
        <v>173</v>
      </c>
      <c r="Q114" s="21">
        <v>949770.96</v>
      </c>
      <c r="R114" s="21">
        <v>9</v>
      </c>
      <c r="S114" s="21">
        <v>8640.14</v>
      </c>
      <c r="T114" s="21">
        <v>9</v>
      </c>
      <c r="U114" s="21">
        <v>8640.14</v>
      </c>
      <c r="V114" s="21">
        <v>0</v>
      </c>
      <c r="W114" s="21">
        <v>0</v>
      </c>
      <c r="X114" s="21">
        <v>0</v>
      </c>
      <c r="Y114" s="21">
        <v>17280.28</v>
      </c>
      <c r="Z114" s="21">
        <v>0</v>
      </c>
      <c r="AA114" s="21" t="s">
        <v>176</v>
      </c>
      <c r="AB114" s="21" t="s">
        <v>168</v>
      </c>
      <c r="AC114" s="21">
        <v>39200000</v>
      </c>
      <c r="AD114" s="21" t="s">
        <v>201</v>
      </c>
      <c r="AE114" s="21">
        <v>1</v>
      </c>
      <c r="AF114" s="21">
        <v>525</v>
      </c>
      <c r="AG114" s="21" t="s">
        <v>202</v>
      </c>
    </row>
    <row r="115" spans="1:33" x14ac:dyDescent="0.25">
      <c r="A115" s="22"/>
      <c r="B115" s="23">
        <v>46364</v>
      </c>
      <c r="C115" s="21" t="s">
        <v>633</v>
      </c>
      <c r="D115" s="21" t="s">
        <v>1247</v>
      </c>
      <c r="E115" s="21" t="s">
        <v>862</v>
      </c>
      <c r="F115" s="21" t="s">
        <v>1248</v>
      </c>
      <c r="G115" s="21" t="s">
        <v>861</v>
      </c>
      <c r="H115" s="23">
        <v>46364</v>
      </c>
      <c r="I115" s="21" t="s">
        <v>169</v>
      </c>
      <c r="J115" s="21" t="s">
        <v>179</v>
      </c>
      <c r="K115" s="21" t="s">
        <v>155</v>
      </c>
      <c r="L115" s="21" t="s">
        <v>203</v>
      </c>
      <c r="M115" s="21" t="s">
        <v>183</v>
      </c>
      <c r="N115" s="33">
        <v>1401</v>
      </c>
      <c r="O115" s="33">
        <v>199390.32</v>
      </c>
      <c r="P115" s="21" t="s">
        <v>183</v>
      </c>
      <c r="Q115" s="21">
        <v>0</v>
      </c>
      <c r="R115" s="21">
        <v>9</v>
      </c>
      <c r="S115" s="21">
        <v>17945.13</v>
      </c>
      <c r="T115" s="21">
        <v>9</v>
      </c>
      <c r="U115" s="21">
        <v>17945.13</v>
      </c>
      <c r="V115" s="21">
        <v>0</v>
      </c>
      <c r="W115" s="21">
        <v>0</v>
      </c>
      <c r="X115" s="21">
        <v>0</v>
      </c>
      <c r="Y115" s="21">
        <v>35890.26</v>
      </c>
      <c r="Z115" s="21">
        <v>0</v>
      </c>
      <c r="AA115" s="21" t="s">
        <v>176</v>
      </c>
      <c r="AB115" s="21" t="s">
        <v>168</v>
      </c>
      <c r="AC115" s="21">
        <v>39269080</v>
      </c>
      <c r="AD115" s="21" t="s">
        <v>201</v>
      </c>
      <c r="AE115" s="21">
        <v>1</v>
      </c>
      <c r="AF115" s="33">
        <v>1401</v>
      </c>
      <c r="AG115" s="21" t="s">
        <v>202</v>
      </c>
    </row>
    <row r="116" spans="1:33" x14ac:dyDescent="0.25">
      <c r="A116" s="22"/>
      <c r="B116" s="23">
        <v>46364</v>
      </c>
      <c r="C116" s="21" t="s">
        <v>633</v>
      </c>
      <c r="D116" s="21" t="s">
        <v>1247</v>
      </c>
      <c r="E116" s="21" t="s">
        <v>862</v>
      </c>
      <c r="F116" s="21" t="s">
        <v>1248</v>
      </c>
      <c r="G116" s="21" t="s">
        <v>861</v>
      </c>
      <c r="H116" s="23">
        <v>46364</v>
      </c>
      <c r="I116" s="21" t="s">
        <v>865</v>
      </c>
      <c r="J116" s="21" t="s">
        <v>866</v>
      </c>
      <c r="K116" s="21" t="s">
        <v>158</v>
      </c>
      <c r="L116" s="21" t="s">
        <v>213</v>
      </c>
      <c r="M116" s="21" t="s">
        <v>864</v>
      </c>
      <c r="N116" s="21">
        <v>34</v>
      </c>
      <c r="O116" s="33">
        <v>5270</v>
      </c>
      <c r="P116" s="21" t="s">
        <v>864</v>
      </c>
      <c r="Q116" s="21">
        <v>0</v>
      </c>
      <c r="R116" s="21">
        <v>9</v>
      </c>
      <c r="S116" s="21">
        <v>474.3</v>
      </c>
      <c r="T116" s="21">
        <v>9</v>
      </c>
      <c r="U116" s="21">
        <v>474.3</v>
      </c>
      <c r="V116" s="21">
        <v>0</v>
      </c>
      <c r="W116" s="21">
        <v>0</v>
      </c>
      <c r="X116" s="21">
        <v>0</v>
      </c>
      <c r="Y116" s="21">
        <v>948.6</v>
      </c>
      <c r="Z116" s="21">
        <v>0</v>
      </c>
      <c r="AA116" s="21" t="s">
        <v>176</v>
      </c>
      <c r="AB116" s="21" t="s">
        <v>184</v>
      </c>
      <c r="AC116" s="21">
        <v>84821011</v>
      </c>
      <c r="AD116" s="21" t="s">
        <v>201</v>
      </c>
      <c r="AE116" s="21">
        <v>1</v>
      </c>
      <c r="AF116" s="21">
        <v>34</v>
      </c>
      <c r="AG116" s="21" t="s">
        <v>202</v>
      </c>
    </row>
    <row r="117" spans="1:33" x14ac:dyDescent="0.25">
      <c r="A117" s="22"/>
      <c r="B117" s="23">
        <v>46364</v>
      </c>
      <c r="C117" s="21" t="s">
        <v>633</v>
      </c>
      <c r="D117" s="21" t="s">
        <v>1247</v>
      </c>
      <c r="E117" s="21" t="s">
        <v>862</v>
      </c>
      <c r="F117" s="21" t="s">
        <v>1248</v>
      </c>
      <c r="G117" s="21" t="s">
        <v>861</v>
      </c>
      <c r="H117" s="23">
        <v>46364</v>
      </c>
      <c r="I117" s="21" t="s">
        <v>169</v>
      </c>
      <c r="J117" s="21" t="s">
        <v>175</v>
      </c>
      <c r="K117" s="21" t="s">
        <v>159</v>
      </c>
      <c r="L117" s="21" t="s">
        <v>159</v>
      </c>
      <c r="M117" s="21" t="s">
        <v>228</v>
      </c>
      <c r="N117" s="21">
        <v>192.7</v>
      </c>
      <c r="O117" s="33">
        <v>23124</v>
      </c>
      <c r="P117" s="21" t="s">
        <v>228</v>
      </c>
      <c r="Q117" s="21">
        <v>0</v>
      </c>
      <c r="R117" s="21">
        <v>9</v>
      </c>
      <c r="S117" s="21">
        <v>2081.16</v>
      </c>
      <c r="T117" s="21">
        <v>9</v>
      </c>
      <c r="U117" s="21">
        <v>2081.16</v>
      </c>
      <c r="V117" s="21">
        <v>0</v>
      </c>
      <c r="W117" s="21">
        <v>0</v>
      </c>
      <c r="X117" s="21">
        <v>0</v>
      </c>
      <c r="Y117" s="21">
        <v>4162.32</v>
      </c>
      <c r="Z117" s="21">
        <v>0</v>
      </c>
      <c r="AA117" s="21" t="s">
        <v>176</v>
      </c>
      <c r="AB117" s="21" t="s">
        <v>168</v>
      </c>
      <c r="AC117" s="21">
        <v>3920101</v>
      </c>
      <c r="AD117" s="21" t="s">
        <v>201</v>
      </c>
      <c r="AE117" s="21">
        <v>1</v>
      </c>
      <c r="AF117" s="21">
        <v>192.7</v>
      </c>
      <c r="AG117" s="21" t="s">
        <v>202</v>
      </c>
    </row>
    <row r="118" spans="1:33" x14ac:dyDescent="0.25">
      <c r="A118" s="22"/>
      <c r="B118" s="23">
        <v>46364</v>
      </c>
      <c r="C118" s="21" t="s">
        <v>633</v>
      </c>
      <c r="D118" s="21" t="s">
        <v>1247</v>
      </c>
      <c r="E118" s="21" t="s">
        <v>862</v>
      </c>
      <c r="F118" s="21" t="s">
        <v>1248</v>
      </c>
      <c r="G118" s="21" t="s">
        <v>861</v>
      </c>
      <c r="H118" s="23">
        <v>46364</v>
      </c>
      <c r="I118" s="21" t="s">
        <v>169</v>
      </c>
      <c r="J118" s="21" t="s">
        <v>170</v>
      </c>
      <c r="K118" s="21" t="s">
        <v>157</v>
      </c>
      <c r="L118" s="21" t="s">
        <v>225</v>
      </c>
      <c r="M118" s="21" t="s">
        <v>705</v>
      </c>
      <c r="N118" s="35">
        <v>914.9</v>
      </c>
      <c r="O118" s="33">
        <v>141187.37</v>
      </c>
      <c r="P118" s="21" t="s">
        <v>705</v>
      </c>
      <c r="Q118" s="21">
        <v>0</v>
      </c>
      <c r="R118" s="21">
        <v>2.5</v>
      </c>
      <c r="S118" s="21">
        <v>3529.68</v>
      </c>
      <c r="T118" s="21">
        <v>2.5</v>
      </c>
      <c r="U118" s="21">
        <v>3529.68</v>
      </c>
      <c r="V118" s="21">
        <v>0</v>
      </c>
      <c r="W118" s="21">
        <v>0</v>
      </c>
      <c r="X118" s="21">
        <v>0</v>
      </c>
      <c r="Y118" s="21">
        <v>7059.36</v>
      </c>
      <c r="Z118" s="21">
        <v>0</v>
      </c>
      <c r="AA118" s="21" t="s">
        <v>176</v>
      </c>
      <c r="AB118" s="21" t="s">
        <v>184</v>
      </c>
      <c r="AC118" s="21">
        <v>54026930</v>
      </c>
      <c r="AD118" s="21" t="s">
        <v>201</v>
      </c>
      <c r="AE118" s="21">
        <v>1</v>
      </c>
      <c r="AF118" s="21">
        <v>914.9</v>
      </c>
      <c r="AG118" s="21" t="s">
        <v>202</v>
      </c>
    </row>
    <row r="119" spans="1:33" x14ac:dyDescent="0.25">
      <c r="A119" s="22"/>
      <c r="B119" s="23">
        <v>46364</v>
      </c>
      <c r="C119" s="21" t="s">
        <v>633</v>
      </c>
      <c r="D119" s="21" t="s">
        <v>1247</v>
      </c>
      <c r="E119" s="21" t="s">
        <v>862</v>
      </c>
      <c r="F119" s="21" t="s">
        <v>1248</v>
      </c>
      <c r="G119" s="21" t="s">
        <v>861</v>
      </c>
      <c r="H119" s="23">
        <v>46364</v>
      </c>
      <c r="I119" s="21" t="s">
        <v>169</v>
      </c>
      <c r="J119" s="21" t="s">
        <v>170</v>
      </c>
      <c r="K119" s="21" t="s">
        <v>157</v>
      </c>
      <c r="L119" s="21" t="s">
        <v>225</v>
      </c>
      <c r="M119" s="21" t="s">
        <v>727</v>
      </c>
      <c r="N119" s="35">
        <v>58.7</v>
      </c>
      <c r="O119" s="33">
        <v>9322.73</v>
      </c>
      <c r="P119" s="21" t="s">
        <v>727</v>
      </c>
      <c r="Q119" s="21">
        <v>0</v>
      </c>
      <c r="R119" s="21">
        <v>2.5</v>
      </c>
      <c r="S119" s="21">
        <v>233.07</v>
      </c>
      <c r="T119" s="21">
        <v>2.5</v>
      </c>
      <c r="U119" s="21">
        <v>233.07</v>
      </c>
      <c r="V119" s="21">
        <v>0</v>
      </c>
      <c r="W119" s="21">
        <v>0</v>
      </c>
      <c r="X119" s="21">
        <v>0</v>
      </c>
      <c r="Y119" s="21">
        <v>466.14</v>
      </c>
      <c r="Z119" s="21">
        <v>0</v>
      </c>
      <c r="AA119" s="21" t="s">
        <v>176</v>
      </c>
      <c r="AB119" s="21" t="s">
        <v>168</v>
      </c>
      <c r="AC119" s="21">
        <v>540269</v>
      </c>
      <c r="AD119" s="21" t="s">
        <v>201</v>
      </c>
      <c r="AE119" s="21">
        <v>1</v>
      </c>
      <c r="AF119" s="21">
        <v>58.7</v>
      </c>
      <c r="AG119" s="21" t="s">
        <v>202</v>
      </c>
    </row>
    <row r="120" spans="1:33" x14ac:dyDescent="0.25">
      <c r="A120" s="22"/>
      <c r="B120" s="23">
        <v>46364</v>
      </c>
      <c r="C120" s="21" t="s">
        <v>633</v>
      </c>
      <c r="D120" s="21" t="s">
        <v>1247</v>
      </c>
      <c r="E120" s="21" t="s">
        <v>862</v>
      </c>
      <c r="F120" s="21" t="s">
        <v>1248</v>
      </c>
      <c r="G120" s="21" t="s">
        <v>861</v>
      </c>
      <c r="H120" s="23">
        <v>46364</v>
      </c>
      <c r="I120" s="21" t="s">
        <v>169</v>
      </c>
      <c r="J120" s="21" t="s">
        <v>179</v>
      </c>
      <c r="K120" s="21" t="s">
        <v>156</v>
      </c>
      <c r="L120" s="21" t="s">
        <v>211</v>
      </c>
      <c r="M120" s="21" t="s">
        <v>178</v>
      </c>
      <c r="N120" s="33">
        <v>1540</v>
      </c>
      <c r="O120" s="33">
        <v>229952.8</v>
      </c>
      <c r="P120" s="21" t="s">
        <v>178</v>
      </c>
      <c r="Q120" s="21">
        <v>0</v>
      </c>
      <c r="R120" s="21">
        <v>9</v>
      </c>
      <c r="S120" s="21">
        <v>20695.75</v>
      </c>
      <c r="T120" s="21">
        <v>9</v>
      </c>
      <c r="U120" s="21">
        <v>20695.75</v>
      </c>
      <c r="V120" s="21">
        <v>0</v>
      </c>
      <c r="W120" s="21">
        <v>0</v>
      </c>
      <c r="X120" s="21">
        <v>0</v>
      </c>
      <c r="Y120" s="21">
        <v>41391.5</v>
      </c>
      <c r="Z120" s="21">
        <v>0</v>
      </c>
      <c r="AA120" s="21" t="s">
        <v>176</v>
      </c>
      <c r="AB120" s="21" t="s">
        <v>168</v>
      </c>
      <c r="AC120" s="21">
        <v>63053300</v>
      </c>
      <c r="AD120" s="21" t="s">
        <v>201</v>
      </c>
      <c r="AE120" s="21">
        <v>1</v>
      </c>
      <c r="AF120" s="33">
        <v>1540</v>
      </c>
      <c r="AG120" s="21" t="s">
        <v>202</v>
      </c>
    </row>
    <row r="121" spans="1:33" x14ac:dyDescent="0.25">
      <c r="A121" s="22"/>
      <c r="B121" s="23">
        <v>46364</v>
      </c>
      <c r="C121" s="21" t="s">
        <v>633</v>
      </c>
      <c r="D121" s="21" t="s">
        <v>1247</v>
      </c>
      <c r="E121" s="21" t="s">
        <v>862</v>
      </c>
      <c r="F121" s="21" t="s">
        <v>1248</v>
      </c>
      <c r="G121" s="21" t="s">
        <v>861</v>
      </c>
      <c r="H121" s="23">
        <v>46364</v>
      </c>
      <c r="I121" s="21" t="s">
        <v>169</v>
      </c>
      <c r="J121" s="21" t="s">
        <v>181</v>
      </c>
      <c r="K121" s="21" t="s">
        <v>154</v>
      </c>
      <c r="L121" s="21" t="s">
        <v>154</v>
      </c>
      <c r="M121" s="21" t="s">
        <v>181</v>
      </c>
      <c r="N121" s="21">
        <v>405.8</v>
      </c>
      <c r="O121" s="33">
        <v>58565.06</v>
      </c>
      <c r="P121" s="21" t="s">
        <v>181</v>
      </c>
      <c r="Q121" s="21">
        <v>0</v>
      </c>
      <c r="R121" s="21">
        <v>9</v>
      </c>
      <c r="S121" s="21">
        <v>5270.86</v>
      </c>
      <c r="T121" s="21">
        <v>9</v>
      </c>
      <c r="U121" s="21">
        <v>5270.86</v>
      </c>
      <c r="V121" s="21">
        <v>0</v>
      </c>
      <c r="W121" s="21">
        <v>0</v>
      </c>
      <c r="X121" s="21">
        <v>0</v>
      </c>
      <c r="Y121" s="21">
        <v>10541.72</v>
      </c>
      <c r="Z121" s="21">
        <v>0</v>
      </c>
      <c r="AA121" s="21" t="s">
        <v>176</v>
      </c>
      <c r="AB121" s="21" t="s">
        <v>168</v>
      </c>
      <c r="AC121" s="21">
        <v>3926908</v>
      </c>
      <c r="AD121" s="21" t="s">
        <v>201</v>
      </c>
      <c r="AE121" s="21">
        <v>1</v>
      </c>
      <c r="AF121" s="21">
        <v>405.8</v>
      </c>
      <c r="AG121" s="21" t="s">
        <v>202</v>
      </c>
    </row>
    <row r="122" spans="1:33" x14ac:dyDescent="0.25">
      <c r="A122" s="22"/>
      <c r="B122" s="23">
        <v>46364</v>
      </c>
      <c r="C122" s="21" t="s">
        <v>633</v>
      </c>
      <c r="D122" s="21" t="s">
        <v>1247</v>
      </c>
      <c r="E122" s="21" t="s">
        <v>862</v>
      </c>
      <c r="F122" s="21" t="s">
        <v>1248</v>
      </c>
      <c r="G122" s="21" t="s">
        <v>861</v>
      </c>
      <c r="H122" s="23">
        <v>46364</v>
      </c>
      <c r="I122" s="21" t="s">
        <v>169</v>
      </c>
      <c r="J122" s="21" t="s">
        <v>181</v>
      </c>
      <c r="K122" s="21" t="s">
        <v>154</v>
      </c>
      <c r="L122" s="21" t="s">
        <v>154</v>
      </c>
      <c r="M122" s="21" t="s">
        <v>181</v>
      </c>
      <c r="N122" s="21">
        <v>402.9</v>
      </c>
      <c r="O122" s="33">
        <v>59355.23</v>
      </c>
      <c r="P122" s="21" t="s">
        <v>181</v>
      </c>
      <c r="Q122" s="21">
        <v>0</v>
      </c>
      <c r="R122" s="21">
        <v>9</v>
      </c>
      <c r="S122" s="21">
        <v>5341.97</v>
      </c>
      <c r="T122" s="21">
        <v>9</v>
      </c>
      <c r="U122" s="21">
        <v>5341.97</v>
      </c>
      <c r="V122" s="21">
        <v>0</v>
      </c>
      <c r="W122" s="21">
        <v>0</v>
      </c>
      <c r="X122" s="21">
        <v>0</v>
      </c>
      <c r="Y122" s="21">
        <v>10683.94</v>
      </c>
      <c r="Z122" s="21">
        <v>0</v>
      </c>
      <c r="AA122" s="21" t="s">
        <v>176</v>
      </c>
      <c r="AB122" s="21" t="s">
        <v>168</v>
      </c>
      <c r="AC122" s="21">
        <v>3926908</v>
      </c>
      <c r="AD122" s="21" t="s">
        <v>201</v>
      </c>
      <c r="AE122" s="21">
        <v>1</v>
      </c>
      <c r="AF122" s="21">
        <v>402.9</v>
      </c>
      <c r="AG122" s="21" t="s">
        <v>202</v>
      </c>
    </row>
    <row r="123" spans="1:33" x14ac:dyDescent="0.25">
      <c r="A123" s="22"/>
      <c r="B123" s="23">
        <v>46364</v>
      </c>
      <c r="C123" s="21" t="s">
        <v>656</v>
      </c>
      <c r="D123" s="21" t="s">
        <v>1247</v>
      </c>
      <c r="E123" s="21" t="s">
        <v>858</v>
      </c>
      <c r="F123" s="21" t="s">
        <v>1248</v>
      </c>
      <c r="G123" s="21" t="s">
        <v>857</v>
      </c>
      <c r="H123" s="23">
        <v>46364</v>
      </c>
      <c r="I123" s="21" t="s">
        <v>188</v>
      </c>
      <c r="J123" s="21" t="s">
        <v>152</v>
      </c>
      <c r="K123" s="21" t="s">
        <v>152</v>
      </c>
      <c r="L123" s="21" t="s">
        <v>200</v>
      </c>
      <c r="M123" s="21" t="s">
        <v>187</v>
      </c>
      <c r="N123" s="21">
        <v>411</v>
      </c>
      <c r="O123" s="33">
        <v>74571.839999999997</v>
      </c>
      <c r="P123" s="21" t="s">
        <v>187</v>
      </c>
      <c r="Q123" s="21">
        <v>5293891.96</v>
      </c>
      <c r="R123" s="21">
        <v>9</v>
      </c>
      <c r="S123" s="21">
        <v>6711.47</v>
      </c>
      <c r="T123" s="21">
        <v>9</v>
      </c>
      <c r="U123" s="21">
        <v>6711.47</v>
      </c>
      <c r="V123" s="21">
        <v>0</v>
      </c>
      <c r="W123" s="21">
        <v>0</v>
      </c>
      <c r="X123" s="21">
        <v>0</v>
      </c>
      <c r="Y123" s="21">
        <v>13422.94</v>
      </c>
      <c r="Z123" s="21">
        <v>0</v>
      </c>
      <c r="AA123" s="21" t="s">
        <v>176</v>
      </c>
      <c r="AB123" s="21" t="s">
        <v>168</v>
      </c>
      <c r="AC123" s="21">
        <v>63053200</v>
      </c>
      <c r="AD123" s="21" t="s">
        <v>201</v>
      </c>
      <c r="AE123" s="21">
        <v>1</v>
      </c>
      <c r="AF123" s="21">
        <v>411</v>
      </c>
      <c r="AG123" s="21" t="s">
        <v>202</v>
      </c>
    </row>
    <row r="124" spans="1:33" x14ac:dyDescent="0.25">
      <c r="A124" s="22"/>
      <c r="B124" s="23">
        <v>46364</v>
      </c>
      <c r="C124" s="21" t="s">
        <v>656</v>
      </c>
      <c r="D124" s="21" t="s">
        <v>1247</v>
      </c>
      <c r="E124" s="21" t="s">
        <v>858</v>
      </c>
      <c r="F124" s="21" t="s">
        <v>1248</v>
      </c>
      <c r="G124" s="21" t="s">
        <v>857</v>
      </c>
      <c r="H124" s="23">
        <v>46364</v>
      </c>
      <c r="I124" s="21" t="s">
        <v>188</v>
      </c>
      <c r="J124" s="21" t="s">
        <v>152</v>
      </c>
      <c r="K124" s="21" t="s">
        <v>152</v>
      </c>
      <c r="L124" s="21" t="s">
        <v>200</v>
      </c>
      <c r="M124" s="21" t="s">
        <v>187</v>
      </c>
      <c r="N124" s="33">
        <v>1277</v>
      </c>
      <c r="O124" s="33">
        <v>256957.94</v>
      </c>
      <c r="P124" s="21" t="s">
        <v>187</v>
      </c>
      <c r="Q124" s="21">
        <v>0</v>
      </c>
      <c r="R124" s="21">
        <v>9</v>
      </c>
      <c r="S124" s="21">
        <v>23126.21</v>
      </c>
      <c r="T124" s="21">
        <v>9</v>
      </c>
      <c r="U124" s="21">
        <v>23126.21</v>
      </c>
      <c r="V124" s="21">
        <v>0</v>
      </c>
      <c r="W124" s="21">
        <v>0</v>
      </c>
      <c r="X124" s="21">
        <v>0</v>
      </c>
      <c r="Y124" s="21">
        <v>46252.42</v>
      </c>
      <c r="Z124" s="21">
        <v>0</v>
      </c>
      <c r="AA124" s="21" t="s">
        <v>176</v>
      </c>
      <c r="AB124" s="21" t="s">
        <v>168</v>
      </c>
      <c r="AC124" s="21">
        <v>63053200</v>
      </c>
      <c r="AD124" s="21" t="s">
        <v>201</v>
      </c>
      <c r="AE124" s="21">
        <v>1</v>
      </c>
      <c r="AF124" s="33">
        <v>1277</v>
      </c>
      <c r="AG124" s="21" t="s">
        <v>202</v>
      </c>
    </row>
    <row r="125" spans="1:33" x14ac:dyDescent="0.25">
      <c r="A125" s="22"/>
      <c r="B125" s="23">
        <v>46364</v>
      </c>
      <c r="C125" s="21" t="s">
        <v>656</v>
      </c>
      <c r="D125" s="21" t="s">
        <v>1247</v>
      </c>
      <c r="E125" s="21" t="s">
        <v>858</v>
      </c>
      <c r="F125" s="21" t="s">
        <v>1248</v>
      </c>
      <c r="G125" s="21" t="s">
        <v>857</v>
      </c>
      <c r="H125" s="23">
        <v>46364</v>
      </c>
      <c r="I125" s="21" t="s">
        <v>188</v>
      </c>
      <c r="J125" s="21" t="s">
        <v>152</v>
      </c>
      <c r="K125" s="21" t="s">
        <v>152</v>
      </c>
      <c r="L125" s="21" t="s">
        <v>200</v>
      </c>
      <c r="M125" s="21" t="s">
        <v>187</v>
      </c>
      <c r="N125" s="33">
        <v>3857</v>
      </c>
      <c r="O125" s="33">
        <v>792189.23</v>
      </c>
      <c r="P125" s="21" t="s">
        <v>187</v>
      </c>
      <c r="Q125" s="21">
        <v>0</v>
      </c>
      <c r="R125" s="21">
        <v>9</v>
      </c>
      <c r="S125" s="21">
        <v>71297.03</v>
      </c>
      <c r="T125" s="21">
        <v>9</v>
      </c>
      <c r="U125" s="21">
        <v>71297.03</v>
      </c>
      <c r="V125" s="21">
        <v>0</v>
      </c>
      <c r="W125" s="21">
        <v>0</v>
      </c>
      <c r="X125" s="21">
        <v>0</v>
      </c>
      <c r="Y125" s="21">
        <v>142594.06</v>
      </c>
      <c r="Z125" s="21">
        <v>0</v>
      </c>
      <c r="AA125" s="21" t="s">
        <v>176</v>
      </c>
      <c r="AB125" s="21" t="s">
        <v>168</v>
      </c>
      <c r="AC125" s="21">
        <v>63053200</v>
      </c>
      <c r="AD125" s="21" t="s">
        <v>201</v>
      </c>
      <c r="AE125" s="21">
        <v>1</v>
      </c>
      <c r="AF125" s="33">
        <v>3857</v>
      </c>
      <c r="AG125" s="21" t="s">
        <v>202</v>
      </c>
    </row>
    <row r="126" spans="1:33" x14ac:dyDescent="0.25">
      <c r="A126" s="22"/>
      <c r="B126" s="23">
        <v>46364</v>
      </c>
      <c r="C126" s="21" t="s">
        <v>656</v>
      </c>
      <c r="D126" s="21" t="s">
        <v>1247</v>
      </c>
      <c r="E126" s="21" t="s">
        <v>858</v>
      </c>
      <c r="F126" s="21" t="s">
        <v>1248</v>
      </c>
      <c r="G126" s="21" t="s">
        <v>857</v>
      </c>
      <c r="H126" s="23">
        <v>46364</v>
      </c>
      <c r="I126" s="21" t="s">
        <v>188</v>
      </c>
      <c r="J126" s="21" t="s">
        <v>152</v>
      </c>
      <c r="K126" s="21" t="s">
        <v>152</v>
      </c>
      <c r="L126" s="21" t="s">
        <v>200</v>
      </c>
      <c r="M126" s="21" t="s">
        <v>187</v>
      </c>
      <c r="N126" s="33">
        <v>13942</v>
      </c>
      <c r="O126" s="33">
        <v>3366435.32</v>
      </c>
      <c r="P126" s="21" t="s">
        <v>187</v>
      </c>
      <c r="Q126" s="21">
        <v>0</v>
      </c>
      <c r="R126" s="21">
        <v>9</v>
      </c>
      <c r="S126" s="21">
        <v>302979.18</v>
      </c>
      <c r="T126" s="21">
        <v>9</v>
      </c>
      <c r="U126" s="21">
        <v>302979.18</v>
      </c>
      <c r="V126" s="21">
        <v>0</v>
      </c>
      <c r="W126" s="21">
        <v>0</v>
      </c>
      <c r="X126" s="21">
        <v>0</v>
      </c>
      <c r="Y126" s="21">
        <v>605958.36</v>
      </c>
      <c r="Z126" s="21">
        <v>0</v>
      </c>
      <c r="AA126" s="21" t="s">
        <v>176</v>
      </c>
      <c r="AB126" s="21" t="s">
        <v>168</v>
      </c>
      <c r="AC126" s="21">
        <v>63053200</v>
      </c>
      <c r="AD126" s="21" t="s">
        <v>201</v>
      </c>
      <c r="AE126" s="21">
        <v>1</v>
      </c>
      <c r="AF126" s="33">
        <v>13942</v>
      </c>
      <c r="AG126" s="21" t="s">
        <v>202</v>
      </c>
    </row>
    <row r="127" spans="1:33" x14ac:dyDescent="0.25">
      <c r="A127" s="22"/>
      <c r="B127" s="21" t="s">
        <v>867</v>
      </c>
      <c r="C127" s="21" t="s">
        <v>633</v>
      </c>
      <c r="D127" s="21" t="s">
        <v>1247</v>
      </c>
      <c r="E127" s="21" t="s">
        <v>887</v>
      </c>
      <c r="F127" s="21" t="s">
        <v>1248</v>
      </c>
      <c r="G127" s="21" t="s">
        <v>886</v>
      </c>
      <c r="H127" s="21" t="s">
        <v>867</v>
      </c>
      <c r="I127" s="21" t="s">
        <v>169</v>
      </c>
      <c r="J127" s="21" t="s">
        <v>175</v>
      </c>
      <c r="K127" s="21" t="s">
        <v>159</v>
      </c>
      <c r="L127" s="21" t="s">
        <v>159</v>
      </c>
      <c r="M127" s="21" t="s">
        <v>173</v>
      </c>
      <c r="N127" s="21">
        <v>84.9</v>
      </c>
      <c r="O127" s="33">
        <v>15015.41</v>
      </c>
      <c r="P127" s="21" t="s">
        <v>173</v>
      </c>
      <c r="Q127" s="21">
        <v>262805.11</v>
      </c>
      <c r="R127" s="21">
        <v>9</v>
      </c>
      <c r="S127" s="21">
        <v>1351.39</v>
      </c>
      <c r="T127" s="21">
        <v>9</v>
      </c>
      <c r="U127" s="21">
        <v>1351.39</v>
      </c>
      <c r="V127" s="21">
        <v>0</v>
      </c>
      <c r="W127" s="21">
        <v>0</v>
      </c>
      <c r="X127" s="21">
        <v>0</v>
      </c>
      <c r="Y127" s="21">
        <v>2702.78</v>
      </c>
      <c r="Z127" s="21">
        <v>0</v>
      </c>
      <c r="AA127" s="21" t="s">
        <v>176</v>
      </c>
      <c r="AB127" s="21" t="s">
        <v>168</v>
      </c>
      <c r="AC127" s="21">
        <v>39200000</v>
      </c>
      <c r="AD127" s="21" t="s">
        <v>201</v>
      </c>
      <c r="AE127" s="21">
        <v>1</v>
      </c>
      <c r="AF127" s="21">
        <v>84.9</v>
      </c>
      <c r="AG127" s="21" t="s">
        <v>202</v>
      </c>
    </row>
    <row r="128" spans="1:33" x14ac:dyDescent="0.25">
      <c r="A128" s="22"/>
      <c r="B128" s="21" t="s">
        <v>867</v>
      </c>
      <c r="C128" s="21" t="s">
        <v>633</v>
      </c>
      <c r="D128" s="21" t="s">
        <v>1247</v>
      </c>
      <c r="E128" s="21" t="s">
        <v>887</v>
      </c>
      <c r="F128" s="21" t="s">
        <v>1248</v>
      </c>
      <c r="G128" s="21" t="s">
        <v>886</v>
      </c>
      <c r="H128" s="21" t="s">
        <v>867</v>
      </c>
      <c r="I128" s="21" t="s">
        <v>169</v>
      </c>
      <c r="J128" s="21" t="s">
        <v>179</v>
      </c>
      <c r="K128" s="21" t="s">
        <v>155</v>
      </c>
      <c r="L128" s="21" t="s">
        <v>203</v>
      </c>
      <c r="M128" s="21" t="s">
        <v>183</v>
      </c>
      <c r="N128" s="21">
        <v>544</v>
      </c>
      <c r="O128" s="33">
        <v>77422.080000000002</v>
      </c>
      <c r="P128" s="21" t="s">
        <v>183</v>
      </c>
      <c r="Q128" s="21">
        <v>0</v>
      </c>
      <c r="R128" s="21">
        <v>9</v>
      </c>
      <c r="S128" s="21">
        <v>6967.99</v>
      </c>
      <c r="T128" s="21">
        <v>9</v>
      </c>
      <c r="U128" s="21">
        <v>6967.99</v>
      </c>
      <c r="V128" s="21">
        <v>0</v>
      </c>
      <c r="W128" s="21">
        <v>0</v>
      </c>
      <c r="X128" s="21">
        <v>0</v>
      </c>
      <c r="Y128" s="21">
        <v>13935.98</v>
      </c>
      <c r="Z128" s="21">
        <v>0</v>
      </c>
      <c r="AA128" s="21" t="s">
        <v>176</v>
      </c>
      <c r="AB128" s="21" t="s">
        <v>168</v>
      </c>
      <c r="AC128" s="21">
        <v>39269080</v>
      </c>
      <c r="AD128" s="21" t="s">
        <v>201</v>
      </c>
      <c r="AE128" s="21">
        <v>1</v>
      </c>
      <c r="AF128" s="21">
        <v>544</v>
      </c>
      <c r="AG128" s="21" t="s">
        <v>202</v>
      </c>
    </row>
    <row r="129" spans="1:33" x14ac:dyDescent="0.25">
      <c r="A129" s="22"/>
      <c r="B129" s="21" t="s">
        <v>867</v>
      </c>
      <c r="C129" s="21" t="s">
        <v>633</v>
      </c>
      <c r="D129" s="21" t="s">
        <v>1247</v>
      </c>
      <c r="E129" s="21" t="s">
        <v>887</v>
      </c>
      <c r="F129" s="21" t="s">
        <v>1248</v>
      </c>
      <c r="G129" s="21" t="s">
        <v>886</v>
      </c>
      <c r="H129" s="21" t="s">
        <v>867</v>
      </c>
      <c r="I129" s="21" t="s">
        <v>169</v>
      </c>
      <c r="J129" s="21" t="s">
        <v>179</v>
      </c>
      <c r="K129" s="21" t="s">
        <v>156</v>
      </c>
      <c r="L129" s="21" t="s">
        <v>211</v>
      </c>
      <c r="M129" s="21" t="s">
        <v>178</v>
      </c>
      <c r="N129" s="21">
        <v>86</v>
      </c>
      <c r="O129" s="33">
        <v>12583.52</v>
      </c>
      <c r="P129" s="21" t="s">
        <v>178</v>
      </c>
      <c r="Q129" s="21">
        <v>0</v>
      </c>
      <c r="R129" s="21">
        <v>9</v>
      </c>
      <c r="S129" s="21">
        <v>1132.52</v>
      </c>
      <c r="T129" s="21">
        <v>9</v>
      </c>
      <c r="U129" s="21">
        <v>1132.52</v>
      </c>
      <c r="V129" s="21">
        <v>0</v>
      </c>
      <c r="W129" s="21">
        <v>0</v>
      </c>
      <c r="X129" s="21">
        <v>0</v>
      </c>
      <c r="Y129" s="21">
        <v>2265.04</v>
      </c>
      <c r="Z129" s="21">
        <v>0</v>
      </c>
      <c r="AA129" s="21" t="s">
        <v>176</v>
      </c>
      <c r="AB129" s="21" t="s">
        <v>168</v>
      </c>
      <c r="AC129" s="21">
        <v>63053300</v>
      </c>
      <c r="AD129" s="21" t="s">
        <v>201</v>
      </c>
      <c r="AE129" s="21">
        <v>1</v>
      </c>
      <c r="AF129" s="21">
        <v>86</v>
      </c>
      <c r="AG129" s="21" t="s">
        <v>202</v>
      </c>
    </row>
    <row r="130" spans="1:33" x14ac:dyDescent="0.25">
      <c r="A130" s="22"/>
      <c r="B130" s="21" t="s">
        <v>867</v>
      </c>
      <c r="C130" s="21" t="s">
        <v>633</v>
      </c>
      <c r="D130" s="21" t="s">
        <v>1247</v>
      </c>
      <c r="E130" s="21" t="s">
        <v>887</v>
      </c>
      <c r="F130" s="21" t="s">
        <v>1248</v>
      </c>
      <c r="G130" s="21" t="s">
        <v>886</v>
      </c>
      <c r="H130" s="21" t="s">
        <v>867</v>
      </c>
      <c r="I130" s="21" t="s">
        <v>169</v>
      </c>
      <c r="J130" s="21" t="s">
        <v>181</v>
      </c>
      <c r="K130" s="21" t="s">
        <v>154</v>
      </c>
      <c r="L130" s="21" t="s">
        <v>154</v>
      </c>
      <c r="M130" s="21" t="s">
        <v>181</v>
      </c>
      <c r="N130" s="21">
        <v>354.6</v>
      </c>
      <c r="O130" s="33">
        <v>52239.67</v>
      </c>
      <c r="P130" s="21" t="s">
        <v>181</v>
      </c>
      <c r="Q130" s="21">
        <v>0</v>
      </c>
      <c r="R130" s="21">
        <v>9</v>
      </c>
      <c r="S130" s="21">
        <v>4701.57</v>
      </c>
      <c r="T130" s="21">
        <v>9</v>
      </c>
      <c r="U130" s="21">
        <v>4701.57</v>
      </c>
      <c r="V130" s="21">
        <v>0</v>
      </c>
      <c r="W130" s="21">
        <v>0</v>
      </c>
      <c r="X130" s="21">
        <v>0</v>
      </c>
      <c r="Y130" s="21">
        <v>9403.14</v>
      </c>
      <c r="Z130" s="21">
        <v>0</v>
      </c>
      <c r="AA130" s="21" t="s">
        <v>176</v>
      </c>
      <c r="AB130" s="21" t="s">
        <v>168</v>
      </c>
      <c r="AC130" s="21">
        <v>3926908</v>
      </c>
      <c r="AD130" s="21" t="s">
        <v>201</v>
      </c>
      <c r="AE130" s="21">
        <v>1</v>
      </c>
      <c r="AF130" s="21">
        <v>354.6</v>
      </c>
      <c r="AG130" s="21" t="s">
        <v>202</v>
      </c>
    </row>
    <row r="131" spans="1:33" x14ac:dyDescent="0.25">
      <c r="A131" s="22"/>
      <c r="B131" s="21" t="s">
        <v>867</v>
      </c>
      <c r="C131" s="21" t="s">
        <v>633</v>
      </c>
      <c r="D131" s="21" t="s">
        <v>1247</v>
      </c>
      <c r="E131" s="21" t="s">
        <v>887</v>
      </c>
      <c r="F131" s="21" t="s">
        <v>1248</v>
      </c>
      <c r="G131" s="21" t="s">
        <v>886</v>
      </c>
      <c r="H131" s="21" t="s">
        <v>867</v>
      </c>
      <c r="I131" s="21" t="s">
        <v>169</v>
      </c>
      <c r="J131" s="21" t="s">
        <v>181</v>
      </c>
      <c r="K131" s="21" t="s">
        <v>154</v>
      </c>
      <c r="L131" s="21" t="s">
        <v>154</v>
      </c>
      <c r="M131" s="21" t="s">
        <v>181</v>
      </c>
      <c r="N131" s="21">
        <v>429.2</v>
      </c>
      <c r="O131" s="33">
        <v>61942.14</v>
      </c>
      <c r="P131" s="21" t="s">
        <v>181</v>
      </c>
      <c r="Q131" s="21">
        <v>0</v>
      </c>
      <c r="R131" s="21">
        <v>9</v>
      </c>
      <c r="S131" s="21">
        <v>5574.79</v>
      </c>
      <c r="T131" s="21">
        <v>9</v>
      </c>
      <c r="U131" s="21">
        <v>5574.79</v>
      </c>
      <c r="V131" s="21">
        <v>0</v>
      </c>
      <c r="W131" s="21">
        <v>0</v>
      </c>
      <c r="X131" s="21">
        <v>0</v>
      </c>
      <c r="Y131" s="21">
        <v>11149.58</v>
      </c>
      <c r="Z131" s="21">
        <v>0</v>
      </c>
      <c r="AA131" s="21" t="s">
        <v>176</v>
      </c>
      <c r="AB131" s="21" t="s">
        <v>168</v>
      </c>
      <c r="AC131" s="21">
        <v>3926908</v>
      </c>
      <c r="AD131" s="21" t="s">
        <v>201</v>
      </c>
      <c r="AE131" s="21">
        <v>1</v>
      </c>
      <c r="AF131" s="21">
        <v>429.2</v>
      </c>
      <c r="AG131" s="21" t="s">
        <v>202</v>
      </c>
    </row>
    <row r="132" spans="1:33" x14ac:dyDescent="0.25">
      <c r="A132" s="22"/>
      <c r="B132" s="21" t="s">
        <v>867</v>
      </c>
      <c r="C132" s="21" t="s">
        <v>633</v>
      </c>
      <c r="D132" s="21" t="s">
        <v>1247</v>
      </c>
      <c r="E132" s="21" t="s">
        <v>887</v>
      </c>
      <c r="F132" s="21" t="s">
        <v>1248</v>
      </c>
      <c r="G132" s="21" t="s">
        <v>886</v>
      </c>
      <c r="H132" s="21" t="s">
        <v>867</v>
      </c>
      <c r="I132" s="21" t="s">
        <v>169</v>
      </c>
      <c r="J132" s="21" t="s">
        <v>170</v>
      </c>
      <c r="K132" s="21" t="s">
        <v>157</v>
      </c>
      <c r="L132" s="21" t="s">
        <v>225</v>
      </c>
      <c r="M132" s="21" t="s">
        <v>727</v>
      </c>
      <c r="N132" s="35">
        <v>26.2</v>
      </c>
      <c r="O132" s="33">
        <v>4161.08</v>
      </c>
      <c r="P132" s="21" t="s">
        <v>727</v>
      </c>
      <c r="Q132" s="21">
        <v>0</v>
      </c>
      <c r="R132" s="21">
        <v>2.5</v>
      </c>
      <c r="S132" s="21">
        <v>104.03</v>
      </c>
      <c r="T132" s="21">
        <v>2.5</v>
      </c>
      <c r="U132" s="21">
        <v>104.03</v>
      </c>
      <c r="V132" s="21">
        <v>0</v>
      </c>
      <c r="W132" s="21">
        <v>0</v>
      </c>
      <c r="X132" s="21">
        <v>0</v>
      </c>
      <c r="Y132" s="21">
        <v>208.06</v>
      </c>
      <c r="Z132" s="21">
        <v>0</v>
      </c>
      <c r="AA132" s="21" t="s">
        <v>176</v>
      </c>
      <c r="AB132" s="21" t="s">
        <v>168</v>
      </c>
      <c r="AC132" s="21">
        <v>540269</v>
      </c>
      <c r="AD132" s="21" t="s">
        <v>201</v>
      </c>
      <c r="AE132" s="21">
        <v>1</v>
      </c>
      <c r="AF132" s="21">
        <v>26.2</v>
      </c>
      <c r="AG132" s="21" t="s">
        <v>202</v>
      </c>
    </row>
    <row r="133" spans="1:33" x14ac:dyDescent="0.25">
      <c r="A133" s="22"/>
      <c r="B133" s="21" t="s">
        <v>867</v>
      </c>
      <c r="C133" s="21" t="s">
        <v>656</v>
      </c>
      <c r="D133" s="21" t="s">
        <v>1247</v>
      </c>
      <c r="E133" s="21" t="s">
        <v>872</v>
      </c>
      <c r="F133" s="21" t="s">
        <v>1248</v>
      </c>
      <c r="G133" s="21" t="s">
        <v>871</v>
      </c>
      <c r="H133" s="23">
        <v>46364</v>
      </c>
      <c r="I133" s="21" t="s">
        <v>188</v>
      </c>
      <c r="J133" s="21" t="s">
        <v>152</v>
      </c>
      <c r="K133" s="21" t="s">
        <v>152</v>
      </c>
      <c r="L133" s="21" t="s">
        <v>200</v>
      </c>
      <c r="M133" s="21" t="s">
        <v>187</v>
      </c>
      <c r="N133" s="33">
        <v>4963</v>
      </c>
      <c r="O133" s="33">
        <v>1044612.24</v>
      </c>
      <c r="P133" s="21" t="s">
        <v>187</v>
      </c>
      <c r="Q133" s="21">
        <v>2455935.02</v>
      </c>
      <c r="R133" s="21">
        <v>9</v>
      </c>
      <c r="S133" s="21">
        <v>94015.1</v>
      </c>
      <c r="T133" s="21">
        <v>9</v>
      </c>
      <c r="U133" s="21">
        <v>94015.1</v>
      </c>
      <c r="V133" s="21">
        <v>0</v>
      </c>
      <c r="W133" s="21">
        <v>0</v>
      </c>
      <c r="X133" s="21">
        <v>0</v>
      </c>
      <c r="Y133" s="21">
        <v>188030.2</v>
      </c>
      <c r="Z133" s="21">
        <v>0</v>
      </c>
      <c r="AA133" s="21" t="s">
        <v>176</v>
      </c>
      <c r="AB133" s="21" t="s">
        <v>168</v>
      </c>
      <c r="AC133" s="21">
        <v>63053200</v>
      </c>
      <c r="AD133" s="21" t="s">
        <v>201</v>
      </c>
      <c r="AE133" s="21">
        <v>1</v>
      </c>
      <c r="AF133" s="33">
        <v>4963</v>
      </c>
      <c r="AG133" s="21" t="s">
        <v>202</v>
      </c>
    </row>
    <row r="134" spans="1:33" x14ac:dyDescent="0.25">
      <c r="A134" s="22"/>
      <c r="B134" s="21" t="s">
        <v>867</v>
      </c>
      <c r="C134" s="21" t="s">
        <v>656</v>
      </c>
      <c r="D134" s="21" t="s">
        <v>1247</v>
      </c>
      <c r="E134" s="21" t="s">
        <v>872</v>
      </c>
      <c r="F134" s="21" t="s">
        <v>1248</v>
      </c>
      <c r="G134" s="21" t="s">
        <v>871</v>
      </c>
      <c r="H134" s="23">
        <v>46364</v>
      </c>
      <c r="I134" s="21" t="s">
        <v>188</v>
      </c>
      <c r="J134" s="21" t="s">
        <v>152</v>
      </c>
      <c r="K134" s="21" t="s">
        <v>152</v>
      </c>
      <c r="L134" s="21" t="s">
        <v>200</v>
      </c>
      <c r="M134" s="21" t="s">
        <v>187</v>
      </c>
      <c r="N134" s="33">
        <v>2888</v>
      </c>
      <c r="O134" s="33">
        <v>601888.07999999996</v>
      </c>
      <c r="P134" s="21" t="s">
        <v>187</v>
      </c>
      <c r="Q134" s="21">
        <v>0</v>
      </c>
      <c r="R134" s="21">
        <v>9</v>
      </c>
      <c r="S134" s="21">
        <v>54169.93</v>
      </c>
      <c r="T134" s="21">
        <v>9</v>
      </c>
      <c r="U134" s="21">
        <v>54169.93</v>
      </c>
      <c r="V134" s="21">
        <v>0</v>
      </c>
      <c r="W134" s="21">
        <v>0</v>
      </c>
      <c r="X134" s="21">
        <v>0</v>
      </c>
      <c r="Y134" s="21">
        <v>108339.86</v>
      </c>
      <c r="Z134" s="21">
        <v>0</v>
      </c>
      <c r="AA134" s="21" t="s">
        <v>176</v>
      </c>
      <c r="AB134" s="21" t="s">
        <v>168</v>
      </c>
      <c r="AC134" s="21">
        <v>63053200</v>
      </c>
      <c r="AD134" s="21" t="s">
        <v>201</v>
      </c>
      <c r="AE134" s="21">
        <v>1</v>
      </c>
      <c r="AF134" s="33">
        <v>2888</v>
      </c>
      <c r="AG134" s="21" t="s">
        <v>202</v>
      </c>
    </row>
    <row r="135" spans="1:33" x14ac:dyDescent="0.25">
      <c r="A135" s="22"/>
      <c r="B135" s="21" t="s">
        <v>867</v>
      </c>
      <c r="C135" s="21" t="s">
        <v>656</v>
      </c>
      <c r="D135" s="21" t="s">
        <v>1247</v>
      </c>
      <c r="E135" s="21" t="s">
        <v>872</v>
      </c>
      <c r="F135" s="21" t="s">
        <v>1248</v>
      </c>
      <c r="G135" s="21" t="s">
        <v>871</v>
      </c>
      <c r="H135" s="23">
        <v>46364</v>
      </c>
      <c r="I135" s="21" t="s">
        <v>188</v>
      </c>
      <c r="J135" s="21" t="s">
        <v>152</v>
      </c>
      <c r="K135" s="21" t="s">
        <v>152</v>
      </c>
      <c r="L135" s="21" t="s">
        <v>200</v>
      </c>
      <c r="M135" s="21" t="s">
        <v>187</v>
      </c>
      <c r="N135" s="33">
        <v>1995</v>
      </c>
      <c r="O135" s="33">
        <v>436565.85</v>
      </c>
      <c r="P135" s="21" t="s">
        <v>187</v>
      </c>
      <c r="Q135" s="21">
        <v>0</v>
      </c>
      <c r="R135" s="21">
        <v>9</v>
      </c>
      <c r="S135" s="21">
        <v>39290.93</v>
      </c>
      <c r="T135" s="21">
        <v>9</v>
      </c>
      <c r="U135" s="21">
        <v>39290.93</v>
      </c>
      <c r="V135" s="21">
        <v>0</v>
      </c>
      <c r="W135" s="21">
        <v>0</v>
      </c>
      <c r="X135" s="21">
        <v>0</v>
      </c>
      <c r="Y135" s="21">
        <v>78581.86</v>
      </c>
      <c r="Z135" s="21">
        <v>0</v>
      </c>
      <c r="AA135" s="21" t="s">
        <v>176</v>
      </c>
      <c r="AB135" s="21" t="s">
        <v>168</v>
      </c>
      <c r="AC135" s="21">
        <v>63053200</v>
      </c>
      <c r="AD135" s="21" t="s">
        <v>201</v>
      </c>
      <c r="AE135" s="21">
        <v>1</v>
      </c>
      <c r="AF135" s="33">
        <v>1995</v>
      </c>
      <c r="AG135" s="21" t="s">
        <v>202</v>
      </c>
    </row>
    <row r="136" spans="1:33" x14ac:dyDescent="0.25">
      <c r="A136" s="22"/>
      <c r="B136" s="21" t="s">
        <v>867</v>
      </c>
      <c r="C136" s="21" t="s">
        <v>878</v>
      </c>
      <c r="D136" s="21" t="s">
        <v>1247</v>
      </c>
      <c r="E136" s="21" t="s">
        <v>880</v>
      </c>
      <c r="F136" s="21" t="s">
        <v>1248</v>
      </c>
      <c r="G136" s="21" t="s">
        <v>879</v>
      </c>
      <c r="H136" s="23">
        <v>46334</v>
      </c>
      <c r="I136" s="21" t="s">
        <v>639</v>
      </c>
      <c r="J136" s="21" t="s">
        <v>648</v>
      </c>
      <c r="K136" s="21" t="s">
        <v>313</v>
      </c>
      <c r="L136" s="21" t="s">
        <v>1250</v>
      </c>
      <c r="M136" s="21" t="s">
        <v>875</v>
      </c>
      <c r="N136" s="21">
        <v>400</v>
      </c>
      <c r="O136" s="33">
        <v>64000</v>
      </c>
      <c r="P136" s="21" t="s">
        <v>875</v>
      </c>
      <c r="Q136" s="21">
        <v>75520</v>
      </c>
      <c r="R136" s="21">
        <v>9</v>
      </c>
      <c r="S136" s="21">
        <v>5760</v>
      </c>
      <c r="T136" s="21">
        <v>9</v>
      </c>
      <c r="U136" s="21">
        <v>5760</v>
      </c>
      <c r="V136" s="21">
        <v>0</v>
      </c>
      <c r="W136" s="21">
        <v>0</v>
      </c>
      <c r="X136" s="21">
        <v>0</v>
      </c>
      <c r="Y136" s="21">
        <v>11520</v>
      </c>
      <c r="Z136" s="21">
        <v>0</v>
      </c>
      <c r="AA136" s="21" t="s">
        <v>882</v>
      </c>
      <c r="AB136" s="21" t="s">
        <v>168</v>
      </c>
      <c r="AC136" s="21">
        <v>32064990</v>
      </c>
      <c r="AD136" s="21" t="s">
        <v>201</v>
      </c>
      <c r="AE136" s="21">
        <v>1</v>
      </c>
      <c r="AF136" s="21">
        <v>400</v>
      </c>
      <c r="AG136" s="21" t="s">
        <v>202</v>
      </c>
    </row>
    <row r="137" spans="1:33" x14ac:dyDescent="0.25">
      <c r="A137" s="22"/>
      <c r="B137" s="21" t="s">
        <v>888</v>
      </c>
      <c r="C137" s="21" t="s">
        <v>663</v>
      </c>
      <c r="D137" s="21" t="s">
        <v>1247</v>
      </c>
      <c r="E137" s="21" t="s">
        <v>896</v>
      </c>
      <c r="F137" s="21" t="s">
        <v>1248</v>
      </c>
      <c r="G137" s="21" t="s">
        <v>895</v>
      </c>
      <c r="H137" s="21" t="s">
        <v>867</v>
      </c>
      <c r="I137" s="21" t="s">
        <v>169</v>
      </c>
      <c r="J137" s="21" t="s">
        <v>179</v>
      </c>
      <c r="K137" s="21" t="s">
        <v>155</v>
      </c>
      <c r="L137" s="21" t="s">
        <v>203</v>
      </c>
      <c r="M137" s="21" t="s">
        <v>183</v>
      </c>
      <c r="N137" s="33">
        <v>5921</v>
      </c>
      <c r="O137" s="33">
        <v>926577.29</v>
      </c>
      <c r="P137" s="21" t="s">
        <v>183</v>
      </c>
      <c r="Q137" s="21">
        <v>1092434.6299999999</v>
      </c>
      <c r="R137" s="21">
        <v>9</v>
      </c>
      <c r="S137" s="21">
        <v>83391.960000000006</v>
      </c>
      <c r="T137" s="21">
        <v>9</v>
      </c>
      <c r="U137" s="21">
        <v>83391.960000000006</v>
      </c>
      <c r="V137" s="21">
        <v>0</v>
      </c>
      <c r="W137" s="21">
        <v>0</v>
      </c>
      <c r="X137" s="21">
        <v>0</v>
      </c>
      <c r="Y137" s="21">
        <v>166783.92000000001</v>
      </c>
      <c r="Z137" s="21">
        <v>0</v>
      </c>
      <c r="AA137" s="21" t="s">
        <v>185</v>
      </c>
      <c r="AB137" s="21" t="s">
        <v>168</v>
      </c>
      <c r="AC137" s="21">
        <v>39269080</v>
      </c>
      <c r="AD137" s="21" t="s">
        <v>201</v>
      </c>
      <c r="AE137" s="21">
        <v>1</v>
      </c>
      <c r="AF137" s="33">
        <v>5921</v>
      </c>
      <c r="AG137" s="21" t="s">
        <v>202</v>
      </c>
    </row>
    <row r="138" spans="1:33" x14ac:dyDescent="0.25">
      <c r="A138" s="22"/>
      <c r="B138" s="21" t="s">
        <v>888</v>
      </c>
      <c r="C138" s="21" t="s">
        <v>677</v>
      </c>
      <c r="D138" s="21" t="s">
        <v>1247</v>
      </c>
      <c r="E138" s="21" t="s">
        <v>901</v>
      </c>
      <c r="F138" s="21" t="s">
        <v>1248</v>
      </c>
      <c r="G138" s="21" t="s">
        <v>900</v>
      </c>
      <c r="H138" s="21" t="s">
        <v>867</v>
      </c>
      <c r="I138" s="21" t="s">
        <v>169</v>
      </c>
      <c r="J138" s="21" t="s">
        <v>170</v>
      </c>
      <c r="K138" s="21" t="s">
        <v>157</v>
      </c>
      <c r="L138" s="21" t="s">
        <v>225</v>
      </c>
      <c r="M138" s="21" t="s">
        <v>312</v>
      </c>
      <c r="N138" s="37">
        <v>1775</v>
      </c>
      <c r="O138" s="33">
        <v>277610</v>
      </c>
      <c r="P138" s="21" t="s">
        <v>312</v>
      </c>
      <c r="Q138" s="21">
        <v>291212.89</v>
      </c>
      <c r="R138" s="21">
        <v>2.5</v>
      </c>
      <c r="S138" s="21">
        <v>6940.25</v>
      </c>
      <c r="T138" s="21">
        <v>2.5</v>
      </c>
      <c r="U138" s="21">
        <v>6940.25</v>
      </c>
      <c r="V138" s="21">
        <v>0</v>
      </c>
      <c r="W138" s="21">
        <v>0</v>
      </c>
      <c r="X138" s="21">
        <v>0</v>
      </c>
      <c r="Y138" s="21">
        <v>13880.5</v>
      </c>
      <c r="Z138" s="21">
        <v>0</v>
      </c>
      <c r="AA138" s="21" t="s">
        <v>171</v>
      </c>
      <c r="AB138" s="21" t="s">
        <v>168</v>
      </c>
      <c r="AC138" s="21">
        <v>54026930</v>
      </c>
      <c r="AD138" s="21" t="s">
        <v>201</v>
      </c>
      <c r="AE138" s="21">
        <v>1</v>
      </c>
      <c r="AF138" s="33">
        <v>1775</v>
      </c>
      <c r="AG138" s="21" t="s">
        <v>202</v>
      </c>
    </row>
    <row r="139" spans="1:33" x14ac:dyDescent="0.25">
      <c r="A139" s="22"/>
      <c r="B139" s="21" t="s">
        <v>888</v>
      </c>
      <c r="C139" s="21" t="s">
        <v>677</v>
      </c>
      <c r="D139" s="21" t="s">
        <v>1247</v>
      </c>
      <c r="E139" s="21" t="s">
        <v>906</v>
      </c>
      <c r="F139" s="21" t="s">
        <v>1248</v>
      </c>
      <c r="G139" s="21" t="s">
        <v>905</v>
      </c>
      <c r="H139" s="21" t="s">
        <v>867</v>
      </c>
      <c r="I139" s="21" t="s">
        <v>188</v>
      </c>
      <c r="J139" s="21" t="s">
        <v>152</v>
      </c>
      <c r="K139" s="21" t="s">
        <v>152</v>
      </c>
      <c r="L139" s="21" t="s">
        <v>200</v>
      </c>
      <c r="M139" s="21" t="s">
        <v>187</v>
      </c>
      <c r="N139" s="33">
        <v>1569</v>
      </c>
      <c r="O139" s="33">
        <v>401867.97</v>
      </c>
      <c r="P139" s="21" t="s">
        <v>187</v>
      </c>
      <c r="Q139" s="21">
        <v>864633.69</v>
      </c>
      <c r="R139" s="21">
        <v>9</v>
      </c>
      <c r="S139" s="21">
        <v>36168.120000000003</v>
      </c>
      <c r="T139" s="21">
        <v>9</v>
      </c>
      <c r="U139" s="21">
        <v>36168.120000000003</v>
      </c>
      <c r="V139" s="21">
        <v>0</v>
      </c>
      <c r="W139" s="21">
        <v>0</v>
      </c>
      <c r="X139" s="21">
        <v>0</v>
      </c>
      <c r="Y139" s="21">
        <v>72336.240000000005</v>
      </c>
      <c r="Z139" s="21">
        <v>0</v>
      </c>
      <c r="AA139" s="21" t="s">
        <v>171</v>
      </c>
      <c r="AB139" s="21" t="s">
        <v>168</v>
      </c>
      <c r="AC139" s="21">
        <v>63053200</v>
      </c>
      <c r="AD139" s="21" t="s">
        <v>201</v>
      </c>
      <c r="AE139" s="21">
        <v>1</v>
      </c>
      <c r="AF139" s="33">
        <v>1569</v>
      </c>
      <c r="AG139" s="21" t="s">
        <v>202</v>
      </c>
    </row>
    <row r="140" spans="1:33" x14ac:dyDescent="0.25">
      <c r="A140" s="22"/>
      <c r="B140" s="21" t="s">
        <v>888</v>
      </c>
      <c r="C140" s="21" t="s">
        <v>677</v>
      </c>
      <c r="D140" s="21" t="s">
        <v>1247</v>
      </c>
      <c r="E140" s="21" t="s">
        <v>906</v>
      </c>
      <c r="F140" s="21" t="s">
        <v>1248</v>
      </c>
      <c r="G140" s="21" t="s">
        <v>905</v>
      </c>
      <c r="H140" s="21" t="s">
        <v>867</v>
      </c>
      <c r="I140" s="21" t="s">
        <v>188</v>
      </c>
      <c r="J140" s="21" t="s">
        <v>152</v>
      </c>
      <c r="K140" s="21" t="s">
        <v>152</v>
      </c>
      <c r="L140" s="21" t="s">
        <v>200</v>
      </c>
      <c r="M140" s="21" t="s">
        <v>187</v>
      </c>
      <c r="N140" s="33">
        <v>1393.3</v>
      </c>
      <c r="O140" s="33">
        <v>331493.94</v>
      </c>
      <c r="P140" s="21" t="s">
        <v>187</v>
      </c>
      <c r="Q140" s="21">
        <v>0</v>
      </c>
      <c r="R140" s="21">
        <v>9</v>
      </c>
      <c r="S140" s="21">
        <v>29834.45</v>
      </c>
      <c r="T140" s="21">
        <v>9</v>
      </c>
      <c r="U140" s="21">
        <v>29834.45</v>
      </c>
      <c r="V140" s="21">
        <v>0</v>
      </c>
      <c r="W140" s="21">
        <v>0</v>
      </c>
      <c r="X140" s="21">
        <v>0</v>
      </c>
      <c r="Y140" s="21">
        <v>59668.9</v>
      </c>
      <c r="Z140" s="21">
        <v>0</v>
      </c>
      <c r="AA140" s="21" t="s">
        <v>171</v>
      </c>
      <c r="AB140" s="21" t="s">
        <v>168</v>
      </c>
      <c r="AC140" s="21">
        <v>63053200</v>
      </c>
      <c r="AD140" s="21" t="s">
        <v>201</v>
      </c>
      <c r="AE140" s="21">
        <v>1</v>
      </c>
      <c r="AF140" s="33">
        <v>1393.3</v>
      </c>
      <c r="AG140" s="21" t="s">
        <v>202</v>
      </c>
    </row>
    <row r="141" spans="1:33" x14ac:dyDescent="0.25">
      <c r="A141" s="22"/>
      <c r="B141" s="21" t="s">
        <v>888</v>
      </c>
      <c r="C141" s="21" t="s">
        <v>633</v>
      </c>
      <c r="D141" s="21" t="s">
        <v>1247</v>
      </c>
      <c r="E141" s="21" t="s">
        <v>892</v>
      </c>
      <c r="F141" s="21" t="s">
        <v>1248</v>
      </c>
      <c r="G141" s="21" t="s">
        <v>891</v>
      </c>
      <c r="H141" s="21" t="s">
        <v>888</v>
      </c>
      <c r="I141" s="21" t="s">
        <v>169</v>
      </c>
      <c r="J141" s="21" t="s">
        <v>314</v>
      </c>
      <c r="K141" s="21" t="s">
        <v>314</v>
      </c>
      <c r="L141" s="21" t="s">
        <v>315</v>
      </c>
      <c r="M141" s="21" t="s">
        <v>314</v>
      </c>
      <c r="N141" s="33">
        <v>5000</v>
      </c>
      <c r="O141" s="33">
        <v>525000</v>
      </c>
      <c r="P141" s="21" t="s">
        <v>314</v>
      </c>
      <c r="Q141" s="21">
        <v>618975</v>
      </c>
      <c r="R141" s="21">
        <v>9</v>
      </c>
      <c r="S141" s="21">
        <v>47250</v>
      </c>
      <c r="T141" s="21">
        <v>9</v>
      </c>
      <c r="U141" s="21">
        <v>47250</v>
      </c>
      <c r="V141" s="21">
        <v>0</v>
      </c>
      <c r="W141" s="21">
        <v>0</v>
      </c>
      <c r="X141" s="21">
        <v>0</v>
      </c>
      <c r="Y141" s="21">
        <v>94500</v>
      </c>
      <c r="Z141" s="21">
        <v>0</v>
      </c>
      <c r="AA141" s="21" t="s">
        <v>176</v>
      </c>
      <c r="AB141" s="21" t="s">
        <v>168</v>
      </c>
      <c r="AC141" s="21">
        <v>39021000</v>
      </c>
      <c r="AD141" s="21" t="s">
        <v>201</v>
      </c>
      <c r="AE141" s="21">
        <v>1</v>
      </c>
      <c r="AF141" s="33">
        <v>5000</v>
      </c>
      <c r="AG141" s="21" t="s">
        <v>202</v>
      </c>
    </row>
    <row r="142" spans="1:33" x14ac:dyDescent="0.25">
      <c r="A142" s="22"/>
      <c r="B142" s="21" t="s">
        <v>888</v>
      </c>
      <c r="C142" s="21" t="s">
        <v>633</v>
      </c>
      <c r="D142" s="21" t="s">
        <v>1247</v>
      </c>
      <c r="E142" s="21" t="s">
        <v>915</v>
      </c>
      <c r="F142" s="21" t="s">
        <v>1248</v>
      </c>
      <c r="G142" s="21" t="s">
        <v>914</v>
      </c>
      <c r="H142" s="21" t="s">
        <v>888</v>
      </c>
      <c r="I142" s="21" t="s">
        <v>169</v>
      </c>
      <c r="J142" s="21" t="s">
        <v>181</v>
      </c>
      <c r="K142" s="21" t="s">
        <v>154</v>
      </c>
      <c r="L142" s="21" t="s">
        <v>154</v>
      </c>
      <c r="M142" s="21" t="s">
        <v>181</v>
      </c>
      <c r="N142" s="21">
        <v>211</v>
      </c>
      <c r="O142" s="33">
        <v>30451.52</v>
      </c>
      <c r="P142" s="21" t="s">
        <v>181</v>
      </c>
      <c r="Q142" s="21">
        <v>859148.11</v>
      </c>
      <c r="R142" s="21">
        <v>9</v>
      </c>
      <c r="S142" s="21">
        <v>2740.64</v>
      </c>
      <c r="T142" s="21">
        <v>9</v>
      </c>
      <c r="U142" s="21">
        <v>2740.64</v>
      </c>
      <c r="V142" s="21">
        <v>0</v>
      </c>
      <c r="W142" s="21">
        <v>0</v>
      </c>
      <c r="X142" s="21">
        <v>0</v>
      </c>
      <c r="Y142" s="21">
        <v>5481.28</v>
      </c>
      <c r="Z142" s="21">
        <v>0</v>
      </c>
      <c r="AA142" s="21" t="s">
        <v>176</v>
      </c>
      <c r="AB142" s="21" t="s">
        <v>168</v>
      </c>
      <c r="AC142" s="21">
        <v>3926908</v>
      </c>
      <c r="AD142" s="21" t="s">
        <v>201</v>
      </c>
      <c r="AE142" s="21">
        <v>1</v>
      </c>
      <c r="AF142" s="21">
        <v>211</v>
      </c>
      <c r="AG142" s="21" t="s">
        <v>202</v>
      </c>
    </row>
    <row r="143" spans="1:33" x14ac:dyDescent="0.25">
      <c r="A143" s="22"/>
      <c r="B143" s="21" t="s">
        <v>888</v>
      </c>
      <c r="C143" s="21" t="s">
        <v>633</v>
      </c>
      <c r="D143" s="21" t="s">
        <v>1247</v>
      </c>
      <c r="E143" s="21" t="s">
        <v>915</v>
      </c>
      <c r="F143" s="21" t="s">
        <v>1248</v>
      </c>
      <c r="G143" s="21" t="s">
        <v>914</v>
      </c>
      <c r="H143" s="21" t="s">
        <v>888</v>
      </c>
      <c r="I143" s="21" t="s">
        <v>169</v>
      </c>
      <c r="J143" s="21" t="s">
        <v>181</v>
      </c>
      <c r="K143" s="21" t="s">
        <v>154</v>
      </c>
      <c r="L143" s="21" t="s">
        <v>154</v>
      </c>
      <c r="M143" s="21" t="s">
        <v>181</v>
      </c>
      <c r="N143" s="21">
        <v>300.33999999999997</v>
      </c>
      <c r="O143" s="33">
        <v>44246.080000000002</v>
      </c>
      <c r="P143" s="21" t="s">
        <v>181</v>
      </c>
      <c r="Q143" s="21">
        <v>0</v>
      </c>
      <c r="R143" s="21">
        <v>9</v>
      </c>
      <c r="S143" s="21">
        <v>3982.15</v>
      </c>
      <c r="T143" s="21">
        <v>9</v>
      </c>
      <c r="U143" s="21">
        <v>3982.15</v>
      </c>
      <c r="V143" s="21">
        <v>0</v>
      </c>
      <c r="W143" s="21">
        <v>0</v>
      </c>
      <c r="X143" s="21">
        <v>0</v>
      </c>
      <c r="Y143" s="21">
        <v>7964.3</v>
      </c>
      <c r="Z143" s="21">
        <v>0</v>
      </c>
      <c r="AA143" s="21" t="s">
        <v>176</v>
      </c>
      <c r="AB143" s="21" t="s">
        <v>168</v>
      </c>
      <c r="AC143" s="21">
        <v>3926908</v>
      </c>
      <c r="AD143" s="21" t="s">
        <v>201</v>
      </c>
      <c r="AE143" s="21">
        <v>1</v>
      </c>
      <c r="AF143" s="21">
        <v>300.33999999999997</v>
      </c>
      <c r="AG143" s="21" t="s">
        <v>202</v>
      </c>
    </row>
    <row r="144" spans="1:33" x14ac:dyDescent="0.25">
      <c r="A144" s="22"/>
      <c r="B144" s="21" t="s">
        <v>888</v>
      </c>
      <c r="C144" s="21" t="s">
        <v>633</v>
      </c>
      <c r="D144" s="21" t="s">
        <v>1247</v>
      </c>
      <c r="E144" s="21" t="s">
        <v>915</v>
      </c>
      <c r="F144" s="21" t="s">
        <v>1248</v>
      </c>
      <c r="G144" s="21" t="s">
        <v>914</v>
      </c>
      <c r="H144" s="21" t="s">
        <v>888</v>
      </c>
      <c r="I144" s="21" t="s">
        <v>169</v>
      </c>
      <c r="J144" s="21" t="s">
        <v>170</v>
      </c>
      <c r="K144" s="21" t="s">
        <v>157</v>
      </c>
      <c r="L144" s="21" t="s">
        <v>225</v>
      </c>
      <c r="M144" s="21" t="s">
        <v>727</v>
      </c>
      <c r="N144" s="35">
        <v>36.9</v>
      </c>
      <c r="O144" s="33">
        <v>5860.47</v>
      </c>
      <c r="P144" s="21" t="s">
        <v>727</v>
      </c>
      <c r="Q144" s="21">
        <v>0</v>
      </c>
      <c r="R144" s="21">
        <v>2.5</v>
      </c>
      <c r="S144" s="21">
        <v>146.51</v>
      </c>
      <c r="T144" s="21">
        <v>2.5</v>
      </c>
      <c r="U144" s="21">
        <v>146.51</v>
      </c>
      <c r="V144" s="21">
        <v>0</v>
      </c>
      <c r="W144" s="21">
        <v>0</v>
      </c>
      <c r="X144" s="21">
        <v>0</v>
      </c>
      <c r="Y144" s="21">
        <v>293.02</v>
      </c>
      <c r="Z144" s="21">
        <v>0</v>
      </c>
      <c r="AA144" s="21" t="s">
        <v>176</v>
      </c>
      <c r="AB144" s="21" t="s">
        <v>168</v>
      </c>
      <c r="AC144" s="21">
        <v>540269</v>
      </c>
      <c r="AD144" s="21" t="s">
        <v>201</v>
      </c>
      <c r="AE144" s="21">
        <v>1</v>
      </c>
      <c r="AF144" s="21">
        <v>36.9</v>
      </c>
      <c r="AG144" s="21" t="s">
        <v>202</v>
      </c>
    </row>
    <row r="145" spans="1:33" x14ac:dyDescent="0.25">
      <c r="A145" s="22"/>
      <c r="B145" s="21" t="s">
        <v>888</v>
      </c>
      <c r="C145" s="21" t="s">
        <v>633</v>
      </c>
      <c r="D145" s="21" t="s">
        <v>1247</v>
      </c>
      <c r="E145" s="21" t="s">
        <v>915</v>
      </c>
      <c r="F145" s="21" t="s">
        <v>1248</v>
      </c>
      <c r="G145" s="21" t="s">
        <v>914</v>
      </c>
      <c r="H145" s="21" t="s">
        <v>888</v>
      </c>
      <c r="I145" s="21" t="s">
        <v>169</v>
      </c>
      <c r="J145" s="21" t="s">
        <v>179</v>
      </c>
      <c r="K145" s="21" t="s">
        <v>155</v>
      </c>
      <c r="L145" s="21" t="s">
        <v>203</v>
      </c>
      <c r="M145" s="21" t="s">
        <v>183</v>
      </c>
      <c r="N145" s="33">
        <v>4404</v>
      </c>
      <c r="O145" s="33">
        <v>648797.28</v>
      </c>
      <c r="P145" s="21" t="s">
        <v>183</v>
      </c>
      <c r="Q145" s="21">
        <v>0</v>
      </c>
      <c r="R145" s="21">
        <v>9</v>
      </c>
      <c r="S145" s="21">
        <v>58391.76</v>
      </c>
      <c r="T145" s="21">
        <v>9</v>
      </c>
      <c r="U145" s="21">
        <v>58391.76</v>
      </c>
      <c r="V145" s="21">
        <v>0</v>
      </c>
      <c r="W145" s="21">
        <v>0</v>
      </c>
      <c r="X145" s="21">
        <v>0</v>
      </c>
      <c r="Y145" s="21">
        <v>116783.52</v>
      </c>
      <c r="Z145" s="21">
        <v>0</v>
      </c>
      <c r="AA145" s="21" t="s">
        <v>176</v>
      </c>
      <c r="AB145" s="21" t="s">
        <v>168</v>
      </c>
      <c r="AC145" s="21">
        <v>39269080</v>
      </c>
      <c r="AD145" s="21" t="s">
        <v>201</v>
      </c>
      <c r="AE145" s="21">
        <v>1</v>
      </c>
      <c r="AF145" s="33">
        <v>4404</v>
      </c>
      <c r="AG145" s="21" t="s">
        <v>202</v>
      </c>
    </row>
    <row r="146" spans="1:33" x14ac:dyDescent="0.25">
      <c r="A146" s="22"/>
      <c r="B146" s="21" t="s">
        <v>888</v>
      </c>
      <c r="C146" s="21" t="s">
        <v>656</v>
      </c>
      <c r="D146" s="21" t="s">
        <v>1247</v>
      </c>
      <c r="E146" s="21" t="s">
        <v>911</v>
      </c>
      <c r="F146" s="21" t="s">
        <v>1248</v>
      </c>
      <c r="G146" s="21" t="s">
        <v>910</v>
      </c>
      <c r="H146" s="21" t="s">
        <v>867</v>
      </c>
      <c r="I146" s="21" t="s">
        <v>188</v>
      </c>
      <c r="J146" s="21" t="s">
        <v>152</v>
      </c>
      <c r="K146" s="21" t="s">
        <v>152</v>
      </c>
      <c r="L146" s="21" t="s">
        <v>200</v>
      </c>
      <c r="M146" s="21" t="s">
        <v>187</v>
      </c>
      <c r="N146" s="33">
        <v>2029</v>
      </c>
      <c r="O146" s="33">
        <v>462875.77</v>
      </c>
      <c r="P146" s="21" t="s">
        <v>187</v>
      </c>
      <c r="Q146" s="21">
        <v>1824866.21</v>
      </c>
      <c r="R146" s="21">
        <v>9</v>
      </c>
      <c r="S146" s="21">
        <v>41658.82</v>
      </c>
      <c r="T146" s="21">
        <v>9</v>
      </c>
      <c r="U146" s="21">
        <v>41658.82</v>
      </c>
      <c r="V146" s="21">
        <v>0</v>
      </c>
      <c r="W146" s="21">
        <v>0</v>
      </c>
      <c r="X146" s="21">
        <v>0</v>
      </c>
      <c r="Y146" s="21">
        <v>83317.64</v>
      </c>
      <c r="Z146" s="21">
        <v>0</v>
      </c>
      <c r="AA146" s="21" t="s">
        <v>176</v>
      </c>
      <c r="AB146" s="21" t="s">
        <v>168</v>
      </c>
      <c r="AC146" s="21">
        <v>63053200</v>
      </c>
      <c r="AD146" s="21" t="s">
        <v>201</v>
      </c>
      <c r="AE146" s="21">
        <v>1</v>
      </c>
      <c r="AF146" s="33">
        <v>2029</v>
      </c>
      <c r="AG146" s="21" t="s">
        <v>202</v>
      </c>
    </row>
    <row r="147" spans="1:33" x14ac:dyDescent="0.25">
      <c r="A147" s="22"/>
      <c r="B147" s="21" t="s">
        <v>888</v>
      </c>
      <c r="C147" s="21" t="s">
        <v>656</v>
      </c>
      <c r="D147" s="21" t="s">
        <v>1247</v>
      </c>
      <c r="E147" s="21" t="s">
        <v>911</v>
      </c>
      <c r="F147" s="21" t="s">
        <v>1248</v>
      </c>
      <c r="G147" s="21" t="s">
        <v>910</v>
      </c>
      <c r="H147" s="21" t="s">
        <v>867</v>
      </c>
      <c r="I147" s="21" t="s">
        <v>169</v>
      </c>
      <c r="J147" s="21" t="s">
        <v>179</v>
      </c>
      <c r="K147" s="21" t="s">
        <v>155</v>
      </c>
      <c r="L147" s="21" t="s">
        <v>203</v>
      </c>
      <c r="M147" s="21" t="s">
        <v>183</v>
      </c>
      <c r="N147" s="33">
        <v>1640</v>
      </c>
      <c r="O147" s="33">
        <v>200080</v>
      </c>
      <c r="P147" s="21" t="s">
        <v>183</v>
      </c>
      <c r="Q147" s="21">
        <v>0</v>
      </c>
      <c r="R147" s="21">
        <v>9</v>
      </c>
      <c r="S147" s="21">
        <v>18007.2</v>
      </c>
      <c r="T147" s="21">
        <v>9</v>
      </c>
      <c r="U147" s="21">
        <v>18007.2</v>
      </c>
      <c r="V147" s="21">
        <v>0</v>
      </c>
      <c r="W147" s="21">
        <v>0</v>
      </c>
      <c r="X147" s="21">
        <v>0</v>
      </c>
      <c r="Y147" s="21">
        <v>36014.400000000001</v>
      </c>
      <c r="Z147" s="21">
        <v>0</v>
      </c>
      <c r="AA147" s="21" t="s">
        <v>176</v>
      </c>
      <c r="AB147" s="21" t="s">
        <v>168</v>
      </c>
      <c r="AC147" s="21">
        <v>39269080</v>
      </c>
      <c r="AD147" s="21" t="s">
        <v>201</v>
      </c>
      <c r="AE147" s="21">
        <v>1</v>
      </c>
      <c r="AF147" s="33">
        <v>1640</v>
      </c>
      <c r="AG147" s="21" t="s">
        <v>202</v>
      </c>
    </row>
    <row r="148" spans="1:33" x14ac:dyDescent="0.25">
      <c r="A148" s="22"/>
      <c r="B148" s="21" t="s">
        <v>888</v>
      </c>
      <c r="C148" s="21" t="s">
        <v>656</v>
      </c>
      <c r="D148" s="21" t="s">
        <v>1247</v>
      </c>
      <c r="E148" s="21" t="s">
        <v>911</v>
      </c>
      <c r="F148" s="21" t="s">
        <v>1248</v>
      </c>
      <c r="G148" s="21" t="s">
        <v>910</v>
      </c>
      <c r="H148" s="21" t="s">
        <v>867</v>
      </c>
      <c r="I148" s="21" t="s">
        <v>188</v>
      </c>
      <c r="J148" s="21" t="s">
        <v>152</v>
      </c>
      <c r="K148" s="21" t="s">
        <v>152</v>
      </c>
      <c r="L148" s="21" t="s">
        <v>200</v>
      </c>
      <c r="M148" s="21" t="s">
        <v>191</v>
      </c>
      <c r="N148" s="33">
        <v>1981</v>
      </c>
      <c r="O148" s="33">
        <v>438930.17</v>
      </c>
      <c r="P148" s="21" t="s">
        <v>191</v>
      </c>
      <c r="Q148" s="21">
        <v>0</v>
      </c>
      <c r="R148" s="21">
        <v>9</v>
      </c>
      <c r="S148" s="21">
        <v>39503.72</v>
      </c>
      <c r="T148" s="21">
        <v>9</v>
      </c>
      <c r="U148" s="21">
        <v>39503.72</v>
      </c>
      <c r="V148" s="21">
        <v>0</v>
      </c>
      <c r="W148" s="21">
        <v>0</v>
      </c>
      <c r="X148" s="21">
        <v>0</v>
      </c>
      <c r="Y148" s="21">
        <v>79007.44</v>
      </c>
      <c r="Z148" s="21">
        <v>0</v>
      </c>
      <c r="AA148" s="21" t="s">
        <v>176</v>
      </c>
      <c r="AB148" s="21" t="s">
        <v>168</v>
      </c>
      <c r="AC148" s="21">
        <v>63053200</v>
      </c>
      <c r="AD148" s="21" t="s">
        <v>201</v>
      </c>
      <c r="AE148" s="21">
        <v>1</v>
      </c>
      <c r="AF148" s="33">
        <v>1981</v>
      </c>
      <c r="AG148" s="21" t="s">
        <v>202</v>
      </c>
    </row>
    <row r="149" spans="1:33" x14ac:dyDescent="0.25">
      <c r="A149" s="22"/>
      <c r="B149" s="21" t="s">
        <v>888</v>
      </c>
      <c r="C149" s="21" t="s">
        <v>656</v>
      </c>
      <c r="D149" s="21" t="s">
        <v>1247</v>
      </c>
      <c r="E149" s="21" t="s">
        <v>911</v>
      </c>
      <c r="F149" s="21" t="s">
        <v>1248</v>
      </c>
      <c r="G149" s="21" t="s">
        <v>910</v>
      </c>
      <c r="H149" s="21" t="s">
        <v>867</v>
      </c>
      <c r="I149" s="21" t="s">
        <v>188</v>
      </c>
      <c r="J149" s="21" t="s">
        <v>152</v>
      </c>
      <c r="K149" s="21" t="s">
        <v>152</v>
      </c>
      <c r="L149" s="21" t="s">
        <v>200</v>
      </c>
      <c r="M149" s="21" t="s">
        <v>191</v>
      </c>
      <c r="N149" s="33">
        <v>1987</v>
      </c>
      <c r="O149" s="33">
        <v>445922.54</v>
      </c>
      <c r="P149" s="21" t="s">
        <v>191</v>
      </c>
      <c r="Q149" s="21">
        <v>0</v>
      </c>
      <c r="R149" s="21">
        <v>9</v>
      </c>
      <c r="S149" s="21">
        <v>40133.03</v>
      </c>
      <c r="T149" s="21">
        <v>9</v>
      </c>
      <c r="U149" s="21">
        <v>40133.03</v>
      </c>
      <c r="V149" s="21">
        <v>0</v>
      </c>
      <c r="W149" s="21">
        <v>0</v>
      </c>
      <c r="X149" s="21">
        <v>0</v>
      </c>
      <c r="Y149" s="21">
        <v>80266.06</v>
      </c>
      <c r="Z149" s="21">
        <v>0</v>
      </c>
      <c r="AA149" s="21" t="s">
        <v>176</v>
      </c>
      <c r="AB149" s="21" t="s">
        <v>168</v>
      </c>
      <c r="AC149" s="21">
        <v>63053200</v>
      </c>
      <c r="AD149" s="21" t="s">
        <v>201</v>
      </c>
      <c r="AE149" s="21">
        <v>1</v>
      </c>
      <c r="AF149" s="33">
        <v>1987</v>
      </c>
      <c r="AG149" s="21" t="s">
        <v>202</v>
      </c>
    </row>
    <row r="150" spans="1:33" x14ac:dyDescent="0.25">
      <c r="A150" s="22"/>
      <c r="B150" s="21" t="s">
        <v>916</v>
      </c>
      <c r="C150" s="21" t="s">
        <v>1260</v>
      </c>
      <c r="D150" s="21" t="s">
        <v>1252</v>
      </c>
      <c r="E150" s="21" t="s">
        <v>1312</v>
      </c>
      <c r="F150" s="21" t="s">
        <v>1253</v>
      </c>
      <c r="G150" s="21">
        <v>447</v>
      </c>
      <c r="H150" s="23">
        <v>46364</v>
      </c>
      <c r="I150" s="21" t="s">
        <v>169</v>
      </c>
      <c r="J150" s="21" t="s">
        <v>175</v>
      </c>
      <c r="K150" s="21" t="s">
        <v>159</v>
      </c>
      <c r="L150" s="21" t="s">
        <v>159</v>
      </c>
      <c r="M150" s="21" t="s">
        <v>228</v>
      </c>
      <c r="N150" s="21">
        <v>105</v>
      </c>
      <c r="O150" s="33">
        <v>34466.46</v>
      </c>
      <c r="P150" s="21" t="s">
        <v>228</v>
      </c>
      <c r="Q150" s="21">
        <v>40670</v>
      </c>
      <c r="R150" s="21">
        <v>9</v>
      </c>
      <c r="S150" s="21">
        <v>3101.98</v>
      </c>
      <c r="T150" s="21">
        <v>9</v>
      </c>
      <c r="U150" s="21">
        <v>3101.98</v>
      </c>
      <c r="V150" s="21">
        <v>0</v>
      </c>
      <c r="W150" s="21">
        <v>0</v>
      </c>
      <c r="X150" s="21">
        <v>0</v>
      </c>
      <c r="Y150" s="21">
        <v>6203.96</v>
      </c>
      <c r="Z150" s="21">
        <v>0</v>
      </c>
      <c r="AA150" s="21" t="s">
        <v>1269</v>
      </c>
      <c r="AB150" s="21" t="s">
        <v>168</v>
      </c>
      <c r="AC150" s="21">
        <v>3920101</v>
      </c>
      <c r="AD150" s="21" t="s">
        <v>201</v>
      </c>
      <c r="AE150" s="21">
        <v>1</v>
      </c>
      <c r="AF150" s="21">
        <v>105</v>
      </c>
      <c r="AG150" s="21"/>
    </row>
    <row r="151" spans="1:33" x14ac:dyDescent="0.25">
      <c r="A151" s="22"/>
      <c r="B151" s="21" t="s">
        <v>916</v>
      </c>
      <c r="C151" s="21" t="s">
        <v>1260</v>
      </c>
      <c r="D151" s="21" t="s">
        <v>1252</v>
      </c>
      <c r="E151" s="21" t="s">
        <v>1316</v>
      </c>
      <c r="F151" s="21" t="s">
        <v>1253</v>
      </c>
      <c r="G151" s="21">
        <v>448</v>
      </c>
      <c r="H151" s="21" t="s">
        <v>867</v>
      </c>
      <c r="I151" s="21" t="s">
        <v>169</v>
      </c>
      <c r="J151" s="21" t="s">
        <v>175</v>
      </c>
      <c r="K151" s="21" t="s">
        <v>159</v>
      </c>
      <c r="L151" s="21" t="s">
        <v>159</v>
      </c>
      <c r="M151" s="21" t="s">
        <v>228</v>
      </c>
      <c r="N151" s="21">
        <v>65</v>
      </c>
      <c r="O151" s="33">
        <v>25379.97</v>
      </c>
      <c r="P151" s="21" t="s">
        <v>228</v>
      </c>
      <c r="Q151" s="21">
        <v>29948.01</v>
      </c>
      <c r="R151" s="21">
        <v>9</v>
      </c>
      <c r="S151" s="21">
        <v>2284.1999999999998</v>
      </c>
      <c r="T151" s="21">
        <v>9</v>
      </c>
      <c r="U151" s="21">
        <v>2284.1999999999998</v>
      </c>
      <c r="V151" s="21">
        <v>0</v>
      </c>
      <c r="W151" s="21">
        <v>0</v>
      </c>
      <c r="X151" s="21">
        <v>0</v>
      </c>
      <c r="Y151" s="21">
        <v>4568.3999999999996</v>
      </c>
      <c r="Z151" s="21">
        <v>0</v>
      </c>
      <c r="AA151" s="21" t="s">
        <v>1269</v>
      </c>
      <c r="AB151" s="21" t="s">
        <v>168</v>
      </c>
      <c r="AC151" s="21">
        <v>3920101</v>
      </c>
      <c r="AD151" s="21" t="s">
        <v>201</v>
      </c>
      <c r="AE151" s="21">
        <v>1</v>
      </c>
      <c r="AF151" s="21">
        <v>65</v>
      </c>
      <c r="AG151" s="21"/>
    </row>
    <row r="152" spans="1:33" x14ac:dyDescent="0.25">
      <c r="A152" s="22"/>
      <c r="B152" s="21" t="s">
        <v>916</v>
      </c>
      <c r="C152" s="21" t="s">
        <v>633</v>
      </c>
      <c r="D152" s="21" t="s">
        <v>1247</v>
      </c>
      <c r="E152" s="21" t="s">
        <v>922</v>
      </c>
      <c r="F152" s="21" t="s">
        <v>1248</v>
      </c>
      <c r="G152" s="21" t="s">
        <v>921</v>
      </c>
      <c r="H152" s="21" t="s">
        <v>888</v>
      </c>
      <c r="I152" s="21" t="s">
        <v>169</v>
      </c>
      <c r="J152" s="21" t="s">
        <v>179</v>
      </c>
      <c r="K152" s="21" t="s">
        <v>156</v>
      </c>
      <c r="L152" s="21" t="s">
        <v>211</v>
      </c>
      <c r="M152" s="21" t="s">
        <v>178</v>
      </c>
      <c r="N152" s="33">
        <v>2876</v>
      </c>
      <c r="O152" s="33">
        <v>429444.32</v>
      </c>
      <c r="P152" s="21" t="s">
        <v>178</v>
      </c>
      <c r="Q152" s="21">
        <v>977745.18</v>
      </c>
      <c r="R152" s="21">
        <v>9</v>
      </c>
      <c r="S152" s="21">
        <v>38649.99</v>
      </c>
      <c r="T152" s="21">
        <v>9</v>
      </c>
      <c r="U152" s="21">
        <v>38649.99</v>
      </c>
      <c r="V152" s="21">
        <v>0</v>
      </c>
      <c r="W152" s="21">
        <v>0</v>
      </c>
      <c r="X152" s="21">
        <v>0</v>
      </c>
      <c r="Y152" s="21">
        <v>77299.98</v>
      </c>
      <c r="Z152" s="21">
        <v>0</v>
      </c>
      <c r="AA152" s="21" t="s">
        <v>176</v>
      </c>
      <c r="AB152" s="21" t="s">
        <v>168</v>
      </c>
      <c r="AC152" s="21">
        <v>63053300</v>
      </c>
      <c r="AD152" s="21" t="s">
        <v>201</v>
      </c>
      <c r="AE152" s="21">
        <v>1</v>
      </c>
      <c r="AF152" s="33">
        <v>2876</v>
      </c>
      <c r="AG152" s="21" t="s">
        <v>202</v>
      </c>
    </row>
    <row r="153" spans="1:33" x14ac:dyDescent="0.25">
      <c r="A153" s="22"/>
      <c r="B153" s="21" t="s">
        <v>916</v>
      </c>
      <c r="C153" s="21" t="s">
        <v>633</v>
      </c>
      <c r="D153" s="21" t="s">
        <v>1247</v>
      </c>
      <c r="E153" s="21" t="s">
        <v>922</v>
      </c>
      <c r="F153" s="21" t="s">
        <v>1248</v>
      </c>
      <c r="G153" s="21" t="s">
        <v>921</v>
      </c>
      <c r="H153" s="21" t="s">
        <v>888</v>
      </c>
      <c r="I153" s="21" t="s">
        <v>169</v>
      </c>
      <c r="J153" s="21" t="s">
        <v>181</v>
      </c>
      <c r="K153" s="21" t="s">
        <v>154</v>
      </c>
      <c r="L153" s="21" t="s">
        <v>154</v>
      </c>
      <c r="M153" s="21" t="s">
        <v>181</v>
      </c>
      <c r="N153" s="21">
        <v>253.9</v>
      </c>
      <c r="O153" s="33">
        <v>37404.550000000003</v>
      </c>
      <c r="P153" s="21" t="s">
        <v>181</v>
      </c>
      <c r="Q153" s="21">
        <v>0</v>
      </c>
      <c r="R153" s="21">
        <v>9</v>
      </c>
      <c r="S153" s="21">
        <v>3366.41</v>
      </c>
      <c r="T153" s="21">
        <v>9</v>
      </c>
      <c r="U153" s="21">
        <v>3366.41</v>
      </c>
      <c r="V153" s="21">
        <v>0</v>
      </c>
      <c r="W153" s="21">
        <v>0</v>
      </c>
      <c r="X153" s="21">
        <v>0</v>
      </c>
      <c r="Y153" s="21">
        <v>6732.82</v>
      </c>
      <c r="Z153" s="21">
        <v>0</v>
      </c>
      <c r="AA153" s="21" t="s">
        <v>176</v>
      </c>
      <c r="AB153" s="21" t="s">
        <v>168</v>
      </c>
      <c r="AC153" s="21">
        <v>3926908</v>
      </c>
      <c r="AD153" s="21" t="s">
        <v>201</v>
      </c>
      <c r="AE153" s="21">
        <v>1</v>
      </c>
      <c r="AF153" s="21">
        <v>253.9</v>
      </c>
      <c r="AG153" s="21" t="s">
        <v>202</v>
      </c>
    </row>
    <row r="154" spans="1:33" x14ac:dyDescent="0.25">
      <c r="A154" s="22"/>
      <c r="B154" s="21" t="s">
        <v>916</v>
      </c>
      <c r="C154" s="21" t="s">
        <v>633</v>
      </c>
      <c r="D154" s="21" t="s">
        <v>1247</v>
      </c>
      <c r="E154" s="21" t="s">
        <v>922</v>
      </c>
      <c r="F154" s="21" t="s">
        <v>1248</v>
      </c>
      <c r="G154" s="21" t="s">
        <v>921</v>
      </c>
      <c r="H154" s="21" t="s">
        <v>888</v>
      </c>
      <c r="I154" s="21" t="s">
        <v>169</v>
      </c>
      <c r="J154" s="21" t="s">
        <v>181</v>
      </c>
      <c r="K154" s="21" t="s">
        <v>154</v>
      </c>
      <c r="L154" s="21" t="s">
        <v>154</v>
      </c>
      <c r="M154" s="21" t="s">
        <v>181</v>
      </c>
      <c r="N154" s="21">
        <v>95.9</v>
      </c>
      <c r="O154" s="33">
        <v>13840.29</v>
      </c>
      <c r="P154" s="21" t="s">
        <v>181</v>
      </c>
      <c r="Q154" s="21">
        <v>0</v>
      </c>
      <c r="R154" s="21">
        <v>9</v>
      </c>
      <c r="S154" s="21">
        <v>1245.6300000000001</v>
      </c>
      <c r="T154" s="21">
        <v>9</v>
      </c>
      <c r="U154" s="21">
        <v>1245.6300000000001</v>
      </c>
      <c r="V154" s="21">
        <v>0</v>
      </c>
      <c r="W154" s="21">
        <v>0</v>
      </c>
      <c r="X154" s="21">
        <v>0</v>
      </c>
      <c r="Y154" s="21">
        <v>2491.2600000000002</v>
      </c>
      <c r="Z154" s="21">
        <v>0</v>
      </c>
      <c r="AA154" s="21" t="s">
        <v>176</v>
      </c>
      <c r="AB154" s="21" t="s">
        <v>168</v>
      </c>
      <c r="AC154" s="21">
        <v>3926908</v>
      </c>
      <c r="AD154" s="21" t="s">
        <v>201</v>
      </c>
      <c r="AE154" s="21">
        <v>1</v>
      </c>
      <c r="AF154" s="21">
        <v>95.9</v>
      </c>
      <c r="AG154" s="21" t="s">
        <v>202</v>
      </c>
    </row>
    <row r="155" spans="1:33" x14ac:dyDescent="0.25">
      <c r="A155" s="22"/>
      <c r="B155" s="21" t="s">
        <v>916</v>
      </c>
      <c r="C155" s="21" t="s">
        <v>633</v>
      </c>
      <c r="D155" s="21" t="s">
        <v>1247</v>
      </c>
      <c r="E155" s="21" t="s">
        <v>922</v>
      </c>
      <c r="F155" s="21" t="s">
        <v>1248</v>
      </c>
      <c r="G155" s="21" t="s">
        <v>921</v>
      </c>
      <c r="H155" s="21" t="s">
        <v>888</v>
      </c>
      <c r="I155" s="21" t="s">
        <v>169</v>
      </c>
      <c r="J155" s="21" t="s">
        <v>181</v>
      </c>
      <c r="K155" s="21" t="s">
        <v>154</v>
      </c>
      <c r="L155" s="21" t="s">
        <v>154</v>
      </c>
      <c r="M155" s="21" t="s">
        <v>181</v>
      </c>
      <c r="N155" s="21">
        <v>71.599999999999994</v>
      </c>
      <c r="O155" s="33">
        <v>11836.91</v>
      </c>
      <c r="P155" s="21" t="s">
        <v>181</v>
      </c>
      <c r="Q155" s="21">
        <v>0</v>
      </c>
      <c r="R155" s="21">
        <v>9</v>
      </c>
      <c r="S155" s="21">
        <v>1065.32</v>
      </c>
      <c r="T155" s="21">
        <v>9</v>
      </c>
      <c r="U155" s="21">
        <v>1065.32</v>
      </c>
      <c r="V155" s="21">
        <v>0</v>
      </c>
      <c r="W155" s="21">
        <v>0</v>
      </c>
      <c r="X155" s="21">
        <v>0</v>
      </c>
      <c r="Y155" s="21">
        <v>2130.64</v>
      </c>
      <c r="Z155" s="21">
        <v>0</v>
      </c>
      <c r="AA155" s="21" t="s">
        <v>176</v>
      </c>
      <c r="AB155" s="21" t="s">
        <v>168</v>
      </c>
      <c r="AC155" s="21">
        <v>3926908</v>
      </c>
      <c r="AD155" s="21" t="s">
        <v>201</v>
      </c>
      <c r="AE155" s="21">
        <v>1</v>
      </c>
      <c r="AF155" s="21">
        <v>71.599999999999994</v>
      </c>
      <c r="AG155" s="21" t="s">
        <v>202</v>
      </c>
    </row>
    <row r="156" spans="1:33" x14ac:dyDescent="0.25">
      <c r="A156" s="22"/>
      <c r="B156" s="21" t="s">
        <v>916</v>
      </c>
      <c r="C156" s="21" t="s">
        <v>633</v>
      </c>
      <c r="D156" s="21" t="s">
        <v>1247</v>
      </c>
      <c r="E156" s="21" t="s">
        <v>922</v>
      </c>
      <c r="F156" s="21" t="s">
        <v>1248</v>
      </c>
      <c r="G156" s="21" t="s">
        <v>921</v>
      </c>
      <c r="H156" s="21" t="s">
        <v>888</v>
      </c>
      <c r="I156" s="21" t="s">
        <v>169</v>
      </c>
      <c r="J156" s="21" t="s">
        <v>179</v>
      </c>
      <c r="K156" s="21" t="s">
        <v>155</v>
      </c>
      <c r="L156" s="21" t="s">
        <v>203</v>
      </c>
      <c r="M156" s="21" t="s">
        <v>183</v>
      </c>
      <c r="N156" s="21">
        <v>517</v>
      </c>
      <c r="O156" s="33">
        <v>73579.44</v>
      </c>
      <c r="P156" s="21" t="s">
        <v>183</v>
      </c>
      <c r="Q156" s="21">
        <v>0</v>
      </c>
      <c r="R156" s="21">
        <v>9</v>
      </c>
      <c r="S156" s="21">
        <v>6622.15</v>
      </c>
      <c r="T156" s="21">
        <v>9</v>
      </c>
      <c r="U156" s="21">
        <v>6622.15</v>
      </c>
      <c r="V156" s="21">
        <v>0</v>
      </c>
      <c r="W156" s="21">
        <v>0</v>
      </c>
      <c r="X156" s="21">
        <v>0</v>
      </c>
      <c r="Y156" s="21">
        <v>13244.3</v>
      </c>
      <c r="Z156" s="21">
        <v>0</v>
      </c>
      <c r="AA156" s="21" t="s">
        <v>176</v>
      </c>
      <c r="AB156" s="21" t="s">
        <v>168</v>
      </c>
      <c r="AC156" s="21">
        <v>39269080</v>
      </c>
      <c r="AD156" s="21" t="s">
        <v>201</v>
      </c>
      <c r="AE156" s="21">
        <v>1</v>
      </c>
      <c r="AF156" s="21">
        <v>517</v>
      </c>
      <c r="AG156" s="21" t="s">
        <v>202</v>
      </c>
    </row>
    <row r="157" spans="1:33" x14ac:dyDescent="0.25">
      <c r="A157" s="22"/>
      <c r="B157" s="21" t="s">
        <v>916</v>
      </c>
      <c r="C157" s="21" t="s">
        <v>633</v>
      </c>
      <c r="D157" s="21" t="s">
        <v>1247</v>
      </c>
      <c r="E157" s="21" t="s">
        <v>922</v>
      </c>
      <c r="F157" s="21" t="s">
        <v>1248</v>
      </c>
      <c r="G157" s="21" t="s">
        <v>921</v>
      </c>
      <c r="H157" s="21" t="s">
        <v>888</v>
      </c>
      <c r="I157" s="21" t="s">
        <v>169</v>
      </c>
      <c r="J157" s="21" t="s">
        <v>170</v>
      </c>
      <c r="K157" s="21" t="s">
        <v>157</v>
      </c>
      <c r="L157" s="21" t="s">
        <v>225</v>
      </c>
      <c r="M157" s="21" t="s">
        <v>705</v>
      </c>
      <c r="N157" s="35">
        <v>479.9</v>
      </c>
      <c r="O157" s="33">
        <v>74058.17</v>
      </c>
      <c r="P157" s="21" t="s">
        <v>705</v>
      </c>
      <c r="Q157" s="21">
        <v>0</v>
      </c>
      <c r="R157" s="21">
        <v>2.5</v>
      </c>
      <c r="S157" s="21">
        <v>1851.45</v>
      </c>
      <c r="T157" s="21">
        <v>2.5</v>
      </c>
      <c r="U157" s="21">
        <v>1851.45</v>
      </c>
      <c r="V157" s="21">
        <v>0</v>
      </c>
      <c r="W157" s="21">
        <v>0</v>
      </c>
      <c r="X157" s="21">
        <v>0</v>
      </c>
      <c r="Y157" s="21">
        <v>3702.9</v>
      </c>
      <c r="Z157" s="21">
        <v>0</v>
      </c>
      <c r="AA157" s="21" t="s">
        <v>176</v>
      </c>
      <c r="AB157" s="21" t="s">
        <v>184</v>
      </c>
      <c r="AC157" s="21">
        <v>54026930</v>
      </c>
      <c r="AD157" s="21" t="s">
        <v>201</v>
      </c>
      <c r="AE157" s="21">
        <v>1</v>
      </c>
      <c r="AF157" s="21">
        <v>479.9</v>
      </c>
      <c r="AG157" s="21" t="s">
        <v>202</v>
      </c>
    </row>
    <row r="158" spans="1:33" x14ac:dyDescent="0.25">
      <c r="A158" s="22"/>
      <c r="B158" s="21" t="s">
        <v>916</v>
      </c>
      <c r="C158" s="21" t="s">
        <v>633</v>
      </c>
      <c r="D158" s="21" t="s">
        <v>1247</v>
      </c>
      <c r="E158" s="21" t="s">
        <v>922</v>
      </c>
      <c r="F158" s="21" t="s">
        <v>1248</v>
      </c>
      <c r="G158" s="21" t="s">
        <v>921</v>
      </c>
      <c r="H158" s="21" t="s">
        <v>888</v>
      </c>
      <c r="I158" s="21" t="s">
        <v>169</v>
      </c>
      <c r="J158" s="21" t="s">
        <v>170</v>
      </c>
      <c r="K158" s="21" t="s">
        <v>157</v>
      </c>
      <c r="L158" s="21" t="s">
        <v>225</v>
      </c>
      <c r="M158" s="21" t="s">
        <v>707</v>
      </c>
      <c r="N158" s="35">
        <v>411.9</v>
      </c>
      <c r="O158" s="33">
        <v>63564.41</v>
      </c>
      <c r="P158" s="21" t="s">
        <v>707</v>
      </c>
      <c r="Q158" s="21">
        <v>0</v>
      </c>
      <c r="R158" s="21">
        <v>2.5</v>
      </c>
      <c r="S158" s="21">
        <v>1589.11</v>
      </c>
      <c r="T158" s="21">
        <v>2.5</v>
      </c>
      <c r="U158" s="21">
        <v>1589.11</v>
      </c>
      <c r="V158" s="21">
        <v>0</v>
      </c>
      <c r="W158" s="21">
        <v>0</v>
      </c>
      <c r="X158" s="21">
        <v>0</v>
      </c>
      <c r="Y158" s="21">
        <v>3178.22</v>
      </c>
      <c r="Z158" s="21">
        <v>0</v>
      </c>
      <c r="AA158" s="21" t="s">
        <v>176</v>
      </c>
      <c r="AB158" s="21" t="s">
        <v>184</v>
      </c>
      <c r="AC158" s="21">
        <v>540263</v>
      </c>
      <c r="AD158" s="21" t="s">
        <v>201</v>
      </c>
      <c r="AE158" s="21">
        <v>1</v>
      </c>
      <c r="AF158" s="21">
        <v>411.9</v>
      </c>
      <c r="AG158" s="21" t="s">
        <v>202</v>
      </c>
    </row>
    <row r="159" spans="1:33" x14ac:dyDescent="0.25">
      <c r="A159" s="22"/>
      <c r="B159" s="21" t="s">
        <v>916</v>
      </c>
      <c r="C159" s="21" t="s">
        <v>633</v>
      </c>
      <c r="D159" s="21" t="s">
        <v>1247</v>
      </c>
      <c r="E159" s="21" t="s">
        <v>922</v>
      </c>
      <c r="F159" s="21" t="s">
        <v>1248</v>
      </c>
      <c r="G159" s="21" t="s">
        <v>921</v>
      </c>
      <c r="H159" s="21" t="s">
        <v>888</v>
      </c>
      <c r="I159" s="21" t="s">
        <v>169</v>
      </c>
      <c r="J159" s="21" t="s">
        <v>170</v>
      </c>
      <c r="K159" s="21" t="s">
        <v>157</v>
      </c>
      <c r="L159" s="21" t="s">
        <v>225</v>
      </c>
      <c r="M159" s="21" t="s">
        <v>919</v>
      </c>
      <c r="N159" s="35">
        <v>307.8</v>
      </c>
      <c r="O159" s="33">
        <v>48423.1</v>
      </c>
      <c r="P159" s="21" t="s">
        <v>919</v>
      </c>
      <c r="Q159" s="21">
        <v>0</v>
      </c>
      <c r="R159" s="21">
        <v>2.5</v>
      </c>
      <c r="S159" s="21">
        <v>1210.58</v>
      </c>
      <c r="T159" s="21">
        <v>2.5</v>
      </c>
      <c r="U159" s="21">
        <v>1210.58</v>
      </c>
      <c r="V159" s="21">
        <v>0</v>
      </c>
      <c r="W159" s="21">
        <v>0</v>
      </c>
      <c r="X159" s="21">
        <v>0</v>
      </c>
      <c r="Y159" s="21">
        <v>2421.16</v>
      </c>
      <c r="Z159" s="21">
        <v>0</v>
      </c>
      <c r="AA159" s="21" t="s">
        <v>176</v>
      </c>
      <c r="AB159" s="21" t="s">
        <v>184</v>
      </c>
      <c r="AC159" s="21">
        <v>54026930</v>
      </c>
      <c r="AD159" s="21" t="s">
        <v>201</v>
      </c>
      <c r="AE159" s="21">
        <v>1</v>
      </c>
      <c r="AF159" s="21">
        <v>307.8</v>
      </c>
      <c r="AG159" s="21" t="s">
        <v>202</v>
      </c>
    </row>
    <row r="160" spans="1:33" x14ac:dyDescent="0.25">
      <c r="A160" s="22"/>
      <c r="B160" s="21" t="s">
        <v>916</v>
      </c>
      <c r="C160" s="21" t="s">
        <v>633</v>
      </c>
      <c r="D160" s="21" t="s">
        <v>1247</v>
      </c>
      <c r="E160" s="21" t="s">
        <v>922</v>
      </c>
      <c r="F160" s="21" t="s">
        <v>1248</v>
      </c>
      <c r="G160" s="21" t="s">
        <v>921</v>
      </c>
      <c r="H160" s="21" t="s">
        <v>888</v>
      </c>
      <c r="I160" s="21" t="s">
        <v>169</v>
      </c>
      <c r="J160" s="21" t="s">
        <v>197</v>
      </c>
      <c r="K160" s="21" t="s">
        <v>158</v>
      </c>
      <c r="L160" s="21" t="s">
        <v>213</v>
      </c>
      <c r="M160" s="21" t="s">
        <v>196</v>
      </c>
      <c r="N160" s="21">
        <v>585.29999999999995</v>
      </c>
      <c r="O160" s="33">
        <v>97663.16</v>
      </c>
      <c r="P160" s="21" t="s">
        <v>196</v>
      </c>
      <c r="Q160" s="21">
        <v>0</v>
      </c>
      <c r="R160" s="21">
        <v>9</v>
      </c>
      <c r="S160" s="21">
        <v>8789.68</v>
      </c>
      <c r="T160" s="21">
        <v>9</v>
      </c>
      <c r="U160" s="21">
        <v>8789.68</v>
      </c>
      <c r="V160" s="21">
        <v>0</v>
      </c>
      <c r="W160" s="21">
        <v>0</v>
      </c>
      <c r="X160" s="21">
        <v>0</v>
      </c>
      <c r="Y160" s="21">
        <v>17579.36</v>
      </c>
      <c r="Z160" s="21">
        <v>0</v>
      </c>
      <c r="AA160" s="21" t="s">
        <v>176</v>
      </c>
      <c r="AB160" s="21" t="s">
        <v>168</v>
      </c>
      <c r="AC160" s="21">
        <v>3920101</v>
      </c>
      <c r="AD160" s="21" t="s">
        <v>201</v>
      </c>
      <c r="AE160" s="21">
        <v>1</v>
      </c>
      <c r="AF160" s="21">
        <v>585.29999999999995</v>
      </c>
      <c r="AG160" s="21" t="s">
        <v>202</v>
      </c>
    </row>
    <row r="161" spans="1:33" x14ac:dyDescent="0.25">
      <c r="A161" s="22"/>
      <c r="B161" s="21" t="s">
        <v>916</v>
      </c>
      <c r="C161" s="21" t="s">
        <v>656</v>
      </c>
      <c r="D161" s="21" t="s">
        <v>1247</v>
      </c>
      <c r="E161" s="21" t="s">
        <v>927</v>
      </c>
      <c r="F161" s="21" t="s">
        <v>1248</v>
      </c>
      <c r="G161" s="21" t="s">
        <v>926</v>
      </c>
      <c r="H161" s="21" t="s">
        <v>888</v>
      </c>
      <c r="I161" s="21" t="s">
        <v>169</v>
      </c>
      <c r="J161" s="21" t="s">
        <v>179</v>
      </c>
      <c r="K161" s="21" t="s">
        <v>155</v>
      </c>
      <c r="L161" s="21" t="s">
        <v>203</v>
      </c>
      <c r="M161" s="21" t="s">
        <v>183</v>
      </c>
      <c r="N161" s="33">
        <v>4359</v>
      </c>
      <c r="O161" s="33">
        <v>531798</v>
      </c>
      <c r="P161" s="21" t="s">
        <v>183</v>
      </c>
      <c r="Q161" s="21">
        <v>626989.84</v>
      </c>
      <c r="R161" s="21">
        <v>9</v>
      </c>
      <c r="S161" s="21">
        <v>47861.82</v>
      </c>
      <c r="T161" s="21">
        <v>9</v>
      </c>
      <c r="U161" s="21">
        <v>47861.82</v>
      </c>
      <c r="V161" s="21">
        <v>0</v>
      </c>
      <c r="W161" s="21">
        <v>0</v>
      </c>
      <c r="X161" s="21">
        <v>0</v>
      </c>
      <c r="Y161" s="21">
        <v>95723.64</v>
      </c>
      <c r="Z161" s="21">
        <v>0</v>
      </c>
      <c r="AA161" s="21" t="s">
        <v>176</v>
      </c>
      <c r="AB161" s="21" t="s">
        <v>168</v>
      </c>
      <c r="AC161" s="21">
        <v>39269080</v>
      </c>
      <c r="AD161" s="21" t="s">
        <v>201</v>
      </c>
      <c r="AE161" s="21">
        <v>1</v>
      </c>
      <c r="AF161" s="33">
        <v>4359</v>
      </c>
      <c r="AG161" s="21" t="s">
        <v>202</v>
      </c>
    </row>
    <row r="162" spans="1:33" x14ac:dyDescent="0.25">
      <c r="A162" s="22"/>
      <c r="B162" s="21" t="s">
        <v>916</v>
      </c>
      <c r="C162" s="21" t="s">
        <v>1280</v>
      </c>
      <c r="D162" s="21" t="s">
        <v>1252</v>
      </c>
      <c r="E162" s="21" t="s">
        <v>1320</v>
      </c>
      <c r="F162" s="21" t="s">
        <v>1333</v>
      </c>
      <c r="G162" s="21" t="s">
        <v>1319</v>
      </c>
      <c r="H162" s="23">
        <v>46242</v>
      </c>
      <c r="I162" s="21" t="s">
        <v>1032</v>
      </c>
      <c r="J162" s="21" t="s">
        <v>1285</v>
      </c>
      <c r="K162" s="21" t="s">
        <v>159</v>
      </c>
      <c r="L162" s="21" t="s">
        <v>159</v>
      </c>
      <c r="M162" s="21" t="s">
        <v>1277</v>
      </c>
      <c r="N162" s="21">
        <v>10.35</v>
      </c>
      <c r="O162" s="33">
        <v>16893.75</v>
      </c>
      <c r="P162" s="21" t="s">
        <v>1277</v>
      </c>
      <c r="Q162" s="21">
        <v>18106</v>
      </c>
      <c r="R162" s="21">
        <v>0</v>
      </c>
      <c r="S162" s="21">
        <v>0</v>
      </c>
      <c r="T162" s="21">
        <v>0</v>
      </c>
      <c r="U162" s="21">
        <v>0</v>
      </c>
      <c r="V162" s="21">
        <v>5</v>
      </c>
      <c r="W162" s="21">
        <v>844.6875</v>
      </c>
      <c r="X162" s="21">
        <v>17.5</v>
      </c>
      <c r="Y162" s="21">
        <v>862.1875</v>
      </c>
      <c r="Z162" s="21">
        <v>0</v>
      </c>
      <c r="AA162" s="21" t="s">
        <v>1286</v>
      </c>
      <c r="AB162" s="21" t="s">
        <v>1279</v>
      </c>
      <c r="AC162" s="21">
        <v>58079010</v>
      </c>
      <c r="AD162" s="21" t="s">
        <v>201</v>
      </c>
      <c r="AE162" s="21">
        <v>1</v>
      </c>
      <c r="AF162" s="21">
        <v>10.35</v>
      </c>
      <c r="AG162" s="21" t="s">
        <v>202</v>
      </c>
    </row>
    <row r="163" spans="1:33" x14ac:dyDescent="0.25">
      <c r="A163" s="22"/>
      <c r="B163" s="21" t="s">
        <v>928</v>
      </c>
      <c r="C163" s="21" t="s">
        <v>677</v>
      </c>
      <c r="D163" s="21" t="s">
        <v>1247</v>
      </c>
      <c r="E163" s="21" t="s">
        <v>932</v>
      </c>
      <c r="F163" s="21" t="s">
        <v>1248</v>
      </c>
      <c r="G163" s="21" t="s">
        <v>931</v>
      </c>
      <c r="H163" s="21" t="s">
        <v>888</v>
      </c>
      <c r="I163" s="21" t="s">
        <v>188</v>
      </c>
      <c r="J163" s="21" t="s">
        <v>152</v>
      </c>
      <c r="K163" s="21" t="s">
        <v>152</v>
      </c>
      <c r="L163" s="21" t="s">
        <v>200</v>
      </c>
      <c r="M163" s="21" t="s">
        <v>191</v>
      </c>
      <c r="N163" s="21">
        <v>386</v>
      </c>
      <c r="O163" s="33">
        <v>86313.46</v>
      </c>
      <c r="P163" s="21" t="s">
        <v>191</v>
      </c>
      <c r="Q163" s="21">
        <v>5124056.6900000004</v>
      </c>
      <c r="R163" s="21">
        <v>9</v>
      </c>
      <c r="S163" s="21">
        <v>7768.21</v>
      </c>
      <c r="T163" s="21">
        <v>9</v>
      </c>
      <c r="U163" s="21">
        <v>7768.21</v>
      </c>
      <c r="V163" s="21">
        <v>0</v>
      </c>
      <c r="W163" s="21">
        <v>0</v>
      </c>
      <c r="X163" s="21">
        <v>0</v>
      </c>
      <c r="Y163" s="21">
        <v>15536.42</v>
      </c>
      <c r="Z163" s="21">
        <v>0</v>
      </c>
      <c r="AA163" s="21" t="s">
        <v>171</v>
      </c>
      <c r="AB163" s="21" t="s">
        <v>168</v>
      </c>
      <c r="AC163" s="21">
        <v>63053200</v>
      </c>
      <c r="AD163" s="21" t="s">
        <v>201</v>
      </c>
      <c r="AE163" s="21">
        <v>1</v>
      </c>
      <c r="AF163" s="21">
        <v>386</v>
      </c>
      <c r="AG163" s="21" t="s">
        <v>202</v>
      </c>
    </row>
    <row r="164" spans="1:33" x14ac:dyDescent="0.25">
      <c r="A164" s="22"/>
      <c r="B164" s="21" t="s">
        <v>928</v>
      </c>
      <c r="C164" s="21" t="s">
        <v>677</v>
      </c>
      <c r="D164" s="21" t="s">
        <v>1247</v>
      </c>
      <c r="E164" s="21" t="s">
        <v>932</v>
      </c>
      <c r="F164" s="21" t="s">
        <v>1248</v>
      </c>
      <c r="G164" s="21" t="s">
        <v>931</v>
      </c>
      <c r="H164" s="21" t="s">
        <v>888</v>
      </c>
      <c r="I164" s="21" t="s">
        <v>188</v>
      </c>
      <c r="J164" s="21" t="s">
        <v>152</v>
      </c>
      <c r="K164" s="21" t="s">
        <v>152</v>
      </c>
      <c r="L164" s="21" t="s">
        <v>200</v>
      </c>
      <c r="M164" s="21" t="s">
        <v>187</v>
      </c>
      <c r="N164" s="33">
        <v>2584</v>
      </c>
      <c r="O164" s="33">
        <v>580883.19999999995</v>
      </c>
      <c r="P164" s="21" t="s">
        <v>187</v>
      </c>
      <c r="Q164" s="21">
        <v>0</v>
      </c>
      <c r="R164" s="21">
        <v>9</v>
      </c>
      <c r="S164" s="21">
        <v>52279.49</v>
      </c>
      <c r="T164" s="21">
        <v>9</v>
      </c>
      <c r="U164" s="21">
        <v>52279.49</v>
      </c>
      <c r="V164" s="21">
        <v>0</v>
      </c>
      <c r="W164" s="21">
        <v>0</v>
      </c>
      <c r="X164" s="21">
        <v>0</v>
      </c>
      <c r="Y164" s="21">
        <v>104558.98</v>
      </c>
      <c r="Z164" s="21">
        <v>0</v>
      </c>
      <c r="AA164" s="21" t="s">
        <v>171</v>
      </c>
      <c r="AB164" s="21" t="s">
        <v>168</v>
      </c>
      <c r="AC164" s="21">
        <v>63053200</v>
      </c>
      <c r="AD164" s="21" t="s">
        <v>201</v>
      </c>
      <c r="AE164" s="21">
        <v>1</v>
      </c>
      <c r="AF164" s="33">
        <v>2584</v>
      </c>
      <c r="AG164" s="21" t="s">
        <v>202</v>
      </c>
    </row>
    <row r="165" spans="1:33" x14ac:dyDescent="0.25">
      <c r="A165" s="22"/>
      <c r="B165" s="21" t="s">
        <v>928</v>
      </c>
      <c r="C165" s="21" t="s">
        <v>677</v>
      </c>
      <c r="D165" s="21" t="s">
        <v>1247</v>
      </c>
      <c r="E165" s="21" t="s">
        <v>932</v>
      </c>
      <c r="F165" s="21" t="s">
        <v>1248</v>
      </c>
      <c r="G165" s="21" t="s">
        <v>931</v>
      </c>
      <c r="H165" s="21" t="s">
        <v>888</v>
      </c>
      <c r="I165" s="21" t="s">
        <v>188</v>
      </c>
      <c r="J165" s="21" t="s">
        <v>152</v>
      </c>
      <c r="K165" s="21" t="s">
        <v>152</v>
      </c>
      <c r="L165" s="21" t="s">
        <v>200</v>
      </c>
      <c r="M165" s="21" t="s">
        <v>191</v>
      </c>
      <c r="N165" s="33">
        <v>16414.900000000001</v>
      </c>
      <c r="O165" s="33">
        <v>3678907.39</v>
      </c>
      <c r="P165" s="21" t="s">
        <v>191</v>
      </c>
      <c r="Q165" s="21">
        <v>0</v>
      </c>
      <c r="R165" s="21">
        <v>9</v>
      </c>
      <c r="S165" s="21">
        <v>331101.65999999997</v>
      </c>
      <c r="T165" s="21">
        <v>9</v>
      </c>
      <c r="U165" s="21">
        <v>331101.65999999997</v>
      </c>
      <c r="V165" s="21">
        <v>0</v>
      </c>
      <c r="W165" s="21">
        <v>0</v>
      </c>
      <c r="X165" s="21">
        <v>0</v>
      </c>
      <c r="Y165" s="21">
        <v>662203.31999999995</v>
      </c>
      <c r="Z165" s="21">
        <v>0</v>
      </c>
      <c r="AA165" s="21" t="s">
        <v>171</v>
      </c>
      <c r="AB165" s="21" t="s">
        <v>168</v>
      </c>
      <c r="AC165" s="21">
        <v>63053200</v>
      </c>
      <c r="AD165" s="21" t="s">
        <v>201</v>
      </c>
      <c r="AE165" s="21">
        <v>1</v>
      </c>
      <c r="AF165" s="33">
        <v>16414.900000000001</v>
      </c>
      <c r="AG165" s="21" t="s">
        <v>202</v>
      </c>
    </row>
    <row r="166" spans="1:33" x14ac:dyDescent="0.25">
      <c r="A166" s="22"/>
      <c r="B166" s="21" t="s">
        <v>928</v>
      </c>
      <c r="C166" s="21" t="s">
        <v>633</v>
      </c>
      <c r="D166" s="21" t="s">
        <v>1247</v>
      </c>
      <c r="E166" s="21" t="s">
        <v>947</v>
      </c>
      <c r="F166" s="21" t="s">
        <v>1248</v>
      </c>
      <c r="G166" s="21" t="s">
        <v>946</v>
      </c>
      <c r="H166" s="21" t="s">
        <v>928</v>
      </c>
      <c r="I166" s="21" t="s">
        <v>169</v>
      </c>
      <c r="J166" s="21" t="s">
        <v>181</v>
      </c>
      <c r="K166" s="21" t="s">
        <v>154</v>
      </c>
      <c r="L166" s="21" t="s">
        <v>154</v>
      </c>
      <c r="M166" s="21" t="s">
        <v>181</v>
      </c>
      <c r="N166" s="21">
        <v>56</v>
      </c>
      <c r="O166" s="33">
        <v>8081.92</v>
      </c>
      <c r="P166" s="21" t="s">
        <v>181</v>
      </c>
      <c r="Q166" s="21">
        <v>1750833.26</v>
      </c>
      <c r="R166" s="21">
        <v>9</v>
      </c>
      <c r="S166" s="21">
        <v>727.37</v>
      </c>
      <c r="T166" s="21">
        <v>9</v>
      </c>
      <c r="U166" s="21">
        <v>727.37</v>
      </c>
      <c r="V166" s="21">
        <v>0</v>
      </c>
      <c r="W166" s="21">
        <v>0</v>
      </c>
      <c r="X166" s="21">
        <v>0</v>
      </c>
      <c r="Y166" s="21">
        <v>1454.74</v>
      </c>
      <c r="Z166" s="21">
        <v>0</v>
      </c>
      <c r="AA166" s="21" t="s">
        <v>176</v>
      </c>
      <c r="AB166" s="21" t="s">
        <v>168</v>
      </c>
      <c r="AC166" s="21">
        <v>3926908</v>
      </c>
      <c r="AD166" s="21" t="s">
        <v>201</v>
      </c>
      <c r="AE166" s="21">
        <v>1</v>
      </c>
      <c r="AF166" s="21">
        <v>56</v>
      </c>
      <c r="AG166" s="21" t="s">
        <v>202</v>
      </c>
    </row>
    <row r="167" spans="1:33" x14ac:dyDescent="0.25">
      <c r="A167" s="22"/>
      <c r="B167" s="21" t="s">
        <v>928</v>
      </c>
      <c r="C167" s="21" t="s">
        <v>633</v>
      </c>
      <c r="D167" s="21" t="s">
        <v>1247</v>
      </c>
      <c r="E167" s="21" t="s">
        <v>947</v>
      </c>
      <c r="F167" s="21" t="s">
        <v>1248</v>
      </c>
      <c r="G167" s="21" t="s">
        <v>946</v>
      </c>
      <c r="H167" s="21" t="s">
        <v>928</v>
      </c>
      <c r="I167" s="21" t="s">
        <v>169</v>
      </c>
      <c r="J167" s="21" t="s">
        <v>179</v>
      </c>
      <c r="K167" s="21" t="s">
        <v>156</v>
      </c>
      <c r="L167" s="21" t="s">
        <v>211</v>
      </c>
      <c r="M167" s="21" t="s">
        <v>178</v>
      </c>
      <c r="N167" s="21">
        <v>622</v>
      </c>
      <c r="O167" s="33">
        <v>92877.04</v>
      </c>
      <c r="P167" s="21" t="s">
        <v>178</v>
      </c>
      <c r="Q167" s="21">
        <v>0</v>
      </c>
      <c r="R167" s="21">
        <v>9</v>
      </c>
      <c r="S167" s="21">
        <v>8358.93</v>
      </c>
      <c r="T167" s="21">
        <v>9</v>
      </c>
      <c r="U167" s="21">
        <v>8358.93</v>
      </c>
      <c r="V167" s="21">
        <v>0</v>
      </c>
      <c r="W167" s="21">
        <v>0</v>
      </c>
      <c r="X167" s="21">
        <v>0</v>
      </c>
      <c r="Y167" s="21">
        <v>16717.86</v>
      </c>
      <c r="Z167" s="21">
        <v>0</v>
      </c>
      <c r="AA167" s="21" t="s">
        <v>176</v>
      </c>
      <c r="AB167" s="21" t="s">
        <v>168</v>
      </c>
      <c r="AC167" s="21">
        <v>63053300</v>
      </c>
      <c r="AD167" s="21" t="s">
        <v>201</v>
      </c>
      <c r="AE167" s="21">
        <v>1</v>
      </c>
      <c r="AF167" s="21">
        <v>622</v>
      </c>
      <c r="AG167" s="21" t="s">
        <v>202</v>
      </c>
    </row>
    <row r="168" spans="1:33" x14ac:dyDescent="0.25">
      <c r="A168" s="22"/>
      <c r="B168" s="21" t="s">
        <v>928</v>
      </c>
      <c r="C168" s="21" t="s">
        <v>633</v>
      </c>
      <c r="D168" s="21" t="s">
        <v>1247</v>
      </c>
      <c r="E168" s="21" t="s">
        <v>947</v>
      </c>
      <c r="F168" s="21" t="s">
        <v>1248</v>
      </c>
      <c r="G168" s="21" t="s">
        <v>946</v>
      </c>
      <c r="H168" s="21" t="s">
        <v>928</v>
      </c>
      <c r="I168" s="21" t="s">
        <v>169</v>
      </c>
      <c r="J168" s="21" t="s">
        <v>181</v>
      </c>
      <c r="K168" s="21" t="s">
        <v>154</v>
      </c>
      <c r="L168" s="21" t="s">
        <v>154</v>
      </c>
      <c r="M168" s="21" t="s">
        <v>181</v>
      </c>
      <c r="N168" s="21">
        <v>217.7</v>
      </c>
      <c r="O168" s="33">
        <v>35990.160000000003</v>
      </c>
      <c r="P168" s="21" t="s">
        <v>181</v>
      </c>
      <c r="Q168" s="21">
        <v>0</v>
      </c>
      <c r="R168" s="21">
        <v>9</v>
      </c>
      <c r="S168" s="21">
        <v>3239.11</v>
      </c>
      <c r="T168" s="21">
        <v>9</v>
      </c>
      <c r="U168" s="21">
        <v>3239.11</v>
      </c>
      <c r="V168" s="21">
        <v>0</v>
      </c>
      <c r="W168" s="21">
        <v>0</v>
      </c>
      <c r="X168" s="21">
        <v>0</v>
      </c>
      <c r="Y168" s="21">
        <v>6478.22</v>
      </c>
      <c r="Z168" s="21">
        <v>0</v>
      </c>
      <c r="AA168" s="21" t="s">
        <v>176</v>
      </c>
      <c r="AB168" s="21" t="s">
        <v>168</v>
      </c>
      <c r="AC168" s="21">
        <v>3926908</v>
      </c>
      <c r="AD168" s="21" t="s">
        <v>201</v>
      </c>
      <c r="AE168" s="21">
        <v>1</v>
      </c>
      <c r="AF168" s="21">
        <v>217.7</v>
      </c>
      <c r="AG168" s="21" t="s">
        <v>202</v>
      </c>
    </row>
    <row r="169" spans="1:33" x14ac:dyDescent="0.25">
      <c r="A169" s="22"/>
      <c r="B169" s="21" t="s">
        <v>928</v>
      </c>
      <c r="C169" s="21" t="s">
        <v>633</v>
      </c>
      <c r="D169" s="21" t="s">
        <v>1247</v>
      </c>
      <c r="E169" s="21" t="s">
        <v>947</v>
      </c>
      <c r="F169" s="21" t="s">
        <v>1248</v>
      </c>
      <c r="G169" s="21" t="s">
        <v>946</v>
      </c>
      <c r="H169" s="21" t="s">
        <v>928</v>
      </c>
      <c r="I169" s="21" t="s">
        <v>169</v>
      </c>
      <c r="J169" s="21" t="s">
        <v>181</v>
      </c>
      <c r="K169" s="21" t="s">
        <v>154</v>
      </c>
      <c r="L169" s="21" t="s">
        <v>154</v>
      </c>
      <c r="M169" s="21" t="s">
        <v>181</v>
      </c>
      <c r="N169" s="21">
        <v>188.6</v>
      </c>
      <c r="O169" s="33">
        <v>27784.55</v>
      </c>
      <c r="P169" s="21" t="s">
        <v>181</v>
      </c>
      <c r="Q169" s="21">
        <v>0</v>
      </c>
      <c r="R169" s="21">
        <v>9</v>
      </c>
      <c r="S169" s="21">
        <v>2500.61</v>
      </c>
      <c r="T169" s="21">
        <v>9</v>
      </c>
      <c r="U169" s="21">
        <v>2500.61</v>
      </c>
      <c r="V169" s="21">
        <v>0</v>
      </c>
      <c r="W169" s="21">
        <v>0</v>
      </c>
      <c r="X169" s="21">
        <v>0</v>
      </c>
      <c r="Y169" s="21">
        <v>5001.22</v>
      </c>
      <c r="Z169" s="21">
        <v>0</v>
      </c>
      <c r="AA169" s="21" t="s">
        <v>176</v>
      </c>
      <c r="AB169" s="21" t="s">
        <v>168</v>
      </c>
      <c r="AC169" s="21">
        <v>3926908</v>
      </c>
      <c r="AD169" s="21" t="s">
        <v>201</v>
      </c>
      <c r="AE169" s="21">
        <v>1</v>
      </c>
      <c r="AF169" s="21">
        <v>188.6</v>
      </c>
      <c r="AG169" s="21" t="s">
        <v>202</v>
      </c>
    </row>
    <row r="170" spans="1:33" x14ac:dyDescent="0.25">
      <c r="A170" s="22"/>
      <c r="B170" s="21" t="s">
        <v>928</v>
      </c>
      <c r="C170" s="21" t="s">
        <v>633</v>
      </c>
      <c r="D170" s="21" t="s">
        <v>1247</v>
      </c>
      <c r="E170" s="21" t="s">
        <v>947</v>
      </c>
      <c r="F170" s="21" t="s">
        <v>1248</v>
      </c>
      <c r="G170" s="21" t="s">
        <v>946</v>
      </c>
      <c r="H170" s="21" t="s">
        <v>928</v>
      </c>
      <c r="I170" s="21" t="s">
        <v>169</v>
      </c>
      <c r="J170" s="21" t="s">
        <v>179</v>
      </c>
      <c r="K170" s="21" t="s">
        <v>155</v>
      </c>
      <c r="L170" s="21" t="s">
        <v>203</v>
      </c>
      <c r="M170" s="21" t="s">
        <v>183</v>
      </c>
      <c r="N170" s="33">
        <v>8962</v>
      </c>
      <c r="O170" s="33">
        <v>1320281.8400000001</v>
      </c>
      <c r="P170" s="21" t="s">
        <v>183</v>
      </c>
      <c r="Q170" s="21">
        <v>0</v>
      </c>
      <c r="R170" s="21">
        <v>9</v>
      </c>
      <c r="S170" s="21">
        <v>118825.37</v>
      </c>
      <c r="T170" s="21">
        <v>9</v>
      </c>
      <c r="U170" s="21">
        <v>118825.37</v>
      </c>
      <c r="V170" s="21">
        <v>0</v>
      </c>
      <c r="W170" s="21">
        <v>0</v>
      </c>
      <c r="X170" s="21">
        <v>0</v>
      </c>
      <c r="Y170" s="21">
        <v>237650.74</v>
      </c>
      <c r="Z170" s="21">
        <v>0</v>
      </c>
      <c r="AA170" s="21" t="s">
        <v>176</v>
      </c>
      <c r="AB170" s="21" t="s">
        <v>168</v>
      </c>
      <c r="AC170" s="21">
        <v>39269080</v>
      </c>
      <c r="AD170" s="21" t="s">
        <v>201</v>
      </c>
      <c r="AE170" s="21">
        <v>1</v>
      </c>
      <c r="AF170" s="33">
        <v>8962</v>
      </c>
      <c r="AG170" s="21" t="s">
        <v>202</v>
      </c>
    </row>
    <row r="171" spans="1:33" x14ac:dyDescent="0.25">
      <c r="A171" s="22"/>
      <c r="B171" s="21" t="s">
        <v>928</v>
      </c>
      <c r="C171" s="21" t="s">
        <v>656</v>
      </c>
      <c r="D171" s="21" t="s">
        <v>1247</v>
      </c>
      <c r="E171" s="21" t="s">
        <v>937</v>
      </c>
      <c r="F171" s="21" t="s">
        <v>1248</v>
      </c>
      <c r="G171" s="21" t="s">
        <v>936</v>
      </c>
      <c r="H171" s="21" t="s">
        <v>916</v>
      </c>
      <c r="I171" s="21" t="s">
        <v>169</v>
      </c>
      <c r="J171" s="21" t="s">
        <v>170</v>
      </c>
      <c r="K171" s="21" t="s">
        <v>157</v>
      </c>
      <c r="L171" s="21" t="s">
        <v>225</v>
      </c>
      <c r="M171" s="21" t="s">
        <v>272</v>
      </c>
      <c r="N171" s="37">
        <v>1091.8699999999999</v>
      </c>
      <c r="O171" s="33">
        <v>192300.14</v>
      </c>
      <c r="P171" s="21" t="s">
        <v>272</v>
      </c>
      <c r="Q171" s="21">
        <v>1261530.3899999999</v>
      </c>
      <c r="R171" s="21">
        <v>2.5</v>
      </c>
      <c r="S171" s="21">
        <v>4807.5</v>
      </c>
      <c r="T171" s="21">
        <v>2.5</v>
      </c>
      <c r="U171" s="21">
        <v>4807.5</v>
      </c>
      <c r="V171" s="21">
        <v>0</v>
      </c>
      <c r="W171" s="21">
        <v>0</v>
      </c>
      <c r="X171" s="21">
        <v>0</v>
      </c>
      <c r="Y171" s="21">
        <v>9615</v>
      </c>
      <c r="Z171" s="21">
        <v>0</v>
      </c>
      <c r="AA171" s="21" t="s">
        <v>176</v>
      </c>
      <c r="AB171" s="21" t="s">
        <v>168</v>
      </c>
      <c r="AC171" s="21">
        <v>54026990</v>
      </c>
      <c r="AD171" s="21" t="s">
        <v>201</v>
      </c>
      <c r="AE171" s="21">
        <v>1</v>
      </c>
      <c r="AF171" s="33">
        <v>1091.8699999999999</v>
      </c>
      <c r="AG171" s="21" t="s">
        <v>202</v>
      </c>
    </row>
    <row r="172" spans="1:33" x14ac:dyDescent="0.25">
      <c r="A172" s="22"/>
      <c r="B172" s="21" t="s">
        <v>928</v>
      </c>
      <c r="C172" s="21" t="s">
        <v>656</v>
      </c>
      <c r="D172" s="21" t="s">
        <v>1247</v>
      </c>
      <c r="E172" s="21" t="s">
        <v>937</v>
      </c>
      <c r="F172" s="21" t="s">
        <v>1248</v>
      </c>
      <c r="G172" s="21" t="s">
        <v>936</v>
      </c>
      <c r="H172" s="21" t="s">
        <v>916</v>
      </c>
      <c r="I172" s="21" t="s">
        <v>169</v>
      </c>
      <c r="J172" s="21" t="s">
        <v>170</v>
      </c>
      <c r="K172" s="21" t="s">
        <v>157</v>
      </c>
      <c r="L172" s="21" t="s">
        <v>276</v>
      </c>
      <c r="M172" s="21" t="s">
        <v>274</v>
      </c>
      <c r="N172" s="37">
        <v>5877.27</v>
      </c>
      <c r="O172" s="33">
        <v>1010302.71</v>
      </c>
      <c r="P172" s="21" t="s">
        <v>274</v>
      </c>
      <c r="Q172" s="21">
        <v>0</v>
      </c>
      <c r="R172" s="21">
        <v>2.5</v>
      </c>
      <c r="S172" s="21">
        <v>25257.57</v>
      </c>
      <c r="T172" s="21">
        <v>2.5</v>
      </c>
      <c r="U172" s="21">
        <v>25257.57</v>
      </c>
      <c r="V172" s="21">
        <v>0</v>
      </c>
      <c r="W172" s="21">
        <v>0</v>
      </c>
      <c r="X172" s="21">
        <v>0</v>
      </c>
      <c r="Y172" s="21">
        <v>50515.14</v>
      </c>
      <c r="Z172" s="21">
        <v>0</v>
      </c>
      <c r="AA172" s="21" t="s">
        <v>176</v>
      </c>
      <c r="AB172" s="21" t="s">
        <v>168</v>
      </c>
      <c r="AC172" s="21">
        <v>540263</v>
      </c>
      <c r="AD172" s="21" t="s">
        <v>201</v>
      </c>
      <c r="AE172" s="21">
        <v>1</v>
      </c>
      <c r="AF172" s="33">
        <v>5877.27</v>
      </c>
      <c r="AG172" s="21" t="s">
        <v>202</v>
      </c>
    </row>
    <row r="173" spans="1:33" x14ac:dyDescent="0.25">
      <c r="A173" s="22"/>
      <c r="B173" s="21" t="s">
        <v>928</v>
      </c>
      <c r="C173" s="21" t="s">
        <v>656</v>
      </c>
      <c r="D173" s="21" t="s">
        <v>1247</v>
      </c>
      <c r="E173" s="21" t="s">
        <v>943</v>
      </c>
      <c r="F173" s="21" t="s">
        <v>1248</v>
      </c>
      <c r="G173" s="21" t="s">
        <v>942</v>
      </c>
      <c r="H173" s="21" t="s">
        <v>916</v>
      </c>
      <c r="I173" s="21" t="s">
        <v>188</v>
      </c>
      <c r="J173" s="21" t="s">
        <v>152</v>
      </c>
      <c r="K173" s="21" t="s">
        <v>152</v>
      </c>
      <c r="L173" s="21" t="s">
        <v>200</v>
      </c>
      <c r="M173" s="21" t="s">
        <v>187</v>
      </c>
      <c r="N173" s="33">
        <v>1242</v>
      </c>
      <c r="O173" s="33">
        <v>261416.16</v>
      </c>
      <c r="P173" s="21" t="s">
        <v>187</v>
      </c>
      <c r="Q173" s="21">
        <v>1468304</v>
      </c>
      <c r="R173" s="21">
        <v>9</v>
      </c>
      <c r="S173" s="21">
        <v>23527.45</v>
      </c>
      <c r="T173" s="21">
        <v>9</v>
      </c>
      <c r="U173" s="21">
        <v>23527.45</v>
      </c>
      <c r="V173" s="21">
        <v>0</v>
      </c>
      <c r="W173" s="21">
        <v>0</v>
      </c>
      <c r="X173" s="21">
        <v>0</v>
      </c>
      <c r="Y173" s="21">
        <v>47054.9</v>
      </c>
      <c r="Z173" s="21">
        <v>0</v>
      </c>
      <c r="AA173" s="21" t="s">
        <v>176</v>
      </c>
      <c r="AB173" s="21" t="s">
        <v>168</v>
      </c>
      <c r="AC173" s="21">
        <v>63053200</v>
      </c>
      <c r="AD173" s="21" t="s">
        <v>201</v>
      </c>
      <c r="AE173" s="21">
        <v>1</v>
      </c>
      <c r="AF173" s="33">
        <v>1242</v>
      </c>
      <c r="AG173" s="21" t="s">
        <v>202</v>
      </c>
    </row>
    <row r="174" spans="1:33" x14ac:dyDescent="0.25">
      <c r="A174" s="22"/>
      <c r="B174" s="21" t="s">
        <v>928</v>
      </c>
      <c r="C174" s="21" t="s">
        <v>656</v>
      </c>
      <c r="D174" s="21" t="s">
        <v>1247</v>
      </c>
      <c r="E174" s="21" t="s">
        <v>943</v>
      </c>
      <c r="F174" s="21" t="s">
        <v>1248</v>
      </c>
      <c r="G174" s="21" t="s">
        <v>942</v>
      </c>
      <c r="H174" s="21" t="s">
        <v>916</v>
      </c>
      <c r="I174" s="21" t="s">
        <v>188</v>
      </c>
      <c r="J174" s="21" t="s">
        <v>152</v>
      </c>
      <c r="K174" s="21" t="s">
        <v>152</v>
      </c>
      <c r="L174" s="21" t="s">
        <v>200</v>
      </c>
      <c r="M174" s="21" t="s">
        <v>187</v>
      </c>
      <c r="N174" s="33">
        <v>1670</v>
      </c>
      <c r="O174" s="33">
        <v>348044.7</v>
      </c>
      <c r="P174" s="21" t="s">
        <v>187</v>
      </c>
      <c r="Q174" s="21">
        <v>0</v>
      </c>
      <c r="R174" s="21">
        <v>9</v>
      </c>
      <c r="S174" s="21">
        <v>31324.02</v>
      </c>
      <c r="T174" s="21">
        <v>9</v>
      </c>
      <c r="U174" s="21">
        <v>31324.02</v>
      </c>
      <c r="V174" s="21">
        <v>0</v>
      </c>
      <c r="W174" s="21">
        <v>0</v>
      </c>
      <c r="X174" s="21">
        <v>0</v>
      </c>
      <c r="Y174" s="21">
        <v>62648.04</v>
      </c>
      <c r="Z174" s="21">
        <v>0</v>
      </c>
      <c r="AA174" s="21" t="s">
        <v>176</v>
      </c>
      <c r="AB174" s="21" t="s">
        <v>168</v>
      </c>
      <c r="AC174" s="21">
        <v>63053200</v>
      </c>
      <c r="AD174" s="21" t="s">
        <v>201</v>
      </c>
      <c r="AE174" s="21">
        <v>1</v>
      </c>
      <c r="AF174" s="33">
        <v>1670</v>
      </c>
      <c r="AG174" s="21" t="s">
        <v>202</v>
      </c>
    </row>
    <row r="175" spans="1:33" x14ac:dyDescent="0.25">
      <c r="A175" s="22"/>
      <c r="B175" s="21" t="s">
        <v>928</v>
      </c>
      <c r="C175" s="21" t="s">
        <v>656</v>
      </c>
      <c r="D175" s="21" t="s">
        <v>1247</v>
      </c>
      <c r="E175" s="21" t="s">
        <v>943</v>
      </c>
      <c r="F175" s="21" t="s">
        <v>1248</v>
      </c>
      <c r="G175" s="21" t="s">
        <v>942</v>
      </c>
      <c r="H175" s="21" t="s">
        <v>916</v>
      </c>
      <c r="I175" s="21" t="s">
        <v>188</v>
      </c>
      <c r="J175" s="21" t="s">
        <v>152</v>
      </c>
      <c r="K175" s="21" t="s">
        <v>152</v>
      </c>
      <c r="L175" s="21" t="s">
        <v>200</v>
      </c>
      <c r="M175" s="21" t="s">
        <v>187</v>
      </c>
      <c r="N175" s="33">
        <v>2906</v>
      </c>
      <c r="O175" s="33">
        <v>635919.98</v>
      </c>
      <c r="P175" s="21" t="s">
        <v>187</v>
      </c>
      <c r="Q175" s="21">
        <v>0</v>
      </c>
      <c r="R175" s="21">
        <v>9</v>
      </c>
      <c r="S175" s="21">
        <v>57232.800000000003</v>
      </c>
      <c r="T175" s="21">
        <v>9</v>
      </c>
      <c r="U175" s="21">
        <v>57232.800000000003</v>
      </c>
      <c r="V175" s="21">
        <v>0</v>
      </c>
      <c r="W175" s="21">
        <v>0</v>
      </c>
      <c r="X175" s="21">
        <v>0</v>
      </c>
      <c r="Y175" s="21">
        <v>114465.60000000001</v>
      </c>
      <c r="Z175" s="21">
        <v>0</v>
      </c>
      <c r="AA175" s="21" t="s">
        <v>176</v>
      </c>
      <c r="AB175" s="21" t="s">
        <v>168</v>
      </c>
      <c r="AC175" s="21">
        <v>63053200</v>
      </c>
      <c r="AD175" s="21" t="s">
        <v>201</v>
      </c>
      <c r="AE175" s="21">
        <v>1</v>
      </c>
      <c r="AF175" s="33">
        <v>2906</v>
      </c>
      <c r="AG175" s="21" t="s">
        <v>202</v>
      </c>
    </row>
    <row r="176" spans="1:33" x14ac:dyDescent="0.25">
      <c r="A176" s="22"/>
      <c r="B176" s="21" t="s">
        <v>949</v>
      </c>
      <c r="C176" s="21" t="s">
        <v>633</v>
      </c>
      <c r="D176" s="21" t="s">
        <v>1247</v>
      </c>
      <c r="E176" s="21" t="s">
        <v>953</v>
      </c>
      <c r="F176" s="21" t="s">
        <v>1248</v>
      </c>
      <c r="G176" s="21" t="s">
        <v>952</v>
      </c>
      <c r="H176" s="21" t="s">
        <v>949</v>
      </c>
      <c r="I176" s="21" t="s">
        <v>169</v>
      </c>
      <c r="J176" s="21" t="s">
        <v>179</v>
      </c>
      <c r="K176" s="21" t="s">
        <v>155</v>
      </c>
      <c r="L176" s="21" t="s">
        <v>203</v>
      </c>
      <c r="M176" s="21" t="s">
        <v>183</v>
      </c>
      <c r="N176" s="21">
        <v>473</v>
      </c>
      <c r="O176" s="33">
        <v>67317.36</v>
      </c>
      <c r="P176" s="21" t="s">
        <v>183</v>
      </c>
      <c r="Q176" s="21">
        <v>453731.96</v>
      </c>
      <c r="R176" s="21">
        <v>9</v>
      </c>
      <c r="S176" s="21">
        <v>6058.56</v>
      </c>
      <c r="T176" s="21">
        <v>9</v>
      </c>
      <c r="U176" s="21">
        <v>6058.56</v>
      </c>
      <c r="V176" s="21">
        <v>0</v>
      </c>
      <c r="W176" s="21">
        <v>0</v>
      </c>
      <c r="X176" s="21">
        <v>0</v>
      </c>
      <c r="Y176" s="21">
        <v>12117.12</v>
      </c>
      <c r="Z176" s="21">
        <v>0</v>
      </c>
      <c r="AA176" s="21" t="s">
        <v>176</v>
      </c>
      <c r="AB176" s="21" t="s">
        <v>168</v>
      </c>
      <c r="AC176" s="21">
        <v>39269080</v>
      </c>
      <c r="AD176" s="21" t="s">
        <v>201</v>
      </c>
      <c r="AE176" s="21">
        <v>1</v>
      </c>
      <c r="AF176" s="21">
        <v>473</v>
      </c>
      <c r="AG176" s="21" t="s">
        <v>202</v>
      </c>
    </row>
    <row r="177" spans="1:33" x14ac:dyDescent="0.25">
      <c r="A177" s="22"/>
      <c r="B177" s="21" t="s">
        <v>949</v>
      </c>
      <c r="C177" s="21" t="s">
        <v>633</v>
      </c>
      <c r="D177" s="21" t="s">
        <v>1247</v>
      </c>
      <c r="E177" s="21" t="s">
        <v>953</v>
      </c>
      <c r="F177" s="21" t="s">
        <v>1248</v>
      </c>
      <c r="G177" s="21" t="s">
        <v>952</v>
      </c>
      <c r="H177" s="21" t="s">
        <v>949</v>
      </c>
      <c r="I177" s="21" t="s">
        <v>169</v>
      </c>
      <c r="J177" s="21" t="s">
        <v>179</v>
      </c>
      <c r="K177" s="21" t="s">
        <v>155</v>
      </c>
      <c r="L177" s="21" t="s">
        <v>203</v>
      </c>
      <c r="M177" s="21" t="s">
        <v>183</v>
      </c>
      <c r="N177" s="33">
        <v>1382</v>
      </c>
      <c r="O177" s="33">
        <v>203596.24</v>
      </c>
      <c r="P177" s="21" t="s">
        <v>183</v>
      </c>
      <c r="Q177" s="21">
        <v>0</v>
      </c>
      <c r="R177" s="21">
        <v>9</v>
      </c>
      <c r="S177" s="21">
        <v>18323.66</v>
      </c>
      <c r="T177" s="21">
        <v>9</v>
      </c>
      <c r="U177" s="21">
        <v>18323.66</v>
      </c>
      <c r="V177" s="21">
        <v>0</v>
      </c>
      <c r="W177" s="21">
        <v>0</v>
      </c>
      <c r="X177" s="21">
        <v>0</v>
      </c>
      <c r="Y177" s="21">
        <v>36647.32</v>
      </c>
      <c r="Z177" s="21">
        <v>0</v>
      </c>
      <c r="AA177" s="21" t="s">
        <v>176</v>
      </c>
      <c r="AB177" s="21" t="s">
        <v>168</v>
      </c>
      <c r="AC177" s="21">
        <v>39269080</v>
      </c>
      <c r="AD177" s="21" t="s">
        <v>201</v>
      </c>
      <c r="AE177" s="21">
        <v>1</v>
      </c>
      <c r="AF177" s="33">
        <v>1382</v>
      </c>
      <c r="AG177" s="21" t="s">
        <v>202</v>
      </c>
    </row>
    <row r="178" spans="1:33" x14ac:dyDescent="0.25">
      <c r="A178" s="22"/>
      <c r="B178" s="21" t="s">
        <v>949</v>
      </c>
      <c r="C178" s="21" t="s">
        <v>633</v>
      </c>
      <c r="D178" s="21" t="s">
        <v>1247</v>
      </c>
      <c r="E178" s="21" t="s">
        <v>953</v>
      </c>
      <c r="F178" s="21" t="s">
        <v>1248</v>
      </c>
      <c r="G178" s="21" t="s">
        <v>952</v>
      </c>
      <c r="H178" s="21" t="s">
        <v>949</v>
      </c>
      <c r="I178" s="21" t="s">
        <v>169</v>
      </c>
      <c r="J178" s="21" t="s">
        <v>179</v>
      </c>
      <c r="K178" s="21" t="s">
        <v>156</v>
      </c>
      <c r="L178" s="21" t="s">
        <v>211</v>
      </c>
      <c r="M178" s="21" t="s">
        <v>178</v>
      </c>
      <c r="N178" s="21">
        <v>763</v>
      </c>
      <c r="O178" s="33">
        <v>113931.16</v>
      </c>
      <c r="P178" s="21" t="s">
        <v>178</v>
      </c>
      <c r="Q178" s="21">
        <v>0</v>
      </c>
      <c r="R178" s="21">
        <v>9</v>
      </c>
      <c r="S178" s="21">
        <v>10253.799999999999</v>
      </c>
      <c r="T178" s="21">
        <v>9</v>
      </c>
      <c r="U178" s="21">
        <v>10253.799999999999</v>
      </c>
      <c r="V178" s="21">
        <v>0</v>
      </c>
      <c r="W178" s="21">
        <v>0</v>
      </c>
      <c r="X178" s="21">
        <v>0</v>
      </c>
      <c r="Y178" s="21">
        <v>20507.599999999999</v>
      </c>
      <c r="Z178" s="21">
        <v>0</v>
      </c>
      <c r="AA178" s="21" t="s">
        <v>176</v>
      </c>
      <c r="AB178" s="21" t="s">
        <v>168</v>
      </c>
      <c r="AC178" s="21">
        <v>63053300</v>
      </c>
      <c r="AD178" s="21" t="s">
        <v>201</v>
      </c>
      <c r="AE178" s="21">
        <v>1</v>
      </c>
      <c r="AF178" s="21">
        <v>763</v>
      </c>
      <c r="AG178" s="21" t="s">
        <v>202</v>
      </c>
    </row>
    <row r="179" spans="1:33" x14ac:dyDescent="0.25">
      <c r="A179" s="22"/>
      <c r="B179" s="21" t="s">
        <v>949</v>
      </c>
      <c r="C179" s="21" t="s">
        <v>633</v>
      </c>
      <c r="D179" s="21" t="s">
        <v>1247</v>
      </c>
      <c r="E179" s="21" t="s">
        <v>959</v>
      </c>
      <c r="F179" s="21" t="s">
        <v>1248</v>
      </c>
      <c r="G179" s="21" t="s">
        <v>958</v>
      </c>
      <c r="H179" s="21" t="s">
        <v>949</v>
      </c>
      <c r="I179" s="21" t="s">
        <v>639</v>
      </c>
      <c r="J179" s="21" t="s">
        <v>648</v>
      </c>
      <c r="K179" s="21" t="s">
        <v>313</v>
      </c>
      <c r="L179" s="21" t="s">
        <v>1250</v>
      </c>
      <c r="M179" s="21" t="s">
        <v>956</v>
      </c>
      <c r="N179" s="21">
        <v>100</v>
      </c>
      <c r="O179" s="33">
        <v>27200</v>
      </c>
      <c r="P179" s="21" t="s">
        <v>956</v>
      </c>
      <c r="Q179" s="21">
        <v>51050.7</v>
      </c>
      <c r="R179" s="21">
        <v>9</v>
      </c>
      <c r="S179" s="21">
        <v>2448</v>
      </c>
      <c r="T179" s="21">
        <v>9</v>
      </c>
      <c r="U179" s="21">
        <v>2448</v>
      </c>
      <c r="V179" s="21">
        <v>0</v>
      </c>
      <c r="W179" s="21">
        <v>0</v>
      </c>
      <c r="X179" s="21">
        <v>0</v>
      </c>
      <c r="Y179" s="21">
        <v>4896</v>
      </c>
      <c r="Z179" s="21">
        <v>0</v>
      </c>
      <c r="AA179" s="21" t="s">
        <v>176</v>
      </c>
      <c r="AB179" s="21" t="s">
        <v>168</v>
      </c>
      <c r="AC179" s="21">
        <v>320649</v>
      </c>
      <c r="AD179" s="21" t="s">
        <v>201</v>
      </c>
      <c r="AE179" s="21">
        <v>1</v>
      </c>
      <c r="AF179" s="21">
        <v>100</v>
      </c>
      <c r="AG179" s="21" t="s">
        <v>202</v>
      </c>
    </row>
    <row r="180" spans="1:33" x14ac:dyDescent="0.25">
      <c r="A180" s="22"/>
      <c r="B180" s="21" t="s">
        <v>949</v>
      </c>
      <c r="C180" s="21" t="s">
        <v>633</v>
      </c>
      <c r="D180" s="21" t="s">
        <v>1247</v>
      </c>
      <c r="E180" s="21" t="s">
        <v>959</v>
      </c>
      <c r="F180" s="21" t="s">
        <v>1248</v>
      </c>
      <c r="G180" s="21" t="s">
        <v>958</v>
      </c>
      <c r="H180" s="21" t="s">
        <v>949</v>
      </c>
      <c r="I180" s="21" t="s">
        <v>639</v>
      </c>
      <c r="J180" s="21" t="s">
        <v>648</v>
      </c>
      <c r="K180" s="21" t="s">
        <v>313</v>
      </c>
      <c r="L180" s="21" t="s">
        <v>1250</v>
      </c>
      <c r="M180" s="21" t="s">
        <v>961</v>
      </c>
      <c r="N180" s="21">
        <v>25</v>
      </c>
      <c r="O180" s="33">
        <v>4475</v>
      </c>
      <c r="P180" s="21" t="s">
        <v>961</v>
      </c>
      <c r="Q180" s="21">
        <v>0</v>
      </c>
      <c r="R180" s="21">
        <v>9</v>
      </c>
      <c r="S180" s="21">
        <v>402.75</v>
      </c>
      <c r="T180" s="21">
        <v>9</v>
      </c>
      <c r="U180" s="21">
        <v>402.75</v>
      </c>
      <c r="V180" s="21">
        <v>0</v>
      </c>
      <c r="W180" s="21">
        <v>0</v>
      </c>
      <c r="X180" s="21">
        <v>0</v>
      </c>
      <c r="Y180" s="21">
        <v>805.5</v>
      </c>
      <c r="Z180" s="21">
        <v>0</v>
      </c>
      <c r="AA180" s="21" t="s">
        <v>176</v>
      </c>
      <c r="AB180" s="21" t="s">
        <v>168</v>
      </c>
      <c r="AC180" s="21">
        <v>32064990</v>
      </c>
      <c r="AD180" s="21" t="s">
        <v>201</v>
      </c>
      <c r="AE180" s="21">
        <v>1</v>
      </c>
      <c r="AF180" s="21">
        <v>25</v>
      </c>
      <c r="AG180" s="21" t="s">
        <v>202</v>
      </c>
    </row>
    <row r="181" spans="1:33" x14ac:dyDescent="0.25">
      <c r="A181" s="22"/>
      <c r="B181" s="21" t="s">
        <v>949</v>
      </c>
      <c r="C181" s="21" t="s">
        <v>633</v>
      </c>
      <c r="D181" s="21" t="s">
        <v>1247</v>
      </c>
      <c r="E181" s="21" t="s">
        <v>959</v>
      </c>
      <c r="F181" s="21" t="s">
        <v>1248</v>
      </c>
      <c r="G181" s="21" t="s">
        <v>958</v>
      </c>
      <c r="H181" s="21" t="s">
        <v>949</v>
      </c>
      <c r="I181" s="21" t="s">
        <v>639</v>
      </c>
      <c r="J181" s="21" t="s">
        <v>648</v>
      </c>
      <c r="K181" s="21" t="s">
        <v>313</v>
      </c>
      <c r="L181" s="21" t="s">
        <v>1250</v>
      </c>
      <c r="M181" s="21" t="s">
        <v>963</v>
      </c>
      <c r="N181" s="21">
        <v>75</v>
      </c>
      <c r="O181" s="33">
        <v>11625</v>
      </c>
      <c r="P181" s="21" t="s">
        <v>963</v>
      </c>
      <c r="Q181" s="21">
        <v>0</v>
      </c>
      <c r="R181" s="21">
        <v>9</v>
      </c>
      <c r="S181" s="21">
        <v>1046.25</v>
      </c>
      <c r="T181" s="21">
        <v>9</v>
      </c>
      <c r="U181" s="21">
        <v>1046.25</v>
      </c>
      <c r="V181" s="21">
        <v>0</v>
      </c>
      <c r="W181" s="21">
        <v>0</v>
      </c>
      <c r="X181" s="21">
        <v>0</v>
      </c>
      <c r="Y181" s="21">
        <v>2092.5</v>
      </c>
      <c r="Z181" s="21">
        <v>0</v>
      </c>
      <c r="AA181" s="21" t="s">
        <v>176</v>
      </c>
      <c r="AB181" s="21" t="s">
        <v>168</v>
      </c>
      <c r="AC181" s="21">
        <v>32064990</v>
      </c>
      <c r="AD181" s="21" t="s">
        <v>201</v>
      </c>
      <c r="AE181" s="21">
        <v>1</v>
      </c>
      <c r="AF181" s="21">
        <v>75</v>
      </c>
      <c r="AG181" s="21" t="s">
        <v>202</v>
      </c>
    </row>
    <row r="182" spans="1:33" x14ac:dyDescent="0.25">
      <c r="A182" s="22"/>
      <c r="B182" s="21" t="s">
        <v>949</v>
      </c>
      <c r="C182" s="21" t="s">
        <v>633</v>
      </c>
      <c r="D182" s="21" t="s">
        <v>1247</v>
      </c>
      <c r="E182" s="21" t="s">
        <v>967</v>
      </c>
      <c r="F182" s="21" t="s">
        <v>1248</v>
      </c>
      <c r="G182" s="21" t="s">
        <v>966</v>
      </c>
      <c r="H182" s="21" t="s">
        <v>949</v>
      </c>
      <c r="I182" s="21" t="s">
        <v>169</v>
      </c>
      <c r="J182" s="21" t="s">
        <v>181</v>
      </c>
      <c r="K182" s="21" t="s">
        <v>154</v>
      </c>
      <c r="L182" s="21" t="s">
        <v>154</v>
      </c>
      <c r="M182" s="21" t="s">
        <v>181</v>
      </c>
      <c r="N182" s="21">
        <v>217.6</v>
      </c>
      <c r="O182" s="33">
        <v>35973.629999999997</v>
      </c>
      <c r="P182" s="21" t="s">
        <v>181</v>
      </c>
      <c r="Q182" s="21">
        <v>354788.15</v>
      </c>
      <c r="R182" s="21">
        <v>9</v>
      </c>
      <c r="S182" s="21">
        <v>3237.63</v>
      </c>
      <c r="T182" s="21">
        <v>9</v>
      </c>
      <c r="U182" s="21">
        <v>3237.63</v>
      </c>
      <c r="V182" s="21">
        <v>0</v>
      </c>
      <c r="W182" s="21">
        <v>0</v>
      </c>
      <c r="X182" s="21">
        <v>0</v>
      </c>
      <c r="Y182" s="21">
        <v>6475.26</v>
      </c>
      <c r="Z182" s="21">
        <v>0</v>
      </c>
      <c r="AA182" s="21" t="s">
        <v>176</v>
      </c>
      <c r="AB182" s="21" t="s">
        <v>168</v>
      </c>
      <c r="AC182" s="21">
        <v>3926908</v>
      </c>
      <c r="AD182" s="21" t="s">
        <v>201</v>
      </c>
      <c r="AE182" s="21">
        <v>1</v>
      </c>
      <c r="AF182" s="21">
        <v>217.6</v>
      </c>
      <c r="AG182" s="21" t="s">
        <v>202</v>
      </c>
    </row>
    <row r="183" spans="1:33" x14ac:dyDescent="0.25">
      <c r="A183" s="22"/>
      <c r="B183" s="21" t="s">
        <v>949</v>
      </c>
      <c r="C183" s="21" t="s">
        <v>633</v>
      </c>
      <c r="D183" s="21" t="s">
        <v>1247</v>
      </c>
      <c r="E183" s="21" t="s">
        <v>967</v>
      </c>
      <c r="F183" s="21" t="s">
        <v>1248</v>
      </c>
      <c r="G183" s="21" t="s">
        <v>966</v>
      </c>
      <c r="H183" s="21" t="s">
        <v>949</v>
      </c>
      <c r="I183" s="21" t="s">
        <v>169</v>
      </c>
      <c r="J183" s="21" t="s">
        <v>181</v>
      </c>
      <c r="K183" s="21" t="s">
        <v>154</v>
      </c>
      <c r="L183" s="21" t="s">
        <v>154</v>
      </c>
      <c r="M183" s="21" t="s">
        <v>181</v>
      </c>
      <c r="N183" s="21">
        <v>597.79999999999995</v>
      </c>
      <c r="O183" s="33">
        <v>88067.89</v>
      </c>
      <c r="P183" s="21" t="s">
        <v>181</v>
      </c>
      <c r="Q183" s="21">
        <v>0</v>
      </c>
      <c r="R183" s="21">
        <v>9</v>
      </c>
      <c r="S183" s="21">
        <v>7926.11</v>
      </c>
      <c r="T183" s="21">
        <v>9</v>
      </c>
      <c r="U183" s="21">
        <v>7926.11</v>
      </c>
      <c r="V183" s="21">
        <v>0</v>
      </c>
      <c r="W183" s="21">
        <v>0</v>
      </c>
      <c r="X183" s="21">
        <v>0</v>
      </c>
      <c r="Y183" s="21">
        <v>15852.22</v>
      </c>
      <c r="Z183" s="21">
        <v>0</v>
      </c>
      <c r="AA183" s="21" t="s">
        <v>176</v>
      </c>
      <c r="AB183" s="21" t="s">
        <v>168</v>
      </c>
      <c r="AC183" s="21">
        <v>3926908</v>
      </c>
      <c r="AD183" s="21" t="s">
        <v>201</v>
      </c>
      <c r="AE183" s="21">
        <v>1</v>
      </c>
      <c r="AF183" s="21">
        <v>597.79999999999995</v>
      </c>
      <c r="AG183" s="21" t="s">
        <v>202</v>
      </c>
    </row>
    <row r="184" spans="1:33" x14ac:dyDescent="0.25">
      <c r="A184" s="22"/>
      <c r="B184" s="21" t="s">
        <v>949</v>
      </c>
      <c r="C184" s="21" t="s">
        <v>633</v>
      </c>
      <c r="D184" s="21" t="s">
        <v>1247</v>
      </c>
      <c r="E184" s="21" t="s">
        <v>967</v>
      </c>
      <c r="F184" s="21" t="s">
        <v>1248</v>
      </c>
      <c r="G184" s="21" t="s">
        <v>966</v>
      </c>
      <c r="H184" s="21" t="s">
        <v>949</v>
      </c>
      <c r="I184" s="21" t="s">
        <v>169</v>
      </c>
      <c r="J184" s="21" t="s">
        <v>181</v>
      </c>
      <c r="K184" s="21" t="s">
        <v>154</v>
      </c>
      <c r="L184" s="21" t="s">
        <v>154</v>
      </c>
      <c r="M184" s="21" t="s">
        <v>181</v>
      </c>
      <c r="N184" s="21">
        <v>382.5</v>
      </c>
      <c r="O184" s="33">
        <v>55202.400000000001</v>
      </c>
      <c r="P184" s="21" t="s">
        <v>181</v>
      </c>
      <c r="Q184" s="21">
        <v>0</v>
      </c>
      <c r="R184" s="21">
        <v>9</v>
      </c>
      <c r="S184" s="21">
        <v>4968.22</v>
      </c>
      <c r="T184" s="21">
        <v>9</v>
      </c>
      <c r="U184" s="21">
        <v>4968.22</v>
      </c>
      <c r="V184" s="21">
        <v>0</v>
      </c>
      <c r="W184" s="21">
        <v>0</v>
      </c>
      <c r="X184" s="21">
        <v>0</v>
      </c>
      <c r="Y184" s="21">
        <v>9936.44</v>
      </c>
      <c r="Z184" s="21">
        <v>0</v>
      </c>
      <c r="AA184" s="21" t="s">
        <v>176</v>
      </c>
      <c r="AB184" s="21" t="s">
        <v>168</v>
      </c>
      <c r="AC184" s="21">
        <v>3926908</v>
      </c>
      <c r="AD184" s="21" t="s">
        <v>201</v>
      </c>
      <c r="AE184" s="21">
        <v>1</v>
      </c>
      <c r="AF184" s="21">
        <v>382.5</v>
      </c>
      <c r="AG184" s="21" t="s">
        <v>202</v>
      </c>
    </row>
    <row r="185" spans="1:33" x14ac:dyDescent="0.25">
      <c r="A185" s="22"/>
      <c r="B185" s="21" t="s">
        <v>949</v>
      </c>
      <c r="C185" s="21" t="s">
        <v>633</v>
      </c>
      <c r="D185" s="21" t="s">
        <v>1247</v>
      </c>
      <c r="E185" s="21" t="s">
        <v>967</v>
      </c>
      <c r="F185" s="21" t="s">
        <v>1248</v>
      </c>
      <c r="G185" s="21" t="s">
        <v>966</v>
      </c>
      <c r="H185" s="21" t="s">
        <v>949</v>
      </c>
      <c r="I185" s="21" t="s">
        <v>169</v>
      </c>
      <c r="J185" s="21" t="s">
        <v>170</v>
      </c>
      <c r="K185" s="21" t="s">
        <v>157</v>
      </c>
      <c r="L185" s="21" t="s">
        <v>225</v>
      </c>
      <c r="M185" s="21" t="s">
        <v>707</v>
      </c>
      <c r="N185" s="35">
        <v>886.2</v>
      </c>
      <c r="O185" s="33">
        <v>136758.39000000001</v>
      </c>
      <c r="P185" s="21" t="s">
        <v>707</v>
      </c>
      <c r="Q185" s="21">
        <v>0</v>
      </c>
      <c r="R185" s="21">
        <v>2.5</v>
      </c>
      <c r="S185" s="21">
        <v>3418.96</v>
      </c>
      <c r="T185" s="21">
        <v>2.5</v>
      </c>
      <c r="U185" s="21">
        <v>3418.96</v>
      </c>
      <c r="V185" s="21">
        <v>0</v>
      </c>
      <c r="W185" s="21">
        <v>0</v>
      </c>
      <c r="X185" s="21">
        <v>0</v>
      </c>
      <c r="Y185" s="21">
        <v>6837.92</v>
      </c>
      <c r="Z185" s="21">
        <v>0</v>
      </c>
      <c r="AA185" s="21" t="s">
        <v>176</v>
      </c>
      <c r="AB185" s="21" t="s">
        <v>184</v>
      </c>
      <c r="AC185" s="21">
        <v>540263</v>
      </c>
      <c r="AD185" s="21" t="s">
        <v>201</v>
      </c>
      <c r="AE185" s="21">
        <v>1</v>
      </c>
      <c r="AF185" s="21">
        <v>886.2</v>
      </c>
      <c r="AG185" s="21" t="s">
        <v>202</v>
      </c>
    </row>
    <row r="186" spans="1:33" x14ac:dyDescent="0.25">
      <c r="A186" s="22"/>
      <c r="B186" s="21" t="s">
        <v>968</v>
      </c>
      <c r="C186" s="21" t="s">
        <v>663</v>
      </c>
      <c r="D186" s="21" t="s">
        <v>1247</v>
      </c>
      <c r="E186" s="21" t="s">
        <v>977</v>
      </c>
      <c r="F186" s="21" t="s">
        <v>1248</v>
      </c>
      <c r="G186" s="21" t="s">
        <v>976</v>
      </c>
      <c r="H186" s="21" t="s">
        <v>949</v>
      </c>
      <c r="I186" s="21" t="s">
        <v>169</v>
      </c>
      <c r="J186" s="21" t="s">
        <v>175</v>
      </c>
      <c r="K186" s="21" t="s">
        <v>159</v>
      </c>
      <c r="L186" s="21" t="s">
        <v>159</v>
      </c>
      <c r="M186" s="21" t="s">
        <v>173</v>
      </c>
      <c r="N186" s="21">
        <v>477</v>
      </c>
      <c r="O186" s="33">
        <v>81543.149999999994</v>
      </c>
      <c r="P186" s="21" t="s">
        <v>173</v>
      </c>
      <c r="Q186" s="21">
        <v>1223229.71</v>
      </c>
      <c r="R186" s="21">
        <v>9</v>
      </c>
      <c r="S186" s="21">
        <v>7338.88</v>
      </c>
      <c r="T186" s="21">
        <v>9</v>
      </c>
      <c r="U186" s="21">
        <v>7338.88</v>
      </c>
      <c r="V186" s="21">
        <v>0</v>
      </c>
      <c r="W186" s="21">
        <v>0</v>
      </c>
      <c r="X186" s="21">
        <v>0</v>
      </c>
      <c r="Y186" s="21">
        <v>14677.76</v>
      </c>
      <c r="Z186" s="21">
        <v>0</v>
      </c>
      <c r="AA186" s="21" t="s">
        <v>185</v>
      </c>
      <c r="AB186" s="21" t="s">
        <v>168</v>
      </c>
      <c r="AC186" s="21">
        <v>39200000</v>
      </c>
      <c r="AD186" s="21" t="s">
        <v>201</v>
      </c>
      <c r="AE186" s="21">
        <v>1</v>
      </c>
      <c r="AF186" s="21">
        <v>477</v>
      </c>
      <c r="AG186" s="21" t="s">
        <v>202</v>
      </c>
    </row>
    <row r="187" spans="1:33" x14ac:dyDescent="0.25">
      <c r="A187" s="22"/>
      <c r="B187" s="21" t="s">
        <v>968</v>
      </c>
      <c r="C187" s="21" t="s">
        <v>663</v>
      </c>
      <c r="D187" s="21" t="s">
        <v>1247</v>
      </c>
      <c r="E187" s="21" t="s">
        <v>977</v>
      </c>
      <c r="F187" s="21" t="s">
        <v>1248</v>
      </c>
      <c r="G187" s="21" t="s">
        <v>976</v>
      </c>
      <c r="H187" s="21" t="s">
        <v>949</v>
      </c>
      <c r="I187" s="21" t="s">
        <v>169</v>
      </c>
      <c r="J187" s="21" t="s">
        <v>179</v>
      </c>
      <c r="K187" s="21" t="s">
        <v>155</v>
      </c>
      <c r="L187" s="21" t="s">
        <v>203</v>
      </c>
      <c r="M187" s="21" t="s">
        <v>183</v>
      </c>
      <c r="N187" s="21">
        <v>200</v>
      </c>
      <c r="O187" s="33">
        <v>31898</v>
      </c>
      <c r="P187" s="21" t="s">
        <v>183</v>
      </c>
      <c r="Q187" s="21">
        <v>0</v>
      </c>
      <c r="R187" s="21">
        <v>9</v>
      </c>
      <c r="S187" s="21">
        <v>2870.82</v>
      </c>
      <c r="T187" s="21">
        <v>9</v>
      </c>
      <c r="U187" s="21">
        <v>2870.82</v>
      </c>
      <c r="V187" s="21">
        <v>0</v>
      </c>
      <c r="W187" s="21">
        <v>0</v>
      </c>
      <c r="X187" s="21">
        <v>0</v>
      </c>
      <c r="Y187" s="21">
        <v>5741.64</v>
      </c>
      <c r="Z187" s="21">
        <v>0</v>
      </c>
      <c r="AA187" s="21" t="s">
        <v>185</v>
      </c>
      <c r="AB187" s="21" t="s">
        <v>168</v>
      </c>
      <c r="AC187" s="21">
        <v>39269080</v>
      </c>
      <c r="AD187" s="21" t="s">
        <v>201</v>
      </c>
      <c r="AE187" s="21">
        <v>1</v>
      </c>
      <c r="AF187" s="21">
        <v>200</v>
      </c>
      <c r="AG187" s="21" t="s">
        <v>202</v>
      </c>
    </row>
    <row r="188" spans="1:33" x14ac:dyDescent="0.25">
      <c r="A188" s="22"/>
      <c r="B188" s="21" t="s">
        <v>968</v>
      </c>
      <c r="C188" s="21" t="s">
        <v>663</v>
      </c>
      <c r="D188" s="21" t="s">
        <v>1247</v>
      </c>
      <c r="E188" s="21" t="s">
        <v>977</v>
      </c>
      <c r="F188" s="21" t="s">
        <v>1248</v>
      </c>
      <c r="G188" s="21" t="s">
        <v>976</v>
      </c>
      <c r="H188" s="21" t="s">
        <v>949</v>
      </c>
      <c r="I188" s="21" t="s">
        <v>169</v>
      </c>
      <c r="J188" s="21" t="s">
        <v>179</v>
      </c>
      <c r="K188" s="21" t="s">
        <v>155</v>
      </c>
      <c r="L188" s="21" t="s">
        <v>203</v>
      </c>
      <c r="M188" s="21" t="s">
        <v>183</v>
      </c>
      <c r="N188" s="33">
        <v>5905</v>
      </c>
      <c r="O188" s="33">
        <v>924073.45</v>
      </c>
      <c r="P188" s="21" t="s">
        <v>183</v>
      </c>
      <c r="Q188" s="21">
        <v>0</v>
      </c>
      <c r="R188" s="21">
        <v>9</v>
      </c>
      <c r="S188" s="21">
        <v>83166.61</v>
      </c>
      <c r="T188" s="21">
        <v>9</v>
      </c>
      <c r="U188" s="21">
        <v>83166.61</v>
      </c>
      <c r="V188" s="21">
        <v>0</v>
      </c>
      <c r="W188" s="21">
        <v>0</v>
      </c>
      <c r="X188" s="21">
        <v>0</v>
      </c>
      <c r="Y188" s="21">
        <v>166333.22</v>
      </c>
      <c r="Z188" s="21">
        <v>0</v>
      </c>
      <c r="AA188" s="21" t="s">
        <v>185</v>
      </c>
      <c r="AB188" s="21" t="s">
        <v>168</v>
      </c>
      <c r="AC188" s="21">
        <v>39269080</v>
      </c>
      <c r="AD188" s="21" t="s">
        <v>201</v>
      </c>
      <c r="AE188" s="21">
        <v>1</v>
      </c>
      <c r="AF188" s="33">
        <v>5905</v>
      </c>
      <c r="AG188" s="21" t="s">
        <v>202</v>
      </c>
    </row>
    <row r="189" spans="1:33" x14ac:dyDescent="0.25">
      <c r="A189" s="22"/>
      <c r="B189" s="21" t="s">
        <v>968</v>
      </c>
      <c r="C189" s="21" t="s">
        <v>677</v>
      </c>
      <c r="D189" s="21" t="s">
        <v>1247</v>
      </c>
      <c r="E189" s="21" t="s">
        <v>972</v>
      </c>
      <c r="F189" s="21" t="s">
        <v>1248</v>
      </c>
      <c r="G189" s="21" t="s">
        <v>971</v>
      </c>
      <c r="H189" s="21" t="s">
        <v>949</v>
      </c>
      <c r="I189" s="21" t="s">
        <v>188</v>
      </c>
      <c r="J189" s="21" t="s">
        <v>152</v>
      </c>
      <c r="K189" s="21" t="s">
        <v>152</v>
      </c>
      <c r="L189" s="21" t="s">
        <v>200</v>
      </c>
      <c r="M189" s="21" t="s">
        <v>191</v>
      </c>
      <c r="N189" s="21">
        <v>415</v>
      </c>
      <c r="O189" s="33">
        <v>109157.45</v>
      </c>
      <c r="P189" s="21" t="s">
        <v>191</v>
      </c>
      <c r="Q189" s="21">
        <v>246431.09</v>
      </c>
      <c r="R189" s="21">
        <v>9</v>
      </c>
      <c r="S189" s="21">
        <v>9824.17</v>
      </c>
      <c r="T189" s="21">
        <v>9</v>
      </c>
      <c r="U189" s="21">
        <v>9824.17</v>
      </c>
      <c r="V189" s="21">
        <v>0</v>
      </c>
      <c r="W189" s="21">
        <v>0</v>
      </c>
      <c r="X189" s="21">
        <v>0</v>
      </c>
      <c r="Y189" s="21">
        <v>19648.34</v>
      </c>
      <c r="Z189" s="21">
        <v>0</v>
      </c>
      <c r="AA189" s="21" t="s">
        <v>171</v>
      </c>
      <c r="AB189" s="21" t="s">
        <v>168</v>
      </c>
      <c r="AC189" s="21">
        <v>63053200</v>
      </c>
      <c r="AD189" s="21" t="s">
        <v>201</v>
      </c>
      <c r="AE189" s="21">
        <v>1</v>
      </c>
      <c r="AF189" s="21">
        <v>415</v>
      </c>
      <c r="AG189" s="21" t="s">
        <v>202</v>
      </c>
    </row>
    <row r="190" spans="1:33" x14ac:dyDescent="0.25">
      <c r="A190" s="22"/>
      <c r="B190" s="21" t="s">
        <v>968</v>
      </c>
      <c r="C190" s="21" t="s">
        <v>677</v>
      </c>
      <c r="D190" s="21" t="s">
        <v>1247</v>
      </c>
      <c r="E190" s="21" t="s">
        <v>972</v>
      </c>
      <c r="F190" s="21" t="s">
        <v>1248</v>
      </c>
      <c r="G190" s="21" t="s">
        <v>971</v>
      </c>
      <c r="H190" s="21" t="s">
        <v>949</v>
      </c>
      <c r="I190" s="21" t="s">
        <v>188</v>
      </c>
      <c r="J190" s="21" t="s">
        <v>152</v>
      </c>
      <c r="K190" s="21" t="s">
        <v>152</v>
      </c>
      <c r="L190" s="21" t="s">
        <v>200</v>
      </c>
      <c r="M190" s="21" t="s">
        <v>187</v>
      </c>
      <c r="N190" s="21">
        <v>410</v>
      </c>
      <c r="O190" s="33">
        <v>99859.6</v>
      </c>
      <c r="P190" s="21" t="s">
        <v>187</v>
      </c>
      <c r="Q190" s="21">
        <v>0</v>
      </c>
      <c r="R190" s="21">
        <v>9</v>
      </c>
      <c r="S190" s="21">
        <v>8987.36</v>
      </c>
      <c r="T190" s="21">
        <v>9</v>
      </c>
      <c r="U190" s="21">
        <v>8987.36</v>
      </c>
      <c r="V190" s="21">
        <v>0</v>
      </c>
      <c r="W190" s="21">
        <v>0</v>
      </c>
      <c r="X190" s="21">
        <v>0</v>
      </c>
      <c r="Y190" s="21">
        <v>17974.72</v>
      </c>
      <c r="Z190" s="21">
        <v>0</v>
      </c>
      <c r="AA190" s="21" t="s">
        <v>171</v>
      </c>
      <c r="AB190" s="21" t="s">
        <v>168</v>
      </c>
      <c r="AC190" s="21">
        <v>63053200</v>
      </c>
      <c r="AD190" s="21" t="s">
        <v>201</v>
      </c>
      <c r="AE190" s="21">
        <v>1</v>
      </c>
      <c r="AF190" s="21">
        <v>410</v>
      </c>
      <c r="AG190" s="21" t="s">
        <v>202</v>
      </c>
    </row>
    <row r="191" spans="1:33" x14ac:dyDescent="0.25">
      <c r="A191" s="22"/>
      <c r="B191" s="21" t="s">
        <v>968</v>
      </c>
      <c r="C191" s="21" t="s">
        <v>1324</v>
      </c>
      <c r="D191" s="21" t="s">
        <v>1252</v>
      </c>
      <c r="E191" s="21" t="s">
        <v>1325</v>
      </c>
      <c r="F191" s="21" t="s">
        <v>1253</v>
      </c>
      <c r="G191" s="21">
        <v>23</v>
      </c>
      <c r="H191" s="23">
        <v>46061</v>
      </c>
      <c r="I191" s="21" t="s">
        <v>169</v>
      </c>
      <c r="J191" s="21" t="s">
        <v>175</v>
      </c>
      <c r="K191" s="21" t="s">
        <v>159</v>
      </c>
      <c r="L191" s="21" t="s">
        <v>159</v>
      </c>
      <c r="M191" s="21" t="s">
        <v>228</v>
      </c>
      <c r="N191" s="21">
        <v>26.366</v>
      </c>
      <c r="O191" s="33">
        <v>6816.5</v>
      </c>
      <c r="P191" s="21" t="s">
        <v>228</v>
      </c>
      <c r="Q191" s="21">
        <v>8043.46</v>
      </c>
      <c r="R191" s="21">
        <v>9</v>
      </c>
      <c r="S191" s="21">
        <v>613.48</v>
      </c>
      <c r="T191" s="21">
        <v>9</v>
      </c>
      <c r="U191" s="21">
        <v>613.48</v>
      </c>
      <c r="V191" s="21">
        <v>0</v>
      </c>
      <c r="W191" s="21">
        <v>0</v>
      </c>
      <c r="X191" s="21">
        <v>0</v>
      </c>
      <c r="Y191" s="21">
        <v>1226.96</v>
      </c>
      <c r="Z191" s="21">
        <v>0</v>
      </c>
      <c r="AA191" s="21" t="s">
        <v>1326</v>
      </c>
      <c r="AB191" s="21" t="s">
        <v>168</v>
      </c>
      <c r="AC191" s="21">
        <v>3920101</v>
      </c>
      <c r="AD191" s="21" t="s">
        <v>201</v>
      </c>
      <c r="AE191" s="21">
        <v>1</v>
      </c>
      <c r="AF191" s="21">
        <v>26.366</v>
      </c>
      <c r="AG191" s="21" t="s">
        <v>202</v>
      </c>
    </row>
    <row r="192" spans="1:33" x14ac:dyDescent="0.25">
      <c r="A192" s="22"/>
      <c r="B192" s="21" t="s">
        <v>968</v>
      </c>
      <c r="C192" s="21" t="s">
        <v>633</v>
      </c>
      <c r="D192" s="21" t="s">
        <v>1247</v>
      </c>
      <c r="E192" s="21" t="s">
        <v>981</v>
      </c>
      <c r="F192" s="21" t="s">
        <v>1248</v>
      </c>
      <c r="G192" s="21" t="s">
        <v>980</v>
      </c>
      <c r="H192" s="21" t="s">
        <v>968</v>
      </c>
      <c r="I192" s="21" t="s">
        <v>169</v>
      </c>
      <c r="J192" s="21" t="s">
        <v>179</v>
      </c>
      <c r="K192" s="21" t="s">
        <v>155</v>
      </c>
      <c r="L192" s="21" t="s">
        <v>203</v>
      </c>
      <c r="M192" s="21" t="s">
        <v>183</v>
      </c>
      <c r="N192" s="33">
        <v>1342</v>
      </c>
      <c r="O192" s="33">
        <v>197703.44</v>
      </c>
      <c r="P192" s="21" t="s">
        <v>183</v>
      </c>
      <c r="Q192" s="21">
        <v>857289.15</v>
      </c>
      <c r="R192" s="21">
        <v>9</v>
      </c>
      <c r="S192" s="21">
        <v>17793.310000000001</v>
      </c>
      <c r="T192" s="21">
        <v>9</v>
      </c>
      <c r="U192" s="21">
        <v>17793.310000000001</v>
      </c>
      <c r="V192" s="21">
        <v>0</v>
      </c>
      <c r="W192" s="21">
        <v>0</v>
      </c>
      <c r="X192" s="21">
        <v>0</v>
      </c>
      <c r="Y192" s="21">
        <v>35586.620000000003</v>
      </c>
      <c r="Z192" s="21">
        <v>0</v>
      </c>
      <c r="AA192" s="21" t="s">
        <v>176</v>
      </c>
      <c r="AB192" s="21" t="s">
        <v>168</v>
      </c>
      <c r="AC192" s="21">
        <v>39269080</v>
      </c>
      <c r="AD192" s="21" t="s">
        <v>201</v>
      </c>
      <c r="AE192" s="21">
        <v>1</v>
      </c>
      <c r="AF192" s="33">
        <v>1342</v>
      </c>
      <c r="AG192" s="21" t="s">
        <v>202</v>
      </c>
    </row>
    <row r="193" spans="1:33" x14ac:dyDescent="0.25">
      <c r="A193" s="22"/>
      <c r="B193" s="21" t="s">
        <v>968</v>
      </c>
      <c r="C193" s="21" t="s">
        <v>633</v>
      </c>
      <c r="D193" s="21" t="s">
        <v>1247</v>
      </c>
      <c r="E193" s="21" t="s">
        <v>981</v>
      </c>
      <c r="F193" s="21" t="s">
        <v>1248</v>
      </c>
      <c r="G193" s="21" t="s">
        <v>980</v>
      </c>
      <c r="H193" s="21" t="s">
        <v>968</v>
      </c>
      <c r="I193" s="21" t="s">
        <v>169</v>
      </c>
      <c r="J193" s="21" t="s">
        <v>179</v>
      </c>
      <c r="K193" s="21" t="s">
        <v>155</v>
      </c>
      <c r="L193" s="21" t="s">
        <v>203</v>
      </c>
      <c r="M193" s="21" t="s">
        <v>183</v>
      </c>
      <c r="N193" s="21">
        <v>441</v>
      </c>
      <c r="O193" s="33">
        <v>62763.12</v>
      </c>
      <c r="P193" s="21" t="s">
        <v>183</v>
      </c>
      <c r="Q193" s="21">
        <v>0</v>
      </c>
      <c r="R193" s="21">
        <v>9</v>
      </c>
      <c r="S193" s="21">
        <v>5648.68</v>
      </c>
      <c r="T193" s="21">
        <v>9</v>
      </c>
      <c r="U193" s="21">
        <v>5648.68</v>
      </c>
      <c r="V193" s="21">
        <v>0</v>
      </c>
      <c r="W193" s="21">
        <v>0</v>
      </c>
      <c r="X193" s="21">
        <v>0</v>
      </c>
      <c r="Y193" s="21">
        <v>11297.36</v>
      </c>
      <c r="Z193" s="21">
        <v>0</v>
      </c>
      <c r="AA193" s="21" t="s">
        <v>176</v>
      </c>
      <c r="AB193" s="21" t="s">
        <v>168</v>
      </c>
      <c r="AC193" s="21">
        <v>39269080</v>
      </c>
      <c r="AD193" s="21" t="s">
        <v>201</v>
      </c>
      <c r="AE193" s="21">
        <v>1</v>
      </c>
      <c r="AF193" s="21">
        <v>441</v>
      </c>
      <c r="AG193" s="21" t="s">
        <v>202</v>
      </c>
    </row>
    <row r="194" spans="1:33" x14ac:dyDescent="0.25">
      <c r="A194" s="22"/>
      <c r="B194" s="21" t="s">
        <v>968</v>
      </c>
      <c r="C194" s="21" t="s">
        <v>633</v>
      </c>
      <c r="D194" s="21" t="s">
        <v>1247</v>
      </c>
      <c r="E194" s="21" t="s">
        <v>981</v>
      </c>
      <c r="F194" s="21" t="s">
        <v>1248</v>
      </c>
      <c r="G194" s="21" t="s">
        <v>980</v>
      </c>
      <c r="H194" s="21" t="s">
        <v>968</v>
      </c>
      <c r="I194" s="21" t="s">
        <v>169</v>
      </c>
      <c r="J194" s="21" t="s">
        <v>179</v>
      </c>
      <c r="K194" s="21" t="s">
        <v>156</v>
      </c>
      <c r="L194" s="21" t="s">
        <v>211</v>
      </c>
      <c r="M194" s="21" t="s">
        <v>178</v>
      </c>
      <c r="N194" s="33">
        <v>1865</v>
      </c>
      <c r="O194" s="33">
        <v>278481.8</v>
      </c>
      <c r="P194" s="21" t="s">
        <v>178</v>
      </c>
      <c r="Q194" s="21">
        <v>0</v>
      </c>
      <c r="R194" s="21">
        <v>9</v>
      </c>
      <c r="S194" s="21">
        <v>25063.360000000001</v>
      </c>
      <c r="T194" s="21">
        <v>9</v>
      </c>
      <c r="U194" s="21">
        <v>25063.360000000001</v>
      </c>
      <c r="V194" s="21">
        <v>0</v>
      </c>
      <c r="W194" s="21">
        <v>0</v>
      </c>
      <c r="X194" s="21">
        <v>0</v>
      </c>
      <c r="Y194" s="21">
        <v>50126.720000000001</v>
      </c>
      <c r="Z194" s="21">
        <v>0</v>
      </c>
      <c r="AA194" s="21" t="s">
        <v>176</v>
      </c>
      <c r="AB194" s="21" t="s">
        <v>168</v>
      </c>
      <c r="AC194" s="21">
        <v>63053300</v>
      </c>
      <c r="AD194" s="21" t="s">
        <v>201</v>
      </c>
      <c r="AE194" s="21">
        <v>1</v>
      </c>
      <c r="AF194" s="33">
        <v>1865</v>
      </c>
      <c r="AG194" s="21" t="s">
        <v>202</v>
      </c>
    </row>
    <row r="195" spans="1:33" x14ac:dyDescent="0.25">
      <c r="A195" s="22"/>
      <c r="B195" s="21" t="s">
        <v>968</v>
      </c>
      <c r="C195" s="21" t="s">
        <v>633</v>
      </c>
      <c r="D195" s="21" t="s">
        <v>1247</v>
      </c>
      <c r="E195" s="21" t="s">
        <v>981</v>
      </c>
      <c r="F195" s="21" t="s">
        <v>1248</v>
      </c>
      <c r="G195" s="21" t="s">
        <v>980</v>
      </c>
      <c r="H195" s="21" t="s">
        <v>968</v>
      </c>
      <c r="I195" s="21" t="s">
        <v>169</v>
      </c>
      <c r="J195" s="21" t="s">
        <v>181</v>
      </c>
      <c r="K195" s="21" t="s">
        <v>154</v>
      </c>
      <c r="L195" s="21" t="s">
        <v>154</v>
      </c>
      <c r="M195" s="21" t="s">
        <v>181</v>
      </c>
      <c r="N195" s="21">
        <v>197.6</v>
      </c>
      <c r="O195" s="33">
        <v>32667.23</v>
      </c>
      <c r="P195" s="21" t="s">
        <v>181</v>
      </c>
      <c r="Q195" s="21">
        <v>0</v>
      </c>
      <c r="R195" s="21">
        <v>9</v>
      </c>
      <c r="S195" s="21">
        <v>2940.05</v>
      </c>
      <c r="T195" s="21">
        <v>9</v>
      </c>
      <c r="U195" s="21">
        <v>2940.05</v>
      </c>
      <c r="V195" s="21">
        <v>0</v>
      </c>
      <c r="W195" s="21">
        <v>0</v>
      </c>
      <c r="X195" s="21">
        <v>0</v>
      </c>
      <c r="Y195" s="21">
        <v>5880.1</v>
      </c>
      <c r="Z195" s="21">
        <v>0</v>
      </c>
      <c r="AA195" s="21" t="s">
        <v>176</v>
      </c>
      <c r="AB195" s="21" t="s">
        <v>168</v>
      </c>
      <c r="AC195" s="21">
        <v>3926908</v>
      </c>
      <c r="AD195" s="21" t="s">
        <v>201</v>
      </c>
      <c r="AE195" s="21">
        <v>1</v>
      </c>
      <c r="AF195" s="21">
        <v>197.6</v>
      </c>
      <c r="AG195" s="21" t="s">
        <v>202</v>
      </c>
    </row>
    <row r="196" spans="1:33" x14ac:dyDescent="0.25">
      <c r="A196" s="22"/>
      <c r="B196" s="21" t="s">
        <v>968</v>
      </c>
      <c r="C196" s="21" t="s">
        <v>633</v>
      </c>
      <c r="D196" s="21" t="s">
        <v>1247</v>
      </c>
      <c r="E196" s="21" t="s">
        <v>981</v>
      </c>
      <c r="F196" s="21" t="s">
        <v>1248</v>
      </c>
      <c r="G196" s="21" t="s">
        <v>980</v>
      </c>
      <c r="H196" s="21" t="s">
        <v>968</v>
      </c>
      <c r="I196" s="21" t="s">
        <v>169</v>
      </c>
      <c r="J196" s="21" t="s">
        <v>181</v>
      </c>
      <c r="K196" s="21" t="s">
        <v>154</v>
      </c>
      <c r="L196" s="21" t="s">
        <v>154</v>
      </c>
      <c r="M196" s="21" t="s">
        <v>181</v>
      </c>
      <c r="N196" s="21">
        <v>378.5</v>
      </c>
      <c r="O196" s="33">
        <v>55760.62</v>
      </c>
      <c r="P196" s="21" t="s">
        <v>181</v>
      </c>
      <c r="Q196" s="21">
        <v>0</v>
      </c>
      <c r="R196" s="21">
        <v>9</v>
      </c>
      <c r="S196" s="21">
        <v>5018.46</v>
      </c>
      <c r="T196" s="21">
        <v>9</v>
      </c>
      <c r="U196" s="21">
        <v>5018.46</v>
      </c>
      <c r="V196" s="21">
        <v>0</v>
      </c>
      <c r="W196" s="21">
        <v>0</v>
      </c>
      <c r="X196" s="21">
        <v>0</v>
      </c>
      <c r="Y196" s="21">
        <v>10036.92</v>
      </c>
      <c r="Z196" s="21">
        <v>0</v>
      </c>
      <c r="AA196" s="21" t="s">
        <v>176</v>
      </c>
      <c r="AB196" s="21" t="s">
        <v>168</v>
      </c>
      <c r="AC196" s="21">
        <v>3926908</v>
      </c>
      <c r="AD196" s="21" t="s">
        <v>201</v>
      </c>
      <c r="AE196" s="21">
        <v>1</v>
      </c>
      <c r="AF196" s="21">
        <v>378.5</v>
      </c>
      <c r="AG196" s="21" t="s">
        <v>202</v>
      </c>
    </row>
    <row r="197" spans="1:33" x14ac:dyDescent="0.25">
      <c r="A197" s="22"/>
      <c r="B197" s="21" t="s">
        <v>968</v>
      </c>
      <c r="C197" s="21" t="s">
        <v>633</v>
      </c>
      <c r="D197" s="21" t="s">
        <v>1247</v>
      </c>
      <c r="E197" s="21" t="s">
        <v>981</v>
      </c>
      <c r="F197" s="21" t="s">
        <v>1248</v>
      </c>
      <c r="G197" s="21" t="s">
        <v>980</v>
      </c>
      <c r="H197" s="21" t="s">
        <v>968</v>
      </c>
      <c r="I197" s="21" t="s">
        <v>169</v>
      </c>
      <c r="J197" s="21" t="s">
        <v>181</v>
      </c>
      <c r="K197" s="21" t="s">
        <v>154</v>
      </c>
      <c r="L197" s="21" t="s">
        <v>154</v>
      </c>
      <c r="M197" s="21" t="s">
        <v>181</v>
      </c>
      <c r="N197" s="21">
        <v>443.4</v>
      </c>
      <c r="O197" s="33">
        <v>63991.49</v>
      </c>
      <c r="P197" s="21" t="s">
        <v>181</v>
      </c>
      <c r="Q197" s="21">
        <v>0</v>
      </c>
      <c r="R197" s="21">
        <v>9</v>
      </c>
      <c r="S197" s="21">
        <v>5759.23</v>
      </c>
      <c r="T197" s="21">
        <v>9</v>
      </c>
      <c r="U197" s="21">
        <v>5759.23</v>
      </c>
      <c r="V197" s="21">
        <v>0</v>
      </c>
      <c r="W197" s="21">
        <v>0</v>
      </c>
      <c r="X197" s="21">
        <v>0</v>
      </c>
      <c r="Y197" s="21">
        <v>11518.46</v>
      </c>
      <c r="Z197" s="21">
        <v>0</v>
      </c>
      <c r="AA197" s="21" t="s">
        <v>176</v>
      </c>
      <c r="AB197" s="21" t="s">
        <v>168</v>
      </c>
      <c r="AC197" s="21">
        <v>3926908</v>
      </c>
      <c r="AD197" s="21" t="s">
        <v>201</v>
      </c>
      <c r="AE197" s="21">
        <v>1</v>
      </c>
      <c r="AF197" s="21">
        <v>443.4</v>
      </c>
      <c r="AG197" s="21" t="s">
        <v>202</v>
      </c>
    </row>
    <row r="198" spans="1:33" x14ac:dyDescent="0.25">
      <c r="A198" s="22"/>
      <c r="B198" s="21" t="s">
        <v>968</v>
      </c>
      <c r="C198" s="21" t="s">
        <v>633</v>
      </c>
      <c r="D198" s="21" t="s">
        <v>1247</v>
      </c>
      <c r="E198" s="21" t="s">
        <v>981</v>
      </c>
      <c r="F198" s="21" t="s">
        <v>1248</v>
      </c>
      <c r="G198" s="21" t="s">
        <v>980</v>
      </c>
      <c r="H198" s="21" t="s">
        <v>968</v>
      </c>
      <c r="I198" s="21" t="s">
        <v>169</v>
      </c>
      <c r="J198" s="21" t="s">
        <v>175</v>
      </c>
      <c r="K198" s="21" t="s">
        <v>159</v>
      </c>
      <c r="L198" s="21" t="s">
        <v>159</v>
      </c>
      <c r="M198" s="21" t="s">
        <v>173</v>
      </c>
      <c r="N198" s="21">
        <v>162</v>
      </c>
      <c r="O198" s="33">
        <v>35764.74</v>
      </c>
      <c r="P198" s="21" t="s">
        <v>173</v>
      </c>
      <c r="Q198" s="21">
        <v>0</v>
      </c>
      <c r="R198" s="21">
        <v>9</v>
      </c>
      <c r="S198" s="21">
        <v>3218.83</v>
      </c>
      <c r="T198" s="21">
        <v>9</v>
      </c>
      <c r="U198" s="21">
        <v>3218.83</v>
      </c>
      <c r="V198" s="21">
        <v>0</v>
      </c>
      <c r="W198" s="21">
        <v>0</v>
      </c>
      <c r="X198" s="21">
        <v>0</v>
      </c>
      <c r="Y198" s="21">
        <v>6437.66</v>
      </c>
      <c r="Z198" s="21">
        <v>0</v>
      </c>
      <c r="AA198" s="21" t="s">
        <v>176</v>
      </c>
      <c r="AB198" s="21" t="s">
        <v>168</v>
      </c>
      <c r="AC198" s="21">
        <v>39200000</v>
      </c>
      <c r="AD198" s="21" t="s">
        <v>201</v>
      </c>
      <c r="AE198" s="21">
        <v>1</v>
      </c>
      <c r="AF198" s="21">
        <v>162</v>
      </c>
      <c r="AG198" s="21" t="s">
        <v>202</v>
      </c>
    </row>
    <row r="199" spans="1:33" x14ac:dyDescent="0.25">
      <c r="A199" s="22"/>
      <c r="B199" s="21" t="s">
        <v>982</v>
      </c>
      <c r="C199" s="21" t="s">
        <v>633</v>
      </c>
      <c r="D199" s="21" t="s">
        <v>1247</v>
      </c>
      <c r="E199" s="21" t="s">
        <v>986</v>
      </c>
      <c r="F199" s="21" t="s">
        <v>1248</v>
      </c>
      <c r="G199" s="21" t="s">
        <v>985</v>
      </c>
      <c r="H199" s="21" t="s">
        <v>982</v>
      </c>
      <c r="I199" s="21" t="s">
        <v>169</v>
      </c>
      <c r="J199" s="21" t="s">
        <v>181</v>
      </c>
      <c r="K199" s="21" t="s">
        <v>154</v>
      </c>
      <c r="L199" s="21" t="s">
        <v>154</v>
      </c>
      <c r="M199" s="21" t="s">
        <v>181</v>
      </c>
      <c r="N199" s="21">
        <v>114</v>
      </c>
      <c r="O199" s="33">
        <v>16794.48</v>
      </c>
      <c r="P199" s="21" t="s">
        <v>181</v>
      </c>
      <c r="Q199" s="21">
        <v>19800.689999999999</v>
      </c>
      <c r="R199" s="21">
        <v>9</v>
      </c>
      <c r="S199" s="21">
        <v>1511.5</v>
      </c>
      <c r="T199" s="21">
        <v>9</v>
      </c>
      <c r="U199" s="21">
        <v>1511.5</v>
      </c>
      <c r="V199" s="21">
        <v>0</v>
      </c>
      <c r="W199" s="21">
        <v>0</v>
      </c>
      <c r="X199" s="21">
        <v>0</v>
      </c>
      <c r="Y199" s="21">
        <v>3023</v>
      </c>
      <c r="Z199" s="21">
        <v>0</v>
      </c>
      <c r="AA199" s="21" t="s">
        <v>176</v>
      </c>
      <c r="AB199" s="21" t="s">
        <v>168</v>
      </c>
      <c r="AC199" s="21">
        <v>3926908</v>
      </c>
      <c r="AD199" s="21" t="s">
        <v>201</v>
      </c>
      <c r="AE199" s="21">
        <v>1</v>
      </c>
      <c r="AF199" s="21">
        <v>114</v>
      </c>
      <c r="AG199" s="21" t="s">
        <v>202</v>
      </c>
    </row>
    <row r="200" spans="1:33" x14ac:dyDescent="0.25">
      <c r="A200" s="22"/>
      <c r="B200" s="21" t="s">
        <v>982</v>
      </c>
      <c r="C200" s="21" t="s">
        <v>633</v>
      </c>
      <c r="D200" s="21" t="s">
        <v>1252</v>
      </c>
      <c r="E200" s="21" t="s">
        <v>990</v>
      </c>
      <c r="F200" s="21" t="s">
        <v>1257</v>
      </c>
      <c r="G200" s="21" t="s">
        <v>989</v>
      </c>
      <c r="H200" s="21" t="s">
        <v>982</v>
      </c>
      <c r="I200" s="21" t="s">
        <v>169</v>
      </c>
      <c r="J200" s="21" t="s">
        <v>314</v>
      </c>
      <c r="K200" s="21" t="s">
        <v>314</v>
      </c>
      <c r="L200" s="21" t="s">
        <v>315</v>
      </c>
      <c r="M200" s="21" t="s">
        <v>314</v>
      </c>
      <c r="N200" s="33">
        <v>3000</v>
      </c>
      <c r="O200" s="33">
        <v>315000</v>
      </c>
      <c r="P200" s="21" t="s">
        <v>314</v>
      </c>
      <c r="Q200" s="21">
        <v>371385</v>
      </c>
      <c r="R200" s="21">
        <v>9</v>
      </c>
      <c r="S200" s="21">
        <v>28350</v>
      </c>
      <c r="T200" s="21">
        <v>9</v>
      </c>
      <c r="U200" s="21">
        <v>28350</v>
      </c>
      <c r="V200" s="21">
        <v>0</v>
      </c>
      <c r="W200" s="21">
        <v>0</v>
      </c>
      <c r="X200" s="21">
        <v>0</v>
      </c>
      <c r="Y200" s="21">
        <v>56700</v>
      </c>
      <c r="Z200" s="21">
        <v>0</v>
      </c>
      <c r="AA200" s="21" t="s">
        <v>176</v>
      </c>
      <c r="AB200" s="21" t="s">
        <v>168</v>
      </c>
      <c r="AC200" s="21">
        <v>39021000</v>
      </c>
      <c r="AD200" s="21" t="s">
        <v>201</v>
      </c>
      <c r="AE200" s="21">
        <v>1</v>
      </c>
      <c r="AF200" s="33">
        <v>3000</v>
      </c>
      <c r="AG200" s="21" t="s">
        <v>202</v>
      </c>
    </row>
    <row r="201" spans="1:33" x14ac:dyDescent="0.25">
      <c r="A201" s="22"/>
      <c r="B201" s="21" t="s">
        <v>982</v>
      </c>
      <c r="C201" s="21" t="s">
        <v>633</v>
      </c>
      <c r="D201" s="21" t="s">
        <v>1247</v>
      </c>
      <c r="E201" s="21" t="s">
        <v>994</v>
      </c>
      <c r="F201" s="21" t="s">
        <v>1248</v>
      </c>
      <c r="G201" s="21" t="s">
        <v>993</v>
      </c>
      <c r="H201" s="21" t="s">
        <v>982</v>
      </c>
      <c r="I201" s="21" t="s">
        <v>169</v>
      </c>
      <c r="J201" s="21" t="s">
        <v>179</v>
      </c>
      <c r="K201" s="21" t="s">
        <v>156</v>
      </c>
      <c r="L201" s="21" t="s">
        <v>211</v>
      </c>
      <c r="M201" s="21" t="s">
        <v>178</v>
      </c>
      <c r="N201" s="33">
        <v>5762</v>
      </c>
      <c r="O201" s="33">
        <v>860381.84</v>
      </c>
      <c r="P201" s="21" t="s">
        <v>178</v>
      </c>
      <c r="Q201" s="21">
        <v>1520735.81</v>
      </c>
      <c r="R201" s="21">
        <v>9</v>
      </c>
      <c r="S201" s="21">
        <v>77434.37</v>
      </c>
      <c r="T201" s="21">
        <v>9</v>
      </c>
      <c r="U201" s="21">
        <v>77434.37</v>
      </c>
      <c r="V201" s="21">
        <v>0</v>
      </c>
      <c r="W201" s="21">
        <v>0</v>
      </c>
      <c r="X201" s="21">
        <v>0</v>
      </c>
      <c r="Y201" s="21">
        <v>154868.74</v>
      </c>
      <c r="Z201" s="21">
        <v>0</v>
      </c>
      <c r="AA201" s="21" t="s">
        <v>176</v>
      </c>
      <c r="AB201" s="21" t="s">
        <v>168</v>
      </c>
      <c r="AC201" s="21">
        <v>63053300</v>
      </c>
      <c r="AD201" s="21" t="s">
        <v>201</v>
      </c>
      <c r="AE201" s="21">
        <v>1</v>
      </c>
      <c r="AF201" s="33">
        <v>5762</v>
      </c>
      <c r="AG201" s="21" t="s">
        <v>202</v>
      </c>
    </row>
    <row r="202" spans="1:33" x14ac:dyDescent="0.25">
      <c r="A202" s="22"/>
      <c r="B202" s="21" t="s">
        <v>982</v>
      </c>
      <c r="C202" s="21" t="s">
        <v>633</v>
      </c>
      <c r="D202" s="21" t="s">
        <v>1247</v>
      </c>
      <c r="E202" s="21" t="s">
        <v>994</v>
      </c>
      <c r="F202" s="21" t="s">
        <v>1248</v>
      </c>
      <c r="G202" s="21" t="s">
        <v>993</v>
      </c>
      <c r="H202" s="21" t="s">
        <v>982</v>
      </c>
      <c r="I202" s="21" t="s">
        <v>169</v>
      </c>
      <c r="J202" s="21" t="s">
        <v>181</v>
      </c>
      <c r="K202" s="21" t="s">
        <v>154</v>
      </c>
      <c r="L202" s="21" t="s">
        <v>154</v>
      </c>
      <c r="M202" s="21" t="s">
        <v>181</v>
      </c>
      <c r="N202" s="21">
        <v>219.6</v>
      </c>
      <c r="O202" s="33">
        <v>36304.269999999997</v>
      </c>
      <c r="P202" s="21" t="s">
        <v>181</v>
      </c>
      <c r="Q202" s="21">
        <v>0</v>
      </c>
      <c r="R202" s="21">
        <v>9</v>
      </c>
      <c r="S202" s="21">
        <v>3267.38</v>
      </c>
      <c r="T202" s="21">
        <v>9</v>
      </c>
      <c r="U202" s="21">
        <v>3267.38</v>
      </c>
      <c r="V202" s="21">
        <v>0</v>
      </c>
      <c r="W202" s="21">
        <v>0</v>
      </c>
      <c r="X202" s="21">
        <v>0</v>
      </c>
      <c r="Y202" s="21">
        <v>6534.76</v>
      </c>
      <c r="Z202" s="21">
        <v>0</v>
      </c>
      <c r="AA202" s="21" t="s">
        <v>176</v>
      </c>
      <c r="AB202" s="21" t="s">
        <v>168</v>
      </c>
      <c r="AC202" s="21">
        <v>3926908</v>
      </c>
      <c r="AD202" s="21" t="s">
        <v>201</v>
      </c>
      <c r="AE202" s="21">
        <v>1</v>
      </c>
      <c r="AF202" s="21">
        <v>219.6</v>
      </c>
      <c r="AG202" s="21" t="s">
        <v>202</v>
      </c>
    </row>
    <row r="203" spans="1:33" x14ac:dyDescent="0.25">
      <c r="A203" s="22"/>
      <c r="B203" s="21" t="s">
        <v>982</v>
      </c>
      <c r="C203" s="21" t="s">
        <v>633</v>
      </c>
      <c r="D203" s="21" t="s">
        <v>1247</v>
      </c>
      <c r="E203" s="21" t="s">
        <v>994</v>
      </c>
      <c r="F203" s="21" t="s">
        <v>1248</v>
      </c>
      <c r="G203" s="21" t="s">
        <v>993</v>
      </c>
      <c r="H203" s="21" t="s">
        <v>982</v>
      </c>
      <c r="I203" s="21" t="s">
        <v>169</v>
      </c>
      <c r="J203" s="21" t="s">
        <v>181</v>
      </c>
      <c r="K203" s="21" t="s">
        <v>154</v>
      </c>
      <c r="L203" s="21" t="s">
        <v>154</v>
      </c>
      <c r="M203" s="21" t="s">
        <v>181</v>
      </c>
      <c r="N203" s="33">
        <v>1616.1</v>
      </c>
      <c r="O203" s="33">
        <v>233235.55</v>
      </c>
      <c r="P203" s="21" t="s">
        <v>181</v>
      </c>
      <c r="Q203" s="21">
        <v>0</v>
      </c>
      <c r="R203" s="21">
        <v>9</v>
      </c>
      <c r="S203" s="21">
        <v>20991.200000000001</v>
      </c>
      <c r="T203" s="21">
        <v>9</v>
      </c>
      <c r="U203" s="21">
        <v>20991.200000000001</v>
      </c>
      <c r="V203" s="21">
        <v>0</v>
      </c>
      <c r="W203" s="21">
        <v>0</v>
      </c>
      <c r="X203" s="21">
        <v>0</v>
      </c>
      <c r="Y203" s="21">
        <v>41982.400000000001</v>
      </c>
      <c r="Z203" s="21">
        <v>0</v>
      </c>
      <c r="AA203" s="21" t="s">
        <v>176</v>
      </c>
      <c r="AB203" s="21" t="s">
        <v>168</v>
      </c>
      <c r="AC203" s="21">
        <v>3926908</v>
      </c>
      <c r="AD203" s="21" t="s">
        <v>201</v>
      </c>
      <c r="AE203" s="21">
        <v>1</v>
      </c>
      <c r="AF203" s="33">
        <v>1616.1</v>
      </c>
      <c r="AG203" s="21" t="s">
        <v>202</v>
      </c>
    </row>
    <row r="204" spans="1:33" x14ac:dyDescent="0.25">
      <c r="A204" s="22"/>
      <c r="B204" s="21" t="s">
        <v>982</v>
      </c>
      <c r="C204" s="21" t="s">
        <v>633</v>
      </c>
      <c r="D204" s="21" t="s">
        <v>1247</v>
      </c>
      <c r="E204" s="21" t="s">
        <v>994</v>
      </c>
      <c r="F204" s="21" t="s">
        <v>1248</v>
      </c>
      <c r="G204" s="21" t="s">
        <v>993</v>
      </c>
      <c r="H204" s="21" t="s">
        <v>982</v>
      </c>
      <c r="I204" s="21" t="s">
        <v>169</v>
      </c>
      <c r="J204" s="21" t="s">
        <v>181</v>
      </c>
      <c r="K204" s="21" t="s">
        <v>154</v>
      </c>
      <c r="L204" s="21" t="s">
        <v>154</v>
      </c>
      <c r="M204" s="21" t="s">
        <v>181</v>
      </c>
      <c r="N204" s="21">
        <v>390.6</v>
      </c>
      <c r="O204" s="33">
        <v>57543.19</v>
      </c>
      <c r="P204" s="21" t="s">
        <v>181</v>
      </c>
      <c r="Q204" s="21">
        <v>0</v>
      </c>
      <c r="R204" s="21">
        <v>9</v>
      </c>
      <c r="S204" s="21">
        <v>5178.8900000000003</v>
      </c>
      <c r="T204" s="21">
        <v>9</v>
      </c>
      <c r="U204" s="21">
        <v>5178.8900000000003</v>
      </c>
      <c r="V204" s="21">
        <v>0</v>
      </c>
      <c r="W204" s="21">
        <v>0</v>
      </c>
      <c r="X204" s="21">
        <v>0</v>
      </c>
      <c r="Y204" s="21">
        <v>10357.780000000001</v>
      </c>
      <c r="Z204" s="21">
        <v>0</v>
      </c>
      <c r="AA204" s="21" t="s">
        <v>176</v>
      </c>
      <c r="AB204" s="21" t="s">
        <v>168</v>
      </c>
      <c r="AC204" s="21">
        <v>3926908</v>
      </c>
      <c r="AD204" s="21" t="s">
        <v>201</v>
      </c>
      <c r="AE204" s="21">
        <v>1</v>
      </c>
      <c r="AF204" s="21">
        <v>390.6</v>
      </c>
      <c r="AG204" s="21" t="s">
        <v>202</v>
      </c>
    </row>
    <row r="205" spans="1:33" x14ac:dyDescent="0.25">
      <c r="A205" s="22"/>
      <c r="B205" s="21" t="s">
        <v>982</v>
      </c>
      <c r="C205" s="21" t="s">
        <v>633</v>
      </c>
      <c r="D205" s="21" t="s">
        <v>1247</v>
      </c>
      <c r="E205" s="21" t="s">
        <v>994</v>
      </c>
      <c r="F205" s="21" t="s">
        <v>1248</v>
      </c>
      <c r="G205" s="21" t="s">
        <v>993</v>
      </c>
      <c r="H205" s="21" t="s">
        <v>982</v>
      </c>
      <c r="I205" s="21" t="s">
        <v>169</v>
      </c>
      <c r="J205" s="21" t="s">
        <v>179</v>
      </c>
      <c r="K205" s="21" t="s">
        <v>155</v>
      </c>
      <c r="L205" s="21" t="s">
        <v>203</v>
      </c>
      <c r="M205" s="21" t="s">
        <v>183</v>
      </c>
      <c r="N205" s="21">
        <v>695</v>
      </c>
      <c r="O205" s="33">
        <v>102387.4</v>
      </c>
      <c r="P205" s="21" t="s">
        <v>183</v>
      </c>
      <c r="Q205" s="21">
        <v>0</v>
      </c>
      <c r="R205" s="21">
        <v>9</v>
      </c>
      <c r="S205" s="21">
        <v>9214.8700000000008</v>
      </c>
      <c r="T205" s="21">
        <v>9</v>
      </c>
      <c r="U205" s="21">
        <v>9214.8700000000008</v>
      </c>
      <c r="V205" s="21">
        <v>0</v>
      </c>
      <c r="W205" s="21">
        <v>0</v>
      </c>
      <c r="X205" s="21">
        <v>0</v>
      </c>
      <c r="Y205" s="21">
        <v>18429.740000000002</v>
      </c>
      <c r="Z205" s="21">
        <v>0</v>
      </c>
      <c r="AA205" s="21" t="s">
        <v>176</v>
      </c>
      <c r="AB205" s="21" t="s">
        <v>168</v>
      </c>
      <c r="AC205" s="21">
        <v>39269080</v>
      </c>
      <c r="AD205" s="21" t="s">
        <v>201</v>
      </c>
      <c r="AE205" s="21">
        <v>1</v>
      </c>
      <c r="AF205" s="21">
        <v>695</v>
      </c>
      <c r="AG205" s="21" t="s">
        <v>202</v>
      </c>
    </row>
    <row r="206" spans="1:33" x14ac:dyDescent="0.25">
      <c r="A206" s="22"/>
      <c r="B206" s="21" t="s">
        <v>995</v>
      </c>
      <c r="C206" s="21" t="s">
        <v>677</v>
      </c>
      <c r="D206" s="21" t="s">
        <v>1247</v>
      </c>
      <c r="E206" s="21" t="s">
        <v>1000</v>
      </c>
      <c r="F206" s="21" t="s">
        <v>1248</v>
      </c>
      <c r="G206" s="21" t="s">
        <v>999</v>
      </c>
      <c r="H206" s="21" t="s">
        <v>982</v>
      </c>
      <c r="I206" s="21" t="s">
        <v>169</v>
      </c>
      <c r="J206" s="21" t="s">
        <v>179</v>
      </c>
      <c r="K206" s="21" t="s">
        <v>155</v>
      </c>
      <c r="L206" s="21" t="s">
        <v>203</v>
      </c>
      <c r="M206" s="21" t="s">
        <v>183</v>
      </c>
      <c r="N206" s="33">
        <v>1237.5</v>
      </c>
      <c r="O206" s="33">
        <v>205920</v>
      </c>
      <c r="P206" s="21" t="s">
        <v>183</v>
      </c>
      <c r="Q206" s="21">
        <v>242779.68</v>
      </c>
      <c r="R206" s="21">
        <v>9</v>
      </c>
      <c r="S206" s="21">
        <v>18532.8</v>
      </c>
      <c r="T206" s="21">
        <v>9</v>
      </c>
      <c r="U206" s="21">
        <v>18532.8</v>
      </c>
      <c r="V206" s="21">
        <v>0</v>
      </c>
      <c r="W206" s="21">
        <v>0</v>
      </c>
      <c r="X206" s="21">
        <v>0</v>
      </c>
      <c r="Y206" s="21">
        <v>37065.599999999999</v>
      </c>
      <c r="Z206" s="21">
        <v>0</v>
      </c>
      <c r="AA206" s="21" t="s">
        <v>171</v>
      </c>
      <c r="AB206" s="21" t="s">
        <v>168</v>
      </c>
      <c r="AC206" s="21">
        <v>39269080</v>
      </c>
      <c r="AD206" s="21" t="s">
        <v>201</v>
      </c>
      <c r="AE206" s="21">
        <v>1</v>
      </c>
      <c r="AF206" s="33">
        <v>1237.5</v>
      </c>
      <c r="AG206" s="21" t="s">
        <v>202</v>
      </c>
    </row>
    <row r="207" spans="1:33" x14ac:dyDescent="0.25">
      <c r="A207" s="22"/>
      <c r="B207" s="21" t="s">
        <v>995</v>
      </c>
      <c r="C207" s="21" t="s">
        <v>633</v>
      </c>
      <c r="D207" s="21" t="s">
        <v>1252</v>
      </c>
      <c r="E207" s="21" t="s">
        <v>1004</v>
      </c>
      <c r="F207" s="21" t="s">
        <v>1248</v>
      </c>
      <c r="G207" s="21" t="s">
        <v>1003</v>
      </c>
      <c r="H207" s="21" t="s">
        <v>995</v>
      </c>
      <c r="I207" s="21" t="s">
        <v>169</v>
      </c>
      <c r="J207" s="21" t="s">
        <v>193</v>
      </c>
      <c r="K207" s="21" t="s">
        <v>161</v>
      </c>
      <c r="L207" s="21" t="s">
        <v>256</v>
      </c>
      <c r="M207" s="21" t="s">
        <v>161</v>
      </c>
      <c r="N207" s="33">
        <v>1733</v>
      </c>
      <c r="O207" s="33">
        <v>229310.56</v>
      </c>
      <c r="P207" s="21" t="s">
        <v>161</v>
      </c>
      <c r="Q207" s="21">
        <v>270357.15000000002</v>
      </c>
      <c r="R207" s="21">
        <v>9</v>
      </c>
      <c r="S207" s="21">
        <v>20637.95</v>
      </c>
      <c r="T207" s="21">
        <v>9</v>
      </c>
      <c r="U207" s="21">
        <v>20637.95</v>
      </c>
      <c r="V207" s="21">
        <v>0</v>
      </c>
      <c r="W207" s="21">
        <v>0</v>
      </c>
      <c r="X207" s="21">
        <v>0</v>
      </c>
      <c r="Y207" s="21">
        <v>41275.9</v>
      </c>
      <c r="Z207" s="21">
        <v>0</v>
      </c>
      <c r="AA207" s="21" t="s">
        <v>176</v>
      </c>
      <c r="AB207" s="21" t="s">
        <v>168</v>
      </c>
      <c r="AC207" s="21">
        <v>39199090</v>
      </c>
      <c r="AD207" s="21" t="s">
        <v>201</v>
      </c>
      <c r="AE207" s="21">
        <v>1</v>
      </c>
      <c r="AF207" s="33">
        <v>1733</v>
      </c>
      <c r="AG207" s="21" t="s">
        <v>202</v>
      </c>
    </row>
    <row r="208" spans="1:33" x14ac:dyDescent="0.25">
      <c r="A208" s="22"/>
      <c r="B208" s="21" t="s">
        <v>995</v>
      </c>
      <c r="C208" s="21" t="s">
        <v>633</v>
      </c>
      <c r="D208" s="21" t="s">
        <v>1252</v>
      </c>
      <c r="E208" s="21" t="s">
        <v>1009</v>
      </c>
      <c r="F208" s="21" t="s">
        <v>1248</v>
      </c>
      <c r="G208" s="21" t="s">
        <v>1008</v>
      </c>
      <c r="H208" s="21" t="s">
        <v>995</v>
      </c>
      <c r="I208" s="21" t="s">
        <v>169</v>
      </c>
      <c r="J208" s="21" t="s">
        <v>175</v>
      </c>
      <c r="K208" s="21" t="s">
        <v>159</v>
      </c>
      <c r="L208" s="21" t="s">
        <v>159</v>
      </c>
      <c r="M208" s="21" t="s">
        <v>173</v>
      </c>
      <c r="N208" s="21">
        <v>117.6</v>
      </c>
      <c r="O208" s="33">
        <v>23621.14</v>
      </c>
      <c r="P208" s="21" t="s">
        <v>173</v>
      </c>
      <c r="Q208" s="21">
        <v>535424.67000000004</v>
      </c>
      <c r="R208" s="21">
        <v>9</v>
      </c>
      <c r="S208" s="21">
        <v>2125.9</v>
      </c>
      <c r="T208" s="21">
        <v>9</v>
      </c>
      <c r="U208" s="21">
        <v>2125.9</v>
      </c>
      <c r="V208" s="21">
        <v>0</v>
      </c>
      <c r="W208" s="21">
        <v>0</v>
      </c>
      <c r="X208" s="21">
        <v>0</v>
      </c>
      <c r="Y208" s="21">
        <v>4251.8</v>
      </c>
      <c r="Z208" s="21">
        <v>0</v>
      </c>
      <c r="AA208" s="21" t="s">
        <v>176</v>
      </c>
      <c r="AB208" s="21" t="s">
        <v>168</v>
      </c>
      <c r="AC208" s="21">
        <v>39200000</v>
      </c>
      <c r="AD208" s="21" t="s">
        <v>201</v>
      </c>
      <c r="AE208" s="21">
        <v>1</v>
      </c>
      <c r="AF208" s="21">
        <v>117.6</v>
      </c>
      <c r="AG208" s="21" t="s">
        <v>202</v>
      </c>
    </row>
    <row r="209" spans="1:33" x14ac:dyDescent="0.25">
      <c r="A209" s="22"/>
      <c r="B209" s="21" t="s">
        <v>995</v>
      </c>
      <c r="C209" s="21" t="s">
        <v>633</v>
      </c>
      <c r="D209" s="21" t="s">
        <v>1252</v>
      </c>
      <c r="E209" s="21" t="s">
        <v>1009</v>
      </c>
      <c r="F209" s="21" t="s">
        <v>1248</v>
      </c>
      <c r="G209" s="21" t="s">
        <v>1008</v>
      </c>
      <c r="H209" s="21" t="s">
        <v>995</v>
      </c>
      <c r="I209" s="21" t="s">
        <v>169</v>
      </c>
      <c r="J209" s="21" t="s">
        <v>179</v>
      </c>
      <c r="K209" s="21" t="s">
        <v>155</v>
      </c>
      <c r="L209" s="21" t="s">
        <v>203</v>
      </c>
      <c r="M209" s="21" t="s">
        <v>183</v>
      </c>
      <c r="N209" s="21">
        <v>729</v>
      </c>
      <c r="O209" s="33">
        <v>107396.28</v>
      </c>
      <c r="P209" s="21" t="s">
        <v>183</v>
      </c>
      <c r="Q209" s="21">
        <v>0</v>
      </c>
      <c r="R209" s="21">
        <v>9</v>
      </c>
      <c r="S209" s="21">
        <v>9665.67</v>
      </c>
      <c r="T209" s="21">
        <v>9</v>
      </c>
      <c r="U209" s="21">
        <v>9665.67</v>
      </c>
      <c r="V209" s="21">
        <v>0</v>
      </c>
      <c r="W209" s="21">
        <v>0</v>
      </c>
      <c r="X209" s="21">
        <v>0</v>
      </c>
      <c r="Y209" s="21">
        <v>19331.34</v>
      </c>
      <c r="Z209" s="21">
        <v>0</v>
      </c>
      <c r="AA209" s="21" t="s">
        <v>176</v>
      </c>
      <c r="AB209" s="21" t="s">
        <v>168</v>
      </c>
      <c r="AC209" s="21">
        <v>39269080</v>
      </c>
      <c r="AD209" s="21" t="s">
        <v>201</v>
      </c>
      <c r="AE209" s="21">
        <v>1</v>
      </c>
      <c r="AF209" s="21">
        <v>729</v>
      </c>
      <c r="AG209" s="21" t="s">
        <v>202</v>
      </c>
    </row>
    <row r="210" spans="1:33" x14ac:dyDescent="0.25">
      <c r="A210" s="22"/>
      <c r="B210" s="21" t="s">
        <v>995</v>
      </c>
      <c r="C210" s="21" t="s">
        <v>633</v>
      </c>
      <c r="D210" s="21" t="s">
        <v>1252</v>
      </c>
      <c r="E210" s="21" t="s">
        <v>1009</v>
      </c>
      <c r="F210" s="21" t="s">
        <v>1248</v>
      </c>
      <c r="G210" s="21" t="s">
        <v>1008</v>
      </c>
      <c r="H210" s="21" t="s">
        <v>995</v>
      </c>
      <c r="I210" s="21" t="s">
        <v>169</v>
      </c>
      <c r="J210" s="21" t="s">
        <v>181</v>
      </c>
      <c r="K210" s="21" t="s">
        <v>154</v>
      </c>
      <c r="L210" s="21" t="s">
        <v>154</v>
      </c>
      <c r="M210" s="21" t="s">
        <v>181</v>
      </c>
      <c r="N210" s="21">
        <v>256</v>
      </c>
      <c r="O210" s="33">
        <v>42321.919999999998</v>
      </c>
      <c r="P210" s="21" t="s">
        <v>181</v>
      </c>
      <c r="Q210" s="21">
        <v>0</v>
      </c>
      <c r="R210" s="21">
        <v>9</v>
      </c>
      <c r="S210" s="21">
        <v>3808.97</v>
      </c>
      <c r="T210" s="21">
        <v>9</v>
      </c>
      <c r="U210" s="21">
        <v>3808.97</v>
      </c>
      <c r="V210" s="21">
        <v>0</v>
      </c>
      <c r="W210" s="21">
        <v>0</v>
      </c>
      <c r="X210" s="21">
        <v>0</v>
      </c>
      <c r="Y210" s="21">
        <v>7617.94</v>
      </c>
      <c r="Z210" s="21">
        <v>0</v>
      </c>
      <c r="AA210" s="21" t="s">
        <v>176</v>
      </c>
      <c r="AB210" s="21" t="s">
        <v>168</v>
      </c>
      <c r="AC210" s="21">
        <v>3926908</v>
      </c>
      <c r="AD210" s="21" t="s">
        <v>201</v>
      </c>
      <c r="AE210" s="21">
        <v>1</v>
      </c>
      <c r="AF210" s="21">
        <v>256</v>
      </c>
      <c r="AG210" s="21" t="s">
        <v>202</v>
      </c>
    </row>
    <row r="211" spans="1:33" x14ac:dyDescent="0.25">
      <c r="A211" s="22"/>
      <c r="B211" s="21" t="s">
        <v>995</v>
      </c>
      <c r="C211" s="21" t="s">
        <v>633</v>
      </c>
      <c r="D211" s="21" t="s">
        <v>1252</v>
      </c>
      <c r="E211" s="21" t="s">
        <v>1009</v>
      </c>
      <c r="F211" s="21" t="s">
        <v>1248</v>
      </c>
      <c r="G211" s="21" t="s">
        <v>1008</v>
      </c>
      <c r="H211" s="21" t="s">
        <v>995</v>
      </c>
      <c r="I211" s="21" t="s">
        <v>169</v>
      </c>
      <c r="J211" s="21" t="s">
        <v>181</v>
      </c>
      <c r="K211" s="21" t="s">
        <v>154</v>
      </c>
      <c r="L211" s="21" t="s">
        <v>154</v>
      </c>
      <c r="M211" s="21" t="s">
        <v>181</v>
      </c>
      <c r="N211" s="21">
        <v>452.5</v>
      </c>
      <c r="O211" s="33">
        <v>66662.3</v>
      </c>
      <c r="P211" s="21" t="s">
        <v>181</v>
      </c>
      <c r="Q211" s="21">
        <v>0</v>
      </c>
      <c r="R211" s="21">
        <v>9</v>
      </c>
      <c r="S211" s="21">
        <v>5999.61</v>
      </c>
      <c r="T211" s="21">
        <v>9</v>
      </c>
      <c r="U211" s="21">
        <v>5999.61</v>
      </c>
      <c r="V211" s="21">
        <v>0</v>
      </c>
      <c r="W211" s="21">
        <v>0</v>
      </c>
      <c r="X211" s="21">
        <v>0</v>
      </c>
      <c r="Y211" s="21">
        <v>11999.22</v>
      </c>
      <c r="Z211" s="21">
        <v>0</v>
      </c>
      <c r="AA211" s="21" t="s">
        <v>176</v>
      </c>
      <c r="AB211" s="21" t="s">
        <v>168</v>
      </c>
      <c r="AC211" s="21">
        <v>3926908</v>
      </c>
      <c r="AD211" s="21" t="s">
        <v>201</v>
      </c>
      <c r="AE211" s="21">
        <v>1</v>
      </c>
      <c r="AF211" s="21">
        <v>452.5</v>
      </c>
      <c r="AG211" s="21" t="s">
        <v>202</v>
      </c>
    </row>
    <row r="212" spans="1:33" x14ac:dyDescent="0.25">
      <c r="A212" s="22"/>
      <c r="B212" s="21" t="s">
        <v>995</v>
      </c>
      <c r="C212" s="21" t="s">
        <v>633</v>
      </c>
      <c r="D212" s="21" t="s">
        <v>1252</v>
      </c>
      <c r="E212" s="21" t="s">
        <v>1009</v>
      </c>
      <c r="F212" s="21" t="s">
        <v>1248</v>
      </c>
      <c r="G212" s="21" t="s">
        <v>1008</v>
      </c>
      <c r="H212" s="21" t="s">
        <v>995</v>
      </c>
      <c r="I212" s="21" t="s">
        <v>169</v>
      </c>
      <c r="J212" s="21" t="s">
        <v>181</v>
      </c>
      <c r="K212" s="21" t="s">
        <v>154</v>
      </c>
      <c r="L212" s="21" t="s">
        <v>154</v>
      </c>
      <c r="M212" s="21" t="s">
        <v>181</v>
      </c>
      <c r="N212" s="21">
        <v>555.9</v>
      </c>
      <c r="O212" s="33">
        <v>80227.490000000005</v>
      </c>
      <c r="P212" s="21" t="s">
        <v>181</v>
      </c>
      <c r="Q212" s="21">
        <v>0</v>
      </c>
      <c r="R212" s="21">
        <v>9</v>
      </c>
      <c r="S212" s="21">
        <v>7220.47</v>
      </c>
      <c r="T212" s="21">
        <v>9</v>
      </c>
      <c r="U212" s="21">
        <v>7220.47</v>
      </c>
      <c r="V212" s="21">
        <v>0</v>
      </c>
      <c r="W212" s="21">
        <v>0</v>
      </c>
      <c r="X212" s="21">
        <v>0</v>
      </c>
      <c r="Y212" s="21">
        <v>14440.94</v>
      </c>
      <c r="Z212" s="21">
        <v>0</v>
      </c>
      <c r="AA212" s="21" t="s">
        <v>176</v>
      </c>
      <c r="AB212" s="21" t="s">
        <v>168</v>
      </c>
      <c r="AC212" s="21">
        <v>3926908</v>
      </c>
      <c r="AD212" s="21" t="s">
        <v>201</v>
      </c>
      <c r="AE212" s="21">
        <v>1</v>
      </c>
      <c r="AF212" s="21">
        <v>555.9</v>
      </c>
      <c r="AG212" s="21" t="s">
        <v>202</v>
      </c>
    </row>
    <row r="213" spans="1:33" x14ac:dyDescent="0.25">
      <c r="A213" s="22"/>
      <c r="B213" s="21" t="s">
        <v>995</v>
      </c>
      <c r="C213" s="21" t="s">
        <v>633</v>
      </c>
      <c r="D213" s="21" t="s">
        <v>1252</v>
      </c>
      <c r="E213" s="21" t="s">
        <v>1009</v>
      </c>
      <c r="F213" s="21" t="s">
        <v>1248</v>
      </c>
      <c r="G213" s="21" t="s">
        <v>1008</v>
      </c>
      <c r="H213" s="21" t="s">
        <v>995</v>
      </c>
      <c r="I213" s="21" t="s">
        <v>169</v>
      </c>
      <c r="J213" s="21" t="s">
        <v>179</v>
      </c>
      <c r="K213" s="21" t="s">
        <v>155</v>
      </c>
      <c r="L213" s="21" t="s">
        <v>203</v>
      </c>
      <c r="M213" s="21" t="s">
        <v>183</v>
      </c>
      <c r="N213" s="21">
        <v>442</v>
      </c>
      <c r="O213" s="33">
        <v>62905.440000000002</v>
      </c>
      <c r="P213" s="21" t="s">
        <v>183</v>
      </c>
      <c r="Q213" s="21">
        <v>0</v>
      </c>
      <c r="R213" s="21">
        <v>9</v>
      </c>
      <c r="S213" s="21">
        <v>5661.49</v>
      </c>
      <c r="T213" s="21">
        <v>9</v>
      </c>
      <c r="U213" s="21">
        <v>5661.49</v>
      </c>
      <c r="V213" s="21">
        <v>0</v>
      </c>
      <c r="W213" s="21">
        <v>0</v>
      </c>
      <c r="X213" s="21">
        <v>0</v>
      </c>
      <c r="Y213" s="21">
        <v>11322.98</v>
      </c>
      <c r="Z213" s="21">
        <v>0</v>
      </c>
      <c r="AA213" s="21" t="s">
        <v>176</v>
      </c>
      <c r="AB213" s="21" t="s">
        <v>168</v>
      </c>
      <c r="AC213" s="21">
        <v>39269080</v>
      </c>
      <c r="AD213" s="21" t="s">
        <v>201</v>
      </c>
      <c r="AE213" s="21">
        <v>1</v>
      </c>
      <c r="AF213" s="21">
        <v>442</v>
      </c>
      <c r="AG213" s="21" t="s">
        <v>202</v>
      </c>
    </row>
    <row r="214" spans="1:33" x14ac:dyDescent="0.25">
      <c r="A214" s="22"/>
      <c r="B214" s="21" t="s">
        <v>995</v>
      </c>
      <c r="C214" s="21" t="s">
        <v>633</v>
      </c>
      <c r="D214" s="21" t="s">
        <v>1252</v>
      </c>
      <c r="E214" s="21" t="s">
        <v>1009</v>
      </c>
      <c r="F214" s="21" t="s">
        <v>1248</v>
      </c>
      <c r="G214" s="21" t="s">
        <v>1008</v>
      </c>
      <c r="H214" s="21" t="s">
        <v>995</v>
      </c>
      <c r="I214" s="21" t="s">
        <v>169</v>
      </c>
      <c r="J214" s="21" t="s">
        <v>170</v>
      </c>
      <c r="K214" s="21" t="s">
        <v>157</v>
      </c>
      <c r="L214" s="21" t="s">
        <v>225</v>
      </c>
      <c r="M214" s="21" t="s">
        <v>705</v>
      </c>
      <c r="N214" s="35">
        <v>517.1</v>
      </c>
      <c r="O214" s="33">
        <v>79798.87</v>
      </c>
      <c r="P214" s="21" t="s">
        <v>705</v>
      </c>
      <c r="Q214" s="21">
        <v>0</v>
      </c>
      <c r="R214" s="21">
        <v>2.5</v>
      </c>
      <c r="S214" s="21">
        <v>1994.97</v>
      </c>
      <c r="T214" s="21">
        <v>2.5</v>
      </c>
      <c r="U214" s="21">
        <v>1994.97</v>
      </c>
      <c r="V214" s="21">
        <v>0</v>
      </c>
      <c r="W214" s="21">
        <v>0</v>
      </c>
      <c r="X214" s="21">
        <v>0</v>
      </c>
      <c r="Y214" s="21">
        <v>3989.94</v>
      </c>
      <c r="Z214" s="21">
        <v>0</v>
      </c>
      <c r="AA214" s="21" t="s">
        <v>176</v>
      </c>
      <c r="AB214" s="21" t="s">
        <v>184</v>
      </c>
      <c r="AC214" s="21">
        <v>54026930</v>
      </c>
      <c r="AD214" s="21" t="s">
        <v>201</v>
      </c>
      <c r="AE214" s="21">
        <v>1</v>
      </c>
      <c r="AF214" s="21">
        <v>517.1</v>
      </c>
      <c r="AG214" s="21" t="s">
        <v>202</v>
      </c>
    </row>
    <row r="215" spans="1:33" x14ac:dyDescent="0.25">
      <c r="A215" s="22"/>
      <c r="B215" s="21" t="s">
        <v>1010</v>
      </c>
      <c r="C215" s="21" t="s">
        <v>633</v>
      </c>
      <c r="D215" s="21" t="s">
        <v>1247</v>
      </c>
      <c r="E215" s="21" t="s">
        <v>1014</v>
      </c>
      <c r="F215" s="21" t="s">
        <v>1248</v>
      </c>
      <c r="G215" s="21" t="s">
        <v>1013</v>
      </c>
      <c r="H215" s="21" t="s">
        <v>1010</v>
      </c>
      <c r="I215" s="21" t="s">
        <v>169</v>
      </c>
      <c r="J215" s="21" t="s">
        <v>181</v>
      </c>
      <c r="K215" s="21" t="s">
        <v>154</v>
      </c>
      <c r="L215" s="21" t="s">
        <v>154</v>
      </c>
      <c r="M215" s="21" t="s">
        <v>181</v>
      </c>
      <c r="N215" s="21">
        <v>103.9</v>
      </c>
      <c r="O215" s="33">
        <v>15306.55</v>
      </c>
      <c r="P215" s="21" t="s">
        <v>181</v>
      </c>
      <c r="Q215" s="21">
        <v>18046.419999999998</v>
      </c>
      <c r="R215" s="21">
        <v>9</v>
      </c>
      <c r="S215" s="21">
        <v>1377.59</v>
      </c>
      <c r="T215" s="21">
        <v>9</v>
      </c>
      <c r="U215" s="21">
        <v>1377.59</v>
      </c>
      <c r="V215" s="21">
        <v>0</v>
      </c>
      <c r="W215" s="21">
        <v>0</v>
      </c>
      <c r="X215" s="21">
        <v>0</v>
      </c>
      <c r="Y215" s="21">
        <v>2755.18</v>
      </c>
      <c r="Z215" s="21">
        <v>0</v>
      </c>
      <c r="AA215" s="21" t="s">
        <v>176</v>
      </c>
      <c r="AB215" s="21" t="s">
        <v>168</v>
      </c>
      <c r="AC215" s="21">
        <v>3926908</v>
      </c>
      <c r="AD215" s="21" t="s">
        <v>201</v>
      </c>
      <c r="AE215" s="21">
        <v>1</v>
      </c>
      <c r="AF215" s="21">
        <v>103.9</v>
      </c>
      <c r="AG215" s="21" t="s">
        <v>202</v>
      </c>
    </row>
    <row r="216" spans="1:33" x14ac:dyDescent="0.25">
      <c r="A216" s="22"/>
      <c r="B216" s="21" t="s">
        <v>1010</v>
      </c>
      <c r="C216" s="21" t="s">
        <v>633</v>
      </c>
      <c r="D216" s="21" t="s">
        <v>1247</v>
      </c>
      <c r="E216" s="21" t="s">
        <v>1018</v>
      </c>
      <c r="F216" s="21" t="s">
        <v>1248</v>
      </c>
      <c r="G216" s="21" t="s">
        <v>1017</v>
      </c>
      <c r="H216" s="21" t="s">
        <v>1010</v>
      </c>
      <c r="I216" s="21" t="s">
        <v>169</v>
      </c>
      <c r="J216" s="21" t="s">
        <v>314</v>
      </c>
      <c r="K216" s="21" t="s">
        <v>314</v>
      </c>
      <c r="L216" s="21" t="s">
        <v>315</v>
      </c>
      <c r="M216" s="21" t="s">
        <v>314</v>
      </c>
      <c r="N216" s="33">
        <v>3425</v>
      </c>
      <c r="O216" s="33">
        <v>359625</v>
      </c>
      <c r="P216" s="21" t="s">
        <v>314</v>
      </c>
      <c r="Q216" s="21">
        <v>423997.88</v>
      </c>
      <c r="R216" s="21">
        <v>9</v>
      </c>
      <c r="S216" s="21">
        <v>32366.25</v>
      </c>
      <c r="T216" s="21">
        <v>9</v>
      </c>
      <c r="U216" s="21">
        <v>32366.25</v>
      </c>
      <c r="V216" s="21">
        <v>0</v>
      </c>
      <c r="W216" s="21">
        <v>0</v>
      </c>
      <c r="X216" s="21">
        <v>0</v>
      </c>
      <c r="Y216" s="21">
        <v>64732.5</v>
      </c>
      <c r="Z216" s="21">
        <v>0</v>
      </c>
      <c r="AA216" s="21" t="s">
        <v>176</v>
      </c>
      <c r="AB216" s="21" t="s">
        <v>168</v>
      </c>
      <c r="AC216" s="21">
        <v>39021000</v>
      </c>
      <c r="AD216" s="21" t="s">
        <v>201</v>
      </c>
      <c r="AE216" s="21">
        <v>1</v>
      </c>
      <c r="AF216" s="33">
        <v>3425</v>
      </c>
      <c r="AG216" s="21" t="s">
        <v>202</v>
      </c>
    </row>
    <row r="217" spans="1:33" x14ac:dyDescent="0.25">
      <c r="A217" s="22"/>
      <c r="B217" s="21" t="s">
        <v>1010</v>
      </c>
      <c r="C217" s="21" t="s">
        <v>633</v>
      </c>
      <c r="D217" s="21" t="s">
        <v>1247</v>
      </c>
      <c r="E217" s="21" t="s">
        <v>1022</v>
      </c>
      <c r="F217" s="21" t="s">
        <v>1248</v>
      </c>
      <c r="G217" s="21" t="s">
        <v>1021</v>
      </c>
      <c r="H217" s="21" t="s">
        <v>1010</v>
      </c>
      <c r="I217" s="21" t="s">
        <v>169</v>
      </c>
      <c r="J217" s="21" t="s">
        <v>179</v>
      </c>
      <c r="K217" s="21" t="s">
        <v>155</v>
      </c>
      <c r="L217" s="21" t="s">
        <v>203</v>
      </c>
      <c r="M217" s="21" t="s">
        <v>183</v>
      </c>
      <c r="N217" s="21">
        <v>402</v>
      </c>
      <c r="O217" s="33">
        <v>57212.639999999999</v>
      </c>
      <c r="P217" s="21" t="s">
        <v>183</v>
      </c>
      <c r="Q217" s="21">
        <v>1173058.3500000001</v>
      </c>
      <c r="R217" s="21">
        <v>9</v>
      </c>
      <c r="S217" s="21">
        <v>5149.1400000000003</v>
      </c>
      <c r="T217" s="21">
        <v>9</v>
      </c>
      <c r="U217" s="21">
        <v>5149.1400000000003</v>
      </c>
      <c r="V217" s="21">
        <v>0</v>
      </c>
      <c r="W217" s="21">
        <v>0</v>
      </c>
      <c r="X217" s="21">
        <v>0</v>
      </c>
      <c r="Y217" s="21">
        <v>10298.280000000001</v>
      </c>
      <c r="Z217" s="21">
        <v>0</v>
      </c>
      <c r="AA217" s="21" t="s">
        <v>176</v>
      </c>
      <c r="AB217" s="21" t="s">
        <v>168</v>
      </c>
      <c r="AC217" s="21">
        <v>39269080</v>
      </c>
      <c r="AD217" s="21" t="s">
        <v>201</v>
      </c>
      <c r="AE217" s="21">
        <v>1</v>
      </c>
      <c r="AF217" s="21">
        <v>402</v>
      </c>
      <c r="AG217" s="21" t="s">
        <v>202</v>
      </c>
    </row>
    <row r="218" spans="1:33" x14ac:dyDescent="0.25">
      <c r="A218" s="22"/>
      <c r="B218" s="21" t="s">
        <v>1010</v>
      </c>
      <c r="C218" s="21" t="s">
        <v>633</v>
      </c>
      <c r="D218" s="21" t="s">
        <v>1247</v>
      </c>
      <c r="E218" s="21" t="s">
        <v>1022</v>
      </c>
      <c r="F218" s="21" t="s">
        <v>1248</v>
      </c>
      <c r="G218" s="21" t="s">
        <v>1021</v>
      </c>
      <c r="H218" s="21" t="s">
        <v>1010</v>
      </c>
      <c r="I218" s="21" t="s">
        <v>169</v>
      </c>
      <c r="J218" s="21" t="s">
        <v>179</v>
      </c>
      <c r="K218" s="21" t="s">
        <v>155</v>
      </c>
      <c r="L218" s="21" t="s">
        <v>203</v>
      </c>
      <c r="M218" s="21" t="s">
        <v>183</v>
      </c>
      <c r="N218" s="33">
        <v>1414</v>
      </c>
      <c r="O218" s="33">
        <v>204068.48000000001</v>
      </c>
      <c r="P218" s="21" t="s">
        <v>183</v>
      </c>
      <c r="Q218" s="21">
        <v>0</v>
      </c>
      <c r="R218" s="21">
        <v>9</v>
      </c>
      <c r="S218" s="21">
        <v>18366.16</v>
      </c>
      <c r="T218" s="21">
        <v>9</v>
      </c>
      <c r="U218" s="21">
        <v>18366.16</v>
      </c>
      <c r="V218" s="21">
        <v>0</v>
      </c>
      <c r="W218" s="21">
        <v>0</v>
      </c>
      <c r="X218" s="21">
        <v>0</v>
      </c>
      <c r="Y218" s="21">
        <v>36732.32</v>
      </c>
      <c r="Z218" s="21">
        <v>0</v>
      </c>
      <c r="AA218" s="21" t="s">
        <v>176</v>
      </c>
      <c r="AB218" s="21" t="s">
        <v>168</v>
      </c>
      <c r="AC218" s="21">
        <v>39269080</v>
      </c>
      <c r="AD218" s="21" t="s">
        <v>201</v>
      </c>
      <c r="AE218" s="21">
        <v>1</v>
      </c>
      <c r="AF218" s="33">
        <v>1414</v>
      </c>
      <c r="AG218" s="21" t="s">
        <v>202</v>
      </c>
    </row>
    <row r="219" spans="1:33" x14ac:dyDescent="0.25">
      <c r="A219" s="22"/>
      <c r="B219" s="21" t="s">
        <v>1010</v>
      </c>
      <c r="C219" s="21" t="s">
        <v>633</v>
      </c>
      <c r="D219" s="21" t="s">
        <v>1247</v>
      </c>
      <c r="E219" s="21" t="s">
        <v>1022</v>
      </c>
      <c r="F219" s="21" t="s">
        <v>1248</v>
      </c>
      <c r="G219" s="21" t="s">
        <v>1021</v>
      </c>
      <c r="H219" s="21" t="s">
        <v>1010</v>
      </c>
      <c r="I219" s="21" t="s">
        <v>169</v>
      </c>
      <c r="J219" s="21" t="s">
        <v>181</v>
      </c>
      <c r="K219" s="21" t="s">
        <v>154</v>
      </c>
      <c r="L219" s="21" t="s">
        <v>154</v>
      </c>
      <c r="M219" s="21" t="s">
        <v>181</v>
      </c>
      <c r="N219" s="21">
        <v>212.8</v>
      </c>
      <c r="O219" s="33">
        <v>35180.1</v>
      </c>
      <c r="P219" s="21" t="s">
        <v>181</v>
      </c>
      <c r="Q219" s="21">
        <v>0</v>
      </c>
      <c r="R219" s="21">
        <v>9</v>
      </c>
      <c r="S219" s="21">
        <v>3166.21</v>
      </c>
      <c r="T219" s="21">
        <v>9</v>
      </c>
      <c r="U219" s="21">
        <v>3166.21</v>
      </c>
      <c r="V219" s="21">
        <v>0</v>
      </c>
      <c r="W219" s="21">
        <v>0</v>
      </c>
      <c r="X219" s="21">
        <v>0</v>
      </c>
      <c r="Y219" s="21">
        <v>6332.42</v>
      </c>
      <c r="Z219" s="21">
        <v>0</v>
      </c>
      <c r="AA219" s="21" t="s">
        <v>176</v>
      </c>
      <c r="AB219" s="21" t="s">
        <v>168</v>
      </c>
      <c r="AC219" s="21">
        <v>3926908</v>
      </c>
      <c r="AD219" s="21" t="s">
        <v>201</v>
      </c>
      <c r="AE219" s="21">
        <v>1</v>
      </c>
      <c r="AF219" s="21">
        <v>212.8</v>
      </c>
      <c r="AG219" s="21" t="s">
        <v>202</v>
      </c>
    </row>
    <row r="220" spans="1:33" x14ac:dyDescent="0.25">
      <c r="A220" s="22"/>
      <c r="B220" s="21" t="s">
        <v>1010</v>
      </c>
      <c r="C220" s="21" t="s">
        <v>633</v>
      </c>
      <c r="D220" s="21" t="s">
        <v>1247</v>
      </c>
      <c r="E220" s="21" t="s">
        <v>1022</v>
      </c>
      <c r="F220" s="21" t="s">
        <v>1248</v>
      </c>
      <c r="G220" s="21" t="s">
        <v>1021</v>
      </c>
      <c r="H220" s="21" t="s">
        <v>1010</v>
      </c>
      <c r="I220" s="21" t="s">
        <v>169</v>
      </c>
      <c r="J220" s="21" t="s">
        <v>181</v>
      </c>
      <c r="K220" s="21" t="s">
        <v>154</v>
      </c>
      <c r="L220" s="21" t="s">
        <v>154</v>
      </c>
      <c r="M220" s="21" t="s">
        <v>181</v>
      </c>
      <c r="N220" s="33">
        <v>1776.5</v>
      </c>
      <c r="O220" s="33">
        <v>261713.98</v>
      </c>
      <c r="P220" s="21" t="s">
        <v>181</v>
      </c>
      <c r="Q220" s="21">
        <v>0</v>
      </c>
      <c r="R220" s="21">
        <v>9</v>
      </c>
      <c r="S220" s="21">
        <v>23554.26</v>
      </c>
      <c r="T220" s="21">
        <v>9</v>
      </c>
      <c r="U220" s="21">
        <v>23554.26</v>
      </c>
      <c r="V220" s="21">
        <v>0</v>
      </c>
      <c r="W220" s="21">
        <v>0</v>
      </c>
      <c r="X220" s="21">
        <v>0</v>
      </c>
      <c r="Y220" s="21">
        <v>47108.52</v>
      </c>
      <c r="Z220" s="21">
        <v>0</v>
      </c>
      <c r="AA220" s="21" t="s">
        <v>176</v>
      </c>
      <c r="AB220" s="21" t="s">
        <v>168</v>
      </c>
      <c r="AC220" s="21">
        <v>3926908</v>
      </c>
      <c r="AD220" s="21" t="s">
        <v>201</v>
      </c>
      <c r="AE220" s="21">
        <v>1</v>
      </c>
      <c r="AF220" s="33">
        <v>1776.5</v>
      </c>
      <c r="AG220" s="21" t="s">
        <v>202</v>
      </c>
    </row>
    <row r="221" spans="1:33" x14ac:dyDescent="0.25">
      <c r="A221" s="22"/>
      <c r="B221" s="21" t="s">
        <v>1010</v>
      </c>
      <c r="C221" s="21" t="s">
        <v>633</v>
      </c>
      <c r="D221" s="21" t="s">
        <v>1247</v>
      </c>
      <c r="E221" s="21" t="s">
        <v>1022</v>
      </c>
      <c r="F221" s="21" t="s">
        <v>1248</v>
      </c>
      <c r="G221" s="21" t="s">
        <v>1021</v>
      </c>
      <c r="H221" s="21" t="s">
        <v>1010</v>
      </c>
      <c r="I221" s="21" t="s">
        <v>169</v>
      </c>
      <c r="J221" s="21" t="s">
        <v>181</v>
      </c>
      <c r="K221" s="21" t="s">
        <v>154</v>
      </c>
      <c r="L221" s="21" t="s">
        <v>154</v>
      </c>
      <c r="M221" s="21" t="s">
        <v>181</v>
      </c>
      <c r="N221" s="21">
        <v>446.1</v>
      </c>
      <c r="O221" s="33">
        <v>64381.15</v>
      </c>
      <c r="P221" s="21" t="s">
        <v>181</v>
      </c>
      <c r="Q221" s="21">
        <v>0</v>
      </c>
      <c r="R221" s="21">
        <v>9</v>
      </c>
      <c r="S221" s="21">
        <v>5794.3</v>
      </c>
      <c r="T221" s="21">
        <v>9</v>
      </c>
      <c r="U221" s="21">
        <v>5794.3</v>
      </c>
      <c r="V221" s="21">
        <v>0</v>
      </c>
      <c r="W221" s="21">
        <v>0</v>
      </c>
      <c r="X221" s="21">
        <v>0</v>
      </c>
      <c r="Y221" s="21">
        <v>11588.6</v>
      </c>
      <c r="Z221" s="21">
        <v>0</v>
      </c>
      <c r="AA221" s="21" t="s">
        <v>176</v>
      </c>
      <c r="AB221" s="21" t="s">
        <v>168</v>
      </c>
      <c r="AC221" s="21">
        <v>3926908</v>
      </c>
      <c r="AD221" s="21" t="s">
        <v>201</v>
      </c>
      <c r="AE221" s="21">
        <v>1</v>
      </c>
      <c r="AF221" s="21">
        <v>446.1</v>
      </c>
      <c r="AG221" s="21" t="s">
        <v>202</v>
      </c>
    </row>
    <row r="222" spans="1:33" x14ac:dyDescent="0.25">
      <c r="A222" s="22"/>
      <c r="B222" s="21" t="s">
        <v>1010</v>
      </c>
      <c r="C222" s="21" t="s">
        <v>633</v>
      </c>
      <c r="D222" s="21" t="s">
        <v>1247</v>
      </c>
      <c r="E222" s="21" t="s">
        <v>1022</v>
      </c>
      <c r="F222" s="21" t="s">
        <v>1248</v>
      </c>
      <c r="G222" s="21" t="s">
        <v>1021</v>
      </c>
      <c r="H222" s="21" t="s">
        <v>1010</v>
      </c>
      <c r="I222" s="21" t="s">
        <v>169</v>
      </c>
      <c r="J222" s="21" t="s">
        <v>179</v>
      </c>
      <c r="K222" s="21" t="s">
        <v>156</v>
      </c>
      <c r="L222" s="21" t="s">
        <v>211</v>
      </c>
      <c r="M222" s="21" t="s">
        <v>178</v>
      </c>
      <c r="N222" s="33">
        <v>2494</v>
      </c>
      <c r="O222" s="33">
        <v>372404.08</v>
      </c>
      <c r="P222" s="21" t="s">
        <v>178</v>
      </c>
      <c r="Q222" s="21">
        <v>0</v>
      </c>
      <c r="R222" s="21">
        <v>9</v>
      </c>
      <c r="S222" s="21">
        <v>33516.370000000003</v>
      </c>
      <c r="T222" s="21">
        <v>9</v>
      </c>
      <c r="U222" s="21">
        <v>33516.370000000003</v>
      </c>
      <c r="V222" s="21">
        <v>0</v>
      </c>
      <c r="W222" s="21">
        <v>0</v>
      </c>
      <c r="X222" s="21">
        <v>0</v>
      </c>
      <c r="Y222" s="21">
        <v>67032.740000000005</v>
      </c>
      <c r="Z222" s="21">
        <v>0</v>
      </c>
      <c r="AA222" s="21" t="s">
        <v>176</v>
      </c>
      <c r="AB222" s="21" t="s">
        <v>168</v>
      </c>
      <c r="AC222" s="21">
        <v>63053300</v>
      </c>
      <c r="AD222" s="21" t="s">
        <v>201</v>
      </c>
      <c r="AE222" s="21">
        <v>1</v>
      </c>
      <c r="AF222" s="33">
        <v>2494</v>
      </c>
      <c r="AG222" s="21" t="s">
        <v>202</v>
      </c>
    </row>
    <row r="223" spans="1:33" x14ac:dyDescent="0.25">
      <c r="A223" s="22"/>
      <c r="B223" s="21" t="s">
        <v>1010</v>
      </c>
      <c r="C223" s="21" t="s">
        <v>1028</v>
      </c>
      <c r="D223" s="21" t="s">
        <v>1247</v>
      </c>
      <c r="E223" s="21" t="s">
        <v>1030</v>
      </c>
      <c r="F223" s="21" t="s">
        <v>1248</v>
      </c>
      <c r="G223" s="21" t="s">
        <v>1029</v>
      </c>
      <c r="H223" s="23">
        <v>46334</v>
      </c>
      <c r="I223" s="21" t="s">
        <v>1032</v>
      </c>
      <c r="J223" s="21" t="s">
        <v>160</v>
      </c>
      <c r="K223" s="21" t="s">
        <v>160</v>
      </c>
      <c r="L223" s="21" t="s">
        <v>1254</v>
      </c>
      <c r="M223" s="21" t="s">
        <v>1038</v>
      </c>
      <c r="N223" s="21">
        <v>150</v>
      </c>
      <c r="O223" s="33">
        <v>48900</v>
      </c>
      <c r="P223" s="21" t="s">
        <v>1038</v>
      </c>
      <c r="Q223" s="21">
        <v>628551</v>
      </c>
      <c r="R223" s="21">
        <v>0</v>
      </c>
      <c r="S223" s="21">
        <v>0</v>
      </c>
      <c r="T223" s="21">
        <v>0</v>
      </c>
      <c r="U223" s="21">
        <v>0</v>
      </c>
      <c r="V223" s="21">
        <v>18</v>
      </c>
      <c r="W223" s="21">
        <v>8802</v>
      </c>
      <c r="X223" s="21">
        <v>0</v>
      </c>
      <c r="Y223" s="21">
        <v>8802</v>
      </c>
      <c r="Z223" s="21">
        <v>0</v>
      </c>
      <c r="AA223" s="21" t="s">
        <v>1033</v>
      </c>
      <c r="AB223" s="21" t="s">
        <v>168</v>
      </c>
      <c r="AC223" s="21">
        <v>32151990</v>
      </c>
      <c r="AD223" s="21" t="s">
        <v>201</v>
      </c>
      <c r="AE223" s="21">
        <v>1</v>
      </c>
      <c r="AF223" s="21">
        <v>150</v>
      </c>
      <c r="AG223" s="21" t="s">
        <v>202</v>
      </c>
    </row>
    <row r="224" spans="1:33" x14ac:dyDescent="0.25">
      <c r="A224" s="22"/>
      <c r="B224" s="21" t="s">
        <v>1010</v>
      </c>
      <c r="C224" s="21" t="s">
        <v>1028</v>
      </c>
      <c r="D224" s="21" t="s">
        <v>1247</v>
      </c>
      <c r="E224" s="21" t="s">
        <v>1030</v>
      </c>
      <c r="F224" s="21" t="s">
        <v>1248</v>
      </c>
      <c r="G224" s="21" t="s">
        <v>1029</v>
      </c>
      <c r="H224" s="23">
        <v>46334</v>
      </c>
      <c r="I224" s="21" t="s">
        <v>1032</v>
      </c>
      <c r="J224" s="21" t="s">
        <v>160</v>
      </c>
      <c r="K224" s="21" t="s">
        <v>165</v>
      </c>
      <c r="L224" s="21" t="s">
        <v>165</v>
      </c>
      <c r="M224" s="21" t="s">
        <v>1044</v>
      </c>
      <c r="N224" s="33">
        <v>2040</v>
      </c>
      <c r="O224" s="33">
        <v>240720</v>
      </c>
      <c r="P224" s="21" t="s">
        <v>1044</v>
      </c>
      <c r="Q224" s="21">
        <v>0</v>
      </c>
      <c r="R224" s="21">
        <v>0</v>
      </c>
      <c r="S224" s="21">
        <v>0</v>
      </c>
      <c r="T224" s="21">
        <v>0</v>
      </c>
      <c r="U224" s="21">
        <v>0</v>
      </c>
      <c r="V224" s="21">
        <v>18</v>
      </c>
      <c r="W224" s="21">
        <v>43329.599999999999</v>
      </c>
      <c r="X224" s="21">
        <v>0</v>
      </c>
      <c r="Y224" s="21">
        <v>43329.599999999999</v>
      </c>
      <c r="Z224" s="21">
        <v>0</v>
      </c>
      <c r="AA224" s="21" t="s">
        <v>1033</v>
      </c>
      <c r="AB224" s="21" t="s">
        <v>168</v>
      </c>
      <c r="AC224" s="21">
        <v>38140010</v>
      </c>
      <c r="AD224" s="21" t="s">
        <v>201</v>
      </c>
      <c r="AE224" s="21">
        <v>1</v>
      </c>
      <c r="AF224" s="33">
        <v>2040</v>
      </c>
      <c r="AG224" s="21" t="s">
        <v>202</v>
      </c>
    </row>
    <row r="225" spans="1:33" x14ac:dyDescent="0.25">
      <c r="A225" s="22"/>
      <c r="B225" s="21" t="s">
        <v>1010</v>
      </c>
      <c r="C225" s="21" t="s">
        <v>1028</v>
      </c>
      <c r="D225" s="21" t="s">
        <v>1247</v>
      </c>
      <c r="E225" s="21" t="s">
        <v>1030</v>
      </c>
      <c r="F225" s="21" t="s">
        <v>1248</v>
      </c>
      <c r="G225" s="21" t="s">
        <v>1029</v>
      </c>
      <c r="H225" s="23">
        <v>46334</v>
      </c>
      <c r="I225" s="21" t="s">
        <v>1032</v>
      </c>
      <c r="J225" s="21" t="s">
        <v>160</v>
      </c>
      <c r="K225" s="21" t="s">
        <v>160</v>
      </c>
      <c r="L225" s="21" t="s">
        <v>1254</v>
      </c>
      <c r="M225" s="21" t="s">
        <v>1046</v>
      </c>
      <c r="N225" s="21">
        <v>250</v>
      </c>
      <c r="O225" s="33">
        <v>74250</v>
      </c>
      <c r="P225" s="21" t="s">
        <v>1046</v>
      </c>
      <c r="Q225" s="21">
        <v>0</v>
      </c>
      <c r="R225" s="21">
        <v>0</v>
      </c>
      <c r="S225" s="21">
        <v>0</v>
      </c>
      <c r="T225" s="21">
        <v>0</v>
      </c>
      <c r="U225" s="21">
        <v>0</v>
      </c>
      <c r="V225" s="21">
        <v>18</v>
      </c>
      <c r="W225" s="21">
        <v>13365</v>
      </c>
      <c r="X225" s="21">
        <v>0</v>
      </c>
      <c r="Y225" s="21">
        <v>13365</v>
      </c>
      <c r="Z225" s="21">
        <v>0</v>
      </c>
      <c r="AA225" s="21" t="s">
        <v>1033</v>
      </c>
      <c r="AB225" s="21" t="s">
        <v>168</v>
      </c>
      <c r="AC225" s="21">
        <v>84485900</v>
      </c>
      <c r="AD225" s="21" t="s">
        <v>201</v>
      </c>
      <c r="AE225" s="21">
        <v>1</v>
      </c>
      <c r="AF225" s="21">
        <v>250</v>
      </c>
      <c r="AG225" s="21" t="s">
        <v>202</v>
      </c>
    </row>
    <row r="226" spans="1:33" x14ac:dyDescent="0.25">
      <c r="A226" s="22"/>
      <c r="B226" s="21" t="s">
        <v>1010</v>
      </c>
      <c r="C226" s="21" t="s">
        <v>1028</v>
      </c>
      <c r="D226" s="21" t="s">
        <v>1247</v>
      </c>
      <c r="E226" s="21" t="s">
        <v>1030</v>
      </c>
      <c r="F226" s="21" t="s">
        <v>1248</v>
      </c>
      <c r="G226" s="21" t="s">
        <v>1029</v>
      </c>
      <c r="H226" s="23">
        <v>46334</v>
      </c>
      <c r="I226" s="21" t="s">
        <v>1032</v>
      </c>
      <c r="J226" s="21" t="s">
        <v>160</v>
      </c>
      <c r="K226" s="21" t="s">
        <v>160</v>
      </c>
      <c r="L226" s="21" t="s">
        <v>1254</v>
      </c>
      <c r="M226" s="21" t="s">
        <v>1040</v>
      </c>
      <c r="N226" s="21">
        <v>100</v>
      </c>
      <c r="O226" s="33">
        <v>30000</v>
      </c>
      <c r="P226" s="21" t="s">
        <v>1040</v>
      </c>
      <c r="Q226" s="21">
        <v>0</v>
      </c>
      <c r="R226" s="21">
        <v>0</v>
      </c>
      <c r="S226" s="21">
        <v>0</v>
      </c>
      <c r="T226" s="21">
        <v>0</v>
      </c>
      <c r="U226" s="21">
        <v>0</v>
      </c>
      <c r="V226" s="21">
        <v>18</v>
      </c>
      <c r="W226" s="21">
        <v>5400</v>
      </c>
      <c r="X226" s="21">
        <v>0</v>
      </c>
      <c r="Y226" s="21">
        <v>5400</v>
      </c>
      <c r="Z226" s="21">
        <v>0</v>
      </c>
      <c r="AA226" s="21" t="s">
        <v>1033</v>
      </c>
      <c r="AB226" s="21" t="s">
        <v>168</v>
      </c>
      <c r="AC226" s="21">
        <v>32151910</v>
      </c>
      <c r="AD226" s="21" t="s">
        <v>201</v>
      </c>
      <c r="AE226" s="21">
        <v>1</v>
      </c>
      <c r="AF226" s="21">
        <v>100</v>
      </c>
      <c r="AG226" s="21" t="s">
        <v>202</v>
      </c>
    </row>
    <row r="227" spans="1:33" x14ac:dyDescent="0.25">
      <c r="A227" s="22"/>
      <c r="B227" s="21" t="s">
        <v>1010</v>
      </c>
      <c r="C227" s="21" t="s">
        <v>1028</v>
      </c>
      <c r="D227" s="21" t="s">
        <v>1247</v>
      </c>
      <c r="E227" s="21" t="s">
        <v>1030</v>
      </c>
      <c r="F227" s="21" t="s">
        <v>1248</v>
      </c>
      <c r="G227" s="21" t="s">
        <v>1029</v>
      </c>
      <c r="H227" s="23">
        <v>46334</v>
      </c>
      <c r="I227" s="21" t="s">
        <v>1032</v>
      </c>
      <c r="J227" s="21" t="s">
        <v>160</v>
      </c>
      <c r="K227" s="21" t="s">
        <v>160</v>
      </c>
      <c r="L227" s="21" t="s">
        <v>1254</v>
      </c>
      <c r="M227" s="21" t="s">
        <v>1042</v>
      </c>
      <c r="N227" s="21">
        <v>100</v>
      </c>
      <c r="O227" s="33">
        <v>34000</v>
      </c>
      <c r="P227" s="21" t="s">
        <v>1042</v>
      </c>
      <c r="Q227" s="21">
        <v>0</v>
      </c>
      <c r="R227" s="21">
        <v>0</v>
      </c>
      <c r="S227" s="21">
        <v>0</v>
      </c>
      <c r="T227" s="21">
        <v>0</v>
      </c>
      <c r="U227" s="21">
        <v>0</v>
      </c>
      <c r="V227" s="21">
        <v>18</v>
      </c>
      <c r="W227" s="21">
        <v>6120</v>
      </c>
      <c r="X227" s="21">
        <v>0</v>
      </c>
      <c r="Y227" s="21">
        <v>6120</v>
      </c>
      <c r="Z227" s="21">
        <v>0</v>
      </c>
      <c r="AA227" s="21" t="s">
        <v>1033</v>
      </c>
      <c r="AB227" s="21" t="s">
        <v>168</v>
      </c>
      <c r="AC227" s="21">
        <v>32151910</v>
      </c>
      <c r="AD227" s="21" t="s">
        <v>201</v>
      </c>
      <c r="AE227" s="21">
        <v>1</v>
      </c>
      <c r="AF227" s="21">
        <v>100</v>
      </c>
      <c r="AG227" s="21" t="s">
        <v>202</v>
      </c>
    </row>
    <row r="228" spans="1:33" x14ac:dyDescent="0.25">
      <c r="A228" s="22"/>
      <c r="B228" s="21" t="s">
        <v>1010</v>
      </c>
      <c r="C228" s="21" t="s">
        <v>1028</v>
      </c>
      <c r="D228" s="21" t="s">
        <v>1247</v>
      </c>
      <c r="E228" s="21" t="s">
        <v>1030</v>
      </c>
      <c r="F228" s="21" t="s">
        <v>1248</v>
      </c>
      <c r="G228" s="21" t="s">
        <v>1029</v>
      </c>
      <c r="H228" s="23">
        <v>46334</v>
      </c>
      <c r="I228" s="21" t="s">
        <v>1032</v>
      </c>
      <c r="J228" s="21" t="s">
        <v>160</v>
      </c>
      <c r="K228" s="21" t="s">
        <v>160</v>
      </c>
      <c r="L228" s="21" t="s">
        <v>1254</v>
      </c>
      <c r="M228" s="21" t="s">
        <v>1036</v>
      </c>
      <c r="N228" s="21">
        <v>200</v>
      </c>
      <c r="O228" s="33">
        <v>58400</v>
      </c>
      <c r="P228" s="21" t="s">
        <v>1036</v>
      </c>
      <c r="Q228" s="21">
        <v>0</v>
      </c>
      <c r="R228" s="21">
        <v>0</v>
      </c>
      <c r="S228" s="21">
        <v>0</v>
      </c>
      <c r="T228" s="21">
        <v>0</v>
      </c>
      <c r="U228" s="21">
        <v>0</v>
      </c>
      <c r="V228" s="21">
        <v>18</v>
      </c>
      <c r="W228" s="21">
        <v>10512</v>
      </c>
      <c r="X228" s="21">
        <v>0</v>
      </c>
      <c r="Y228" s="21">
        <v>10512</v>
      </c>
      <c r="Z228" s="21">
        <v>0</v>
      </c>
      <c r="AA228" s="21" t="s">
        <v>1033</v>
      </c>
      <c r="AB228" s="21" t="s">
        <v>168</v>
      </c>
      <c r="AC228" s="21">
        <v>321519</v>
      </c>
      <c r="AD228" s="21" t="s">
        <v>201</v>
      </c>
      <c r="AE228" s="21">
        <v>1</v>
      </c>
      <c r="AF228" s="21">
        <v>200</v>
      </c>
      <c r="AG228" s="21" t="s">
        <v>202</v>
      </c>
    </row>
    <row r="229" spans="1:33" x14ac:dyDescent="0.25">
      <c r="A229" s="22"/>
      <c r="B229" s="21" t="s">
        <v>1010</v>
      </c>
      <c r="C229" s="21" t="s">
        <v>1028</v>
      </c>
      <c r="D229" s="21" t="s">
        <v>1247</v>
      </c>
      <c r="E229" s="21" t="s">
        <v>1030</v>
      </c>
      <c r="F229" s="21" t="s">
        <v>1248</v>
      </c>
      <c r="G229" s="21" t="s">
        <v>1029</v>
      </c>
      <c r="H229" s="23">
        <v>46334</v>
      </c>
      <c r="I229" s="21" t="s">
        <v>1032</v>
      </c>
      <c r="J229" s="21" t="s">
        <v>160</v>
      </c>
      <c r="K229" s="21" t="s">
        <v>160</v>
      </c>
      <c r="L229" s="21" t="s">
        <v>1254</v>
      </c>
      <c r="M229" s="21" t="s">
        <v>1025</v>
      </c>
      <c r="N229" s="21">
        <v>200</v>
      </c>
      <c r="O229" s="33">
        <v>46400</v>
      </c>
      <c r="P229" s="21" t="s">
        <v>1025</v>
      </c>
      <c r="Q229" s="21">
        <v>0</v>
      </c>
      <c r="R229" s="21">
        <v>0</v>
      </c>
      <c r="S229" s="21">
        <v>0</v>
      </c>
      <c r="T229" s="21">
        <v>0</v>
      </c>
      <c r="U229" s="21">
        <v>0</v>
      </c>
      <c r="V229" s="21">
        <v>18</v>
      </c>
      <c r="W229" s="21">
        <v>8352</v>
      </c>
      <c r="X229" s="21">
        <v>0</v>
      </c>
      <c r="Y229" s="21">
        <v>8352</v>
      </c>
      <c r="Z229" s="21">
        <v>0</v>
      </c>
      <c r="AA229" s="21" t="s">
        <v>1033</v>
      </c>
      <c r="AB229" s="21" t="s">
        <v>168</v>
      </c>
      <c r="AC229" s="21">
        <v>32151910</v>
      </c>
      <c r="AD229" s="21" t="s">
        <v>201</v>
      </c>
      <c r="AE229" s="21">
        <v>1</v>
      </c>
      <c r="AF229" s="21">
        <v>200</v>
      </c>
      <c r="AG229" s="21" t="s">
        <v>202</v>
      </c>
    </row>
    <row r="230" spans="1:33" x14ac:dyDescent="0.25">
      <c r="A230" s="22"/>
      <c r="B230" s="21" t="s">
        <v>1047</v>
      </c>
      <c r="C230" s="21" t="s">
        <v>663</v>
      </c>
      <c r="D230" s="21" t="s">
        <v>1247</v>
      </c>
      <c r="E230" s="21" t="s">
        <v>1051</v>
      </c>
      <c r="F230" s="21" t="s">
        <v>1248</v>
      </c>
      <c r="G230" s="21" t="s">
        <v>1050</v>
      </c>
      <c r="H230" s="21" t="s">
        <v>1010</v>
      </c>
      <c r="I230" s="21" t="s">
        <v>169</v>
      </c>
      <c r="J230" s="21" t="s">
        <v>179</v>
      </c>
      <c r="K230" s="21" t="s">
        <v>155</v>
      </c>
      <c r="L230" s="21" t="s">
        <v>203</v>
      </c>
      <c r="M230" s="21" t="s">
        <v>183</v>
      </c>
      <c r="N230" s="33">
        <v>1927</v>
      </c>
      <c r="O230" s="33">
        <v>301556.23</v>
      </c>
      <c r="P230" s="21" t="s">
        <v>183</v>
      </c>
      <c r="Q230" s="21">
        <v>355534.79</v>
      </c>
      <c r="R230" s="21">
        <v>9</v>
      </c>
      <c r="S230" s="21">
        <v>27140.06</v>
      </c>
      <c r="T230" s="21">
        <v>9</v>
      </c>
      <c r="U230" s="21">
        <v>27140.06</v>
      </c>
      <c r="V230" s="21">
        <v>0</v>
      </c>
      <c r="W230" s="21">
        <v>0</v>
      </c>
      <c r="X230" s="21">
        <v>0</v>
      </c>
      <c r="Y230" s="21">
        <v>54280.12</v>
      </c>
      <c r="Z230" s="21">
        <v>0</v>
      </c>
      <c r="AA230" s="21" t="s">
        <v>185</v>
      </c>
      <c r="AB230" s="21" t="s">
        <v>168</v>
      </c>
      <c r="AC230" s="21">
        <v>39269080</v>
      </c>
      <c r="AD230" s="21" t="s">
        <v>201</v>
      </c>
      <c r="AE230" s="21">
        <v>1</v>
      </c>
      <c r="AF230" s="33">
        <v>1927</v>
      </c>
      <c r="AG230" s="21" t="s">
        <v>202</v>
      </c>
    </row>
    <row r="231" spans="1:33" x14ac:dyDescent="0.25">
      <c r="A231" s="22"/>
      <c r="B231" s="21" t="s">
        <v>1047</v>
      </c>
      <c r="C231" s="21" t="s">
        <v>633</v>
      </c>
      <c r="D231" s="21" t="s">
        <v>1252</v>
      </c>
      <c r="E231" s="21" t="s">
        <v>1061</v>
      </c>
      <c r="F231" s="21" t="s">
        <v>1248</v>
      </c>
      <c r="G231" s="21" t="s">
        <v>1060</v>
      </c>
      <c r="H231" s="21" t="s">
        <v>1047</v>
      </c>
      <c r="I231" s="21" t="s">
        <v>169</v>
      </c>
      <c r="J231" s="21" t="s">
        <v>179</v>
      </c>
      <c r="K231" s="21" t="s">
        <v>156</v>
      </c>
      <c r="L231" s="21" t="s">
        <v>211</v>
      </c>
      <c r="M231" s="21" t="s">
        <v>178</v>
      </c>
      <c r="N231" s="33">
        <v>4991</v>
      </c>
      <c r="O231" s="33">
        <v>745256.12</v>
      </c>
      <c r="P231" s="21" t="s">
        <v>178</v>
      </c>
      <c r="Q231" s="21">
        <v>1175478.6299999999</v>
      </c>
      <c r="R231" s="21">
        <v>9</v>
      </c>
      <c r="S231" s="21">
        <v>67073.05</v>
      </c>
      <c r="T231" s="21">
        <v>9</v>
      </c>
      <c r="U231" s="21">
        <v>67073.05</v>
      </c>
      <c r="V231" s="21">
        <v>0</v>
      </c>
      <c r="W231" s="21">
        <v>0</v>
      </c>
      <c r="X231" s="21">
        <v>0</v>
      </c>
      <c r="Y231" s="21">
        <v>134146.1</v>
      </c>
      <c r="Z231" s="21">
        <v>0</v>
      </c>
      <c r="AA231" s="21" t="s">
        <v>176</v>
      </c>
      <c r="AB231" s="21" t="s">
        <v>168</v>
      </c>
      <c r="AC231" s="21">
        <v>63053300</v>
      </c>
      <c r="AD231" s="21" t="s">
        <v>201</v>
      </c>
      <c r="AE231" s="21">
        <v>1</v>
      </c>
      <c r="AF231" s="33">
        <v>4991</v>
      </c>
      <c r="AG231" s="21" t="s">
        <v>202</v>
      </c>
    </row>
    <row r="232" spans="1:33" x14ac:dyDescent="0.25">
      <c r="A232" s="22"/>
      <c r="B232" s="21" t="s">
        <v>1047</v>
      </c>
      <c r="C232" s="21" t="s">
        <v>633</v>
      </c>
      <c r="D232" s="21" t="s">
        <v>1252</v>
      </c>
      <c r="E232" s="21" t="s">
        <v>1061</v>
      </c>
      <c r="F232" s="21" t="s">
        <v>1248</v>
      </c>
      <c r="G232" s="21" t="s">
        <v>1060</v>
      </c>
      <c r="H232" s="21" t="s">
        <v>1047</v>
      </c>
      <c r="I232" s="21" t="s">
        <v>639</v>
      </c>
      <c r="J232" s="21" t="s">
        <v>648</v>
      </c>
      <c r="K232" s="21" t="s">
        <v>164</v>
      </c>
      <c r="L232" s="21" t="s">
        <v>1251</v>
      </c>
      <c r="M232" s="21" t="s">
        <v>797</v>
      </c>
      <c r="N232" s="33">
        <v>1500</v>
      </c>
      <c r="O232" s="33">
        <v>60750</v>
      </c>
      <c r="P232" s="21" t="s">
        <v>797</v>
      </c>
      <c r="Q232" s="21">
        <v>0</v>
      </c>
      <c r="R232" s="21">
        <v>9</v>
      </c>
      <c r="S232" s="21">
        <v>5467.5</v>
      </c>
      <c r="T232" s="21">
        <v>9</v>
      </c>
      <c r="U232" s="21">
        <v>5467.5</v>
      </c>
      <c r="V232" s="21">
        <v>0</v>
      </c>
      <c r="W232" s="21">
        <v>0</v>
      </c>
      <c r="X232" s="21">
        <v>0</v>
      </c>
      <c r="Y232" s="21">
        <v>10935</v>
      </c>
      <c r="Z232" s="21">
        <v>0</v>
      </c>
      <c r="AA232" s="21" t="s">
        <v>176</v>
      </c>
      <c r="AB232" s="21" t="s">
        <v>168</v>
      </c>
      <c r="AC232" s="21">
        <v>32041990</v>
      </c>
      <c r="AD232" s="21" t="s">
        <v>201</v>
      </c>
      <c r="AE232" s="21">
        <v>1</v>
      </c>
      <c r="AF232" s="33">
        <v>1500</v>
      </c>
      <c r="AG232" s="21" t="s">
        <v>202</v>
      </c>
    </row>
    <row r="233" spans="1:33" x14ac:dyDescent="0.25">
      <c r="A233" s="22"/>
      <c r="B233" s="21" t="s">
        <v>1047</v>
      </c>
      <c r="C233" s="21" t="s">
        <v>633</v>
      </c>
      <c r="D233" s="21" t="s">
        <v>1252</v>
      </c>
      <c r="E233" s="21" t="s">
        <v>1061</v>
      </c>
      <c r="F233" s="21" t="s">
        <v>1248</v>
      </c>
      <c r="G233" s="21" t="s">
        <v>1060</v>
      </c>
      <c r="H233" s="21" t="s">
        <v>1047</v>
      </c>
      <c r="I233" s="21" t="s">
        <v>169</v>
      </c>
      <c r="J233" s="21" t="s">
        <v>181</v>
      </c>
      <c r="K233" s="21" t="s">
        <v>154</v>
      </c>
      <c r="L233" s="21" t="s">
        <v>154</v>
      </c>
      <c r="M233" s="21" t="s">
        <v>181</v>
      </c>
      <c r="N233" s="21">
        <v>676.5</v>
      </c>
      <c r="O233" s="33">
        <v>97632.48</v>
      </c>
      <c r="P233" s="21" t="s">
        <v>181</v>
      </c>
      <c r="Q233" s="21">
        <v>0</v>
      </c>
      <c r="R233" s="21">
        <v>9</v>
      </c>
      <c r="S233" s="21">
        <v>8786.92</v>
      </c>
      <c r="T233" s="21">
        <v>9</v>
      </c>
      <c r="U233" s="21">
        <v>8786.92</v>
      </c>
      <c r="V233" s="21">
        <v>0</v>
      </c>
      <c r="W233" s="21">
        <v>0</v>
      </c>
      <c r="X233" s="21">
        <v>0</v>
      </c>
      <c r="Y233" s="21">
        <v>17573.84</v>
      </c>
      <c r="Z233" s="21">
        <v>0</v>
      </c>
      <c r="AA233" s="21" t="s">
        <v>176</v>
      </c>
      <c r="AB233" s="21" t="s">
        <v>168</v>
      </c>
      <c r="AC233" s="21">
        <v>3926908</v>
      </c>
      <c r="AD233" s="21" t="s">
        <v>201</v>
      </c>
      <c r="AE233" s="21">
        <v>1</v>
      </c>
      <c r="AF233" s="21">
        <v>676.5</v>
      </c>
      <c r="AG233" s="21" t="s">
        <v>202</v>
      </c>
    </row>
    <row r="234" spans="1:33" x14ac:dyDescent="0.25">
      <c r="A234" s="22"/>
      <c r="B234" s="21" t="s">
        <v>1047</v>
      </c>
      <c r="C234" s="21" t="s">
        <v>633</v>
      </c>
      <c r="D234" s="21" t="s">
        <v>1252</v>
      </c>
      <c r="E234" s="21" t="s">
        <v>1061</v>
      </c>
      <c r="F234" s="21" t="s">
        <v>1248</v>
      </c>
      <c r="G234" s="21" t="s">
        <v>1060</v>
      </c>
      <c r="H234" s="21" t="s">
        <v>1047</v>
      </c>
      <c r="I234" s="21" t="s">
        <v>169</v>
      </c>
      <c r="J234" s="21" t="s">
        <v>181</v>
      </c>
      <c r="K234" s="21" t="s">
        <v>154</v>
      </c>
      <c r="L234" s="21" t="s">
        <v>154</v>
      </c>
      <c r="M234" s="21" t="s">
        <v>181</v>
      </c>
      <c r="N234" s="21">
        <v>373.7</v>
      </c>
      <c r="O234" s="33">
        <v>55053.48</v>
      </c>
      <c r="P234" s="21" t="s">
        <v>181</v>
      </c>
      <c r="Q234" s="21">
        <v>0</v>
      </c>
      <c r="R234" s="21">
        <v>9</v>
      </c>
      <c r="S234" s="21">
        <v>4954.8100000000004</v>
      </c>
      <c r="T234" s="21">
        <v>9</v>
      </c>
      <c r="U234" s="21">
        <v>4954.8100000000004</v>
      </c>
      <c r="V234" s="21">
        <v>0</v>
      </c>
      <c r="W234" s="21">
        <v>0</v>
      </c>
      <c r="X234" s="21">
        <v>0</v>
      </c>
      <c r="Y234" s="21">
        <v>9909.6200000000008</v>
      </c>
      <c r="Z234" s="21">
        <v>0</v>
      </c>
      <c r="AA234" s="21" t="s">
        <v>176</v>
      </c>
      <c r="AB234" s="21" t="s">
        <v>168</v>
      </c>
      <c r="AC234" s="21">
        <v>3926908</v>
      </c>
      <c r="AD234" s="21" t="s">
        <v>201</v>
      </c>
      <c r="AE234" s="21">
        <v>1</v>
      </c>
      <c r="AF234" s="21">
        <v>373.7</v>
      </c>
      <c r="AG234" s="21" t="s">
        <v>202</v>
      </c>
    </row>
    <row r="235" spans="1:33" x14ac:dyDescent="0.25">
      <c r="A235" s="22"/>
      <c r="B235" s="21" t="s">
        <v>1047</v>
      </c>
      <c r="C235" s="21" t="s">
        <v>633</v>
      </c>
      <c r="D235" s="21" t="s">
        <v>1252</v>
      </c>
      <c r="E235" s="21" t="s">
        <v>1061</v>
      </c>
      <c r="F235" s="21" t="s">
        <v>1248</v>
      </c>
      <c r="G235" s="21" t="s">
        <v>1060</v>
      </c>
      <c r="H235" s="21" t="s">
        <v>1047</v>
      </c>
      <c r="I235" s="21" t="s">
        <v>169</v>
      </c>
      <c r="J235" s="21" t="s">
        <v>181</v>
      </c>
      <c r="K235" s="21" t="s">
        <v>154</v>
      </c>
      <c r="L235" s="21" t="s">
        <v>154</v>
      </c>
      <c r="M235" s="21" t="s">
        <v>181</v>
      </c>
      <c r="N235" s="21">
        <v>231.8</v>
      </c>
      <c r="O235" s="33">
        <v>38321.18</v>
      </c>
      <c r="P235" s="21" t="s">
        <v>181</v>
      </c>
      <c r="Q235" s="21">
        <v>0</v>
      </c>
      <c r="R235" s="21">
        <v>9</v>
      </c>
      <c r="S235" s="21">
        <v>3448.91</v>
      </c>
      <c r="T235" s="21">
        <v>9</v>
      </c>
      <c r="U235" s="21">
        <v>3448.91</v>
      </c>
      <c r="V235" s="21">
        <v>0</v>
      </c>
      <c r="W235" s="21">
        <v>0</v>
      </c>
      <c r="X235" s="21">
        <v>0</v>
      </c>
      <c r="Y235" s="21">
        <v>6897.82</v>
      </c>
      <c r="Z235" s="21">
        <v>0</v>
      </c>
      <c r="AA235" s="21" t="s">
        <v>176</v>
      </c>
      <c r="AB235" s="21" t="s">
        <v>168</v>
      </c>
      <c r="AC235" s="21">
        <v>3926908</v>
      </c>
      <c r="AD235" s="21" t="s">
        <v>201</v>
      </c>
      <c r="AE235" s="21">
        <v>1</v>
      </c>
      <c r="AF235" s="21">
        <v>231.8</v>
      </c>
      <c r="AG235" s="21" t="s">
        <v>202</v>
      </c>
    </row>
    <row r="236" spans="1:33" x14ac:dyDescent="0.25">
      <c r="A236" s="22"/>
      <c r="B236" s="21" t="s">
        <v>1047</v>
      </c>
      <c r="C236" s="21" t="s">
        <v>656</v>
      </c>
      <c r="D236" s="21" t="s">
        <v>1247</v>
      </c>
      <c r="E236" s="21" t="s">
        <v>1055</v>
      </c>
      <c r="F236" s="21" t="s">
        <v>1248</v>
      </c>
      <c r="G236" s="21" t="s">
        <v>1054</v>
      </c>
      <c r="H236" s="21" t="s">
        <v>1010</v>
      </c>
      <c r="I236" s="21" t="s">
        <v>169</v>
      </c>
      <c r="J236" s="21" t="s">
        <v>179</v>
      </c>
      <c r="K236" s="21" t="s">
        <v>155</v>
      </c>
      <c r="L236" s="21" t="s">
        <v>203</v>
      </c>
      <c r="M236" s="21" t="s">
        <v>183</v>
      </c>
      <c r="N236" s="33">
        <v>2704</v>
      </c>
      <c r="O236" s="33">
        <v>329888</v>
      </c>
      <c r="P236" s="21" t="s">
        <v>183</v>
      </c>
      <c r="Q236" s="21">
        <v>561349.72</v>
      </c>
      <c r="R236" s="21">
        <v>9</v>
      </c>
      <c r="S236" s="21">
        <v>29689.919999999998</v>
      </c>
      <c r="T236" s="21">
        <v>9</v>
      </c>
      <c r="U236" s="21">
        <v>29689.919999999998</v>
      </c>
      <c r="V236" s="21">
        <v>0</v>
      </c>
      <c r="W236" s="21">
        <v>0</v>
      </c>
      <c r="X236" s="21">
        <v>0</v>
      </c>
      <c r="Y236" s="21">
        <v>59379.839999999997</v>
      </c>
      <c r="Z236" s="21">
        <v>0</v>
      </c>
      <c r="AA236" s="21" t="s">
        <v>176</v>
      </c>
      <c r="AB236" s="21" t="s">
        <v>168</v>
      </c>
      <c r="AC236" s="21">
        <v>39269080</v>
      </c>
      <c r="AD236" s="21" t="s">
        <v>201</v>
      </c>
      <c r="AE236" s="21">
        <v>1</v>
      </c>
      <c r="AF236" s="33">
        <v>2704</v>
      </c>
      <c r="AG236" s="21" t="s">
        <v>202</v>
      </c>
    </row>
    <row r="237" spans="1:33" x14ac:dyDescent="0.25">
      <c r="A237" s="22"/>
      <c r="B237" s="21" t="s">
        <v>1047</v>
      </c>
      <c r="C237" s="21" t="s">
        <v>656</v>
      </c>
      <c r="D237" s="21" t="s">
        <v>1247</v>
      </c>
      <c r="E237" s="21" t="s">
        <v>1055</v>
      </c>
      <c r="F237" s="21" t="s">
        <v>1248</v>
      </c>
      <c r="G237" s="21" t="s">
        <v>1054</v>
      </c>
      <c r="H237" s="21" t="s">
        <v>1010</v>
      </c>
      <c r="I237" s="21" t="s">
        <v>169</v>
      </c>
      <c r="J237" s="21" t="s">
        <v>170</v>
      </c>
      <c r="K237" s="21" t="s">
        <v>157</v>
      </c>
      <c r="L237" s="21" t="s">
        <v>256</v>
      </c>
      <c r="M237" s="21" t="s">
        <v>1057</v>
      </c>
      <c r="N237" s="35">
        <v>331.6</v>
      </c>
      <c r="O237" s="33">
        <v>146235.6</v>
      </c>
      <c r="P237" s="21" t="s">
        <v>1057</v>
      </c>
      <c r="Q237" s="21">
        <v>0</v>
      </c>
      <c r="R237" s="21">
        <v>9</v>
      </c>
      <c r="S237" s="21">
        <v>13161.2</v>
      </c>
      <c r="T237" s="21">
        <v>9</v>
      </c>
      <c r="U237" s="21">
        <v>13161.2</v>
      </c>
      <c r="V237" s="21">
        <v>0</v>
      </c>
      <c r="W237" s="21">
        <v>0</v>
      </c>
      <c r="X237" s="21">
        <v>0</v>
      </c>
      <c r="Y237" s="21">
        <v>26322.400000000001</v>
      </c>
      <c r="Z237" s="21">
        <v>0</v>
      </c>
      <c r="AA237" s="21" t="s">
        <v>176</v>
      </c>
      <c r="AB237" s="21" t="s">
        <v>184</v>
      </c>
      <c r="AC237" s="21">
        <v>39199090</v>
      </c>
      <c r="AD237" s="21" t="s">
        <v>201</v>
      </c>
      <c r="AE237" s="21">
        <v>1</v>
      </c>
      <c r="AF237" s="21">
        <v>331.6</v>
      </c>
      <c r="AG237" s="21" t="s">
        <v>202</v>
      </c>
    </row>
    <row r="238" spans="1:33" x14ac:dyDescent="0.25">
      <c r="A238" s="22"/>
      <c r="B238" s="21" t="s">
        <v>1047</v>
      </c>
      <c r="C238" s="21" t="s">
        <v>656</v>
      </c>
      <c r="D238" s="21" t="s">
        <v>1247</v>
      </c>
      <c r="E238" s="21" t="s">
        <v>1066</v>
      </c>
      <c r="F238" s="21" t="s">
        <v>1248</v>
      </c>
      <c r="G238" s="21" t="s">
        <v>1065</v>
      </c>
      <c r="H238" s="21" t="s">
        <v>1047</v>
      </c>
      <c r="I238" s="21" t="s">
        <v>169</v>
      </c>
      <c r="J238" s="21" t="s">
        <v>170</v>
      </c>
      <c r="K238" s="21" t="s">
        <v>157</v>
      </c>
      <c r="L238" s="21" t="s">
        <v>225</v>
      </c>
      <c r="M238" s="21" t="s">
        <v>272</v>
      </c>
      <c r="N238" s="37">
        <v>1161.1300000000001</v>
      </c>
      <c r="O238" s="33">
        <v>178117.34</v>
      </c>
      <c r="P238" s="21" t="s">
        <v>272</v>
      </c>
      <c r="Q238" s="21">
        <v>1399929.07</v>
      </c>
      <c r="R238" s="21">
        <v>2.5</v>
      </c>
      <c r="S238" s="21">
        <v>4452.93</v>
      </c>
      <c r="T238" s="21">
        <v>2.5</v>
      </c>
      <c r="U238" s="21">
        <v>4452.93</v>
      </c>
      <c r="V238" s="21">
        <v>0</v>
      </c>
      <c r="W238" s="21">
        <v>0</v>
      </c>
      <c r="X238" s="21">
        <v>0</v>
      </c>
      <c r="Y238" s="21">
        <v>8905.86</v>
      </c>
      <c r="Z238" s="21">
        <v>0</v>
      </c>
      <c r="AA238" s="21" t="s">
        <v>176</v>
      </c>
      <c r="AB238" s="21" t="s">
        <v>168</v>
      </c>
      <c r="AC238" s="21">
        <v>54026990</v>
      </c>
      <c r="AD238" s="21" t="s">
        <v>201</v>
      </c>
      <c r="AE238" s="21">
        <v>1</v>
      </c>
      <c r="AF238" s="33">
        <v>1161.1300000000001</v>
      </c>
      <c r="AG238" s="21" t="s">
        <v>202</v>
      </c>
    </row>
    <row r="239" spans="1:33" x14ac:dyDescent="0.25">
      <c r="A239" s="22"/>
      <c r="B239" s="21" t="s">
        <v>1047</v>
      </c>
      <c r="C239" s="21" t="s">
        <v>656</v>
      </c>
      <c r="D239" s="21" t="s">
        <v>1247</v>
      </c>
      <c r="E239" s="21" t="s">
        <v>1066</v>
      </c>
      <c r="F239" s="21" t="s">
        <v>1248</v>
      </c>
      <c r="G239" s="21" t="s">
        <v>1065</v>
      </c>
      <c r="H239" s="21" t="s">
        <v>1047</v>
      </c>
      <c r="I239" s="21" t="s">
        <v>169</v>
      </c>
      <c r="J239" s="21" t="s">
        <v>170</v>
      </c>
      <c r="K239" s="21" t="s">
        <v>157</v>
      </c>
      <c r="L239" s="21" t="s">
        <v>276</v>
      </c>
      <c r="M239" s="21" t="s">
        <v>274</v>
      </c>
      <c r="N239" s="37">
        <v>6727.28</v>
      </c>
      <c r="O239" s="33">
        <v>1156419.43</v>
      </c>
      <c r="P239" s="21" t="s">
        <v>274</v>
      </c>
      <c r="Q239" s="21">
        <v>0</v>
      </c>
      <c r="R239" s="21">
        <v>2.5</v>
      </c>
      <c r="S239" s="21">
        <v>28910.49</v>
      </c>
      <c r="T239" s="21">
        <v>2.5</v>
      </c>
      <c r="U239" s="21">
        <v>28910.49</v>
      </c>
      <c r="V239" s="21">
        <v>0</v>
      </c>
      <c r="W239" s="21">
        <v>0</v>
      </c>
      <c r="X239" s="21">
        <v>0</v>
      </c>
      <c r="Y239" s="21">
        <v>57820.98</v>
      </c>
      <c r="Z239" s="21">
        <v>0</v>
      </c>
      <c r="AA239" s="21" t="s">
        <v>176</v>
      </c>
      <c r="AB239" s="21" t="s">
        <v>168</v>
      </c>
      <c r="AC239" s="21">
        <v>540263</v>
      </c>
      <c r="AD239" s="21" t="s">
        <v>201</v>
      </c>
      <c r="AE239" s="21">
        <v>1</v>
      </c>
      <c r="AF239" s="33">
        <v>6727.28</v>
      </c>
      <c r="AG239" s="21" t="s">
        <v>202</v>
      </c>
    </row>
    <row r="240" spans="1:33" x14ac:dyDescent="0.25">
      <c r="A240" s="22"/>
      <c r="B240" s="21" t="s">
        <v>1067</v>
      </c>
      <c r="C240" s="21" t="s">
        <v>1260</v>
      </c>
      <c r="D240" s="21" t="s">
        <v>1252</v>
      </c>
      <c r="E240" s="21" t="s">
        <v>1329</v>
      </c>
      <c r="F240" s="21" t="s">
        <v>1253</v>
      </c>
      <c r="G240" s="21">
        <v>484</v>
      </c>
      <c r="H240" s="21" t="s">
        <v>995</v>
      </c>
      <c r="I240" s="21" t="s">
        <v>169</v>
      </c>
      <c r="J240" s="21" t="s">
        <v>175</v>
      </c>
      <c r="K240" s="21" t="s">
        <v>159</v>
      </c>
      <c r="L240" s="21" t="s">
        <v>159</v>
      </c>
      <c r="M240" s="21" t="s">
        <v>228</v>
      </c>
      <c r="N240" s="21">
        <v>2.2400000000000002</v>
      </c>
      <c r="O240" s="33">
        <v>1816.25</v>
      </c>
      <c r="P240" s="21" t="s">
        <v>228</v>
      </c>
      <c r="Q240" s="21">
        <v>2143</v>
      </c>
      <c r="R240" s="21">
        <v>9</v>
      </c>
      <c r="S240" s="21">
        <v>163.46</v>
      </c>
      <c r="T240" s="21">
        <v>9</v>
      </c>
      <c r="U240" s="21">
        <v>163.46</v>
      </c>
      <c r="V240" s="21">
        <v>0</v>
      </c>
      <c r="W240" s="21">
        <v>0</v>
      </c>
      <c r="X240" s="21">
        <v>0</v>
      </c>
      <c r="Y240" s="21">
        <v>326.92</v>
      </c>
      <c r="Z240" s="21">
        <v>0</v>
      </c>
      <c r="AA240" s="21" t="s">
        <v>1269</v>
      </c>
      <c r="AB240" s="21" t="s">
        <v>168</v>
      </c>
      <c r="AC240" s="21">
        <v>3920101</v>
      </c>
      <c r="AD240" s="21" t="s">
        <v>201</v>
      </c>
      <c r="AE240" s="21">
        <v>1</v>
      </c>
      <c r="AF240" s="21">
        <v>2.2400000000000002</v>
      </c>
      <c r="AG240" s="21"/>
    </row>
    <row r="241" spans="1:33" x14ac:dyDescent="0.25">
      <c r="A241" s="22"/>
      <c r="B241" s="21" t="s">
        <v>1067</v>
      </c>
      <c r="C241" s="21" t="s">
        <v>663</v>
      </c>
      <c r="D241" s="21" t="s">
        <v>1247</v>
      </c>
      <c r="E241" s="21" t="s">
        <v>1085</v>
      </c>
      <c r="F241" s="21" t="s">
        <v>1248</v>
      </c>
      <c r="G241" s="21" t="s">
        <v>1084</v>
      </c>
      <c r="H241" s="21" t="s">
        <v>1047</v>
      </c>
      <c r="I241" s="21" t="s">
        <v>169</v>
      </c>
      <c r="J241" s="21" t="s">
        <v>179</v>
      </c>
      <c r="K241" s="21" t="s">
        <v>155</v>
      </c>
      <c r="L241" s="21" t="s">
        <v>203</v>
      </c>
      <c r="M241" s="21" t="s">
        <v>183</v>
      </c>
      <c r="N241" s="21">
        <v>473</v>
      </c>
      <c r="O241" s="33">
        <v>75438.77</v>
      </c>
      <c r="P241" s="21" t="s">
        <v>183</v>
      </c>
      <c r="Q241" s="21">
        <v>460713.25</v>
      </c>
      <c r="R241" s="21">
        <v>9</v>
      </c>
      <c r="S241" s="21">
        <v>6789.49</v>
      </c>
      <c r="T241" s="21">
        <v>9</v>
      </c>
      <c r="U241" s="21">
        <v>6789.49</v>
      </c>
      <c r="V241" s="21">
        <v>0</v>
      </c>
      <c r="W241" s="21">
        <v>0</v>
      </c>
      <c r="X241" s="21">
        <v>0</v>
      </c>
      <c r="Y241" s="21">
        <v>13578.98</v>
      </c>
      <c r="Z241" s="21">
        <v>0</v>
      </c>
      <c r="AA241" s="21" t="s">
        <v>185</v>
      </c>
      <c r="AB241" s="21" t="s">
        <v>168</v>
      </c>
      <c r="AC241" s="21">
        <v>39269080</v>
      </c>
      <c r="AD241" s="21" t="s">
        <v>201</v>
      </c>
      <c r="AE241" s="21">
        <v>1</v>
      </c>
      <c r="AF241" s="21">
        <v>473</v>
      </c>
      <c r="AG241" s="21" t="s">
        <v>202</v>
      </c>
    </row>
    <row r="242" spans="1:33" x14ac:dyDescent="0.25">
      <c r="A242" s="22"/>
      <c r="B242" s="21" t="s">
        <v>1067</v>
      </c>
      <c r="C242" s="21" t="s">
        <v>663</v>
      </c>
      <c r="D242" s="21" t="s">
        <v>1247</v>
      </c>
      <c r="E242" s="21" t="s">
        <v>1085</v>
      </c>
      <c r="F242" s="21" t="s">
        <v>1248</v>
      </c>
      <c r="G242" s="21" t="s">
        <v>1084</v>
      </c>
      <c r="H242" s="21" t="s">
        <v>1047</v>
      </c>
      <c r="I242" s="21" t="s">
        <v>169</v>
      </c>
      <c r="J242" s="21" t="s">
        <v>179</v>
      </c>
      <c r="K242" s="21" t="s">
        <v>155</v>
      </c>
      <c r="L242" s="21" t="s">
        <v>203</v>
      </c>
      <c r="M242" s="21" t="s">
        <v>183</v>
      </c>
      <c r="N242" s="33">
        <v>2015</v>
      </c>
      <c r="O242" s="33">
        <v>315327.34999999998</v>
      </c>
      <c r="P242" s="21" t="s">
        <v>183</v>
      </c>
      <c r="Q242" s="21">
        <v>0</v>
      </c>
      <c r="R242" s="21">
        <v>9</v>
      </c>
      <c r="S242" s="21">
        <v>28379.46</v>
      </c>
      <c r="T242" s="21">
        <v>9</v>
      </c>
      <c r="U242" s="21">
        <v>28379.46</v>
      </c>
      <c r="V242" s="21">
        <v>0</v>
      </c>
      <c r="W242" s="21">
        <v>0</v>
      </c>
      <c r="X242" s="21">
        <v>0</v>
      </c>
      <c r="Y242" s="21">
        <v>56758.92</v>
      </c>
      <c r="Z242" s="21">
        <v>0</v>
      </c>
      <c r="AA242" s="21" t="s">
        <v>185</v>
      </c>
      <c r="AB242" s="21" t="s">
        <v>168</v>
      </c>
      <c r="AC242" s="21">
        <v>39269080</v>
      </c>
      <c r="AD242" s="21" t="s">
        <v>201</v>
      </c>
      <c r="AE242" s="21">
        <v>1</v>
      </c>
      <c r="AF242" s="33">
        <v>2015</v>
      </c>
      <c r="AG242" s="21" t="s">
        <v>202</v>
      </c>
    </row>
    <row r="243" spans="1:33" x14ac:dyDescent="0.25">
      <c r="A243" s="22"/>
      <c r="B243" s="21" t="s">
        <v>1067</v>
      </c>
      <c r="C243" s="21" t="s">
        <v>633</v>
      </c>
      <c r="D243" s="21" t="s">
        <v>1247</v>
      </c>
      <c r="E243" s="21" t="s">
        <v>1076</v>
      </c>
      <c r="F243" s="21" t="s">
        <v>1248</v>
      </c>
      <c r="G243" s="21" t="s">
        <v>1075</v>
      </c>
      <c r="H243" s="21" t="s">
        <v>1067</v>
      </c>
      <c r="I243" s="21" t="s">
        <v>169</v>
      </c>
      <c r="J243" s="21" t="s">
        <v>170</v>
      </c>
      <c r="K243" s="21" t="s">
        <v>157</v>
      </c>
      <c r="L243" s="21" t="s">
        <v>225</v>
      </c>
      <c r="M243" s="21" t="s">
        <v>705</v>
      </c>
      <c r="N243" s="35">
        <v>832.6</v>
      </c>
      <c r="O243" s="33">
        <v>128486.83</v>
      </c>
      <c r="P243" s="21" t="s">
        <v>705</v>
      </c>
      <c r="Q243" s="21">
        <v>134782.68</v>
      </c>
      <c r="R243" s="21">
        <v>2.5</v>
      </c>
      <c r="S243" s="21">
        <v>3212.17</v>
      </c>
      <c r="T243" s="21">
        <v>2.5</v>
      </c>
      <c r="U243" s="21">
        <v>3212.17</v>
      </c>
      <c r="V243" s="21">
        <v>0</v>
      </c>
      <c r="W243" s="21">
        <v>0</v>
      </c>
      <c r="X243" s="21">
        <v>0</v>
      </c>
      <c r="Y243" s="21">
        <v>6424.34</v>
      </c>
      <c r="Z243" s="21">
        <v>0</v>
      </c>
      <c r="AA243" s="21" t="s">
        <v>176</v>
      </c>
      <c r="AB243" s="21" t="s">
        <v>184</v>
      </c>
      <c r="AC243" s="21">
        <v>54026930</v>
      </c>
      <c r="AD243" s="21" t="s">
        <v>201</v>
      </c>
      <c r="AE243" s="21">
        <v>1</v>
      </c>
      <c r="AF243" s="21">
        <v>832.6</v>
      </c>
      <c r="AG243" s="21" t="s">
        <v>202</v>
      </c>
    </row>
    <row r="244" spans="1:33" x14ac:dyDescent="0.25">
      <c r="A244" s="22"/>
      <c r="B244" s="21" t="s">
        <v>1067</v>
      </c>
      <c r="C244" s="21" t="s">
        <v>633</v>
      </c>
      <c r="D244" s="21" t="s">
        <v>1247</v>
      </c>
      <c r="E244" s="21" t="s">
        <v>1080</v>
      </c>
      <c r="F244" s="21" t="s">
        <v>1248</v>
      </c>
      <c r="G244" s="21" t="s">
        <v>1079</v>
      </c>
      <c r="H244" s="21" t="s">
        <v>1067</v>
      </c>
      <c r="I244" s="21" t="s">
        <v>169</v>
      </c>
      <c r="J244" s="21" t="s">
        <v>181</v>
      </c>
      <c r="K244" s="21" t="s">
        <v>154</v>
      </c>
      <c r="L244" s="21" t="s">
        <v>154</v>
      </c>
      <c r="M244" s="21" t="s">
        <v>181</v>
      </c>
      <c r="N244" s="21">
        <v>66.2</v>
      </c>
      <c r="O244" s="33">
        <v>9752.58</v>
      </c>
      <c r="P244" s="21" t="s">
        <v>181</v>
      </c>
      <c r="Q244" s="21">
        <v>11498.29</v>
      </c>
      <c r="R244" s="21">
        <v>9</v>
      </c>
      <c r="S244" s="21">
        <v>877.73</v>
      </c>
      <c r="T244" s="21">
        <v>9</v>
      </c>
      <c r="U244" s="21">
        <v>877.73</v>
      </c>
      <c r="V244" s="21">
        <v>0</v>
      </c>
      <c r="W244" s="21">
        <v>0</v>
      </c>
      <c r="X244" s="21">
        <v>0</v>
      </c>
      <c r="Y244" s="21">
        <v>1755.46</v>
      </c>
      <c r="Z244" s="21">
        <v>0</v>
      </c>
      <c r="AA244" s="21" t="s">
        <v>176</v>
      </c>
      <c r="AB244" s="21" t="s">
        <v>168</v>
      </c>
      <c r="AC244" s="21">
        <v>3926908</v>
      </c>
      <c r="AD244" s="21" t="s">
        <v>201</v>
      </c>
      <c r="AE244" s="21">
        <v>1</v>
      </c>
      <c r="AF244" s="21">
        <v>66.2</v>
      </c>
      <c r="AG244" s="21" t="s">
        <v>202</v>
      </c>
    </row>
    <row r="245" spans="1:33" x14ac:dyDescent="0.25">
      <c r="A245" s="22"/>
      <c r="B245" s="21" t="s">
        <v>1067</v>
      </c>
      <c r="C245" s="21" t="s">
        <v>633</v>
      </c>
      <c r="D245" s="21" t="s">
        <v>1247</v>
      </c>
      <c r="E245" s="21" t="s">
        <v>1089</v>
      </c>
      <c r="F245" s="21" t="s">
        <v>1248</v>
      </c>
      <c r="G245" s="21" t="s">
        <v>1088</v>
      </c>
      <c r="H245" s="21" t="s">
        <v>1067</v>
      </c>
      <c r="I245" s="21" t="s">
        <v>169</v>
      </c>
      <c r="J245" s="21" t="s">
        <v>170</v>
      </c>
      <c r="K245" s="21" t="s">
        <v>157</v>
      </c>
      <c r="L245" s="21" t="s">
        <v>225</v>
      </c>
      <c r="M245" s="21" t="s">
        <v>1091</v>
      </c>
      <c r="N245" s="35">
        <v>529.5</v>
      </c>
      <c r="O245" s="33">
        <v>81712.44</v>
      </c>
      <c r="P245" s="21" t="s">
        <v>1091</v>
      </c>
      <c r="Q245" s="21">
        <v>388811.7</v>
      </c>
      <c r="R245" s="21">
        <v>2.5</v>
      </c>
      <c r="S245" s="21">
        <v>2042.81</v>
      </c>
      <c r="T245" s="21">
        <v>2.5</v>
      </c>
      <c r="U245" s="21">
        <v>2042.81</v>
      </c>
      <c r="V245" s="21">
        <v>0</v>
      </c>
      <c r="W245" s="21">
        <v>0</v>
      </c>
      <c r="X245" s="21">
        <v>0</v>
      </c>
      <c r="Y245" s="21">
        <v>4085.62</v>
      </c>
      <c r="Z245" s="21">
        <v>0</v>
      </c>
      <c r="AA245" s="21" t="s">
        <v>176</v>
      </c>
      <c r="AB245" s="21" t="s">
        <v>184</v>
      </c>
      <c r="AC245" s="21">
        <v>54026300</v>
      </c>
      <c r="AD245" s="21" t="s">
        <v>201</v>
      </c>
      <c r="AE245" s="21">
        <v>1</v>
      </c>
      <c r="AF245" s="21">
        <v>529.5</v>
      </c>
      <c r="AG245" s="21" t="s">
        <v>202</v>
      </c>
    </row>
    <row r="246" spans="1:33" x14ac:dyDescent="0.25">
      <c r="A246" s="22"/>
      <c r="B246" s="21" t="s">
        <v>1067</v>
      </c>
      <c r="C246" s="21" t="s">
        <v>633</v>
      </c>
      <c r="D246" s="21" t="s">
        <v>1247</v>
      </c>
      <c r="E246" s="21" t="s">
        <v>1089</v>
      </c>
      <c r="F246" s="21" t="s">
        <v>1248</v>
      </c>
      <c r="G246" s="21" t="s">
        <v>1088</v>
      </c>
      <c r="H246" s="21" t="s">
        <v>1067</v>
      </c>
      <c r="I246" s="21" t="s">
        <v>169</v>
      </c>
      <c r="J246" s="21" t="s">
        <v>181</v>
      </c>
      <c r="K246" s="21" t="s">
        <v>154</v>
      </c>
      <c r="L246" s="21" t="s">
        <v>154</v>
      </c>
      <c r="M246" s="21" t="s">
        <v>181</v>
      </c>
      <c r="N246" s="21">
        <v>247.6</v>
      </c>
      <c r="O246" s="33">
        <v>40933.230000000003</v>
      </c>
      <c r="P246" s="21" t="s">
        <v>181</v>
      </c>
      <c r="Q246" s="21">
        <v>0</v>
      </c>
      <c r="R246" s="21">
        <v>9</v>
      </c>
      <c r="S246" s="21">
        <v>3683.99</v>
      </c>
      <c r="T246" s="21">
        <v>9</v>
      </c>
      <c r="U246" s="21">
        <v>3683.99</v>
      </c>
      <c r="V246" s="21">
        <v>0</v>
      </c>
      <c r="W246" s="21">
        <v>0</v>
      </c>
      <c r="X246" s="21">
        <v>0</v>
      </c>
      <c r="Y246" s="21">
        <v>7367.98</v>
      </c>
      <c r="Z246" s="21">
        <v>0</v>
      </c>
      <c r="AA246" s="21" t="s">
        <v>176</v>
      </c>
      <c r="AB246" s="21" t="s">
        <v>168</v>
      </c>
      <c r="AC246" s="21">
        <v>3926908</v>
      </c>
      <c r="AD246" s="21" t="s">
        <v>201</v>
      </c>
      <c r="AE246" s="21">
        <v>1</v>
      </c>
      <c r="AF246" s="21">
        <v>247.6</v>
      </c>
      <c r="AG246" s="21" t="s">
        <v>202</v>
      </c>
    </row>
    <row r="247" spans="1:33" x14ac:dyDescent="0.25">
      <c r="A247" s="22"/>
      <c r="B247" s="21" t="s">
        <v>1067</v>
      </c>
      <c r="C247" s="21" t="s">
        <v>633</v>
      </c>
      <c r="D247" s="21" t="s">
        <v>1247</v>
      </c>
      <c r="E247" s="21" t="s">
        <v>1089</v>
      </c>
      <c r="F247" s="21" t="s">
        <v>1248</v>
      </c>
      <c r="G247" s="21" t="s">
        <v>1088</v>
      </c>
      <c r="H247" s="21" t="s">
        <v>1067</v>
      </c>
      <c r="I247" s="21" t="s">
        <v>169</v>
      </c>
      <c r="J247" s="21" t="s">
        <v>181</v>
      </c>
      <c r="K247" s="21" t="s">
        <v>154</v>
      </c>
      <c r="L247" s="21" t="s">
        <v>154</v>
      </c>
      <c r="M247" s="21" t="s">
        <v>181</v>
      </c>
      <c r="N247" s="21">
        <v>361.5</v>
      </c>
      <c r="O247" s="33">
        <v>53256.18</v>
      </c>
      <c r="P247" s="21" t="s">
        <v>181</v>
      </c>
      <c r="Q247" s="21">
        <v>0</v>
      </c>
      <c r="R247" s="21">
        <v>9</v>
      </c>
      <c r="S247" s="21">
        <v>4793.0600000000004</v>
      </c>
      <c r="T247" s="21">
        <v>9</v>
      </c>
      <c r="U247" s="21">
        <v>4793.0600000000004</v>
      </c>
      <c r="V247" s="21">
        <v>0</v>
      </c>
      <c r="W247" s="21">
        <v>0</v>
      </c>
      <c r="X247" s="21">
        <v>0</v>
      </c>
      <c r="Y247" s="21">
        <v>9586.1200000000008</v>
      </c>
      <c r="Z247" s="21">
        <v>0</v>
      </c>
      <c r="AA247" s="21" t="s">
        <v>176</v>
      </c>
      <c r="AB247" s="21" t="s">
        <v>168</v>
      </c>
      <c r="AC247" s="21">
        <v>3926908</v>
      </c>
      <c r="AD247" s="21" t="s">
        <v>201</v>
      </c>
      <c r="AE247" s="21">
        <v>1</v>
      </c>
      <c r="AF247" s="21">
        <v>361.5</v>
      </c>
      <c r="AG247" s="21" t="s">
        <v>202</v>
      </c>
    </row>
    <row r="248" spans="1:33" x14ac:dyDescent="0.25">
      <c r="A248" s="22"/>
      <c r="B248" s="21" t="s">
        <v>1067</v>
      </c>
      <c r="C248" s="21" t="s">
        <v>633</v>
      </c>
      <c r="D248" s="21" t="s">
        <v>1247</v>
      </c>
      <c r="E248" s="21" t="s">
        <v>1089</v>
      </c>
      <c r="F248" s="21" t="s">
        <v>1248</v>
      </c>
      <c r="G248" s="21" t="s">
        <v>1088</v>
      </c>
      <c r="H248" s="21" t="s">
        <v>1067</v>
      </c>
      <c r="I248" s="21" t="s">
        <v>169</v>
      </c>
      <c r="J248" s="21" t="s">
        <v>181</v>
      </c>
      <c r="K248" s="21" t="s">
        <v>154</v>
      </c>
      <c r="L248" s="21" t="s">
        <v>154</v>
      </c>
      <c r="M248" s="21" t="s">
        <v>181</v>
      </c>
      <c r="N248" s="21">
        <v>629.5</v>
      </c>
      <c r="O248" s="33">
        <v>90849.44</v>
      </c>
      <c r="P248" s="21" t="s">
        <v>181</v>
      </c>
      <c r="Q248" s="21">
        <v>0</v>
      </c>
      <c r="R248" s="21">
        <v>9</v>
      </c>
      <c r="S248" s="21">
        <v>8176.45</v>
      </c>
      <c r="T248" s="21">
        <v>9</v>
      </c>
      <c r="U248" s="21">
        <v>8176.45</v>
      </c>
      <c r="V248" s="21">
        <v>0</v>
      </c>
      <c r="W248" s="21">
        <v>0</v>
      </c>
      <c r="X248" s="21">
        <v>0</v>
      </c>
      <c r="Y248" s="21">
        <v>16352.9</v>
      </c>
      <c r="Z248" s="21">
        <v>0</v>
      </c>
      <c r="AA248" s="21" t="s">
        <v>176</v>
      </c>
      <c r="AB248" s="21" t="s">
        <v>168</v>
      </c>
      <c r="AC248" s="21">
        <v>3926908</v>
      </c>
      <c r="AD248" s="21" t="s">
        <v>201</v>
      </c>
      <c r="AE248" s="21">
        <v>1</v>
      </c>
      <c r="AF248" s="21">
        <v>629.5</v>
      </c>
      <c r="AG248" s="21" t="s">
        <v>202</v>
      </c>
    </row>
    <row r="249" spans="1:33" x14ac:dyDescent="0.25">
      <c r="A249" s="22"/>
      <c r="B249" s="21" t="s">
        <v>1067</v>
      </c>
      <c r="C249" s="21" t="s">
        <v>633</v>
      </c>
      <c r="D249" s="21" t="s">
        <v>1247</v>
      </c>
      <c r="E249" s="21" t="s">
        <v>1089</v>
      </c>
      <c r="F249" s="21" t="s">
        <v>1248</v>
      </c>
      <c r="G249" s="21" t="s">
        <v>1088</v>
      </c>
      <c r="H249" s="21" t="s">
        <v>1067</v>
      </c>
      <c r="I249" s="21" t="s">
        <v>169</v>
      </c>
      <c r="J249" s="21" t="s">
        <v>179</v>
      </c>
      <c r="K249" s="21" t="s">
        <v>155</v>
      </c>
      <c r="L249" s="21" t="s">
        <v>203</v>
      </c>
      <c r="M249" s="21" t="s">
        <v>183</v>
      </c>
      <c r="N249" s="21">
        <v>489</v>
      </c>
      <c r="O249" s="33">
        <v>72039.48</v>
      </c>
      <c r="P249" s="21" t="s">
        <v>183</v>
      </c>
      <c r="Q249" s="21">
        <v>0</v>
      </c>
      <c r="R249" s="21">
        <v>9</v>
      </c>
      <c r="S249" s="21">
        <v>6483.55</v>
      </c>
      <c r="T249" s="21">
        <v>9</v>
      </c>
      <c r="U249" s="21">
        <v>6483.55</v>
      </c>
      <c r="V249" s="21">
        <v>0</v>
      </c>
      <c r="W249" s="21">
        <v>0</v>
      </c>
      <c r="X249" s="21">
        <v>0</v>
      </c>
      <c r="Y249" s="21">
        <v>12967.1</v>
      </c>
      <c r="Z249" s="21">
        <v>0</v>
      </c>
      <c r="AA249" s="21" t="s">
        <v>176</v>
      </c>
      <c r="AB249" s="21" t="s">
        <v>168</v>
      </c>
      <c r="AC249" s="21">
        <v>39269080</v>
      </c>
      <c r="AD249" s="21" t="s">
        <v>201</v>
      </c>
      <c r="AE249" s="21">
        <v>1</v>
      </c>
      <c r="AF249" s="21">
        <v>489</v>
      </c>
      <c r="AG249" s="21" t="s">
        <v>202</v>
      </c>
    </row>
    <row r="250" spans="1:33" x14ac:dyDescent="0.25">
      <c r="A250" s="22"/>
      <c r="B250" s="21" t="s">
        <v>1067</v>
      </c>
      <c r="C250" s="21" t="s">
        <v>656</v>
      </c>
      <c r="D250" s="21" t="s">
        <v>1247</v>
      </c>
      <c r="E250" s="21" t="s">
        <v>1072</v>
      </c>
      <c r="F250" s="21" t="s">
        <v>1248</v>
      </c>
      <c r="G250" s="21" t="s">
        <v>1071</v>
      </c>
      <c r="H250" s="21" t="s">
        <v>1047</v>
      </c>
      <c r="I250" s="21" t="s">
        <v>169</v>
      </c>
      <c r="J250" s="21" t="s">
        <v>181</v>
      </c>
      <c r="K250" s="21" t="s">
        <v>154</v>
      </c>
      <c r="L250" s="21" t="s">
        <v>154</v>
      </c>
      <c r="M250" s="21" t="s">
        <v>181</v>
      </c>
      <c r="N250" s="33">
        <v>1568.3</v>
      </c>
      <c r="O250" s="33">
        <v>251555.32</v>
      </c>
      <c r="P250" s="21" t="s">
        <v>181</v>
      </c>
      <c r="Q250" s="21">
        <v>373546.85</v>
      </c>
      <c r="R250" s="21">
        <v>9</v>
      </c>
      <c r="S250" s="21">
        <v>22639.98</v>
      </c>
      <c r="T250" s="21">
        <v>9</v>
      </c>
      <c r="U250" s="21">
        <v>22639.98</v>
      </c>
      <c r="V250" s="21">
        <v>0</v>
      </c>
      <c r="W250" s="21">
        <v>0</v>
      </c>
      <c r="X250" s="21">
        <v>0</v>
      </c>
      <c r="Y250" s="21">
        <v>45279.96</v>
      </c>
      <c r="Z250" s="21">
        <v>0</v>
      </c>
      <c r="AA250" s="21" t="s">
        <v>176</v>
      </c>
      <c r="AB250" s="21" t="s">
        <v>168</v>
      </c>
      <c r="AC250" s="21">
        <v>3926908</v>
      </c>
      <c r="AD250" s="21" t="s">
        <v>201</v>
      </c>
      <c r="AE250" s="21">
        <v>1</v>
      </c>
      <c r="AF250" s="33">
        <v>1568.3</v>
      </c>
      <c r="AG250" s="21" t="s">
        <v>202</v>
      </c>
    </row>
    <row r="251" spans="1:33" x14ac:dyDescent="0.25">
      <c r="A251" s="22"/>
      <c r="B251" s="21" t="s">
        <v>1067</v>
      </c>
      <c r="C251" s="21" t="s">
        <v>656</v>
      </c>
      <c r="D251" s="21" t="s">
        <v>1247</v>
      </c>
      <c r="E251" s="21" t="s">
        <v>1072</v>
      </c>
      <c r="F251" s="21" t="s">
        <v>1248</v>
      </c>
      <c r="G251" s="21" t="s">
        <v>1071</v>
      </c>
      <c r="H251" s="21" t="s">
        <v>1047</v>
      </c>
      <c r="I251" s="21" t="s">
        <v>169</v>
      </c>
      <c r="J251" s="21" t="s">
        <v>181</v>
      </c>
      <c r="K251" s="21" t="s">
        <v>154</v>
      </c>
      <c r="L251" s="21" t="s">
        <v>154</v>
      </c>
      <c r="M251" s="21" t="s">
        <v>181</v>
      </c>
      <c r="N251" s="21">
        <v>399.5</v>
      </c>
      <c r="O251" s="33">
        <v>65278.3</v>
      </c>
      <c r="P251" s="21" t="s">
        <v>181</v>
      </c>
      <c r="Q251" s="21">
        <v>0</v>
      </c>
      <c r="R251" s="21">
        <v>9</v>
      </c>
      <c r="S251" s="21">
        <v>5875.05</v>
      </c>
      <c r="T251" s="21">
        <v>9</v>
      </c>
      <c r="U251" s="21">
        <v>5875.05</v>
      </c>
      <c r="V251" s="21">
        <v>0</v>
      </c>
      <c r="W251" s="21">
        <v>0</v>
      </c>
      <c r="X251" s="21">
        <v>0</v>
      </c>
      <c r="Y251" s="21">
        <v>11750.1</v>
      </c>
      <c r="Z251" s="21">
        <v>0</v>
      </c>
      <c r="AA251" s="21" t="s">
        <v>176</v>
      </c>
      <c r="AB251" s="21" t="s">
        <v>168</v>
      </c>
      <c r="AC251" s="21">
        <v>3926908</v>
      </c>
      <c r="AD251" s="21" t="s">
        <v>201</v>
      </c>
      <c r="AE251" s="21">
        <v>1</v>
      </c>
      <c r="AF251" s="21">
        <v>399.5</v>
      </c>
      <c r="AG251" s="21" t="s">
        <v>202</v>
      </c>
    </row>
    <row r="252" spans="1:33" x14ac:dyDescent="0.25">
      <c r="A252" s="22"/>
      <c r="B252" s="21" t="s">
        <v>1092</v>
      </c>
      <c r="C252" s="21" t="s">
        <v>1121</v>
      </c>
      <c r="D252" s="21" t="s">
        <v>1255</v>
      </c>
      <c r="E252" s="21" t="s">
        <v>1124</v>
      </c>
      <c r="F252" s="21" t="s">
        <v>1256</v>
      </c>
      <c r="G252" s="21" t="s">
        <v>1122</v>
      </c>
      <c r="H252" s="23">
        <v>46242</v>
      </c>
      <c r="I252" s="21" t="s">
        <v>639</v>
      </c>
      <c r="J252" s="21" t="s">
        <v>648</v>
      </c>
      <c r="K252" s="21" t="s">
        <v>166</v>
      </c>
      <c r="L252" s="21" t="s">
        <v>166</v>
      </c>
      <c r="M252" s="21" t="s">
        <v>1118</v>
      </c>
      <c r="N252" s="33">
        <v>140000</v>
      </c>
      <c r="O252" s="33">
        <v>14329000</v>
      </c>
      <c r="P252" s="21" t="s">
        <v>1118</v>
      </c>
      <c r="Q252" s="21">
        <v>14314671</v>
      </c>
      <c r="R252" s="21">
        <v>0</v>
      </c>
      <c r="S252" s="21">
        <v>0</v>
      </c>
      <c r="T252" s="21">
        <v>0</v>
      </c>
      <c r="U252" s="21">
        <v>0</v>
      </c>
      <c r="V252" s="21">
        <v>0</v>
      </c>
      <c r="W252" s="21">
        <v>0</v>
      </c>
      <c r="X252" s="21">
        <v>0</v>
      </c>
      <c r="Y252" s="21">
        <v>0</v>
      </c>
      <c r="Z252" s="21">
        <v>0</v>
      </c>
      <c r="AA252" s="21" t="s">
        <v>1127</v>
      </c>
      <c r="AB252" s="21" t="s">
        <v>168</v>
      </c>
      <c r="AC252" s="21">
        <v>39021000</v>
      </c>
      <c r="AD252" s="21" t="s">
        <v>201</v>
      </c>
      <c r="AE252" s="21">
        <v>1</v>
      </c>
      <c r="AF252" s="33">
        <v>140000</v>
      </c>
      <c r="AG252" s="21" t="s">
        <v>202</v>
      </c>
    </row>
    <row r="253" spans="1:33" x14ac:dyDescent="0.25">
      <c r="A253" s="22"/>
      <c r="B253" s="21" t="s">
        <v>1092</v>
      </c>
      <c r="C253" s="21" t="s">
        <v>677</v>
      </c>
      <c r="D253" s="21" t="s">
        <v>1247</v>
      </c>
      <c r="E253" s="21" t="s">
        <v>1106</v>
      </c>
      <c r="F253" s="21" t="s">
        <v>1248</v>
      </c>
      <c r="G253" s="21" t="s">
        <v>1105</v>
      </c>
      <c r="H253" s="21" t="s">
        <v>1067</v>
      </c>
      <c r="I253" s="21" t="s">
        <v>169</v>
      </c>
      <c r="J253" s="21" t="s">
        <v>170</v>
      </c>
      <c r="K253" s="21" t="s">
        <v>157</v>
      </c>
      <c r="L253" s="21" t="s">
        <v>256</v>
      </c>
      <c r="M253" s="21" t="s">
        <v>312</v>
      </c>
      <c r="N253" s="35">
        <v>476</v>
      </c>
      <c r="O253" s="33">
        <v>74446.399999999994</v>
      </c>
      <c r="P253" s="21" t="s">
        <v>312</v>
      </c>
      <c r="Q253" s="21">
        <v>320219.59000000003</v>
      </c>
      <c r="R253" s="21">
        <v>2.5</v>
      </c>
      <c r="S253" s="21">
        <v>1861.16</v>
      </c>
      <c r="T253" s="21">
        <v>2.5</v>
      </c>
      <c r="U253" s="21">
        <v>1861.16</v>
      </c>
      <c r="V253" s="21">
        <v>0</v>
      </c>
      <c r="W253" s="21">
        <v>0</v>
      </c>
      <c r="X253" s="21">
        <v>0</v>
      </c>
      <c r="Y253" s="21">
        <v>3722.32</v>
      </c>
      <c r="Z253" s="21">
        <v>0</v>
      </c>
      <c r="AA253" s="21" t="s">
        <v>171</v>
      </c>
      <c r="AB253" s="21" t="s">
        <v>168</v>
      </c>
      <c r="AC253" s="21">
        <v>54026930</v>
      </c>
      <c r="AD253" s="21" t="s">
        <v>201</v>
      </c>
      <c r="AE253" s="21">
        <v>1</v>
      </c>
      <c r="AF253" s="21">
        <v>476</v>
      </c>
      <c r="AG253" s="21" t="s">
        <v>202</v>
      </c>
    </row>
    <row r="254" spans="1:33" x14ac:dyDescent="0.25">
      <c r="A254" s="22"/>
      <c r="B254" s="21" t="s">
        <v>1092</v>
      </c>
      <c r="C254" s="21" t="s">
        <v>677</v>
      </c>
      <c r="D254" s="21" t="s">
        <v>1247</v>
      </c>
      <c r="E254" s="21" t="s">
        <v>1106</v>
      </c>
      <c r="F254" s="21" t="s">
        <v>1248</v>
      </c>
      <c r="G254" s="21" t="s">
        <v>1105</v>
      </c>
      <c r="H254" s="21" t="s">
        <v>1067</v>
      </c>
      <c r="I254" s="21" t="s">
        <v>169</v>
      </c>
      <c r="J254" s="21" t="s">
        <v>179</v>
      </c>
      <c r="K254" s="21" t="s">
        <v>155</v>
      </c>
      <c r="L254" s="21" t="s">
        <v>203</v>
      </c>
      <c r="M254" s="21" t="s">
        <v>183</v>
      </c>
      <c r="N254" s="21">
        <v>481.8</v>
      </c>
      <c r="O254" s="33">
        <v>90771.12</v>
      </c>
      <c r="P254" s="21" t="s">
        <v>183</v>
      </c>
      <c r="Q254" s="21">
        <v>0</v>
      </c>
      <c r="R254" s="21">
        <v>9</v>
      </c>
      <c r="S254" s="21">
        <v>8169.4</v>
      </c>
      <c r="T254" s="21">
        <v>9</v>
      </c>
      <c r="U254" s="21">
        <v>8169.4</v>
      </c>
      <c r="V254" s="21">
        <v>0</v>
      </c>
      <c r="W254" s="21">
        <v>0</v>
      </c>
      <c r="X254" s="21">
        <v>0</v>
      </c>
      <c r="Y254" s="21">
        <v>16338.8</v>
      </c>
      <c r="Z254" s="21">
        <v>0</v>
      </c>
      <c r="AA254" s="21" t="s">
        <v>171</v>
      </c>
      <c r="AB254" s="21" t="s">
        <v>168</v>
      </c>
      <c r="AC254" s="21">
        <v>39269080</v>
      </c>
      <c r="AD254" s="21" t="s">
        <v>201</v>
      </c>
      <c r="AE254" s="21">
        <v>1</v>
      </c>
      <c r="AF254" s="21">
        <v>481.8</v>
      </c>
      <c r="AG254" s="21" t="s">
        <v>202</v>
      </c>
    </row>
    <row r="255" spans="1:33" x14ac:dyDescent="0.25">
      <c r="A255" s="22"/>
      <c r="B255" s="21" t="s">
        <v>1092</v>
      </c>
      <c r="C255" s="21" t="s">
        <v>677</v>
      </c>
      <c r="D255" s="21" t="s">
        <v>1247</v>
      </c>
      <c r="E255" s="21" t="s">
        <v>1106</v>
      </c>
      <c r="F255" s="21" t="s">
        <v>1248</v>
      </c>
      <c r="G255" s="21" t="s">
        <v>1105</v>
      </c>
      <c r="H255" s="21" t="s">
        <v>1067</v>
      </c>
      <c r="I255" s="21" t="s">
        <v>169</v>
      </c>
      <c r="J255" s="21" t="s">
        <v>170</v>
      </c>
      <c r="K255" s="21" t="s">
        <v>157</v>
      </c>
      <c r="L255" s="21" t="s">
        <v>256</v>
      </c>
      <c r="M255" s="21" t="s">
        <v>745</v>
      </c>
      <c r="N255" s="35">
        <v>808</v>
      </c>
      <c r="O255" s="33">
        <v>128795.2</v>
      </c>
      <c r="P255" s="21" t="s">
        <v>745</v>
      </c>
      <c r="Q255" s="21">
        <v>0</v>
      </c>
      <c r="R255" s="21">
        <v>2.5</v>
      </c>
      <c r="S255" s="21">
        <v>3219.88</v>
      </c>
      <c r="T255" s="21">
        <v>2.5</v>
      </c>
      <c r="U255" s="21">
        <v>3219.88</v>
      </c>
      <c r="V255" s="21">
        <v>0</v>
      </c>
      <c r="W255" s="21">
        <v>0</v>
      </c>
      <c r="X255" s="21">
        <v>0</v>
      </c>
      <c r="Y255" s="21">
        <v>6439.76</v>
      </c>
      <c r="Z255" s="21">
        <v>0</v>
      </c>
      <c r="AA255" s="21" t="s">
        <v>171</v>
      </c>
      <c r="AB255" s="21" t="s">
        <v>168</v>
      </c>
      <c r="AC255" s="21">
        <v>54026930</v>
      </c>
      <c r="AD255" s="21" t="s">
        <v>201</v>
      </c>
      <c r="AE255" s="21">
        <v>1</v>
      </c>
      <c r="AF255" s="21">
        <v>808</v>
      </c>
      <c r="AG255" s="21" t="s">
        <v>202</v>
      </c>
    </row>
    <row r="256" spans="1:33" x14ac:dyDescent="0.25">
      <c r="A256" s="22"/>
      <c r="B256" s="21" t="s">
        <v>1092</v>
      </c>
      <c r="C256" s="21" t="s">
        <v>633</v>
      </c>
      <c r="D256" s="21" t="s">
        <v>1247</v>
      </c>
      <c r="E256" s="21" t="s">
        <v>1111</v>
      </c>
      <c r="F256" s="21" t="s">
        <v>1248</v>
      </c>
      <c r="G256" s="21" t="s">
        <v>1110</v>
      </c>
      <c r="H256" s="21" t="s">
        <v>1092</v>
      </c>
      <c r="I256" s="21" t="s">
        <v>639</v>
      </c>
      <c r="J256" s="21" t="s">
        <v>648</v>
      </c>
      <c r="K256" s="21" t="s">
        <v>164</v>
      </c>
      <c r="L256" s="21" t="s">
        <v>1251</v>
      </c>
      <c r="M256" s="21" t="s">
        <v>797</v>
      </c>
      <c r="N256" s="33">
        <v>3000</v>
      </c>
      <c r="O256" s="33">
        <v>121500</v>
      </c>
      <c r="P256" s="21" t="s">
        <v>797</v>
      </c>
      <c r="Q256" s="21">
        <v>143248.5</v>
      </c>
      <c r="R256" s="21">
        <v>9</v>
      </c>
      <c r="S256" s="21">
        <v>10935</v>
      </c>
      <c r="T256" s="21">
        <v>9</v>
      </c>
      <c r="U256" s="21">
        <v>10935</v>
      </c>
      <c r="V256" s="21">
        <v>0</v>
      </c>
      <c r="W256" s="21">
        <v>0</v>
      </c>
      <c r="X256" s="21">
        <v>0</v>
      </c>
      <c r="Y256" s="21">
        <v>21870</v>
      </c>
      <c r="Z256" s="21">
        <v>0</v>
      </c>
      <c r="AA256" s="21" t="s">
        <v>176</v>
      </c>
      <c r="AB256" s="21" t="s">
        <v>168</v>
      </c>
      <c r="AC256" s="21">
        <v>32041990</v>
      </c>
      <c r="AD256" s="21" t="s">
        <v>201</v>
      </c>
      <c r="AE256" s="21">
        <v>1</v>
      </c>
      <c r="AF256" s="33">
        <v>3000</v>
      </c>
      <c r="AG256" s="21" t="s">
        <v>202</v>
      </c>
    </row>
    <row r="257" spans="1:33" x14ac:dyDescent="0.25">
      <c r="A257" s="22"/>
      <c r="B257" s="21" t="s">
        <v>1092</v>
      </c>
      <c r="C257" s="21" t="s">
        <v>633</v>
      </c>
      <c r="D257" s="21" t="s">
        <v>1247</v>
      </c>
      <c r="E257" s="21" t="s">
        <v>1115</v>
      </c>
      <c r="F257" s="21" t="s">
        <v>1248</v>
      </c>
      <c r="G257" s="21" t="s">
        <v>1114</v>
      </c>
      <c r="H257" s="21" t="s">
        <v>1092</v>
      </c>
      <c r="I257" s="21" t="s">
        <v>169</v>
      </c>
      <c r="J257" s="21" t="s">
        <v>181</v>
      </c>
      <c r="K257" s="21" t="s">
        <v>154</v>
      </c>
      <c r="L257" s="21" t="s">
        <v>154</v>
      </c>
      <c r="M257" s="21" t="s">
        <v>181</v>
      </c>
      <c r="N257" s="21">
        <v>139.80000000000001</v>
      </c>
      <c r="O257" s="33">
        <v>23111.73</v>
      </c>
      <c r="P257" s="21" t="s">
        <v>181</v>
      </c>
      <c r="Q257" s="21">
        <v>281046.46000000002</v>
      </c>
      <c r="R257" s="21">
        <v>9</v>
      </c>
      <c r="S257" s="21">
        <v>2080.06</v>
      </c>
      <c r="T257" s="21">
        <v>9</v>
      </c>
      <c r="U257" s="21">
        <v>2080.06</v>
      </c>
      <c r="V257" s="21">
        <v>0</v>
      </c>
      <c r="W257" s="21">
        <v>0</v>
      </c>
      <c r="X257" s="21">
        <v>0</v>
      </c>
      <c r="Y257" s="21">
        <v>4160.12</v>
      </c>
      <c r="Z257" s="21">
        <v>0</v>
      </c>
      <c r="AA257" s="21" t="s">
        <v>176</v>
      </c>
      <c r="AB257" s="21" t="s">
        <v>168</v>
      </c>
      <c r="AC257" s="21">
        <v>3926908</v>
      </c>
      <c r="AD257" s="21" t="s">
        <v>201</v>
      </c>
      <c r="AE257" s="21">
        <v>1</v>
      </c>
      <c r="AF257" s="21">
        <v>139.80000000000001</v>
      </c>
      <c r="AG257" s="21" t="s">
        <v>202</v>
      </c>
    </row>
    <row r="258" spans="1:33" x14ac:dyDescent="0.25">
      <c r="A258" s="22"/>
      <c r="B258" s="21" t="s">
        <v>1092</v>
      </c>
      <c r="C258" s="21" t="s">
        <v>633</v>
      </c>
      <c r="D258" s="21" t="s">
        <v>1247</v>
      </c>
      <c r="E258" s="21" t="s">
        <v>1115</v>
      </c>
      <c r="F258" s="21" t="s">
        <v>1248</v>
      </c>
      <c r="G258" s="21" t="s">
        <v>1114</v>
      </c>
      <c r="H258" s="21" t="s">
        <v>1092</v>
      </c>
      <c r="I258" s="21" t="s">
        <v>169</v>
      </c>
      <c r="J258" s="21" t="s">
        <v>181</v>
      </c>
      <c r="K258" s="21" t="s">
        <v>154</v>
      </c>
      <c r="L258" s="21" t="s">
        <v>154</v>
      </c>
      <c r="M258" s="21" t="s">
        <v>181</v>
      </c>
      <c r="N258" s="21">
        <v>515.20000000000005</v>
      </c>
      <c r="O258" s="33">
        <v>74353.66</v>
      </c>
      <c r="P258" s="21" t="s">
        <v>181</v>
      </c>
      <c r="Q258" s="21">
        <v>0</v>
      </c>
      <c r="R258" s="21">
        <v>9</v>
      </c>
      <c r="S258" s="21">
        <v>6691.83</v>
      </c>
      <c r="T258" s="21">
        <v>9</v>
      </c>
      <c r="U258" s="21">
        <v>6691.83</v>
      </c>
      <c r="V258" s="21">
        <v>0</v>
      </c>
      <c r="W258" s="21">
        <v>0</v>
      </c>
      <c r="X258" s="21">
        <v>0</v>
      </c>
      <c r="Y258" s="21">
        <v>13383.66</v>
      </c>
      <c r="Z258" s="21">
        <v>0</v>
      </c>
      <c r="AA258" s="21" t="s">
        <v>176</v>
      </c>
      <c r="AB258" s="21" t="s">
        <v>168</v>
      </c>
      <c r="AC258" s="21">
        <v>3926908</v>
      </c>
      <c r="AD258" s="21" t="s">
        <v>201</v>
      </c>
      <c r="AE258" s="21">
        <v>1</v>
      </c>
      <c r="AF258" s="21">
        <v>515.20000000000005</v>
      </c>
      <c r="AG258" s="21" t="s">
        <v>202</v>
      </c>
    </row>
    <row r="259" spans="1:33" x14ac:dyDescent="0.25">
      <c r="A259" s="22"/>
      <c r="B259" s="21" t="s">
        <v>1092</v>
      </c>
      <c r="C259" s="21" t="s">
        <v>633</v>
      </c>
      <c r="D259" s="21" t="s">
        <v>1247</v>
      </c>
      <c r="E259" s="21" t="s">
        <v>1115</v>
      </c>
      <c r="F259" s="21" t="s">
        <v>1248</v>
      </c>
      <c r="G259" s="21" t="s">
        <v>1114</v>
      </c>
      <c r="H259" s="21" t="s">
        <v>1092</v>
      </c>
      <c r="I259" s="21" t="s">
        <v>169</v>
      </c>
      <c r="J259" s="21" t="s">
        <v>181</v>
      </c>
      <c r="K259" s="21" t="s">
        <v>154</v>
      </c>
      <c r="L259" s="21" t="s">
        <v>154</v>
      </c>
      <c r="M259" s="21" t="s">
        <v>181</v>
      </c>
      <c r="N259" s="21">
        <v>956.5</v>
      </c>
      <c r="O259" s="33">
        <v>140911.59</v>
      </c>
      <c r="P259" s="21" t="s">
        <v>181</v>
      </c>
      <c r="Q259" s="21">
        <v>0</v>
      </c>
      <c r="R259" s="21">
        <v>9</v>
      </c>
      <c r="S259" s="21">
        <v>12682.04</v>
      </c>
      <c r="T259" s="21">
        <v>9</v>
      </c>
      <c r="U259" s="21">
        <v>12682.04</v>
      </c>
      <c r="V259" s="21">
        <v>0</v>
      </c>
      <c r="W259" s="21">
        <v>0</v>
      </c>
      <c r="X259" s="21">
        <v>0</v>
      </c>
      <c r="Y259" s="21">
        <v>25364.080000000002</v>
      </c>
      <c r="Z259" s="21">
        <v>0</v>
      </c>
      <c r="AA259" s="21" t="s">
        <v>176</v>
      </c>
      <c r="AB259" s="21" t="s">
        <v>168</v>
      </c>
      <c r="AC259" s="21">
        <v>3926908</v>
      </c>
      <c r="AD259" s="21" t="s">
        <v>201</v>
      </c>
      <c r="AE259" s="21">
        <v>1</v>
      </c>
      <c r="AF259" s="21">
        <v>956.5</v>
      </c>
      <c r="AG259" s="21" t="s">
        <v>202</v>
      </c>
    </row>
    <row r="260" spans="1:33" x14ac:dyDescent="0.25">
      <c r="A260" s="22"/>
      <c r="B260" s="21" t="s">
        <v>1092</v>
      </c>
      <c r="C260" s="21" t="s">
        <v>633</v>
      </c>
      <c r="D260" s="21" t="s">
        <v>1247</v>
      </c>
      <c r="E260" s="21" t="s">
        <v>1131</v>
      </c>
      <c r="F260" s="21" t="s">
        <v>1248</v>
      </c>
      <c r="G260" s="21" t="s">
        <v>1130</v>
      </c>
      <c r="H260" s="21" t="s">
        <v>1092</v>
      </c>
      <c r="I260" s="21" t="s">
        <v>169</v>
      </c>
      <c r="J260" s="21" t="s">
        <v>179</v>
      </c>
      <c r="K260" s="21" t="s">
        <v>155</v>
      </c>
      <c r="L260" s="21" t="s">
        <v>203</v>
      </c>
      <c r="M260" s="21" t="s">
        <v>183</v>
      </c>
      <c r="N260" s="21">
        <v>582</v>
      </c>
      <c r="O260" s="33">
        <v>82830.240000000005</v>
      </c>
      <c r="P260" s="21" t="s">
        <v>183</v>
      </c>
      <c r="Q260" s="21">
        <v>774066.73</v>
      </c>
      <c r="R260" s="21">
        <v>9</v>
      </c>
      <c r="S260" s="21">
        <v>7454.72</v>
      </c>
      <c r="T260" s="21">
        <v>9</v>
      </c>
      <c r="U260" s="21">
        <v>7454.72</v>
      </c>
      <c r="V260" s="21">
        <v>0</v>
      </c>
      <c r="W260" s="21">
        <v>0</v>
      </c>
      <c r="X260" s="21">
        <v>0</v>
      </c>
      <c r="Y260" s="21">
        <v>14909.44</v>
      </c>
      <c r="Z260" s="21">
        <v>0</v>
      </c>
      <c r="AA260" s="21" t="s">
        <v>176</v>
      </c>
      <c r="AB260" s="21" t="s">
        <v>168</v>
      </c>
      <c r="AC260" s="21">
        <v>39269080</v>
      </c>
      <c r="AD260" s="21" t="s">
        <v>201</v>
      </c>
      <c r="AE260" s="21">
        <v>1</v>
      </c>
      <c r="AF260" s="21">
        <v>582</v>
      </c>
      <c r="AG260" s="21" t="s">
        <v>202</v>
      </c>
    </row>
    <row r="261" spans="1:33" x14ac:dyDescent="0.25">
      <c r="A261" s="22"/>
      <c r="B261" s="21" t="s">
        <v>1092</v>
      </c>
      <c r="C261" s="21" t="s">
        <v>633</v>
      </c>
      <c r="D261" s="21" t="s">
        <v>1247</v>
      </c>
      <c r="E261" s="21" t="s">
        <v>1131</v>
      </c>
      <c r="F261" s="21" t="s">
        <v>1248</v>
      </c>
      <c r="G261" s="21" t="s">
        <v>1130</v>
      </c>
      <c r="H261" s="21" t="s">
        <v>1092</v>
      </c>
      <c r="I261" s="21" t="s">
        <v>169</v>
      </c>
      <c r="J261" s="21" t="s">
        <v>179</v>
      </c>
      <c r="K261" s="21" t="s">
        <v>156</v>
      </c>
      <c r="L261" s="21" t="s">
        <v>211</v>
      </c>
      <c r="M261" s="21" t="s">
        <v>178</v>
      </c>
      <c r="N261" s="21">
        <v>581</v>
      </c>
      <c r="O261" s="33">
        <v>98374.92</v>
      </c>
      <c r="P261" s="21" t="s">
        <v>178</v>
      </c>
      <c r="Q261" s="21">
        <v>0</v>
      </c>
      <c r="R261" s="21">
        <v>9</v>
      </c>
      <c r="S261" s="21">
        <v>8853.74</v>
      </c>
      <c r="T261" s="21">
        <v>9</v>
      </c>
      <c r="U261" s="21">
        <v>8853.74</v>
      </c>
      <c r="V261" s="21">
        <v>0</v>
      </c>
      <c r="W261" s="21">
        <v>0</v>
      </c>
      <c r="X261" s="21">
        <v>0</v>
      </c>
      <c r="Y261" s="21">
        <v>17707.48</v>
      </c>
      <c r="Z261" s="21">
        <v>0</v>
      </c>
      <c r="AA261" s="21" t="s">
        <v>176</v>
      </c>
      <c r="AB261" s="21" t="s">
        <v>168</v>
      </c>
      <c r="AC261" s="21">
        <v>63053300</v>
      </c>
      <c r="AD261" s="21" t="s">
        <v>201</v>
      </c>
      <c r="AE261" s="21">
        <v>1</v>
      </c>
      <c r="AF261" s="21">
        <v>581</v>
      </c>
      <c r="AG261" s="21" t="s">
        <v>202</v>
      </c>
    </row>
    <row r="262" spans="1:33" x14ac:dyDescent="0.25">
      <c r="A262" s="22"/>
      <c r="B262" s="21" t="s">
        <v>1092</v>
      </c>
      <c r="C262" s="21" t="s">
        <v>633</v>
      </c>
      <c r="D262" s="21" t="s">
        <v>1247</v>
      </c>
      <c r="E262" s="21" t="s">
        <v>1131</v>
      </c>
      <c r="F262" s="21" t="s">
        <v>1248</v>
      </c>
      <c r="G262" s="21" t="s">
        <v>1130</v>
      </c>
      <c r="H262" s="21" t="s">
        <v>1092</v>
      </c>
      <c r="I262" s="21" t="s">
        <v>169</v>
      </c>
      <c r="J262" s="21" t="s">
        <v>179</v>
      </c>
      <c r="K262" s="21" t="s">
        <v>156</v>
      </c>
      <c r="L262" s="21" t="s">
        <v>211</v>
      </c>
      <c r="M262" s="21" t="s">
        <v>178</v>
      </c>
      <c r="N262" s="33">
        <v>2056</v>
      </c>
      <c r="O262" s="33">
        <v>307001.92</v>
      </c>
      <c r="P262" s="21" t="s">
        <v>178</v>
      </c>
      <c r="Q262" s="21">
        <v>0</v>
      </c>
      <c r="R262" s="21">
        <v>9</v>
      </c>
      <c r="S262" s="21">
        <v>27630.17</v>
      </c>
      <c r="T262" s="21">
        <v>9</v>
      </c>
      <c r="U262" s="21">
        <v>27630.17</v>
      </c>
      <c r="V262" s="21">
        <v>0</v>
      </c>
      <c r="W262" s="21">
        <v>0</v>
      </c>
      <c r="X262" s="21">
        <v>0</v>
      </c>
      <c r="Y262" s="21">
        <v>55260.34</v>
      </c>
      <c r="Z262" s="21">
        <v>0</v>
      </c>
      <c r="AA262" s="21" t="s">
        <v>176</v>
      </c>
      <c r="AB262" s="21" t="s">
        <v>168</v>
      </c>
      <c r="AC262" s="21">
        <v>63053300</v>
      </c>
      <c r="AD262" s="21" t="s">
        <v>201</v>
      </c>
      <c r="AE262" s="21">
        <v>1</v>
      </c>
      <c r="AF262" s="33">
        <v>2056</v>
      </c>
      <c r="AG262" s="21" t="s">
        <v>202</v>
      </c>
    </row>
    <row r="263" spans="1:33" x14ac:dyDescent="0.25">
      <c r="A263" s="22"/>
      <c r="B263" s="21" t="s">
        <v>1092</v>
      </c>
      <c r="C263" s="21" t="s">
        <v>633</v>
      </c>
      <c r="D263" s="21" t="s">
        <v>1247</v>
      </c>
      <c r="E263" s="21" t="s">
        <v>1131</v>
      </c>
      <c r="F263" s="21" t="s">
        <v>1248</v>
      </c>
      <c r="G263" s="21" t="s">
        <v>1130</v>
      </c>
      <c r="H263" s="21" t="s">
        <v>1092</v>
      </c>
      <c r="I263" s="21" t="s">
        <v>169</v>
      </c>
      <c r="J263" s="21" t="s">
        <v>193</v>
      </c>
      <c r="K263" s="21" t="s">
        <v>161</v>
      </c>
      <c r="L263" s="21" t="s">
        <v>154</v>
      </c>
      <c r="M263" s="21" t="s">
        <v>161</v>
      </c>
      <c r="N263" s="33">
        <v>1244</v>
      </c>
      <c r="O263" s="33">
        <v>168338.08</v>
      </c>
      <c r="P263" s="21" t="s">
        <v>161</v>
      </c>
      <c r="Q263" s="21">
        <v>0</v>
      </c>
      <c r="R263" s="21">
        <v>9</v>
      </c>
      <c r="S263" s="21">
        <v>15150.43</v>
      </c>
      <c r="T263" s="21">
        <v>9</v>
      </c>
      <c r="U263" s="21">
        <v>15150.43</v>
      </c>
      <c r="V263" s="21">
        <v>0</v>
      </c>
      <c r="W263" s="21">
        <v>0</v>
      </c>
      <c r="X263" s="21">
        <v>0</v>
      </c>
      <c r="Y263" s="21">
        <v>30300.86</v>
      </c>
      <c r="Z263" s="21">
        <v>0</v>
      </c>
      <c r="AA263" s="21" t="s">
        <v>176</v>
      </c>
      <c r="AB263" s="21" t="s">
        <v>168</v>
      </c>
      <c r="AC263" s="21">
        <v>39199090</v>
      </c>
      <c r="AD263" s="21" t="s">
        <v>201</v>
      </c>
      <c r="AE263" s="21">
        <v>1</v>
      </c>
      <c r="AF263" s="33">
        <v>1244</v>
      </c>
      <c r="AG263" s="21" t="s">
        <v>202</v>
      </c>
    </row>
    <row r="264" spans="1:33" x14ac:dyDescent="0.25">
      <c r="A264" s="22"/>
      <c r="B264" s="21" t="s">
        <v>1092</v>
      </c>
      <c r="C264" s="21" t="s">
        <v>656</v>
      </c>
      <c r="D264" s="21" t="s">
        <v>1247</v>
      </c>
      <c r="E264" s="21" t="s">
        <v>1096</v>
      </c>
      <c r="F264" s="21" t="s">
        <v>1248</v>
      </c>
      <c r="G264" s="21" t="s">
        <v>1095</v>
      </c>
      <c r="H264" s="21" t="s">
        <v>1067</v>
      </c>
      <c r="I264" s="21" t="s">
        <v>188</v>
      </c>
      <c r="J264" s="21" t="s">
        <v>153</v>
      </c>
      <c r="K264" s="21" t="s">
        <v>153</v>
      </c>
      <c r="L264" s="21" t="s">
        <v>154</v>
      </c>
      <c r="M264" s="21" t="s">
        <v>153</v>
      </c>
      <c r="N264" s="21">
        <v>2</v>
      </c>
      <c r="O264" s="21">
        <v>326.8</v>
      </c>
      <c r="P264" s="21" t="s">
        <v>153</v>
      </c>
      <c r="Q264" s="21">
        <v>385.29</v>
      </c>
      <c r="R264" s="21">
        <v>9</v>
      </c>
      <c r="S264" s="21">
        <v>29.41</v>
      </c>
      <c r="T264" s="21">
        <v>9</v>
      </c>
      <c r="U264" s="21">
        <v>29.41</v>
      </c>
      <c r="V264" s="21">
        <v>0</v>
      </c>
      <c r="W264" s="21">
        <v>0</v>
      </c>
      <c r="X264" s="21">
        <v>0</v>
      </c>
      <c r="Y264" s="21">
        <v>58.82</v>
      </c>
      <c r="Z264" s="21">
        <v>0</v>
      </c>
      <c r="AA264" s="21" t="s">
        <v>176</v>
      </c>
      <c r="AB264" s="21" t="s">
        <v>168</v>
      </c>
      <c r="AC264" s="21">
        <v>39269080</v>
      </c>
      <c r="AD264" s="21" t="s">
        <v>201</v>
      </c>
      <c r="AE264" s="21">
        <v>1</v>
      </c>
      <c r="AF264" s="21">
        <v>2</v>
      </c>
      <c r="AG264" s="21" t="s">
        <v>202</v>
      </c>
    </row>
    <row r="265" spans="1:33" x14ac:dyDescent="0.25">
      <c r="A265" s="22"/>
      <c r="B265" s="21" t="s">
        <v>1092</v>
      </c>
      <c r="C265" s="21" t="s">
        <v>656</v>
      </c>
      <c r="D265" s="21" t="s">
        <v>1247</v>
      </c>
      <c r="E265" s="21" t="s">
        <v>1101</v>
      </c>
      <c r="F265" s="21" t="s">
        <v>1248</v>
      </c>
      <c r="G265" s="21" t="s">
        <v>1100</v>
      </c>
      <c r="H265" s="21" t="s">
        <v>1047</v>
      </c>
      <c r="I265" s="21" t="s">
        <v>188</v>
      </c>
      <c r="J265" s="21" t="s">
        <v>152</v>
      </c>
      <c r="K265" s="21" t="s">
        <v>152</v>
      </c>
      <c r="L265" s="21" t="s">
        <v>200</v>
      </c>
      <c r="M265" s="21" t="s">
        <v>191</v>
      </c>
      <c r="N265" s="33">
        <v>2971</v>
      </c>
      <c r="O265" s="33">
        <v>821422.07999999996</v>
      </c>
      <c r="P265" s="21" t="s">
        <v>191</v>
      </c>
      <c r="Q265" s="21">
        <v>4765598.3</v>
      </c>
      <c r="R265" s="21">
        <v>9</v>
      </c>
      <c r="S265" s="21">
        <v>73927.990000000005</v>
      </c>
      <c r="T265" s="21">
        <v>9</v>
      </c>
      <c r="U265" s="21">
        <v>73927.990000000005</v>
      </c>
      <c r="V265" s="21">
        <v>0</v>
      </c>
      <c r="W265" s="21">
        <v>0</v>
      </c>
      <c r="X265" s="21">
        <v>0</v>
      </c>
      <c r="Y265" s="21">
        <v>147855.98000000001</v>
      </c>
      <c r="Z265" s="21">
        <v>0</v>
      </c>
      <c r="AA265" s="21" t="s">
        <v>176</v>
      </c>
      <c r="AB265" s="21" t="s">
        <v>168</v>
      </c>
      <c r="AC265" s="21">
        <v>63053200</v>
      </c>
      <c r="AD265" s="21" t="s">
        <v>201</v>
      </c>
      <c r="AE265" s="21">
        <v>1</v>
      </c>
      <c r="AF265" s="33">
        <v>2971</v>
      </c>
      <c r="AG265" s="21" t="s">
        <v>202</v>
      </c>
    </row>
    <row r="266" spans="1:33" x14ac:dyDescent="0.25">
      <c r="A266" s="22"/>
      <c r="B266" s="21" t="s">
        <v>1092</v>
      </c>
      <c r="C266" s="21" t="s">
        <v>656</v>
      </c>
      <c r="D266" s="21" t="s">
        <v>1247</v>
      </c>
      <c r="E266" s="21" t="s">
        <v>1101</v>
      </c>
      <c r="F266" s="21" t="s">
        <v>1248</v>
      </c>
      <c r="G266" s="21" t="s">
        <v>1100</v>
      </c>
      <c r="H266" s="21" t="s">
        <v>1047</v>
      </c>
      <c r="I266" s="21" t="s">
        <v>188</v>
      </c>
      <c r="J266" s="21" t="s">
        <v>152</v>
      </c>
      <c r="K266" s="21" t="s">
        <v>152</v>
      </c>
      <c r="L266" s="21" t="s">
        <v>200</v>
      </c>
      <c r="M266" s="21" t="s">
        <v>187</v>
      </c>
      <c r="N266" s="33">
        <v>1705</v>
      </c>
      <c r="O266" s="33">
        <v>372201.5</v>
      </c>
      <c r="P266" s="21" t="s">
        <v>187</v>
      </c>
      <c r="Q266" s="21">
        <v>0</v>
      </c>
      <c r="R266" s="21">
        <v>9</v>
      </c>
      <c r="S266" s="21">
        <v>33498.14</v>
      </c>
      <c r="T266" s="21">
        <v>9</v>
      </c>
      <c r="U266" s="21">
        <v>33498.14</v>
      </c>
      <c r="V266" s="21">
        <v>0</v>
      </c>
      <c r="W266" s="21">
        <v>0</v>
      </c>
      <c r="X266" s="21">
        <v>0</v>
      </c>
      <c r="Y266" s="21">
        <v>66996.28</v>
      </c>
      <c r="Z266" s="21">
        <v>0</v>
      </c>
      <c r="AA266" s="21" t="s">
        <v>176</v>
      </c>
      <c r="AB266" s="21" t="s">
        <v>168</v>
      </c>
      <c r="AC266" s="21">
        <v>63053200</v>
      </c>
      <c r="AD266" s="21" t="s">
        <v>201</v>
      </c>
      <c r="AE266" s="21">
        <v>1</v>
      </c>
      <c r="AF266" s="33">
        <v>1705</v>
      </c>
      <c r="AG266" s="21" t="s">
        <v>202</v>
      </c>
    </row>
    <row r="267" spans="1:33" x14ac:dyDescent="0.25">
      <c r="A267" s="22"/>
      <c r="B267" s="21" t="s">
        <v>1092</v>
      </c>
      <c r="C267" s="21" t="s">
        <v>656</v>
      </c>
      <c r="D267" s="21" t="s">
        <v>1247</v>
      </c>
      <c r="E267" s="21" t="s">
        <v>1101</v>
      </c>
      <c r="F267" s="21" t="s">
        <v>1248</v>
      </c>
      <c r="G267" s="21" t="s">
        <v>1100</v>
      </c>
      <c r="H267" s="21" t="s">
        <v>1047</v>
      </c>
      <c r="I267" s="21" t="s">
        <v>188</v>
      </c>
      <c r="J267" s="21" t="s">
        <v>152</v>
      </c>
      <c r="K267" s="21" t="s">
        <v>152</v>
      </c>
      <c r="L267" s="21" t="s">
        <v>200</v>
      </c>
      <c r="M267" s="21" t="s">
        <v>187</v>
      </c>
      <c r="N267" s="33">
        <v>1326</v>
      </c>
      <c r="O267" s="33">
        <v>281761.74</v>
      </c>
      <c r="P267" s="21" t="s">
        <v>187</v>
      </c>
      <c r="Q267" s="21">
        <v>0</v>
      </c>
      <c r="R267" s="21">
        <v>9</v>
      </c>
      <c r="S267" s="21">
        <v>25358.560000000001</v>
      </c>
      <c r="T267" s="21">
        <v>9</v>
      </c>
      <c r="U267" s="21">
        <v>25358.560000000001</v>
      </c>
      <c r="V267" s="21">
        <v>0</v>
      </c>
      <c r="W267" s="21">
        <v>0</v>
      </c>
      <c r="X267" s="21">
        <v>0</v>
      </c>
      <c r="Y267" s="21">
        <v>50717.120000000003</v>
      </c>
      <c r="Z267" s="21">
        <v>0</v>
      </c>
      <c r="AA267" s="21" t="s">
        <v>176</v>
      </c>
      <c r="AB267" s="21" t="s">
        <v>168</v>
      </c>
      <c r="AC267" s="21">
        <v>63053200</v>
      </c>
      <c r="AD267" s="21" t="s">
        <v>201</v>
      </c>
      <c r="AE267" s="21">
        <v>1</v>
      </c>
      <c r="AF267" s="33">
        <v>1326</v>
      </c>
      <c r="AG267" s="21" t="s">
        <v>202</v>
      </c>
    </row>
    <row r="268" spans="1:33" x14ac:dyDescent="0.25">
      <c r="A268" s="22"/>
      <c r="B268" s="21" t="s">
        <v>1092</v>
      </c>
      <c r="C268" s="21" t="s">
        <v>656</v>
      </c>
      <c r="D268" s="21" t="s">
        <v>1247</v>
      </c>
      <c r="E268" s="21" t="s">
        <v>1101</v>
      </c>
      <c r="F268" s="21" t="s">
        <v>1248</v>
      </c>
      <c r="G268" s="21" t="s">
        <v>1100</v>
      </c>
      <c r="H268" s="21" t="s">
        <v>1047</v>
      </c>
      <c r="I268" s="21" t="s">
        <v>188</v>
      </c>
      <c r="J268" s="21" t="s">
        <v>152</v>
      </c>
      <c r="K268" s="21" t="s">
        <v>152</v>
      </c>
      <c r="L268" s="21" t="s">
        <v>200</v>
      </c>
      <c r="M268" s="21" t="s">
        <v>187</v>
      </c>
      <c r="N268" s="33">
        <v>3692</v>
      </c>
      <c r="O268" s="33">
        <v>776722.96</v>
      </c>
      <c r="P268" s="21" t="s">
        <v>187</v>
      </c>
      <c r="Q268" s="21">
        <v>0</v>
      </c>
      <c r="R268" s="21">
        <v>9</v>
      </c>
      <c r="S268" s="21">
        <v>69905.070000000007</v>
      </c>
      <c r="T268" s="21">
        <v>9</v>
      </c>
      <c r="U268" s="21">
        <v>69905.070000000007</v>
      </c>
      <c r="V268" s="21">
        <v>0</v>
      </c>
      <c r="W268" s="21">
        <v>0</v>
      </c>
      <c r="X268" s="21">
        <v>0</v>
      </c>
      <c r="Y268" s="21">
        <v>139810.14000000001</v>
      </c>
      <c r="Z268" s="21">
        <v>0</v>
      </c>
      <c r="AA268" s="21" t="s">
        <v>176</v>
      </c>
      <c r="AB268" s="21" t="s">
        <v>168</v>
      </c>
      <c r="AC268" s="21">
        <v>63053200</v>
      </c>
      <c r="AD268" s="21" t="s">
        <v>201</v>
      </c>
      <c r="AE268" s="21">
        <v>1</v>
      </c>
      <c r="AF268" s="33">
        <v>3692</v>
      </c>
      <c r="AG268" s="21" t="s">
        <v>202</v>
      </c>
    </row>
    <row r="269" spans="1:33" x14ac:dyDescent="0.25">
      <c r="A269" s="22"/>
      <c r="B269" s="21" t="s">
        <v>1092</v>
      </c>
      <c r="C269" s="21" t="s">
        <v>656</v>
      </c>
      <c r="D269" s="21" t="s">
        <v>1247</v>
      </c>
      <c r="E269" s="21" t="s">
        <v>1101</v>
      </c>
      <c r="F269" s="21" t="s">
        <v>1248</v>
      </c>
      <c r="G269" s="21" t="s">
        <v>1100</v>
      </c>
      <c r="H269" s="21" t="s">
        <v>1047</v>
      </c>
      <c r="I269" s="21" t="s">
        <v>188</v>
      </c>
      <c r="J269" s="21" t="s">
        <v>152</v>
      </c>
      <c r="K269" s="21" t="s">
        <v>152</v>
      </c>
      <c r="L269" s="21" t="s">
        <v>200</v>
      </c>
      <c r="M269" s="21" t="s">
        <v>187</v>
      </c>
      <c r="N269" s="33">
        <v>1770</v>
      </c>
      <c r="O269" s="33">
        <v>378355.20000000001</v>
      </c>
      <c r="P269" s="21" t="s">
        <v>187</v>
      </c>
      <c r="Q269" s="21">
        <v>0</v>
      </c>
      <c r="R269" s="21">
        <v>9</v>
      </c>
      <c r="S269" s="21">
        <v>34051.97</v>
      </c>
      <c r="T269" s="21">
        <v>9</v>
      </c>
      <c r="U269" s="21">
        <v>34051.97</v>
      </c>
      <c r="V269" s="21">
        <v>0</v>
      </c>
      <c r="W269" s="21">
        <v>0</v>
      </c>
      <c r="X269" s="21">
        <v>0</v>
      </c>
      <c r="Y269" s="21">
        <v>68103.94</v>
      </c>
      <c r="Z269" s="21">
        <v>0</v>
      </c>
      <c r="AA269" s="21" t="s">
        <v>176</v>
      </c>
      <c r="AB269" s="21" t="s">
        <v>168</v>
      </c>
      <c r="AC269" s="21">
        <v>63053200</v>
      </c>
      <c r="AD269" s="21" t="s">
        <v>201</v>
      </c>
      <c r="AE269" s="21">
        <v>1</v>
      </c>
      <c r="AF269" s="33">
        <v>1770</v>
      </c>
      <c r="AG269" s="21" t="s">
        <v>202</v>
      </c>
    </row>
    <row r="270" spans="1:33" x14ac:dyDescent="0.25">
      <c r="A270" s="22"/>
      <c r="B270" s="21" t="s">
        <v>1092</v>
      </c>
      <c r="C270" s="21" t="s">
        <v>656</v>
      </c>
      <c r="D270" s="21" t="s">
        <v>1247</v>
      </c>
      <c r="E270" s="21" t="s">
        <v>1101</v>
      </c>
      <c r="F270" s="21" t="s">
        <v>1248</v>
      </c>
      <c r="G270" s="21" t="s">
        <v>1100</v>
      </c>
      <c r="H270" s="21" t="s">
        <v>1047</v>
      </c>
      <c r="I270" s="21" t="s">
        <v>188</v>
      </c>
      <c r="J270" s="21" t="s">
        <v>152</v>
      </c>
      <c r="K270" s="21" t="s">
        <v>152</v>
      </c>
      <c r="L270" s="21" t="s">
        <v>200</v>
      </c>
      <c r="M270" s="21" t="s">
        <v>187</v>
      </c>
      <c r="N270" s="33">
        <v>6617</v>
      </c>
      <c r="O270" s="33">
        <v>1411604.61</v>
      </c>
      <c r="P270" s="21" t="s">
        <v>187</v>
      </c>
      <c r="Q270" s="21">
        <v>0</v>
      </c>
      <c r="R270" s="21">
        <v>9</v>
      </c>
      <c r="S270" s="21">
        <v>127044.41</v>
      </c>
      <c r="T270" s="21">
        <v>9</v>
      </c>
      <c r="U270" s="21">
        <v>127044.41</v>
      </c>
      <c r="V270" s="21">
        <v>0</v>
      </c>
      <c r="W270" s="21">
        <v>0</v>
      </c>
      <c r="X270" s="21">
        <v>0</v>
      </c>
      <c r="Y270" s="21">
        <v>254088.82</v>
      </c>
      <c r="Z270" s="21">
        <v>0</v>
      </c>
      <c r="AA270" s="21" t="s">
        <v>176</v>
      </c>
      <c r="AB270" s="21" t="s">
        <v>168</v>
      </c>
      <c r="AC270" s="21">
        <v>63053200</v>
      </c>
      <c r="AD270" s="21" t="s">
        <v>201</v>
      </c>
      <c r="AE270" s="21">
        <v>1</v>
      </c>
      <c r="AF270" s="33">
        <v>6617</v>
      </c>
      <c r="AG270" s="21" t="s">
        <v>202</v>
      </c>
    </row>
    <row r="271" spans="1:33" x14ac:dyDescent="0.25">
      <c r="A271" s="22"/>
      <c r="B271" s="21" t="s">
        <v>1132</v>
      </c>
      <c r="C271" s="21" t="s">
        <v>633</v>
      </c>
      <c r="D271" s="21" t="s">
        <v>1247</v>
      </c>
      <c r="E271" s="21" t="s">
        <v>1137</v>
      </c>
      <c r="F271" s="21" t="s">
        <v>1248</v>
      </c>
      <c r="G271" s="21" t="s">
        <v>1136</v>
      </c>
      <c r="H271" s="21" t="s">
        <v>1132</v>
      </c>
      <c r="I271" s="21" t="s">
        <v>169</v>
      </c>
      <c r="J271" s="21" t="s">
        <v>181</v>
      </c>
      <c r="K271" s="21" t="s">
        <v>154</v>
      </c>
      <c r="L271" s="21" t="s">
        <v>154</v>
      </c>
      <c r="M271" s="21" t="s">
        <v>181</v>
      </c>
      <c r="N271" s="21">
        <v>290</v>
      </c>
      <c r="O271" s="33">
        <v>42722.8</v>
      </c>
      <c r="P271" s="21" t="s">
        <v>181</v>
      </c>
      <c r="Q271" s="21">
        <v>187123.33</v>
      </c>
      <c r="R271" s="21">
        <v>9</v>
      </c>
      <c r="S271" s="21">
        <v>3845.05</v>
      </c>
      <c r="T271" s="21">
        <v>9</v>
      </c>
      <c r="U271" s="21">
        <v>3845.05</v>
      </c>
      <c r="V271" s="21">
        <v>0</v>
      </c>
      <c r="W271" s="21">
        <v>0</v>
      </c>
      <c r="X271" s="21">
        <v>0</v>
      </c>
      <c r="Y271" s="21">
        <v>7690.1</v>
      </c>
      <c r="Z271" s="21">
        <v>0</v>
      </c>
      <c r="AA271" s="21" t="s">
        <v>176</v>
      </c>
      <c r="AB271" s="21" t="s">
        <v>168</v>
      </c>
      <c r="AC271" s="21">
        <v>3926908</v>
      </c>
      <c r="AD271" s="21" t="s">
        <v>201</v>
      </c>
      <c r="AE271" s="21">
        <v>1</v>
      </c>
      <c r="AF271" s="21">
        <v>290</v>
      </c>
      <c r="AG271" s="21" t="s">
        <v>202</v>
      </c>
    </row>
    <row r="272" spans="1:33" x14ac:dyDescent="0.25">
      <c r="A272" s="22"/>
      <c r="B272" s="21" t="s">
        <v>1132</v>
      </c>
      <c r="C272" s="21" t="s">
        <v>633</v>
      </c>
      <c r="D272" s="21" t="s">
        <v>1247</v>
      </c>
      <c r="E272" s="21" t="s">
        <v>1137</v>
      </c>
      <c r="F272" s="21" t="s">
        <v>1248</v>
      </c>
      <c r="G272" s="21" t="s">
        <v>1136</v>
      </c>
      <c r="H272" s="21" t="s">
        <v>1132</v>
      </c>
      <c r="I272" s="21" t="s">
        <v>169</v>
      </c>
      <c r="J272" s="21" t="s">
        <v>179</v>
      </c>
      <c r="K272" s="21" t="s">
        <v>155</v>
      </c>
      <c r="L272" s="21" t="s">
        <v>203</v>
      </c>
      <c r="M272" s="21" t="s">
        <v>183</v>
      </c>
      <c r="N272" s="21">
        <v>815</v>
      </c>
      <c r="O272" s="33">
        <v>115990.8</v>
      </c>
      <c r="P272" s="21" t="s">
        <v>183</v>
      </c>
      <c r="Q272" s="21">
        <v>0</v>
      </c>
      <c r="R272" s="21">
        <v>9</v>
      </c>
      <c r="S272" s="21">
        <v>10439.17</v>
      </c>
      <c r="T272" s="21">
        <v>9</v>
      </c>
      <c r="U272" s="21">
        <v>10439.17</v>
      </c>
      <c r="V272" s="21">
        <v>0</v>
      </c>
      <c r="W272" s="21">
        <v>0</v>
      </c>
      <c r="X272" s="21">
        <v>0</v>
      </c>
      <c r="Y272" s="21">
        <v>20878.34</v>
      </c>
      <c r="Z272" s="21">
        <v>0</v>
      </c>
      <c r="AA272" s="21" t="s">
        <v>176</v>
      </c>
      <c r="AB272" s="21" t="s">
        <v>168</v>
      </c>
      <c r="AC272" s="21">
        <v>39269080</v>
      </c>
      <c r="AD272" s="21" t="s">
        <v>201</v>
      </c>
      <c r="AE272" s="21">
        <v>1</v>
      </c>
      <c r="AF272" s="21">
        <v>815</v>
      </c>
      <c r="AG272" s="21" t="s">
        <v>202</v>
      </c>
    </row>
    <row r="273" spans="1:33" x14ac:dyDescent="0.25">
      <c r="A273" s="22"/>
      <c r="B273" s="21" t="s">
        <v>1132</v>
      </c>
      <c r="C273" s="21" t="s">
        <v>633</v>
      </c>
      <c r="D273" s="21" t="s">
        <v>1247</v>
      </c>
      <c r="E273" s="21" t="s">
        <v>1141</v>
      </c>
      <c r="F273" s="21" t="s">
        <v>1248</v>
      </c>
      <c r="G273" s="21" t="s">
        <v>1140</v>
      </c>
      <c r="H273" s="21" t="s">
        <v>1132</v>
      </c>
      <c r="I273" s="21" t="s">
        <v>169</v>
      </c>
      <c r="J273" s="21" t="s">
        <v>170</v>
      </c>
      <c r="K273" s="21" t="s">
        <v>157</v>
      </c>
      <c r="L273" s="21" t="s">
        <v>225</v>
      </c>
      <c r="M273" s="21" t="s">
        <v>705</v>
      </c>
      <c r="N273" s="35">
        <v>892.9</v>
      </c>
      <c r="O273" s="33">
        <v>137792.32999999999</v>
      </c>
      <c r="P273" s="21" t="s">
        <v>705</v>
      </c>
      <c r="Q273" s="21">
        <v>1140207.57</v>
      </c>
      <c r="R273" s="21">
        <v>2.5</v>
      </c>
      <c r="S273" s="21">
        <v>3444.81</v>
      </c>
      <c r="T273" s="21">
        <v>2.5</v>
      </c>
      <c r="U273" s="21">
        <v>3444.81</v>
      </c>
      <c r="V273" s="21">
        <v>0</v>
      </c>
      <c r="W273" s="21">
        <v>0</v>
      </c>
      <c r="X273" s="21">
        <v>0</v>
      </c>
      <c r="Y273" s="21">
        <v>6889.62</v>
      </c>
      <c r="Z273" s="21">
        <v>0</v>
      </c>
      <c r="AA273" s="21" t="s">
        <v>176</v>
      </c>
      <c r="AB273" s="21" t="s">
        <v>184</v>
      </c>
      <c r="AC273" s="21">
        <v>54026930</v>
      </c>
      <c r="AD273" s="21" t="s">
        <v>201</v>
      </c>
      <c r="AE273" s="21">
        <v>1</v>
      </c>
      <c r="AF273" s="21">
        <v>892.9</v>
      </c>
      <c r="AG273" s="21" t="s">
        <v>202</v>
      </c>
    </row>
    <row r="274" spans="1:33" x14ac:dyDescent="0.25">
      <c r="A274" s="22"/>
      <c r="B274" s="21" t="s">
        <v>1132</v>
      </c>
      <c r="C274" s="21" t="s">
        <v>633</v>
      </c>
      <c r="D274" s="21" t="s">
        <v>1247</v>
      </c>
      <c r="E274" s="21" t="s">
        <v>1141</v>
      </c>
      <c r="F274" s="21" t="s">
        <v>1248</v>
      </c>
      <c r="G274" s="21" t="s">
        <v>1140</v>
      </c>
      <c r="H274" s="21" t="s">
        <v>1132</v>
      </c>
      <c r="I274" s="21" t="s">
        <v>169</v>
      </c>
      <c r="J274" s="21" t="s">
        <v>170</v>
      </c>
      <c r="K274" s="21" t="s">
        <v>157</v>
      </c>
      <c r="L274" s="21" t="s">
        <v>225</v>
      </c>
      <c r="M274" s="21" t="s">
        <v>919</v>
      </c>
      <c r="N274" s="35">
        <v>204.5</v>
      </c>
      <c r="O274" s="33">
        <v>32171.94</v>
      </c>
      <c r="P274" s="21" t="s">
        <v>919</v>
      </c>
      <c r="Q274" s="21">
        <v>0</v>
      </c>
      <c r="R274" s="21">
        <v>2.5</v>
      </c>
      <c r="S274" s="21">
        <v>804.3</v>
      </c>
      <c r="T274" s="21">
        <v>2.5</v>
      </c>
      <c r="U274" s="21">
        <v>804.3</v>
      </c>
      <c r="V274" s="21">
        <v>0</v>
      </c>
      <c r="W274" s="21">
        <v>0</v>
      </c>
      <c r="X274" s="21">
        <v>0</v>
      </c>
      <c r="Y274" s="21">
        <v>1608.6</v>
      </c>
      <c r="Z274" s="21">
        <v>0</v>
      </c>
      <c r="AA274" s="21" t="s">
        <v>176</v>
      </c>
      <c r="AB274" s="21" t="s">
        <v>184</v>
      </c>
      <c r="AC274" s="21">
        <v>54026930</v>
      </c>
      <c r="AD274" s="21" t="s">
        <v>201</v>
      </c>
      <c r="AE274" s="21">
        <v>1</v>
      </c>
      <c r="AF274" s="21">
        <v>204.5</v>
      </c>
      <c r="AG274" s="21" t="s">
        <v>202</v>
      </c>
    </row>
    <row r="275" spans="1:33" x14ac:dyDescent="0.25">
      <c r="A275" s="22"/>
      <c r="B275" s="21" t="s">
        <v>1132</v>
      </c>
      <c r="C275" s="21" t="s">
        <v>633</v>
      </c>
      <c r="D275" s="21" t="s">
        <v>1247</v>
      </c>
      <c r="E275" s="21" t="s">
        <v>1141</v>
      </c>
      <c r="F275" s="21" t="s">
        <v>1248</v>
      </c>
      <c r="G275" s="21" t="s">
        <v>1140</v>
      </c>
      <c r="H275" s="21" t="s">
        <v>1132</v>
      </c>
      <c r="I275" s="21" t="s">
        <v>169</v>
      </c>
      <c r="J275" s="21" t="s">
        <v>170</v>
      </c>
      <c r="K275" s="21" t="s">
        <v>157</v>
      </c>
      <c r="L275" s="21" t="s">
        <v>225</v>
      </c>
      <c r="M275" s="21" t="s">
        <v>727</v>
      </c>
      <c r="N275" s="35">
        <v>198.3</v>
      </c>
      <c r="O275" s="33">
        <v>31494.01</v>
      </c>
      <c r="P275" s="21" t="s">
        <v>727</v>
      </c>
      <c r="Q275" s="21">
        <v>0</v>
      </c>
      <c r="R275" s="21">
        <v>2.5</v>
      </c>
      <c r="S275" s="21">
        <v>787.35</v>
      </c>
      <c r="T275" s="21">
        <v>2.5</v>
      </c>
      <c r="U275" s="21">
        <v>787.35</v>
      </c>
      <c r="V275" s="21">
        <v>0</v>
      </c>
      <c r="W275" s="21">
        <v>0</v>
      </c>
      <c r="X275" s="21">
        <v>0</v>
      </c>
      <c r="Y275" s="21">
        <v>1574.7</v>
      </c>
      <c r="Z275" s="21">
        <v>0</v>
      </c>
      <c r="AA275" s="21" t="s">
        <v>176</v>
      </c>
      <c r="AB275" s="21" t="s">
        <v>168</v>
      </c>
      <c r="AC275" s="21">
        <v>540269</v>
      </c>
      <c r="AD275" s="21" t="s">
        <v>201</v>
      </c>
      <c r="AE275" s="21">
        <v>1</v>
      </c>
      <c r="AF275" s="21">
        <v>198.3</v>
      </c>
      <c r="AG275" s="21" t="s">
        <v>202</v>
      </c>
    </row>
    <row r="276" spans="1:33" x14ac:dyDescent="0.25">
      <c r="A276" s="22"/>
      <c r="B276" s="21" t="s">
        <v>1132</v>
      </c>
      <c r="C276" s="21" t="s">
        <v>633</v>
      </c>
      <c r="D276" s="21" t="s">
        <v>1247</v>
      </c>
      <c r="E276" s="21" t="s">
        <v>1141</v>
      </c>
      <c r="F276" s="21" t="s">
        <v>1248</v>
      </c>
      <c r="G276" s="21" t="s">
        <v>1140</v>
      </c>
      <c r="H276" s="21" t="s">
        <v>1132</v>
      </c>
      <c r="I276" s="21" t="s">
        <v>169</v>
      </c>
      <c r="J276" s="21" t="s">
        <v>179</v>
      </c>
      <c r="K276" s="21" t="s">
        <v>156</v>
      </c>
      <c r="L276" s="21" t="s">
        <v>211</v>
      </c>
      <c r="M276" s="21" t="s">
        <v>178</v>
      </c>
      <c r="N276" s="33">
        <v>1291</v>
      </c>
      <c r="O276" s="33">
        <v>192772.12</v>
      </c>
      <c r="P276" s="21" t="s">
        <v>178</v>
      </c>
      <c r="Q276" s="21">
        <v>0</v>
      </c>
      <c r="R276" s="21">
        <v>9</v>
      </c>
      <c r="S276" s="21">
        <v>17349.490000000002</v>
      </c>
      <c r="T276" s="21">
        <v>9</v>
      </c>
      <c r="U276" s="21">
        <v>17349.490000000002</v>
      </c>
      <c r="V276" s="21">
        <v>0</v>
      </c>
      <c r="W276" s="21">
        <v>0</v>
      </c>
      <c r="X276" s="21">
        <v>0</v>
      </c>
      <c r="Y276" s="21">
        <v>34698.980000000003</v>
      </c>
      <c r="Z276" s="21">
        <v>0</v>
      </c>
      <c r="AA276" s="21" t="s">
        <v>176</v>
      </c>
      <c r="AB276" s="21" t="s">
        <v>168</v>
      </c>
      <c r="AC276" s="21">
        <v>63053300</v>
      </c>
      <c r="AD276" s="21" t="s">
        <v>201</v>
      </c>
      <c r="AE276" s="21">
        <v>1</v>
      </c>
      <c r="AF276" s="33">
        <v>1291</v>
      </c>
      <c r="AG276" s="21" t="s">
        <v>202</v>
      </c>
    </row>
    <row r="277" spans="1:33" x14ac:dyDescent="0.25">
      <c r="A277" s="22"/>
      <c r="B277" s="21" t="s">
        <v>1132</v>
      </c>
      <c r="C277" s="21" t="s">
        <v>633</v>
      </c>
      <c r="D277" s="21" t="s">
        <v>1247</v>
      </c>
      <c r="E277" s="21" t="s">
        <v>1141</v>
      </c>
      <c r="F277" s="21" t="s">
        <v>1248</v>
      </c>
      <c r="G277" s="21" t="s">
        <v>1140</v>
      </c>
      <c r="H277" s="21" t="s">
        <v>1132</v>
      </c>
      <c r="I277" s="21" t="s">
        <v>169</v>
      </c>
      <c r="J277" s="21" t="s">
        <v>181</v>
      </c>
      <c r="K277" s="21" t="s">
        <v>154</v>
      </c>
      <c r="L277" s="21" t="s">
        <v>154</v>
      </c>
      <c r="M277" s="21" t="s">
        <v>181</v>
      </c>
      <c r="N277" s="21">
        <v>265</v>
      </c>
      <c r="O277" s="33">
        <v>43809.8</v>
      </c>
      <c r="P277" s="21" t="s">
        <v>181</v>
      </c>
      <c r="Q277" s="21">
        <v>0</v>
      </c>
      <c r="R277" s="21">
        <v>9</v>
      </c>
      <c r="S277" s="21">
        <v>3942.88</v>
      </c>
      <c r="T277" s="21">
        <v>9</v>
      </c>
      <c r="U277" s="21">
        <v>3942.88</v>
      </c>
      <c r="V277" s="21">
        <v>0</v>
      </c>
      <c r="W277" s="21">
        <v>0</v>
      </c>
      <c r="X277" s="21">
        <v>0</v>
      </c>
      <c r="Y277" s="21">
        <v>7885.76</v>
      </c>
      <c r="Z277" s="21">
        <v>0</v>
      </c>
      <c r="AA277" s="21" t="s">
        <v>176</v>
      </c>
      <c r="AB277" s="21" t="s">
        <v>168</v>
      </c>
      <c r="AC277" s="21">
        <v>3926908</v>
      </c>
      <c r="AD277" s="21" t="s">
        <v>201</v>
      </c>
      <c r="AE277" s="21">
        <v>1</v>
      </c>
      <c r="AF277" s="21">
        <v>265</v>
      </c>
      <c r="AG277" s="21" t="s">
        <v>202</v>
      </c>
    </row>
    <row r="278" spans="1:33" x14ac:dyDescent="0.25">
      <c r="A278" s="22"/>
      <c r="B278" s="21" t="s">
        <v>1132</v>
      </c>
      <c r="C278" s="21" t="s">
        <v>633</v>
      </c>
      <c r="D278" s="21" t="s">
        <v>1247</v>
      </c>
      <c r="E278" s="21" t="s">
        <v>1141</v>
      </c>
      <c r="F278" s="21" t="s">
        <v>1248</v>
      </c>
      <c r="G278" s="21" t="s">
        <v>1140</v>
      </c>
      <c r="H278" s="21" t="s">
        <v>1132</v>
      </c>
      <c r="I278" s="21" t="s">
        <v>169</v>
      </c>
      <c r="J278" s="21" t="s">
        <v>181</v>
      </c>
      <c r="K278" s="21" t="s">
        <v>154</v>
      </c>
      <c r="L278" s="21" t="s">
        <v>154</v>
      </c>
      <c r="M278" s="21" t="s">
        <v>181</v>
      </c>
      <c r="N278" s="21">
        <v>404</v>
      </c>
      <c r="O278" s="33">
        <v>58305.279999999999</v>
      </c>
      <c r="P278" s="21" t="s">
        <v>181</v>
      </c>
      <c r="Q278" s="21">
        <v>0</v>
      </c>
      <c r="R278" s="21">
        <v>9</v>
      </c>
      <c r="S278" s="21">
        <v>5247.48</v>
      </c>
      <c r="T278" s="21">
        <v>9</v>
      </c>
      <c r="U278" s="21">
        <v>5247.48</v>
      </c>
      <c r="V278" s="21">
        <v>0</v>
      </c>
      <c r="W278" s="21">
        <v>0</v>
      </c>
      <c r="X278" s="21">
        <v>0</v>
      </c>
      <c r="Y278" s="21">
        <v>10494.96</v>
      </c>
      <c r="Z278" s="21">
        <v>0</v>
      </c>
      <c r="AA278" s="21" t="s">
        <v>176</v>
      </c>
      <c r="AB278" s="21" t="s">
        <v>168</v>
      </c>
      <c r="AC278" s="21">
        <v>3926908</v>
      </c>
      <c r="AD278" s="21" t="s">
        <v>201</v>
      </c>
      <c r="AE278" s="21">
        <v>1</v>
      </c>
      <c r="AF278" s="21">
        <v>404</v>
      </c>
      <c r="AG278" s="21" t="s">
        <v>202</v>
      </c>
    </row>
    <row r="279" spans="1:33" x14ac:dyDescent="0.25">
      <c r="A279" s="22"/>
      <c r="B279" s="21" t="s">
        <v>1132</v>
      </c>
      <c r="C279" s="21" t="s">
        <v>633</v>
      </c>
      <c r="D279" s="21" t="s">
        <v>1247</v>
      </c>
      <c r="E279" s="21" t="s">
        <v>1141</v>
      </c>
      <c r="F279" s="21" t="s">
        <v>1248</v>
      </c>
      <c r="G279" s="21" t="s">
        <v>1140</v>
      </c>
      <c r="H279" s="21" t="s">
        <v>1132</v>
      </c>
      <c r="I279" s="21" t="s">
        <v>169</v>
      </c>
      <c r="J279" s="21" t="s">
        <v>181</v>
      </c>
      <c r="K279" s="21" t="s">
        <v>154</v>
      </c>
      <c r="L279" s="21" t="s">
        <v>154</v>
      </c>
      <c r="M279" s="21" t="s">
        <v>181</v>
      </c>
      <c r="N279" s="33">
        <v>1330.2</v>
      </c>
      <c r="O279" s="33">
        <v>195965.06</v>
      </c>
      <c r="P279" s="21" t="s">
        <v>181</v>
      </c>
      <c r="Q279" s="21">
        <v>0</v>
      </c>
      <c r="R279" s="21">
        <v>9</v>
      </c>
      <c r="S279" s="21">
        <v>17636.86</v>
      </c>
      <c r="T279" s="21">
        <v>9</v>
      </c>
      <c r="U279" s="21">
        <v>17636.86</v>
      </c>
      <c r="V279" s="21">
        <v>0</v>
      </c>
      <c r="W279" s="21">
        <v>0</v>
      </c>
      <c r="X279" s="21">
        <v>0</v>
      </c>
      <c r="Y279" s="21">
        <v>35273.72</v>
      </c>
      <c r="Z279" s="21">
        <v>0</v>
      </c>
      <c r="AA279" s="21" t="s">
        <v>176</v>
      </c>
      <c r="AB279" s="21" t="s">
        <v>168</v>
      </c>
      <c r="AC279" s="21">
        <v>3926908</v>
      </c>
      <c r="AD279" s="21" t="s">
        <v>201</v>
      </c>
      <c r="AE279" s="21">
        <v>1</v>
      </c>
      <c r="AF279" s="33">
        <v>1330.2</v>
      </c>
      <c r="AG279" s="21" t="s">
        <v>202</v>
      </c>
    </row>
    <row r="280" spans="1:33" x14ac:dyDescent="0.25">
      <c r="A280" s="22"/>
      <c r="B280" s="21" t="s">
        <v>1132</v>
      </c>
      <c r="C280" s="21" t="s">
        <v>633</v>
      </c>
      <c r="D280" s="21" t="s">
        <v>1247</v>
      </c>
      <c r="E280" s="21" t="s">
        <v>1141</v>
      </c>
      <c r="F280" s="21" t="s">
        <v>1248</v>
      </c>
      <c r="G280" s="21" t="s">
        <v>1140</v>
      </c>
      <c r="H280" s="21" t="s">
        <v>1132</v>
      </c>
      <c r="I280" s="21" t="s">
        <v>169</v>
      </c>
      <c r="J280" s="21" t="s">
        <v>175</v>
      </c>
      <c r="K280" s="21" t="s">
        <v>159</v>
      </c>
      <c r="L280" s="21" t="s">
        <v>159</v>
      </c>
      <c r="M280" s="21" t="s">
        <v>173</v>
      </c>
      <c r="N280" s="21">
        <v>469</v>
      </c>
      <c r="O280" s="33">
        <v>84823.34</v>
      </c>
      <c r="P280" s="21" t="s">
        <v>173</v>
      </c>
      <c r="Q280" s="21">
        <v>0</v>
      </c>
      <c r="R280" s="21">
        <v>9</v>
      </c>
      <c r="S280" s="21">
        <v>7634.1</v>
      </c>
      <c r="T280" s="21">
        <v>9</v>
      </c>
      <c r="U280" s="21">
        <v>7634.1</v>
      </c>
      <c r="V280" s="21">
        <v>0</v>
      </c>
      <c r="W280" s="21">
        <v>0</v>
      </c>
      <c r="X280" s="21">
        <v>0</v>
      </c>
      <c r="Y280" s="21">
        <v>15268.2</v>
      </c>
      <c r="Z280" s="21">
        <v>0</v>
      </c>
      <c r="AA280" s="21" t="s">
        <v>176</v>
      </c>
      <c r="AB280" s="21" t="s">
        <v>168</v>
      </c>
      <c r="AC280" s="21">
        <v>39200000</v>
      </c>
      <c r="AD280" s="21" t="s">
        <v>201</v>
      </c>
      <c r="AE280" s="21">
        <v>1</v>
      </c>
      <c r="AF280" s="21">
        <v>469</v>
      </c>
      <c r="AG280" s="21" t="s">
        <v>202</v>
      </c>
    </row>
    <row r="281" spans="1:33" x14ac:dyDescent="0.25">
      <c r="A281" s="22"/>
      <c r="B281" s="21" t="s">
        <v>1132</v>
      </c>
      <c r="C281" s="21" t="s">
        <v>633</v>
      </c>
      <c r="D281" s="21" t="s">
        <v>1247</v>
      </c>
      <c r="E281" s="21" t="s">
        <v>1141</v>
      </c>
      <c r="F281" s="21" t="s">
        <v>1248</v>
      </c>
      <c r="G281" s="21" t="s">
        <v>1140</v>
      </c>
      <c r="H281" s="21" t="s">
        <v>1132</v>
      </c>
      <c r="I281" s="21" t="s">
        <v>169</v>
      </c>
      <c r="J281" s="21" t="s">
        <v>175</v>
      </c>
      <c r="K281" s="21" t="s">
        <v>159</v>
      </c>
      <c r="L281" s="21" t="s">
        <v>159</v>
      </c>
      <c r="M281" s="21" t="s">
        <v>173</v>
      </c>
      <c r="N281" s="21">
        <v>573</v>
      </c>
      <c r="O281" s="33">
        <v>115092.78</v>
      </c>
      <c r="P281" s="21" t="s">
        <v>173</v>
      </c>
      <c r="Q281" s="21">
        <v>0</v>
      </c>
      <c r="R281" s="21">
        <v>9</v>
      </c>
      <c r="S281" s="21">
        <v>10358.35</v>
      </c>
      <c r="T281" s="21">
        <v>9</v>
      </c>
      <c r="U281" s="21">
        <v>10358.35</v>
      </c>
      <c r="V281" s="21">
        <v>0</v>
      </c>
      <c r="W281" s="21">
        <v>0</v>
      </c>
      <c r="X281" s="21">
        <v>0</v>
      </c>
      <c r="Y281" s="21">
        <v>20716.7</v>
      </c>
      <c r="Z281" s="21">
        <v>0</v>
      </c>
      <c r="AA281" s="21" t="s">
        <v>176</v>
      </c>
      <c r="AB281" s="21" t="s">
        <v>168</v>
      </c>
      <c r="AC281" s="21">
        <v>39200000</v>
      </c>
      <c r="AD281" s="21" t="s">
        <v>201</v>
      </c>
      <c r="AE281" s="21">
        <v>1</v>
      </c>
      <c r="AF281" s="21">
        <v>573</v>
      </c>
      <c r="AG281" s="21" t="s">
        <v>202</v>
      </c>
    </row>
    <row r="282" spans="1:33" x14ac:dyDescent="0.25">
      <c r="A282" s="22"/>
      <c r="B282" s="21" t="s">
        <v>1132</v>
      </c>
      <c r="C282" s="21" t="s">
        <v>633</v>
      </c>
      <c r="D282" s="21" t="s">
        <v>1247</v>
      </c>
      <c r="E282" s="21" t="s">
        <v>1141</v>
      </c>
      <c r="F282" s="21" t="s">
        <v>1248</v>
      </c>
      <c r="G282" s="21" t="s">
        <v>1140</v>
      </c>
      <c r="H282" s="21" t="s">
        <v>1132</v>
      </c>
      <c r="I282" s="21" t="s">
        <v>169</v>
      </c>
      <c r="J282" s="21" t="s">
        <v>179</v>
      </c>
      <c r="K282" s="21" t="s">
        <v>155</v>
      </c>
      <c r="L282" s="21" t="s">
        <v>203</v>
      </c>
      <c r="M282" s="21" t="s">
        <v>183</v>
      </c>
      <c r="N282" s="21">
        <v>659</v>
      </c>
      <c r="O282" s="33">
        <v>97083.88</v>
      </c>
      <c r="P282" s="21" t="s">
        <v>183</v>
      </c>
      <c r="Q282" s="21">
        <v>0</v>
      </c>
      <c r="R282" s="21">
        <v>9</v>
      </c>
      <c r="S282" s="21">
        <v>8737.5499999999993</v>
      </c>
      <c r="T282" s="21">
        <v>9</v>
      </c>
      <c r="U282" s="21">
        <v>8737.5499999999993</v>
      </c>
      <c r="V282" s="21">
        <v>0</v>
      </c>
      <c r="W282" s="21">
        <v>0</v>
      </c>
      <c r="X282" s="21">
        <v>0</v>
      </c>
      <c r="Y282" s="21">
        <v>17475.099999999999</v>
      </c>
      <c r="Z282" s="21">
        <v>0</v>
      </c>
      <c r="AA282" s="21" t="s">
        <v>176</v>
      </c>
      <c r="AB282" s="21" t="s">
        <v>168</v>
      </c>
      <c r="AC282" s="21">
        <v>39269080</v>
      </c>
      <c r="AD282" s="21" t="s">
        <v>201</v>
      </c>
      <c r="AE282" s="21">
        <v>1</v>
      </c>
      <c r="AF282" s="21">
        <v>659</v>
      </c>
      <c r="AG282" s="21" t="s">
        <v>202</v>
      </c>
    </row>
    <row r="283" spans="1:33" x14ac:dyDescent="0.25">
      <c r="A283" s="22"/>
      <c r="B283" s="21" t="s">
        <v>1142</v>
      </c>
      <c r="C283" s="21" t="s">
        <v>677</v>
      </c>
      <c r="D283" s="21" t="s">
        <v>1247</v>
      </c>
      <c r="E283" s="21" t="s">
        <v>1151</v>
      </c>
      <c r="F283" s="21" t="s">
        <v>1248</v>
      </c>
      <c r="G283" s="21" t="s">
        <v>1150</v>
      </c>
      <c r="H283" s="21" t="s">
        <v>1132</v>
      </c>
      <c r="I283" s="21" t="s">
        <v>169</v>
      </c>
      <c r="J283" s="21" t="s">
        <v>181</v>
      </c>
      <c r="K283" s="21" t="s">
        <v>154</v>
      </c>
      <c r="L283" s="21" t="s">
        <v>154</v>
      </c>
      <c r="M283" s="21" t="s">
        <v>181</v>
      </c>
      <c r="N283" s="21">
        <v>290</v>
      </c>
      <c r="O283" s="33">
        <v>47386</v>
      </c>
      <c r="P283" s="21" t="s">
        <v>181</v>
      </c>
      <c r="Q283" s="21">
        <v>596186.57999999996</v>
      </c>
      <c r="R283" s="21">
        <v>9</v>
      </c>
      <c r="S283" s="21">
        <v>4264.74</v>
      </c>
      <c r="T283" s="21">
        <v>9</v>
      </c>
      <c r="U283" s="21">
        <v>4264.74</v>
      </c>
      <c r="V283" s="21">
        <v>0</v>
      </c>
      <c r="W283" s="21">
        <v>0</v>
      </c>
      <c r="X283" s="21">
        <v>0</v>
      </c>
      <c r="Y283" s="21">
        <v>8529.48</v>
      </c>
      <c r="Z283" s="21">
        <v>0</v>
      </c>
      <c r="AA283" s="21" t="s">
        <v>171</v>
      </c>
      <c r="AB283" s="21" t="s">
        <v>168</v>
      </c>
      <c r="AC283" s="21">
        <v>3926908</v>
      </c>
      <c r="AD283" s="21" t="s">
        <v>201</v>
      </c>
      <c r="AE283" s="21">
        <v>1</v>
      </c>
      <c r="AF283" s="21">
        <v>290</v>
      </c>
      <c r="AG283" s="21" t="s">
        <v>202</v>
      </c>
    </row>
    <row r="284" spans="1:33" x14ac:dyDescent="0.25">
      <c r="A284" s="22"/>
      <c r="B284" s="21" t="s">
        <v>1142</v>
      </c>
      <c r="C284" s="21" t="s">
        <v>677</v>
      </c>
      <c r="D284" s="21" t="s">
        <v>1247</v>
      </c>
      <c r="E284" s="21" t="s">
        <v>1151</v>
      </c>
      <c r="F284" s="21" t="s">
        <v>1248</v>
      </c>
      <c r="G284" s="21" t="s">
        <v>1150</v>
      </c>
      <c r="H284" s="21" t="s">
        <v>1132</v>
      </c>
      <c r="I284" s="21" t="s">
        <v>169</v>
      </c>
      <c r="J284" s="21" t="s">
        <v>181</v>
      </c>
      <c r="K284" s="21" t="s">
        <v>154</v>
      </c>
      <c r="L284" s="21" t="s">
        <v>154</v>
      </c>
      <c r="M284" s="21" t="s">
        <v>181</v>
      </c>
      <c r="N284" s="21">
        <v>470</v>
      </c>
      <c r="O284" s="33">
        <v>75388</v>
      </c>
      <c r="P284" s="21" t="s">
        <v>181</v>
      </c>
      <c r="Q284" s="21">
        <v>0</v>
      </c>
      <c r="R284" s="21">
        <v>9</v>
      </c>
      <c r="S284" s="21">
        <v>6784.92</v>
      </c>
      <c r="T284" s="21">
        <v>9</v>
      </c>
      <c r="U284" s="21">
        <v>6784.92</v>
      </c>
      <c r="V284" s="21">
        <v>0</v>
      </c>
      <c r="W284" s="21">
        <v>0</v>
      </c>
      <c r="X284" s="21">
        <v>0</v>
      </c>
      <c r="Y284" s="21">
        <v>13569.84</v>
      </c>
      <c r="Z284" s="21">
        <v>0</v>
      </c>
      <c r="AA284" s="21" t="s">
        <v>171</v>
      </c>
      <c r="AB284" s="21" t="s">
        <v>168</v>
      </c>
      <c r="AC284" s="21">
        <v>3926908</v>
      </c>
      <c r="AD284" s="21" t="s">
        <v>201</v>
      </c>
      <c r="AE284" s="21">
        <v>1</v>
      </c>
      <c r="AF284" s="21">
        <v>470</v>
      </c>
      <c r="AG284" s="21" t="s">
        <v>202</v>
      </c>
    </row>
    <row r="285" spans="1:33" x14ac:dyDescent="0.25">
      <c r="A285" s="22"/>
      <c r="B285" s="21" t="s">
        <v>1142</v>
      </c>
      <c r="C285" s="21" t="s">
        <v>677</v>
      </c>
      <c r="D285" s="21" t="s">
        <v>1247</v>
      </c>
      <c r="E285" s="21" t="s">
        <v>1151</v>
      </c>
      <c r="F285" s="21" t="s">
        <v>1248</v>
      </c>
      <c r="G285" s="21" t="s">
        <v>1150</v>
      </c>
      <c r="H285" s="21" t="s">
        <v>1132</v>
      </c>
      <c r="I285" s="21" t="s">
        <v>169</v>
      </c>
      <c r="J285" s="21" t="s">
        <v>181</v>
      </c>
      <c r="K285" s="21" t="s">
        <v>154</v>
      </c>
      <c r="L285" s="21" t="s">
        <v>154</v>
      </c>
      <c r="M285" s="21" t="s">
        <v>181</v>
      </c>
      <c r="N285" s="33">
        <v>1060</v>
      </c>
      <c r="O285" s="33">
        <v>173204</v>
      </c>
      <c r="P285" s="21" t="s">
        <v>181</v>
      </c>
      <c r="Q285" s="21">
        <v>0</v>
      </c>
      <c r="R285" s="21">
        <v>9</v>
      </c>
      <c r="S285" s="21">
        <v>15588.36</v>
      </c>
      <c r="T285" s="21">
        <v>9</v>
      </c>
      <c r="U285" s="21">
        <v>15588.36</v>
      </c>
      <c r="V285" s="21">
        <v>0</v>
      </c>
      <c r="W285" s="21">
        <v>0</v>
      </c>
      <c r="X285" s="21">
        <v>0</v>
      </c>
      <c r="Y285" s="21">
        <v>31176.720000000001</v>
      </c>
      <c r="Z285" s="21">
        <v>0</v>
      </c>
      <c r="AA285" s="21" t="s">
        <v>171</v>
      </c>
      <c r="AB285" s="21" t="s">
        <v>168</v>
      </c>
      <c r="AC285" s="21">
        <v>3926908</v>
      </c>
      <c r="AD285" s="21" t="s">
        <v>201</v>
      </c>
      <c r="AE285" s="21">
        <v>1</v>
      </c>
      <c r="AF285" s="33">
        <v>1060</v>
      </c>
      <c r="AG285" s="21" t="s">
        <v>202</v>
      </c>
    </row>
    <row r="286" spans="1:33" x14ac:dyDescent="0.25">
      <c r="A286" s="22"/>
      <c r="B286" s="21" t="s">
        <v>1142</v>
      </c>
      <c r="C286" s="21" t="s">
        <v>677</v>
      </c>
      <c r="D286" s="21" t="s">
        <v>1247</v>
      </c>
      <c r="E286" s="21" t="s">
        <v>1151</v>
      </c>
      <c r="F286" s="21" t="s">
        <v>1248</v>
      </c>
      <c r="G286" s="21" t="s">
        <v>1150</v>
      </c>
      <c r="H286" s="21" t="s">
        <v>1132</v>
      </c>
      <c r="I286" s="21" t="s">
        <v>169</v>
      </c>
      <c r="J286" s="21" t="s">
        <v>170</v>
      </c>
      <c r="K286" s="21" t="s">
        <v>157</v>
      </c>
      <c r="L286" s="21" t="s">
        <v>256</v>
      </c>
      <c r="M286" s="21" t="s">
        <v>745</v>
      </c>
      <c r="N286" s="35">
        <v>725</v>
      </c>
      <c r="O286" s="33">
        <v>115565</v>
      </c>
      <c r="P286" s="21" t="s">
        <v>745</v>
      </c>
      <c r="Q286" s="21">
        <v>0</v>
      </c>
      <c r="R286" s="21">
        <v>2.5</v>
      </c>
      <c r="S286" s="21">
        <v>2889.12</v>
      </c>
      <c r="T286" s="21">
        <v>2.5</v>
      </c>
      <c r="U286" s="21">
        <v>2889.12</v>
      </c>
      <c r="V286" s="21">
        <v>0</v>
      </c>
      <c r="W286" s="21">
        <v>0</v>
      </c>
      <c r="X286" s="21">
        <v>0</v>
      </c>
      <c r="Y286" s="21">
        <v>5778.24</v>
      </c>
      <c r="Z286" s="21">
        <v>0</v>
      </c>
      <c r="AA286" s="21" t="s">
        <v>171</v>
      </c>
      <c r="AB286" s="21" t="s">
        <v>168</v>
      </c>
      <c r="AC286" s="21">
        <v>54026930</v>
      </c>
      <c r="AD286" s="21" t="s">
        <v>201</v>
      </c>
      <c r="AE286" s="21">
        <v>1</v>
      </c>
      <c r="AF286" s="21">
        <v>725</v>
      </c>
      <c r="AG286" s="21" t="s">
        <v>202</v>
      </c>
    </row>
    <row r="287" spans="1:33" x14ac:dyDescent="0.25">
      <c r="A287" s="22"/>
      <c r="B287" s="21" t="s">
        <v>1142</v>
      </c>
      <c r="C287" s="21" t="s">
        <v>677</v>
      </c>
      <c r="D287" s="21" t="s">
        <v>1247</v>
      </c>
      <c r="E287" s="21" t="s">
        <v>1151</v>
      </c>
      <c r="F287" s="21" t="s">
        <v>1248</v>
      </c>
      <c r="G287" s="21" t="s">
        <v>1150</v>
      </c>
      <c r="H287" s="21" t="s">
        <v>1132</v>
      </c>
      <c r="I287" s="21" t="s">
        <v>169</v>
      </c>
      <c r="J287" s="21" t="s">
        <v>170</v>
      </c>
      <c r="K287" s="21" t="s">
        <v>157</v>
      </c>
      <c r="L287" s="21" t="s">
        <v>256</v>
      </c>
      <c r="M287" s="21" t="s">
        <v>312</v>
      </c>
      <c r="N287" s="35">
        <v>768</v>
      </c>
      <c r="O287" s="33">
        <v>120115.2</v>
      </c>
      <c r="P287" s="21" t="s">
        <v>312</v>
      </c>
      <c r="Q287" s="21">
        <v>0</v>
      </c>
      <c r="R287" s="21">
        <v>2.5</v>
      </c>
      <c r="S287" s="21">
        <v>3002.88</v>
      </c>
      <c r="T287" s="21">
        <v>2.5</v>
      </c>
      <c r="U287" s="21">
        <v>3002.88</v>
      </c>
      <c r="V287" s="21">
        <v>0</v>
      </c>
      <c r="W287" s="21">
        <v>0</v>
      </c>
      <c r="X287" s="21">
        <v>0</v>
      </c>
      <c r="Y287" s="21">
        <v>6005.76</v>
      </c>
      <c r="Z287" s="21">
        <v>0</v>
      </c>
      <c r="AA287" s="21" t="s">
        <v>171</v>
      </c>
      <c r="AB287" s="21" t="s">
        <v>168</v>
      </c>
      <c r="AC287" s="21">
        <v>54026930</v>
      </c>
      <c r="AD287" s="21" t="s">
        <v>201</v>
      </c>
      <c r="AE287" s="21">
        <v>1</v>
      </c>
      <c r="AF287" s="21">
        <v>768</v>
      </c>
      <c r="AG287" s="21" t="s">
        <v>202</v>
      </c>
    </row>
    <row r="288" spans="1:33" x14ac:dyDescent="0.25">
      <c r="A288" s="22"/>
      <c r="B288" s="21" t="s">
        <v>1142</v>
      </c>
      <c r="C288" s="21" t="s">
        <v>633</v>
      </c>
      <c r="D288" s="21" t="s">
        <v>1247</v>
      </c>
      <c r="E288" s="21" t="s">
        <v>1146</v>
      </c>
      <c r="F288" s="21" t="s">
        <v>1248</v>
      </c>
      <c r="G288" s="21" t="s">
        <v>1145</v>
      </c>
      <c r="H288" s="21" t="s">
        <v>1142</v>
      </c>
      <c r="I288" s="21" t="s">
        <v>169</v>
      </c>
      <c r="J288" s="21" t="s">
        <v>181</v>
      </c>
      <c r="K288" s="21" t="s">
        <v>154</v>
      </c>
      <c r="L288" s="21" t="s">
        <v>154</v>
      </c>
      <c r="M288" s="21" t="s">
        <v>181</v>
      </c>
      <c r="N288" s="21">
        <v>146.9</v>
      </c>
      <c r="O288" s="33">
        <v>21641.31</v>
      </c>
      <c r="P288" s="21" t="s">
        <v>181</v>
      </c>
      <c r="Q288" s="21">
        <v>25515.11</v>
      </c>
      <c r="R288" s="21">
        <v>9</v>
      </c>
      <c r="S288" s="21">
        <v>1947.72</v>
      </c>
      <c r="T288" s="21">
        <v>9</v>
      </c>
      <c r="U288" s="21">
        <v>1947.72</v>
      </c>
      <c r="V288" s="21">
        <v>0</v>
      </c>
      <c r="W288" s="21">
        <v>0</v>
      </c>
      <c r="X288" s="21">
        <v>0</v>
      </c>
      <c r="Y288" s="21">
        <v>3895.44</v>
      </c>
      <c r="Z288" s="21">
        <v>0</v>
      </c>
      <c r="AA288" s="21" t="s">
        <v>176</v>
      </c>
      <c r="AB288" s="21" t="s">
        <v>168</v>
      </c>
      <c r="AC288" s="21">
        <v>3926908</v>
      </c>
      <c r="AD288" s="21" t="s">
        <v>201</v>
      </c>
      <c r="AE288" s="21">
        <v>1</v>
      </c>
      <c r="AF288" s="21">
        <v>146.9</v>
      </c>
      <c r="AG288" s="21" t="s">
        <v>202</v>
      </c>
    </row>
    <row r="289" spans="1:33" x14ac:dyDescent="0.25">
      <c r="A289" s="22"/>
      <c r="B289" s="21" t="s">
        <v>1142</v>
      </c>
      <c r="C289" s="21" t="s">
        <v>633</v>
      </c>
      <c r="D289" s="21" t="s">
        <v>1247</v>
      </c>
      <c r="E289" s="21" t="s">
        <v>1156</v>
      </c>
      <c r="F289" s="21" t="s">
        <v>1248</v>
      </c>
      <c r="G289" s="21" t="s">
        <v>1155</v>
      </c>
      <c r="H289" s="21" t="s">
        <v>1142</v>
      </c>
      <c r="I289" s="21" t="s">
        <v>169</v>
      </c>
      <c r="J289" s="21" t="s">
        <v>179</v>
      </c>
      <c r="K289" s="21" t="s">
        <v>156</v>
      </c>
      <c r="L289" s="21" t="s">
        <v>211</v>
      </c>
      <c r="M289" s="21" t="s">
        <v>178</v>
      </c>
      <c r="N289" s="33">
        <v>1246</v>
      </c>
      <c r="O289" s="33">
        <v>186052.72</v>
      </c>
      <c r="P289" s="21" t="s">
        <v>178</v>
      </c>
      <c r="Q289" s="21">
        <v>582328.02</v>
      </c>
      <c r="R289" s="21">
        <v>9</v>
      </c>
      <c r="S289" s="21">
        <v>16744.740000000002</v>
      </c>
      <c r="T289" s="21">
        <v>9</v>
      </c>
      <c r="U289" s="21">
        <v>16744.740000000002</v>
      </c>
      <c r="V289" s="21">
        <v>0</v>
      </c>
      <c r="W289" s="21">
        <v>0</v>
      </c>
      <c r="X289" s="21">
        <v>0</v>
      </c>
      <c r="Y289" s="21">
        <v>33489.480000000003</v>
      </c>
      <c r="Z289" s="21">
        <v>0</v>
      </c>
      <c r="AA289" s="21" t="s">
        <v>176</v>
      </c>
      <c r="AB289" s="21" t="s">
        <v>168</v>
      </c>
      <c r="AC289" s="21">
        <v>63053300</v>
      </c>
      <c r="AD289" s="21" t="s">
        <v>201</v>
      </c>
      <c r="AE289" s="21">
        <v>1</v>
      </c>
      <c r="AF289" s="33">
        <v>1246</v>
      </c>
      <c r="AG289" s="21" t="s">
        <v>202</v>
      </c>
    </row>
    <row r="290" spans="1:33" x14ac:dyDescent="0.25">
      <c r="A290" s="22"/>
      <c r="B290" s="21" t="s">
        <v>1142</v>
      </c>
      <c r="C290" s="21" t="s">
        <v>633</v>
      </c>
      <c r="D290" s="21" t="s">
        <v>1247</v>
      </c>
      <c r="E290" s="21" t="s">
        <v>1156</v>
      </c>
      <c r="F290" s="21" t="s">
        <v>1248</v>
      </c>
      <c r="G290" s="21" t="s">
        <v>1155</v>
      </c>
      <c r="H290" s="21" t="s">
        <v>1142</v>
      </c>
      <c r="I290" s="21" t="s">
        <v>169</v>
      </c>
      <c r="J290" s="21" t="s">
        <v>179</v>
      </c>
      <c r="K290" s="21" t="s">
        <v>156</v>
      </c>
      <c r="L290" s="21" t="s">
        <v>211</v>
      </c>
      <c r="M290" s="21" t="s">
        <v>178</v>
      </c>
      <c r="N290" s="21">
        <v>480</v>
      </c>
      <c r="O290" s="33">
        <v>83673.600000000006</v>
      </c>
      <c r="P290" s="21" t="s">
        <v>178</v>
      </c>
      <c r="Q290" s="21">
        <v>0</v>
      </c>
      <c r="R290" s="21">
        <v>9</v>
      </c>
      <c r="S290" s="21">
        <v>7530.62</v>
      </c>
      <c r="T290" s="21">
        <v>9</v>
      </c>
      <c r="U290" s="21">
        <v>7530.62</v>
      </c>
      <c r="V290" s="21">
        <v>0</v>
      </c>
      <c r="W290" s="21">
        <v>0</v>
      </c>
      <c r="X290" s="21">
        <v>0</v>
      </c>
      <c r="Y290" s="21">
        <v>15061.24</v>
      </c>
      <c r="Z290" s="21">
        <v>0</v>
      </c>
      <c r="AA290" s="21" t="s">
        <v>176</v>
      </c>
      <c r="AB290" s="21" t="s">
        <v>168</v>
      </c>
      <c r="AC290" s="21">
        <v>63053300</v>
      </c>
      <c r="AD290" s="21" t="s">
        <v>201</v>
      </c>
      <c r="AE290" s="21">
        <v>1</v>
      </c>
      <c r="AF290" s="21">
        <v>480</v>
      </c>
      <c r="AG290" s="21" t="s">
        <v>202</v>
      </c>
    </row>
    <row r="291" spans="1:33" x14ac:dyDescent="0.25">
      <c r="A291" s="22"/>
      <c r="B291" s="21" t="s">
        <v>1142</v>
      </c>
      <c r="C291" s="21" t="s">
        <v>633</v>
      </c>
      <c r="D291" s="21" t="s">
        <v>1247</v>
      </c>
      <c r="E291" s="21" t="s">
        <v>1156</v>
      </c>
      <c r="F291" s="21" t="s">
        <v>1248</v>
      </c>
      <c r="G291" s="21" t="s">
        <v>1155</v>
      </c>
      <c r="H291" s="21" t="s">
        <v>1142</v>
      </c>
      <c r="I291" s="21" t="s">
        <v>169</v>
      </c>
      <c r="J291" s="21" t="s">
        <v>179</v>
      </c>
      <c r="K291" s="21" t="s">
        <v>155</v>
      </c>
      <c r="L291" s="21" t="s">
        <v>203</v>
      </c>
      <c r="M291" s="21" t="s">
        <v>183</v>
      </c>
      <c r="N291" s="21">
        <v>550</v>
      </c>
      <c r="O291" s="33">
        <v>78276</v>
      </c>
      <c r="P291" s="21" t="s">
        <v>183</v>
      </c>
      <c r="Q291" s="21">
        <v>0</v>
      </c>
      <c r="R291" s="21">
        <v>9</v>
      </c>
      <c r="S291" s="21">
        <v>7044.84</v>
      </c>
      <c r="T291" s="21">
        <v>9</v>
      </c>
      <c r="U291" s="21">
        <v>7044.84</v>
      </c>
      <c r="V291" s="21">
        <v>0</v>
      </c>
      <c r="W291" s="21">
        <v>0</v>
      </c>
      <c r="X291" s="21">
        <v>0</v>
      </c>
      <c r="Y291" s="21">
        <v>14089.68</v>
      </c>
      <c r="Z291" s="21">
        <v>0</v>
      </c>
      <c r="AA291" s="21" t="s">
        <v>176</v>
      </c>
      <c r="AB291" s="21" t="s">
        <v>168</v>
      </c>
      <c r="AC291" s="21">
        <v>39269080</v>
      </c>
      <c r="AD291" s="21" t="s">
        <v>201</v>
      </c>
      <c r="AE291" s="21">
        <v>1</v>
      </c>
      <c r="AF291" s="21">
        <v>550</v>
      </c>
      <c r="AG291" s="21" t="s">
        <v>202</v>
      </c>
    </row>
    <row r="292" spans="1:33" x14ac:dyDescent="0.25">
      <c r="A292" s="22"/>
      <c r="B292" s="21" t="s">
        <v>1142</v>
      </c>
      <c r="C292" s="21" t="s">
        <v>633</v>
      </c>
      <c r="D292" s="21" t="s">
        <v>1247</v>
      </c>
      <c r="E292" s="21" t="s">
        <v>1156</v>
      </c>
      <c r="F292" s="21" t="s">
        <v>1248</v>
      </c>
      <c r="G292" s="21" t="s">
        <v>1155</v>
      </c>
      <c r="H292" s="21" t="s">
        <v>1142</v>
      </c>
      <c r="I292" s="21" t="s">
        <v>169</v>
      </c>
      <c r="J292" s="21" t="s">
        <v>181</v>
      </c>
      <c r="K292" s="21" t="s">
        <v>154</v>
      </c>
      <c r="L292" s="21" t="s">
        <v>154</v>
      </c>
      <c r="M292" s="21" t="s">
        <v>181</v>
      </c>
      <c r="N292" s="21">
        <v>112.8</v>
      </c>
      <c r="O292" s="33">
        <v>18648.09</v>
      </c>
      <c r="P292" s="21" t="s">
        <v>181</v>
      </c>
      <c r="Q292" s="21">
        <v>0</v>
      </c>
      <c r="R292" s="21">
        <v>9</v>
      </c>
      <c r="S292" s="21">
        <v>1678.33</v>
      </c>
      <c r="T292" s="21">
        <v>9</v>
      </c>
      <c r="U292" s="21">
        <v>1678.33</v>
      </c>
      <c r="V292" s="21">
        <v>0</v>
      </c>
      <c r="W292" s="21">
        <v>0</v>
      </c>
      <c r="X292" s="21">
        <v>0</v>
      </c>
      <c r="Y292" s="21">
        <v>3356.66</v>
      </c>
      <c r="Z292" s="21">
        <v>0</v>
      </c>
      <c r="AA292" s="21" t="s">
        <v>176</v>
      </c>
      <c r="AB292" s="21" t="s">
        <v>168</v>
      </c>
      <c r="AC292" s="21">
        <v>3926908</v>
      </c>
      <c r="AD292" s="21" t="s">
        <v>201</v>
      </c>
      <c r="AE292" s="21">
        <v>1</v>
      </c>
      <c r="AF292" s="21">
        <v>112.8</v>
      </c>
      <c r="AG292" s="21" t="s">
        <v>202</v>
      </c>
    </row>
    <row r="293" spans="1:33" x14ac:dyDescent="0.25">
      <c r="A293" s="22"/>
      <c r="B293" s="21" t="s">
        <v>1142</v>
      </c>
      <c r="C293" s="21" t="s">
        <v>633</v>
      </c>
      <c r="D293" s="21" t="s">
        <v>1247</v>
      </c>
      <c r="E293" s="21" t="s">
        <v>1156</v>
      </c>
      <c r="F293" s="21" t="s">
        <v>1248</v>
      </c>
      <c r="G293" s="21" t="s">
        <v>1155</v>
      </c>
      <c r="H293" s="21" t="s">
        <v>1142</v>
      </c>
      <c r="I293" s="21" t="s">
        <v>169</v>
      </c>
      <c r="J293" s="21" t="s">
        <v>181</v>
      </c>
      <c r="K293" s="21" t="s">
        <v>154</v>
      </c>
      <c r="L293" s="21" t="s">
        <v>154</v>
      </c>
      <c r="M293" s="21" t="s">
        <v>181</v>
      </c>
      <c r="N293" s="21">
        <v>405.8</v>
      </c>
      <c r="O293" s="33">
        <v>59782.45</v>
      </c>
      <c r="P293" s="21" t="s">
        <v>181</v>
      </c>
      <c r="Q293" s="21">
        <v>0</v>
      </c>
      <c r="R293" s="21">
        <v>9</v>
      </c>
      <c r="S293" s="21">
        <v>5380.42</v>
      </c>
      <c r="T293" s="21">
        <v>9</v>
      </c>
      <c r="U293" s="21">
        <v>5380.42</v>
      </c>
      <c r="V293" s="21">
        <v>0</v>
      </c>
      <c r="W293" s="21">
        <v>0</v>
      </c>
      <c r="X293" s="21">
        <v>0</v>
      </c>
      <c r="Y293" s="21">
        <v>10760.84</v>
      </c>
      <c r="Z293" s="21">
        <v>0</v>
      </c>
      <c r="AA293" s="21" t="s">
        <v>176</v>
      </c>
      <c r="AB293" s="21" t="s">
        <v>168</v>
      </c>
      <c r="AC293" s="21">
        <v>3926908</v>
      </c>
      <c r="AD293" s="21" t="s">
        <v>201</v>
      </c>
      <c r="AE293" s="21">
        <v>1</v>
      </c>
      <c r="AF293" s="21">
        <v>405.8</v>
      </c>
      <c r="AG293" s="21" t="s">
        <v>202</v>
      </c>
    </row>
    <row r="294" spans="1:33" x14ac:dyDescent="0.25">
      <c r="A294" s="22"/>
      <c r="B294" s="21" t="s">
        <v>1142</v>
      </c>
      <c r="C294" s="21" t="s">
        <v>633</v>
      </c>
      <c r="D294" s="21" t="s">
        <v>1247</v>
      </c>
      <c r="E294" s="21" t="s">
        <v>1156</v>
      </c>
      <c r="F294" s="21" t="s">
        <v>1248</v>
      </c>
      <c r="G294" s="21" t="s">
        <v>1155</v>
      </c>
      <c r="H294" s="21" t="s">
        <v>1142</v>
      </c>
      <c r="I294" s="21" t="s">
        <v>169</v>
      </c>
      <c r="J294" s="21" t="s">
        <v>181</v>
      </c>
      <c r="K294" s="21" t="s">
        <v>154</v>
      </c>
      <c r="L294" s="21" t="s">
        <v>154</v>
      </c>
      <c r="M294" s="21" t="s">
        <v>181</v>
      </c>
      <c r="N294" s="21">
        <v>467.6</v>
      </c>
      <c r="O294" s="33">
        <v>67484.05</v>
      </c>
      <c r="P294" s="21" t="s">
        <v>181</v>
      </c>
      <c r="Q294" s="21">
        <v>0</v>
      </c>
      <c r="R294" s="21">
        <v>9</v>
      </c>
      <c r="S294" s="21">
        <v>6073.56</v>
      </c>
      <c r="T294" s="21">
        <v>9</v>
      </c>
      <c r="U294" s="21">
        <v>6073.56</v>
      </c>
      <c r="V294" s="21">
        <v>0</v>
      </c>
      <c r="W294" s="21">
        <v>0</v>
      </c>
      <c r="X294" s="21">
        <v>0</v>
      </c>
      <c r="Y294" s="21">
        <v>12147.12</v>
      </c>
      <c r="Z294" s="21">
        <v>0</v>
      </c>
      <c r="AA294" s="21" t="s">
        <v>176</v>
      </c>
      <c r="AB294" s="21" t="s">
        <v>168</v>
      </c>
      <c r="AC294" s="21">
        <v>3926908</v>
      </c>
      <c r="AD294" s="21" t="s">
        <v>201</v>
      </c>
      <c r="AE294" s="21">
        <v>1</v>
      </c>
      <c r="AF294" s="21">
        <v>467.6</v>
      </c>
      <c r="AG294" s="21" t="s">
        <v>202</v>
      </c>
    </row>
    <row r="295" spans="1:33" x14ac:dyDescent="0.25">
      <c r="A295" s="22"/>
      <c r="B295" s="21" t="s">
        <v>1142</v>
      </c>
      <c r="C295" s="21" t="s">
        <v>633</v>
      </c>
      <c r="D295" s="21" t="s">
        <v>1247</v>
      </c>
      <c r="E295" s="21" t="s">
        <v>1159</v>
      </c>
      <c r="F295" s="21" t="s">
        <v>1248</v>
      </c>
      <c r="G295" s="21" t="s">
        <v>1158</v>
      </c>
      <c r="H295" s="21" t="s">
        <v>1142</v>
      </c>
      <c r="I295" s="21" t="s">
        <v>169</v>
      </c>
      <c r="J295" s="21" t="s">
        <v>193</v>
      </c>
      <c r="K295" s="21" t="s">
        <v>161</v>
      </c>
      <c r="L295" s="21" t="s">
        <v>256</v>
      </c>
      <c r="M295" s="21" t="s">
        <v>161</v>
      </c>
      <c r="N295" s="21">
        <v>702</v>
      </c>
      <c r="O295" s="33">
        <v>92888.639999999999</v>
      </c>
      <c r="P295" s="21" t="s">
        <v>161</v>
      </c>
      <c r="Q295" s="21">
        <v>109515.71</v>
      </c>
      <c r="R295" s="21">
        <v>9</v>
      </c>
      <c r="S295" s="21">
        <v>8359.98</v>
      </c>
      <c r="T295" s="21">
        <v>9</v>
      </c>
      <c r="U295" s="21">
        <v>8359.98</v>
      </c>
      <c r="V295" s="21">
        <v>0</v>
      </c>
      <c r="W295" s="21">
        <v>0</v>
      </c>
      <c r="X295" s="21">
        <v>0</v>
      </c>
      <c r="Y295" s="21">
        <v>16719.96</v>
      </c>
      <c r="Z295" s="21">
        <v>0</v>
      </c>
      <c r="AA295" s="21" t="s">
        <v>176</v>
      </c>
      <c r="AB295" s="21" t="s">
        <v>168</v>
      </c>
      <c r="AC295" s="21">
        <v>39199090</v>
      </c>
      <c r="AD295" s="21" t="s">
        <v>201</v>
      </c>
      <c r="AE295" s="21">
        <v>1</v>
      </c>
      <c r="AF295" s="21">
        <v>702</v>
      </c>
      <c r="AG295" s="21" t="s">
        <v>202</v>
      </c>
    </row>
    <row r="296" spans="1:33" x14ac:dyDescent="0.25">
      <c r="A296" s="22"/>
      <c r="B296" s="21" t="s">
        <v>1161</v>
      </c>
      <c r="C296" s="21" t="s">
        <v>663</v>
      </c>
      <c r="D296" s="21" t="s">
        <v>1247</v>
      </c>
      <c r="E296" s="21" t="s">
        <v>1166</v>
      </c>
      <c r="F296" s="21" t="s">
        <v>1248</v>
      </c>
      <c r="G296" s="21" t="s">
        <v>1165</v>
      </c>
      <c r="H296" s="21" t="s">
        <v>1142</v>
      </c>
      <c r="I296" s="21" t="s">
        <v>169</v>
      </c>
      <c r="J296" s="21" t="s">
        <v>179</v>
      </c>
      <c r="K296" s="21" t="s">
        <v>155</v>
      </c>
      <c r="L296" s="21" t="s">
        <v>203</v>
      </c>
      <c r="M296" s="21" t="s">
        <v>183</v>
      </c>
      <c r="N296" s="33">
        <v>3922</v>
      </c>
      <c r="O296" s="33">
        <v>613753.78</v>
      </c>
      <c r="P296" s="21" t="s">
        <v>183</v>
      </c>
      <c r="Q296" s="21">
        <v>723615.71</v>
      </c>
      <c r="R296" s="21">
        <v>9</v>
      </c>
      <c r="S296" s="21">
        <v>55237.84</v>
      </c>
      <c r="T296" s="21">
        <v>9</v>
      </c>
      <c r="U296" s="21">
        <v>55237.84</v>
      </c>
      <c r="V296" s="21">
        <v>0</v>
      </c>
      <c r="W296" s="21">
        <v>0</v>
      </c>
      <c r="X296" s="21">
        <v>0</v>
      </c>
      <c r="Y296" s="21">
        <v>110475.68</v>
      </c>
      <c r="Z296" s="21">
        <v>0</v>
      </c>
      <c r="AA296" s="21" t="s">
        <v>185</v>
      </c>
      <c r="AB296" s="21" t="s">
        <v>168</v>
      </c>
      <c r="AC296" s="21">
        <v>39269080</v>
      </c>
      <c r="AD296" s="21" t="s">
        <v>201</v>
      </c>
      <c r="AE296" s="21">
        <v>1</v>
      </c>
      <c r="AF296" s="33">
        <v>3922</v>
      </c>
      <c r="AG296" s="21" t="s">
        <v>202</v>
      </c>
    </row>
    <row r="297" spans="1:33" x14ac:dyDescent="0.25">
      <c r="A297" s="22"/>
      <c r="B297" s="21" t="s">
        <v>1161</v>
      </c>
      <c r="C297" s="21" t="s">
        <v>663</v>
      </c>
      <c r="D297" s="21" t="s">
        <v>1247</v>
      </c>
      <c r="E297" s="21" t="s">
        <v>1170</v>
      </c>
      <c r="F297" s="21" t="s">
        <v>1248</v>
      </c>
      <c r="G297" s="21" t="s">
        <v>1169</v>
      </c>
      <c r="H297" s="21" t="s">
        <v>1142</v>
      </c>
      <c r="I297" s="21" t="s">
        <v>188</v>
      </c>
      <c r="J297" s="21" t="s">
        <v>286</v>
      </c>
      <c r="K297" s="21" t="s">
        <v>287</v>
      </c>
      <c r="L297" s="21" t="s">
        <v>203</v>
      </c>
      <c r="M297" s="21" t="s">
        <v>288</v>
      </c>
      <c r="N297" s="33">
        <v>1907</v>
      </c>
      <c r="O297" s="33">
        <v>418796.27</v>
      </c>
      <c r="P297" s="21" t="s">
        <v>288</v>
      </c>
      <c r="Q297" s="21">
        <v>493760.79</v>
      </c>
      <c r="R297" s="21">
        <v>9</v>
      </c>
      <c r="S297" s="21">
        <v>37691.660000000003</v>
      </c>
      <c r="T297" s="21">
        <v>9</v>
      </c>
      <c r="U297" s="21">
        <v>37691.660000000003</v>
      </c>
      <c r="V297" s="21">
        <v>0</v>
      </c>
      <c r="W297" s="21">
        <v>0</v>
      </c>
      <c r="X297" s="21">
        <v>0</v>
      </c>
      <c r="Y297" s="21">
        <v>75383.320000000007</v>
      </c>
      <c r="Z297" s="21">
        <v>0</v>
      </c>
      <c r="AA297" s="21" t="s">
        <v>185</v>
      </c>
      <c r="AB297" s="21" t="s">
        <v>168</v>
      </c>
      <c r="AC297" s="21">
        <v>39232990</v>
      </c>
      <c r="AD297" s="21" t="s">
        <v>201</v>
      </c>
      <c r="AE297" s="21">
        <v>1</v>
      </c>
      <c r="AF297" s="33">
        <v>1907</v>
      </c>
      <c r="AG297" s="21" t="s">
        <v>202</v>
      </c>
    </row>
    <row r="298" spans="1:33" x14ac:dyDescent="0.25">
      <c r="A298" s="22"/>
      <c r="B298" s="21" t="s">
        <v>1161</v>
      </c>
      <c r="C298" s="21" t="s">
        <v>663</v>
      </c>
      <c r="D298" s="21" t="s">
        <v>1247</v>
      </c>
      <c r="E298" s="21" t="s">
        <v>1190</v>
      </c>
      <c r="F298" s="21" t="s">
        <v>1248</v>
      </c>
      <c r="G298" s="21" t="s">
        <v>1189</v>
      </c>
      <c r="H298" s="21" t="s">
        <v>1067</v>
      </c>
      <c r="I298" s="21" t="s">
        <v>169</v>
      </c>
      <c r="J298" s="21" t="s">
        <v>175</v>
      </c>
      <c r="K298" s="21" t="s">
        <v>159</v>
      </c>
      <c r="L298" s="21" t="s">
        <v>159</v>
      </c>
      <c r="M298" s="21" t="s">
        <v>173</v>
      </c>
      <c r="N298" s="33">
        <v>1093</v>
      </c>
      <c r="O298" s="33">
        <v>186848.35</v>
      </c>
      <c r="P298" s="21" t="s">
        <v>173</v>
      </c>
      <c r="Q298" s="21">
        <v>220294.2</v>
      </c>
      <c r="R298" s="21">
        <v>9</v>
      </c>
      <c r="S298" s="21">
        <v>16816.349999999999</v>
      </c>
      <c r="T298" s="21">
        <v>9</v>
      </c>
      <c r="U298" s="21">
        <v>16816.349999999999</v>
      </c>
      <c r="V298" s="21">
        <v>0</v>
      </c>
      <c r="W298" s="21">
        <v>0</v>
      </c>
      <c r="X298" s="21">
        <v>0</v>
      </c>
      <c r="Y298" s="21">
        <v>33632.699999999997</v>
      </c>
      <c r="Z298" s="21">
        <v>0</v>
      </c>
      <c r="AA298" s="21" t="s">
        <v>185</v>
      </c>
      <c r="AB298" s="21" t="s">
        <v>168</v>
      </c>
      <c r="AC298" s="21">
        <v>39200000</v>
      </c>
      <c r="AD298" s="21" t="s">
        <v>201</v>
      </c>
      <c r="AE298" s="21">
        <v>1</v>
      </c>
      <c r="AF298" s="33">
        <v>1093</v>
      </c>
      <c r="AG298" s="21" t="s">
        <v>202</v>
      </c>
    </row>
    <row r="299" spans="1:33" x14ac:dyDescent="0.25">
      <c r="A299" s="22"/>
      <c r="B299" s="21" t="s">
        <v>1161</v>
      </c>
      <c r="C299" s="21" t="s">
        <v>677</v>
      </c>
      <c r="D299" s="21" t="s">
        <v>1247</v>
      </c>
      <c r="E299" s="21" t="s">
        <v>1174</v>
      </c>
      <c r="F299" s="21" t="s">
        <v>1248</v>
      </c>
      <c r="G299" s="21" t="s">
        <v>1173</v>
      </c>
      <c r="H299" s="21" t="s">
        <v>1142</v>
      </c>
      <c r="I299" s="21" t="s">
        <v>188</v>
      </c>
      <c r="J299" s="21" t="s">
        <v>152</v>
      </c>
      <c r="K299" s="21" t="s">
        <v>152</v>
      </c>
      <c r="L299" s="21" t="s">
        <v>200</v>
      </c>
      <c r="M299" s="21" t="s">
        <v>187</v>
      </c>
      <c r="N299" s="33">
        <v>2115</v>
      </c>
      <c r="O299" s="33">
        <v>492075.9</v>
      </c>
      <c r="P299" s="21" t="s">
        <v>187</v>
      </c>
      <c r="Q299" s="21">
        <v>2304090.66</v>
      </c>
      <c r="R299" s="21">
        <v>9</v>
      </c>
      <c r="S299" s="21">
        <v>44286.83</v>
      </c>
      <c r="T299" s="21">
        <v>9</v>
      </c>
      <c r="U299" s="21">
        <v>44286.83</v>
      </c>
      <c r="V299" s="21">
        <v>0</v>
      </c>
      <c r="W299" s="21">
        <v>0</v>
      </c>
      <c r="X299" s="21">
        <v>0</v>
      </c>
      <c r="Y299" s="21">
        <v>88573.66</v>
      </c>
      <c r="Z299" s="21">
        <v>0</v>
      </c>
      <c r="AA299" s="21" t="s">
        <v>171</v>
      </c>
      <c r="AB299" s="21" t="s">
        <v>168</v>
      </c>
      <c r="AC299" s="21">
        <v>63053200</v>
      </c>
      <c r="AD299" s="21" t="s">
        <v>201</v>
      </c>
      <c r="AE299" s="21">
        <v>1</v>
      </c>
      <c r="AF299" s="33">
        <v>2115</v>
      </c>
      <c r="AG299" s="21" t="s">
        <v>202</v>
      </c>
    </row>
    <row r="300" spans="1:33" x14ac:dyDescent="0.25">
      <c r="A300" s="22"/>
      <c r="B300" s="21" t="s">
        <v>1161</v>
      </c>
      <c r="C300" s="21" t="s">
        <v>677</v>
      </c>
      <c r="D300" s="21" t="s">
        <v>1247</v>
      </c>
      <c r="E300" s="21" t="s">
        <v>1174</v>
      </c>
      <c r="F300" s="21" t="s">
        <v>1248</v>
      </c>
      <c r="G300" s="21" t="s">
        <v>1173</v>
      </c>
      <c r="H300" s="21" t="s">
        <v>1142</v>
      </c>
      <c r="I300" s="21" t="s">
        <v>188</v>
      </c>
      <c r="J300" s="21" t="s">
        <v>152</v>
      </c>
      <c r="K300" s="21" t="s">
        <v>152</v>
      </c>
      <c r="L300" s="21" t="s">
        <v>200</v>
      </c>
      <c r="M300" s="21" t="s">
        <v>187</v>
      </c>
      <c r="N300" s="33">
        <v>5717.3</v>
      </c>
      <c r="O300" s="33">
        <v>1462199.48</v>
      </c>
      <c r="P300" s="21" t="s">
        <v>187</v>
      </c>
      <c r="Q300" s="21">
        <v>0</v>
      </c>
      <c r="R300" s="21">
        <v>9</v>
      </c>
      <c r="S300" s="21">
        <v>131597.95000000001</v>
      </c>
      <c r="T300" s="21">
        <v>9</v>
      </c>
      <c r="U300" s="21">
        <v>131597.95000000001</v>
      </c>
      <c r="V300" s="21">
        <v>0</v>
      </c>
      <c r="W300" s="21">
        <v>0</v>
      </c>
      <c r="X300" s="21">
        <v>0</v>
      </c>
      <c r="Y300" s="21">
        <v>263195.90000000002</v>
      </c>
      <c r="Z300" s="21">
        <v>0</v>
      </c>
      <c r="AA300" s="21" t="s">
        <v>171</v>
      </c>
      <c r="AB300" s="21" t="s">
        <v>168</v>
      </c>
      <c r="AC300" s="21">
        <v>63053200</v>
      </c>
      <c r="AD300" s="21" t="s">
        <v>201</v>
      </c>
      <c r="AE300" s="21">
        <v>1</v>
      </c>
      <c r="AF300" s="33">
        <v>5717.3</v>
      </c>
      <c r="AG300" s="21" t="s">
        <v>202</v>
      </c>
    </row>
    <row r="301" spans="1:33" x14ac:dyDescent="0.25">
      <c r="A301" s="22"/>
      <c r="B301" s="21" t="s">
        <v>1161</v>
      </c>
      <c r="C301" s="21" t="s">
        <v>633</v>
      </c>
      <c r="D301" s="21" t="s">
        <v>1247</v>
      </c>
      <c r="E301" s="21" t="s">
        <v>1178</v>
      </c>
      <c r="F301" s="21" t="s">
        <v>1248</v>
      </c>
      <c r="G301" s="21" t="s">
        <v>1177</v>
      </c>
      <c r="H301" s="21" t="s">
        <v>1161</v>
      </c>
      <c r="I301" s="21" t="s">
        <v>169</v>
      </c>
      <c r="J301" s="21" t="s">
        <v>193</v>
      </c>
      <c r="K301" s="21" t="s">
        <v>161</v>
      </c>
      <c r="L301" s="21" t="s">
        <v>256</v>
      </c>
      <c r="M301" s="21" t="s">
        <v>161</v>
      </c>
      <c r="N301" s="21">
        <v>770</v>
      </c>
      <c r="O301" s="33">
        <v>101886.39999999999</v>
      </c>
      <c r="P301" s="21" t="s">
        <v>161</v>
      </c>
      <c r="Q301" s="21">
        <v>120124.07</v>
      </c>
      <c r="R301" s="21">
        <v>9</v>
      </c>
      <c r="S301" s="21">
        <v>9169.7800000000007</v>
      </c>
      <c r="T301" s="21">
        <v>9</v>
      </c>
      <c r="U301" s="21">
        <v>9169.7800000000007</v>
      </c>
      <c r="V301" s="21">
        <v>0</v>
      </c>
      <c r="W301" s="21">
        <v>0</v>
      </c>
      <c r="X301" s="21">
        <v>0</v>
      </c>
      <c r="Y301" s="21">
        <v>18339.560000000001</v>
      </c>
      <c r="Z301" s="21">
        <v>0</v>
      </c>
      <c r="AA301" s="21" t="s">
        <v>176</v>
      </c>
      <c r="AB301" s="21" t="s">
        <v>168</v>
      </c>
      <c r="AC301" s="21">
        <v>39199090</v>
      </c>
      <c r="AD301" s="21" t="s">
        <v>201</v>
      </c>
      <c r="AE301" s="21">
        <v>1</v>
      </c>
      <c r="AF301" s="21">
        <v>770</v>
      </c>
      <c r="AG301" s="21" t="s">
        <v>202</v>
      </c>
    </row>
    <row r="302" spans="1:33" x14ac:dyDescent="0.25">
      <c r="A302" s="22"/>
      <c r="B302" s="21" t="s">
        <v>1161</v>
      </c>
      <c r="C302" s="21" t="s">
        <v>633</v>
      </c>
      <c r="D302" s="21" t="s">
        <v>1252</v>
      </c>
      <c r="E302" s="21" t="s">
        <v>1182</v>
      </c>
      <c r="F302" s="21" t="s">
        <v>1248</v>
      </c>
      <c r="G302" s="21" t="s">
        <v>1181</v>
      </c>
      <c r="H302" s="21" t="s">
        <v>1161</v>
      </c>
      <c r="I302" s="21" t="s">
        <v>639</v>
      </c>
      <c r="J302" s="21" t="s">
        <v>648</v>
      </c>
      <c r="K302" s="21" t="s">
        <v>164</v>
      </c>
      <c r="L302" s="21" t="s">
        <v>1251</v>
      </c>
      <c r="M302" s="21" t="s">
        <v>797</v>
      </c>
      <c r="N302" s="33">
        <v>3000</v>
      </c>
      <c r="O302" s="33">
        <v>121500</v>
      </c>
      <c r="P302" s="21" t="s">
        <v>797</v>
      </c>
      <c r="Q302" s="21">
        <v>143248.5</v>
      </c>
      <c r="R302" s="21">
        <v>9</v>
      </c>
      <c r="S302" s="21">
        <v>10935</v>
      </c>
      <c r="T302" s="21">
        <v>9</v>
      </c>
      <c r="U302" s="21">
        <v>10935</v>
      </c>
      <c r="V302" s="21">
        <v>0</v>
      </c>
      <c r="W302" s="21">
        <v>0</v>
      </c>
      <c r="X302" s="21">
        <v>0</v>
      </c>
      <c r="Y302" s="21">
        <v>21870</v>
      </c>
      <c r="Z302" s="21">
        <v>0</v>
      </c>
      <c r="AA302" s="21" t="s">
        <v>176</v>
      </c>
      <c r="AB302" s="21" t="s">
        <v>168</v>
      </c>
      <c r="AC302" s="21">
        <v>32041990</v>
      </c>
      <c r="AD302" s="21" t="s">
        <v>201</v>
      </c>
      <c r="AE302" s="21">
        <v>1</v>
      </c>
      <c r="AF302" s="33">
        <v>3000</v>
      </c>
      <c r="AG302" s="21" t="s">
        <v>202</v>
      </c>
    </row>
    <row r="303" spans="1:33" x14ac:dyDescent="0.25">
      <c r="A303" s="22"/>
      <c r="B303" s="21" t="s">
        <v>1161</v>
      </c>
      <c r="C303" s="21" t="s">
        <v>633</v>
      </c>
      <c r="D303" s="21" t="s">
        <v>1247</v>
      </c>
      <c r="E303" s="21" t="s">
        <v>1186</v>
      </c>
      <c r="F303" s="21" t="s">
        <v>1248</v>
      </c>
      <c r="G303" s="21" t="s">
        <v>1185</v>
      </c>
      <c r="H303" s="21" t="s">
        <v>1161</v>
      </c>
      <c r="I303" s="21" t="s">
        <v>169</v>
      </c>
      <c r="J303" s="21" t="s">
        <v>179</v>
      </c>
      <c r="K303" s="21" t="s">
        <v>156</v>
      </c>
      <c r="L303" s="21" t="s">
        <v>211</v>
      </c>
      <c r="M303" s="21" t="s">
        <v>178</v>
      </c>
      <c r="N303" s="33">
        <v>3477</v>
      </c>
      <c r="O303" s="33">
        <v>519185.64</v>
      </c>
      <c r="P303" s="21" t="s">
        <v>178</v>
      </c>
      <c r="Q303" s="21">
        <v>787874.13</v>
      </c>
      <c r="R303" s="21">
        <v>9</v>
      </c>
      <c r="S303" s="21">
        <v>46726.71</v>
      </c>
      <c r="T303" s="21">
        <v>9</v>
      </c>
      <c r="U303" s="21">
        <v>46726.71</v>
      </c>
      <c r="V303" s="21">
        <v>0</v>
      </c>
      <c r="W303" s="21">
        <v>0</v>
      </c>
      <c r="X303" s="21">
        <v>0</v>
      </c>
      <c r="Y303" s="21">
        <v>93453.42</v>
      </c>
      <c r="Z303" s="21">
        <v>0</v>
      </c>
      <c r="AA303" s="21" t="s">
        <v>176</v>
      </c>
      <c r="AB303" s="21" t="s">
        <v>168</v>
      </c>
      <c r="AC303" s="21">
        <v>63053300</v>
      </c>
      <c r="AD303" s="21" t="s">
        <v>201</v>
      </c>
      <c r="AE303" s="21">
        <v>1</v>
      </c>
      <c r="AF303" s="33">
        <v>3477</v>
      </c>
      <c r="AG303" s="21" t="s">
        <v>202</v>
      </c>
    </row>
    <row r="304" spans="1:33" x14ac:dyDescent="0.25">
      <c r="A304" s="22"/>
      <c r="B304" s="21" t="s">
        <v>1161</v>
      </c>
      <c r="C304" s="21" t="s">
        <v>633</v>
      </c>
      <c r="D304" s="21" t="s">
        <v>1247</v>
      </c>
      <c r="E304" s="21" t="s">
        <v>1186</v>
      </c>
      <c r="F304" s="21" t="s">
        <v>1248</v>
      </c>
      <c r="G304" s="21" t="s">
        <v>1185</v>
      </c>
      <c r="H304" s="21" t="s">
        <v>1161</v>
      </c>
      <c r="I304" s="21" t="s">
        <v>169</v>
      </c>
      <c r="J304" s="21" t="s">
        <v>181</v>
      </c>
      <c r="K304" s="21" t="s">
        <v>154</v>
      </c>
      <c r="L304" s="21" t="s">
        <v>154</v>
      </c>
      <c r="M304" s="21" t="s">
        <v>181</v>
      </c>
      <c r="N304" s="21">
        <v>201.2</v>
      </c>
      <c r="O304" s="33">
        <v>33262.379999999997</v>
      </c>
      <c r="P304" s="21" t="s">
        <v>181</v>
      </c>
      <c r="Q304" s="21">
        <v>0</v>
      </c>
      <c r="R304" s="21">
        <v>9</v>
      </c>
      <c r="S304" s="21">
        <v>2993.61</v>
      </c>
      <c r="T304" s="21">
        <v>9</v>
      </c>
      <c r="U304" s="21">
        <v>2993.61</v>
      </c>
      <c r="V304" s="21">
        <v>0</v>
      </c>
      <c r="W304" s="21">
        <v>0</v>
      </c>
      <c r="X304" s="21">
        <v>0</v>
      </c>
      <c r="Y304" s="21">
        <v>5987.22</v>
      </c>
      <c r="Z304" s="21">
        <v>0</v>
      </c>
      <c r="AA304" s="21" t="s">
        <v>176</v>
      </c>
      <c r="AB304" s="21" t="s">
        <v>168</v>
      </c>
      <c r="AC304" s="21">
        <v>3926908</v>
      </c>
      <c r="AD304" s="21" t="s">
        <v>201</v>
      </c>
      <c r="AE304" s="21">
        <v>1</v>
      </c>
      <c r="AF304" s="21">
        <v>201.2</v>
      </c>
      <c r="AG304" s="21" t="s">
        <v>202</v>
      </c>
    </row>
    <row r="305" spans="1:33" x14ac:dyDescent="0.25">
      <c r="A305" s="22"/>
      <c r="B305" s="21" t="s">
        <v>1161</v>
      </c>
      <c r="C305" s="21" t="s">
        <v>633</v>
      </c>
      <c r="D305" s="21" t="s">
        <v>1247</v>
      </c>
      <c r="E305" s="21" t="s">
        <v>1186</v>
      </c>
      <c r="F305" s="21" t="s">
        <v>1248</v>
      </c>
      <c r="G305" s="21" t="s">
        <v>1185</v>
      </c>
      <c r="H305" s="21" t="s">
        <v>1161</v>
      </c>
      <c r="I305" s="21" t="s">
        <v>169</v>
      </c>
      <c r="J305" s="21" t="s">
        <v>181</v>
      </c>
      <c r="K305" s="21" t="s">
        <v>154</v>
      </c>
      <c r="L305" s="21" t="s">
        <v>154</v>
      </c>
      <c r="M305" s="21" t="s">
        <v>181</v>
      </c>
      <c r="N305" s="21">
        <v>786.1</v>
      </c>
      <c r="O305" s="33">
        <v>115808.25</v>
      </c>
      <c r="P305" s="21" t="s">
        <v>181</v>
      </c>
      <c r="Q305" s="21">
        <v>0</v>
      </c>
      <c r="R305" s="21">
        <v>9</v>
      </c>
      <c r="S305" s="21">
        <v>10422.74</v>
      </c>
      <c r="T305" s="21">
        <v>9</v>
      </c>
      <c r="U305" s="21">
        <v>10422.74</v>
      </c>
      <c r="V305" s="21">
        <v>0</v>
      </c>
      <c r="W305" s="21">
        <v>0</v>
      </c>
      <c r="X305" s="21">
        <v>0</v>
      </c>
      <c r="Y305" s="21">
        <v>20845.48</v>
      </c>
      <c r="Z305" s="21">
        <v>0</v>
      </c>
      <c r="AA305" s="21" t="s">
        <v>176</v>
      </c>
      <c r="AB305" s="21" t="s">
        <v>168</v>
      </c>
      <c r="AC305" s="21">
        <v>3926908</v>
      </c>
      <c r="AD305" s="21" t="s">
        <v>201</v>
      </c>
      <c r="AE305" s="21">
        <v>1</v>
      </c>
      <c r="AF305" s="21">
        <v>786.1</v>
      </c>
      <c r="AG305" s="21" t="s">
        <v>202</v>
      </c>
    </row>
    <row r="306" spans="1:33" x14ac:dyDescent="0.25">
      <c r="A306" s="22"/>
      <c r="B306" s="21" t="s">
        <v>1191</v>
      </c>
      <c r="C306" s="21" t="s">
        <v>730</v>
      </c>
      <c r="D306" s="21" t="s">
        <v>1247</v>
      </c>
      <c r="E306" s="21" t="s">
        <v>1204</v>
      </c>
      <c r="F306" s="21" t="s">
        <v>1248</v>
      </c>
      <c r="G306" s="21" t="s">
        <v>1203</v>
      </c>
      <c r="H306" s="21" t="s">
        <v>1142</v>
      </c>
      <c r="I306" s="21" t="s">
        <v>188</v>
      </c>
      <c r="J306" s="21" t="s">
        <v>153</v>
      </c>
      <c r="K306" s="21" t="s">
        <v>153</v>
      </c>
      <c r="L306" s="21" t="s">
        <v>203</v>
      </c>
      <c r="M306" s="21" t="s">
        <v>153</v>
      </c>
      <c r="N306" s="21">
        <v>344</v>
      </c>
      <c r="O306" s="33">
        <v>51366.080000000002</v>
      </c>
      <c r="P306" s="21" t="s">
        <v>153</v>
      </c>
      <c r="Q306" s="21">
        <v>60560.61</v>
      </c>
      <c r="R306" s="21">
        <v>9</v>
      </c>
      <c r="S306" s="21">
        <v>4622.95</v>
      </c>
      <c r="T306" s="21">
        <v>9</v>
      </c>
      <c r="U306" s="21">
        <v>4622.95</v>
      </c>
      <c r="V306" s="21">
        <v>0</v>
      </c>
      <c r="W306" s="21">
        <v>0</v>
      </c>
      <c r="X306" s="21">
        <v>0</v>
      </c>
      <c r="Y306" s="21">
        <v>9245.9</v>
      </c>
      <c r="Z306" s="21">
        <v>0</v>
      </c>
      <c r="AA306" s="21" t="s">
        <v>185</v>
      </c>
      <c r="AB306" s="21" t="s">
        <v>168</v>
      </c>
      <c r="AC306" s="21">
        <v>39269080</v>
      </c>
      <c r="AD306" s="21" t="s">
        <v>201</v>
      </c>
      <c r="AE306" s="21">
        <v>1</v>
      </c>
      <c r="AF306" s="21">
        <v>344</v>
      </c>
      <c r="AG306" s="21" t="s">
        <v>202</v>
      </c>
    </row>
    <row r="307" spans="1:33" x14ac:dyDescent="0.25">
      <c r="A307" s="22"/>
      <c r="B307" s="21" t="s">
        <v>1191</v>
      </c>
      <c r="C307" s="21" t="s">
        <v>633</v>
      </c>
      <c r="D307" s="21" t="s">
        <v>1252</v>
      </c>
      <c r="E307" s="21" t="s">
        <v>1195</v>
      </c>
      <c r="F307" s="21" t="s">
        <v>1248</v>
      </c>
      <c r="G307" s="21" t="s">
        <v>1194</v>
      </c>
      <c r="H307" s="21" t="s">
        <v>1191</v>
      </c>
      <c r="I307" s="21" t="s">
        <v>169</v>
      </c>
      <c r="J307" s="21" t="s">
        <v>179</v>
      </c>
      <c r="K307" s="21" t="s">
        <v>155</v>
      </c>
      <c r="L307" s="21" t="s">
        <v>203</v>
      </c>
      <c r="M307" s="21" t="s">
        <v>183</v>
      </c>
      <c r="N307" s="33">
        <v>2957</v>
      </c>
      <c r="O307" s="33">
        <v>426754.24</v>
      </c>
      <c r="P307" s="21" t="s">
        <v>183</v>
      </c>
      <c r="Q307" s="21">
        <v>661648.11</v>
      </c>
      <c r="R307" s="21">
        <v>9</v>
      </c>
      <c r="S307" s="21">
        <v>38407.879999999997</v>
      </c>
      <c r="T307" s="21">
        <v>9</v>
      </c>
      <c r="U307" s="21">
        <v>38407.879999999997</v>
      </c>
      <c r="V307" s="21">
        <v>0</v>
      </c>
      <c r="W307" s="21">
        <v>0</v>
      </c>
      <c r="X307" s="21">
        <v>0</v>
      </c>
      <c r="Y307" s="21">
        <v>76815.759999999995</v>
      </c>
      <c r="Z307" s="21">
        <v>0</v>
      </c>
      <c r="AA307" s="21" t="s">
        <v>176</v>
      </c>
      <c r="AB307" s="21" t="s">
        <v>168</v>
      </c>
      <c r="AC307" s="21">
        <v>39269080</v>
      </c>
      <c r="AD307" s="21" t="s">
        <v>201</v>
      </c>
      <c r="AE307" s="21">
        <v>1</v>
      </c>
      <c r="AF307" s="33">
        <v>2957</v>
      </c>
      <c r="AG307" s="21" t="s">
        <v>202</v>
      </c>
    </row>
    <row r="308" spans="1:33" x14ac:dyDescent="0.25">
      <c r="A308" s="22"/>
      <c r="B308" s="21" t="s">
        <v>1191</v>
      </c>
      <c r="C308" s="21" t="s">
        <v>633</v>
      </c>
      <c r="D308" s="21" t="s">
        <v>1252</v>
      </c>
      <c r="E308" s="21" t="s">
        <v>1195</v>
      </c>
      <c r="F308" s="21" t="s">
        <v>1248</v>
      </c>
      <c r="G308" s="21" t="s">
        <v>1194</v>
      </c>
      <c r="H308" s="21" t="s">
        <v>1191</v>
      </c>
      <c r="I308" s="21" t="s">
        <v>169</v>
      </c>
      <c r="J308" s="21" t="s">
        <v>179</v>
      </c>
      <c r="K308" s="21" t="s">
        <v>155</v>
      </c>
      <c r="L308" s="21" t="s">
        <v>203</v>
      </c>
      <c r="M308" s="21" t="s">
        <v>183</v>
      </c>
      <c r="N308" s="21">
        <v>794</v>
      </c>
      <c r="O308" s="33">
        <v>134440.07999999999</v>
      </c>
      <c r="P308" s="21" t="s">
        <v>183</v>
      </c>
      <c r="Q308" s="21">
        <v>0</v>
      </c>
      <c r="R308" s="21">
        <v>9</v>
      </c>
      <c r="S308" s="21">
        <v>12099.61</v>
      </c>
      <c r="T308" s="21">
        <v>9</v>
      </c>
      <c r="U308" s="21">
        <v>12099.61</v>
      </c>
      <c r="V308" s="21">
        <v>0</v>
      </c>
      <c r="W308" s="21">
        <v>0</v>
      </c>
      <c r="X308" s="21">
        <v>0</v>
      </c>
      <c r="Y308" s="21">
        <v>24199.22</v>
      </c>
      <c r="Z308" s="21">
        <v>0</v>
      </c>
      <c r="AA308" s="21" t="s">
        <v>176</v>
      </c>
      <c r="AB308" s="21" t="s">
        <v>168</v>
      </c>
      <c r="AC308" s="21">
        <v>39269080</v>
      </c>
      <c r="AD308" s="21" t="s">
        <v>201</v>
      </c>
      <c r="AE308" s="21">
        <v>1</v>
      </c>
      <c r="AF308" s="21">
        <v>794</v>
      </c>
      <c r="AG308" s="21" t="s">
        <v>202</v>
      </c>
    </row>
    <row r="309" spans="1:33" x14ac:dyDescent="0.25">
      <c r="A309" s="22"/>
      <c r="B309" s="21" t="s">
        <v>1191</v>
      </c>
      <c r="C309" s="21" t="s">
        <v>633</v>
      </c>
      <c r="D309" s="21" t="s">
        <v>1247</v>
      </c>
      <c r="E309" s="21" t="s">
        <v>1199</v>
      </c>
      <c r="F309" s="21" t="s">
        <v>1248</v>
      </c>
      <c r="G309" s="21" t="s">
        <v>1198</v>
      </c>
      <c r="H309" s="21" t="s">
        <v>1191</v>
      </c>
      <c r="I309" s="21" t="s">
        <v>169</v>
      </c>
      <c r="J309" s="21" t="s">
        <v>179</v>
      </c>
      <c r="K309" s="21" t="s">
        <v>156</v>
      </c>
      <c r="L309" s="21" t="s">
        <v>211</v>
      </c>
      <c r="M309" s="21" t="s">
        <v>178</v>
      </c>
      <c r="N309" s="33">
        <v>2057</v>
      </c>
      <c r="O309" s="33">
        <v>307151.24</v>
      </c>
      <c r="P309" s="21" t="s">
        <v>178</v>
      </c>
      <c r="Q309" s="21">
        <v>1663290.69</v>
      </c>
      <c r="R309" s="21">
        <v>9</v>
      </c>
      <c r="S309" s="21">
        <v>27643.61</v>
      </c>
      <c r="T309" s="21">
        <v>9</v>
      </c>
      <c r="U309" s="21">
        <v>27643.61</v>
      </c>
      <c r="V309" s="21">
        <v>0</v>
      </c>
      <c r="W309" s="21">
        <v>0</v>
      </c>
      <c r="X309" s="21">
        <v>0</v>
      </c>
      <c r="Y309" s="21">
        <v>55287.22</v>
      </c>
      <c r="Z309" s="21">
        <v>0</v>
      </c>
      <c r="AA309" s="21" t="s">
        <v>176</v>
      </c>
      <c r="AB309" s="21" t="s">
        <v>168</v>
      </c>
      <c r="AC309" s="21">
        <v>63053300</v>
      </c>
      <c r="AD309" s="21" t="s">
        <v>201</v>
      </c>
      <c r="AE309" s="21">
        <v>1</v>
      </c>
      <c r="AF309" s="33">
        <v>2057</v>
      </c>
      <c r="AG309" s="21" t="s">
        <v>202</v>
      </c>
    </row>
    <row r="310" spans="1:33" x14ac:dyDescent="0.25">
      <c r="A310" s="22"/>
      <c r="B310" s="21" t="s">
        <v>1191</v>
      </c>
      <c r="C310" s="21" t="s">
        <v>633</v>
      </c>
      <c r="D310" s="21" t="s">
        <v>1247</v>
      </c>
      <c r="E310" s="21" t="s">
        <v>1199</v>
      </c>
      <c r="F310" s="21" t="s">
        <v>1248</v>
      </c>
      <c r="G310" s="21" t="s">
        <v>1198</v>
      </c>
      <c r="H310" s="21" t="s">
        <v>1191</v>
      </c>
      <c r="I310" s="21" t="s">
        <v>169</v>
      </c>
      <c r="J310" s="21" t="s">
        <v>179</v>
      </c>
      <c r="K310" s="21" t="s">
        <v>155</v>
      </c>
      <c r="L310" s="21" t="s">
        <v>203</v>
      </c>
      <c r="M310" s="21" t="s">
        <v>183</v>
      </c>
      <c r="N310" s="33">
        <v>5241</v>
      </c>
      <c r="O310" s="33">
        <v>772104.12</v>
      </c>
      <c r="P310" s="21" t="s">
        <v>183</v>
      </c>
      <c r="Q310" s="21">
        <v>0</v>
      </c>
      <c r="R310" s="21">
        <v>9</v>
      </c>
      <c r="S310" s="21">
        <v>69489.37</v>
      </c>
      <c r="T310" s="21">
        <v>9</v>
      </c>
      <c r="U310" s="21">
        <v>69489.37</v>
      </c>
      <c r="V310" s="21">
        <v>0</v>
      </c>
      <c r="W310" s="21">
        <v>0</v>
      </c>
      <c r="X310" s="21">
        <v>0</v>
      </c>
      <c r="Y310" s="21">
        <v>138978.74</v>
      </c>
      <c r="Z310" s="21">
        <v>0</v>
      </c>
      <c r="AA310" s="21" t="s">
        <v>176</v>
      </c>
      <c r="AB310" s="21" t="s">
        <v>168</v>
      </c>
      <c r="AC310" s="21">
        <v>39269080</v>
      </c>
      <c r="AD310" s="21" t="s">
        <v>201</v>
      </c>
      <c r="AE310" s="21">
        <v>1</v>
      </c>
      <c r="AF310" s="33">
        <v>5241</v>
      </c>
      <c r="AG310" s="21" t="s">
        <v>202</v>
      </c>
    </row>
    <row r="311" spans="1:33" x14ac:dyDescent="0.25">
      <c r="A311" s="22"/>
      <c r="B311" s="21" t="s">
        <v>1191</v>
      </c>
      <c r="C311" s="21" t="s">
        <v>633</v>
      </c>
      <c r="D311" s="21" t="s">
        <v>1247</v>
      </c>
      <c r="E311" s="21" t="s">
        <v>1199</v>
      </c>
      <c r="F311" s="21" t="s">
        <v>1248</v>
      </c>
      <c r="G311" s="21" t="s">
        <v>1198</v>
      </c>
      <c r="H311" s="21" t="s">
        <v>1191</v>
      </c>
      <c r="I311" s="21" t="s">
        <v>169</v>
      </c>
      <c r="J311" s="21" t="s">
        <v>179</v>
      </c>
      <c r="K311" s="21" t="s">
        <v>155</v>
      </c>
      <c r="L311" s="21" t="s">
        <v>203</v>
      </c>
      <c r="M311" s="21" t="s">
        <v>183</v>
      </c>
      <c r="N311" s="21">
        <v>584</v>
      </c>
      <c r="O311" s="33">
        <v>83114.880000000005</v>
      </c>
      <c r="P311" s="21" t="s">
        <v>183</v>
      </c>
      <c r="Q311" s="21">
        <v>0</v>
      </c>
      <c r="R311" s="21">
        <v>9</v>
      </c>
      <c r="S311" s="21">
        <v>7480.34</v>
      </c>
      <c r="T311" s="21">
        <v>9</v>
      </c>
      <c r="U311" s="21">
        <v>7480.34</v>
      </c>
      <c r="V311" s="21">
        <v>0</v>
      </c>
      <c r="W311" s="21">
        <v>0</v>
      </c>
      <c r="X311" s="21">
        <v>0</v>
      </c>
      <c r="Y311" s="21">
        <v>14960.68</v>
      </c>
      <c r="Z311" s="21">
        <v>0</v>
      </c>
      <c r="AA311" s="21" t="s">
        <v>176</v>
      </c>
      <c r="AB311" s="21" t="s">
        <v>168</v>
      </c>
      <c r="AC311" s="21">
        <v>39269080</v>
      </c>
      <c r="AD311" s="21" t="s">
        <v>201</v>
      </c>
      <c r="AE311" s="21">
        <v>1</v>
      </c>
      <c r="AF311" s="21">
        <v>584</v>
      </c>
      <c r="AG311" s="21" t="s">
        <v>202</v>
      </c>
    </row>
    <row r="312" spans="1:33" x14ac:dyDescent="0.25">
      <c r="A312" s="22"/>
      <c r="B312" s="21" t="s">
        <v>1191</v>
      </c>
      <c r="C312" s="21" t="s">
        <v>633</v>
      </c>
      <c r="D312" s="21" t="s">
        <v>1247</v>
      </c>
      <c r="E312" s="21" t="s">
        <v>1199</v>
      </c>
      <c r="F312" s="21" t="s">
        <v>1248</v>
      </c>
      <c r="G312" s="21" t="s">
        <v>1198</v>
      </c>
      <c r="H312" s="21" t="s">
        <v>1191</v>
      </c>
      <c r="I312" s="21" t="s">
        <v>169</v>
      </c>
      <c r="J312" s="21" t="s">
        <v>181</v>
      </c>
      <c r="K312" s="21" t="s">
        <v>154</v>
      </c>
      <c r="L312" s="21" t="s">
        <v>154</v>
      </c>
      <c r="M312" s="21" t="s">
        <v>181</v>
      </c>
      <c r="N312" s="21">
        <v>217.2</v>
      </c>
      <c r="O312" s="33">
        <v>35907.5</v>
      </c>
      <c r="P312" s="21" t="s">
        <v>181</v>
      </c>
      <c r="Q312" s="21">
        <v>0</v>
      </c>
      <c r="R312" s="21">
        <v>9</v>
      </c>
      <c r="S312" s="21">
        <v>3231.68</v>
      </c>
      <c r="T312" s="21">
        <v>9</v>
      </c>
      <c r="U312" s="21">
        <v>3231.68</v>
      </c>
      <c r="V312" s="21">
        <v>0</v>
      </c>
      <c r="W312" s="21">
        <v>0</v>
      </c>
      <c r="X312" s="21">
        <v>0</v>
      </c>
      <c r="Y312" s="21">
        <v>6463.36</v>
      </c>
      <c r="Z312" s="21">
        <v>0</v>
      </c>
      <c r="AA312" s="21" t="s">
        <v>176</v>
      </c>
      <c r="AB312" s="21" t="s">
        <v>168</v>
      </c>
      <c r="AC312" s="21">
        <v>3926908</v>
      </c>
      <c r="AD312" s="21" t="s">
        <v>201</v>
      </c>
      <c r="AE312" s="21">
        <v>1</v>
      </c>
      <c r="AF312" s="21">
        <v>217.2</v>
      </c>
      <c r="AG312" s="21" t="s">
        <v>202</v>
      </c>
    </row>
    <row r="313" spans="1:33" x14ac:dyDescent="0.25">
      <c r="A313" s="22"/>
      <c r="B313" s="21" t="s">
        <v>1191</v>
      </c>
      <c r="C313" s="21" t="s">
        <v>633</v>
      </c>
      <c r="D313" s="21" t="s">
        <v>1247</v>
      </c>
      <c r="E313" s="21" t="s">
        <v>1199</v>
      </c>
      <c r="F313" s="21" t="s">
        <v>1248</v>
      </c>
      <c r="G313" s="21" t="s">
        <v>1198</v>
      </c>
      <c r="H313" s="21" t="s">
        <v>1191</v>
      </c>
      <c r="I313" s="21" t="s">
        <v>169</v>
      </c>
      <c r="J313" s="21" t="s">
        <v>181</v>
      </c>
      <c r="K313" s="21" t="s">
        <v>154</v>
      </c>
      <c r="L313" s="21" t="s">
        <v>154</v>
      </c>
      <c r="M313" s="21" t="s">
        <v>181</v>
      </c>
      <c r="N313" s="33">
        <v>1014.7</v>
      </c>
      <c r="O313" s="33">
        <v>149485.6</v>
      </c>
      <c r="P313" s="21" t="s">
        <v>181</v>
      </c>
      <c r="Q313" s="21">
        <v>0</v>
      </c>
      <c r="R313" s="21">
        <v>9</v>
      </c>
      <c r="S313" s="21">
        <v>13453.7</v>
      </c>
      <c r="T313" s="21">
        <v>9</v>
      </c>
      <c r="U313" s="21">
        <v>13453.7</v>
      </c>
      <c r="V313" s="21">
        <v>0</v>
      </c>
      <c r="W313" s="21">
        <v>0</v>
      </c>
      <c r="X313" s="21">
        <v>0</v>
      </c>
      <c r="Y313" s="21">
        <v>26907.4</v>
      </c>
      <c r="Z313" s="21">
        <v>0</v>
      </c>
      <c r="AA313" s="21" t="s">
        <v>176</v>
      </c>
      <c r="AB313" s="21" t="s">
        <v>168</v>
      </c>
      <c r="AC313" s="21">
        <v>3926908</v>
      </c>
      <c r="AD313" s="21" t="s">
        <v>201</v>
      </c>
      <c r="AE313" s="21">
        <v>1</v>
      </c>
      <c r="AF313" s="33">
        <v>1014.7</v>
      </c>
      <c r="AG313" s="21" t="s">
        <v>202</v>
      </c>
    </row>
    <row r="314" spans="1:33" x14ac:dyDescent="0.25">
      <c r="A314" s="22"/>
      <c r="B314" s="21" t="s">
        <v>1191</v>
      </c>
      <c r="C314" s="21" t="s">
        <v>633</v>
      </c>
      <c r="D314" s="21" t="s">
        <v>1247</v>
      </c>
      <c r="E314" s="21" t="s">
        <v>1199</v>
      </c>
      <c r="F314" s="21" t="s">
        <v>1248</v>
      </c>
      <c r="G314" s="21" t="s">
        <v>1198</v>
      </c>
      <c r="H314" s="21" t="s">
        <v>1191</v>
      </c>
      <c r="I314" s="21" t="s">
        <v>169</v>
      </c>
      <c r="J314" s="21" t="s">
        <v>181</v>
      </c>
      <c r="K314" s="21" t="s">
        <v>154</v>
      </c>
      <c r="L314" s="21" t="s">
        <v>154</v>
      </c>
      <c r="M314" s="21" t="s">
        <v>181</v>
      </c>
      <c r="N314" s="21">
        <v>15.8</v>
      </c>
      <c r="O314" s="33">
        <v>2280.2600000000002</v>
      </c>
      <c r="P314" s="21" t="s">
        <v>181</v>
      </c>
      <c r="Q314" s="21">
        <v>0</v>
      </c>
      <c r="R314" s="21">
        <v>9</v>
      </c>
      <c r="S314" s="21">
        <v>205.22</v>
      </c>
      <c r="T314" s="21">
        <v>9</v>
      </c>
      <c r="U314" s="21">
        <v>205.22</v>
      </c>
      <c r="V314" s="21">
        <v>0</v>
      </c>
      <c r="W314" s="21">
        <v>0</v>
      </c>
      <c r="X314" s="21">
        <v>0</v>
      </c>
      <c r="Y314" s="21">
        <v>410.44</v>
      </c>
      <c r="Z314" s="21">
        <v>0</v>
      </c>
      <c r="AA314" s="21" t="s">
        <v>176</v>
      </c>
      <c r="AB314" s="21" t="s">
        <v>168</v>
      </c>
      <c r="AC314" s="21">
        <v>3926908</v>
      </c>
      <c r="AD314" s="21" t="s">
        <v>201</v>
      </c>
      <c r="AE314" s="21">
        <v>1</v>
      </c>
      <c r="AF314" s="21">
        <v>15.8</v>
      </c>
      <c r="AG314" s="21" t="s">
        <v>202</v>
      </c>
    </row>
    <row r="315" spans="1:33" x14ac:dyDescent="0.25">
      <c r="A315" s="22"/>
      <c r="B315" s="21" t="s">
        <v>1191</v>
      </c>
      <c r="C315" s="21" t="s">
        <v>633</v>
      </c>
      <c r="D315" s="21" t="s">
        <v>1247</v>
      </c>
      <c r="E315" s="21" t="s">
        <v>1199</v>
      </c>
      <c r="F315" s="21" t="s">
        <v>1248</v>
      </c>
      <c r="G315" s="21" t="s">
        <v>1198</v>
      </c>
      <c r="H315" s="21" t="s">
        <v>1191</v>
      </c>
      <c r="I315" s="21" t="s">
        <v>169</v>
      </c>
      <c r="J315" s="21" t="s">
        <v>197</v>
      </c>
      <c r="K315" s="21" t="s">
        <v>158</v>
      </c>
      <c r="L315" s="21" t="s">
        <v>213</v>
      </c>
      <c r="M315" s="21" t="s">
        <v>196</v>
      </c>
      <c r="N315" s="21">
        <v>363.9</v>
      </c>
      <c r="O315" s="33">
        <v>60720.35</v>
      </c>
      <c r="P315" s="21" t="s">
        <v>196</v>
      </c>
      <c r="Q315" s="21">
        <v>0</v>
      </c>
      <c r="R315" s="21">
        <v>9</v>
      </c>
      <c r="S315" s="21">
        <v>5464.83</v>
      </c>
      <c r="T315" s="21">
        <v>9</v>
      </c>
      <c r="U315" s="21">
        <v>5464.83</v>
      </c>
      <c r="V315" s="21">
        <v>0</v>
      </c>
      <c r="W315" s="21">
        <v>0</v>
      </c>
      <c r="X315" s="21">
        <v>0</v>
      </c>
      <c r="Y315" s="21">
        <v>10929.66</v>
      </c>
      <c r="Z315" s="21">
        <v>0</v>
      </c>
      <c r="AA315" s="21" t="s">
        <v>176</v>
      </c>
      <c r="AB315" s="21" t="s">
        <v>168</v>
      </c>
      <c r="AC315" s="21">
        <v>3920101</v>
      </c>
      <c r="AD315" s="21" t="s">
        <v>201</v>
      </c>
      <c r="AE315" s="21">
        <v>1</v>
      </c>
      <c r="AF315" s="21">
        <v>363.9</v>
      </c>
      <c r="AG315" s="21" t="s">
        <v>202</v>
      </c>
    </row>
    <row r="316" spans="1:33" x14ac:dyDescent="0.25">
      <c r="A316" s="22"/>
      <c r="B316" s="21" t="s">
        <v>1206</v>
      </c>
      <c r="C316" s="21" t="s">
        <v>633</v>
      </c>
      <c r="D316" s="21" t="s">
        <v>1247</v>
      </c>
      <c r="E316" s="21" t="s">
        <v>1210</v>
      </c>
      <c r="F316" s="21" t="s">
        <v>1248</v>
      </c>
      <c r="G316" s="21" t="s">
        <v>1209</v>
      </c>
      <c r="H316" s="21" t="s">
        <v>1206</v>
      </c>
      <c r="I316" s="21" t="s">
        <v>169</v>
      </c>
      <c r="J316" s="21" t="s">
        <v>179</v>
      </c>
      <c r="K316" s="21" t="s">
        <v>155</v>
      </c>
      <c r="L316" s="21" t="s">
        <v>203</v>
      </c>
      <c r="M316" s="21" t="s">
        <v>183</v>
      </c>
      <c r="N316" s="33">
        <v>1945</v>
      </c>
      <c r="O316" s="33">
        <v>286537.40000000002</v>
      </c>
      <c r="P316" s="21" t="s">
        <v>183</v>
      </c>
      <c r="Q316" s="21">
        <v>1146509.72</v>
      </c>
      <c r="R316" s="21">
        <v>9</v>
      </c>
      <c r="S316" s="21">
        <v>25788.37</v>
      </c>
      <c r="T316" s="21">
        <v>9</v>
      </c>
      <c r="U316" s="21">
        <v>25788.37</v>
      </c>
      <c r="V316" s="21">
        <v>0</v>
      </c>
      <c r="W316" s="21">
        <v>0</v>
      </c>
      <c r="X316" s="21">
        <v>0</v>
      </c>
      <c r="Y316" s="21">
        <v>51576.74</v>
      </c>
      <c r="Z316" s="21">
        <v>0</v>
      </c>
      <c r="AA316" s="21" t="s">
        <v>176</v>
      </c>
      <c r="AB316" s="21" t="s">
        <v>168</v>
      </c>
      <c r="AC316" s="21">
        <v>39269080</v>
      </c>
      <c r="AD316" s="21" t="s">
        <v>201</v>
      </c>
      <c r="AE316" s="21">
        <v>1</v>
      </c>
      <c r="AF316" s="33">
        <v>1945</v>
      </c>
      <c r="AG316" s="21" t="s">
        <v>202</v>
      </c>
    </row>
    <row r="317" spans="1:33" x14ac:dyDescent="0.25">
      <c r="A317" s="22"/>
      <c r="B317" s="21" t="s">
        <v>1206</v>
      </c>
      <c r="C317" s="21" t="s">
        <v>633</v>
      </c>
      <c r="D317" s="21" t="s">
        <v>1247</v>
      </c>
      <c r="E317" s="21" t="s">
        <v>1210</v>
      </c>
      <c r="F317" s="21" t="s">
        <v>1248</v>
      </c>
      <c r="G317" s="21" t="s">
        <v>1209</v>
      </c>
      <c r="H317" s="21" t="s">
        <v>1206</v>
      </c>
      <c r="I317" s="21" t="s">
        <v>169</v>
      </c>
      <c r="J317" s="21" t="s">
        <v>179</v>
      </c>
      <c r="K317" s="21" t="s">
        <v>156</v>
      </c>
      <c r="L317" s="21" t="s">
        <v>211</v>
      </c>
      <c r="M317" s="21" t="s">
        <v>178</v>
      </c>
      <c r="N317" s="33">
        <v>1872</v>
      </c>
      <c r="O317" s="33">
        <v>279527.03999999998</v>
      </c>
      <c r="P317" s="21" t="s">
        <v>178</v>
      </c>
      <c r="Q317" s="21">
        <v>0</v>
      </c>
      <c r="R317" s="21">
        <v>9</v>
      </c>
      <c r="S317" s="21">
        <v>25157.43</v>
      </c>
      <c r="T317" s="21">
        <v>9</v>
      </c>
      <c r="U317" s="21">
        <v>25157.43</v>
      </c>
      <c r="V317" s="21">
        <v>0</v>
      </c>
      <c r="W317" s="21">
        <v>0</v>
      </c>
      <c r="X317" s="21">
        <v>0</v>
      </c>
      <c r="Y317" s="21">
        <v>50314.86</v>
      </c>
      <c r="Z317" s="21">
        <v>0</v>
      </c>
      <c r="AA317" s="21" t="s">
        <v>176</v>
      </c>
      <c r="AB317" s="21" t="s">
        <v>168</v>
      </c>
      <c r="AC317" s="21">
        <v>63053300</v>
      </c>
      <c r="AD317" s="21" t="s">
        <v>201</v>
      </c>
      <c r="AE317" s="21">
        <v>1</v>
      </c>
      <c r="AF317" s="33">
        <v>1872</v>
      </c>
      <c r="AG317" s="21" t="s">
        <v>202</v>
      </c>
    </row>
    <row r="318" spans="1:33" x14ac:dyDescent="0.25">
      <c r="A318" s="22"/>
      <c r="B318" s="21" t="s">
        <v>1206</v>
      </c>
      <c r="C318" s="21" t="s">
        <v>633</v>
      </c>
      <c r="D318" s="21" t="s">
        <v>1247</v>
      </c>
      <c r="E318" s="21" t="s">
        <v>1210</v>
      </c>
      <c r="F318" s="21" t="s">
        <v>1248</v>
      </c>
      <c r="G318" s="21" t="s">
        <v>1209</v>
      </c>
      <c r="H318" s="21" t="s">
        <v>1206</v>
      </c>
      <c r="I318" s="21" t="s">
        <v>169</v>
      </c>
      <c r="J318" s="21" t="s">
        <v>181</v>
      </c>
      <c r="K318" s="21" t="s">
        <v>154</v>
      </c>
      <c r="L318" s="21" t="s">
        <v>154</v>
      </c>
      <c r="M318" s="21" t="s">
        <v>181</v>
      </c>
      <c r="N318" s="21">
        <v>82.5</v>
      </c>
      <c r="O318" s="33">
        <v>11906.4</v>
      </c>
      <c r="P318" s="21" t="s">
        <v>181</v>
      </c>
      <c r="Q318" s="21">
        <v>0</v>
      </c>
      <c r="R318" s="21">
        <v>9</v>
      </c>
      <c r="S318" s="21">
        <v>1071.58</v>
      </c>
      <c r="T318" s="21">
        <v>9</v>
      </c>
      <c r="U318" s="21">
        <v>1071.58</v>
      </c>
      <c r="V318" s="21">
        <v>0</v>
      </c>
      <c r="W318" s="21">
        <v>0</v>
      </c>
      <c r="X318" s="21">
        <v>0</v>
      </c>
      <c r="Y318" s="21">
        <v>2143.16</v>
      </c>
      <c r="Z318" s="21">
        <v>0</v>
      </c>
      <c r="AA318" s="21" t="s">
        <v>176</v>
      </c>
      <c r="AB318" s="21" t="s">
        <v>168</v>
      </c>
      <c r="AC318" s="21">
        <v>3926908</v>
      </c>
      <c r="AD318" s="21" t="s">
        <v>201</v>
      </c>
      <c r="AE318" s="21">
        <v>1</v>
      </c>
      <c r="AF318" s="21">
        <v>82.5</v>
      </c>
      <c r="AG318" s="21" t="s">
        <v>202</v>
      </c>
    </row>
    <row r="319" spans="1:33" x14ac:dyDescent="0.25">
      <c r="A319" s="22"/>
      <c r="B319" s="21" t="s">
        <v>1206</v>
      </c>
      <c r="C319" s="21" t="s">
        <v>633</v>
      </c>
      <c r="D319" s="21" t="s">
        <v>1247</v>
      </c>
      <c r="E319" s="21" t="s">
        <v>1210</v>
      </c>
      <c r="F319" s="21" t="s">
        <v>1248</v>
      </c>
      <c r="G319" s="21" t="s">
        <v>1209</v>
      </c>
      <c r="H319" s="21" t="s">
        <v>1206</v>
      </c>
      <c r="I319" s="21" t="s">
        <v>169</v>
      </c>
      <c r="J319" s="21" t="s">
        <v>181</v>
      </c>
      <c r="K319" s="21" t="s">
        <v>154</v>
      </c>
      <c r="L319" s="21" t="s">
        <v>154</v>
      </c>
      <c r="M319" s="21" t="s">
        <v>181</v>
      </c>
      <c r="N319" s="21">
        <v>183.1</v>
      </c>
      <c r="O319" s="33">
        <v>30270.09</v>
      </c>
      <c r="P319" s="21" t="s">
        <v>181</v>
      </c>
      <c r="Q319" s="21">
        <v>0</v>
      </c>
      <c r="R319" s="21">
        <v>9</v>
      </c>
      <c r="S319" s="21">
        <v>2724.31</v>
      </c>
      <c r="T319" s="21">
        <v>9</v>
      </c>
      <c r="U319" s="21">
        <v>2724.31</v>
      </c>
      <c r="V319" s="21">
        <v>0</v>
      </c>
      <c r="W319" s="21">
        <v>0</v>
      </c>
      <c r="X319" s="21">
        <v>0</v>
      </c>
      <c r="Y319" s="21">
        <v>5448.62</v>
      </c>
      <c r="Z319" s="21">
        <v>0</v>
      </c>
      <c r="AA319" s="21" t="s">
        <v>176</v>
      </c>
      <c r="AB319" s="21" t="s">
        <v>168</v>
      </c>
      <c r="AC319" s="21">
        <v>3926908</v>
      </c>
      <c r="AD319" s="21" t="s">
        <v>201</v>
      </c>
      <c r="AE319" s="21">
        <v>1</v>
      </c>
      <c r="AF319" s="21">
        <v>183.1</v>
      </c>
      <c r="AG319" s="21" t="s">
        <v>202</v>
      </c>
    </row>
    <row r="320" spans="1:33" x14ac:dyDescent="0.25">
      <c r="A320" s="22"/>
      <c r="B320" s="21" t="s">
        <v>1206</v>
      </c>
      <c r="C320" s="21" t="s">
        <v>633</v>
      </c>
      <c r="D320" s="21" t="s">
        <v>1247</v>
      </c>
      <c r="E320" s="21" t="s">
        <v>1210</v>
      </c>
      <c r="F320" s="21" t="s">
        <v>1248</v>
      </c>
      <c r="G320" s="21" t="s">
        <v>1209</v>
      </c>
      <c r="H320" s="21" t="s">
        <v>1206</v>
      </c>
      <c r="I320" s="21" t="s">
        <v>169</v>
      </c>
      <c r="J320" s="21" t="s">
        <v>181</v>
      </c>
      <c r="K320" s="21" t="s">
        <v>154</v>
      </c>
      <c r="L320" s="21" t="s">
        <v>154</v>
      </c>
      <c r="M320" s="21" t="s">
        <v>181</v>
      </c>
      <c r="N320" s="33">
        <v>1276.5</v>
      </c>
      <c r="O320" s="33">
        <v>188053.98</v>
      </c>
      <c r="P320" s="21" t="s">
        <v>181</v>
      </c>
      <c r="Q320" s="21">
        <v>0</v>
      </c>
      <c r="R320" s="21">
        <v>9</v>
      </c>
      <c r="S320" s="21">
        <v>16924.86</v>
      </c>
      <c r="T320" s="21">
        <v>9</v>
      </c>
      <c r="U320" s="21">
        <v>16924.86</v>
      </c>
      <c r="V320" s="21">
        <v>0</v>
      </c>
      <c r="W320" s="21">
        <v>0</v>
      </c>
      <c r="X320" s="21">
        <v>0</v>
      </c>
      <c r="Y320" s="21">
        <v>33849.72</v>
      </c>
      <c r="Z320" s="21">
        <v>0</v>
      </c>
      <c r="AA320" s="21" t="s">
        <v>176</v>
      </c>
      <c r="AB320" s="21" t="s">
        <v>168</v>
      </c>
      <c r="AC320" s="21">
        <v>3926908</v>
      </c>
      <c r="AD320" s="21" t="s">
        <v>201</v>
      </c>
      <c r="AE320" s="21">
        <v>1</v>
      </c>
      <c r="AF320" s="33">
        <v>1276.5</v>
      </c>
      <c r="AG320" s="21" t="s">
        <v>202</v>
      </c>
    </row>
    <row r="321" spans="1:33" x14ac:dyDescent="0.25">
      <c r="A321" s="22"/>
      <c r="B321" s="21" t="s">
        <v>1206</v>
      </c>
      <c r="C321" s="21" t="s">
        <v>633</v>
      </c>
      <c r="D321" s="21" t="s">
        <v>1247</v>
      </c>
      <c r="E321" s="21" t="s">
        <v>1210</v>
      </c>
      <c r="F321" s="21" t="s">
        <v>1248</v>
      </c>
      <c r="G321" s="21" t="s">
        <v>1209</v>
      </c>
      <c r="H321" s="21" t="s">
        <v>1206</v>
      </c>
      <c r="I321" s="21" t="s">
        <v>169</v>
      </c>
      <c r="J321" s="21" t="s">
        <v>170</v>
      </c>
      <c r="K321" s="21" t="s">
        <v>157</v>
      </c>
      <c r="L321" s="21" t="s">
        <v>225</v>
      </c>
      <c r="M321" s="21" t="s">
        <v>707</v>
      </c>
      <c r="N321" s="35">
        <v>401.7</v>
      </c>
      <c r="O321" s="33">
        <v>61990.34</v>
      </c>
      <c r="P321" s="21" t="s">
        <v>707</v>
      </c>
      <c r="Q321" s="21">
        <v>0</v>
      </c>
      <c r="R321" s="21">
        <v>2.5</v>
      </c>
      <c r="S321" s="21">
        <v>1549.76</v>
      </c>
      <c r="T321" s="21">
        <v>2.5</v>
      </c>
      <c r="U321" s="21">
        <v>1549.76</v>
      </c>
      <c r="V321" s="21">
        <v>0</v>
      </c>
      <c r="W321" s="21">
        <v>0</v>
      </c>
      <c r="X321" s="21">
        <v>0</v>
      </c>
      <c r="Y321" s="21">
        <v>3099.52</v>
      </c>
      <c r="Z321" s="21">
        <v>0</v>
      </c>
      <c r="AA321" s="21" t="s">
        <v>176</v>
      </c>
      <c r="AB321" s="21" t="s">
        <v>184</v>
      </c>
      <c r="AC321" s="21">
        <v>540263</v>
      </c>
      <c r="AD321" s="21" t="s">
        <v>201</v>
      </c>
      <c r="AE321" s="21">
        <v>1</v>
      </c>
      <c r="AF321" s="21">
        <v>401.7</v>
      </c>
      <c r="AG321" s="21" t="s">
        <v>202</v>
      </c>
    </row>
    <row r="322" spans="1:33" x14ac:dyDescent="0.25">
      <c r="A322" s="22"/>
      <c r="B322" s="21" t="s">
        <v>1206</v>
      </c>
      <c r="C322" s="21" t="s">
        <v>633</v>
      </c>
      <c r="D322" s="21" t="s">
        <v>1247</v>
      </c>
      <c r="E322" s="21" t="s">
        <v>1210</v>
      </c>
      <c r="F322" s="21" t="s">
        <v>1248</v>
      </c>
      <c r="G322" s="21" t="s">
        <v>1209</v>
      </c>
      <c r="H322" s="21" t="s">
        <v>1206</v>
      </c>
      <c r="I322" s="21" t="s">
        <v>169</v>
      </c>
      <c r="J322" s="21" t="s">
        <v>170</v>
      </c>
      <c r="K322" s="21" t="s">
        <v>157</v>
      </c>
      <c r="L322" s="21" t="s">
        <v>225</v>
      </c>
      <c r="M322" s="21" t="s">
        <v>705</v>
      </c>
      <c r="N322" s="35">
        <v>881.2</v>
      </c>
      <c r="O322" s="33">
        <v>135986.78</v>
      </c>
      <c r="P322" s="21" t="s">
        <v>705</v>
      </c>
      <c r="Q322" s="21">
        <v>0</v>
      </c>
      <c r="R322" s="21">
        <v>2.5</v>
      </c>
      <c r="S322" s="21">
        <v>3399.67</v>
      </c>
      <c r="T322" s="21">
        <v>2.5</v>
      </c>
      <c r="U322" s="21">
        <v>3399.67</v>
      </c>
      <c r="V322" s="21">
        <v>0</v>
      </c>
      <c r="W322" s="21">
        <v>0</v>
      </c>
      <c r="X322" s="21">
        <v>0</v>
      </c>
      <c r="Y322" s="21">
        <v>6799.34</v>
      </c>
      <c r="Z322" s="21">
        <v>0</v>
      </c>
      <c r="AA322" s="21" t="s">
        <v>176</v>
      </c>
      <c r="AB322" s="21" t="s">
        <v>184</v>
      </c>
      <c r="AC322" s="21">
        <v>54026930</v>
      </c>
      <c r="AD322" s="21" t="s">
        <v>201</v>
      </c>
      <c r="AE322" s="21">
        <v>1</v>
      </c>
      <c r="AF322" s="21">
        <v>881.2</v>
      </c>
      <c r="AG322" s="21" t="s">
        <v>202</v>
      </c>
    </row>
    <row r="323" spans="1:33" x14ac:dyDescent="0.25">
      <c r="A323" s="22"/>
      <c r="B323" s="21" t="s">
        <v>1211</v>
      </c>
      <c r="C323" s="21" t="s">
        <v>663</v>
      </c>
      <c r="D323" s="21" t="s">
        <v>1247</v>
      </c>
      <c r="E323" s="21" t="s">
        <v>1216</v>
      </c>
      <c r="F323" s="21" t="s">
        <v>1248</v>
      </c>
      <c r="G323" s="21" t="s">
        <v>1215</v>
      </c>
      <c r="H323" s="21" t="s">
        <v>1206</v>
      </c>
      <c r="I323" s="21" t="s">
        <v>169</v>
      </c>
      <c r="J323" s="21" t="s">
        <v>179</v>
      </c>
      <c r="K323" s="21" t="s">
        <v>155</v>
      </c>
      <c r="L323" s="21" t="s">
        <v>203</v>
      </c>
      <c r="M323" s="21" t="s">
        <v>183</v>
      </c>
      <c r="N323" s="33">
        <v>8863</v>
      </c>
      <c r="O323" s="33">
        <v>1386970.87</v>
      </c>
      <c r="P323" s="21" t="s">
        <v>183</v>
      </c>
      <c r="Q323" s="21">
        <v>1783781.04</v>
      </c>
      <c r="R323" s="21">
        <v>9</v>
      </c>
      <c r="S323" s="21">
        <v>124827.38</v>
      </c>
      <c r="T323" s="21">
        <v>9</v>
      </c>
      <c r="U323" s="21">
        <v>124827.38</v>
      </c>
      <c r="V323" s="21">
        <v>0</v>
      </c>
      <c r="W323" s="21">
        <v>0</v>
      </c>
      <c r="X323" s="21">
        <v>0</v>
      </c>
      <c r="Y323" s="21">
        <v>249654.76</v>
      </c>
      <c r="Z323" s="21">
        <v>0</v>
      </c>
      <c r="AA323" s="21" t="s">
        <v>185</v>
      </c>
      <c r="AB323" s="21" t="s">
        <v>168</v>
      </c>
      <c r="AC323" s="21">
        <v>39269080</v>
      </c>
      <c r="AD323" s="21" t="s">
        <v>201</v>
      </c>
      <c r="AE323" s="21">
        <v>1</v>
      </c>
      <c r="AF323" s="33">
        <v>8863</v>
      </c>
      <c r="AG323" s="21" t="s">
        <v>202</v>
      </c>
    </row>
    <row r="324" spans="1:33" x14ac:dyDescent="0.25">
      <c r="A324" s="22"/>
      <c r="B324" s="21" t="s">
        <v>1211</v>
      </c>
      <c r="C324" s="21" t="s">
        <v>663</v>
      </c>
      <c r="D324" s="21" t="s">
        <v>1247</v>
      </c>
      <c r="E324" s="21" t="s">
        <v>1216</v>
      </c>
      <c r="F324" s="21" t="s">
        <v>1248</v>
      </c>
      <c r="G324" s="21" t="s">
        <v>1215</v>
      </c>
      <c r="H324" s="21" t="s">
        <v>1206</v>
      </c>
      <c r="I324" s="21" t="s">
        <v>169</v>
      </c>
      <c r="J324" s="21" t="s">
        <v>175</v>
      </c>
      <c r="K324" s="21" t="s">
        <v>159</v>
      </c>
      <c r="L324" s="21" t="s">
        <v>159</v>
      </c>
      <c r="M324" s="21" t="s">
        <v>173</v>
      </c>
      <c r="N324" s="21">
        <v>737</v>
      </c>
      <c r="O324" s="33">
        <v>125990.15</v>
      </c>
      <c r="P324" s="21" t="s">
        <v>173</v>
      </c>
      <c r="Q324" s="21">
        <v>0</v>
      </c>
      <c r="R324" s="21">
        <v>9</v>
      </c>
      <c r="S324" s="21">
        <v>11339.11</v>
      </c>
      <c r="T324" s="21">
        <v>9</v>
      </c>
      <c r="U324" s="21">
        <v>11339.11</v>
      </c>
      <c r="V324" s="21">
        <v>0</v>
      </c>
      <c r="W324" s="21">
        <v>0</v>
      </c>
      <c r="X324" s="21">
        <v>0</v>
      </c>
      <c r="Y324" s="21">
        <v>22678.22</v>
      </c>
      <c r="Z324" s="21">
        <v>0</v>
      </c>
      <c r="AA324" s="21" t="s">
        <v>185</v>
      </c>
      <c r="AB324" s="21" t="s">
        <v>168</v>
      </c>
      <c r="AC324" s="21">
        <v>39200000</v>
      </c>
      <c r="AD324" s="21" t="s">
        <v>201</v>
      </c>
      <c r="AE324" s="21">
        <v>1</v>
      </c>
      <c r="AF324" s="21">
        <v>737</v>
      </c>
      <c r="AG324" s="21" t="s">
        <v>202</v>
      </c>
    </row>
    <row r="325" spans="1:33" x14ac:dyDescent="0.25">
      <c r="A325" s="22"/>
      <c r="B325" s="21" t="s">
        <v>1211</v>
      </c>
      <c r="C325" s="21" t="s">
        <v>633</v>
      </c>
      <c r="D325" s="21" t="s">
        <v>1247</v>
      </c>
      <c r="E325" s="21" t="s">
        <v>1220</v>
      </c>
      <c r="F325" s="21" t="s">
        <v>1248</v>
      </c>
      <c r="G325" s="21" t="s">
        <v>1219</v>
      </c>
      <c r="H325" s="21" t="s">
        <v>1211</v>
      </c>
      <c r="I325" s="21" t="s">
        <v>169</v>
      </c>
      <c r="J325" s="21" t="s">
        <v>181</v>
      </c>
      <c r="K325" s="21" t="s">
        <v>154</v>
      </c>
      <c r="L325" s="21" t="s">
        <v>154</v>
      </c>
      <c r="M325" s="21" t="s">
        <v>181</v>
      </c>
      <c r="N325" s="21">
        <v>198.1</v>
      </c>
      <c r="O325" s="33">
        <v>32749.89</v>
      </c>
      <c r="P325" s="21" t="s">
        <v>181</v>
      </c>
      <c r="Q325" s="21">
        <v>459607.21</v>
      </c>
      <c r="R325" s="21">
        <v>9</v>
      </c>
      <c r="S325" s="21">
        <v>2947.49</v>
      </c>
      <c r="T325" s="21">
        <v>9</v>
      </c>
      <c r="U325" s="21">
        <v>2947.49</v>
      </c>
      <c r="V325" s="21">
        <v>0</v>
      </c>
      <c r="W325" s="21">
        <v>0</v>
      </c>
      <c r="X325" s="21">
        <v>0</v>
      </c>
      <c r="Y325" s="21">
        <v>5894.98</v>
      </c>
      <c r="Z325" s="21">
        <v>0</v>
      </c>
      <c r="AA325" s="21" t="s">
        <v>176</v>
      </c>
      <c r="AB325" s="21" t="s">
        <v>168</v>
      </c>
      <c r="AC325" s="21">
        <v>3926908</v>
      </c>
      <c r="AD325" s="21" t="s">
        <v>201</v>
      </c>
      <c r="AE325" s="21">
        <v>1</v>
      </c>
      <c r="AF325" s="21">
        <v>198.1</v>
      </c>
      <c r="AG325" s="21" t="s">
        <v>202</v>
      </c>
    </row>
    <row r="326" spans="1:33" x14ac:dyDescent="0.25">
      <c r="A326" s="22"/>
      <c r="B326" s="21" t="s">
        <v>1211</v>
      </c>
      <c r="C326" s="21" t="s">
        <v>633</v>
      </c>
      <c r="D326" s="21" t="s">
        <v>1247</v>
      </c>
      <c r="E326" s="21" t="s">
        <v>1220</v>
      </c>
      <c r="F326" s="21" t="s">
        <v>1248</v>
      </c>
      <c r="G326" s="21" t="s">
        <v>1219</v>
      </c>
      <c r="H326" s="21" t="s">
        <v>1211</v>
      </c>
      <c r="I326" s="21" t="s">
        <v>169</v>
      </c>
      <c r="J326" s="21" t="s">
        <v>181</v>
      </c>
      <c r="K326" s="21" t="s">
        <v>154</v>
      </c>
      <c r="L326" s="21" t="s">
        <v>154</v>
      </c>
      <c r="M326" s="21" t="s">
        <v>181</v>
      </c>
      <c r="N326" s="33">
        <v>1033.5999999999999</v>
      </c>
      <c r="O326" s="33">
        <v>152269.95000000001</v>
      </c>
      <c r="P326" s="21" t="s">
        <v>181</v>
      </c>
      <c r="Q326" s="21">
        <v>0</v>
      </c>
      <c r="R326" s="21">
        <v>9</v>
      </c>
      <c r="S326" s="21">
        <v>13704.3</v>
      </c>
      <c r="T326" s="21">
        <v>9</v>
      </c>
      <c r="U326" s="21">
        <v>13704.3</v>
      </c>
      <c r="V326" s="21">
        <v>0</v>
      </c>
      <c r="W326" s="21">
        <v>0</v>
      </c>
      <c r="X326" s="21">
        <v>0</v>
      </c>
      <c r="Y326" s="21">
        <v>27408.6</v>
      </c>
      <c r="Z326" s="21">
        <v>0</v>
      </c>
      <c r="AA326" s="21" t="s">
        <v>176</v>
      </c>
      <c r="AB326" s="21" t="s">
        <v>168</v>
      </c>
      <c r="AC326" s="21">
        <v>3926908</v>
      </c>
      <c r="AD326" s="21" t="s">
        <v>201</v>
      </c>
      <c r="AE326" s="21">
        <v>1</v>
      </c>
      <c r="AF326" s="33">
        <v>1033.5999999999999</v>
      </c>
      <c r="AG326" s="21" t="s">
        <v>202</v>
      </c>
    </row>
    <row r="327" spans="1:33" x14ac:dyDescent="0.25">
      <c r="A327" s="22"/>
      <c r="B327" s="21" t="s">
        <v>1211</v>
      </c>
      <c r="C327" s="21" t="s">
        <v>633</v>
      </c>
      <c r="D327" s="21" t="s">
        <v>1247</v>
      </c>
      <c r="E327" s="21" t="s">
        <v>1220</v>
      </c>
      <c r="F327" s="21" t="s">
        <v>1248</v>
      </c>
      <c r="G327" s="21" t="s">
        <v>1219</v>
      </c>
      <c r="H327" s="21" t="s">
        <v>1211</v>
      </c>
      <c r="I327" s="21" t="s">
        <v>169</v>
      </c>
      <c r="J327" s="21" t="s">
        <v>181</v>
      </c>
      <c r="K327" s="21" t="s">
        <v>154</v>
      </c>
      <c r="L327" s="21" t="s">
        <v>154</v>
      </c>
      <c r="M327" s="21" t="s">
        <v>181</v>
      </c>
      <c r="N327" s="21">
        <v>90</v>
      </c>
      <c r="O327" s="33">
        <v>12988.8</v>
      </c>
      <c r="P327" s="21" t="s">
        <v>181</v>
      </c>
      <c r="Q327" s="21">
        <v>0</v>
      </c>
      <c r="R327" s="21">
        <v>9</v>
      </c>
      <c r="S327" s="21">
        <v>1168.99</v>
      </c>
      <c r="T327" s="21">
        <v>9</v>
      </c>
      <c r="U327" s="21">
        <v>1168.99</v>
      </c>
      <c r="V327" s="21">
        <v>0</v>
      </c>
      <c r="W327" s="21">
        <v>0</v>
      </c>
      <c r="X327" s="21">
        <v>0</v>
      </c>
      <c r="Y327" s="21">
        <v>2337.98</v>
      </c>
      <c r="Z327" s="21">
        <v>0</v>
      </c>
      <c r="AA327" s="21" t="s">
        <v>176</v>
      </c>
      <c r="AB327" s="21" t="s">
        <v>168</v>
      </c>
      <c r="AC327" s="21">
        <v>3926908</v>
      </c>
      <c r="AD327" s="21" t="s">
        <v>201</v>
      </c>
      <c r="AE327" s="21">
        <v>1</v>
      </c>
      <c r="AF327" s="21">
        <v>90</v>
      </c>
      <c r="AG327" s="21" t="s">
        <v>202</v>
      </c>
    </row>
    <row r="328" spans="1:33" x14ac:dyDescent="0.25">
      <c r="A328" s="22"/>
      <c r="B328" s="21" t="s">
        <v>1211</v>
      </c>
      <c r="C328" s="21" t="s">
        <v>633</v>
      </c>
      <c r="D328" s="21" t="s">
        <v>1247</v>
      </c>
      <c r="E328" s="21" t="s">
        <v>1220</v>
      </c>
      <c r="F328" s="21" t="s">
        <v>1248</v>
      </c>
      <c r="G328" s="21" t="s">
        <v>1219</v>
      </c>
      <c r="H328" s="21" t="s">
        <v>1211</v>
      </c>
      <c r="I328" s="21" t="s">
        <v>169</v>
      </c>
      <c r="J328" s="21" t="s">
        <v>179</v>
      </c>
      <c r="K328" s="21" t="s">
        <v>156</v>
      </c>
      <c r="L328" s="21" t="s">
        <v>211</v>
      </c>
      <c r="M328" s="21" t="s">
        <v>178</v>
      </c>
      <c r="N328" s="21">
        <v>60</v>
      </c>
      <c r="O328" s="33">
        <v>8959.2000000000007</v>
      </c>
      <c r="P328" s="21" t="s">
        <v>178</v>
      </c>
      <c r="Q328" s="21">
        <v>0</v>
      </c>
      <c r="R328" s="21">
        <v>9</v>
      </c>
      <c r="S328" s="21">
        <v>806.33</v>
      </c>
      <c r="T328" s="21">
        <v>9</v>
      </c>
      <c r="U328" s="21">
        <v>806.33</v>
      </c>
      <c r="V328" s="21">
        <v>0</v>
      </c>
      <c r="W328" s="21">
        <v>0</v>
      </c>
      <c r="X328" s="21">
        <v>0</v>
      </c>
      <c r="Y328" s="21">
        <v>1612.66</v>
      </c>
      <c r="Z328" s="21">
        <v>0</v>
      </c>
      <c r="AA328" s="21" t="s">
        <v>176</v>
      </c>
      <c r="AB328" s="21" t="s">
        <v>168</v>
      </c>
      <c r="AC328" s="21">
        <v>63053300</v>
      </c>
      <c r="AD328" s="21" t="s">
        <v>201</v>
      </c>
      <c r="AE328" s="21">
        <v>1</v>
      </c>
      <c r="AF328" s="21">
        <v>60</v>
      </c>
      <c r="AG328" s="21" t="s">
        <v>202</v>
      </c>
    </row>
    <row r="329" spans="1:33" x14ac:dyDescent="0.25">
      <c r="A329" s="22"/>
      <c r="B329" s="21" t="s">
        <v>1211</v>
      </c>
      <c r="C329" s="21" t="s">
        <v>633</v>
      </c>
      <c r="D329" s="21" t="s">
        <v>1247</v>
      </c>
      <c r="E329" s="21" t="s">
        <v>1220</v>
      </c>
      <c r="F329" s="21" t="s">
        <v>1248</v>
      </c>
      <c r="G329" s="21" t="s">
        <v>1219</v>
      </c>
      <c r="H329" s="21" t="s">
        <v>1211</v>
      </c>
      <c r="I329" s="21" t="s">
        <v>169</v>
      </c>
      <c r="J329" s="21" t="s">
        <v>179</v>
      </c>
      <c r="K329" s="21" t="s">
        <v>155</v>
      </c>
      <c r="L329" s="21" t="s">
        <v>203</v>
      </c>
      <c r="M329" s="21" t="s">
        <v>183</v>
      </c>
      <c r="N329" s="21">
        <v>622</v>
      </c>
      <c r="O329" s="33">
        <v>91633.04</v>
      </c>
      <c r="P329" s="21" t="s">
        <v>183</v>
      </c>
      <c r="Q329" s="21">
        <v>0</v>
      </c>
      <c r="R329" s="21">
        <v>9</v>
      </c>
      <c r="S329" s="21">
        <v>8246.9699999999993</v>
      </c>
      <c r="T329" s="21">
        <v>9</v>
      </c>
      <c r="U329" s="21">
        <v>8246.9699999999993</v>
      </c>
      <c r="V329" s="21">
        <v>0</v>
      </c>
      <c r="W329" s="21">
        <v>0</v>
      </c>
      <c r="X329" s="21">
        <v>0</v>
      </c>
      <c r="Y329" s="21">
        <v>16493.939999999999</v>
      </c>
      <c r="Z329" s="21">
        <v>0</v>
      </c>
      <c r="AA329" s="21" t="s">
        <v>176</v>
      </c>
      <c r="AB329" s="21" t="s">
        <v>168</v>
      </c>
      <c r="AC329" s="21">
        <v>39269080</v>
      </c>
      <c r="AD329" s="21" t="s">
        <v>201</v>
      </c>
      <c r="AE329" s="21">
        <v>1</v>
      </c>
      <c r="AF329" s="21">
        <v>622</v>
      </c>
      <c r="AG329" s="21" t="s">
        <v>202</v>
      </c>
    </row>
    <row r="330" spans="1:33" x14ac:dyDescent="0.25">
      <c r="A330" s="22"/>
      <c r="B330" s="21" t="s">
        <v>1211</v>
      </c>
      <c r="C330" s="21" t="s">
        <v>633</v>
      </c>
      <c r="D330" s="21" t="s">
        <v>1247</v>
      </c>
      <c r="E330" s="21" t="s">
        <v>1220</v>
      </c>
      <c r="F330" s="21" t="s">
        <v>1248</v>
      </c>
      <c r="G330" s="21" t="s">
        <v>1219</v>
      </c>
      <c r="H330" s="21" t="s">
        <v>1211</v>
      </c>
      <c r="I330" s="21" t="s">
        <v>169</v>
      </c>
      <c r="J330" s="21" t="s">
        <v>179</v>
      </c>
      <c r="K330" s="21" t="s">
        <v>155</v>
      </c>
      <c r="L330" s="21" t="s">
        <v>203</v>
      </c>
      <c r="M330" s="21" t="s">
        <v>183</v>
      </c>
      <c r="N330" s="21">
        <v>641</v>
      </c>
      <c r="O330" s="33">
        <v>91227.12</v>
      </c>
      <c r="P330" s="21" t="s">
        <v>183</v>
      </c>
      <c r="Q330" s="21">
        <v>0</v>
      </c>
      <c r="R330" s="21">
        <v>9</v>
      </c>
      <c r="S330" s="21">
        <v>8210.44</v>
      </c>
      <c r="T330" s="21">
        <v>9</v>
      </c>
      <c r="U330" s="21">
        <v>8210.44</v>
      </c>
      <c r="V330" s="21">
        <v>0</v>
      </c>
      <c r="W330" s="21">
        <v>0</v>
      </c>
      <c r="X330" s="21">
        <v>0</v>
      </c>
      <c r="Y330" s="21">
        <v>16420.88</v>
      </c>
      <c r="Z330" s="21">
        <v>0</v>
      </c>
      <c r="AA330" s="21" t="s">
        <v>176</v>
      </c>
      <c r="AB330" s="21" t="s">
        <v>168</v>
      </c>
      <c r="AC330" s="21">
        <v>39269080</v>
      </c>
      <c r="AD330" s="21" t="s">
        <v>201</v>
      </c>
      <c r="AE330" s="21">
        <v>1</v>
      </c>
      <c r="AF330" s="21">
        <v>641</v>
      </c>
      <c r="AG330" s="21" t="s">
        <v>202</v>
      </c>
    </row>
    <row r="331" spans="1:33" x14ac:dyDescent="0.25">
      <c r="A331" s="22"/>
      <c r="B331" s="21" t="s">
        <v>1221</v>
      </c>
      <c r="C331" s="21" t="s">
        <v>633</v>
      </c>
      <c r="D331" s="21" t="s">
        <v>1247</v>
      </c>
      <c r="E331" s="21" t="s">
        <v>1225</v>
      </c>
      <c r="F331" s="21" t="s">
        <v>1248</v>
      </c>
      <c r="G331" s="21" t="s">
        <v>1224</v>
      </c>
      <c r="H331" s="21" t="s">
        <v>1221</v>
      </c>
      <c r="I331" s="21" t="s">
        <v>169</v>
      </c>
      <c r="J331" s="21" t="s">
        <v>175</v>
      </c>
      <c r="K331" s="21" t="s">
        <v>159</v>
      </c>
      <c r="L331" s="21" t="s">
        <v>159</v>
      </c>
      <c r="M331" s="21" t="s">
        <v>173</v>
      </c>
      <c r="N331" s="21">
        <v>186.6</v>
      </c>
      <c r="O331" s="33">
        <v>33002.080000000002</v>
      </c>
      <c r="P331" s="21" t="s">
        <v>173</v>
      </c>
      <c r="Q331" s="21">
        <v>38909.46</v>
      </c>
      <c r="R331" s="21">
        <v>9</v>
      </c>
      <c r="S331" s="21">
        <v>2970.19</v>
      </c>
      <c r="T331" s="21">
        <v>9</v>
      </c>
      <c r="U331" s="21">
        <v>2970.19</v>
      </c>
      <c r="V331" s="21">
        <v>0</v>
      </c>
      <c r="W331" s="21">
        <v>0</v>
      </c>
      <c r="X331" s="21">
        <v>0</v>
      </c>
      <c r="Y331" s="21">
        <v>5940.38</v>
      </c>
      <c r="Z331" s="21">
        <v>0</v>
      </c>
      <c r="AA331" s="21" t="s">
        <v>176</v>
      </c>
      <c r="AB331" s="21" t="s">
        <v>168</v>
      </c>
      <c r="AC331" s="21">
        <v>39200000</v>
      </c>
      <c r="AD331" s="21" t="s">
        <v>201</v>
      </c>
      <c r="AE331" s="21">
        <v>1</v>
      </c>
      <c r="AF331" s="21">
        <v>186.6</v>
      </c>
      <c r="AG331" s="21" t="s">
        <v>202</v>
      </c>
    </row>
    <row r="332" spans="1:33" x14ac:dyDescent="0.25">
      <c r="A332" s="22"/>
      <c r="B332" s="21" t="s">
        <v>1221</v>
      </c>
      <c r="C332" s="21" t="s">
        <v>633</v>
      </c>
      <c r="D332" s="21" t="s">
        <v>1252</v>
      </c>
      <c r="E332" s="21" t="s">
        <v>1229</v>
      </c>
      <c r="F332" s="21" t="s">
        <v>1248</v>
      </c>
      <c r="G332" s="21" t="s">
        <v>1228</v>
      </c>
      <c r="H332" s="21" t="s">
        <v>1221</v>
      </c>
      <c r="I332" s="21" t="s">
        <v>639</v>
      </c>
      <c r="J332" s="21" t="s">
        <v>648</v>
      </c>
      <c r="K332" s="21" t="s">
        <v>313</v>
      </c>
      <c r="L332" s="21" t="s">
        <v>1250</v>
      </c>
      <c r="M332" s="21" t="s">
        <v>956</v>
      </c>
      <c r="N332" s="21">
        <v>75</v>
      </c>
      <c r="O332" s="33">
        <v>20400</v>
      </c>
      <c r="P332" s="21" t="s">
        <v>956</v>
      </c>
      <c r="Q332" s="21">
        <v>159341.85</v>
      </c>
      <c r="R332" s="21">
        <v>9</v>
      </c>
      <c r="S332" s="21">
        <v>1836</v>
      </c>
      <c r="T332" s="21">
        <v>9</v>
      </c>
      <c r="U332" s="21">
        <v>1836</v>
      </c>
      <c r="V332" s="21">
        <v>0</v>
      </c>
      <c r="W332" s="21">
        <v>0</v>
      </c>
      <c r="X332" s="21">
        <v>0</v>
      </c>
      <c r="Y332" s="21">
        <v>3672</v>
      </c>
      <c r="Z332" s="21">
        <v>0</v>
      </c>
      <c r="AA332" s="21" t="s">
        <v>176</v>
      </c>
      <c r="AB332" s="21" t="s">
        <v>168</v>
      </c>
      <c r="AC332" s="21">
        <v>320649</v>
      </c>
      <c r="AD332" s="21" t="s">
        <v>201</v>
      </c>
      <c r="AE332" s="21">
        <v>1</v>
      </c>
      <c r="AF332" s="21">
        <v>75</v>
      </c>
      <c r="AG332" s="21" t="s">
        <v>202</v>
      </c>
    </row>
    <row r="333" spans="1:33" x14ac:dyDescent="0.25">
      <c r="A333" s="22"/>
      <c r="B333" s="21" t="s">
        <v>1221</v>
      </c>
      <c r="C333" s="21" t="s">
        <v>633</v>
      </c>
      <c r="D333" s="21" t="s">
        <v>1252</v>
      </c>
      <c r="E333" s="21" t="s">
        <v>1229</v>
      </c>
      <c r="F333" s="21" t="s">
        <v>1248</v>
      </c>
      <c r="G333" s="21" t="s">
        <v>1228</v>
      </c>
      <c r="H333" s="21" t="s">
        <v>1221</v>
      </c>
      <c r="I333" s="21" t="s">
        <v>639</v>
      </c>
      <c r="J333" s="21" t="s">
        <v>648</v>
      </c>
      <c r="K333" s="21" t="s">
        <v>313</v>
      </c>
      <c r="L333" s="21" t="s">
        <v>1250</v>
      </c>
      <c r="M333" s="21" t="s">
        <v>710</v>
      </c>
      <c r="N333" s="21">
        <v>500</v>
      </c>
      <c r="O333" s="33">
        <v>91500</v>
      </c>
      <c r="P333" s="21" t="s">
        <v>710</v>
      </c>
      <c r="Q333" s="21">
        <v>0</v>
      </c>
      <c r="R333" s="21">
        <v>9</v>
      </c>
      <c r="S333" s="21">
        <v>8235</v>
      </c>
      <c r="T333" s="21">
        <v>9</v>
      </c>
      <c r="U333" s="21">
        <v>8235</v>
      </c>
      <c r="V333" s="21">
        <v>0</v>
      </c>
      <c r="W333" s="21">
        <v>0</v>
      </c>
      <c r="X333" s="21">
        <v>0</v>
      </c>
      <c r="Y333" s="21">
        <v>16470</v>
      </c>
      <c r="Z333" s="21">
        <v>0</v>
      </c>
      <c r="AA333" s="21" t="s">
        <v>176</v>
      </c>
      <c r="AB333" s="21" t="s">
        <v>168</v>
      </c>
      <c r="AC333" s="21">
        <v>38123990</v>
      </c>
      <c r="AD333" s="21" t="s">
        <v>201</v>
      </c>
      <c r="AE333" s="21">
        <v>1</v>
      </c>
      <c r="AF333" s="21">
        <v>500</v>
      </c>
      <c r="AG333" s="21" t="s">
        <v>202</v>
      </c>
    </row>
    <row r="334" spans="1:33" x14ac:dyDescent="0.25">
      <c r="A334" s="22"/>
      <c r="B334" s="21" t="s">
        <v>1221</v>
      </c>
      <c r="C334" s="21" t="s">
        <v>633</v>
      </c>
      <c r="D334" s="21" t="s">
        <v>1252</v>
      </c>
      <c r="E334" s="21" t="s">
        <v>1229</v>
      </c>
      <c r="F334" s="21" t="s">
        <v>1248</v>
      </c>
      <c r="G334" s="21" t="s">
        <v>1228</v>
      </c>
      <c r="H334" s="21" t="s">
        <v>1221</v>
      </c>
      <c r="I334" s="21" t="s">
        <v>639</v>
      </c>
      <c r="J334" s="21" t="s">
        <v>648</v>
      </c>
      <c r="K334" s="21" t="s">
        <v>313</v>
      </c>
      <c r="L334" s="21" t="s">
        <v>1250</v>
      </c>
      <c r="M334" s="21" t="s">
        <v>963</v>
      </c>
      <c r="N334" s="21">
        <v>150</v>
      </c>
      <c r="O334" s="33">
        <v>23250</v>
      </c>
      <c r="P334" s="21" t="s">
        <v>963</v>
      </c>
      <c r="Q334" s="21">
        <v>0</v>
      </c>
      <c r="R334" s="21">
        <v>9</v>
      </c>
      <c r="S334" s="21">
        <v>2092.5</v>
      </c>
      <c r="T334" s="21">
        <v>9</v>
      </c>
      <c r="U334" s="21">
        <v>2092.5</v>
      </c>
      <c r="V334" s="21">
        <v>0</v>
      </c>
      <c r="W334" s="21">
        <v>0</v>
      </c>
      <c r="X334" s="21">
        <v>0</v>
      </c>
      <c r="Y334" s="21">
        <v>4185</v>
      </c>
      <c r="Z334" s="21">
        <v>0</v>
      </c>
      <c r="AA334" s="21" t="s">
        <v>176</v>
      </c>
      <c r="AB334" s="21" t="s">
        <v>168</v>
      </c>
      <c r="AC334" s="21">
        <v>32064990</v>
      </c>
      <c r="AD334" s="21" t="s">
        <v>201</v>
      </c>
      <c r="AE334" s="21">
        <v>1</v>
      </c>
      <c r="AF334" s="21">
        <v>150</v>
      </c>
      <c r="AG334" s="21" t="s">
        <v>202</v>
      </c>
    </row>
    <row r="335" spans="1:33" x14ac:dyDescent="0.25">
      <c r="A335" s="22"/>
      <c r="B335" s="21" t="s">
        <v>1221</v>
      </c>
      <c r="C335" s="21" t="s">
        <v>633</v>
      </c>
      <c r="D335" s="21" t="s">
        <v>1247</v>
      </c>
      <c r="E335" s="21" t="s">
        <v>1233</v>
      </c>
      <c r="F335" s="21" t="s">
        <v>1248</v>
      </c>
      <c r="G335" s="21" t="s">
        <v>1232</v>
      </c>
      <c r="H335" s="21" t="s">
        <v>1221</v>
      </c>
      <c r="I335" s="21" t="s">
        <v>169</v>
      </c>
      <c r="J335" s="21" t="s">
        <v>181</v>
      </c>
      <c r="K335" s="21" t="s">
        <v>154</v>
      </c>
      <c r="L335" s="21" t="s">
        <v>154</v>
      </c>
      <c r="M335" s="21" t="s">
        <v>181</v>
      </c>
      <c r="N335" s="21">
        <v>170.2</v>
      </c>
      <c r="O335" s="33">
        <v>28137.46</v>
      </c>
      <c r="P335" s="21" t="s">
        <v>181</v>
      </c>
      <c r="Q335" s="21">
        <v>836425.9</v>
      </c>
      <c r="R335" s="21">
        <v>9</v>
      </c>
      <c r="S335" s="21">
        <v>2532.37</v>
      </c>
      <c r="T335" s="21">
        <v>9</v>
      </c>
      <c r="U335" s="21">
        <v>2532.37</v>
      </c>
      <c r="V335" s="21">
        <v>0</v>
      </c>
      <c r="W335" s="21">
        <v>0</v>
      </c>
      <c r="X335" s="21">
        <v>0</v>
      </c>
      <c r="Y335" s="21">
        <v>5064.74</v>
      </c>
      <c r="Z335" s="21">
        <v>0</v>
      </c>
      <c r="AA335" s="21" t="s">
        <v>176</v>
      </c>
      <c r="AB335" s="21" t="s">
        <v>168</v>
      </c>
      <c r="AC335" s="21">
        <v>3926908</v>
      </c>
      <c r="AD335" s="21" t="s">
        <v>201</v>
      </c>
      <c r="AE335" s="21">
        <v>1</v>
      </c>
      <c r="AF335" s="21">
        <v>170.2</v>
      </c>
      <c r="AG335" s="21" t="s">
        <v>202</v>
      </c>
    </row>
    <row r="336" spans="1:33" x14ac:dyDescent="0.25">
      <c r="A336" s="22"/>
      <c r="B336" s="21" t="s">
        <v>1221</v>
      </c>
      <c r="C336" s="21" t="s">
        <v>633</v>
      </c>
      <c r="D336" s="21" t="s">
        <v>1247</v>
      </c>
      <c r="E336" s="21" t="s">
        <v>1233</v>
      </c>
      <c r="F336" s="21" t="s">
        <v>1248</v>
      </c>
      <c r="G336" s="21" t="s">
        <v>1232</v>
      </c>
      <c r="H336" s="21" t="s">
        <v>1221</v>
      </c>
      <c r="I336" s="21" t="s">
        <v>169</v>
      </c>
      <c r="J336" s="21" t="s">
        <v>181</v>
      </c>
      <c r="K336" s="21" t="s">
        <v>154</v>
      </c>
      <c r="L336" s="21" t="s">
        <v>154</v>
      </c>
      <c r="M336" s="21" t="s">
        <v>181</v>
      </c>
      <c r="N336" s="21">
        <v>53.1</v>
      </c>
      <c r="O336" s="33">
        <v>7663.39</v>
      </c>
      <c r="P336" s="21" t="s">
        <v>181</v>
      </c>
      <c r="Q336" s="21">
        <v>0</v>
      </c>
      <c r="R336" s="21">
        <v>9</v>
      </c>
      <c r="S336" s="21">
        <v>689.71</v>
      </c>
      <c r="T336" s="21">
        <v>9</v>
      </c>
      <c r="U336" s="21">
        <v>689.71</v>
      </c>
      <c r="V336" s="21">
        <v>0</v>
      </c>
      <c r="W336" s="21">
        <v>0</v>
      </c>
      <c r="X336" s="21">
        <v>0</v>
      </c>
      <c r="Y336" s="21">
        <v>1379.42</v>
      </c>
      <c r="Z336" s="21">
        <v>0</v>
      </c>
      <c r="AA336" s="21" t="s">
        <v>176</v>
      </c>
      <c r="AB336" s="21" t="s">
        <v>168</v>
      </c>
      <c r="AC336" s="21">
        <v>3926908</v>
      </c>
      <c r="AD336" s="21" t="s">
        <v>201</v>
      </c>
      <c r="AE336" s="21">
        <v>1</v>
      </c>
      <c r="AF336" s="21">
        <v>53.1</v>
      </c>
      <c r="AG336" s="21" t="s">
        <v>202</v>
      </c>
    </row>
    <row r="337" spans="1:33" x14ac:dyDescent="0.25">
      <c r="A337" s="22"/>
      <c r="B337" s="21" t="s">
        <v>1221</v>
      </c>
      <c r="C337" s="21" t="s">
        <v>633</v>
      </c>
      <c r="D337" s="21" t="s">
        <v>1247</v>
      </c>
      <c r="E337" s="21" t="s">
        <v>1233</v>
      </c>
      <c r="F337" s="21" t="s">
        <v>1248</v>
      </c>
      <c r="G337" s="21" t="s">
        <v>1232</v>
      </c>
      <c r="H337" s="21" t="s">
        <v>1221</v>
      </c>
      <c r="I337" s="21" t="s">
        <v>169</v>
      </c>
      <c r="J337" s="21" t="s">
        <v>181</v>
      </c>
      <c r="K337" s="21" t="s">
        <v>154</v>
      </c>
      <c r="L337" s="21" t="s">
        <v>154</v>
      </c>
      <c r="M337" s="21" t="s">
        <v>181</v>
      </c>
      <c r="N337" s="21">
        <v>677.1</v>
      </c>
      <c r="O337" s="33">
        <v>99750.37</v>
      </c>
      <c r="P337" s="21" t="s">
        <v>181</v>
      </c>
      <c r="Q337" s="21">
        <v>0</v>
      </c>
      <c r="R337" s="21">
        <v>9</v>
      </c>
      <c r="S337" s="21">
        <v>8977.5300000000007</v>
      </c>
      <c r="T337" s="21">
        <v>9</v>
      </c>
      <c r="U337" s="21">
        <v>8977.5300000000007</v>
      </c>
      <c r="V337" s="21">
        <v>0</v>
      </c>
      <c r="W337" s="21">
        <v>0</v>
      </c>
      <c r="X337" s="21">
        <v>0</v>
      </c>
      <c r="Y337" s="21">
        <v>17955.060000000001</v>
      </c>
      <c r="Z337" s="21">
        <v>0</v>
      </c>
      <c r="AA337" s="21" t="s">
        <v>176</v>
      </c>
      <c r="AB337" s="21" t="s">
        <v>168</v>
      </c>
      <c r="AC337" s="21">
        <v>3926908</v>
      </c>
      <c r="AD337" s="21" t="s">
        <v>201</v>
      </c>
      <c r="AE337" s="21">
        <v>1</v>
      </c>
      <c r="AF337" s="21">
        <v>677.1</v>
      </c>
      <c r="AG337" s="21" t="s">
        <v>202</v>
      </c>
    </row>
    <row r="338" spans="1:33" x14ac:dyDescent="0.25">
      <c r="A338" s="22"/>
      <c r="B338" s="21" t="s">
        <v>1221</v>
      </c>
      <c r="C338" s="21" t="s">
        <v>633</v>
      </c>
      <c r="D338" s="21" t="s">
        <v>1247</v>
      </c>
      <c r="E338" s="21" t="s">
        <v>1233</v>
      </c>
      <c r="F338" s="21" t="s">
        <v>1248</v>
      </c>
      <c r="G338" s="21" t="s">
        <v>1232</v>
      </c>
      <c r="H338" s="21" t="s">
        <v>1221</v>
      </c>
      <c r="I338" s="21" t="s">
        <v>169</v>
      </c>
      <c r="J338" s="21" t="s">
        <v>179</v>
      </c>
      <c r="K338" s="21" t="s">
        <v>156</v>
      </c>
      <c r="L338" s="21" t="s">
        <v>211</v>
      </c>
      <c r="M338" s="21" t="s">
        <v>178</v>
      </c>
      <c r="N338" s="33">
        <v>1396</v>
      </c>
      <c r="O338" s="33">
        <v>208450.72</v>
      </c>
      <c r="P338" s="21" t="s">
        <v>178</v>
      </c>
      <c r="Q338" s="21">
        <v>0</v>
      </c>
      <c r="R338" s="21">
        <v>9</v>
      </c>
      <c r="S338" s="21">
        <v>18760.560000000001</v>
      </c>
      <c r="T338" s="21">
        <v>9</v>
      </c>
      <c r="U338" s="21">
        <v>18760.560000000001</v>
      </c>
      <c r="V338" s="21">
        <v>0</v>
      </c>
      <c r="W338" s="21">
        <v>0</v>
      </c>
      <c r="X338" s="21">
        <v>0</v>
      </c>
      <c r="Y338" s="21">
        <v>37521.120000000003</v>
      </c>
      <c r="Z338" s="21">
        <v>0</v>
      </c>
      <c r="AA338" s="21" t="s">
        <v>176</v>
      </c>
      <c r="AB338" s="21" t="s">
        <v>168</v>
      </c>
      <c r="AC338" s="21">
        <v>63053300</v>
      </c>
      <c r="AD338" s="21" t="s">
        <v>201</v>
      </c>
      <c r="AE338" s="21">
        <v>1</v>
      </c>
      <c r="AF338" s="33">
        <v>1396</v>
      </c>
      <c r="AG338" s="21" t="s">
        <v>202</v>
      </c>
    </row>
    <row r="339" spans="1:33" x14ac:dyDescent="0.25">
      <c r="A339" s="22"/>
      <c r="B339" s="21" t="s">
        <v>1221</v>
      </c>
      <c r="C339" s="21" t="s">
        <v>633</v>
      </c>
      <c r="D339" s="21" t="s">
        <v>1247</v>
      </c>
      <c r="E339" s="21" t="s">
        <v>1233</v>
      </c>
      <c r="F339" s="21" t="s">
        <v>1248</v>
      </c>
      <c r="G339" s="21" t="s">
        <v>1232</v>
      </c>
      <c r="H339" s="21" t="s">
        <v>1221</v>
      </c>
      <c r="I339" s="21" t="s">
        <v>169</v>
      </c>
      <c r="J339" s="21" t="s">
        <v>179</v>
      </c>
      <c r="K339" s="21" t="s">
        <v>155</v>
      </c>
      <c r="L339" s="21" t="s">
        <v>203</v>
      </c>
      <c r="M339" s="21" t="s">
        <v>183</v>
      </c>
      <c r="N339" s="33">
        <v>1264</v>
      </c>
      <c r="O339" s="33">
        <v>186212.48000000001</v>
      </c>
      <c r="P339" s="21" t="s">
        <v>183</v>
      </c>
      <c r="Q339" s="21">
        <v>0</v>
      </c>
      <c r="R339" s="21">
        <v>9</v>
      </c>
      <c r="S339" s="21">
        <v>16759.12</v>
      </c>
      <c r="T339" s="21">
        <v>9</v>
      </c>
      <c r="U339" s="21">
        <v>16759.12</v>
      </c>
      <c r="V339" s="21">
        <v>0</v>
      </c>
      <c r="W339" s="21">
        <v>0</v>
      </c>
      <c r="X339" s="21">
        <v>0</v>
      </c>
      <c r="Y339" s="21">
        <v>33518.239999999998</v>
      </c>
      <c r="Z339" s="21">
        <v>0</v>
      </c>
      <c r="AA339" s="21" t="s">
        <v>176</v>
      </c>
      <c r="AB339" s="21" t="s">
        <v>168</v>
      </c>
      <c r="AC339" s="21">
        <v>39269080</v>
      </c>
      <c r="AD339" s="21" t="s">
        <v>201</v>
      </c>
      <c r="AE339" s="21">
        <v>1</v>
      </c>
      <c r="AF339" s="33">
        <v>1264</v>
      </c>
      <c r="AG339" s="21" t="s">
        <v>202</v>
      </c>
    </row>
    <row r="340" spans="1:33" x14ac:dyDescent="0.25">
      <c r="A340" s="22"/>
      <c r="B340" s="21" t="s">
        <v>1221</v>
      </c>
      <c r="C340" s="21" t="s">
        <v>633</v>
      </c>
      <c r="D340" s="21" t="s">
        <v>1247</v>
      </c>
      <c r="E340" s="21" t="s">
        <v>1233</v>
      </c>
      <c r="F340" s="21" t="s">
        <v>1248</v>
      </c>
      <c r="G340" s="21" t="s">
        <v>1232</v>
      </c>
      <c r="H340" s="21" t="s">
        <v>1221</v>
      </c>
      <c r="I340" s="21" t="s">
        <v>169</v>
      </c>
      <c r="J340" s="21" t="s">
        <v>179</v>
      </c>
      <c r="K340" s="21" t="s">
        <v>155</v>
      </c>
      <c r="L340" s="21" t="s">
        <v>203</v>
      </c>
      <c r="M340" s="21" t="s">
        <v>183</v>
      </c>
      <c r="N340" s="21">
        <v>453</v>
      </c>
      <c r="O340" s="33">
        <v>64470.96</v>
      </c>
      <c r="P340" s="21" t="s">
        <v>183</v>
      </c>
      <c r="Q340" s="21">
        <v>0</v>
      </c>
      <c r="R340" s="21">
        <v>9</v>
      </c>
      <c r="S340" s="21">
        <v>5802.39</v>
      </c>
      <c r="T340" s="21">
        <v>9</v>
      </c>
      <c r="U340" s="21">
        <v>5802.39</v>
      </c>
      <c r="V340" s="21">
        <v>0</v>
      </c>
      <c r="W340" s="21">
        <v>0</v>
      </c>
      <c r="X340" s="21">
        <v>0</v>
      </c>
      <c r="Y340" s="21">
        <v>11604.78</v>
      </c>
      <c r="Z340" s="21">
        <v>0</v>
      </c>
      <c r="AA340" s="21" t="s">
        <v>176</v>
      </c>
      <c r="AB340" s="21" t="s">
        <v>168</v>
      </c>
      <c r="AC340" s="21">
        <v>39269080</v>
      </c>
      <c r="AD340" s="21" t="s">
        <v>201</v>
      </c>
      <c r="AE340" s="21">
        <v>1</v>
      </c>
      <c r="AF340" s="21">
        <v>453</v>
      </c>
      <c r="AG340" s="21" t="s">
        <v>202</v>
      </c>
    </row>
    <row r="341" spans="1:33" x14ac:dyDescent="0.25">
      <c r="A341" s="22"/>
      <c r="B341" s="21" t="s">
        <v>1221</v>
      </c>
      <c r="C341" s="21" t="s">
        <v>633</v>
      </c>
      <c r="D341" s="21" t="s">
        <v>1247</v>
      </c>
      <c r="E341" s="21" t="s">
        <v>1233</v>
      </c>
      <c r="F341" s="21" t="s">
        <v>1248</v>
      </c>
      <c r="G341" s="21" t="s">
        <v>1232</v>
      </c>
      <c r="H341" s="21" t="s">
        <v>1221</v>
      </c>
      <c r="I341" s="21" t="s">
        <v>169</v>
      </c>
      <c r="J341" s="21" t="s">
        <v>193</v>
      </c>
      <c r="K341" s="21" t="s">
        <v>161</v>
      </c>
      <c r="L341" s="21" t="s">
        <v>256</v>
      </c>
      <c r="M341" s="21" t="s">
        <v>161</v>
      </c>
      <c r="N341" s="21">
        <v>848</v>
      </c>
      <c r="O341" s="33">
        <v>114751.36</v>
      </c>
      <c r="P341" s="21" t="s">
        <v>161</v>
      </c>
      <c r="Q341" s="21">
        <v>0</v>
      </c>
      <c r="R341" s="21">
        <v>9</v>
      </c>
      <c r="S341" s="21">
        <v>10327.620000000001</v>
      </c>
      <c r="T341" s="21">
        <v>9</v>
      </c>
      <c r="U341" s="21">
        <v>10327.620000000001</v>
      </c>
      <c r="V341" s="21">
        <v>0</v>
      </c>
      <c r="W341" s="21">
        <v>0</v>
      </c>
      <c r="X341" s="21">
        <v>0</v>
      </c>
      <c r="Y341" s="21">
        <v>20655.240000000002</v>
      </c>
      <c r="Z341" s="21">
        <v>0</v>
      </c>
      <c r="AA341" s="21" t="s">
        <v>176</v>
      </c>
      <c r="AB341" s="21" t="s">
        <v>168</v>
      </c>
      <c r="AC341" s="21">
        <v>39199090</v>
      </c>
      <c r="AD341" s="21" t="s">
        <v>201</v>
      </c>
      <c r="AE341" s="21">
        <v>1</v>
      </c>
      <c r="AF341" s="21">
        <v>848</v>
      </c>
      <c r="AG341" s="21" t="s">
        <v>202</v>
      </c>
    </row>
    <row r="342" spans="1:33" x14ac:dyDescent="0.25">
      <c r="A342" s="22"/>
      <c r="B342" s="21" t="s">
        <v>1221</v>
      </c>
      <c r="C342" s="21" t="s">
        <v>633</v>
      </c>
      <c r="D342" s="21" t="s">
        <v>1247</v>
      </c>
      <c r="E342" s="21" t="s">
        <v>1246</v>
      </c>
      <c r="F342" s="21" t="s">
        <v>1257</v>
      </c>
      <c r="G342" s="21" t="s">
        <v>1245</v>
      </c>
      <c r="H342" s="21" t="s">
        <v>1221</v>
      </c>
      <c r="I342" s="21" t="s">
        <v>639</v>
      </c>
      <c r="J342" s="21" t="s">
        <v>648</v>
      </c>
      <c r="K342" s="21" t="s">
        <v>166</v>
      </c>
      <c r="L342" s="21" t="s">
        <v>166</v>
      </c>
      <c r="M342" s="21" t="s">
        <v>1242</v>
      </c>
      <c r="N342" s="33">
        <v>23000</v>
      </c>
      <c r="O342" s="33">
        <v>3243000</v>
      </c>
      <c r="P342" s="21" t="s">
        <v>1242</v>
      </c>
      <c r="Q342" s="21">
        <v>3823497</v>
      </c>
      <c r="R342" s="21">
        <v>9</v>
      </c>
      <c r="S342" s="21">
        <v>291870</v>
      </c>
      <c r="T342" s="21">
        <v>9</v>
      </c>
      <c r="U342" s="21">
        <v>291870</v>
      </c>
      <c r="V342" s="21">
        <v>0</v>
      </c>
      <c r="W342" s="21">
        <v>0</v>
      </c>
      <c r="X342" s="21">
        <v>0</v>
      </c>
      <c r="Y342" s="21">
        <v>583740</v>
      </c>
      <c r="Z342" s="21">
        <v>0</v>
      </c>
      <c r="AA342" s="21" t="s">
        <v>176</v>
      </c>
      <c r="AB342" s="21" t="s">
        <v>168</v>
      </c>
      <c r="AC342" s="21">
        <v>39021000</v>
      </c>
      <c r="AD342" s="21" t="s">
        <v>201</v>
      </c>
      <c r="AE342" s="21">
        <v>1</v>
      </c>
      <c r="AF342" s="33">
        <v>23000</v>
      </c>
      <c r="AG342" s="21" t="s">
        <v>202</v>
      </c>
    </row>
    <row r="343" spans="1:33" x14ac:dyDescent="0.25">
      <c r="A343" s="22"/>
      <c r="B343" s="21" t="s">
        <v>1221</v>
      </c>
      <c r="C343" s="21" t="s">
        <v>656</v>
      </c>
      <c r="D343" s="21" t="s">
        <v>1247</v>
      </c>
      <c r="E343" s="21" t="s">
        <v>1238</v>
      </c>
      <c r="F343" s="21" t="s">
        <v>1248</v>
      </c>
      <c r="G343" s="21" t="s">
        <v>1237</v>
      </c>
      <c r="H343" s="21" t="s">
        <v>1211</v>
      </c>
      <c r="I343" s="21" t="s">
        <v>169</v>
      </c>
      <c r="J343" s="21" t="s">
        <v>179</v>
      </c>
      <c r="K343" s="21" t="s">
        <v>155</v>
      </c>
      <c r="L343" s="21" t="s">
        <v>203</v>
      </c>
      <c r="M343" s="21" t="s">
        <v>183</v>
      </c>
      <c r="N343" s="33">
        <v>4951</v>
      </c>
      <c r="O343" s="33">
        <v>604022</v>
      </c>
      <c r="P343" s="21" t="s">
        <v>183</v>
      </c>
      <c r="Q343" s="21">
        <v>712141.94</v>
      </c>
      <c r="R343" s="21">
        <v>9</v>
      </c>
      <c r="S343" s="21">
        <v>54361.98</v>
      </c>
      <c r="T343" s="21">
        <v>9</v>
      </c>
      <c r="U343" s="21">
        <v>54361.98</v>
      </c>
      <c r="V343" s="21">
        <v>0</v>
      </c>
      <c r="W343" s="21">
        <v>0</v>
      </c>
      <c r="X343" s="21">
        <v>0</v>
      </c>
      <c r="Y343" s="21">
        <v>108723.96</v>
      </c>
      <c r="Z343" s="21">
        <v>0</v>
      </c>
      <c r="AA343" s="21" t="s">
        <v>176</v>
      </c>
      <c r="AB343" s="21" t="s">
        <v>168</v>
      </c>
      <c r="AC343" s="21">
        <v>39269080</v>
      </c>
      <c r="AD343" s="21" t="s">
        <v>201</v>
      </c>
      <c r="AE343" s="21">
        <v>1</v>
      </c>
      <c r="AF343" s="33">
        <v>4951</v>
      </c>
      <c r="AG343" s="21" t="s">
        <v>202</v>
      </c>
    </row>
    <row r="344" spans="1:33" x14ac:dyDescent="0.25">
      <c r="B344" s="23">
        <v>46120</v>
      </c>
      <c r="C344" s="21" t="s">
        <v>1335</v>
      </c>
      <c r="D344" s="21" t="s">
        <v>1247</v>
      </c>
      <c r="E344" s="21" t="s">
        <v>1336</v>
      </c>
      <c r="F344" s="21" t="s">
        <v>1337</v>
      </c>
      <c r="G344" s="21" t="s">
        <v>1336</v>
      </c>
      <c r="H344" s="23">
        <v>46120</v>
      </c>
      <c r="I344" s="21" t="s">
        <v>188</v>
      </c>
      <c r="J344" s="21" t="s">
        <v>152</v>
      </c>
      <c r="K344" s="21" t="s">
        <v>163</v>
      </c>
      <c r="L344" s="21" t="s">
        <v>200</v>
      </c>
      <c r="M344" s="21" t="s">
        <v>187</v>
      </c>
      <c r="N344" s="33">
        <v>20011</v>
      </c>
      <c r="O344" s="33">
        <v>4783968.32</v>
      </c>
      <c r="P344" s="21" t="s">
        <v>187</v>
      </c>
      <c r="Q344" s="21">
        <v>4783968</v>
      </c>
      <c r="R344" s="21">
        <v>0</v>
      </c>
      <c r="S344" s="21">
        <v>0</v>
      </c>
      <c r="T344" s="21">
        <v>0</v>
      </c>
      <c r="U344" s="21">
        <v>0</v>
      </c>
      <c r="V344" s="21">
        <v>0</v>
      </c>
      <c r="W344" s="21">
        <v>0</v>
      </c>
      <c r="X344" s="21">
        <v>0</v>
      </c>
      <c r="Y344" s="21">
        <v>0</v>
      </c>
      <c r="Z344" s="21">
        <v>0</v>
      </c>
      <c r="AA344" s="21" t="s">
        <v>208</v>
      </c>
      <c r="AB344" s="21" t="s">
        <v>168</v>
      </c>
      <c r="AC344" s="21">
        <v>63053200</v>
      </c>
      <c r="AD344" s="21" t="s">
        <v>209</v>
      </c>
      <c r="AE344" s="21">
        <v>95.45</v>
      </c>
      <c r="AF344" s="21">
        <v>20011</v>
      </c>
      <c r="AG344" s="21" t="s">
        <v>202</v>
      </c>
    </row>
    <row r="345" spans="1:33" x14ac:dyDescent="0.25">
      <c r="B345" s="23">
        <v>46120</v>
      </c>
      <c r="C345" s="21" t="s">
        <v>1335</v>
      </c>
      <c r="D345" s="21" t="s">
        <v>1247</v>
      </c>
      <c r="E345" s="21" t="s">
        <v>1338</v>
      </c>
      <c r="F345" s="21" t="s">
        <v>1337</v>
      </c>
      <c r="G345" s="21" t="s">
        <v>1338</v>
      </c>
      <c r="H345" s="23">
        <v>46120</v>
      </c>
      <c r="I345" s="21" t="s">
        <v>188</v>
      </c>
      <c r="J345" s="21" t="s">
        <v>152</v>
      </c>
      <c r="K345" s="21" t="s">
        <v>163</v>
      </c>
      <c r="L345" s="21" t="s">
        <v>200</v>
      </c>
      <c r="M345" s="21" t="s">
        <v>187</v>
      </c>
      <c r="N345" s="33">
        <v>18596</v>
      </c>
      <c r="O345" s="33">
        <v>4237204.95</v>
      </c>
      <c r="P345" s="21" t="s">
        <v>187</v>
      </c>
      <c r="Q345" s="21">
        <v>4237205</v>
      </c>
      <c r="R345" s="21">
        <v>0</v>
      </c>
      <c r="S345" s="21">
        <v>0</v>
      </c>
      <c r="T345" s="21">
        <v>0</v>
      </c>
      <c r="U345" s="21">
        <v>0</v>
      </c>
      <c r="V345" s="21">
        <v>0</v>
      </c>
      <c r="W345" s="21">
        <v>0</v>
      </c>
      <c r="X345" s="21">
        <v>0</v>
      </c>
      <c r="Y345" s="21">
        <v>0</v>
      </c>
      <c r="Z345" s="21">
        <v>0</v>
      </c>
      <c r="AA345" s="21" t="s">
        <v>208</v>
      </c>
      <c r="AB345" s="21" t="s">
        <v>168</v>
      </c>
      <c r="AC345" s="21">
        <v>63053200</v>
      </c>
      <c r="AD345" s="21" t="s">
        <v>209</v>
      </c>
      <c r="AE345" s="21">
        <v>95.45</v>
      </c>
      <c r="AF345" s="21">
        <v>18596</v>
      </c>
      <c r="AG345" s="21" t="s">
        <v>202</v>
      </c>
    </row>
    <row r="346" spans="1:33" x14ac:dyDescent="0.25">
      <c r="B346" s="21" t="s">
        <v>1010</v>
      </c>
      <c r="C346" s="21" t="s">
        <v>1335</v>
      </c>
      <c r="D346" s="21" t="s">
        <v>1247</v>
      </c>
      <c r="E346" s="21" t="s">
        <v>1339</v>
      </c>
      <c r="F346" s="21" t="s">
        <v>1337</v>
      </c>
      <c r="G346" s="21" t="s">
        <v>1339</v>
      </c>
      <c r="H346" s="21" t="s">
        <v>1010</v>
      </c>
      <c r="I346" s="21" t="s">
        <v>188</v>
      </c>
      <c r="J346" s="21" t="s">
        <v>152</v>
      </c>
      <c r="K346" s="21" t="s">
        <v>163</v>
      </c>
      <c r="L346" s="21" t="s">
        <v>200</v>
      </c>
      <c r="M346" s="21" t="s">
        <v>187</v>
      </c>
      <c r="N346" s="33">
        <v>17831</v>
      </c>
      <c r="O346" s="33">
        <v>5577618.6699999999</v>
      </c>
      <c r="P346" s="21" t="s">
        <v>187</v>
      </c>
      <c r="Q346" s="21">
        <v>5577619</v>
      </c>
      <c r="R346" s="21">
        <v>0</v>
      </c>
      <c r="S346" s="21">
        <v>0</v>
      </c>
      <c r="T346" s="21">
        <v>0</v>
      </c>
      <c r="U346" s="21">
        <v>0</v>
      </c>
      <c r="V346" s="21">
        <v>0</v>
      </c>
      <c r="W346" s="21">
        <v>0</v>
      </c>
      <c r="X346" s="21">
        <v>0</v>
      </c>
      <c r="Y346" s="21">
        <v>0</v>
      </c>
      <c r="Z346" s="21">
        <v>0</v>
      </c>
      <c r="AA346" s="21" t="s">
        <v>208</v>
      </c>
      <c r="AB346" s="21" t="s">
        <v>168</v>
      </c>
      <c r="AC346" s="21">
        <v>63053200</v>
      </c>
      <c r="AD346" s="21" t="s">
        <v>209</v>
      </c>
      <c r="AE346" s="21">
        <v>94.8</v>
      </c>
      <c r="AF346" s="21">
        <v>17831</v>
      </c>
      <c r="AG346" s="21" t="s">
        <v>202</v>
      </c>
    </row>
    <row r="347" spans="1:33" x14ac:dyDescent="0.25">
      <c r="B347" s="21" t="s">
        <v>1142</v>
      </c>
      <c r="C347" s="21" t="s">
        <v>1335</v>
      </c>
      <c r="D347" s="21" t="s">
        <v>1247</v>
      </c>
      <c r="E347" s="21" t="s">
        <v>1340</v>
      </c>
      <c r="F347" s="21" t="s">
        <v>1337</v>
      </c>
      <c r="G347" s="21" t="s">
        <v>1340</v>
      </c>
      <c r="H347" s="21" t="s">
        <v>1142</v>
      </c>
      <c r="I347" s="21" t="s">
        <v>188</v>
      </c>
      <c r="J347" s="21" t="s">
        <v>152</v>
      </c>
      <c r="K347" s="21" t="s">
        <v>163</v>
      </c>
      <c r="L347" s="21" t="s">
        <v>200</v>
      </c>
      <c r="M347" s="21" t="s">
        <v>187</v>
      </c>
      <c r="N347" s="33">
        <v>19631</v>
      </c>
      <c r="O347" s="33">
        <v>4677225.34</v>
      </c>
      <c r="P347" s="21" t="s">
        <v>187</v>
      </c>
      <c r="Q347" s="21">
        <v>4677226</v>
      </c>
      <c r="R347" s="21">
        <v>0</v>
      </c>
      <c r="S347" s="21">
        <v>0</v>
      </c>
      <c r="T347" s="21">
        <v>0</v>
      </c>
      <c r="U347" s="21">
        <v>0</v>
      </c>
      <c r="V347" s="21">
        <v>0</v>
      </c>
      <c r="W347" s="21">
        <v>0</v>
      </c>
      <c r="X347" s="21">
        <v>0</v>
      </c>
      <c r="Y347" s="21">
        <v>0</v>
      </c>
      <c r="Z347" s="21">
        <v>0</v>
      </c>
      <c r="AA347" s="21" t="s">
        <v>208</v>
      </c>
      <c r="AB347" s="21" t="s">
        <v>168</v>
      </c>
      <c r="AC347" s="21">
        <v>63053200</v>
      </c>
      <c r="AD347" s="21" t="s">
        <v>209</v>
      </c>
      <c r="AE347" s="21">
        <v>94.8</v>
      </c>
      <c r="AF347" s="21">
        <v>19631</v>
      </c>
      <c r="AG347" s="21" t="s">
        <v>202</v>
      </c>
    </row>
    <row r="348" spans="1:33" x14ac:dyDescent="0.25">
      <c r="B348" s="21" t="s">
        <v>1161</v>
      </c>
      <c r="C348" s="21" t="s">
        <v>1335</v>
      </c>
      <c r="D348" s="21" t="s">
        <v>1247</v>
      </c>
      <c r="E348" s="21" t="s">
        <v>1341</v>
      </c>
      <c r="F348" s="21" t="s">
        <v>1337</v>
      </c>
      <c r="G348" s="21" t="s">
        <v>1341</v>
      </c>
      <c r="H348" s="21" t="s">
        <v>1161</v>
      </c>
      <c r="I348" s="21" t="s">
        <v>188</v>
      </c>
      <c r="J348" s="21" t="s">
        <v>152</v>
      </c>
      <c r="K348" s="21" t="s">
        <v>163</v>
      </c>
      <c r="L348" s="21" t="s">
        <v>200</v>
      </c>
      <c r="M348" s="21" t="s">
        <v>187</v>
      </c>
      <c r="N348" s="33">
        <v>19582</v>
      </c>
      <c r="O348" s="33">
        <v>4677225.34</v>
      </c>
      <c r="P348" s="21" t="s">
        <v>187</v>
      </c>
      <c r="Q348" s="21">
        <v>4677226</v>
      </c>
      <c r="R348" s="21">
        <v>0</v>
      </c>
      <c r="S348" s="21">
        <v>0</v>
      </c>
      <c r="T348" s="21">
        <v>0</v>
      </c>
      <c r="U348" s="21">
        <v>0</v>
      </c>
      <c r="V348" s="21">
        <v>0</v>
      </c>
      <c r="W348" s="21">
        <v>0</v>
      </c>
      <c r="X348" s="21">
        <v>0</v>
      </c>
      <c r="Y348" s="21">
        <v>0</v>
      </c>
      <c r="Z348" s="21">
        <v>0</v>
      </c>
      <c r="AA348" s="21" t="s">
        <v>208</v>
      </c>
      <c r="AB348" s="21" t="s">
        <v>168</v>
      </c>
      <c r="AC348" s="21">
        <v>63053200</v>
      </c>
      <c r="AD348" s="21" t="s">
        <v>209</v>
      </c>
      <c r="AE348" s="21">
        <v>94.8</v>
      </c>
      <c r="AF348" s="21">
        <v>19582</v>
      </c>
      <c r="AG348" s="21" t="s">
        <v>202</v>
      </c>
    </row>
    <row r="349" spans="1:33" x14ac:dyDescent="0.25">
      <c r="B349" s="21" t="s">
        <v>1161</v>
      </c>
      <c r="C349" s="21" t="s">
        <v>1335</v>
      </c>
      <c r="D349" s="21" t="s">
        <v>1247</v>
      </c>
      <c r="E349" s="21" t="s">
        <v>1342</v>
      </c>
      <c r="F349" s="21" t="s">
        <v>1337</v>
      </c>
      <c r="G349" s="21" t="s">
        <v>1342</v>
      </c>
      <c r="H349" s="21" t="s">
        <v>1161</v>
      </c>
      <c r="I349" s="21" t="s">
        <v>188</v>
      </c>
      <c r="J349" s="21" t="s">
        <v>152</v>
      </c>
      <c r="K349" s="21" t="s">
        <v>163</v>
      </c>
      <c r="L349" s="21" t="s">
        <v>200</v>
      </c>
      <c r="M349" s="21" t="s">
        <v>187</v>
      </c>
      <c r="N349" s="33">
        <v>19717</v>
      </c>
      <c r="O349" s="33">
        <v>4864235.4000000004</v>
      </c>
      <c r="P349" s="21" t="s">
        <v>187</v>
      </c>
      <c r="Q349" s="21">
        <v>4864235</v>
      </c>
      <c r="R349" s="21">
        <v>0</v>
      </c>
      <c r="S349" s="21">
        <v>0</v>
      </c>
      <c r="T349" s="21">
        <v>0</v>
      </c>
      <c r="U349" s="21">
        <v>0</v>
      </c>
      <c r="V349" s="21">
        <v>0</v>
      </c>
      <c r="W349" s="21">
        <v>0</v>
      </c>
      <c r="X349" s="21">
        <v>0</v>
      </c>
      <c r="Y349" s="21">
        <v>0</v>
      </c>
      <c r="Z349" s="21">
        <v>0</v>
      </c>
      <c r="AA349" s="21" t="s">
        <v>208</v>
      </c>
      <c r="AB349" s="21" t="s">
        <v>168</v>
      </c>
      <c r="AC349" s="21">
        <v>63053200</v>
      </c>
      <c r="AD349" s="21" t="s">
        <v>209</v>
      </c>
      <c r="AE349" s="21">
        <v>94.8</v>
      </c>
      <c r="AF349" s="21">
        <v>19717</v>
      </c>
      <c r="AG349" s="21" t="s">
        <v>202</v>
      </c>
    </row>
    <row r="350" spans="1:33" x14ac:dyDescent="0.25">
      <c r="B350" s="21" t="s">
        <v>1161</v>
      </c>
      <c r="C350" s="21" t="s">
        <v>1335</v>
      </c>
      <c r="D350" s="21" t="s">
        <v>1247</v>
      </c>
      <c r="E350" s="21" t="s">
        <v>1343</v>
      </c>
      <c r="F350" s="21" t="s">
        <v>1337</v>
      </c>
      <c r="G350" s="21" t="s">
        <v>1343</v>
      </c>
      <c r="H350" s="21" t="s">
        <v>1161</v>
      </c>
      <c r="I350" s="21" t="s">
        <v>188</v>
      </c>
      <c r="J350" s="21" t="s">
        <v>152</v>
      </c>
      <c r="K350" s="21" t="s">
        <v>163</v>
      </c>
      <c r="L350" s="21" t="s">
        <v>200</v>
      </c>
      <c r="M350" s="21" t="s">
        <v>187</v>
      </c>
      <c r="N350" s="33">
        <v>18813</v>
      </c>
      <c r="O350" s="33">
        <v>4413517.33</v>
      </c>
      <c r="P350" s="21" t="s">
        <v>187</v>
      </c>
      <c r="Q350" s="21">
        <v>4413517</v>
      </c>
      <c r="R350" s="21">
        <v>0</v>
      </c>
      <c r="S350" s="21">
        <v>0</v>
      </c>
      <c r="T350" s="21">
        <v>0</v>
      </c>
      <c r="U350" s="21">
        <v>0</v>
      </c>
      <c r="V350" s="21">
        <v>0</v>
      </c>
      <c r="W350" s="21">
        <v>0</v>
      </c>
      <c r="X350" s="21">
        <v>0</v>
      </c>
      <c r="Y350" s="21">
        <v>0</v>
      </c>
      <c r="Z350" s="21">
        <v>0</v>
      </c>
      <c r="AA350" s="21" t="s">
        <v>208</v>
      </c>
      <c r="AB350" s="21" t="s">
        <v>168</v>
      </c>
      <c r="AC350" s="21">
        <v>63053200</v>
      </c>
      <c r="AD350" s="21" t="s">
        <v>209</v>
      </c>
      <c r="AE350" s="21">
        <v>94.8</v>
      </c>
      <c r="AF350" s="21">
        <v>18813</v>
      </c>
      <c r="AG350" s="21" t="s">
        <v>202</v>
      </c>
    </row>
  </sheetData>
  <autoFilter ref="B1:AG343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/>
  <dimension ref="A1:BO576"/>
  <sheetViews>
    <sheetView topLeftCell="M1" workbookViewId="0">
      <selection activeCell="U341" sqref="U341"/>
    </sheetView>
  </sheetViews>
  <sheetFormatPr defaultRowHeight="15" x14ac:dyDescent="0.25"/>
  <cols>
    <col min="1" max="1" width="15.42578125" customWidth="1"/>
    <col min="2" max="2" width="25.85546875" customWidth="1"/>
    <col min="3" max="3" width="12.5703125" style="8" customWidth="1"/>
    <col min="4" max="4" width="18" bestFit="1" customWidth="1"/>
    <col min="5" max="5" width="13.5703125" customWidth="1"/>
    <col min="6" max="6" width="31.85546875" style="8" customWidth="1"/>
    <col min="7" max="7" width="19.28515625" style="8" customWidth="1"/>
    <col min="8" max="8" width="15.140625" customWidth="1"/>
    <col min="9" max="9" width="13" customWidth="1"/>
    <col min="10" max="10" width="10.85546875" customWidth="1"/>
    <col min="11" max="11" width="11.5703125" customWidth="1"/>
    <col min="12" max="12" width="15.5703125" customWidth="1"/>
    <col min="13" max="13" width="17" customWidth="1"/>
    <col min="14" max="14" width="15.140625" customWidth="1"/>
    <col min="15" max="15" width="34.42578125" customWidth="1"/>
    <col min="16" max="16" width="21.85546875" customWidth="1"/>
    <col min="17" max="17" width="11.7109375" customWidth="1"/>
    <col min="18" max="18" width="13.140625" customWidth="1"/>
    <col min="19" max="19" width="17.140625" customWidth="1"/>
    <col min="21" max="21" width="11.7109375" customWidth="1"/>
    <col min="23" max="23" width="11.42578125" customWidth="1"/>
    <col min="24" max="24" width="13.140625" customWidth="1"/>
    <col min="25" max="25" width="13.28515625" customWidth="1"/>
    <col min="45" max="45" width="16.42578125" bestFit="1" customWidth="1"/>
    <col min="46" max="46" width="7.28515625" customWidth="1"/>
    <col min="47" max="47" width="15.85546875" bestFit="1" customWidth="1"/>
    <col min="48" max="48" width="18.7109375" customWidth="1"/>
    <col min="49" max="49" width="20.42578125" customWidth="1"/>
    <col min="52" max="52" width="16.7109375" customWidth="1"/>
    <col min="54" max="54" width="11.42578125" customWidth="1"/>
    <col min="63" max="63" width="28.140625" bestFit="1" customWidth="1"/>
    <col min="64" max="64" width="11" customWidth="1"/>
    <col min="65" max="65" width="16.85546875" customWidth="1"/>
    <col min="66" max="66" width="15.85546875" bestFit="1" customWidth="1"/>
    <col min="67" max="67" width="14.85546875" style="8" customWidth="1"/>
  </cols>
  <sheetData>
    <row r="1" spans="1:67" x14ac:dyDescent="0.25">
      <c r="B1" s="1" t="s">
        <v>82</v>
      </c>
      <c r="C1" s="1" t="s">
        <v>0</v>
      </c>
      <c r="D1" s="1" t="s">
        <v>83</v>
      </c>
      <c r="E1" s="1" t="s">
        <v>77</v>
      </c>
      <c r="F1" s="1" t="s">
        <v>78</v>
      </c>
      <c r="G1" s="1" t="s">
        <v>84</v>
      </c>
      <c r="H1" s="1" t="s">
        <v>85</v>
      </c>
      <c r="I1" s="1" t="s">
        <v>86</v>
      </c>
      <c r="J1" s="1" t="s">
        <v>26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94</v>
      </c>
      <c r="S1" s="1" t="s">
        <v>95</v>
      </c>
      <c r="T1" s="1" t="s">
        <v>96</v>
      </c>
      <c r="U1" s="1" t="s">
        <v>97</v>
      </c>
      <c r="V1" s="1" t="s">
        <v>39</v>
      </c>
      <c r="W1" s="1" t="s">
        <v>13</v>
      </c>
      <c r="X1" s="1" t="s">
        <v>98</v>
      </c>
      <c r="Y1" s="1" t="s">
        <v>99</v>
      </c>
      <c r="Z1" s="1" t="s">
        <v>100</v>
      </c>
      <c r="AA1" s="1" t="s">
        <v>47</v>
      </c>
      <c r="AB1" s="1" t="s">
        <v>101</v>
      </c>
      <c r="AC1" s="1" t="s">
        <v>102</v>
      </c>
      <c r="AD1" s="1" t="s">
        <v>103</v>
      </c>
      <c r="AE1" s="1" t="s">
        <v>104</v>
      </c>
      <c r="AF1" s="1" t="s">
        <v>105</v>
      </c>
      <c r="AG1" s="1" t="s">
        <v>106</v>
      </c>
      <c r="AH1" s="1" t="s">
        <v>107</v>
      </c>
      <c r="AI1" s="1" t="s">
        <v>108</v>
      </c>
      <c r="AJ1" s="1" t="s">
        <v>109</v>
      </c>
      <c r="AK1" s="1" t="s">
        <v>110</v>
      </c>
      <c r="AL1" s="1" t="s">
        <v>111</v>
      </c>
      <c r="AM1" s="1" t="s">
        <v>112</v>
      </c>
      <c r="AN1" s="1" t="s">
        <v>113</v>
      </c>
      <c r="AO1" s="1" t="s">
        <v>114</v>
      </c>
      <c r="AP1" s="1" t="s">
        <v>115</v>
      </c>
      <c r="AQ1" s="1" t="s">
        <v>116</v>
      </c>
      <c r="AR1" s="1" t="s">
        <v>117</v>
      </c>
      <c r="AS1" s="1" t="s">
        <v>118</v>
      </c>
      <c r="AT1" s="1" t="s">
        <v>44</v>
      </c>
      <c r="AU1" s="1" t="s">
        <v>119</v>
      </c>
      <c r="AV1" s="4" t="s">
        <v>120</v>
      </c>
      <c r="AW1" s="1" t="s">
        <v>121</v>
      </c>
      <c r="AX1" s="1" t="s">
        <v>122</v>
      </c>
      <c r="AY1" s="1" t="s">
        <v>123</v>
      </c>
      <c r="AZ1" s="4" t="s">
        <v>124</v>
      </c>
      <c r="BA1" s="1" t="s">
        <v>125</v>
      </c>
      <c r="BB1" s="1" t="s">
        <v>126</v>
      </c>
      <c r="BC1" s="1" t="s">
        <v>127</v>
      </c>
      <c r="BD1" s="1" t="s">
        <v>128</v>
      </c>
      <c r="BE1" s="1" t="s">
        <v>129</v>
      </c>
      <c r="BF1" s="1" t="s">
        <v>130</v>
      </c>
      <c r="BG1" s="1" t="s">
        <v>131</v>
      </c>
      <c r="BH1" s="1" t="s">
        <v>132</v>
      </c>
      <c r="BI1" s="1" t="s">
        <v>133</v>
      </c>
      <c r="BJ1" s="1" t="s">
        <v>134</v>
      </c>
      <c r="BK1" s="1" t="s">
        <v>135</v>
      </c>
      <c r="BL1" s="1" t="s">
        <v>136</v>
      </c>
      <c r="BM1" s="1" t="s">
        <v>137</v>
      </c>
      <c r="BN1" s="1" t="s">
        <v>138</v>
      </c>
      <c r="BO1" s="4" t="s">
        <v>139</v>
      </c>
    </row>
    <row r="2" spans="1:67" hidden="1" x14ac:dyDescent="0.25">
      <c r="A2" s="22"/>
      <c r="B2" s="21" t="s">
        <v>167</v>
      </c>
      <c r="C2" s="23">
        <v>46030</v>
      </c>
      <c r="D2" s="21" t="s">
        <v>631</v>
      </c>
      <c r="E2" s="21" t="s">
        <v>182</v>
      </c>
      <c r="F2" s="21" t="s">
        <v>183</v>
      </c>
      <c r="G2" s="21" t="s">
        <v>632</v>
      </c>
      <c r="H2" s="21">
        <v>513</v>
      </c>
      <c r="I2" s="21">
        <v>513</v>
      </c>
      <c r="J2" s="21" t="s">
        <v>168</v>
      </c>
      <c r="K2" s="21">
        <v>513</v>
      </c>
      <c r="L2" s="21">
        <v>0</v>
      </c>
      <c r="M2" s="21">
        <v>513</v>
      </c>
      <c r="N2" s="21" t="s">
        <v>174</v>
      </c>
      <c r="O2" s="21" t="s">
        <v>633</v>
      </c>
      <c r="P2" s="21" t="s">
        <v>633</v>
      </c>
      <c r="Q2" s="21" t="s">
        <v>634</v>
      </c>
      <c r="R2" s="23">
        <v>46030</v>
      </c>
      <c r="S2" s="21" t="s">
        <v>635</v>
      </c>
      <c r="T2" s="21" t="s">
        <v>636</v>
      </c>
      <c r="U2" s="21" t="s">
        <v>637</v>
      </c>
      <c r="V2" s="21">
        <v>141.08000000000001</v>
      </c>
      <c r="W2" s="21">
        <v>141.080000442406</v>
      </c>
      <c r="X2" s="21" t="s">
        <v>634</v>
      </c>
      <c r="Y2" s="23">
        <v>46030</v>
      </c>
      <c r="Z2" s="21" t="s">
        <v>189</v>
      </c>
      <c r="AA2" s="21" t="s">
        <v>189</v>
      </c>
      <c r="AB2" s="21"/>
      <c r="AC2" s="21" t="s">
        <v>189</v>
      </c>
      <c r="AD2" s="21" t="s">
        <v>189</v>
      </c>
      <c r="AE2" s="21">
        <v>0</v>
      </c>
      <c r="AF2" s="21">
        <v>0</v>
      </c>
      <c r="AG2" s="21">
        <v>0</v>
      </c>
      <c r="AH2" s="21">
        <v>0</v>
      </c>
      <c r="AI2" s="21">
        <v>0</v>
      </c>
      <c r="AJ2" s="21" t="s">
        <v>638</v>
      </c>
      <c r="AK2" s="21">
        <v>0</v>
      </c>
      <c r="AL2" s="21">
        <v>0</v>
      </c>
      <c r="AM2" s="21">
        <v>0</v>
      </c>
      <c r="AN2" s="21">
        <v>0</v>
      </c>
      <c r="AO2" s="21">
        <v>0</v>
      </c>
      <c r="AP2" s="21"/>
      <c r="AQ2" s="21">
        <v>0</v>
      </c>
      <c r="AR2" s="21">
        <v>0</v>
      </c>
      <c r="AS2" s="21">
        <v>637785.15</v>
      </c>
      <c r="AT2" s="21" t="s">
        <v>169</v>
      </c>
      <c r="AU2" s="21" t="s">
        <v>179</v>
      </c>
      <c r="AV2" s="21" t="s">
        <v>155</v>
      </c>
      <c r="AW2" s="21" t="s">
        <v>639</v>
      </c>
      <c r="AX2" s="21" t="s">
        <v>640</v>
      </c>
      <c r="AY2" s="21">
        <v>0</v>
      </c>
      <c r="AZ2" s="21">
        <v>72374.039999999994</v>
      </c>
      <c r="BA2" s="21">
        <v>386</v>
      </c>
      <c r="BB2" s="23">
        <v>46030</v>
      </c>
      <c r="BC2" s="21" t="s">
        <v>176</v>
      </c>
      <c r="BD2" s="21" t="s">
        <v>641</v>
      </c>
      <c r="BE2" s="21" t="s">
        <v>641</v>
      </c>
      <c r="BF2" s="21">
        <v>9</v>
      </c>
      <c r="BG2" s="21">
        <v>6513.66</v>
      </c>
      <c r="BH2" s="21">
        <v>9</v>
      </c>
      <c r="BI2" s="21">
        <v>6513.66</v>
      </c>
      <c r="BJ2" s="21">
        <v>0</v>
      </c>
      <c r="BK2" s="21">
        <v>0</v>
      </c>
      <c r="BL2" s="21">
        <v>637785.15</v>
      </c>
      <c r="BM2" s="21">
        <v>682155474154</v>
      </c>
      <c r="BN2" s="23">
        <v>46235</v>
      </c>
      <c r="BO2" s="21">
        <v>513</v>
      </c>
    </row>
    <row r="3" spans="1:67" hidden="1" x14ac:dyDescent="0.25">
      <c r="A3" s="22"/>
      <c r="B3" s="21" t="s">
        <v>167</v>
      </c>
      <c r="C3" s="23">
        <v>46030</v>
      </c>
      <c r="D3" s="21" t="s">
        <v>631</v>
      </c>
      <c r="E3" s="21" t="s">
        <v>182</v>
      </c>
      <c r="F3" s="21" t="s">
        <v>183</v>
      </c>
      <c r="G3" s="21" t="s">
        <v>632</v>
      </c>
      <c r="H3" s="21">
        <v>658</v>
      </c>
      <c r="I3" s="21">
        <v>658</v>
      </c>
      <c r="J3" s="21" t="s">
        <v>168</v>
      </c>
      <c r="K3" s="21">
        <v>658</v>
      </c>
      <c r="L3" s="21">
        <v>0</v>
      </c>
      <c r="M3" s="21">
        <v>658</v>
      </c>
      <c r="N3" s="21" t="s">
        <v>174</v>
      </c>
      <c r="O3" s="21" t="s">
        <v>633</v>
      </c>
      <c r="P3" s="21" t="s">
        <v>633</v>
      </c>
      <c r="Q3" s="21" t="s">
        <v>634</v>
      </c>
      <c r="R3" s="23">
        <v>46030</v>
      </c>
      <c r="S3" s="21" t="s">
        <v>635</v>
      </c>
      <c r="T3" s="21" t="s">
        <v>636</v>
      </c>
      <c r="U3" s="21" t="s">
        <v>637</v>
      </c>
      <c r="V3" s="21">
        <v>144.08000000000001</v>
      </c>
      <c r="W3" s="21">
        <v>144.08000045181399</v>
      </c>
      <c r="X3" s="21" t="s">
        <v>634</v>
      </c>
      <c r="Y3" s="23">
        <v>46030</v>
      </c>
      <c r="Z3" s="21" t="s">
        <v>189</v>
      </c>
      <c r="AA3" s="21" t="s">
        <v>189</v>
      </c>
      <c r="AB3" s="21"/>
      <c r="AC3" s="21" t="s">
        <v>189</v>
      </c>
      <c r="AD3" s="21" t="s">
        <v>189</v>
      </c>
      <c r="AE3" s="21">
        <v>0</v>
      </c>
      <c r="AF3" s="21">
        <v>0</v>
      </c>
      <c r="AG3" s="21">
        <v>0</v>
      </c>
      <c r="AH3" s="21">
        <v>0</v>
      </c>
      <c r="AI3" s="21">
        <v>0</v>
      </c>
      <c r="AJ3" s="21" t="s">
        <v>638</v>
      </c>
      <c r="AK3" s="21">
        <v>0</v>
      </c>
      <c r="AL3" s="21">
        <v>0</v>
      </c>
      <c r="AM3" s="21">
        <v>0</v>
      </c>
      <c r="AN3" s="21">
        <v>0</v>
      </c>
      <c r="AO3" s="21">
        <v>0</v>
      </c>
      <c r="AP3" s="21"/>
      <c r="AQ3" s="21">
        <v>0</v>
      </c>
      <c r="AR3" s="21">
        <v>0</v>
      </c>
      <c r="AS3" s="21">
        <v>637785.15</v>
      </c>
      <c r="AT3" s="21" t="s">
        <v>169</v>
      </c>
      <c r="AU3" s="21" t="s">
        <v>179</v>
      </c>
      <c r="AV3" s="21" t="s">
        <v>155</v>
      </c>
      <c r="AW3" s="21" t="s">
        <v>639</v>
      </c>
      <c r="AX3" s="21" t="s">
        <v>640</v>
      </c>
      <c r="AY3" s="21">
        <v>0</v>
      </c>
      <c r="AZ3" s="21">
        <v>94804.64</v>
      </c>
      <c r="BA3" s="21">
        <v>386</v>
      </c>
      <c r="BB3" s="23">
        <v>46030</v>
      </c>
      <c r="BC3" s="21" t="s">
        <v>176</v>
      </c>
      <c r="BD3" s="21" t="s">
        <v>641</v>
      </c>
      <c r="BE3" s="21" t="s">
        <v>641</v>
      </c>
      <c r="BF3" s="21">
        <v>9</v>
      </c>
      <c r="BG3" s="21">
        <v>8532.42</v>
      </c>
      <c r="BH3" s="21">
        <v>9</v>
      </c>
      <c r="BI3" s="21">
        <v>8532.42</v>
      </c>
      <c r="BJ3" s="21">
        <v>0</v>
      </c>
      <c r="BK3" s="21">
        <v>0</v>
      </c>
      <c r="BL3" s="21">
        <v>0</v>
      </c>
      <c r="BM3" s="21">
        <v>682155474154</v>
      </c>
      <c r="BN3" s="23">
        <v>46235</v>
      </c>
      <c r="BO3" s="21">
        <v>658</v>
      </c>
    </row>
    <row r="4" spans="1:67" hidden="1" x14ac:dyDescent="0.25">
      <c r="A4" s="22"/>
      <c r="B4" s="21" t="s">
        <v>167</v>
      </c>
      <c r="C4" s="23">
        <v>46030</v>
      </c>
      <c r="D4" s="21" t="s">
        <v>631</v>
      </c>
      <c r="E4" s="21" t="s">
        <v>177</v>
      </c>
      <c r="F4" s="21" t="s">
        <v>178</v>
      </c>
      <c r="G4" s="21" t="s">
        <v>632</v>
      </c>
      <c r="H4" s="21">
        <v>2229</v>
      </c>
      <c r="I4" s="21">
        <v>2229</v>
      </c>
      <c r="J4" s="21" t="s">
        <v>168</v>
      </c>
      <c r="K4" s="21">
        <v>2229</v>
      </c>
      <c r="L4" s="21">
        <v>0</v>
      </c>
      <c r="M4" s="21">
        <v>2229</v>
      </c>
      <c r="N4" s="21" t="s">
        <v>174</v>
      </c>
      <c r="O4" s="21" t="s">
        <v>633</v>
      </c>
      <c r="P4" s="21" t="s">
        <v>633</v>
      </c>
      <c r="Q4" s="21" t="s">
        <v>634</v>
      </c>
      <c r="R4" s="23">
        <v>46030</v>
      </c>
      <c r="S4" s="21" t="s">
        <v>635</v>
      </c>
      <c r="T4" s="21" t="s">
        <v>636</v>
      </c>
      <c r="U4" s="21" t="s">
        <v>637</v>
      </c>
      <c r="V4" s="21">
        <v>146.08000000000001</v>
      </c>
      <c r="W4" s="21">
        <v>146.08000045808501</v>
      </c>
      <c r="X4" s="21" t="s">
        <v>634</v>
      </c>
      <c r="Y4" s="23">
        <v>46030</v>
      </c>
      <c r="Z4" s="21" t="s">
        <v>189</v>
      </c>
      <c r="AA4" s="21" t="s">
        <v>189</v>
      </c>
      <c r="AB4" s="21"/>
      <c r="AC4" s="21" t="s">
        <v>189</v>
      </c>
      <c r="AD4" s="21" t="s">
        <v>189</v>
      </c>
      <c r="AE4" s="21">
        <v>0</v>
      </c>
      <c r="AF4" s="21">
        <v>0</v>
      </c>
      <c r="AG4" s="21">
        <v>0</v>
      </c>
      <c r="AH4" s="21">
        <v>0</v>
      </c>
      <c r="AI4" s="21">
        <v>0</v>
      </c>
      <c r="AJ4" s="21" t="s">
        <v>638</v>
      </c>
      <c r="AK4" s="21">
        <v>0</v>
      </c>
      <c r="AL4" s="21">
        <v>0</v>
      </c>
      <c r="AM4" s="21">
        <v>0</v>
      </c>
      <c r="AN4" s="21">
        <v>0</v>
      </c>
      <c r="AO4" s="21">
        <v>0</v>
      </c>
      <c r="AP4" s="21"/>
      <c r="AQ4" s="21">
        <v>0</v>
      </c>
      <c r="AR4" s="21">
        <v>0</v>
      </c>
      <c r="AS4" s="21">
        <v>637785.15</v>
      </c>
      <c r="AT4" s="21" t="s">
        <v>169</v>
      </c>
      <c r="AU4" s="21" t="s">
        <v>179</v>
      </c>
      <c r="AV4" s="21" t="s">
        <v>156</v>
      </c>
      <c r="AW4" s="21" t="s">
        <v>639</v>
      </c>
      <c r="AX4" s="21" t="s">
        <v>640</v>
      </c>
      <c r="AY4" s="21">
        <v>0</v>
      </c>
      <c r="AZ4" s="21">
        <v>325612.32</v>
      </c>
      <c r="BA4" s="21">
        <v>386</v>
      </c>
      <c r="BB4" s="23">
        <v>46030</v>
      </c>
      <c r="BC4" s="21" t="s">
        <v>176</v>
      </c>
      <c r="BD4" s="21" t="s">
        <v>641</v>
      </c>
      <c r="BE4" s="21" t="s">
        <v>641</v>
      </c>
      <c r="BF4" s="21">
        <v>9</v>
      </c>
      <c r="BG4" s="21">
        <v>29305.11</v>
      </c>
      <c r="BH4" s="21">
        <v>9</v>
      </c>
      <c r="BI4" s="21">
        <v>29305.11</v>
      </c>
      <c r="BJ4" s="21">
        <v>0</v>
      </c>
      <c r="BK4" s="21">
        <v>0</v>
      </c>
      <c r="BL4" s="21">
        <v>0</v>
      </c>
      <c r="BM4" s="21">
        <v>682155474154</v>
      </c>
      <c r="BN4" s="23">
        <v>46235</v>
      </c>
      <c r="BO4" s="21">
        <v>2229</v>
      </c>
    </row>
    <row r="5" spans="1:67" hidden="1" x14ac:dyDescent="0.25">
      <c r="A5" s="22"/>
      <c r="B5" s="21" t="s">
        <v>167</v>
      </c>
      <c r="C5" s="23">
        <v>46030</v>
      </c>
      <c r="D5" s="21" t="s">
        <v>631</v>
      </c>
      <c r="E5" s="21" t="s">
        <v>180</v>
      </c>
      <c r="F5" s="21" t="s">
        <v>181</v>
      </c>
      <c r="G5" s="21" t="s">
        <v>632</v>
      </c>
      <c r="H5" s="21">
        <v>331.1</v>
      </c>
      <c r="I5" s="21">
        <v>331.1</v>
      </c>
      <c r="J5" s="21" t="s">
        <v>168</v>
      </c>
      <c r="K5" s="21">
        <v>331.1</v>
      </c>
      <c r="L5" s="21">
        <v>0</v>
      </c>
      <c r="M5" s="21">
        <v>331.1</v>
      </c>
      <c r="N5" s="21" t="s">
        <v>174</v>
      </c>
      <c r="O5" s="21" t="s">
        <v>633</v>
      </c>
      <c r="P5" s="21" t="s">
        <v>633</v>
      </c>
      <c r="Q5" s="21" t="s">
        <v>634</v>
      </c>
      <c r="R5" s="23">
        <v>46030</v>
      </c>
      <c r="S5" s="21" t="s">
        <v>635</v>
      </c>
      <c r="T5" s="21" t="s">
        <v>636</v>
      </c>
      <c r="U5" s="21" t="s">
        <v>637</v>
      </c>
      <c r="V5" s="21">
        <v>144.08000000000001</v>
      </c>
      <c r="W5" s="21">
        <v>144.08000045181399</v>
      </c>
      <c r="X5" s="21" t="s">
        <v>634</v>
      </c>
      <c r="Y5" s="23">
        <v>46030</v>
      </c>
      <c r="Z5" s="21" t="s">
        <v>189</v>
      </c>
      <c r="AA5" s="21" t="s">
        <v>189</v>
      </c>
      <c r="AB5" s="21"/>
      <c r="AC5" s="21" t="s">
        <v>189</v>
      </c>
      <c r="AD5" s="21" t="s">
        <v>189</v>
      </c>
      <c r="AE5" s="21">
        <v>0</v>
      </c>
      <c r="AF5" s="21">
        <v>0</v>
      </c>
      <c r="AG5" s="21">
        <v>0</v>
      </c>
      <c r="AH5" s="21">
        <v>0</v>
      </c>
      <c r="AI5" s="21">
        <v>0</v>
      </c>
      <c r="AJ5" s="21" t="s">
        <v>638</v>
      </c>
      <c r="AK5" s="21">
        <v>0</v>
      </c>
      <c r="AL5" s="21">
        <v>0</v>
      </c>
      <c r="AM5" s="21">
        <v>0</v>
      </c>
      <c r="AN5" s="21">
        <v>0</v>
      </c>
      <c r="AO5" s="21">
        <v>0</v>
      </c>
      <c r="AP5" s="21"/>
      <c r="AQ5" s="21">
        <v>0</v>
      </c>
      <c r="AR5" s="21">
        <v>0</v>
      </c>
      <c r="AS5" s="21">
        <v>637785.15</v>
      </c>
      <c r="AT5" s="21" t="s">
        <v>169</v>
      </c>
      <c r="AU5" s="21" t="s">
        <v>181</v>
      </c>
      <c r="AV5" s="21" t="s">
        <v>154</v>
      </c>
      <c r="AW5" s="21" t="s">
        <v>639</v>
      </c>
      <c r="AX5" s="21" t="s">
        <v>640</v>
      </c>
      <c r="AY5" s="21">
        <v>0</v>
      </c>
      <c r="AZ5" s="21">
        <v>47704.89</v>
      </c>
      <c r="BA5" s="21">
        <v>386</v>
      </c>
      <c r="BB5" s="23">
        <v>46030</v>
      </c>
      <c r="BC5" s="21" t="s">
        <v>176</v>
      </c>
      <c r="BD5" s="21" t="s">
        <v>641</v>
      </c>
      <c r="BE5" s="21" t="s">
        <v>641</v>
      </c>
      <c r="BF5" s="21">
        <v>9</v>
      </c>
      <c r="BG5" s="21">
        <v>4293.4399999999996</v>
      </c>
      <c r="BH5" s="21">
        <v>9</v>
      </c>
      <c r="BI5" s="21">
        <v>4293.4399999999996</v>
      </c>
      <c r="BJ5" s="21">
        <v>0</v>
      </c>
      <c r="BK5" s="21">
        <v>0</v>
      </c>
      <c r="BL5" s="21">
        <v>0</v>
      </c>
      <c r="BM5" s="21">
        <v>682155474154</v>
      </c>
      <c r="BN5" s="23">
        <v>46235</v>
      </c>
      <c r="BO5" s="21">
        <v>331.1</v>
      </c>
    </row>
    <row r="6" spans="1:67" hidden="1" x14ac:dyDescent="0.25">
      <c r="A6" s="22"/>
      <c r="B6" s="21" t="s">
        <v>167</v>
      </c>
      <c r="C6" s="23">
        <v>46030</v>
      </c>
      <c r="D6" s="21" t="s">
        <v>642</v>
      </c>
      <c r="E6" s="21" t="s">
        <v>643</v>
      </c>
      <c r="F6" s="21" t="s">
        <v>644</v>
      </c>
      <c r="G6" s="21" t="s">
        <v>645</v>
      </c>
      <c r="H6" s="21">
        <v>1375</v>
      </c>
      <c r="I6" s="21">
        <v>1375</v>
      </c>
      <c r="J6" s="21" t="s">
        <v>168</v>
      </c>
      <c r="K6" s="21">
        <v>1375</v>
      </c>
      <c r="L6" s="21">
        <v>0</v>
      </c>
      <c r="M6" s="21">
        <v>1375</v>
      </c>
      <c r="N6" s="21" t="s">
        <v>174</v>
      </c>
      <c r="O6" s="21" t="s">
        <v>633</v>
      </c>
      <c r="P6" s="21" t="s">
        <v>633</v>
      </c>
      <c r="Q6" s="21" t="s">
        <v>646</v>
      </c>
      <c r="R6" s="23">
        <v>46030</v>
      </c>
      <c r="S6" s="21" t="s">
        <v>635</v>
      </c>
      <c r="T6" s="21" t="s">
        <v>636</v>
      </c>
      <c r="U6" s="21" t="s">
        <v>647</v>
      </c>
      <c r="V6" s="21">
        <v>110</v>
      </c>
      <c r="W6" s="21">
        <v>110</v>
      </c>
      <c r="X6" s="21" t="s">
        <v>646</v>
      </c>
      <c r="Y6" s="23">
        <v>46030</v>
      </c>
      <c r="Z6" s="21" t="s">
        <v>189</v>
      </c>
      <c r="AA6" s="21" t="s">
        <v>189</v>
      </c>
      <c r="AB6" s="21"/>
      <c r="AC6" s="21" t="s">
        <v>189</v>
      </c>
      <c r="AD6" s="21" t="s">
        <v>189</v>
      </c>
      <c r="AE6" s="21">
        <v>0</v>
      </c>
      <c r="AF6" s="21">
        <v>0</v>
      </c>
      <c r="AG6" s="21">
        <v>0</v>
      </c>
      <c r="AH6" s="21">
        <v>0</v>
      </c>
      <c r="AI6" s="21">
        <v>0</v>
      </c>
      <c r="AJ6" s="21" t="s">
        <v>638</v>
      </c>
      <c r="AK6" s="21">
        <v>0</v>
      </c>
      <c r="AL6" s="21">
        <v>0</v>
      </c>
      <c r="AM6" s="21">
        <v>0</v>
      </c>
      <c r="AN6" s="21">
        <v>0</v>
      </c>
      <c r="AO6" s="21">
        <v>0</v>
      </c>
      <c r="AP6" s="21"/>
      <c r="AQ6" s="21">
        <v>0</v>
      </c>
      <c r="AR6" s="21">
        <v>0</v>
      </c>
      <c r="AS6" s="21">
        <v>618140.04</v>
      </c>
      <c r="AT6" s="21" t="s">
        <v>639</v>
      </c>
      <c r="AU6" s="21" t="s">
        <v>648</v>
      </c>
      <c r="AV6" s="21" t="s">
        <v>316</v>
      </c>
      <c r="AW6" s="21" t="s">
        <v>639</v>
      </c>
      <c r="AX6" s="21" t="s">
        <v>640</v>
      </c>
      <c r="AY6" s="21">
        <v>0</v>
      </c>
      <c r="AZ6" s="21">
        <v>151250</v>
      </c>
      <c r="BA6" s="21">
        <v>387</v>
      </c>
      <c r="BB6" s="23">
        <v>46030</v>
      </c>
      <c r="BC6" s="21" t="s">
        <v>176</v>
      </c>
      <c r="BD6" s="21" t="s">
        <v>641</v>
      </c>
      <c r="BE6" s="21" t="s">
        <v>641</v>
      </c>
      <c r="BF6" s="21">
        <v>9</v>
      </c>
      <c r="BG6" s="21">
        <v>13612.5</v>
      </c>
      <c r="BH6" s="21">
        <v>9</v>
      </c>
      <c r="BI6" s="21">
        <v>13612.5</v>
      </c>
      <c r="BJ6" s="21">
        <v>0</v>
      </c>
      <c r="BK6" s="21">
        <v>0</v>
      </c>
      <c r="BL6" s="21">
        <v>618140.04</v>
      </c>
      <c r="BM6" s="21">
        <v>672155504375</v>
      </c>
      <c r="BN6" s="23">
        <v>46235</v>
      </c>
      <c r="BO6" s="21">
        <v>1375</v>
      </c>
    </row>
    <row r="7" spans="1:67" hidden="1" x14ac:dyDescent="0.25">
      <c r="A7" s="22"/>
      <c r="B7" s="21" t="s">
        <v>167</v>
      </c>
      <c r="C7" s="23">
        <v>46030</v>
      </c>
      <c r="D7" s="21" t="s">
        <v>642</v>
      </c>
      <c r="E7" s="21" t="s">
        <v>649</v>
      </c>
      <c r="F7" s="21" t="s">
        <v>650</v>
      </c>
      <c r="G7" s="21" t="s">
        <v>645</v>
      </c>
      <c r="H7" s="21">
        <v>1375</v>
      </c>
      <c r="I7" s="21">
        <v>1375</v>
      </c>
      <c r="J7" s="21" t="s">
        <v>168</v>
      </c>
      <c r="K7" s="21">
        <v>1375</v>
      </c>
      <c r="L7" s="21">
        <v>0</v>
      </c>
      <c r="M7" s="21">
        <v>1375</v>
      </c>
      <c r="N7" s="21" t="s">
        <v>174</v>
      </c>
      <c r="O7" s="21" t="s">
        <v>633</v>
      </c>
      <c r="P7" s="21" t="s">
        <v>633</v>
      </c>
      <c r="Q7" s="21" t="s">
        <v>646</v>
      </c>
      <c r="R7" s="23">
        <v>46030</v>
      </c>
      <c r="S7" s="21" t="s">
        <v>635</v>
      </c>
      <c r="T7" s="21" t="s">
        <v>636</v>
      </c>
      <c r="U7" s="21" t="s">
        <v>647</v>
      </c>
      <c r="V7" s="21">
        <v>119.08</v>
      </c>
      <c r="W7" s="21">
        <v>119.08</v>
      </c>
      <c r="X7" s="21" t="s">
        <v>646</v>
      </c>
      <c r="Y7" s="23">
        <v>46030</v>
      </c>
      <c r="Z7" s="21" t="s">
        <v>189</v>
      </c>
      <c r="AA7" s="21" t="s">
        <v>189</v>
      </c>
      <c r="AB7" s="21"/>
      <c r="AC7" s="21" t="s">
        <v>189</v>
      </c>
      <c r="AD7" s="21" t="s">
        <v>189</v>
      </c>
      <c r="AE7" s="21">
        <v>0</v>
      </c>
      <c r="AF7" s="21">
        <v>0</v>
      </c>
      <c r="AG7" s="21">
        <v>0</v>
      </c>
      <c r="AH7" s="21">
        <v>0</v>
      </c>
      <c r="AI7" s="21">
        <v>0</v>
      </c>
      <c r="AJ7" s="21" t="s">
        <v>638</v>
      </c>
      <c r="AK7" s="21">
        <v>0</v>
      </c>
      <c r="AL7" s="21">
        <v>0</v>
      </c>
      <c r="AM7" s="21">
        <v>0</v>
      </c>
      <c r="AN7" s="21">
        <v>0</v>
      </c>
      <c r="AO7" s="21">
        <v>0</v>
      </c>
      <c r="AP7" s="21"/>
      <c r="AQ7" s="21">
        <v>0</v>
      </c>
      <c r="AR7" s="21">
        <v>0</v>
      </c>
      <c r="AS7" s="21">
        <v>618140.04</v>
      </c>
      <c r="AT7" s="21" t="s">
        <v>639</v>
      </c>
      <c r="AU7" s="21" t="s">
        <v>648</v>
      </c>
      <c r="AV7" s="21" t="s">
        <v>166</v>
      </c>
      <c r="AW7" s="21" t="s">
        <v>639</v>
      </c>
      <c r="AX7" s="21" t="s">
        <v>640</v>
      </c>
      <c r="AY7" s="21">
        <v>0</v>
      </c>
      <c r="AZ7" s="21">
        <v>163735</v>
      </c>
      <c r="BA7" s="21">
        <v>387</v>
      </c>
      <c r="BB7" s="23">
        <v>46030</v>
      </c>
      <c r="BC7" s="21" t="s">
        <v>176</v>
      </c>
      <c r="BD7" s="21" t="s">
        <v>641</v>
      </c>
      <c r="BE7" s="21" t="s">
        <v>641</v>
      </c>
      <c r="BF7" s="21">
        <v>9</v>
      </c>
      <c r="BG7" s="21">
        <v>14736.15</v>
      </c>
      <c r="BH7" s="21">
        <v>9</v>
      </c>
      <c r="BI7" s="21">
        <v>14736.15</v>
      </c>
      <c r="BJ7" s="21">
        <v>0</v>
      </c>
      <c r="BK7" s="21">
        <v>0</v>
      </c>
      <c r="BL7" s="21">
        <v>0</v>
      </c>
      <c r="BM7" s="21">
        <v>672155504375</v>
      </c>
      <c r="BN7" s="23">
        <v>46235</v>
      </c>
      <c r="BO7" s="21">
        <v>1375</v>
      </c>
    </row>
    <row r="8" spans="1:67" hidden="1" x14ac:dyDescent="0.25">
      <c r="A8" s="22"/>
      <c r="B8" s="21" t="s">
        <v>167</v>
      </c>
      <c r="C8" s="23">
        <v>46030</v>
      </c>
      <c r="D8" s="21" t="s">
        <v>642</v>
      </c>
      <c r="E8" s="21" t="s">
        <v>651</v>
      </c>
      <c r="F8" s="21" t="s">
        <v>652</v>
      </c>
      <c r="G8" s="21" t="s">
        <v>645</v>
      </c>
      <c r="H8" s="21">
        <v>1375</v>
      </c>
      <c r="I8" s="21">
        <v>1375</v>
      </c>
      <c r="J8" s="21" t="s">
        <v>168</v>
      </c>
      <c r="K8" s="21">
        <v>1375</v>
      </c>
      <c r="L8" s="21">
        <v>0</v>
      </c>
      <c r="M8" s="21">
        <v>1375</v>
      </c>
      <c r="N8" s="21" t="s">
        <v>174</v>
      </c>
      <c r="O8" s="21" t="s">
        <v>633</v>
      </c>
      <c r="P8" s="21" t="s">
        <v>633</v>
      </c>
      <c r="Q8" s="21" t="s">
        <v>646</v>
      </c>
      <c r="R8" s="23">
        <v>46030</v>
      </c>
      <c r="S8" s="21" t="s">
        <v>635</v>
      </c>
      <c r="T8" s="21" t="s">
        <v>636</v>
      </c>
      <c r="U8" s="21" t="s">
        <v>647</v>
      </c>
      <c r="V8" s="21">
        <v>151.9</v>
      </c>
      <c r="W8" s="21">
        <v>151.9</v>
      </c>
      <c r="X8" s="21" t="s">
        <v>646</v>
      </c>
      <c r="Y8" s="23">
        <v>46030</v>
      </c>
      <c r="Z8" s="21" t="s">
        <v>189</v>
      </c>
      <c r="AA8" s="21" t="s">
        <v>189</v>
      </c>
      <c r="AB8" s="21"/>
      <c r="AC8" s="21" t="s">
        <v>189</v>
      </c>
      <c r="AD8" s="21" t="s">
        <v>189</v>
      </c>
      <c r="AE8" s="21">
        <v>0</v>
      </c>
      <c r="AF8" s="21">
        <v>0</v>
      </c>
      <c r="AG8" s="21">
        <v>0</v>
      </c>
      <c r="AH8" s="21">
        <v>0</v>
      </c>
      <c r="AI8" s="21">
        <v>0</v>
      </c>
      <c r="AJ8" s="21" t="s">
        <v>638</v>
      </c>
      <c r="AK8" s="21">
        <v>0</v>
      </c>
      <c r="AL8" s="21">
        <v>0</v>
      </c>
      <c r="AM8" s="21">
        <v>0</v>
      </c>
      <c r="AN8" s="21">
        <v>0</v>
      </c>
      <c r="AO8" s="21">
        <v>0</v>
      </c>
      <c r="AP8" s="21"/>
      <c r="AQ8" s="21">
        <v>0</v>
      </c>
      <c r="AR8" s="21">
        <v>0</v>
      </c>
      <c r="AS8" s="21">
        <v>618140.04</v>
      </c>
      <c r="AT8" s="21" t="s">
        <v>639</v>
      </c>
      <c r="AU8" s="21" t="s">
        <v>648</v>
      </c>
      <c r="AV8" s="21" t="s">
        <v>316</v>
      </c>
      <c r="AW8" s="21" t="s">
        <v>639</v>
      </c>
      <c r="AX8" s="21"/>
      <c r="AY8" s="21">
        <v>0</v>
      </c>
      <c r="AZ8" s="21">
        <v>208862.5</v>
      </c>
      <c r="BA8" s="21">
        <v>387</v>
      </c>
      <c r="BB8" s="23">
        <v>46030</v>
      </c>
      <c r="BC8" s="21" t="s">
        <v>176</v>
      </c>
      <c r="BD8" s="21" t="s">
        <v>641</v>
      </c>
      <c r="BE8" s="21" t="s">
        <v>641</v>
      </c>
      <c r="BF8" s="21">
        <v>9</v>
      </c>
      <c r="BG8" s="21">
        <v>18797.62</v>
      </c>
      <c r="BH8" s="21">
        <v>9</v>
      </c>
      <c r="BI8" s="21">
        <v>18797.62</v>
      </c>
      <c r="BJ8" s="21">
        <v>0</v>
      </c>
      <c r="BK8" s="21">
        <v>0</v>
      </c>
      <c r="BL8" s="21">
        <v>0</v>
      </c>
      <c r="BM8" s="21">
        <v>672155504375</v>
      </c>
      <c r="BN8" s="23">
        <v>46235</v>
      </c>
      <c r="BO8" s="21">
        <v>1375</v>
      </c>
    </row>
    <row r="9" spans="1:67" hidden="1" x14ac:dyDescent="0.25">
      <c r="A9" s="22"/>
      <c r="B9" s="21" t="s">
        <v>167</v>
      </c>
      <c r="C9" s="23">
        <v>46061</v>
      </c>
      <c r="D9" s="21" t="s">
        <v>653</v>
      </c>
      <c r="E9" s="21" t="s">
        <v>182</v>
      </c>
      <c r="F9" s="21" t="s">
        <v>183</v>
      </c>
      <c r="G9" s="21" t="s">
        <v>654</v>
      </c>
      <c r="H9" s="21">
        <v>4445</v>
      </c>
      <c r="I9" s="21">
        <v>4445</v>
      </c>
      <c r="J9" s="21" t="s">
        <v>168</v>
      </c>
      <c r="K9" s="21">
        <v>4445</v>
      </c>
      <c r="L9" s="21">
        <v>0</v>
      </c>
      <c r="M9" s="21">
        <v>4445</v>
      </c>
      <c r="N9" s="21" t="s">
        <v>655</v>
      </c>
      <c r="O9" s="21" t="s">
        <v>656</v>
      </c>
      <c r="P9" s="21" t="s">
        <v>656</v>
      </c>
      <c r="Q9" s="21" t="s">
        <v>657</v>
      </c>
      <c r="R9" s="23">
        <v>46030</v>
      </c>
      <c r="S9" s="21" t="s">
        <v>635</v>
      </c>
      <c r="T9" s="21" t="s">
        <v>636</v>
      </c>
      <c r="U9" s="21" t="s">
        <v>658</v>
      </c>
      <c r="V9" s="21">
        <v>122</v>
      </c>
      <c r="W9" s="21">
        <v>122</v>
      </c>
      <c r="X9" s="21" t="s">
        <v>657</v>
      </c>
      <c r="Y9" s="23">
        <v>46030</v>
      </c>
      <c r="Z9" s="21" t="s">
        <v>189</v>
      </c>
      <c r="AA9" s="21" t="s">
        <v>189</v>
      </c>
      <c r="AB9" s="21"/>
      <c r="AC9" s="21" t="s">
        <v>659</v>
      </c>
      <c r="AD9" s="21">
        <v>2560</v>
      </c>
      <c r="AE9" s="21">
        <v>0</v>
      </c>
      <c r="AF9" s="21">
        <v>0</v>
      </c>
      <c r="AG9" s="21">
        <v>0</v>
      </c>
      <c r="AH9" s="21">
        <v>0</v>
      </c>
      <c r="AI9" s="21">
        <v>0</v>
      </c>
      <c r="AJ9" s="21" t="s">
        <v>638</v>
      </c>
      <c r="AK9" s="21">
        <v>0</v>
      </c>
      <c r="AL9" s="21">
        <v>0</v>
      </c>
      <c r="AM9" s="21">
        <v>0</v>
      </c>
      <c r="AN9" s="21">
        <v>0</v>
      </c>
      <c r="AO9" s="21">
        <v>0</v>
      </c>
      <c r="AP9" s="21"/>
      <c r="AQ9" s="21">
        <v>0</v>
      </c>
      <c r="AR9" s="21">
        <v>0</v>
      </c>
      <c r="AS9" s="21">
        <v>639902.19999999995</v>
      </c>
      <c r="AT9" s="21" t="s">
        <v>169</v>
      </c>
      <c r="AU9" s="21" t="s">
        <v>179</v>
      </c>
      <c r="AV9" s="21" t="s">
        <v>155</v>
      </c>
      <c r="AW9" s="21" t="s">
        <v>639</v>
      </c>
      <c r="AX9" s="21" t="s">
        <v>640</v>
      </c>
      <c r="AY9" s="21">
        <v>0</v>
      </c>
      <c r="AZ9" s="21">
        <v>542290</v>
      </c>
      <c r="BA9" s="21">
        <v>388</v>
      </c>
      <c r="BB9" s="23">
        <v>46061</v>
      </c>
      <c r="BC9" s="21" t="s">
        <v>176</v>
      </c>
      <c r="BD9" s="21" t="s">
        <v>641</v>
      </c>
      <c r="BE9" s="21" t="s">
        <v>641</v>
      </c>
      <c r="BF9" s="21">
        <v>9</v>
      </c>
      <c r="BG9" s="21">
        <v>48806.1</v>
      </c>
      <c r="BH9" s="21">
        <v>9</v>
      </c>
      <c r="BI9" s="21">
        <v>48806.1</v>
      </c>
      <c r="BJ9" s="21">
        <v>0</v>
      </c>
      <c r="BK9" s="21">
        <v>0</v>
      </c>
      <c r="BL9" s="21">
        <v>639902.19999999995</v>
      </c>
      <c r="BM9" s="21">
        <v>692155466167</v>
      </c>
      <c r="BN9" s="23">
        <v>46235</v>
      </c>
      <c r="BO9" s="21">
        <v>4445</v>
      </c>
    </row>
    <row r="10" spans="1:67" hidden="1" x14ac:dyDescent="0.25">
      <c r="A10" s="22"/>
      <c r="B10" s="21" t="s">
        <v>167</v>
      </c>
      <c r="C10" s="23">
        <v>46061</v>
      </c>
      <c r="D10" s="21" t="s">
        <v>660</v>
      </c>
      <c r="E10" s="21" t="s">
        <v>182</v>
      </c>
      <c r="F10" s="21" t="s">
        <v>183</v>
      </c>
      <c r="G10" s="21" t="s">
        <v>661</v>
      </c>
      <c r="H10" s="21">
        <v>1911</v>
      </c>
      <c r="I10" s="21">
        <v>1911</v>
      </c>
      <c r="J10" s="21" t="s">
        <v>168</v>
      </c>
      <c r="K10" s="21">
        <v>1911</v>
      </c>
      <c r="L10" s="21">
        <v>0</v>
      </c>
      <c r="M10" s="21">
        <v>1911</v>
      </c>
      <c r="N10" s="21" t="s">
        <v>662</v>
      </c>
      <c r="O10" s="21" t="s">
        <v>663</v>
      </c>
      <c r="P10" s="21" t="s">
        <v>663</v>
      </c>
      <c r="Q10" s="21" t="s">
        <v>664</v>
      </c>
      <c r="R10" s="23">
        <v>46030</v>
      </c>
      <c r="S10" s="21" t="s">
        <v>635</v>
      </c>
      <c r="T10" s="21" t="s">
        <v>636</v>
      </c>
      <c r="U10" s="21" t="s">
        <v>665</v>
      </c>
      <c r="V10" s="21">
        <v>156.49</v>
      </c>
      <c r="W10" s="21">
        <v>156.49</v>
      </c>
      <c r="X10" s="21" t="s">
        <v>664</v>
      </c>
      <c r="Y10" s="23">
        <v>46030</v>
      </c>
      <c r="Z10" s="21" t="s">
        <v>189</v>
      </c>
      <c r="AA10" s="21" t="s">
        <v>189</v>
      </c>
      <c r="AB10" s="21"/>
      <c r="AC10" s="21" t="s">
        <v>659</v>
      </c>
      <c r="AD10" s="21">
        <v>2539</v>
      </c>
      <c r="AE10" s="21">
        <v>0</v>
      </c>
      <c r="AF10" s="21">
        <v>0</v>
      </c>
      <c r="AG10" s="21">
        <v>0</v>
      </c>
      <c r="AH10" s="21">
        <v>0</v>
      </c>
      <c r="AI10" s="21">
        <v>0</v>
      </c>
      <c r="AJ10" s="21" t="s">
        <v>638</v>
      </c>
      <c r="AK10" s="21">
        <v>0</v>
      </c>
      <c r="AL10" s="21">
        <v>0</v>
      </c>
      <c r="AM10" s="21">
        <v>0</v>
      </c>
      <c r="AN10" s="21">
        <v>0</v>
      </c>
      <c r="AO10" s="21">
        <v>0</v>
      </c>
      <c r="AP10" s="21"/>
      <c r="AQ10" s="21">
        <v>0</v>
      </c>
      <c r="AR10" s="21">
        <v>0</v>
      </c>
      <c r="AS10" s="21">
        <v>511013.14</v>
      </c>
      <c r="AT10" s="21" t="s">
        <v>169</v>
      </c>
      <c r="AU10" s="21" t="s">
        <v>179</v>
      </c>
      <c r="AV10" s="21" t="s">
        <v>155</v>
      </c>
      <c r="AW10" s="21" t="s">
        <v>639</v>
      </c>
      <c r="AX10" s="21" t="s">
        <v>640</v>
      </c>
      <c r="AY10" s="21">
        <v>0</v>
      </c>
      <c r="AZ10" s="21">
        <v>299052.39</v>
      </c>
      <c r="BA10" s="21">
        <v>389</v>
      </c>
      <c r="BB10" s="23">
        <v>46061</v>
      </c>
      <c r="BC10" s="21" t="s">
        <v>185</v>
      </c>
      <c r="BD10" s="21" t="s">
        <v>641</v>
      </c>
      <c r="BE10" s="21" t="s">
        <v>641</v>
      </c>
      <c r="BF10" s="21">
        <v>9</v>
      </c>
      <c r="BG10" s="21">
        <v>26914.720000000001</v>
      </c>
      <c r="BH10" s="21">
        <v>9</v>
      </c>
      <c r="BI10" s="21">
        <v>26914.720000000001</v>
      </c>
      <c r="BJ10" s="21">
        <v>0</v>
      </c>
      <c r="BK10" s="21">
        <v>0</v>
      </c>
      <c r="BL10" s="21">
        <v>511013.14</v>
      </c>
      <c r="BM10" s="21">
        <v>612155312684</v>
      </c>
      <c r="BN10" s="23">
        <v>46235</v>
      </c>
      <c r="BO10" s="21">
        <v>1911</v>
      </c>
    </row>
    <row r="11" spans="1:67" hidden="1" x14ac:dyDescent="0.25">
      <c r="A11" s="22"/>
      <c r="B11" s="21" t="s">
        <v>167</v>
      </c>
      <c r="C11" s="23">
        <v>46061</v>
      </c>
      <c r="D11" s="21" t="s">
        <v>660</v>
      </c>
      <c r="E11" s="21" t="s">
        <v>182</v>
      </c>
      <c r="F11" s="21" t="s">
        <v>183</v>
      </c>
      <c r="G11" s="21" t="s">
        <v>661</v>
      </c>
      <c r="H11" s="21">
        <v>439</v>
      </c>
      <c r="I11" s="21">
        <v>439</v>
      </c>
      <c r="J11" s="21" t="s">
        <v>168</v>
      </c>
      <c r="K11" s="21">
        <v>439</v>
      </c>
      <c r="L11" s="21">
        <v>0</v>
      </c>
      <c r="M11" s="21">
        <v>439</v>
      </c>
      <c r="N11" s="21" t="s">
        <v>662</v>
      </c>
      <c r="O11" s="21" t="s">
        <v>663</v>
      </c>
      <c r="P11" s="21" t="s">
        <v>663</v>
      </c>
      <c r="Q11" s="21" t="s">
        <v>664</v>
      </c>
      <c r="R11" s="23">
        <v>46030</v>
      </c>
      <c r="S11" s="21" t="s">
        <v>635</v>
      </c>
      <c r="T11" s="21" t="s">
        <v>636</v>
      </c>
      <c r="U11" s="21" t="s">
        <v>665</v>
      </c>
      <c r="V11" s="21">
        <v>159.49</v>
      </c>
      <c r="W11" s="21">
        <v>159.49</v>
      </c>
      <c r="X11" s="21" t="s">
        <v>664</v>
      </c>
      <c r="Y11" s="23">
        <v>46030</v>
      </c>
      <c r="Z11" s="21" t="s">
        <v>189</v>
      </c>
      <c r="AA11" s="21" t="s">
        <v>189</v>
      </c>
      <c r="AB11" s="21"/>
      <c r="AC11" s="21" t="s">
        <v>659</v>
      </c>
      <c r="AD11" s="21">
        <v>2539</v>
      </c>
      <c r="AE11" s="21">
        <v>0</v>
      </c>
      <c r="AF11" s="21">
        <v>0</v>
      </c>
      <c r="AG11" s="21">
        <v>0</v>
      </c>
      <c r="AH11" s="21">
        <v>0</v>
      </c>
      <c r="AI11" s="21">
        <v>0</v>
      </c>
      <c r="AJ11" s="21" t="s">
        <v>638</v>
      </c>
      <c r="AK11" s="21">
        <v>0</v>
      </c>
      <c r="AL11" s="21">
        <v>0</v>
      </c>
      <c r="AM11" s="21">
        <v>0</v>
      </c>
      <c r="AN11" s="21">
        <v>0</v>
      </c>
      <c r="AO11" s="21">
        <v>0</v>
      </c>
      <c r="AP11" s="21"/>
      <c r="AQ11" s="21">
        <v>0</v>
      </c>
      <c r="AR11" s="21">
        <v>0</v>
      </c>
      <c r="AS11" s="21">
        <v>511013.14</v>
      </c>
      <c r="AT11" s="21" t="s">
        <v>169</v>
      </c>
      <c r="AU11" s="21" t="s">
        <v>179</v>
      </c>
      <c r="AV11" s="21" t="s">
        <v>155</v>
      </c>
      <c r="AW11" s="21" t="s">
        <v>639</v>
      </c>
      <c r="AX11" s="21" t="s">
        <v>640</v>
      </c>
      <c r="AY11" s="21">
        <v>0</v>
      </c>
      <c r="AZ11" s="21">
        <v>70016.11</v>
      </c>
      <c r="BA11" s="21">
        <v>389</v>
      </c>
      <c r="BB11" s="23">
        <v>46061</v>
      </c>
      <c r="BC11" s="21" t="s">
        <v>185</v>
      </c>
      <c r="BD11" s="21" t="s">
        <v>641</v>
      </c>
      <c r="BE11" s="21" t="s">
        <v>641</v>
      </c>
      <c r="BF11" s="21">
        <v>9</v>
      </c>
      <c r="BG11" s="21">
        <v>6301.45</v>
      </c>
      <c r="BH11" s="21">
        <v>9</v>
      </c>
      <c r="BI11" s="21">
        <v>6301.45</v>
      </c>
      <c r="BJ11" s="21">
        <v>0</v>
      </c>
      <c r="BK11" s="21">
        <v>0</v>
      </c>
      <c r="BL11" s="21">
        <v>0</v>
      </c>
      <c r="BM11" s="21">
        <v>612155312684</v>
      </c>
      <c r="BN11" s="23">
        <v>46235</v>
      </c>
      <c r="BO11" s="21">
        <v>439</v>
      </c>
    </row>
    <row r="12" spans="1:67" hidden="1" x14ac:dyDescent="0.25">
      <c r="A12" s="22"/>
      <c r="B12" s="21" t="s">
        <v>167</v>
      </c>
      <c r="C12" s="23">
        <v>46061</v>
      </c>
      <c r="D12" s="21" t="s">
        <v>660</v>
      </c>
      <c r="E12" s="21" t="s">
        <v>172</v>
      </c>
      <c r="F12" s="21" t="s">
        <v>173</v>
      </c>
      <c r="G12" s="21" t="s">
        <v>661</v>
      </c>
      <c r="H12" s="21">
        <v>394</v>
      </c>
      <c r="I12" s="21">
        <v>394</v>
      </c>
      <c r="J12" s="21" t="s">
        <v>168</v>
      </c>
      <c r="K12" s="21">
        <v>394</v>
      </c>
      <c r="L12" s="21">
        <v>0</v>
      </c>
      <c r="M12" s="21">
        <v>394</v>
      </c>
      <c r="N12" s="21" t="s">
        <v>662</v>
      </c>
      <c r="O12" s="21" t="s">
        <v>663</v>
      </c>
      <c r="P12" s="21" t="s">
        <v>663</v>
      </c>
      <c r="Q12" s="21" t="s">
        <v>664</v>
      </c>
      <c r="R12" s="23">
        <v>46030</v>
      </c>
      <c r="S12" s="21" t="s">
        <v>635</v>
      </c>
      <c r="T12" s="21" t="s">
        <v>636</v>
      </c>
      <c r="U12" s="21" t="s">
        <v>665</v>
      </c>
      <c r="V12" s="21">
        <v>162.41999999999999</v>
      </c>
      <c r="W12" s="21">
        <v>162.41999999999999</v>
      </c>
      <c r="X12" s="21" t="s">
        <v>664</v>
      </c>
      <c r="Y12" s="23">
        <v>46030</v>
      </c>
      <c r="Z12" s="21" t="s">
        <v>189</v>
      </c>
      <c r="AA12" s="21" t="s">
        <v>189</v>
      </c>
      <c r="AB12" s="21"/>
      <c r="AC12" s="21" t="s">
        <v>659</v>
      </c>
      <c r="AD12" s="21">
        <v>2539</v>
      </c>
      <c r="AE12" s="21">
        <v>0</v>
      </c>
      <c r="AF12" s="21">
        <v>0</v>
      </c>
      <c r="AG12" s="21">
        <v>0</v>
      </c>
      <c r="AH12" s="21">
        <v>0</v>
      </c>
      <c r="AI12" s="21">
        <v>0</v>
      </c>
      <c r="AJ12" s="21" t="s">
        <v>638</v>
      </c>
      <c r="AK12" s="21">
        <v>0</v>
      </c>
      <c r="AL12" s="21">
        <v>0</v>
      </c>
      <c r="AM12" s="21">
        <v>0</v>
      </c>
      <c r="AN12" s="21">
        <v>0</v>
      </c>
      <c r="AO12" s="21">
        <v>0</v>
      </c>
      <c r="AP12" s="21"/>
      <c r="AQ12" s="21">
        <v>0</v>
      </c>
      <c r="AR12" s="21">
        <v>0</v>
      </c>
      <c r="AS12" s="21">
        <v>511013.14</v>
      </c>
      <c r="AT12" s="21" t="s">
        <v>169</v>
      </c>
      <c r="AU12" s="21" t="s">
        <v>175</v>
      </c>
      <c r="AV12" s="21" t="s">
        <v>159</v>
      </c>
      <c r="AW12" s="21" t="s">
        <v>639</v>
      </c>
      <c r="AX12" s="21" t="s">
        <v>640</v>
      </c>
      <c r="AY12" s="21">
        <v>0</v>
      </c>
      <c r="AZ12" s="21">
        <v>63993.48</v>
      </c>
      <c r="BA12" s="21">
        <v>389</v>
      </c>
      <c r="BB12" s="23">
        <v>46061</v>
      </c>
      <c r="BC12" s="21" t="s">
        <v>185</v>
      </c>
      <c r="BD12" s="21" t="s">
        <v>641</v>
      </c>
      <c r="BE12" s="21" t="s">
        <v>641</v>
      </c>
      <c r="BF12" s="21">
        <v>9</v>
      </c>
      <c r="BG12" s="21">
        <v>5759.41</v>
      </c>
      <c r="BH12" s="21">
        <v>9</v>
      </c>
      <c r="BI12" s="21">
        <v>5759.41</v>
      </c>
      <c r="BJ12" s="21">
        <v>0</v>
      </c>
      <c r="BK12" s="21">
        <v>0</v>
      </c>
      <c r="BL12" s="21">
        <v>0</v>
      </c>
      <c r="BM12" s="21">
        <v>612155312684</v>
      </c>
      <c r="BN12" s="23">
        <v>46235</v>
      </c>
      <c r="BO12" s="21">
        <v>394</v>
      </c>
    </row>
    <row r="13" spans="1:67" hidden="1" x14ac:dyDescent="0.25">
      <c r="A13" s="22"/>
      <c r="B13" s="21" t="s">
        <v>167</v>
      </c>
      <c r="C13" s="23">
        <v>46061</v>
      </c>
      <c r="D13" s="21" t="s">
        <v>666</v>
      </c>
      <c r="E13" s="21" t="s">
        <v>172</v>
      </c>
      <c r="F13" s="21" t="s">
        <v>173</v>
      </c>
      <c r="G13" s="21" t="s">
        <v>667</v>
      </c>
      <c r="H13" s="21">
        <v>101</v>
      </c>
      <c r="I13" s="21">
        <v>101</v>
      </c>
      <c r="J13" s="21" t="s">
        <v>168</v>
      </c>
      <c r="K13" s="21">
        <v>101</v>
      </c>
      <c r="L13" s="21">
        <v>0</v>
      </c>
      <c r="M13" s="21">
        <v>101</v>
      </c>
      <c r="N13" s="21" t="s">
        <v>317</v>
      </c>
      <c r="O13" s="21" t="s">
        <v>633</v>
      </c>
      <c r="P13" s="21" t="s">
        <v>633</v>
      </c>
      <c r="Q13" s="21" t="s">
        <v>668</v>
      </c>
      <c r="R13" s="23">
        <v>46061</v>
      </c>
      <c r="S13" s="21" t="s">
        <v>635</v>
      </c>
      <c r="T13" s="21" t="s">
        <v>636</v>
      </c>
      <c r="U13" s="21" t="s">
        <v>669</v>
      </c>
      <c r="V13" s="21">
        <v>176.86</v>
      </c>
      <c r="W13" s="21">
        <v>176.86</v>
      </c>
      <c r="X13" s="21" t="s">
        <v>668</v>
      </c>
      <c r="Y13" s="23">
        <v>46061</v>
      </c>
      <c r="Z13" s="21" t="s">
        <v>189</v>
      </c>
      <c r="AA13" s="21" t="s">
        <v>189</v>
      </c>
      <c r="AB13" s="21"/>
      <c r="AC13" s="21" t="s">
        <v>189</v>
      </c>
      <c r="AD13" s="21" t="s">
        <v>189</v>
      </c>
      <c r="AE13" s="21">
        <v>0</v>
      </c>
      <c r="AF13" s="21">
        <v>0</v>
      </c>
      <c r="AG13" s="21">
        <v>0</v>
      </c>
      <c r="AH13" s="21">
        <v>0</v>
      </c>
      <c r="AI13" s="21">
        <v>0</v>
      </c>
      <c r="AJ13" s="21" t="s">
        <v>638</v>
      </c>
      <c r="AK13" s="21">
        <v>0</v>
      </c>
      <c r="AL13" s="21">
        <v>0</v>
      </c>
      <c r="AM13" s="21">
        <v>0</v>
      </c>
      <c r="AN13" s="21">
        <v>0</v>
      </c>
      <c r="AO13" s="21">
        <v>0</v>
      </c>
      <c r="AP13" s="21"/>
      <c r="AQ13" s="21">
        <v>0</v>
      </c>
      <c r="AR13" s="21">
        <v>0</v>
      </c>
      <c r="AS13" s="21">
        <v>21078.18</v>
      </c>
      <c r="AT13" s="21" t="s">
        <v>169</v>
      </c>
      <c r="AU13" s="21" t="s">
        <v>175</v>
      </c>
      <c r="AV13" s="21" t="s">
        <v>159</v>
      </c>
      <c r="AW13" s="21" t="s">
        <v>639</v>
      </c>
      <c r="AX13" s="21" t="s">
        <v>640</v>
      </c>
      <c r="AY13" s="21">
        <v>0</v>
      </c>
      <c r="AZ13" s="21">
        <v>17862.86</v>
      </c>
      <c r="BA13" s="21">
        <v>390</v>
      </c>
      <c r="BB13" s="23">
        <v>46061</v>
      </c>
      <c r="BC13" s="21" t="s">
        <v>176</v>
      </c>
      <c r="BD13" s="21" t="s">
        <v>641</v>
      </c>
      <c r="BE13" s="21" t="s">
        <v>641</v>
      </c>
      <c r="BF13" s="21">
        <v>9</v>
      </c>
      <c r="BG13" s="21">
        <v>1607.66</v>
      </c>
      <c r="BH13" s="21">
        <v>9</v>
      </c>
      <c r="BI13" s="21">
        <v>1607.66</v>
      </c>
      <c r="BJ13" s="21">
        <v>0</v>
      </c>
      <c r="BK13" s="21">
        <v>0</v>
      </c>
      <c r="BL13" s="21">
        <v>21078.18</v>
      </c>
      <c r="BM13" s="21">
        <v>662155751770</v>
      </c>
      <c r="BN13" s="23">
        <v>46236</v>
      </c>
      <c r="BO13" s="21">
        <v>101</v>
      </c>
    </row>
    <row r="14" spans="1:67" hidden="1" x14ac:dyDescent="0.25">
      <c r="A14" s="22"/>
      <c r="B14" s="21" t="s">
        <v>167</v>
      </c>
      <c r="C14" s="23">
        <v>46061</v>
      </c>
      <c r="D14" s="21" t="s">
        <v>670</v>
      </c>
      <c r="E14" s="21" t="s">
        <v>182</v>
      </c>
      <c r="F14" s="21" t="s">
        <v>183</v>
      </c>
      <c r="G14" s="21" t="s">
        <v>671</v>
      </c>
      <c r="H14" s="21">
        <v>755</v>
      </c>
      <c r="I14" s="21">
        <v>755</v>
      </c>
      <c r="J14" s="21" t="s">
        <v>168</v>
      </c>
      <c r="K14" s="21">
        <v>755</v>
      </c>
      <c r="L14" s="21">
        <v>0</v>
      </c>
      <c r="M14" s="21">
        <v>755</v>
      </c>
      <c r="N14" s="21" t="s">
        <v>174</v>
      </c>
      <c r="O14" s="21" t="s">
        <v>633</v>
      </c>
      <c r="P14" s="21" t="s">
        <v>633</v>
      </c>
      <c r="Q14" s="21" t="s">
        <v>672</v>
      </c>
      <c r="R14" s="23">
        <v>46061</v>
      </c>
      <c r="S14" s="21" t="s">
        <v>635</v>
      </c>
      <c r="T14" s="21" t="s">
        <v>636</v>
      </c>
      <c r="U14" s="21" t="s">
        <v>673</v>
      </c>
      <c r="V14" s="21">
        <v>144.08000000000001</v>
      </c>
      <c r="W14" s="21">
        <v>144.08000043070001</v>
      </c>
      <c r="X14" s="21" t="s">
        <v>672</v>
      </c>
      <c r="Y14" s="23">
        <v>46061</v>
      </c>
      <c r="Z14" s="21" t="s">
        <v>189</v>
      </c>
      <c r="AA14" s="21" t="s">
        <v>189</v>
      </c>
      <c r="AB14" s="21"/>
      <c r="AC14" s="21" t="s">
        <v>189</v>
      </c>
      <c r="AD14" s="21" t="s">
        <v>189</v>
      </c>
      <c r="AE14" s="21">
        <v>0</v>
      </c>
      <c r="AF14" s="21">
        <v>0</v>
      </c>
      <c r="AG14" s="21">
        <v>0</v>
      </c>
      <c r="AH14" s="21">
        <v>0</v>
      </c>
      <c r="AI14" s="21">
        <v>0</v>
      </c>
      <c r="AJ14" s="21" t="s">
        <v>638</v>
      </c>
      <c r="AK14" s="21">
        <v>0</v>
      </c>
      <c r="AL14" s="21">
        <v>0</v>
      </c>
      <c r="AM14" s="21">
        <v>0</v>
      </c>
      <c r="AN14" s="21">
        <v>0</v>
      </c>
      <c r="AO14" s="21">
        <v>0</v>
      </c>
      <c r="AP14" s="21"/>
      <c r="AQ14" s="21">
        <v>0</v>
      </c>
      <c r="AR14" s="21">
        <v>0</v>
      </c>
      <c r="AS14" s="21">
        <v>669050.65</v>
      </c>
      <c r="AT14" s="21" t="s">
        <v>169</v>
      </c>
      <c r="AU14" s="21" t="s">
        <v>179</v>
      </c>
      <c r="AV14" s="21" t="s">
        <v>155</v>
      </c>
      <c r="AW14" s="21" t="s">
        <v>639</v>
      </c>
      <c r="AX14" s="21" t="s">
        <v>640</v>
      </c>
      <c r="AY14" s="21">
        <v>0</v>
      </c>
      <c r="AZ14" s="21">
        <v>108780.4</v>
      </c>
      <c r="BA14" s="21">
        <v>391</v>
      </c>
      <c r="BB14" s="23">
        <v>46061</v>
      </c>
      <c r="BC14" s="21" t="s">
        <v>176</v>
      </c>
      <c r="BD14" s="21" t="s">
        <v>641</v>
      </c>
      <c r="BE14" s="21" t="s">
        <v>641</v>
      </c>
      <c r="BF14" s="21">
        <v>9</v>
      </c>
      <c r="BG14" s="21">
        <v>9790.24</v>
      </c>
      <c r="BH14" s="21">
        <v>9</v>
      </c>
      <c r="BI14" s="21">
        <v>9790.24</v>
      </c>
      <c r="BJ14" s="21">
        <v>0</v>
      </c>
      <c r="BK14" s="21">
        <v>0</v>
      </c>
      <c r="BL14" s="21">
        <v>669050.65</v>
      </c>
      <c r="BM14" s="21">
        <v>602155826153</v>
      </c>
      <c r="BN14" s="23">
        <v>46236</v>
      </c>
      <c r="BO14" s="21">
        <v>755</v>
      </c>
    </row>
    <row r="15" spans="1:67" hidden="1" x14ac:dyDescent="0.25">
      <c r="A15" s="22"/>
      <c r="B15" s="21" t="s">
        <v>167</v>
      </c>
      <c r="C15" s="23">
        <v>46061</v>
      </c>
      <c r="D15" s="21" t="s">
        <v>670</v>
      </c>
      <c r="E15" s="21" t="s">
        <v>234</v>
      </c>
      <c r="F15" s="21" t="s">
        <v>153</v>
      </c>
      <c r="G15" s="21" t="s">
        <v>671</v>
      </c>
      <c r="H15" s="21">
        <v>252</v>
      </c>
      <c r="I15" s="21">
        <v>252</v>
      </c>
      <c r="J15" s="21" t="s">
        <v>168</v>
      </c>
      <c r="K15" s="21">
        <v>252</v>
      </c>
      <c r="L15" s="21">
        <v>0</v>
      </c>
      <c r="M15" s="21">
        <v>252</v>
      </c>
      <c r="N15" s="21" t="s">
        <v>174</v>
      </c>
      <c r="O15" s="21" t="s">
        <v>633</v>
      </c>
      <c r="P15" s="21" t="s">
        <v>633</v>
      </c>
      <c r="Q15" s="21" t="s">
        <v>672</v>
      </c>
      <c r="R15" s="23">
        <v>46061</v>
      </c>
      <c r="S15" s="21" t="s">
        <v>635</v>
      </c>
      <c r="T15" s="21" t="s">
        <v>636</v>
      </c>
      <c r="U15" s="21" t="s">
        <v>673</v>
      </c>
      <c r="V15" s="21">
        <v>143.08000000000001</v>
      </c>
      <c r="W15" s="21">
        <v>143.08000042771101</v>
      </c>
      <c r="X15" s="21" t="s">
        <v>672</v>
      </c>
      <c r="Y15" s="23">
        <v>46061</v>
      </c>
      <c r="Z15" s="21" t="s">
        <v>189</v>
      </c>
      <c r="AA15" s="21" t="s">
        <v>189</v>
      </c>
      <c r="AB15" s="21"/>
      <c r="AC15" s="21" t="s">
        <v>189</v>
      </c>
      <c r="AD15" s="21" t="s">
        <v>189</v>
      </c>
      <c r="AE15" s="21">
        <v>0</v>
      </c>
      <c r="AF15" s="21">
        <v>0</v>
      </c>
      <c r="AG15" s="21">
        <v>0</v>
      </c>
      <c r="AH15" s="21">
        <v>0</v>
      </c>
      <c r="AI15" s="21">
        <v>0</v>
      </c>
      <c r="AJ15" s="21" t="s">
        <v>638</v>
      </c>
      <c r="AK15" s="21">
        <v>0</v>
      </c>
      <c r="AL15" s="21">
        <v>0</v>
      </c>
      <c r="AM15" s="21">
        <v>0</v>
      </c>
      <c r="AN15" s="21">
        <v>0</v>
      </c>
      <c r="AO15" s="21">
        <v>0</v>
      </c>
      <c r="AP15" s="21"/>
      <c r="AQ15" s="21">
        <v>0</v>
      </c>
      <c r="AR15" s="21">
        <v>0</v>
      </c>
      <c r="AS15" s="21">
        <v>669050.65</v>
      </c>
      <c r="AT15" s="21" t="s">
        <v>188</v>
      </c>
      <c r="AU15" s="21" t="s">
        <v>153</v>
      </c>
      <c r="AV15" s="21" t="s">
        <v>153</v>
      </c>
      <c r="AW15" s="21" t="s">
        <v>639</v>
      </c>
      <c r="AX15" s="21" t="s">
        <v>640</v>
      </c>
      <c r="AY15" s="21">
        <v>0</v>
      </c>
      <c r="AZ15" s="21">
        <v>36056.160000000003</v>
      </c>
      <c r="BA15" s="21">
        <v>391</v>
      </c>
      <c r="BB15" s="23">
        <v>46061</v>
      </c>
      <c r="BC15" s="21" t="s">
        <v>176</v>
      </c>
      <c r="BD15" s="21" t="s">
        <v>641</v>
      </c>
      <c r="BE15" s="21" t="s">
        <v>641</v>
      </c>
      <c r="BF15" s="21">
        <v>9</v>
      </c>
      <c r="BG15" s="21">
        <v>3245.05</v>
      </c>
      <c r="BH15" s="21">
        <v>9</v>
      </c>
      <c r="BI15" s="21">
        <v>3245.05</v>
      </c>
      <c r="BJ15" s="21">
        <v>0</v>
      </c>
      <c r="BK15" s="21">
        <v>0</v>
      </c>
      <c r="BL15" s="21">
        <v>0</v>
      </c>
      <c r="BM15" s="21">
        <v>602155826153</v>
      </c>
      <c r="BN15" s="23">
        <v>46236</v>
      </c>
      <c r="BO15" s="21">
        <v>252</v>
      </c>
    </row>
    <row r="16" spans="1:67" hidden="1" x14ac:dyDescent="0.25">
      <c r="A16" s="22"/>
      <c r="B16" s="21" t="s">
        <v>167</v>
      </c>
      <c r="C16" s="23">
        <v>46061</v>
      </c>
      <c r="D16" s="21" t="s">
        <v>670</v>
      </c>
      <c r="E16" s="21" t="s">
        <v>227</v>
      </c>
      <c r="F16" s="21" t="s">
        <v>228</v>
      </c>
      <c r="G16" s="21" t="s">
        <v>671</v>
      </c>
      <c r="H16" s="21">
        <v>11.8</v>
      </c>
      <c r="I16" s="21">
        <v>11.8</v>
      </c>
      <c r="J16" s="21" t="s">
        <v>168</v>
      </c>
      <c r="K16" s="21">
        <v>11.8</v>
      </c>
      <c r="L16" s="21">
        <v>0</v>
      </c>
      <c r="M16" s="21">
        <v>11.8</v>
      </c>
      <c r="N16" s="21" t="s">
        <v>174</v>
      </c>
      <c r="O16" s="21" t="s">
        <v>633</v>
      </c>
      <c r="P16" s="21" t="s">
        <v>633</v>
      </c>
      <c r="Q16" s="21" t="s">
        <v>672</v>
      </c>
      <c r="R16" s="23">
        <v>46061</v>
      </c>
      <c r="S16" s="21" t="s">
        <v>635</v>
      </c>
      <c r="T16" s="21" t="s">
        <v>636</v>
      </c>
      <c r="U16" s="21" t="s">
        <v>673</v>
      </c>
      <c r="V16" s="21">
        <v>286</v>
      </c>
      <c r="W16" s="21">
        <v>286.00000085494298</v>
      </c>
      <c r="X16" s="21" t="s">
        <v>672</v>
      </c>
      <c r="Y16" s="23">
        <v>46061</v>
      </c>
      <c r="Z16" s="21" t="s">
        <v>189</v>
      </c>
      <c r="AA16" s="21" t="s">
        <v>189</v>
      </c>
      <c r="AB16" s="21"/>
      <c r="AC16" s="21" t="s">
        <v>189</v>
      </c>
      <c r="AD16" s="21" t="s">
        <v>189</v>
      </c>
      <c r="AE16" s="21">
        <v>0</v>
      </c>
      <c r="AF16" s="21">
        <v>0</v>
      </c>
      <c r="AG16" s="21">
        <v>0</v>
      </c>
      <c r="AH16" s="21">
        <v>0</v>
      </c>
      <c r="AI16" s="21">
        <v>0</v>
      </c>
      <c r="AJ16" s="21" t="s">
        <v>638</v>
      </c>
      <c r="AK16" s="21">
        <v>0</v>
      </c>
      <c r="AL16" s="21">
        <v>0</v>
      </c>
      <c r="AM16" s="21">
        <v>0</v>
      </c>
      <c r="AN16" s="21">
        <v>0</v>
      </c>
      <c r="AO16" s="21">
        <v>0</v>
      </c>
      <c r="AP16" s="21"/>
      <c r="AQ16" s="21">
        <v>0</v>
      </c>
      <c r="AR16" s="21">
        <v>0</v>
      </c>
      <c r="AS16" s="21">
        <v>669050.65</v>
      </c>
      <c r="AT16" s="21" t="s">
        <v>169</v>
      </c>
      <c r="AU16" s="21" t="s">
        <v>175</v>
      </c>
      <c r="AV16" s="21" t="s">
        <v>159</v>
      </c>
      <c r="AW16" s="21" t="s">
        <v>639</v>
      </c>
      <c r="AX16" s="21" t="s">
        <v>640</v>
      </c>
      <c r="AY16" s="21">
        <v>0</v>
      </c>
      <c r="AZ16" s="21">
        <v>3374.8</v>
      </c>
      <c r="BA16" s="21">
        <v>391</v>
      </c>
      <c r="BB16" s="23">
        <v>46061</v>
      </c>
      <c r="BC16" s="21" t="s">
        <v>176</v>
      </c>
      <c r="BD16" s="21" t="s">
        <v>641</v>
      </c>
      <c r="BE16" s="21" t="s">
        <v>641</v>
      </c>
      <c r="BF16" s="21">
        <v>9</v>
      </c>
      <c r="BG16" s="21">
        <v>303.73</v>
      </c>
      <c r="BH16" s="21">
        <v>9</v>
      </c>
      <c r="BI16" s="21">
        <v>303.73</v>
      </c>
      <c r="BJ16" s="21">
        <v>0</v>
      </c>
      <c r="BK16" s="21">
        <v>0</v>
      </c>
      <c r="BL16" s="21">
        <v>0</v>
      </c>
      <c r="BM16" s="21">
        <v>602155826153</v>
      </c>
      <c r="BN16" s="23">
        <v>46236</v>
      </c>
      <c r="BO16" s="21">
        <v>11.8</v>
      </c>
    </row>
    <row r="17" spans="1:67" hidden="1" x14ac:dyDescent="0.25">
      <c r="A17" s="22"/>
      <c r="B17" s="21" t="s">
        <v>167</v>
      </c>
      <c r="C17" s="23">
        <v>46061</v>
      </c>
      <c r="D17" s="21" t="s">
        <v>670</v>
      </c>
      <c r="E17" s="21" t="s">
        <v>180</v>
      </c>
      <c r="F17" s="21" t="s">
        <v>181</v>
      </c>
      <c r="G17" s="21" t="s">
        <v>671</v>
      </c>
      <c r="H17" s="21">
        <v>446.1</v>
      </c>
      <c r="I17" s="21">
        <v>446.1</v>
      </c>
      <c r="J17" s="21" t="s">
        <v>168</v>
      </c>
      <c r="K17" s="21">
        <v>446.1</v>
      </c>
      <c r="L17" s="21">
        <v>0</v>
      </c>
      <c r="M17" s="21">
        <v>446.1</v>
      </c>
      <c r="N17" s="21" t="s">
        <v>174</v>
      </c>
      <c r="O17" s="21" t="s">
        <v>633</v>
      </c>
      <c r="P17" s="21" t="s">
        <v>633</v>
      </c>
      <c r="Q17" s="21" t="s">
        <v>672</v>
      </c>
      <c r="R17" s="23">
        <v>46061</v>
      </c>
      <c r="S17" s="21" t="s">
        <v>635</v>
      </c>
      <c r="T17" s="21" t="s">
        <v>636</v>
      </c>
      <c r="U17" s="21" t="s">
        <v>673</v>
      </c>
      <c r="V17" s="21">
        <v>144.08000000000001</v>
      </c>
      <c r="W17" s="21">
        <v>144.08000043070001</v>
      </c>
      <c r="X17" s="21" t="s">
        <v>672</v>
      </c>
      <c r="Y17" s="23">
        <v>46061</v>
      </c>
      <c r="Z17" s="21" t="s">
        <v>189</v>
      </c>
      <c r="AA17" s="21" t="s">
        <v>189</v>
      </c>
      <c r="AB17" s="21"/>
      <c r="AC17" s="21" t="s">
        <v>189</v>
      </c>
      <c r="AD17" s="21" t="s">
        <v>189</v>
      </c>
      <c r="AE17" s="21">
        <v>0</v>
      </c>
      <c r="AF17" s="21">
        <v>0</v>
      </c>
      <c r="AG17" s="21">
        <v>0</v>
      </c>
      <c r="AH17" s="21">
        <v>0</v>
      </c>
      <c r="AI17" s="21">
        <v>0</v>
      </c>
      <c r="AJ17" s="21" t="s">
        <v>638</v>
      </c>
      <c r="AK17" s="21">
        <v>0</v>
      </c>
      <c r="AL17" s="21">
        <v>0</v>
      </c>
      <c r="AM17" s="21">
        <v>0</v>
      </c>
      <c r="AN17" s="21">
        <v>0</v>
      </c>
      <c r="AO17" s="21">
        <v>0</v>
      </c>
      <c r="AP17" s="21"/>
      <c r="AQ17" s="21">
        <v>0</v>
      </c>
      <c r="AR17" s="21">
        <v>0</v>
      </c>
      <c r="AS17" s="21">
        <v>669050.65</v>
      </c>
      <c r="AT17" s="21" t="s">
        <v>169</v>
      </c>
      <c r="AU17" s="21" t="s">
        <v>181</v>
      </c>
      <c r="AV17" s="21" t="s">
        <v>154</v>
      </c>
      <c r="AW17" s="21" t="s">
        <v>639</v>
      </c>
      <c r="AX17" s="21" t="s">
        <v>640</v>
      </c>
      <c r="AY17" s="21">
        <v>0</v>
      </c>
      <c r="AZ17" s="21">
        <v>64274.09</v>
      </c>
      <c r="BA17" s="21">
        <v>391</v>
      </c>
      <c r="BB17" s="23">
        <v>46061</v>
      </c>
      <c r="BC17" s="21" t="s">
        <v>176</v>
      </c>
      <c r="BD17" s="21" t="s">
        <v>641</v>
      </c>
      <c r="BE17" s="21" t="s">
        <v>641</v>
      </c>
      <c r="BF17" s="21">
        <v>9</v>
      </c>
      <c r="BG17" s="21">
        <v>5784.67</v>
      </c>
      <c r="BH17" s="21">
        <v>9</v>
      </c>
      <c r="BI17" s="21">
        <v>5784.67</v>
      </c>
      <c r="BJ17" s="21">
        <v>0</v>
      </c>
      <c r="BK17" s="21">
        <v>0</v>
      </c>
      <c r="BL17" s="21">
        <v>0</v>
      </c>
      <c r="BM17" s="21">
        <v>602155826153</v>
      </c>
      <c r="BN17" s="23">
        <v>46236</v>
      </c>
      <c r="BO17" s="21">
        <v>446.1</v>
      </c>
    </row>
    <row r="18" spans="1:67" hidden="1" x14ac:dyDescent="0.25">
      <c r="A18" s="22"/>
      <c r="B18" s="21" t="s">
        <v>167</v>
      </c>
      <c r="C18" s="23">
        <v>46061</v>
      </c>
      <c r="D18" s="21" t="s">
        <v>670</v>
      </c>
      <c r="E18" s="21" t="s">
        <v>177</v>
      </c>
      <c r="F18" s="21" t="s">
        <v>178</v>
      </c>
      <c r="G18" s="21" t="s">
        <v>671</v>
      </c>
      <c r="H18" s="21">
        <v>2131</v>
      </c>
      <c r="I18" s="21">
        <v>2131</v>
      </c>
      <c r="J18" s="21" t="s">
        <v>168</v>
      </c>
      <c r="K18" s="21">
        <v>2131</v>
      </c>
      <c r="L18" s="21">
        <v>0</v>
      </c>
      <c r="M18" s="21">
        <v>2131</v>
      </c>
      <c r="N18" s="21" t="s">
        <v>174</v>
      </c>
      <c r="O18" s="21" t="s">
        <v>633</v>
      </c>
      <c r="P18" s="21" t="s">
        <v>633</v>
      </c>
      <c r="Q18" s="21" t="s">
        <v>672</v>
      </c>
      <c r="R18" s="23">
        <v>46061</v>
      </c>
      <c r="S18" s="21" t="s">
        <v>635</v>
      </c>
      <c r="T18" s="21" t="s">
        <v>636</v>
      </c>
      <c r="U18" s="21" t="s">
        <v>673</v>
      </c>
      <c r="V18" s="21">
        <v>146.08000000000001</v>
      </c>
      <c r="W18" s="21">
        <v>146.08000043667801</v>
      </c>
      <c r="X18" s="21" t="s">
        <v>672</v>
      </c>
      <c r="Y18" s="23">
        <v>46061</v>
      </c>
      <c r="Z18" s="21" t="s">
        <v>189</v>
      </c>
      <c r="AA18" s="21" t="s">
        <v>189</v>
      </c>
      <c r="AB18" s="21"/>
      <c r="AC18" s="21" t="s">
        <v>189</v>
      </c>
      <c r="AD18" s="21" t="s">
        <v>189</v>
      </c>
      <c r="AE18" s="21">
        <v>0</v>
      </c>
      <c r="AF18" s="21">
        <v>0</v>
      </c>
      <c r="AG18" s="21">
        <v>0</v>
      </c>
      <c r="AH18" s="21">
        <v>0</v>
      </c>
      <c r="AI18" s="21">
        <v>0</v>
      </c>
      <c r="AJ18" s="21" t="s">
        <v>638</v>
      </c>
      <c r="AK18" s="21">
        <v>0</v>
      </c>
      <c r="AL18" s="21">
        <v>0</v>
      </c>
      <c r="AM18" s="21">
        <v>0</v>
      </c>
      <c r="AN18" s="21">
        <v>0</v>
      </c>
      <c r="AO18" s="21">
        <v>0</v>
      </c>
      <c r="AP18" s="21"/>
      <c r="AQ18" s="21">
        <v>0</v>
      </c>
      <c r="AR18" s="21">
        <v>0</v>
      </c>
      <c r="AS18" s="21">
        <v>669050.65</v>
      </c>
      <c r="AT18" s="21" t="s">
        <v>169</v>
      </c>
      <c r="AU18" s="21" t="s">
        <v>179</v>
      </c>
      <c r="AV18" s="21" t="s">
        <v>156</v>
      </c>
      <c r="AW18" s="21" t="s">
        <v>639</v>
      </c>
      <c r="AX18" s="21" t="s">
        <v>640</v>
      </c>
      <c r="AY18" s="21">
        <v>0</v>
      </c>
      <c r="AZ18" s="21">
        <v>311296.48</v>
      </c>
      <c r="BA18" s="21">
        <v>391</v>
      </c>
      <c r="BB18" s="23">
        <v>46061</v>
      </c>
      <c r="BC18" s="21" t="s">
        <v>176</v>
      </c>
      <c r="BD18" s="21" t="s">
        <v>641</v>
      </c>
      <c r="BE18" s="21" t="s">
        <v>641</v>
      </c>
      <c r="BF18" s="21">
        <v>9</v>
      </c>
      <c r="BG18" s="21">
        <v>28016.68</v>
      </c>
      <c r="BH18" s="21">
        <v>9</v>
      </c>
      <c r="BI18" s="21">
        <v>28016.68</v>
      </c>
      <c r="BJ18" s="21">
        <v>0</v>
      </c>
      <c r="BK18" s="21">
        <v>0</v>
      </c>
      <c r="BL18" s="21">
        <v>0</v>
      </c>
      <c r="BM18" s="21">
        <v>602155826153</v>
      </c>
      <c r="BN18" s="23">
        <v>46236</v>
      </c>
      <c r="BO18" s="21">
        <v>2131</v>
      </c>
    </row>
    <row r="19" spans="1:67" hidden="1" x14ac:dyDescent="0.25">
      <c r="A19" s="22"/>
      <c r="B19" s="21" t="s">
        <v>167</v>
      </c>
      <c r="C19" s="23">
        <v>46061</v>
      </c>
      <c r="D19" s="21" t="s">
        <v>670</v>
      </c>
      <c r="E19" s="21" t="s">
        <v>177</v>
      </c>
      <c r="F19" s="21" t="s">
        <v>178</v>
      </c>
      <c r="G19" s="21" t="s">
        <v>671</v>
      </c>
      <c r="H19" s="21">
        <v>302</v>
      </c>
      <c r="I19" s="21">
        <v>302</v>
      </c>
      <c r="J19" s="21" t="s">
        <v>168</v>
      </c>
      <c r="K19" s="21">
        <v>302</v>
      </c>
      <c r="L19" s="21">
        <v>0</v>
      </c>
      <c r="M19" s="21">
        <v>302</v>
      </c>
      <c r="N19" s="21" t="s">
        <v>174</v>
      </c>
      <c r="O19" s="21" t="s">
        <v>633</v>
      </c>
      <c r="P19" s="21" t="s">
        <v>633</v>
      </c>
      <c r="Q19" s="21" t="s">
        <v>672</v>
      </c>
      <c r="R19" s="23">
        <v>46061</v>
      </c>
      <c r="S19" s="21" t="s">
        <v>635</v>
      </c>
      <c r="T19" s="21" t="s">
        <v>636</v>
      </c>
      <c r="U19" s="21" t="s">
        <v>673</v>
      </c>
      <c r="V19" s="21">
        <v>143.08000000000001</v>
      </c>
      <c r="W19" s="21">
        <v>143.08000042771101</v>
      </c>
      <c r="X19" s="21" t="s">
        <v>672</v>
      </c>
      <c r="Y19" s="23">
        <v>46061</v>
      </c>
      <c r="Z19" s="21" t="s">
        <v>189</v>
      </c>
      <c r="AA19" s="21" t="s">
        <v>189</v>
      </c>
      <c r="AB19" s="21"/>
      <c r="AC19" s="21" t="s">
        <v>189</v>
      </c>
      <c r="AD19" s="21" t="s">
        <v>189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 t="s">
        <v>638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/>
      <c r="AQ19" s="21">
        <v>0</v>
      </c>
      <c r="AR19" s="21">
        <v>0</v>
      </c>
      <c r="AS19" s="21">
        <v>669050.65</v>
      </c>
      <c r="AT19" s="21" t="s">
        <v>169</v>
      </c>
      <c r="AU19" s="21" t="s">
        <v>179</v>
      </c>
      <c r="AV19" s="21" t="s">
        <v>156</v>
      </c>
      <c r="AW19" s="21" t="s">
        <v>639</v>
      </c>
      <c r="AX19" s="21" t="s">
        <v>640</v>
      </c>
      <c r="AY19" s="21">
        <v>0</v>
      </c>
      <c r="AZ19" s="21">
        <v>43210.16</v>
      </c>
      <c r="BA19" s="21">
        <v>391</v>
      </c>
      <c r="BB19" s="23">
        <v>46061</v>
      </c>
      <c r="BC19" s="21" t="s">
        <v>176</v>
      </c>
      <c r="BD19" s="21" t="s">
        <v>641</v>
      </c>
      <c r="BE19" s="21" t="s">
        <v>641</v>
      </c>
      <c r="BF19" s="21">
        <v>9</v>
      </c>
      <c r="BG19" s="21">
        <v>3888.91</v>
      </c>
      <c r="BH19" s="21">
        <v>9</v>
      </c>
      <c r="BI19" s="21">
        <v>3888.91</v>
      </c>
      <c r="BJ19" s="21">
        <v>0</v>
      </c>
      <c r="BK19" s="21">
        <v>0</v>
      </c>
      <c r="BL19" s="21">
        <v>0</v>
      </c>
      <c r="BM19" s="21">
        <v>602155826153</v>
      </c>
      <c r="BN19" s="23">
        <v>46236</v>
      </c>
      <c r="BO19" s="21">
        <v>302</v>
      </c>
    </row>
    <row r="20" spans="1:67" hidden="1" x14ac:dyDescent="0.25">
      <c r="A20" s="22" t="s">
        <v>1332</v>
      </c>
      <c r="B20" s="21" t="s">
        <v>167</v>
      </c>
      <c r="C20" s="23">
        <v>46089</v>
      </c>
      <c r="D20" s="21" t="s">
        <v>674</v>
      </c>
      <c r="E20" s="21" t="s">
        <v>190</v>
      </c>
      <c r="F20" s="21" t="s">
        <v>191</v>
      </c>
      <c r="G20" s="21" t="s">
        <v>675</v>
      </c>
      <c r="H20" s="21">
        <v>3557</v>
      </c>
      <c r="I20" s="21">
        <v>3557</v>
      </c>
      <c r="J20" s="21" t="s">
        <v>168</v>
      </c>
      <c r="K20" s="21">
        <v>3557</v>
      </c>
      <c r="L20" s="21">
        <v>0</v>
      </c>
      <c r="M20" s="21">
        <v>3557</v>
      </c>
      <c r="N20" s="21" t="s">
        <v>676</v>
      </c>
      <c r="O20" s="21" t="s">
        <v>677</v>
      </c>
      <c r="P20" s="21" t="s">
        <v>677</v>
      </c>
      <c r="Q20" s="21" t="s">
        <v>678</v>
      </c>
      <c r="R20" s="23">
        <v>46061</v>
      </c>
      <c r="S20" s="21" t="s">
        <v>635</v>
      </c>
      <c r="T20" s="21" t="s">
        <v>636</v>
      </c>
      <c r="U20" s="34" t="s">
        <v>679</v>
      </c>
      <c r="V20" s="21">
        <v>175</v>
      </c>
      <c r="W20" s="21">
        <v>175</v>
      </c>
      <c r="X20" s="21" t="s">
        <v>678</v>
      </c>
      <c r="Y20" s="23">
        <v>46061</v>
      </c>
      <c r="Z20" s="21" t="s">
        <v>189</v>
      </c>
      <c r="AA20" s="21" t="s">
        <v>189</v>
      </c>
      <c r="AB20" s="21"/>
      <c r="AC20" s="21" t="s">
        <v>680</v>
      </c>
      <c r="AD20" s="21">
        <v>1929</v>
      </c>
      <c r="AE20" s="21">
        <v>0</v>
      </c>
      <c r="AF20" s="21">
        <v>0</v>
      </c>
      <c r="AG20" s="21">
        <v>0</v>
      </c>
      <c r="AH20" s="21">
        <v>0</v>
      </c>
      <c r="AI20" s="21">
        <v>0</v>
      </c>
      <c r="AJ20" s="21" t="s">
        <v>638</v>
      </c>
      <c r="AK20" s="21">
        <v>0</v>
      </c>
      <c r="AL20" s="21">
        <v>0</v>
      </c>
      <c r="AM20" s="21">
        <v>0</v>
      </c>
      <c r="AN20" s="21">
        <v>0</v>
      </c>
      <c r="AO20" s="21">
        <v>0</v>
      </c>
      <c r="AP20" s="21"/>
      <c r="AQ20" s="21">
        <v>0</v>
      </c>
      <c r="AR20" s="21">
        <v>0</v>
      </c>
      <c r="AS20" s="21">
        <v>734520.5</v>
      </c>
      <c r="AT20" s="21" t="s">
        <v>188</v>
      </c>
      <c r="AU20" s="21" t="s">
        <v>152</v>
      </c>
      <c r="AV20" s="21" t="s">
        <v>152</v>
      </c>
      <c r="AW20" s="21" t="s">
        <v>639</v>
      </c>
      <c r="AX20" s="21" t="s">
        <v>640</v>
      </c>
      <c r="AY20" s="21">
        <v>0</v>
      </c>
      <c r="AZ20" s="21">
        <v>622475</v>
      </c>
      <c r="BA20" s="21">
        <v>392</v>
      </c>
      <c r="BB20" s="23">
        <v>46089</v>
      </c>
      <c r="BC20" s="21" t="s">
        <v>171</v>
      </c>
      <c r="BD20" s="21" t="s">
        <v>641</v>
      </c>
      <c r="BE20" s="21" t="s">
        <v>641</v>
      </c>
      <c r="BF20" s="21">
        <v>9</v>
      </c>
      <c r="BG20" s="21">
        <v>56022.75</v>
      </c>
      <c r="BH20" s="21">
        <v>9</v>
      </c>
      <c r="BI20" s="21">
        <v>56022.75</v>
      </c>
      <c r="BJ20" s="21">
        <v>0</v>
      </c>
      <c r="BK20" s="21">
        <v>0</v>
      </c>
      <c r="BL20" s="21">
        <v>734520.5</v>
      </c>
      <c r="BM20" s="21">
        <v>632155863050</v>
      </c>
      <c r="BN20" s="23">
        <v>46236</v>
      </c>
      <c r="BO20" s="35"/>
    </row>
    <row r="21" spans="1:67" hidden="1" x14ac:dyDescent="0.25">
      <c r="A21" s="22"/>
      <c r="B21" s="21" t="s">
        <v>167</v>
      </c>
      <c r="C21" s="23">
        <v>46089</v>
      </c>
      <c r="D21" s="21" t="s">
        <v>681</v>
      </c>
      <c r="E21" s="21" t="s">
        <v>306</v>
      </c>
      <c r="F21" s="21" t="s">
        <v>288</v>
      </c>
      <c r="G21" s="21" t="s">
        <v>682</v>
      </c>
      <c r="H21" s="21">
        <v>2458.1999999999998</v>
      </c>
      <c r="I21" s="21">
        <v>2458.1999999999998</v>
      </c>
      <c r="J21" s="21" t="s">
        <v>168</v>
      </c>
      <c r="K21" s="21">
        <v>2458.1999999999998</v>
      </c>
      <c r="L21" s="21">
        <v>0</v>
      </c>
      <c r="M21" s="21">
        <v>2458.1999999999998</v>
      </c>
      <c r="N21" s="21" t="s">
        <v>683</v>
      </c>
      <c r="O21" s="21" t="s">
        <v>663</v>
      </c>
      <c r="P21" s="21" t="s">
        <v>663</v>
      </c>
      <c r="Q21" s="21" t="s">
        <v>684</v>
      </c>
      <c r="R21" s="23">
        <v>46061</v>
      </c>
      <c r="S21" s="21" t="s">
        <v>635</v>
      </c>
      <c r="T21" s="21" t="s">
        <v>636</v>
      </c>
      <c r="U21" s="21" t="s">
        <v>685</v>
      </c>
      <c r="V21" s="21">
        <v>230.66</v>
      </c>
      <c r="W21" s="21">
        <v>230.65999931050601</v>
      </c>
      <c r="X21" s="21" t="s">
        <v>684</v>
      </c>
      <c r="Y21" s="23">
        <v>46061</v>
      </c>
      <c r="Z21" s="21" t="s">
        <v>189</v>
      </c>
      <c r="AA21" s="21" t="s">
        <v>189</v>
      </c>
      <c r="AB21" s="21"/>
      <c r="AC21" s="21" t="s">
        <v>189</v>
      </c>
      <c r="AD21" s="21" t="s">
        <v>189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 t="s">
        <v>638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/>
      <c r="AQ21" s="21">
        <v>0</v>
      </c>
      <c r="AR21" s="21">
        <v>0</v>
      </c>
      <c r="AS21" s="21">
        <v>669069.93000000005</v>
      </c>
      <c r="AT21" s="21" t="s">
        <v>188</v>
      </c>
      <c r="AU21" s="21" t="s">
        <v>286</v>
      </c>
      <c r="AV21" s="21" t="s">
        <v>287</v>
      </c>
      <c r="AW21" s="21" t="s">
        <v>639</v>
      </c>
      <c r="AX21" s="21" t="s">
        <v>640</v>
      </c>
      <c r="AY21" s="21">
        <v>0</v>
      </c>
      <c r="AZ21" s="21">
        <v>567008.41</v>
      </c>
      <c r="BA21" s="21">
        <v>393</v>
      </c>
      <c r="BB21" s="23">
        <v>46089</v>
      </c>
      <c r="BC21" s="21" t="s">
        <v>185</v>
      </c>
      <c r="BD21" s="21" t="s">
        <v>641</v>
      </c>
      <c r="BE21" s="21" t="s">
        <v>641</v>
      </c>
      <c r="BF21" s="21">
        <v>9</v>
      </c>
      <c r="BG21" s="21">
        <v>51030.76</v>
      </c>
      <c r="BH21" s="21">
        <v>9</v>
      </c>
      <c r="BI21" s="21">
        <v>51030.76</v>
      </c>
      <c r="BJ21" s="21">
        <v>0</v>
      </c>
      <c r="BK21" s="21">
        <v>0</v>
      </c>
      <c r="BL21" s="21">
        <v>669069.93000000005</v>
      </c>
      <c r="BM21" s="21">
        <v>662155814833</v>
      </c>
      <c r="BN21" s="23">
        <v>46236</v>
      </c>
      <c r="BO21" s="21">
        <v>2458.1999999999998</v>
      </c>
    </row>
    <row r="22" spans="1:67" hidden="1" x14ac:dyDescent="0.25">
      <c r="A22" s="22"/>
      <c r="B22" s="21" t="s">
        <v>167</v>
      </c>
      <c r="C22" s="23">
        <v>46089</v>
      </c>
      <c r="D22" s="21" t="s">
        <v>686</v>
      </c>
      <c r="E22" s="21" t="s">
        <v>172</v>
      </c>
      <c r="F22" s="21" t="s">
        <v>173</v>
      </c>
      <c r="G22" s="21" t="s">
        <v>687</v>
      </c>
      <c r="H22" s="21">
        <v>1690.3</v>
      </c>
      <c r="I22" s="21">
        <v>1690.3</v>
      </c>
      <c r="J22" s="21" t="s">
        <v>168</v>
      </c>
      <c r="K22" s="21">
        <v>1690.3</v>
      </c>
      <c r="L22" s="21">
        <v>0</v>
      </c>
      <c r="M22" s="21">
        <v>1690.3</v>
      </c>
      <c r="N22" s="21" t="s">
        <v>174</v>
      </c>
      <c r="O22" s="21" t="s">
        <v>633</v>
      </c>
      <c r="P22" s="21" t="s">
        <v>633</v>
      </c>
      <c r="Q22" s="21" t="s">
        <v>688</v>
      </c>
      <c r="R22" s="23">
        <v>46089</v>
      </c>
      <c r="S22" s="21" t="s">
        <v>635</v>
      </c>
      <c r="T22" s="21" t="s">
        <v>636</v>
      </c>
      <c r="U22" s="21" t="s">
        <v>689</v>
      </c>
      <c r="V22" s="21">
        <v>200.86</v>
      </c>
      <c r="W22" s="21">
        <v>200.86</v>
      </c>
      <c r="X22" s="21" t="s">
        <v>688</v>
      </c>
      <c r="Y22" s="23">
        <v>46089</v>
      </c>
      <c r="Z22" s="21" t="s">
        <v>189</v>
      </c>
      <c r="AA22" s="21" t="s">
        <v>189</v>
      </c>
      <c r="AB22" s="21"/>
      <c r="AC22" s="21" t="s">
        <v>189</v>
      </c>
      <c r="AD22" s="21" t="s">
        <v>189</v>
      </c>
      <c r="AE22" s="21">
        <v>0</v>
      </c>
      <c r="AF22" s="21">
        <v>0</v>
      </c>
      <c r="AG22" s="21">
        <v>0</v>
      </c>
      <c r="AH22" s="21">
        <v>0</v>
      </c>
      <c r="AI22" s="21">
        <v>0</v>
      </c>
      <c r="AJ22" s="21" t="s">
        <v>638</v>
      </c>
      <c r="AK22" s="21">
        <v>0</v>
      </c>
      <c r="AL22" s="21">
        <v>0</v>
      </c>
      <c r="AM22" s="21">
        <v>0</v>
      </c>
      <c r="AN22" s="21">
        <v>0</v>
      </c>
      <c r="AO22" s="21">
        <v>0</v>
      </c>
      <c r="AP22" s="21"/>
      <c r="AQ22" s="21">
        <v>0</v>
      </c>
      <c r="AR22" s="21">
        <v>0</v>
      </c>
      <c r="AS22" s="21">
        <v>520429.23</v>
      </c>
      <c r="AT22" s="21" t="s">
        <v>169</v>
      </c>
      <c r="AU22" s="21" t="s">
        <v>175</v>
      </c>
      <c r="AV22" s="21" t="s">
        <v>159</v>
      </c>
      <c r="AW22" s="21" t="s">
        <v>639</v>
      </c>
      <c r="AX22" s="21" t="s">
        <v>640</v>
      </c>
      <c r="AY22" s="21">
        <v>0</v>
      </c>
      <c r="AZ22" s="21">
        <v>339513.66</v>
      </c>
      <c r="BA22" s="21">
        <v>394</v>
      </c>
      <c r="BB22" s="23">
        <v>46089</v>
      </c>
      <c r="BC22" s="21" t="s">
        <v>176</v>
      </c>
      <c r="BD22" s="21" t="s">
        <v>641</v>
      </c>
      <c r="BE22" s="21" t="s">
        <v>641</v>
      </c>
      <c r="BF22" s="21">
        <v>9</v>
      </c>
      <c r="BG22" s="21">
        <v>30556.23</v>
      </c>
      <c r="BH22" s="21">
        <v>9</v>
      </c>
      <c r="BI22" s="21">
        <v>30556.23</v>
      </c>
      <c r="BJ22" s="21">
        <v>0</v>
      </c>
      <c r="BK22" s="21">
        <v>0</v>
      </c>
      <c r="BL22" s="21">
        <v>520429.23</v>
      </c>
      <c r="BM22" s="21">
        <v>662156174538</v>
      </c>
      <c r="BN22" s="23">
        <v>46237</v>
      </c>
      <c r="BO22" s="21">
        <v>1690.3</v>
      </c>
    </row>
    <row r="23" spans="1:67" hidden="1" x14ac:dyDescent="0.25">
      <c r="A23" s="22"/>
      <c r="B23" s="21" t="s">
        <v>167</v>
      </c>
      <c r="C23" s="23">
        <v>46089</v>
      </c>
      <c r="D23" s="21" t="s">
        <v>686</v>
      </c>
      <c r="E23" s="21" t="s">
        <v>177</v>
      </c>
      <c r="F23" s="21" t="s">
        <v>178</v>
      </c>
      <c r="G23" s="21" t="s">
        <v>687</v>
      </c>
      <c r="H23" s="21">
        <v>178</v>
      </c>
      <c r="I23" s="21">
        <v>178</v>
      </c>
      <c r="J23" s="21" t="s">
        <v>168</v>
      </c>
      <c r="K23" s="21">
        <v>178</v>
      </c>
      <c r="L23" s="21">
        <v>0</v>
      </c>
      <c r="M23" s="21">
        <v>178</v>
      </c>
      <c r="N23" s="21" t="s">
        <v>174</v>
      </c>
      <c r="O23" s="21" t="s">
        <v>633</v>
      </c>
      <c r="P23" s="21" t="s">
        <v>633</v>
      </c>
      <c r="Q23" s="21" t="s">
        <v>688</v>
      </c>
      <c r="R23" s="23">
        <v>46089</v>
      </c>
      <c r="S23" s="21" t="s">
        <v>635</v>
      </c>
      <c r="T23" s="21" t="s">
        <v>636</v>
      </c>
      <c r="U23" s="21" t="s">
        <v>689</v>
      </c>
      <c r="V23" s="21">
        <v>143.08000000000001</v>
      </c>
      <c r="W23" s="21">
        <v>143.08000000000001</v>
      </c>
      <c r="X23" s="21" t="s">
        <v>688</v>
      </c>
      <c r="Y23" s="23">
        <v>46089</v>
      </c>
      <c r="Z23" s="21" t="s">
        <v>189</v>
      </c>
      <c r="AA23" s="21" t="s">
        <v>189</v>
      </c>
      <c r="AB23" s="21"/>
      <c r="AC23" s="21" t="s">
        <v>189</v>
      </c>
      <c r="AD23" s="21" t="s">
        <v>189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 t="s">
        <v>638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/>
      <c r="AQ23" s="21">
        <v>0</v>
      </c>
      <c r="AR23" s="21">
        <v>0</v>
      </c>
      <c r="AS23" s="21">
        <v>520429.23</v>
      </c>
      <c r="AT23" s="21" t="s">
        <v>169</v>
      </c>
      <c r="AU23" s="21" t="s">
        <v>179</v>
      </c>
      <c r="AV23" s="21" t="s">
        <v>156</v>
      </c>
      <c r="AW23" s="21" t="s">
        <v>639</v>
      </c>
      <c r="AX23" s="21" t="s">
        <v>640</v>
      </c>
      <c r="AY23" s="21">
        <v>0</v>
      </c>
      <c r="AZ23" s="21">
        <v>25468.240000000002</v>
      </c>
      <c r="BA23" s="21">
        <v>394</v>
      </c>
      <c r="BB23" s="23">
        <v>46089</v>
      </c>
      <c r="BC23" s="21" t="s">
        <v>176</v>
      </c>
      <c r="BD23" s="21" t="s">
        <v>641</v>
      </c>
      <c r="BE23" s="21" t="s">
        <v>641</v>
      </c>
      <c r="BF23" s="21">
        <v>9</v>
      </c>
      <c r="BG23" s="21">
        <v>2292.14</v>
      </c>
      <c r="BH23" s="21">
        <v>9</v>
      </c>
      <c r="BI23" s="21">
        <v>2292.14</v>
      </c>
      <c r="BJ23" s="21">
        <v>0</v>
      </c>
      <c r="BK23" s="21">
        <v>0</v>
      </c>
      <c r="BL23" s="21">
        <v>0</v>
      </c>
      <c r="BM23" s="21">
        <v>662156174538</v>
      </c>
      <c r="BN23" s="23">
        <v>46237</v>
      </c>
      <c r="BO23" s="21">
        <v>178</v>
      </c>
    </row>
    <row r="24" spans="1:67" hidden="1" x14ac:dyDescent="0.25">
      <c r="A24" s="22"/>
      <c r="B24" s="21" t="s">
        <v>167</v>
      </c>
      <c r="C24" s="23">
        <v>46089</v>
      </c>
      <c r="D24" s="21" t="s">
        <v>686</v>
      </c>
      <c r="E24" s="21" t="s">
        <v>180</v>
      </c>
      <c r="F24" s="21" t="s">
        <v>181</v>
      </c>
      <c r="G24" s="21" t="s">
        <v>687</v>
      </c>
      <c r="H24" s="21">
        <v>527.9</v>
      </c>
      <c r="I24" s="21">
        <v>527.9</v>
      </c>
      <c r="J24" s="21" t="s">
        <v>168</v>
      </c>
      <c r="K24" s="21">
        <v>527.9</v>
      </c>
      <c r="L24" s="21">
        <v>0</v>
      </c>
      <c r="M24" s="21">
        <v>527.9</v>
      </c>
      <c r="N24" s="21" t="s">
        <v>174</v>
      </c>
      <c r="O24" s="21" t="s">
        <v>633</v>
      </c>
      <c r="P24" s="21" t="s">
        <v>633</v>
      </c>
      <c r="Q24" s="21" t="s">
        <v>688</v>
      </c>
      <c r="R24" s="23">
        <v>46089</v>
      </c>
      <c r="S24" s="21" t="s">
        <v>635</v>
      </c>
      <c r="T24" s="21" t="s">
        <v>636</v>
      </c>
      <c r="U24" s="21" t="s">
        <v>689</v>
      </c>
      <c r="V24" s="21">
        <v>144.08000000000001</v>
      </c>
      <c r="W24" s="21">
        <v>144.08000000000001</v>
      </c>
      <c r="X24" s="21" t="s">
        <v>688</v>
      </c>
      <c r="Y24" s="23">
        <v>46089</v>
      </c>
      <c r="Z24" s="21" t="s">
        <v>189</v>
      </c>
      <c r="AA24" s="21" t="s">
        <v>189</v>
      </c>
      <c r="AB24" s="21"/>
      <c r="AC24" s="21" t="s">
        <v>189</v>
      </c>
      <c r="AD24" s="21" t="s">
        <v>189</v>
      </c>
      <c r="AE24" s="21">
        <v>0</v>
      </c>
      <c r="AF24" s="21">
        <v>0</v>
      </c>
      <c r="AG24" s="21">
        <v>0</v>
      </c>
      <c r="AH24" s="21">
        <v>0</v>
      </c>
      <c r="AI24" s="21">
        <v>0</v>
      </c>
      <c r="AJ24" s="21" t="s">
        <v>638</v>
      </c>
      <c r="AK24" s="21">
        <v>0</v>
      </c>
      <c r="AL24" s="21">
        <v>0</v>
      </c>
      <c r="AM24" s="21">
        <v>0</v>
      </c>
      <c r="AN24" s="21">
        <v>0</v>
      </c>
      <c r="AO24" s="21">
        <v>0</v>
      </c>
      <c r="AP24" s="21"/>
      <c r="AQ24" s="21">
        <v>0</v>
      </c>
      <c r="AR24" s="21">
        <v>0</v>
      </c>
      <c r="AS24" s="21">
        <v>520429.23</v>
      </c>
      <c r="AT24" s="21" t="s">
        <v>169</v>
      </c>
      <c r="AU24" s="21" t="s">
        <v>181</v>
      </c>
      <c r="AV24" s="21" t="s">
        <v>154</v>
      </c>
      <c r="AW24" s="21" t="s">
        <v>639</v>
      </c>
      <c r="AX24" s="21" t="s">
        <v>640</v>
      </c>
      <c r="AY24" s="21">
        <v>0</v>
      </c>
      <c r="AZ24" s="21">
        <v>76059.83</v>
      </c>
      <c r="BA24" s="21">
        <v>394</v>
      </c>
      <c r="BB24" s="23">
        <v>46089</v>
      </c>
      <c r="BC24" s="21" t="s">
        <v>176</v>
      </c>
      <c r="BD24" s="21" t="s">
        <v>641</v>
      </c>
      <c r="BE24" s="21" t="s">
        <v>641</v>
      </c>
      <c r="BF24" s="21">
        <v>9</v>
      </c>
      <c r="BG24" s="21">
        <v>6845.38</v>
      </c>
      <c r="BH24" s="21">
        <v>9</v>
      </c>
      <c r="BI24" s="21">
        <v>6845.38</v>
      </c>
      <c r="BJ24" s="21">
        <v>0</v>
      </c>
      <c r="BK24" s="21">
        <v>0</v>
      </c>
      <c r="BL24" s="21">
        <v>0</v>
      </c>
      <c r="BM24" s="21">
        <v>662156174538</v>
      </c>
      <c r="BN24" s="23">
        <v>46237</v>
      </c>
      <c r="BO24" s="21">
        <v>527.9</v>
      </c>
    </row>
    <row r="25" spans="1:67" hidden="1" x14ac:dyDescent="0.25">
      <c r="A25" s="22"/>
      <c r="B25" s="21" t="s">
        <v>167</v>
      </c>
      <c r="C25" s="23">
        <v>46089</v>
      </c>
      <c r="D25" s="21" t="s">
        <v>690</v>
      </c>
      <c r="E25" s="21" t="s">
        <v>190</v>
      </c>
      <c r="F25" s="21" t="s">
        <v>191</v>
      </c>
      <c r="G25" s="21" t="s">
        <v>691</v>
      </c>
      <c r="H25" s="21">
        <v>3557</v>
      </c>
      <c r="I25" s="21">
        <v>3557</v>
      </c>
      <c r="J25" s="21" t="s">
        <v>168</v>
      </c>
      <c r="K25" s="21">
        <v>3557</v>
      </c>
      <c r="L25" s="21">
        <v>0</v>
      </c>
      <c r="M25" s="21">
        <v>3557</v>
      </c>
      <c r="N25" s="21" t="s">
        <v>676</v>
      </c>
      <c r="O25" s="21" t="s">
        <v>677</v>
      </c>
      <c r="P25" s="21" t="s">
        <v>677</v>
      </c>
      <c r="Q25" s="21" t="s">
        <v>692</v>
      </c>
      <c r="R25" s="23">
        <v>46089</v>
      </c>
      <c r="S25" s="21" t="s">
        <v>635</v>
      </c>
      <c r="T25" s="21" t="s">
        <v>636</v>
      </c>
      <c r="U25" s="21" t="s">
        <v>693</v>
      </c>
      <c r="V25" s="21">
        <v>327.32</v>
      </c>
      <c r="W25" s="21">
        <v>327.32</v>
      </c>
      <c r="X25" s="21" t="s">
        <v>692</v>
      </c>
      <c r="Y25" s="23">
        <v>46089</v>
      </c>
      <c r="Z25" s="21" t="s">
        <v>189</v>
      </c>
      <c r="AA25" s="21" t="s">
        <v>189</v>
      </c>
      <c r="AB25" s="21"/>
      <c r="AC25" s="21" t="s">
        <v>680</v>
      </c>
      <c r="AD25" s="21">
        <v>1929</v>
      </c>
      <c r="AE25" s="21">
        <v>0</v>
      </c>
      <c r="AF25" s="21">
        <v>0</v>
      </c>
      <c r="AG25" s="21">
        <v>0</v>
      </c>
      <c r="AH25" s="21">
        <v>0</v>
      </c>
      <c r="AI25" s="21">
        <v>0</v>
      </c>
      <c r="AJ25" s="21" t="s">
        <v>638</v>
      </c>
      <c r="AK25" s="21">
        <v>0</v>
      </c>
      <c r="AL25" s="21">
        <v>0</v>
      </c>
      <c r="AM25" s="21">
        <v>0</v>
      </c>
      <c r="AN25" s="21">
        <v>0</v>
      </c>
      <c r="AO25" s="21">
        <v>0</v>
      </c>
      <c r="AP25" s="21"/>
      <c r="AQ25" s="21">
        <v>0</v>
      </c>
      <c r="AR25" s="21">
        <v>0</v>
      </c>
      <c r="AS25" s="21">
        <v>1373847.14</v>
      </c>
      <c r="AT25" s="21" t="s">
        <v>188</v>
      </c>
      <c r="AU25" s="21" t="s">
        <v>152</v>
      </c>
      <c r="AV25" s="21" t="s">
        <v>152</v>
      </c>
      <c r="AW25" s="21" t="s">
        <v>639</v>
      </c>
      <c r="AX25" s="21" t="s">
        <v>640</v>
      </c>
      <c r="AY25" s="21">
        <v>0</v>
      </c>
      <c r="AZ25" s="21">
        <v>1164277.24</v>
      </c>
      <c r="BA25" s="21">
        <v>392</v>
      </c>
      <c r="BB25" s="23">
        <v>46089</v>
      </c>
      <c r="BC25" s="21" t="s">
        <v>171</v>
      </c>
      <c r="BD25" s="21" t="s">
        <v>641</v>
      </c>
      <c r="BE25" s="21" t="s">
        <v>641</v>
      </c>
      <c r="BF25" s="21">
        <v>9</v>
      </c>
      <c r="BG25" s="21">
        <v>104784.95</v>
      </c>
      <c r="BH25" s="21">
        <v>9</v>
      </c>
      <c r="BI25" s="21">
        <v>104784.95</v>
      </c>
      <c r="BJ25" s="21">
        <v>0</v>
      </c>
      <c r="BK25" s="21">
        <v>0</v>
      </c>
      <c r="BL25" s="21">
        <v>1373847.14</v>
      </c>
      <c r="BM25" s="21">
        <v>662156156383</v>
      </c>
      <c r="BN25" s="23">
        <v>46237</v>
      </c>
      <c r="BO25" s="21">
        <v>3557</v>
      </c>
    </row>
    <row r="26" spans="1:67" hidden="1" x14ac:dyDescent="0.25">
      <c r="A26" s="22"/>
      <c r="B26" s="21" t="s">
        <v>167</v>
      </c>
      <c r="C26" s="23">
        <v>46120</v>
      </c>
      <c r="D26" s="21" t="s">
        <v>694</v>
      </c>
      <c r="E26" s="21" t="s">
        <v>190</v>
      </c>
      <c r="F26" s="21" t="s">
        <v>191</v>
      </c>
      <c r="G26" s="21" t="s">
        <v>695</v>
      </c>
      <c r="H26" s="21">
        <v>4168</v>
      </c>
      <c r="I26" s="21">
        <v>4168</v>
      </c>
      <c r="J26" s="21" t="s">
        <v>168</v>
      </c>
      <c r="K26" s="21">
        <v>4168</v>
      </c>
      <c r="L26" s="21">
        <v>0</v>
      </c>
      <c r="M26" s="21">
        <v>4168</v>
      </c>
      <c r="N26" s="21" t="s">
        <v>696</v>
      </c>
      <c r="O26" s="21" t="s">
        <v>677</v>
      </c>
      <c r="P26" s="21" t="s">
        <v>677</v>
      </c>
      <c r="Q26" s="21" t="s">
        <v>697</v>
      </c>
      <c r="R26" s="23">
        <v>46089</v>
      </c>
      <c r="S26" s="21" t="s">
        <v>635</v>
      </c>
      <c r="T26" s="21" t="s">
        <v>636</v>
      </c>
      <c r="U26" s="21" t="s">
        <v>698</v>
      </c>
      <c r="V26" s="21">
        <v>268.35000000000002</v>
      </c>
      <c r="W26" s="21">
        <v>268.35000000000002</v>
      </c>
      <c r="X26" s="21" t="s">
        <v>697</v>
      </c>
      <c r="Y26" s="23">
        <v>46089</v>
      </c>
      <c r="Z26" s="21" t="s">
        <v>189</v>
      </c>
      <c r="AA26" s="21" t="s">
        <v>189</v>
      </c>
      <c r="AB26" s="21"/>
      <c r="AC26" s="21" t="s">
        <v>699</v>
      </c>
      <c r="AD26" s="21">
        <v>2725</v>
      </c>
      <c r="AE26" s="21">
        <v>0</v>
      </c>
      <c r="AF26" s="21">
        <v>0</v>
      </c>
      <c r="AG26" s="21">
        <v>0</v>
      </c>
      <c r="AH26" s="21">
        <v>0</v>
      </c>
      <c r="AI26" s="21">
        <v>0</v>
      </c>
      <c r="AJ26" s="21" t="s">
        <v>638</v>
      </c>
      <c r="AK26" s="21">
        <v>0</v>
      </c>
      <c r="AL26" s="21">
        <v>0</v>
      </c>
      <c r="AM26" s="21">
        <v>0</v>
      </c>
      <c r="AN26" s="21">
        <v>0</v>
      </c>
      <c r="AO26" s="21">
        <v>0</v>
      </c>
      <c r="AP26" s="21"/>
      <c r="AQ26" s="21">
        <v>0</v>
      </c>
      <c r="AR26" s="21">
        <v>0</v>
      </c>
      <c r="AS26" s="21">
        <v>1319809.7</v>
      </c>
      <c r="AT26" s="21" t="s">
        <v>188</v>
      </c>
      <c r="AU26" s="21" t="s">
        <v>152</v>
      </c>
      <c r="AV26" s="21" t="s">
        <v>152</v>
      </c>
      <c r="AW26" s="21" t="s">
        <v>639</v>
      </c>
      <c r="AX26" s="21" t="s">
        <v>640</v>
      </c>
      <c r="AY26" s="21">
        <v>0</v>
      </c>
      <c r="AZ26" s="21">
        <v>1118482.8</v>
      </c>
      <c r="BA26" s="21">
        <v>398</v>
      </c>
      <c r="BB26" s="23">
        <v>46120</v>
      </c>
      <c r="BC26" s="21" t="s">
        <v>171</v>
      </c>
      <c r="BD26" s="21" t="s">
        <v>641</v>
      </c>
      <c r="BE26" s="21" t="s">
        <v>641</v>
      </c>
      <c r="BF26" s="21">
        <v>9</v>
      </c>
      <c r="BG26" s="21">
        <v>100663.45</v>
      </c>
      <c r="BH26" s="21">
        <v>9</v>
      </c>
      <c r="BI26" s="21">
        <v>100663.45</v>
      </c>
      <c r="BJ26" s="21">
        <v>0</v>
      </c>
      <c r="BK26" s="21">
        <v>0</v>
      </c>
      <c r="BL26" s="21">
        <v>1319809.7</v>
      </c>
      <c r="BM26" s="21">
        <v>692156486346</v>
      </c>
      <c r="BN26" s="23">
        <v>46237</v>
      </c>
      <c r="BO26" s="21">
        <v>4168</v>
      </c>
    </row>
    <row r="27" spans="1:67" hidden="1" x14ac:dyDescent="0.25">
      <c r="A27" s="22"/>
      <c r="B27" s="21" t="s">
        <v>167</v>
      </c>
      <c r="C27" s="23">
        <v>46120</v>
      </c>
      <c r="D27" s="21" t="s">
        <v>700</v>
      </c>
      <c r="E27" s="21" t="s">
        <v>182</v>
      </c>
      <c r="F27" s="21" t="s">
        <v>183</v>
      </c>
      <c r="G27" s="21" t="s">
        <v>701</v>
      </c>
      <c r="H27" s="21">
        <v>388</v>
      </c>
      <c r="I27" s="21">
        <v>388</v>
      </c>
      <c r="J27" s="21" t="s">
        <v>168</v>
      </c>
      <c r="K27" s="21">
        <v>388</v>
      </c>
      <c r="L27" s="21">
        <v>0</v>
      </c>
      <c r="M27" s="21">
        <v>388</v>
      </c>
      <c r="N27" s="21" t="s">
        <v>174</v>
      </c>
      <c r="O27" s="21" t="s">
        <v>633</v>
      </c>
      <c r="P27" s="21" t="s">
        <v>633</v>
      </c>
      <c r="Q27" s="21" t="s">
        <v>702</v>
      </c>
      <c r="R27" s="23">
        <v>46120</v>
      </c>
      <c r="S27" s="21" t="s">
        <v>635</v>
      </c>
      <c r="T27" s="21" t="s">
        <v>636</v>
      </c>
      <c r="U27" s="21" t="s">
        <v>703</v>
      </c>
      <c r="V27" s="21">
        <v>141.08000000000001</v>
      </c>
      <c r="W27" s="21">
        <v>141.08000010019001</v>
      </c>
      <c r="X27" s="21" t="s">
        <v>702</v>
      </c>
      <c r="Y27" s="23">
        <v>46120</v>
      </c>
      <c r="Z27" s="21" t="s">
        <v>189</v>
      </c>
      <c r="AA27" s="21" t="s">
        <v>189</v>
      </c>
      <c r="AB27" s="21"/>
      <c r="AC27" s="21" t="s">
        <v>189</v>
      </c>
      <c r="AD27" s="21" t="s">
        <v>189</v>
      </c>
      <c r="AE27" s="21">
        <v>0</v>
      </c>
      <c r="AF27" s="21">
        <v>0</v>
      </c>
      <c r="AG27" s="21">
        <v>0</v>
      </c>
      <c r="AH27" s="21">
        <v>0</v>
      </c>
      <c r="AI27" s="21">
        <v>0</v>
      </c>
      <c r="AJ27" s="21" t="s">
        <v>638</v>
      </c>
      <c r="AK27" s="21">
        <v>0</v>
      </c>
      <c r="AL27" s="21">
        <v>0</v>
      </c>
      <c r="AM27" s="21">
        <v>0</v>
      </c>
      <c r="AN27" s="21">
        <v>0</v>
      </c>
      <c r="AO27" s="21">
        <v>0</v>
      </c>
      <c r="AP27" s="21"/>
      <c r="AQ27" s="21">
        <v>0</v>
      </c>
      <c r="AR27" s="21">
        <v>0</v>
      </c>
      <c r="AS27" s="21">
        <v>563249.62</v>
      </c>
      <c r="AT27" s="21" t="s">
        <v>169</v>
      </c>
      <c r="AU27" s="21" t="s">
        <v>179</v>
      </c>
      <c r="AV27" s="21" t="s">
        <v>155</v>
      </c>
      <c r="AW27" s="21" t="s">
        <v>639</v>
      </c>
      <c r="AX27" s="21" t="s">
        <v>640</v>
      </c>
      <c r="AY27" s="21">
        <v>0</v>
      </c>
      <c r="AZ27" s="21">
        <v>54739.040000000001</v>
      </c>
      <c r="BA27" s="21">
        <v>397</v>
      </c>
      <c r="BB27" s="23">
        <v>46120</v>
      </c>
      <c r="BC27" s="21" t="s">
        <v>176</v>
      </c>
      <c r="BD27" s="21" t="s">
        <v>641</v>
      </c>
      <c r="BE27" s="21" t="s">
        <v>641</v>
      </c>
      <c r="BF27" s="21">
        <v>9</v>
      </c>
      <c r="BG27" s="21">
        <v>4926.51</v>
      </c>
      <c r="BH27" s="21">
        <v>9</v>
      </c>
      <c r="BI27" s="21">
        <v>4926.51</v>
      </c>
      <c r="BJ27" s="21">
        <v>0</v>
      </c>
      <c r="BK27" s="21">
        <v>0</v>
      </c>
      <c r="BL27" s="21">
        <v>563249.62</v>
      </c>
      <c r="BM27" s="21">
        <v>672156768800</v>
      </c>
      <c r="BN27" s="23">
        <v>46238</v>
      </c>
      <c r="BO27" s="21">
        <v>388</v>
      </c>
    </row>
    <row r="28" spans="1:67" hidden="1" x14ac:dyDescent="0.25">
      <c r="A28" s="22"/>
      <c r="B28" s="21" t="s">
        <v>167</v>
      </c>
      <c r="C28" s="23">
        <v>46120</v>
      </c>
      <c r="D28" s="21" t="s">
        <v>700</v>
      </c>
      <c r="E28" s="21" t="s">
        <v>180</v>
      </c>
      <c r="F28" s="21" t="s">
        <v>181</v>
      </c>
      <c r="G28" s="21" t="s">
        <v>701</v>
      </c>
      <c r="H28" s="21">
        <v>392.9</v>
      </c>
      <c r="I28" s="21">
        <v>392.9</v>
      </c>
      <c r="J28" s="21" t="s">
        <v>168</v>
      </c>
      <c r="K28" s="21">
        <v>392.9</v>
      </c>
      <c r="L28" s="21">
        <v>0</v>
      </c>
      <c r="M28" s="21">
        <v>392.9</v>
      </c>
      <c r="N28" s="21" t="s">
        <v>174</v>
      </c>
      <c r="O28" s="21" t="s">
        <v>633</v>
      </c>
      <c r="P28" s="21" t="s">
        <v>633</v>
      </c>
      <c r="Q28" s="21" t="s">
        <v>702</v>
      </c>
      <c r="R28" s="23">
        <v>46120</v>
      </c>
      <c r="S28" s="21" t="s">
        <v>635</v>
      </c>
      <c r="T28" s="21" t="s">
        <v>636</v>
      </c>
      <c r="U28" s="21" t="s">
        <v>703</v>
      </c>
      <c r="V28" s="21">
        <v>141.08000000000001</v>
      </c>
      <c r="W28" s="21">
        <v>141.08000010019001</v>
      </c>
      <c r="X28" s="21" t="s">
        <v>702</v>
      </c>
      <c r="Y28" s="23">
        <v>46120</v>
      </c>
      <c r="Z28" s="21" t="s">
        <v>189</v>
      </c>
      <c r="AA28" s="21" t="s">
        <v>189</v>
      </c>
      <c r="AB28" s="21"/>
      <c r="AC28" s="21" t="s">
        <v>189</v>
      </c>
      <c r="AD28" s="21" t="s">
        <v>189</v>
      </c>
      <c r="AE28" s="21">
        <v>0</v>
      </c>
      <c r="AF28" s="21">
        <v>0</v>
      </c>
      <c r="AG28" s="21">
        <v>0</v>
      </c>
      <c r="AH28" s="21">
        <v>0</v>
      </c>
      <c r="AI28" s="21">
        <v>0</v>
      </c>
      <c r="AJ28" s="21" t="s">
        <v>638</v>
      </c>
      <c r="AK28" s="21">
        <v>0</v>
      </c>
      <c r="AL28" s="21">
        <v>0</v>
      </c>
      <c r="AM28" s="21">
        <v>0</v>
      </c>
      <c r="AN28" s="21">
        <v>0</v>
      </c>
      <c r="AO28" s="21">
        <v>0</v>
      </c>
      <c r="AP28" s="21"/>
      <c r="AQ28" s="21">
        <v>0</v>
      </c>
      <c r="AR28" s="21">
        <v>0</v>
      </c>
      <c r="AS28" s="21">
        <v>563249.62</v>
      </c>
      <c r="AT28" s="21" t="s">
        <v>169</v>
      </c>
      <c r="AU28" s="21" t="s">
        <v>181</v>
      </c>
      <c r="AV28" s="21" t="s">
        <v>154</v>
      </c>
      <c r="AW28" s="21" t="s">
        <v>639</v>
      </c>
      <c r="AX28" s="21" t="s">
        <v>640</v>
      </c>
      <c r="AY28" s="21">
        <v>0</v>
      </c>
      <c r="AZ28" s="21">
        <v>55430.33</v>
      </c>
      <c r="BA28" s="21">
        <v>397</v>
      </c>
      <c r="BB28" s="23">
        <v>46120</v>
      </c>
      <c r="BC28" s="21" t="s">
        <v>176</v>
      </c>
      <c r="BD28" s="21" t="s">
        <v>641</v>
      </c>
      <c r="BE28" s="21" t="s">
        <v>641</v>
      </c>
      <c r="BF28" s="21">
        <v>9</v>
      </c>
      <c r="BG28" s="21">
        <v>4988.7299999999996</v>
      </c>
      <c r="BH28" s="21">
        <v>9</v>
      </c>
      <c r="BI28" s="21">
        <v>4988.7299999999996</v>
      </c>
      <c r="BJ28" s="21">
        <v>0</v>
      </c>
      <c r="BK28" s="21">
        <v>0</v>
      </c>
      <c r="BL28" s="21">
        <v>0</v>
      </c>
      <c r="BM28" s="21">
        <v>672156768800</v>
      </c>
      <c r="BN28" s="23">
        <v>46238</v>
      </c>
      <c r="BO28" s="21">
        <v>392.9</v>
      </c>
    </row>
    <row r="29" spans="1:67" hidden="1" x14ac:dyDescent="0.25">
      <c r="A29" s="22"/>
      <c r="B29" s="21" t="s">
        <v>167</v>
      </c>
      <c r="C29" s="23">
        <v>46120</v>
      </c>
      <c r="D29" s="21" t="s">
        <v>700</v>
      </c>
      <c r="E29" s="21" t="s">
        <v>180</v>
      </c>
      <c r="F29" s="21" t="s">
        <v>181</v>
      </c>
      <c r="G29" s="21" t="s">
        <v>701</v>
      </c>
      <c r="H29" s="21">
        <v>782.8</v>
      </c>
      <c r="I29" s="21">
        <v>782.8</v>
      </c>
      <c r="J29" s="21" t="s">
        <v>168</v>
      </c>
      <c r="K29" s="21">
        <v>782.8</v>
      </c>
      <c r="L29" s="21">
        <v>0</v>
      </c>
      <c r="M29" s="21">
        <v>782.8</v>
      </c>
      <c r="N29" s="21" t="s">
        <v>174</v>
      </c>
      <c r="O29" s="21" t="s">
        <v>633</v>
      </c>
      <c r="P29" s="21" t="s">
        <v>633</v>
      </c>
      <c r="Q29" s="21" t="s">
        <v>702</v>
      </c>
      <c r="R29" s="23">
        <v>46120</v>
      </c>
      <c r="S29" s="21" t="s">
        <v>635</v>
      </c>
      <c r="T29" s="21" t="s">
        <v>636</v>
      </c>
      <c r="U29" s="21" t="s">
        <v>703</v>
      </c>
      <c r="V29" s="21">
        <v>144.08000000000001</v>
      </c>
      <c r="W29" s="21">
        <v>144.08000010232101</v>
      </c>
      <c r="X29" s="21" t="s">
        <v>702</v>
      </c>
      <c r="Y29" s="23">
        <v>46120</v>
      </c>
      <c r="Z29" s="21" t="s">
        <v>189</v>
      </c>
      <c r="AA29" s="21" t="s">
        <v>189</v>
      </c>
      <c r="AB29" s="21"/>
      <c r="AC29" s="21" t="s">
        <v>189</v>
      </c>
      <c r="AD29" s="21" t="s">
        <v>189</v>
      </c>
      <c r="AE29" s="21">
        <v>0</v>
      </c>
      <c r="AF29" s="21">
        <v>0</v>
      </c>
      <c r="AG29" s="21">
        <v>0</v>
      </c>
      <c r="AH29" s="21">
        <v>0</v>
      </c>
      <c r="AI29" s="21">
        <v>0</v>
      </c>
      <c r="AJ29" s="21" t="s">
        <v>638</v>
      </c>
      <c r="AK29" s="21">
        <v>0</v>
      </c>
      <c r="AL29" s="21">
        <v>0</v>
      </c>
      <c r="AM29" s="21">
        <v>0</v>
      </c>
      <c r="AN29" s="21">
        <v>0</v>
      </c>
      <c r="AO29" s="21">
        <v>0</v>
      </c>
      <c r="AP29" s="21"/>
      <c r="AQ29" s="21">
        <v>0</v>
      </c>
      <c r="AR29" s="21">
        <v>0</v>
      </c>
      <c r="AS29" s="21">
        <v>563249.62</v>
      </c>
      <c r="AT29" s="21" t="s">
        <v>169</v>
      </c>
      <c r="AU29" s="21" t="s">
        <v>181</v>
      </c>
      <c r="AV29" s="21" t="s">
        <v>154</v>
      </c>
      <c r="AW29" s="21" t="s">
        <v>639</v>
      </c>
      <c r="AX29" s="21" t="s">
        <v>640</v>
      </c>
      <c r="AY29" s="21">
        <v>0</v>
      </c>
      <c r="AZ29" s="21">
        <v>112785.82</v>
      </c>
      <c r="BA29" s="21">
        <v>397</v>
      </c>
      <c r="BB29" s="23">
        <v>46120</v>
      </c>
      <c r="BC29" s="21" t="s">
        <v>176</v>
      </c>
      <c r="BD29" s="21" t="s">
        <v>641</v>
      </c>
      <c r="BE29" s="21" t="s">
        <v>641</v>
      </c>
      <c r="BF29" s="21">
        <v>9</v>
      </c>
      <c r="BG29" s="21">
        <v>10150.719999999999</v>
      </c>
      <c r="BH29" s="21">
        <v>9</v>
      </c>
      <c r="BI29" s="21">
        <v>10150.719999999999</v>
      </c>
      <c r="BJ29" s="21">
        <v>0</v>
      </c>
      <c r="BK29" s="21">
        <v>0</v>
      </c>
      <c r="BL29" s="21">
        <v>0</v>
      </c>
      <c r="BM29" s="21">
        <v>672156768800</v>
      </c>
      <c r="BN29" s="23">
        <v>46238</v>
      </c>
      <c r="BO29" s="21">
        <v>782.8</v>
      </c>
    </row>
    <row r="30" spans="1:67" hidden="1" x14ac:dyDescent="0.25">
      <c r="A30" s="22"/>
      <c r="B30" s="21" t="s">
        <v>167</v>
      </c>
      <c r="C30" s="23">
        <v>46120</v>
      </c>
      <c r="D30" s="21" t="s">
        <v>700</v>
      </c>
      <c r="E30" s="21" t="s">
        <v>704</v>
      </c>
      <c r="F30" s="21" t="s">
        <v>705</v>
      </c>
      <c r="G30" s="21" t="s">
        <v>701</v>
      </c>
      <c r="H30" s="21">
        <v>921.97</v>
      </c>
      <c r="I30" s="21">
        <v>921.97</v>
      </c>
      <c r="J30" s="21" t="s">
        <v>184</v>
      </c>
      <c r="K30" s="21">
        <v>921.97</v>
      </c>
      <c r="L30" s="21">
        <v>0</v>
      </c>
      <c r="M30" s="21">
        <v>921.97</v>
      </c>
      <c r="N30" s="21" t="s">
        <v>174</v>
      </c>
      <c r="O30" s="21" t="s">
        <v>633</v>
      </c>
      <c r="P30" s="21" t="s">
        <v>633</v>
      </c>
      <c r="Q30" s="21" t="s">
        <v>702</v>
      </c>
      <c r="R30" s="23">
        <v>46120</v>
      </c>
      <c r="S30" s="21" t="s">
        <v>635</v>
      </c>
      <c r="T30" s="21" t="s">
        <v>636</v>
      </c>
      <c r="U30" s="21" t="s">
        <v>703</v>
      </c>
      <c r="V30" s="21">
        <v>151.08000000000001</v>
      </c>
      <c r="W30" s="21">
        <v>151.08000010729199</v>
      </c>
      <c r="X30" s="21" t="s">
        <v>702</v>
      </c>
      <c r="Y30" s="23">
        <v>46120</v>
      </c>
      <c r="Z30" s="21" t="s">
        <v>189</v>
      </c>
      <c r="AA30" s="21" t="s">
        <v>189</v>
      </c>
      <c r="AB30" s="21"/>
      <c r="AC30" s="21" t="s">
        <v>189</v>
      </c>
      <c r="AD30" s="21" t="s">
        <v>189</v>
      </c>
      <c r="AE30" s="21">
        <v>0</v>
      </c>
      <c r="AF30" s="21">
        <v>0</v>
      </c>
      <c r="AG30" s="21">
        <v>0</v>
      </c>
      <c r="AH30" s="21">
        <v>0</v>
      </c>
      <c r="AI30" s="21">
        <v>0</v>
      </c>
      <c r="AJ30" s="21" t="s">
        <v>638</v>
      </c>
      <c r="AK30" s="21">
        <v>0</v>
      </c>
      <c r="AL30" s="21">
        <v>0</v>
      </c>
      <c r="AM30" s="21">
        <v>0</v>
      </c>
      <c r="AN30" s="21">
        <v>0</v>
      </c>
      <c r="AO30" s="21">
        <v>0</v>
      </c>
      <c r="AP30" s="21"/>
      <c r="AQ30" s="21">
        <v>0</v>
      </c>
      <c r="AR30" s="21">
        <v>0</v>
      </c>
      <c r="AS30" s="21">
        <v>563249.62</v>
      </c>
      <c r="AT30" s="21" t="s">
        <v>169</v>
      </c>
      <c r="AU30" s="21" t="s">
        <v>170</v>
      </c>
      <c r="AV30" s="21" t="s">
        <v>157</v>
      </c>
      <c r="AW30" s="21" t="s">
        <v>639</v>
      </c>
      <c r="AX30" s="21"/>
      <c r="AY30" s="21">
        <v>0</v>
      </c>
      <c r="AZ30" s="21">
        <v>139291.23000000001</v>
      </c>
      <c r="BA30" s="21">
        <v>397</v>
      </c>
      <c r="BB30" s="23">
        <v>46120</v>
      </c>
      <c r="BC30" s="21" t="s">
        <v>176</v>
      </c>
      <c r="BD30" s="21" t="s">
        <v>641</v>
      </c>
      <c r="BE30" s="21" t="s">
        <v>641</v>
      </c>
      <c r="BF30" s="21">
        <v>2.5</v>
      </c>
      <c r="BG30" s="21">
        <v>3482.28</v>
      </c>
      <c r="BH30" s="21">
        <v>2.5</v>
      </c>
      <c r="BI30" s="21">
        <v>3482.28</v>
      </c>
      <c r="BJ30" s="21">
        <v>0</v>
      </c>
      <c r="BK30" s="21">
        <v>0</v>
      </c>
      <c r="BL30" s="21">
        <v>0</v>
      </c>
      <c r="BM30" s="21">
        <v>672156768800</v>
      </c>
      <c r="BN30" s="23">
        <v>46238</v>
      </c>
      <c r="BO30" s="21">
        <v>921.97</v>
      </c>
    </row>
    <row r="31" spans="1:67" hidden="1" x14ac:dyDescent="0.25">
      <c r="A31" s="22"/>
      <c r="B31" s="21" t="s">
        <v>167</v>
      </c>
      <c r="C31" s="23">
        <v>46120</v>
      </c>
      <c r="D31" s="21" t="s">
        <v>700</v>
      </c>
      <c r="E31" s="21" t="s">
        <v>706</v>
      </c>
      <c r="F31" s="21" t="s">
        <v>707</v>
      </c>
      <c r="G31" s="21" t="s">
        <v>701</v>
      </c>
      <c r="H31" s="21">
        <v>970.2</v>
      </c>
      <c r="I31" s="21">
        <v>970.2</v>
      </c>
      <c r="J31" s="21" t="s">
        <v>184</v>
      </c>
      <c r="K31" s="21">
        <v>970.2</v>
      </c>
      <c r="L31" s="21">
        <v>0</v>
      </c>
      <c r="M31" s="21">
        <v>970.2</v>
      </c>
      <c r="N31" s="21" t="s">
        <v>174</v>
      </c>
      <c r="O31" s="21" t="s">
        <v>633</v>
      </c>
      <c r="P31" s="21" t="s">
        <v>633</v>
      </c>
      <c r="Q31" s="21" t="s">
        <v>702</v>
      </c>
      <c r="R31" s="23">
        <v>46120</v>
      </c>
      <c r="S31" s="21" t="s">
        <v>635</v>
      </c>
      <c r="T31" s="21" t="s">
        <v>636</v>
      </c>
      <c r="U31" s="21" t="s">
        <v>703</v>
      </c>
      <c r="V31" s="21">
        <v>151.08000000000001</v>
      </c>
      <c r="W31" s="21">
        <v>151.08000010729199</v>
      </c>
      <c r="X31" s="21" t="s">
        <v>702</v>
      </c>
      <c r="Y31" s="23">
        <v>46120</v>
      </c>
      <c r="Z31" s="21" t="s">
        <v>189</v>
      </c>
      <c r="AA31" s="21" t="s">
        <v>189</v>
      </c>
      <c r="AB31" s="21"/>
      <c r="AC31" s="21" t="s">
        <v>189</v>
      </c>
      <c r="AD31" s="21" t="s">
        <v>189</v>
      </c>
      <c r="AE31" s="21">
        <v>0</v>
      </c>
      <c r="AF31" s="21">
        <v>0</v>
      </c>
      <c r="AG31" s="21">
        <v>0</v>
      </c>
      <c r="AH31" s="21">
        <v>0</v>
      </c>
      <c r="AI31" s="21">
        <v>0</v>
      </c>
      <c r="AJ31" s="21" t="s">
        <v>638</v>
      </c>
      <c r="AK31" s="21">
        <v>0</v>
      </c>
      <c r="AL31" s="21">
        <v>0</v>
      </c>
      <c r="AM31" s="21">
        <v>0</v>
      </c>
      <c r="AN31" s="21">
        <v>0</v>
      </c>
      <c r="AO31" s="21">
        <v>0</v>
      </c>
      <c r="AP31" s="21"/>
      <c r="AQ31" s="21">
        <v>0</v>
      </c>
      <c r="AR31" s="21">
        <v>0</v>
      </c>
      <c r="AS31" s="21">
        <v>563249.62</v>
      </c>
      <c r="AT31" s="21" t="s">
        <v>169</v>
      </c>
      <c r="AU31" s="21" t="s">
        <v>170</v>
      </c>
      <c r="AV31" s="21" t="s">
        <v>157</v>
      </c>
      <c r="AW31" s="21" t="s">
        <v>639</v>
      </c>
      <c r="AX31" s="21"/>
      <c r="AY31" s="21">
        <v>0</v>
      </c>
      <c r="AZ31" s="21">
        <v>146577.82</v>
      </c>
      <c r="BA31" s="21">
        <v>397</v>
      </c>
      <c r="BB31" s="23">
        <v>46120</v>
      </c>
      <c r="BC31" s="21" t="s">
        <v>176</v>
      </c>
      <c r="BD31" s="21" t="s">
        <v>641</v>
      </c>
      <c r="BE31" s="21" t="s">
        <v>641</v>
      </c>
      <c r="BF31" s="21">
        <v>2.5</v>
      </c>
      <c r="BG31" s="21">
        <v>3664.45</v>
      </c>
      <c r="BH31" s="21">
        <v>2.5</v>
      </c>
      <c r="BI31" s="21">
        <v>3664.45</v>
      </c>
      <c r="BJ31" s="21">
        <v>0</v>
      </c>
      <c r="BK31" s="21">
        <v>0</v>
      </c>
      <c r="BL31" s="21">
        <v>0</v>
      </c>
      <c r="BM31" s="21">
        <v>672156768800</v>
      </c>
      <c r="BN31" s="23">
        <v>46238</v>
      </c>
      <c r="BO31" s="21">
        <v>970.2</v>
      </c>
    </row>
    <row r="32" spans="1:67" hidden="1" x14ac:dyDescent="0.25">
      <c r="A32" s="22"/>
      <c r="B32" s="21" t="s">
        <v>167</v>
      </c>
      <c r="C32" s="23">
        <v>46120</v>
      </c>
      <c r="D32" s="21" t="s">
        <v>708</v>
      </c>
      <c r="E32" s="21" t="s">
        <v>709</v>
      </c>
      <c r="F32" s="21" t="s">
        <v>710</v>
      </c>
      <c r="G32" s="21" t="s">
        <v>711</v>
      </c>
      <c r="H32" s="21">
        <v>3000</v>
      </c>
      <c r="I32" s="21">
        <v>3000</v>
      </c>
      <c r="J32" s="21" t="s">
        <v>168</v>
      </c>
      <c r="K32" s="21">
        <v>3000</v>
      </c>
      <c r="L32" s="21">
        <v>0</v>
      </c>
      <c r="M32" s="21">
        <v>3000</v>
      </c>
      <c r="N32" s="21" t="s">
        <v>712</v>
      </c>
      <c r="O32" s="21" t="s">
        <v>656</v>
      </c>
      <c r="P32" s="21" t="s">
        <v>656</v>
      </c>
      <c r="Q32" s="21" t="s">
        <v>713</v>
      </c>
      <c r="R32" s="23">
        <v>46089</v>
      </c>
      <c r="S32" s="21" t="s">
        <v>635</v>
      </c>
      <c r="T32" s="21" t="s">
        <v>636</v>
      </c>
      <c r="U32" s="21" t="s">
        <v>714</v>
      </c>
      <c r="V32" s="21">
        <v>182</v>
      </c>
      <c r="W32" s="21">
        <v>182</v>
      </c>
      <c r="X32" s="21" t="s">
        <v>713</v>
      </c>
      <c r="Y32" s="23">
        <v>46089</v>
      </c>
      <c r="Z32" s="21" t="s">
        <v>189</v>
      </c>
      <c r="AA32" s="21" t="s">
        <v>189</v>
      </c>
      <c r="AB32" s="21"/>
      <c r="AC32" s="21" t="s">
        <v>715</v>
      </c>
      <c r="AD32" s="21">
        <v>345</v>
      </c>
      <c r="AE32" s="21">
        <v>0</v>
      </c>
      <c r="AF32" s="21">
        <v>0</v>
      </c>
      <c r="AG32" s="21">
        <v>0</v>
      </c>
      <c r="AH32" s="21">
        <v>0</v>
      </c>
      <c r="AI32" s="21">
        <v>0</v>
      </c>
      <c r="AJ32" s="21" t="s">
        <v>638</v>
      </c>
      <c r="AK32" s="21">
        <v>0</v>
      </c>
      <c r="AL32" s="21">
        <v>0</v>
      </c>
      <c r="AM32" s="21">
        <v>0</v>
      </c>
      <c r="AN32" s="21">
        <v>0</v>
      </c>
      <c r="AO32" s="21">
        <v>0</v>
      </c>
      <c r="AP32" s="21"/>
      <c r="AQ32" s="21">
        <v>0</v>
      </c>
      <c r="AR32" s="21">
        <v>0</v>
      </c>
      <c r="AS32" s="21">
        <v>644280</v>
      </c>
      <c r="AT32" s="21" t="s">
        <v>639</v>
      </c>
      <c r="AU32" s="21" t="s">
        <v>648</v>
      </c>
      <c r="AV32" s="21" t="s">
        <v>313</v>
      </c>
      <c r="AW32" s="21" t="s">
        <v>639</v>
      </c>
      <c r="AX32" s="21" t="s">
        <v>640</v>
      </c>
      <c r="AY32" s="21">
        <v>0</v>
      </c>
      <c r="AZ32" s="21">
        <v>546000</v>
      </c>
      <c r="BA32" s="21">
        <v>396</v>
      </c>
      <c r="BB32" s="23">
        <v>46120</v>
      </c>
      <c r="BC32" s="21" t="s">
        <v>176</v>
      </c>
      <c r="BD32" s="21" t="s">
        <v>641</v>
      </c>
      <c r="BE32" s="21" t="s">
        <v>641</v>
      </c>
      <c r="BF32" s="21">
        <v>9</v>
      </c>
      <c r="BG32" s="21">
        <v>49140</v>
      </c>
      <c r="BH32" s="21">
        <v>9</v>
      </c>
      <c r="BI32" s="21">
        <v>49140</v>
      </c>
      <c r="BJ32" s="21">
        <v>0</v>
      </c>
      <c r="BK32" s="21">
        <v>0</v>
      </c>
      <c r="BL32" s="21">
        <v>644280</v>
      </c>
      <c r="BM32" s="21">
        <v>692156247181</v>
      </c>
      <c r="BN32" s="23">
        <v>46237</v>
      </c>
      <c r="BO32" s="21">
        <v>3000</v>
      </c>
    </row>
    <row r="33" spans="1:67" hidden="1" x14ac:dyDescent="0.25">
      <c r="A33" s="22"/>
      <c r="B33" s="21" t="s">
        <v>167</v>
      </c>
      <c r="C33" s="23">
        <v>46120</v>
      </c>
      <c r="D33" s="21" t="s">
        <v>716</v>
      </c>
      <c r="E33" s="21" t="s">
        <v>709</v>
      </c>
      <c r="F33" s="21" t="s">
        <v>710</v>
      </c>
      <c r="G33" s="21" t="s">
        <v>717</v>
      </c>
      <c r="H33" s="21">
        <v>4000</v>
      </c>
      <c r="I33" s="21">
        <v>4000</v>
      </c>
      <c r="J33" s="21" t="s">
        <v>168</v>
      </c>
      <c r="K33" s="21">
        <v>4000</v>
      </c>
      <c r="L33" s="21">
        <v>0</v>
      </c>
      <c r="M33" s="21">
        <v>4000</v>
      </c>
      <c r="N33" s="21" t="s">
        <v>718</v>
      </c>
      <c r="O33" s="21" t="s">
        <v>656</v>
      </c>
      <c r="P33" s="21" t="s">
        <v>656</v>
      </c>
      <c r="Q33" s="21" t="s">
        <v>719</v>
      </c>
      <c r="R33" s="23">
        <v>46089</v>
      </c>
      <c r="S33" s="21" t="s">
        <v>635</v>
      </c>
      <c r="T33" s="21" t="s">
        <v>636</v>
      </c>
      <c r="U33" s="21" t="s">
        <v>720</v>
      </c>
      <c r="V33" s="21">
        <v>182</v>
      </c>
      <c r="W33" s="21">
        <v>182</v>
      </c>
      <c r="X33" s="21" t="s">
        <v>719</v>
      </c>
      <c r="Y33" s="23">
        <v>46089</v>
      </c>
      <c r="Z33" s="21" t="s">
        <v>189</v>
      </c>
      <c r="AA33" s="21" t="s">
        <v>189</v>
      </c>
      <c r="AB33" s="21"/>
      <c r="AC33" s="21" t="s">
        <v>721</v>
      </c>
      <c r="AD33" s="21">
        <v>509</v>
      </c>
      <c r="AE33" s="21">
        <v>0</v>
      </c>
      <c r="AF33" s="21">
        <v>0</v>
      </c>
      <c r="AG33" s="21">
        <v>0</v>
      </c>
      <c r="AH33" s="21">
        <v>0</v>
      </c>
      <c r="AI33" s="21">
        <v>0</v>
      </c>
      <c r="AJ33" s="21" t="s">
        <v>638</v>
      </c>
      <c r="AK33" s="21">
        <v>0</v>
      </c>
      <c r="AL33" s="21">
        <v>0</v>
      </c>
      <c r="AM33" s="21">
        <v>0</v>
      </c>
      <c r="AN33" s="21">
        <v>0</v>
      </c>
      <c r="AO33" s="21">
        <v>0</v>
      </c>
      <c r="AP33" s="21"/>
      <c r="AQ33" s="21">
        <v>0</v>
      </c>
      <c r="AR33" s="21">
        <v>0</v>
      </c>
      <c r="AS33" s="21">
        <v>859040</v>
      </c>
      <c r="AT33" s="21" t="s">
        <v>639</v>
      </c>
      <c r="AU33" s="21" t="s">
        <v>648</v>
      </c>
      <c r="AV33" s="21" t="s">
        <v>313</v>
      </c>
      <c r="AW33" s="21" t="s">
        <v>639</v>
      </c>
      <c r="AX33" s="21" t="s">
        <v>640</v>
      </c>
      <c r="AY33" s="21">
        <v>0</v>
      </c>
      <c r="AZ33" s="21">
        <v>728000</v>
      </c>
      <c r="BA33" s="21">
        <v>395</v>
      </c>
      <c r="BB33" s="23">
        <v>46120</v>
      </c>
      <c r="BC33" s="21" t="s">
        <v>176</v>
      </c>
      <c r="BD33" s="21" t="s">
        <v>641</v>
      </c>
      <c r="BE33" s="21" t="s">
        <v>641</v>
      </c>
      <c r="BF33" s="21">
        <v>9</v>
      </c>
      <c r="BG33" s="21">
        <v>65520</v>
      </c>
      <c r="BH33" s="21">
        <v>9</v>
      </c>
      <c r="BI33" s="21">
        <v>65520</v>
      </c>
      <c r="BJ33" s="21">
        <v>0</v>
      </c>
      <c r="BK33" s="21">
        <v>0</v>
      </c>
      <c r="BL33" s="21">
        <v>859040</v>
      </c>
      <c r="BM33" s="21">
        <v>642156350187</v>
      </c>
      <c r="BN33" s="23">
        <v>46237</v>
      </c>
      <c r="BO33" s="21">
        <v>4000</v>
      </c>
    </row>
    <row r="34" spans="1:67" hidden="1" x14ac:dyDescent="0.25">
      <c r="A34" s="22"/>
      <c r="B34" s="21" t="s">
        <v>167</v>
      </c>
      <c r="C34" s="23">
        <v>46150</v>
      </c>
      <c r="D34" s="21" t="s">
        <v>722</v>
      </c>
      <c r="E34" s="21" t="s">
        <v>192</v>
      </c>
      <c r="F34" s="21" t="s">
        <v>161</v>
      </c>
      <c r="G34" s="21" t="s">
        <v>723</v>
      </c>
      <c r="H34" s="21">
        <v>1765.6</v>
      </c>
      <c r="I34" s="21">
        <v>1765.6</v>
      </c>
      <c r="J34" s="21" t="s">
        <v>168</v>
      </c>
      <c r="K34" s="21">
        <v>1765.6</v>
      </c>
      <c r="L34" s="21">
        <v>0</v>
      </c>
      <c r="M34" s="21">
        <v>1765.6</v>
      </c>
      <c r="N34" s="21" t="s">
        <v>174</v>
      </c>
      <c r="O34" s="21" t="s">
        <v>633</v>
      </c>
      <c r="P34" s="21" t="s">
        <v>633</v>
      </c>
      <c r="Q34" s="21" t="s">
        <v>724</v>
      </c>
      <c r="R34" s="23">
        <v>46150</v>
      </c>
      <c r="S34" s="21" t="s">
        <v>635</v>
      </c>
      <c r="T34" s="21" t="s">
        <v>636</v>
      </c>
      <c r="U34" s="21" t="s">
        <v>725</v>
      </c>
      <c r="V34" s="21">
        <v>143.32</v>
      </c>
      <c r="W34" s="21">
        <v>143.31999870284801</v>
      </c>
      <c r="X34" s="21" t="s">
        <v>724</v>
      </c>
      <c r="Y34" s="23">
        <v>46150</v>
      </c>
      <c r="Z34" s="21" t="s">
        <v>189</v>
      </c>
      <c r="AA34" s="21" t="s">
        <v>189</v>
      </c>
      <c r="AB34" s="21"/>
      <c r="AC34" s="21" t="s">
        <v>189</v>
      </c>
      <c r="AD34" s="21" t="s">
        <v>189</v>
      </c>
      <c r="AE34" s="21">
        <v>0</v>
      </c>
      <c r="AF34" s="21">
        <v>0</v>
      </c>
      <c r="AG34" s="21">
        <v>0</v>
      </c>
      <c r="AH34" s="21">
        <v>0</v>
      </c>
      <c r="AI34" s="21">
        <v>0</v>
      </c>
      <c r="AJ34" s="21" t="s">
        <v>638</v>
      </c>
      <c r="AK34" s="21">
        <v>0</v>
      </c>
      <c r="AL34" s="21">
        <v>0</v>
      </c>
      <c r="AM34" s="21">
        <v>0</v>
      </c>
      <c r="AN34" s="21">
        <v>0</v>
      </c>
      <c r="AO34" s="21">
        <v>0</v>
      </c>
      <c r="AP34" s="21"/>
      <c r="AQ34" s="21">
        <v>0</v>
      </c>
      <c r="AR34" s="21">
        <v>0</v>
      </c>
      <c r="AS34" s="21">
        <v>662929.44999999995</v>
      </c>
      <c r="AT34" s="21" t="s">
        <v>169</v>
      </c>
      <c r="AU34" s="21" t="s">
        <v>193</v>
      </c>
      <c r="AV34" s="21" t="s">
        <v>161</v>
      </c>
      <c r="AW34" s="21" t="s">
        <v>639</v>
      </c>
      <c r="AX34" s="21" t="s">
        <v>640</v>
      </c>
      <c r="AY34" s="21">
        <v>0</v>
      </c>
      <c r="AZ34" s="21">
        <v>253045.79</v>
      </c>
      <c r="BA34" s="21">
        <v>400</v>
      </c>
      <c r="BB34" s="23">
        <v>46150</v>
      </c>
      <c r="BC34" s="21" t="s">
        <v>176</v>
      </c>
      <c r="BD34" s="21" t="s">
        <v>641</v>
      </c>
      <c r="BE34" s="21" t="s">
        <v>641</v>
      </c>
      <c r="BF34" s="21">
        <v>9</v>
      </c>
      <c r="BG34" s="21">
        <v>22774.12</v>
      </c>
      <c r="BH34" s="21">
        <v>9</v>
      </c>
      <c r="BI34" s="21">
        <v>22774.12</v>
      </c>
      <c r="BJ34" s="21">
        <v>0</v>
      </c>
      <c r="BK34" s="21">
        <v>0</v>
      </c>
      <c r="BL34" s="21">
        <v>662929.44999999995</v>
      </c>
      <c r="BM34" s="21">
        <v>632157752897</v>
      </c>
      <c r="BN34" s="23">
        <v>46239</v>
      </c>
      <c r="BO34" s="21">
        <v>1765.6</v>
      </c>
    </row>
    <row r="35" spans="1:67" hidden="1" x14ac:dyDescent="0.25">
      <c r="A35" s="22"/>
      <c r="B35" s="21" t="s">
        <v>167</v>
      </c>
      <c r="C35" s="23">
        <v>46150</v>
      </c>
      <c r="D35" s="21" t="s">
        <v>722</v>
      </c>
      <c r="E35" s="21" t="s">
        <v>192</v>
      </c>
      <c r="F35" s="21" t="s">
        <v>161</v>
      </c>
      <c r="G35" s="21" t="s">
        <v>723</v>
      </c>
      <c r="H35" s="21">
        <v>1131.3</v>
      </c>
      <c r="I35" s="21">
        <v>1131.3</v>
      </c>
      <c r="J35" s="21" t="s">
        <v>168</v>
      </c>
      <c r="K35" s="21">
        <v>1131.3</v>
      </c>
      <c r="L35" s="21">
        <v>0</v>
      </c>
      <c r="M35" s="21">
        <v>1131.3</v>
      </c>
      <c r="N35" s="21" t="s">
        <v>174</v>
      </c>
      <c r="O35" s="21" t="s">
        <v>633</v>
      </c>
      <c r="P35" s="21" t="s">
        <v>633</v>
      </c>
      <c r="Q35" s="21" t="s">
        <v>724</v>
      </c>
      <c r="R35" s="23">
        <v>46150</v>
      </c>
      <c r="S35" s="21" t="s">
        <v>635</v>
      </c>
      <c r="T35" s="21" t="s">
        <v>636</v>
      </c>
      <c r="U35" s="21" t="s">
        <v>725</v>
      </c>
      <c r="V35" s="21">
        <v>140.32</v>
      </c>
      <c r="W35" s="21">
        <v>140.319998730001</v>
      </c>
      <c r="X35" s="21" t="s">
        <v>724</v>
      </c>
      <c r="Y35" s="23">
        <v>46150</v>
      </c>
      <c r="Z35" s="21" t="s">
        <v>189</v>
      </c>
      <c r="AA35" s="21" t="s">
        <v>189</v>
      </c>
      <c r="AB35" s="21"/>
      <c r="AC35" s="21" t="s">
        <v>189</v>
      </c>
      <c r="AD35" s="21" t="s">
        <v>189</v>
      </c>
      <c r="AE35" s="21">
        <v>0</v>
      </c>
      <c r="AF35" s="21">
        <v>0</v>
      </c>
      <c r="AG35" s="21">
        <v>0</v>
      </c>
      <c r="AH35" s="21">
        <v>0</v>
      </c>
      <c r="AI35" s="21">
        <v>0</v>
      </c>
      <c r="AJ35" s="21" t="s">
        <v>638</v>
      </c>
      <c r="AK35" s="21">
        <v>0</v>
      </c>
      <c r="AL35" s="21">
        <v>0</v>
      </c>
      <c r="AM35" s="21">
        <v>0</v>
      </c>
      <c r="AN35" s="21">
        <v>0</v>
      </c>
      <c r="AO35" s="21">
        <v>0</v>
      </c>
      <c r="AP35" s="21"/>
      <c r="AQ35" s="21">
        <v>0</v>
      </c>
      <c r="AR35" s="21">
        <v>0</v>
      </c>
      <c r="AS35" s="21">
        <v>662929.44999999995</v>
      </c>
      <c r="AT35" s="21" t="s">
        <v>169</v>
      </c>
      <c r="AU35" s="21" t="s">
        <v>193</v>
      </c>
      <c r="AV35" s="21" t="s">
        <v>161</v>
      </c>
      <c r="AW35" s="21" t="s">
        <v>639</v>
      </c>
      <c r="AX35" s="21" t="s">
        <v>640</v>
      </c>
      <c r="AY35" s="21">
        <v>0</v>
      </c>
      <c r="AZ35" s="21">
        <v>158744.01</v>
      </c>
      <c r="BA35" s="21">
        <v>400</v>
      </c>
      <c r="BB35" s="23">
        <v>46150</v>
      </c>
      <c r="BC35" s="21" t="s">
        <v>176</v>
      </c>
      <c r="BD35" s="21" t="s">
        <v>641</v>
      </c>
      <c r="BE35" s="21" t="s">
        <v>641</v>
      </c>
      <c r="BF35" s="21">
        <v>9</v>
      </c>
      <c r="BG35" s="21">
        <v>14286.96</v>
      </c>
      <c r="BH35" s="21">
        <v>9</v>
      </c>
      <c r="BI35" s="21">
        <v>14286.96</v>
      </c>
      <c r="BJ35" s="21">
        <v>0</v>
      </c>
      <c r="BK35" s="21">
        <v>0</v>
      </c>
      <c r="BL35" s="21">
        <v>0</v>
      </c>
      <c r="BM35" s="21">
        <v>632157752897</v>
      </c>
      <c r="BN35" s="23">
        <v>46239</v>
      </c>
      <c r="BO35" s="21">
        <v>1131.3</v>
      </c>
    </row>
    <row r="36" spans="1:67" hidden="1" x14ac:dyDescent="0.25">
      <c r="A36" s="22"/>
      <c r="B36" s="21" t="s">
        <v>167</v>
      </c>
      <c r="C36" s="23">
        <v>46150</v>
      </c>
      <c r="D36" s="21" t="s">
        <v>722</v>
      </c>
      <c r="E36" s="21" t="s">
        <v>180</v>
      </c>
      <c r="F36" s="21" t="s">
        <v>181</v>
      </c>
      <c r="G36" s="21" t="s">
        <v>723</v>
      </c>
      <c r="H36" s="21">
        <v>513.70000000000005</v>
      </c>
      <c r="I36" s="21">
        <v>513.70000000000005</v>
      </c>
      <c r="J36" s="21" t="s">
        <v>168</v>
      </c>
      <c r="K36" s="21">
        <v>513.70000000000005</v>
      </c>
      <c r="L36" s="21">
        <v>0</v>
      </c>
      <c r="M36" s="21">
        <v>513.70000000000005</v>
      </c>
      <c r="N36" s="21" t="s">
        <v>174</v>
      </c>
      <c r="O36" s="21" t="s">
        <v>633</v>
      </c>
      <c r="P36" s="21" t="s">
        <v>633</v>
      </c>
      <c r="Q36" s="21" t="s">
        <v>724</v>
      </c>
      <c r="R36" s="23">
        <v>46150</v>
      </c>
      <c r="S36" s="21" t="s">
        <v>635</v>
      </c>
      <c r="T36" s="21" t="s">
        <v>636</v>
      </c>
      <c r="U36" s="21" t="s">
        <v>725</v>
      </c>
      <c r="V36" s="21">
        <v>144.32</v>
      </c>
      <c r="W36" s="21">
        <v>144.319998693798</v>
      </c>
      <c r="X36" s="21" t="s">
        <v>724</v>
      </c>
      <c r="Y36" s="23">
        <v>46150</v>
      </c>
      <c r="Z36" s="21" t="s">
        <v>189</v>
      </c>
      <c r="AA36" s="21" t="s">
        <v>189</v>
      </c>
      <c r="AB36" s="21"/>
      <c r="AC36" s="21" t="s">
        <v>189</v>
      </c>
      <c r="AD36" s="21" t="s">
        <v>189</v>
      </c>
      <c r="AE36" s="21">
        <v>0</v>
      </c>
      <c r="AF36" s="21">
        <v>0</v>
      </c>
      <c r="AG36" s="21">
        <v>0</v>
      </c>
      <c r="AH36" s="21">
        <v>0</v>
      </c>
      <c r="AI36" s="21">
        <v>0</v>
      </c>
      <c r="AJ36" s="21" t="s">
        <v>638</v>
      </c>
      <c r="AK36" s="21">
        <v>0</v>
      </c>
      <c r="AL36" s="21">
        <v>0</v>
      </c>
      <c r="AM36" s="21">
        <v>0</v>
      </c>
      <c r="AN36" s="21">
        <v>0</v>
      </c>
      <c r="AO36" s="21">
        <v>0</v>
      </c>
      <c r="AP36" s="21"/>
      <c r="AQ36" s="21">
        <v>0</v>
      </c>
      <c r="AR36" s="21">
        <v>0</v>
      </c>
      <c r="AS36" s="21">
        <v>662929.44999999995</v>
      </c>
      <c r="AT36" s="21" t="s">
        <v>169</v>
      </c>
      <c r="AU36" s="21" t="s">
        <v>181</v>
      </c>
      <c r="AV36" s="21" t="s">
        <v>154</v>
      </c>
      <c r="AW36" s="21" t="s">
        <v>639</v>
      </c>
      <c r="AX36" s="21" t="s">
        <v>640</v>
      </c>
      <c r="AY36" s="21">
        <v>0</v>
      </c>
      <c r="AZ36" s="21">
        <v>74137.179999999993</v>
      </c>
      <c r="BA36" s="21">
        <v>400</v>
      </c>
      <c r="BB36" s="23">
        <v>46150</v>
      </c>
      <c r="BC36" s="21" t="s">
        <v>176</v>
      </c>
      <c r="BD36" s="21" t="s">
        <v>641</v>
      </c>
      <c r="BE36" s="21" t="s">
        <v>641</v>
      </c>
      <c r="BF36" s="21">
        <v>9</v>
      </c>
      <c r="BG36" s="21">
        <v>6672.35</v>
      </c>
      <c r="BH36" s="21">
        <v>9</v>
      </c>
      <c r="BI36" s="21">
        <v>6672.35</v>
      </c>
      <c r="BJ36" s="21">
        <v>0</v>
      </c>
      <c r="BK36" s="21">
        <v>0</v>
      </c>
      <c r="BL36" s="21">
        <v>0</v>
      </c>
      <c r="BM36" s="21">
        <v>632157752897</v>
      </c>
      <c r="BN36" s="23">
        <v>46239</v>
      </c>
      <c r="BO36" s="21">
        <v>513.70000000000005</v>
      </c>
    </row>
    <row r="37" spans="1:67" hidden="1" x14ac:dyDescent="0.25">
      <c r="A37" s="22"/>
      <c r="B37" s="21" t="s">
        <v>167</v>
      </c>
      <c r="C37" s="23">
        <v>46150</v>
      </c>
      <c r="D37" s="21" t="s">
        <v>722</v>
      </c>
      <c r="E37" s="21" t="s">
        <v>180</v>
      </c>
      <c r="F37" s="21" t="s">
        <v>181</v>
      </c>
      <c r="G37" s="21" t="s">
        <v>723</v>
      </c>
      <c r="H37" s="21">
        <v>370.2</v>
      </c>
      <c r="I37" s="21">
        <v>370.2</v>
      </c>
      <c r="J37" s="21" t="s">
        <v>168</v>
      </c>
      <c r="K37" s="21">
        <v>370.2</v>
      </c>
      <c r="L37" s="21">
        <v>0</v>
      </c>
      <c r="M37" s="21">
        <v>370.2</v>
      </c>
      <c r="N37" s="21" t="s">
        <v>174</v>
      </c>
      <c r="O37" s="21" t="s">
        <v>633</v>
      </c>
      <c r="P37" s="21" t="s">
        <v>633</v>
      </c>
      <c r="Q37" s="21" t="s">
        <v>724</v>
      </c>
      <c r="R37" s="23">
        <v>46150</v>
      </c>
      <c r="S37" s="21" t="s">
        <v>635</v>
      </c>
      <c r="T37" s="21" t="s">
        <v>636</v>
      </c>
      <c r="U37" s="21" t="s">
        <v>725</v>
      </c>
      <c r="V37" s="21">
        <v>147.32</v>
      </c>
      <c r="W37" s="21">
        <v>147.31999866664501</v>
      </c>
      <c r="X37" s="21" t="s">
        <v>724</v>
      </c>
      <c r="Y37" s="23">
        <v>46150</v>
      </c>
      <c r="Z37" s="21" t="s">
        <v>189</v>
      </c>
      <c r="AA37" s="21" t="s">
        <v>189</v>
      </c>
      <c r="AB37" s="21"/>
      <c r="AC37" s="21" t="s">
        <v>189</v>
      </c>
      <c r="AD37" s="21" t="s">
        <v>189</v>
      </c>
      <c r="AE37" s="21">
        <v>0</v>
      </c>
      <c r="AF37" s="21">
        <v>0</v>
      </c>
      <c r="AG37" s="21">
        <v>0</v>
      </c>
      <c r="AH37" s="21">
        <v>0</v>
      </c>
      <c r="AI37" s="21">
        <v>0</v>
      </c>
      <c r="AJ37" s="21" t="s">
        <v>638</v>
      </c>
      <c r="AK37" s="21">
        <v>0</v>
      </c>
      <c r="AL37" s="21">
        <v>0</v>
      </c>
      <c r="AM37" s="21">
        <v>0</v>
      </c>
      <c r="AN37" s="21">
        <v>0</v>
      </c>
      <c r="AO37" s="21">
        <v>0</v>
      </c>
      <c r="AP37" s="21"/>
      <c r="AQ37" s="21">
        <v>0</v>
      </c>
      <c r="AR37" s="21">
        <v>0</v>
      </c>
      <c r="AS37" s="21">
        <v>662929.44999999995</v>
      </c>
      <c r="AT37" s="21" t="s">
        <v>169</v>
      </c>
      <c r="AU37" s="21" t="s">
        <v>181</v>
      </c>
      <c r="AV37" s="21" t="s">
        <v>154</v>
      </c>
      <c r="AW37" s="21" t="s">
        <v>639</v>
      </c>
      <c r="AX37" s="21" t="s">
        <v>640</v>
      </c>
      <c r="AY37" s="21">
        <v>0</v>
      </c>
      <c r="AZ37" s="21">
        <v>54537.86</v>
      </c>
      <c r="BA37" s="21">
        <v>400</v>
      </c>
      <c r="BB37" s="23">
        <v>46150</v>
      </c>
      <c r="BC37" s="21" t="s">
        <v>176</v>
      </c>
      <c r="BD37" s="21" t="s">
        <v>641</v>
      </c>
      <c r="BE37" s="21" t="s">
        <v>641</v>
      </c>
      <c r="BF37" s="21">
        <v>9</v>
      </c>
      <c r="BG37" s="21">
        <v>4908.41</v>
      </c>
      <c r="BH37" s="21">
        <v>9</v>
      </c>
      <c r="BI37" s="21">
        <v>4908.41</v>
      </c>
      <c r="BJ37" s="21">
        <v>0</v>
      </c>
      <c r="BK37" s="21">
        <v>0</v>
      </c>
      <c r="BL37" s="21">
        <v>0</v>
      </c>
      <c r="BM37" s="21">
        <v>632157752897</v>
      </c>
      <c r="BN37" s="23">
        <v>46239</v>
      </c>
      <c r="BO37" s="21">
        <v>370.2</v>
      </c>
    </row>
    <row r="38" spans="1:67" hidden="1" x14ac:dyDescent="0.25">
      <c r="A38" s="22"/>
      <c r="B38" s="21" t="s">
        <v>167</v>
      </c>
      <c r="C38" s="23">
        <v>46150</v>
      </c>
      <c r="D38" s="21" t="s">
        <v>722</v>
      </c>
      <c r="E38" s="21" t="s">
        <v>726</v>
      </c>
      <c r="F38" s="21" t="s">
        <v>727</v>
      </c>
      <c r="G38" s="21" t="s">
        <v>723</v>
      </c>
      <c r="H38" s="21">
        <v>151</v>
      </c>
      <c r="I38" s="21">
        <v>151</v>
      </c>
      <c r="J38" s="21" t="s">
        <v>168</v>
      </c>
      <c r="K38" s="21">
        <v>151</v>
      </c>
      <c r="L38" s="21">
        <v>0</v>
      </c>
      <c r="M38" s="21">
        <v>151</v>
      </c>
      <c r="N38" s="21" t="s">
        <v>174</v>
      </c>
      <c r="O38" s="21" t="s">
        <v>633</v>
      </c>
      <c r="P38" s="21" t="s">
        <v>633</v>
      </c>
      <c r="Q38" s="21" t="s">
        <v>724</v>
      </c>
      <c r="R38" s="23">
        <v>46150</v>
      </c>
      <c r="S38" s="21" t="s">
        <v>635</v>
      </c>
      <c r="T38" s="21" t="s">
        <v>636</v>
      </c>
      <c r="U38" s="21" t="s">
        <v>725</v>
      </c>
      <c r="V38" s="21">
        <v>158.82</v>
      </c>
      <c r="W38" s="21">
        <v>158.81999856256201</v>
      </c>
      <c r="X38" s="21" t="s">
        <v>724</v>
      </c>
      <c r="Y38" s="23">
        <v>46150</v>
      </c>
      <c r="Z38" s="21" t="s">
        <v>189</v>
      </c>
      <c r="AA38" s="21" t="s">
        <v>189</v>
      </c>
      <c r="AB38" s="21"/>
      <c r="AC38" s="21" t="s">
        <v>189</v>
      </c>
      <c r="AD38" s="21" t="s">
        <v>189</v>
      </c>
      <c r="AE38" s="21">
        <v>0</v>
      </c>
      <c r="AF38" s="21">
        <v>0</v>
      </c>
      <c r="AG38" s="21">
        <v>0</v>
      </c>
      <c r="AH38" s="21">
        <v>0</v>
      </c>
      <c r="AI38" s="21">
        <v>0</v>
      </c>
      <c r="AJ38" s="21" t="s">
        <v>638</v>
      </c>
      <c r="AK38" s="21">
        <v>0</v>
      </c>
      <c r="AL38" s="21">
        <v>0</v>
      </c>
      <c r="AM38" s="21">
        <v>0</v>
      </c>
      <c r="AN38" s="21">
        <v>0</v>
      </c>
      <c r="AO38" s="21">
        <v>0</v>
      </c>
      <c r="AP38" s="21"/>
      <c r="AQ38" s="21">
        <v>0</v>
      </c>
      <c r="AR38" s="21">
        <v>0</v>
      </c>
      <c r="AS38" s="21">
        <v>662929.44999999995</v>
      </c>
      <c r="AT38" s="21" t="s">
        <v>169</v>
      </c>
      <c r="AU38" s="21" t="s">
        <v>170</v>
      </c>
      <c r="AV38" s="21" t="s">
        <v>157</v>
      </c>
      <c r="AW38" s="21" t="s">
        <v>639</v>
      </c>
      <c r="AX38" s="21" t="s">
        <v>640</v>
      </c>
      <c r="AY38" s="21">
        <v>0</v>
      </c>
      <c r="AZ38" s="21">
        <v>23981.82</v>
      </c>
      <c r="BA38" s="21">
        <v>400</v>
      </c>
      <c r="BB38" s="23">
        <v>46150</v>
      </c>
      <c r="BC38" s="21" t="s">
        <v>176</v>
      </c>
      <c r="BD38" s="21" t="s">
        <v>641</v>
      </c>
      <c r="BE38" s="21" t="s">
        <v>641</v>
      </c>
      <c r="BF38" s="21">
        <v>2.5</v>
      </c>
      <c r="BG38" s="21">
        <v>599.54999999999995</v>
      </c>
      <c r="BH38" s="21">
        <v>2.5</v>
      </c>
      <c r="BI38" s="21">
        <v>599.54999999999995</v>
      </c>
      <c r="BJ38" s="21">
        <v>0</v>
      </c>
      <c r="BK38" s="21">
        <v>0</v>
      </c>
      <c r="BL38" s="21">
        <v>0</v>
      </c>
      <c r="BM38" s="21">
        <v>632157752897</v>
      </c>
      <c r="BN38" s="23">
        <v>46239</v>
      </c>
      <c r="BO38" s="21">
        <v>151</v>
      </c>
    </row>
    <row r="39" spans="1:67" hidden="1" x14ac:dyDescent="0.25">
      <c r="A39" s="22"/>
      <c r="B39" s="21" t="s">
        <v>167</v>
      </c>
      <c r="C39" s="23">
        <v>46150</v>
      </c>
      <c r="D39" s="21" t="s">
        <v>728</v>
      </c>
      <c r="E39" s="21" t="s">
        <v>234</v>
      </c>
      <c r="F39" s="21" t="s">
        <v>153</v>
      </c>
      <c r="G39" s="21" t="s">
        <v>729</v>
      </c>
      <c r="H39" s="21">
        <v>370</v>
      </c>
      <c r="I39" s="21">
        <v>370</v>
      </c>
      <c r="J39" s="21" t="s">
        <v>168</v>
      </c>
      <c r="K39" s="21">
        <v>370</v>
      </c>
      <c r="L39" s="21">
        <v>0</v>
      </c>
      <c r="M39" s="21">
        <v>370</v>
      </c>
      <c r="N39" s="21" t="s">
        <v>174</v>
      </c>
      <c r="O39" s="21" t="s">
        <v>730</v>
      </c>
      <c r="P39" s="21" t="s">
        <v>730</v>
      </c>
      <c r="Q39" s="21" t="s">
        <v>731</v>
      </c>
      <c r="R39" s="23">
        <v>46150</v>
      </c>
      <c r="S39" s="21" t="s">
        <v>635</v>
      </c>
      <c r="T39" s="21" t="s">
        <v>636</v>
      </c>
      <c r="U39" s="21" t="s">
        <v>732</v>
      </c>
      <c r="V39" s="21">
        <v>147.32</v>
      </c>
      <c r="W39" s="21">
        <v>147.32</v>
      </c>
      <c r="X39" s="21" t="s">
        <v>731</v>
      </c>
      <c r="Y39" s="23">
        <v>46150</v>
      </c>
      <c r="Z39" s="21" t="s">
        <v>733</v>
      </c>
      <c r="AA39" s="21" t="s">
        <v>189</v>
      </c>
      <c r="AB39" s="21"/>
      <c r="AC39" s="21" t="s">
        <v>189</v>
      </c>
      <c r="AD39" s="21" t="s">
        <v>189</v>
      </c>
      <c r="AE39" s="21">
        <v>0</v>
      </c>
      <c r="AF39" s="21">
        <v>0</v>
      </c>
      <c r="AG39" s="21">
        <v>0</v>
      </c>
      <c r="AH39" s="21">
        <v>0</v>
      </c>
      <c r="AI39" s="21">
        <v>0</v>
      </c>
      <c r="AJ39" s="21" t="s">
        <v>638</v>
      </c>
      <c r="AK39" s="21">
        <v>0</v>
      </c>
      <c r="AL39" s="21">
        <v>0</v>
      </c>
      <c r="AM39" s="21">
        <v>0</v>
      </c>
      <c r="AN39" s="21">
        <v>0</v>
      </c>
      <c r="AO39" s="21">
        <v>0</v>
      </c>
      <c r="AP39" s="21"/>
      <c r="AQ39" s="21">
        <v>0</v>
      </c>
      <c r="AR39" s="21">
        <v>0</v>
      </c>
      <c r="AS39" s="21">
        <v>64319.92</v>
      </c>
      <c r="AT39" s="21" t="s">
        <v>188</v>
      </c>
      <c r="AU39" s="21" t="s">
        <v>153</v>
      </c>
      <c r="AV39" s="21" t="s">
        <v>153</v>
      </c>
      <c r="AW39" s="21" t="s">
        <v>639</v>
      </c>
      <c r="AX39" s="21" t="s">
        <v>640</v>
      </c>
      <c r="AY39" s="21">
        <v>0</v>
      </c>
      <c r="AZ39" s="21">
        <v>54508.4</v>
      </c>
      <c r="BA39" s="21">
        <v>399</v>
      </c>
      <c r="BB39" s="23">
        <v>46150</v>
      </c>
      <c r="BC39" s="21" t="s">
        <v>185</v>
      </c>
      <c r="BD39" s="21" t="s">
        <v>641</v>
      </c>
      <c r="BE39" s="21" t="s">
        <v>641</v>
      </c>
      <c r="BF39" s="21">
        <v>9</v>
      </c>
      <c r="BG39" s="21">
        <v>4905.76</v>
      </c>
      <c r="BH39" s="21">
        <v>9</v>
      </c>
      <c r="BI39" s="21">
        <v>4905.76</v>
      </c>
      <c r="BJ39" s="21">
        <v>0</v>
      </c>
      <c r="BK39" s="21">
        <v>0</v>
      </c>
      <c r="BL39" s="21">
        <v>64319.92</v>
      </c>
      <c r="BM39" s="21">
        <v>612157557478</v>
      </c>
      <c r="BN39" s="23">
        <v>46239</v>
      </c>
      <c r="BO39" s="21">
        <v>370</v>
      </c>
    </row>
    <row r="40" spans="1:67" hidden="1" x14ac:dyDescent="0.25">
      <c r="A40" s="22"/>
      <c r="B40" s="21" t="s">
        <v>167</v>
      </c>
      <c r="C40" s="23">
        <v>46181</v>
      </c>
      <c r="D40" s="21" t="s">
        <v>734</v>
      </c>
      <c r="E40" s="21" t="s">
        <v>182</v>
      </c>
      <c r="F40" s="21" t="s">
        <v>183</v>
      </c>
      <c r="G40" s="21" t="s">
        <v>735</v>
      </c>
      <c r="H40" s="21">
        <v>2687</v>
      </c>
      <c r="I40" s="21">
        <v>2687</v>
      </c>
      <c r="J40" s="21" t="s">
        <v>168</v>
      </c>
      <c r="K40" s="21">
        <v>2687</v>
      </c>
      <c r="L40" s="21">
        <v>0</v>
      </c>
      <c r="M40" s="21">
        <v>2687</v>
      </c>
      <c r="N40" s="21" t="s">
        <v>275</v>
      </c>
      <c r="O40" s="21" t="s">
        <v>633</v>
      </c>
      <c r="P40" s="21" t="s">
        <v>633</v>
      </c>
      <c r="Q40" s="21" t="s">
        <v>736</v>
      </c>
      <c r="R40" s="23">
        <v>46150</v>
      </c>
      <c r="S40" s="21" t="s">
        <v>635</v>
      </c>
      <c r="T40" s="21" t="s">
        <v>636</v>
      </c>
      <c r="U40" s="21" t="s">
        <v>737</v>
      </c>
      <c r="V40" s="21">
        <v>142.32</v>
      </c>
      <c r="W40" s="21">
        <v>142.32</v>
      </c>
      <c r="X40" s="21" t="s">
        <v>736</v>
      </c>
      <c r="Y40" s="23">
        <v>46150</v>
      </c>
      <c r="Z40" s="21" t="s">
        <v>189</v>
      </c>
      <c r="AA40" s="21" t="s">
        <v>189</v>
      </c>
      <c r="AB40" s="21"/>
      <c r="AC40" s="21" t="s">
        <v>189</v>
      </c>
      <c r="AD40" s="21" t="s">
        <v>189</v>
      </c>
      <c r="AE40" s="21">
        <v>0</v>
      </c>
      <c r="AF40" s="21">
        <v>0</v>
      </c>
      <c r="AG40" s="21">
        <v>0</v>
      </c>
      <c r="AH40" s="21">
        <v>0</v>
      </c>
      <c r="AI40" s="21">
        <v>0</v>
      </c>
      <c r="AJ40" s="21" t="s">
        <v>638</v>
      </c>
      <c r="AK40" s="21">
        <v>0</v>
      </c>
      <c r="AL40" s="21">
        <v>0</v>
      </c>
      <c r="AM40" s="21">
        <v>0</v>
      </c>
      <c r="AN40" s="21">
        <v>0</v>
      </c>
      <c r="AO40" s="21">
        <v>0</v>
      </c>
      <c r="AP40" s="21"/>
      <c r="AQ40" s="21">
        <v>0</v>
      </c>
      <c r="AR40" s="21">
        <v>0</v>
      </c>
      <c r="AS40" s="21">
        <v>451248.34</v>
      </c>
      <c r="AT40" s="21" t="s">
        <v>169</v>
      </c>
      <c r="AU40" s="21" t="s">
        <v>179</v>
      </c>
      <c r="AV40" s="21" t="s">
        <v>155</v>
      </c>
      <c r="AW40" s="21" t="s">
        <v>639</v>
      </c>
      <c r="AX40" s="21" t="s">
        <v>640</v>
      </c>
      <c r="AY40" s="21">
        <v>0</v>
      </c>
      <c r="AZ40" s="21">
        <v>382413.84</v>
      </c>
      <c r="BA40" s="21">
        <v>401</v>
      </c>
      <c r="BB40" s="23">
        <v>46181</v>
      </c>
      <c r="BC40" s="21" t="s">
        <v>176</v>
      </c>
      <c r="BD40" s="21" t="s">
        <v>641</v>
      </c>
      <c r="BE40" s="21" t="s">
        <v>641</v>
      </c>
      <c r="BF40" s="21">
        <v>9</v>
      </c>
      <c r="BG40" s="21">
        <v>34417.25</v>
      </c>
      <c r="BH40" s="21">
        <v>9</v>
      </c>
      <c r="BI40" s="21">
        <v>34417.25</v>
      </c>
      <c r="BJ40" s="21">
        <v>0</v>
      </c>
      <c r="BK40" s="21">
        <v>0</v>
      </c>
      <c r="BL40" s="21">
        <v>451248.34</v>
      </c>
      <c r="BM40" s="21">
        <v>612157915564</v>
      </c>
      <c r="BN40" s="23">
        <v>46239</v>
      </c>
      <c r="BO40" s="21">
        <v>2687</v>
      </c>
    </row>
    <row r="41" spans="1:67" hidden="1" x14ac:dyDescent="0.25">
      <c r="A41" s="22"/>
      <c r="B41" s="21" t="s">
        <v>167</v>
      </c>
      <c r="C41" s="23">
        <v>46181</v>
      </c>
      <c r="D41" s="21" t="s">
        <v>738</v>
      </c>
      <c r="E41" s="21" t="s">
        <v>186</v>
      </c>
      <c r="F41" s="21" t="s">
        <v>187</v>
      </c>
      <c r="G41" s="21" t="s">
        <v>739</v>
      </c>
      <c r="H41" s="21">
        <v>5375</v>
      </c>
      <c r="I41" s="21">
        <v>5375</v>
      </c>
      <c r="J41" s="21" t="s">
        <v>168</v>
      </c>
      <c r="K41" s="21">
        <v>5375</v>
      </c>
      <c r="L41" s="21">
        <v>0</v>
      </c>
      <c r="M41" s="21">
        <v>5375</v>
      </c>
      <c r="N41" s="21" t="s">
        <v>712</v>
      </c>
      <c r="O41" s="21" t="s">
        <v>656</v>
      </c>
      <c r="P41" s="21" t="s">
        <v>656</v>
      </c>
      <c r="Q41" s="21" t="s">
        <v>740</v>
      </c>
      <c r="R41" s="23">
        <v>46150</v>
      </c>
      <c r="S41" s="21" t="s">
        <v>635</v>
      </c>
      <c r="T41" s="21" t="s">
        <v>636</v>
      </c>
      <c r="U41" s="21" t="s">
        <v>741</v>
      </c>
      <c r="V41" s="21">
        <v>219.27</v>
      </c>
      <c r="W41" s="21">
        <v>219.27</v>
      </c>
      <c r="X41" s="21" t="s">
        <v>740</v>
      </c>
      <c r="Y41" s="23">
        <v>46150</v>
      </c>
      <c r="Z41" s="21" t="s">
        <v>189</v>
      </c>
      <c r="AA41" s="21" t="s">
        <v>189</v>
      </c>
      <c r="AB41" s="21"/>
      <c r="AC41" s="21" t="s">
        <v>742</v>
      </c>
      <c r="AD41" s="21">
        <v>348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 t="s">
        <v>638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1"/>
      <c r="AQ41" s="21">
        <v>0</v>
      </c>
      <c r="AR41" s="21">
        <v>0</v>
      </c>
      <c r="AS41" s="21">
        <v>1390719.97</v>
      </c>
      <c r="AT41" s="21" t="s">
        <v>188</v>
      </c>
      <c r="AU41" s="21" t="s">
        <v>152</v>
      </c>
      <c r="AV41" s="21" t="s">
        <v>152</v>
      </c>
      <c r="AW41" s="21" t="s">
        <v>639</v>
      </c>
      <c r="AX41" s="21" t="s">
        <v>640</v>
      </c>
      <c r="AY41" s="21">
        <v>0</v>
      </c>
      <c r="AZ41" s="21">
        <v>1178576.25</v>
      </c>
      <c r="BA41" s="21">
        <v>402</v>
      </c>
      <c r="BB41" s="23">
        <v>46181</v>
      </c>
      <c r="BC41" s="21" t="s">
        <v>176</v>
      </c>
      <c r="BD41" s="21" t="s">
        <v>641</v>
      </c>
      <c r="BE41" s="21" t="s">
        <v>641</v>
      </c>
      <c r="BF41" s="21">
        <v>9</v>
      </c>
      <c r="BG41" s="21">
        <v>106071.86</v>
      </c>
      <c r="BH41" s="21">
        <v>9</v>
      </c>
      <c r="BI41" s="21">
        <v>106071.86</v>
      </c>
      <c r="BJ41" s="21">
        <v>0</v>
      </c>
      <c r="BK41" s="21">
        <v>0</v>
      </c>
      <c r="BL41" s="21">
        <v>1390719.97</v>
      </c>
      <c r="BM41" s="21">
        <v>682157880362</v>
      </c>
      <c r="BN41" s="23">
        <v>46239</v>
      </c>
      <c r="BO41" s="21">
        <v>5375</v>
      </c>
    </row>
    <row r="42" spans="1:67" hidden="1" x14ac:dyDescent="0.25">
      <c r="A42" s="22"/>
      <c r="B42" s="21" t="s">
        <v>167</v>
      </c>
      <c r="C42" s="23">
        <v>46181</v>
      </c>
      <c r="D42" s="21" t="s">
        <v>743</v>
      </c>
      <c r="E42" s="21" t="s">
        <v>744</v>
      </c>
      <c r="F42" s="21" t="s">
        <v>745</v>
      </c>
      <c r="G42" s="21" t="s">
        <v>746</v>
      </c>
      <c r="H42" s="21">
        <v>645</v>
      </c>
      <c r="I42" s="21">
        <v>645</v>
      </c>
      <c r="J42" s="21" t="s">
        <v>168</v>
      </c>
      <c r="K42" s="21">
        <v>645</v>
      </c>
      <c r="L42" s="21">
        <v>0</v>
      </c>
      <c r="M42" s="21">
        <v>645</v>
      </c>
      <c r="N42" s="21" t="s">
        <v>747</v>
      </c>
      <c r="O42" s="21" t="s">
        <v>677</v>
      </c>
      <c r="P42" s="21" t="s">
        <v>677</v>
      </c>
      <c r="Q42" s="21" t="s">
        <v>748</v>
      </c>
      <c r="R42" s="23">
        <v>46150</v>
      </c>
      <c r="S42" s="21" t="s">
        <v>635</v>
      </c>
      <c r="T42" s="21" t="s">
        <v>636</v>
      </c>
      <c r="U42" s="21" t="s">
        <v>749</v>
      </c>
      <c r="V42" s="21">
        <v>159.4</v>
      </c>
      <c r="W42" s="21">
        <v>159.4</v>
      </c>
      <c r="X42" s="21" t="s">
        <v>748</v>
      </c>
      <c r="Y42" s="23">
        <v>46150</v>
      </c>
      <c r="Z42" s="21"/>
      <c r="AA42" s="21">
        <v>0</v>
      </c>
      <c r="AB42" s="21"/>
      <c r="AC42" s="21" t="s">
        <v>750</v>
      </c>
      <c r="AD42" s="21">
        <v>2447</v>
      </c>
      <c r="AE42" s="21">
        <v>0</v>
      </c>
      <c r="AF42" s="21">
        <v>0</v>
      </c>
      <c r="AG42" s="21">
        <v>0</v>
      </c>
      <c r="AH42" s="21">
        <v>0</v>
      </c>
      <c r="AI42" s="21">
        <v>0</v>
      </c>
      <c r="AJ42" s="21" t="s">
        <v>638</v>
      </c>
      <c r="AK42" s="21">
        <v>0</v>
      </c>
      <c r="AL42" s="21">
        <v>0</v>
      </c>
      <c r="AM42" s="21">
        <v>0</v>
      </c>
      <c r="AN42" s="21">
        <v>0</v>
      </c>
      <c r="AO42" s="21">
        <v>0</v>
      </c>
      <c r="AP42" s="21"/>
      <c r="AQ42" s="21">
        <v>0</v>
      </c>
      <c r="AR42" s="21">
        <v>0</v>
      </c>
      <c r="AS42" s="21">
        <v>348535.94</v>
      </c>
      <c r="AT42" s="21" t="s">
        <v>169</v>
      </c>
      <c r="AU42" s="21" t="s">
        <v>170</v>
      </c>
      <c r="AV42" s="21" t="s">
        <v>157</v>
      </c>
      <c r="AW42" s="21" t="s">
        <v>639</v>
      </c>
      <c r="AX42" s="21" t="s">
        <v>640</v>
      </c>
      <c r="AY42" s="21">
        <v>0</v>
      </c>
      <c r="AZ42" s="21">
        <v>102813</v>
      </c>
      <c r="BA42" s="21">
        <v>404</v>
      </c>
      <c r="BB42" s="23">
        <v>46181</v>
      </c>
      <c r="BC42" s="21" t="s">
        <v>171</v>
      </c>
      <c r="BD42" s="21" t="s">
        <v>641</v>
      </c>
      <c r="BE42" s="21" t="s">
        <v>641</v>
      </c>
      <c r="BF42" s="21">
        <v>2.5</v>
      </c>
      <c r="BG42" s="21">
        <v>2570.3200000000002</v>
      </c>
      <c r="BH42" s="21">
        <v>2.5</v>
      </c>
      <c r="BI42" s="21">
        <v>2570.3200000000002</v>
      </c>
      <c r="BJ42" s="21">
        <v>0</v>
      </c>
      <c r="BK42" s="21">
        <v>0</v>
      </c>
      <c r="BL42" s="21">
        <v>348535.94</v>
      </c>
      <c r="BM42" s="21">
        <v>662157875557</v>
      </c>
      <c r="BN42" s="23">
        <v>46239</v>
      </c>
      <c r="BO42" s="21">
        <v>645</v>
      </c>
    </row>
    <row r="43" spans="1:67" hidden="1" x14ac:dyDescent="0.25">
      <c r="A43" s="22"/>
      <c r="B43" s="21" t="s">
        <v>167</v>
      </c>
      <c r="C43" s="23">
        <v>46181</v>
      </c>
      <c r="D43" s="21" t="s">
        <v>743</v>
      </c>
      <c r="E43" s="21" t="s">
        <v>318</v>
      </c>
      <c r="F43" s="21" t="s">
        <v>312</v>
      </c>
      <c r="G43" s="21" t="s">
        <v>746</v>
      </c>
      <c r="H43" s="21">
        <v>1465</v>
      </c>
      <c r="I43" s="21">
        <v>1465</v>
      </c>
      <c r="J43" s="21" t="s">
        <v>168</v>
      </c>
      <c r="K43" s="21">
        <v>1465</v>
      </c>
      <c r="L43" s="21">
        <v>0</v>
      </c>
      <c r="M43" s="21">
        <v>1465</v>
      </c>
      <c r="N43" s="21" t="s">
        <v>747</v>
      </c>
      <c r="O43" s="21" t="s">
        <v>677</v>
      </c>
      <c r="P43" s="21" t="s">
        <v>677</v>
      </c>
      <c r="Q43" s="21" t="s">
        <v>748</v>
      </c>
      <c r="R43" s="23">
        <v>46150</v>
      </c>
      <c r="S43" s="21" t="s">
        <v>635</v>
      </c>
      <c r="T43" s="21" t="s">
        <v>636</v>
      </c>
      <c r="U43" s="21" t="s">
        <v>749</v>
      </c>
      <c r="V43" s="21">
        <v>156.4</v>
      </c>
      <c r="W43" s="21">
        <v>156.4</v>
      </c>
      <c r="X43" s="21" t="s">
        <v>748</v>
      </c>
      <c r="Y43" s="23">
        <v>46150</v>
      </c>
      <c r="Z43" s="21"/>
      <c r="AA43" s="21">
        <v>0</v>
      </c>
      <c r="AB43" s="21"/>
      <c r="AC43" s="21" t="s">
        <v>750</v>
      </c>
      <c r="AD43" s="21">
        <v>2447</v>
      </c>
      <c r="AE43" s="21">
        <v>0</v>
      </c>
      <c r="AF43" s="21">
        <v>0</v>
      </c>
      <c r="AG43" s="21">
        <v>0</v>
      </c>
      <c r="AH43" s="21">
        <v>0</v>
      </c>
      <c r="AI43" s="21">
        <v>0</v>
      </c>
      <c r="AJ43" s="21" t="s">
        <v>638</v>
      </c>
      <c r="AK43" s="21">
        <v>0</v>
      </c>
      <c r="AL43" s="21">
        <v>0</v>
      </c>
      <c r="AM43" s="21">
        <v>0</v>
      </c>
      <c r="AN43" s="21">
        <v>0</v>
      </c>
      <c r="AO43" s="21">
        <v>0</v>
      </c>
      <c r="AP43" s="21"/>
      <c r="AQ43" s="21">
        <v>0</v>
      </c>
      <c r="AR43" s="21">
        <v>0</v>
      </c>
      <c r="AS43" s="21">
        <v>348535.94</v>
      </c>
      <c r="AT43" s="21" t="s">
        <v>169</v>
      </c>
      <c r="AU43" s="21" t="s">
        <v>170</v>
      </c>
      <c r="AV43" s="21" t="s">
        <v>157</v>
      </c>
      <c r="AW43" s="21" t="s">
        <v>639</v>
      </c>
      <c r="AX43" s="21" t="s">
        <v>640</v>
      </c>
      <c r="AY43" s="21">
        <v>0</v>
      </c>
      <c r="AZ43" s="21">
        <v>229126</v>
      </c>
      <c r="BA43" s="21">
        <v>404</v>
      </c>
      <c r="BB43" s="23">
        <v>46181</v>
      </c>
      <c r="BC43" s="21" t="s">
        <v>171</v>
      </c>
      <c r="BD43" s="21" t="s">
        <v>641</v>
      </c>
      <c r="BE43" s="21" t="s">
        <v>641</v>
      </c>
      <c r="BF43" s="21">
        <v>2.5</v>
      </c>
      <c r="BG43" s="21">
        <v>5728.15</v>
      </c>
      <c r="BH43" s="21">
        <v>2.5</v>
      </c>
      <c r="BI43" s="21">
        <v>5728.15</v>
      </c>
      <c r="BJ43" s="21">
        <v>0</v>
      </c>
      <c r="BK43" s="21">
        <v>0</v>
      </c>
      <c r="BL43" s="21">
        <v>0</v>
      </c>
      <c r="BM43" s="21">
        <v>662157875557</v>
      </c>
      <c r="BN43" s="23">
        <v>46239</v>
      </c>
      <c r="BO43" s="21">
        <v>1465</v>
      </c>
    </row>
    <row r="44" spans="1:67" hidden="1" x14ac:dyDescent="0.25">
      <c r="A44" s="22"/>
      <c r="B44" s="21" t="s">
        <v>167</v>
      </c>
      <c r="C44" s="23">
        <v>46181</v>
      </c>
      <c r="D44" s="21" t="s">
        <v>751</v>
      </c>
      <c r="E44" s="21" t="s">
        <v>182</v>
      </c>
      <c r="F44" s="21" t="s">
        <v>183</v>
      </c>
      <c r="G44" s="21" t="s">
        <v>752</v>
      </c>
      <c r="H44" s="21">
        <v>634</v>
      </c>
      <c r="I44" s="21">
        <v>634</v>
      </c>
      <c r="J44" s="21" t="s">
        <v>168</v>
      </c>
      <c r="K44" s="21">
        <v>634</v>
      </c>
      <c r="L44" s="21">
        <v>0</v>
      </c>
      <c r="M44" s="21">
        <v>634</v>
      </c>
      <c r="N44" s="21" t="s">
        <v>662</v>
      </c>
      <c r="O44" s="21" t="s">
        <v>663</v>
      </c>
      <c r="P44" s="21" t="s">
        <v>663</v>
      </c>
      <c r="Q44" s="21" t="s">
        <v>753</v>
      </c>
      <c r="R44" s="23">
        <v>46150</v>
      </c>
      <c r="S44" s="21" t="s">
        <v>635</v>
      </c>
      <c r="T44" s="21" t="s">
        <v>636</v>
      </c>
      <c r="U44" s="21" t="s">
        <v>754</v>
      </c>
      <c r="V44" s="21">
        <v>159.49</v>
      </c>
      <c r="W44" s="21">
        <v>159.49</v>
      </c>
      <c r="X44" s="21" t="s">
        <v>753</v>
      </c>
      <c r="Y44" s="23">
        <v>46150</v>
      </c>
      <c r="Z44" s="21"/>
      <c r="AA44" s="21">
        <v>0</v>
      </c>
      <c r="AB44" s="21"/>
      <c r="AC44" s="21" t="s">
        <v>750</v>
      </c>
      <c r="AD44" s="21">
        <v>2550</v>
      </c>
      <c r="AE44" s="21">
        <v>0</v>
      </c>
      <c r="AF44" s="21">
        <v>0</v>
      </c>
      <c r="AG44" s="21">
        <v>0</v>
      </c>
      <c r="AH44" s="21">
        <v>0</v>
      </c>
      <c r="AI44" s="21">
        <v>0</v>
      </c>
      <c r="AJ44" s="21" t="s">
        <v>638</v>
      </c>
      <c r="AK44" s="21">
        <v>0</v>
      </c>
      <c r="AL44" s="21">
        <v>0</v>
      </c>
      <c r="AM44" s="21">
        <v>0</v>
      </c>
      <c r="AN44" s="21">
        <v>0</v>
      </c>
      <c r="AO44" s="21">
        <v>0</v>
      </c>
      <c r="AP44" s="21"/>
      <c r="AQ44" s="21">
        <v>0</v>
      </c>
      <c r="AR44" s="21">
        <v>0</v>
      </c>
      <c r="AS44" s="21">
        <v>783717.86</v>
      </c>
      <c r="AT44" s="21" t="s">
        <v>169</v>
      </c>
      <c r="AU44" s="21" t="s">
        <v>179</v>
      </c>
      <c r="AV44" s="21" t="s">
        <v>155</v>
      </c>
      <c r="AW44" s="21" t="s">
        <v>639</v>
      </c>
      <c r="AX44" s="21" t="s">
        <v>640</v>
      </c>
      <c r="AY44" s="21">
        <v>0</v>
      </c>
      <c r="AZ44" s="21">
        <v>101116.66</v>
      </c>
      <c r="BA44" s="21">
        <v>403</v>
      </c>
      <c r="BB44" s="23">
        <v>46181</v>
      </c>
      <c r="BC44" s="21" t="s">
        <v>185</v>
      </c>
      <c r="BD44" s="21" t="s">
        <v>641</v>
      </c>
      <c r="BE44" s="21" t="s">
        <v>641</v>
      </c>
      <c r="BF44" s="21">
        <v>9</v>
      </c>
      <c r="BG44" s="21">
        <v>9100.5</v>
      </c>
      <c r="BH44" s="21">
        <v>9</v>
      </c>
      <c r="BI44" s="21">
        <v>9100.5</v>
      </c>
      <c r="BJ44" s="21">
        <v>0</v>
      </c>
      <c r="BK44" s="21">
        <v>0</v>
      </c>
      <c r="BL44" s="21">
        <v>783717.86</v>
      </c>
      <c r="BM44" s="21">
        <v>612157741097</v>
      </c>
      <c r="BN44" s="23">
        <v>46239</v>
      </c>
      <c r="BO44" s="21">
        <v>634</v>
      </c>
    </row>
    <row r="45" spans="1:67" hidden="1" x14ac:dyDescent="0.25">
      <c r="A45" s="22"/>
      <c r="B45" s="21" t="s">
        <v>167</v>
      </c>
      <c r="C45" s="23">
        <v>46181</v>
      </c>
      <c r="D45" s="21" t="s">
        <v>751</v>
      </c>
      <c r="E45" s="21" t="s">
        <v>182</v>
      </c>
      <c r="F45" s="21" t="s">
        <v>183</v>
      </c>
      <c r="G45" s="21" t="s">
        <v>752</v>
      </c>
      <c r="H45" s="21">
        <v>3598</v>
      </c>
      <c r="I45" s="21">
        <v>3598</v>
      </c>
      <c r="J45" s="21" t="s">
        <v>168</v>
      </c>
      <c r="K45" s="21">
        <v>3598</v>
      </c>
      <c r="L45" s="21">
        <v>0</v>
      </c>
      <c r="M45" s="21">
        <v>3598</v>
      </c>
      <c r="N45" s="21" t="s">
        <v>662</v>
      </c>
      <c r="O45" s="21" t="s">
        <v>663</v>
      </c>
      <c r="P45" s="21" t="s">
        <v>663</v>
      </c>
      <c r="Q45" s="21" t="s">
        <v>753</v>
      </c>
      <c r="R45" s="23">
        <v>46150</v>
      </c>
      <c r="S45" s="21" t="s">
        <v>635</v>
      </c>
      <c r="T45" s="21" t="s">
        <v>636</v>
      </c>
      <c r="U45" s="21" t="s">
        <v>754</v>
      </c>
      <c r="V45" s="21">
        <v>156.49</v>
      </c>
      <c r="W45" s="21">
        <v>156.49</v>
      </c>
      <c r="X45" s="21" t="s">
        <v>753</v>
      </c>
      <c r="Y45" s="23">
        <v>46150</v>
      </c>
      <c r="Z45" s="21"/>
      <c r="AA45" s="21">
        <v>0</v>
      </c>
      <c r="AB45" s="21"/>
      <c r="AC45" s="21" t="s">
        <v>750</v>
      </c>
      <c r="AD45" s="21">
        <v>2550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 t="s">
        <v>638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/>
      <c r="AQ45" s="21">
        <v>0</v>
      </c>
      <c r="AR45" s="21">
        <v>0</v>
      </c>
      <c r="AS45" s="21">
        <v>783717.86</v>
      </c>
      <c r="AT45" s="21" t="s">
        <v>169</v>
      </c>
      <c r="AU45" s="21" t="s">
        <v>179</v>
      </c>
      <c r="AV45" s="21" t="s">
        <v>155</v>
      </c>
      <c r="AW45" s="21" t="s">
        <v>639</v>
      </c>
      <c r="AX45" s="21" t="s">
        <v>640</v>
      </c>
      <c r="AY45" s="21">
        <v>0</v>
      </c>
      <c r="AZ45" s="21">
        <v>563051.02</v>
      </c>
      <c r="BA45" s="21">
        <v>403</v>
      </c>
      <c r="BB45" s="23">
        <v>46181</v>
      </c>
      <c r="BC45" s="21" t="s">
        <v>185</v>
      </c>
      <c r="BD45" s="21" t="s">
        <v>641</v>
      </c>
      <c r="BE45" s="21" t="s">
        <v>641</v>
      </c>
      <c r="BF45" s="21">
        <v>9</v>
      </c>
      <c r="BG45" s="21">
        <v>50674.59</v>
      </c>
      <c r="BH45" s="21">
        <v>9</v>
      </c>
      <c r="BI45" s="21">
        <v>50674.59</v>
      </c>
      <c r="BJ45" s="21">
        <v>0</v>
      </c>
      <c r="BK45" s="21">
        <v>0</v>
      </c>
      <c r="BL45" s="21">
        <v>0</v>
      </c>
      <c r="BM45" s="21">
        <v>612157741097</v>
      </c>
      <c r="BN45" s="23">
        <v>46239</v>
      </c>
      <c r="BO45" s="21">
        <v>3598</v>
      </c>
    </row>
    <row r="46" spans="1:67" hidden="1" x14ac:dyDescent="0.25">
      <c r="A46" s="22"/>
      <c r="B46" s="21" t="s">
        <v>167</v>
      </c>
      <c r="C46" s="23">
        <v>46211</v>
      </c>
      <c r="D46" s="21" t="s">
        <v>755</v>
      </c>
      <c r="E46" s="21" t="s">
        <v>172</v>
      </c>
      <c r="F46" s="21" t="s">
        <v>173</v>
      </c>
      <c r="G46" s="21" t="s">
        <v>756</v>
      </c>
      <c r="H46" s="21">
        <v>325</v>
      </c>
      <c r="I46" s="21">
        <v>325</v>
      </c>
      <c r="J46" s="21" t="s">
        <v>168</v>
      </c>
      <c r="K46" s="21">
        <v>325</v>
      </c>
      <c r="L46" s="21">
        <v>0</v>
      </c>
      <c r="M46" s="21">
        <v>325</v>
      </c>
      <c r="N46" s="21" t="s">
        <v>174</v>
      </c>
      <c r="O46" s="21" t="s">
        <v>633</v>
      </c>
      <c r="P46" s="21" t="s">
        <v>633</v>
      </c>
      <c r="Q46" s="21" t="s">
        <v>757</v>
      </c>
      <c r="R46" s="23">
        <v>46181</v>
      </c>
      <c r="S46" s="21" t="s">
        <v>635</v>
      </c>
      <c r="T46" s="21" t="s">
        <v>636</v>
      </c>
      <c r="U46" s="21" t="s">
        <v>758</v>
      </c>
      <c r="V46" s="21">
        <v>176.86</v>
      </c>
      <c r="W46" s="21">
        <v>176.860000725807</v>
      </c>
      <c r="X46" s="21" t="s">
        <v>757</v>
      </c>
      <c r="Y46" s="23">
        <v>46181</v>
      </c>
      <c r="Z46" s="21"/>
      <c r="AA46" s="21">
        <v>0</v>
      </c>
      <c r="AB46" s="21"/>
      <c r="AC46" s="21">
        <v>0</v>
      </c>
      <c r="AD46" s="21">
        <v>0</v>
      </c>
      <c r="AE46" s="21">
        <v>0</v>
      </c>
      <c r="AF46" s="21">
        <v>0</v>
      </c>
      <c r="AG46" s="21">
        <v>0</v>
      </c>
      <c r="AH46" s="21">
        <v>0</v>
      </c>
      <c r="AI46" s="21">
        <v>0</v>
      </c>
      <c r="AJ46" s="21" t="s">
        <v>638</v>
      </c>
      <c r="AK46" s="21">
        <v>0</v>
      </c>
      <c r="AL46" s="21">
        <v>0</v>
      </c>
      <c r="AM46" s="21">
        <v>0</v>
      </c>
      <c r="AN46" s="21">
        <v>0</v>
      </c>
      <c r="AO46" s="21">
        <v>0</v>
      </c>
      <c r="AP46" s="21"/>
      <c r="AQ46" s="21">
        <v>0</v>
      </c>
      <c r="AR46" s="21">
        <v>0</v>
      </c>
      <c r="AS46" s="21">
        <v>487347.07</v>
      </c>
      <c r="AT46" s="21" t="s">
        <v>169</v>
      </c>
      <c r="AU46" s="21" t="s">
        <v>175</v>
      </c>
      <c r="AV46" s="21" t="s">
        <v>159</v>
      </c>
      <c r="AW46" s="21" t="s">
        <v>639</v>
      </c>
      <c r="AX46" s="21" t="s">
        <v>640</v>
      </c>
      <c r="AY46" s="21">
        <v>0</v>
      </c>
      <c r="AZ46" s="21">
        <v>57479.5</v>
      </c>
      <c r="BA46" s="21">
        <v>405</v>
      </c>
      <c r="BB46" s="23">
        <v>46181</v>
      </c>
      <c r="BC46" s="21" t="s">
        <v>176</v>
      </c>
      <c r="BD46" s="21" t="s">
        <v>641</v>
      </c>
      <c r="BE46" s="21" t="s">
        <v>641</v>
      </c>
      <c r="BF46" s="21">
        <v>9</v>
      </c>
      <c r="BG46" s="21">
        <v>5173.16</v>
      </c>
      <c r="BH46" s="21">
        <v>9</v>
      </c>
      <c r="BI46" s="21">
        <v>5173.16</v>
      </c>
      <c r="BJ46" s="21">
        <v>0</v>
      </c>
      <c r="BK46" s="21">
        <v>0</v>
      </c>
      <c r="BL46" s="21">
        <v>487347.07</v>
      </c>
      <c r="BM46" s="21">
        <v>692158393453</v>
      </c>
      <c r="BN46" s="23">
        <v>46240</v>
      </c>
      <c r="BO46" s="21">
        <v>325</v>
      </c>
    </row>
    <row r="47" spans="1:67" hidden="1" x14ac:dyDescent="0.25">
      <c r="A47" s="22"/>
      <c r="B47" s="21" t="s">
        <v>167</v>
      </c>
      <c r="C47" s="23">
        <v>46211</v>
      </c>
      <c r="D47" s="21" t="s">
        <v>755</v>
      </c>
      <c r="E47" s="21" t="s">
        <v>177</v>
      </c>
      <c r="F47" s="21" t="s">
        <v>178</v>
      </c>
      <c r="G47" s="21" t="s">
        <v>756</v>
      </c>
      <c r="H47" s="21">
        <v>1619</v>
      </c>
      <c r="I47" s="21">
        <v>1619</v>
      </c>
      <c r="J47" s="21" t="s">
        <v>168</v>
      </c>
      <c r="K47" s="21">
        <v>1619</v>
      </c>
      <c r="L47" s="21">
        <v>0</v>
      </c>
      <c r="M47" s="21">
        <v>1619</v>
      </c>
      <c r="N47" s="21" t="s">
        <v>174</v>
      </c>
      <c r="O47" s="21" t="s">
        <v>633</v>
      </c>
      <c r="P47" s="21" t="s">
        <v>633</v>
      </c>
      <c r="Q47" s="21" t="s">
        <v>757</v>
      </c>
      <c r="R47" s="23">
        <v>46181</v>
      </c>
      <c r="S47" s="21" t="s">
        <v>635</v>
      </c>
      <c r="T47" s="21" t="s">
        <v>636</v>
      </c>
      <c r="U47" s="21" t="s">
        <v>758</v>
      </c>
      <c r="V47" s="21">
        <v>149.32</v>
      </c>
      <c r="W47" s="21">
        <v>149.320000612787</v>
      </c>
      <c r="X47" s="21" t="s">
        <v>757</v>
      </c>
      <c r="Y47" s="23">
        <v>46181</v>
      </c>
      <c r="Z47" s="21"/>
      <c r="AA47" s="21">
        <v>0</v>
      </c>
      <c r="AB47" s="21"/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 t="s">
        <v>638</v>
      </c>
      <c r="AK47" s="21">
        <v>0</v>
      </c>
      <c r="AL47" s="21">
        <v>0</v>
      </c>
      <c r="AM47" s="21">
        <v>0</v>
      </c>
      <c r="AN47" s="21">
        <v>0</v>
      </c>
      <c r="AO47" s="21">
        <v>0</v>
      </c>
      <c r="AP47" s="21"/>
      <c r="AQ47" s="21">
        <v>0</v>
      </c>
      <c r="AR47" s="21">
        <v>0</v>
      </c>
      <c r="AS47" s="21">
        <v>487347.07</v>
      </c>
      <c r="AT47" s="21" t="s">
        <v>169</v>
      </c>
      <c r="AU47" s="21" t="s">
        <v>179</v>
      </c>
      <c r="AV47" s="21" t="s">
        <v>156</v>
      </c>
      <c r="AW47" s="21" t="s">
        <v>639</v>
      </c>
      <c r="AX47" s="21" t="s">
        <v>640</v>
      </c>
      <c r="AY47" s="21">
        <v>0</v>
      </c>
      <c r="AZ47" s="21">
        <v>241749.08</v>
      </c>
      <c r="BA47" s="21">
        <v>405</v>
      </c>
      <c r="BB47" s="23">
        <v>46181</v>
      </c>
      <c r="BC47" s="21" t="s">
        <v>176</v>
      </c>
      <c r="BD47" s="21" t="s">
        <v>641</v>
      </c>
      <c r="BE47" s="21" t="s">
        <v>641</v>
      </c>
      <c r="BF47" s="21">
        <v>9</v>
      </c>
      <c r="BG47" s="21">
        <v>21757.42</v>
      </c>
      <c r="BH47" s="21">
        <v>9</v>
      </c>
      <c r="BI47" s="21">
        <v>21757.42</v>
      </c>
      <c r="BJ47" s="21">
        <v>0</v>
      </c>
      <c r="BK47" s="21">
        <v>0</v>
      </c>
      <c r="BL47" s="21">
        <v>0</v>
      </c>
      <c r="BM47" s="21">
        <v>692158393453</v>
      </c>
      <c r="BN47" s="23">
        <v>46240</v>
      </c>
      <c r="BO47" s="21">
        <v>1619</v>
      </c>
    </row>
    <row r="48" spans="1:67" hidden="1" x14ac:dyDescent="0.25">
      <c r="A48" s="22"/>
      <c r="B48" s="21" t="s">
        <v>167</v>
      </c>
      <c r="C48" s="23">
        <v>46211</v>
      </c>
      <c r="D48" s="21" t="s">
        <v>755</v>
      </c>
      <c r="E48" s="21" t="s">
        <v>726</v>
      </c>
      <c r="F48" s="21" t="s">
        <v>727</v>
      </c>
      <c r="G48" s="21" t="s">
        <v>756</v>
      </c>
      <c r="H48" s="21">
        <v>26</v>
      </c>
      <c r="I48" s="21">
        <v>26</v>
      </c>
      <c r="J48" s="21" t="s">
        <v>168</v>
      </c>
      <c r="K48" s="21">
        <v>26</v>
      </c>
      <c r="L48" s="21">
        <v>0</v>
      </c>
      <c r="M48" s="21">
        <v>26</v>
      </c>
      <c r="N48" s="21" t="s">
        <v>174</v>
      </c>
      <c r="O48" s="21" t="s">
        <v>633</v>
      </c>
      <c r="P48" s="21" t="s">
        <v>633</v>
      </c>
      <c r="Q48" s="21" t="s">
        <v>757</v>
      </c>
      <c r="R48" s="23">
        <v>46181</v>
      </c>
      <c r="S48" s="21" t="s">
        <v>635</v>
      </c>
      <c r="T48" s="21" t="s">
        <v>636</v>
      </c>
      <c r="U48" s="21" t="s">
        <v>758</v>
      </c>
      <c r="V48" s="21">
        <v>158.82</v>
      </c>
      <c r="W48" s="21">
        <v>158.820000651774</v>
      </c>
      <c r="X48" s="21" t="s">
        <v>757</v>
      </c>
      <c r="Y48" s="23">
        <v>46181</v>
      </c>
      <c r="Z48" s="21"/>
      <c r="AA48" s="21">
        <v>0</v>
      </c>
      <c r="AB48" s="21"/>
      <c r="AC48" s="21">
        <v>0</v>
      </c>
      <c r="AD48" s="21">
        <v>0</v>
      </c>
      <c r="AE48" s="21">
        <v>0</v>
      </c>
      <c r="AF48" s="21">
        <v>0</v>
      </c>
      <c r="AG48" s="21">
        <v>0</v>
      </c>
      <c r="AH48" s="21">
        <v>0</v>
      </c>
      <c r="AI48" s="21">
        <v>0</v>
      </c>
      <c r="AJ48" s="21" t="s">
        <v>638</v>
      </c>
      <c r="AK48" s="21">
        <v>0</v>
      </c>
      <c r="AL48" s="21">
        <v>0</v>
      </c>
      <c r="AM48" s="21">
        <v>0</v>
      </c>
      <c r="AN48" s="21">
        <v>0</v>
      </c>
      <c r="AO48" s="21">
        <v>0</v>
      </c>
      <c r="AP48" s="21"/>
      <c r="AQ48" s="21">
        <v>0</v>
      </c>
      <c r="AR48" s="21">
        <v>0</v>
      </c>
      <c r="AS48" s="21">
        <v>487347.07</v>
      </c>
      <c r="AT48" s="21" t="s">
        <v>169</v>
      </c>
      <c r="AU48" s="21" t="s">
        <v>170</v>
      </c>
      <c r="AV48" s="21" t="s">
        <v>157</v>
      </c>
      <c r="AW48" s="21" t="s">
        <v>639</v>
      </c>
      <c r="AX48" s="21" t="s">
        <v>640</v>
      </c>
      <c r="AY48" s="21">
        <v>0</v>
      </c>
      <c r="AZ48" s="21">
        <v>4129.32</v>
      </c>
      <c r="BA48" s="21">
        <v>405</v>
      </c>
      <c r="BB48" s="23">
        <v>46181</v>
      </c>
      <c r="BC48" s="21" t="s">
        <v>176</v>
      </c>
      <c r="BD48" s="21" t="s">
        <v>641</v>
      </c>
      <c r="BE48" s="21" t="s">
        <v>641</v>
      </c>
      <c r="BF48" s="21">
        <v>2.5</v>
      </c>
      <c r="BG48" s="21">
        <v>103.23</v>
      </c>
      <c r="BH48" s="21">
        <v>2.5</v>
      </c>
      <c r="BI48" s="21">
        <v>103.23</v>
      </c>
      <c r="BJ48" s="21">
        <v>0</v>
      </c>
      <c r="BK48" s="21">
        <v>0</v>
      </c>
      <c r="BL48" s="21">
        <v>0</v>
      </c>
      <c r="BM48" s="21">
        <v>692158393453</v>
      </c>
      <c r="BN48" s="23">
        <v>46240</v>
      </c>
      <c r="BO48" s="21">
        <v>26</v>
      </c>
    </row>
    <row r="49" spans="1:67" hidden="1" x14ac:dyDescent="0.25">
      <c r="A49" s="22"/>
      <c r="B49" s="21" t="s">
        <v>167</v>
      </c>
      <c r="C49" s="23">
        <v>46211</v>
      </c>
      <c r="D49" s="21" t="s">
        <v>755</v>
      </c>
      <c r="E49" s="21" t="s">
        <v>180</v>
      </c>
      <c r="F49" s="21" t="s">
        <v>181</v>
      </c>
      <c r="G49" s="21" t="s">
        <v>756</v>
      </c>
      <c r="H49" s="21">
        <v>222.3</v>
      </c>
      <c r="I49" s="21">
        <v>222.3</v>
      </c>
      <c r="J49" s="21" t="s">
        <v>168</v>
      </c>
      <c r="K49" s="21">
        <v>222.3</v>
      </c>
      <c r="L49" s="21">
        <v>0</v>
      </c>
      <c r="M49" s="21">
        <v>222.3</v>
      </c>
      <c r="N49" s="21" t="s">
        <v>174</v>
      </c>
      <c r="O49" s="21" t="s">
        <v>633</v>
      </c>
      <c r="P49" s="21" t="s">
        <v>633</v>
      </c>
      <c r="Q49" s="21" t="s">
        <v>757</v>
      </c>
      <c r="R49" s="23">
        <v>46181</v>
      </c>
      <c r="S49" s="21" t="s">
        <v>635</v>
      </c>
      <c r="T49" s="21" t="s">
        <v>636</v>
      </c>
      <c r="U49" s="21" t="s">
        <v>758</v>
      </c>
      <c r="V49" s="21">
        <v>144.32</v>
      </c>
      <c r="W49" s="21">
        <v>144.320000592268</v>
      </c>
      <c r="X49" s="21" t="s">
        <v>757</v>
      </c>
      <c r="Y49" s="23">
        <v>46181</v>
      </c>
      <c r="Z49" s="21"/>
      <c r="AA49" s="21">
        <v>0</v>
      </c>
      <c r="AB49" s="21"/>
      <c r="AC49" s="21">
        <v>0</v>
      </c>
      <c r="AD49" s="21">
        <v>0</v>
      </c>
      <c r="AE49" s="21">
        <v>0</v>
      </c>
      <c r="AF49" s="21">
        <v>0</v>
      </c>
      <c r="AG49" s="21">
        <v>0</v>
      </c>
      <c r="AH49" s="21">
        <v>0</v>
      </c>
      <c r="AI49" s="21">
        <v>0</v>
      </c>
      <c r="AJ49" s="21" t="s">
        <v>638</v>
      </c>
      <c r="AK49" s="21">
        <v>0</v>
      </c>
      <c r="AL49" s="21">
        <v>0</v>
      </c>
      <c r="AM49" s="21">
        <v>0</v>
      </c>
      <c r="AN49" s="21">
        <v>0</v>
      </c>
      <c r="AO49" s="21">
        <v>0</v>
      </c>
      <c r="AP49" s="21"/>
      <c r="AQ49" s="21">
        <v>0</v>
      </c>
      <c r="AR49" s="21">
        <v>0</v>
      </c>
      <c r="AS49" s="21">
        <v>487347.07</v>
      </c>
      <c r="AT49" s="21" t="s">
        <v>169</v>
      </c>
      <c r="AU49" s="21" t="s">
        <v>181</v>
      </c>
      <c r="AV49" s="21" t="s">
        <v>154</v>
      </c>
      <c r="AW49" s="21" t="s">
        <v>639</v>
      </c>
      <c r="AX49" s="21" t="s">
        <v>640</v>
      </c>
      <c r="AY49" s="21">
        <v>0</v>
      </c>
      <c r="AZ49" s="21">
        <v>32082.34</v>
      </c>
      <c r="BA49" s="21">
        <v>405</v>
      </c>
      <c r="BB49" s="23">
        <v>46181</v>
      </c>
      <c r="BC49" s="21" t="s">
        <v>176</v>
      </c>
      <c r="BD49" s="21" t="s">
        <v>641</v>
      </c>
      <c r="BE49" s="21" t="s">
        <v>641</v>
      </c>
      <c r="BF49" s="21">
        <v>9</v>
      </c>
      <c r="BG49" s="21">
        <v>2887.41</v>
      </c>
      <c r="BH49" s="21">
        <v>9</v>
      </c>
      <c r="BI49" s="21">
        <v>2887.41</v>
      </c>
      <c r="BJ49" s="21">
        <v>0</v>
      </c>
      <c r="BK49" s="21">
        <v>0</v>
      </c>
      <c r="BL49" s="21">
        <v>0</v>
      </c>
      <c r="BM49" s="21">
        <v>692158393453</v>
      </c>
      <c r="BN49" s="23">
        <v>46240</v>
      </c>
      <c r="BO49" s="21">
        <v>222.3</v>
      </c>
    </row>
    <row r="50" spans="1:67" hidden="1" x14ac:dyDescent="0.25">
      <c r="A50" s="22"/>
      <c r="B50" s="21" t="s">
        <v>167</v>
      </c>
      <c r="C50" s="23">
        <v>46211</v>
      </c>
      <c r="D50" s="21" t="s">
        <v>755</v>
      </c>
      <c r="E50" s="21" t="s">
        <v>180</v>
      </c>
      <c r="F50" s="21" t="s">
        <v>181</v>
      </c>
      <c r="G50" s="21" t="s">
        <v>756</v>
      </c>
      <c r="H50" s="21">
        <v>529.6</v>
      </c>
      <c r="I50" s="21">
        <v>529.6</v>
      </c>
      <c r="J50" s="21" t="s">
        <v>168</v>
      </c>
      <c r="K50" s="21">
        <v>529.6</v>
      </c>
      <c r="L50" s="21">
        <v>0</v>
      </c>
      <c r="M50" s="21">
        <v>529.6</v>
      </c>
      <c r="N50" s="21" t="s">
        <v>174</v>
      </c>
      <c r="O50" s="21" t="s">
        <v>633</v>
      </c>
      <c r="P50" s="21" t="s">
        <v>633</v>
      </c>
      <c r="Q50" s="21" t="s">
        <v>757</v>
      </c>
      <c r="R50" s="23">
        <v>46181</v>
      </c>
      <c r="S50" s="21" t="s">
        <v>635</v>
      </c>
      <c r="T50" s="21" t="s">
        <v>636</v>
      </c>
      <c r="U50" s="21" t="s">
        <v>758</v>
      </c>
      <c r="V50" s="21">
        <v>147.32</v>
      </c>
      <c r="W50" s="21">
        <v>147.32000060457901</v>
      </c>
      <c r="X50" s="21" t="s">
        <v>757</v>
      </c>
      <c r="Y50" s="23">
        <v>46181</v>
      </c>
      <c r="Z50" s="21"/>
      <c r="AA50" s="21">
        <v>0</v>
      </c>
      <c r="AB50" s="21"/>
      <c r="AC50" s="21">
        <v>0</v>
      </c>
      <c r="AD50" s="21">
        <v>0</v>
      </c>
      <c r="AE50" s="21">
        <v>0</v>
      </c>
      <c r="AF50" s="21">
        <v>0</v>
      </c>
      <c r="AG50" s="21">
        <v>0</v>
      </c>
      <c r="AH50" s="21">
        <v>0</v>
      </c>
      <c r="AI50" s="21">
        <v>0</v>
      </c>
      <c r="AJ50" s="21" t="s">
        <v>638</v>
      </c>
      <c r="AK50" s="21">
        <v>0</v>
      </c>
      <c r="AL50" s="21">
        <v>0</v>
      </c>
      <c r="AM50" s="21">
        <v>0</v>
      </c>
      <c r="AN50" s="21">
        <v>0</v>
      </c>
      <c r="AO50" s="21">
        <v>0</v>
      </c>
      <c r="AP50" s="21"/>
      <c r="AQ50" s="21">
        <v>0</v>
      </c>
      <c r="AR50" s="21">
        <v>0</v>
      </c>
      <c r="AS50" s="21">
        <v>487347.07</v>
      </c>
      <c r="AT50" s="21" t="s">
        <v>169</v>
      </c>
      <c r="AU50" s="21" t="s">
        <v>181</v>
      </c>
      <c r="AV50" s="21" t="s">
        <v>154</v>
      </c>
      <c r="AW50" s="21" t="s">
        <v>639</v>
      </c>
      <c r="AX50" s="21" t="s">
        <v>640</v>
      </c>
      <c r="AY50" s="21">
        <v>0</v>
      </c>
      <c r="AZ50" s="21">
        <v>78020.67</v>
      </c>
      <c r="BA50" s="21">
        <v>405</v>
      </c>
      <c r="BB50" s="23">
        <v>46181</v>
      </c>
      <c r="BC50" s="21" t="s">
        <v>176</v>
      </c>
      <c r="BD50" s="21" t="s">
        <v>641</v>
      </c>
      <c r="BE50" s="21" t="s">
        <v>641</v>
      </c>
      <c r="BF50" s="21">
        <v>9</v>
      </c>
      <c r="BG50" s="21">
        <v>7021.86</v>
      </c>
      <c r="BH50" s="21">
        <v>9</v>
      </c>
      <c r="BI50" s="21">
        <v>7021.86</v>
      </c>
      <c r="BJ50" s="21">
        <v>0</v>
      </c>
      <c r="BK50" s="21">
        <v>0</v>
      </c>
      <c r="BL50" s="21">
        <v>0</v>
      </c>
      <c r="BM50" s="21">
        <v>692158393453</v>
      </c>
      <c r="BN50" s="23">
        <v>46240</v>
      </c>
      <c r="BO50" s="21">
        <v>529.6</v>
      </c>
    </row>
    <row r="51" spans="1:67" hidden="1" x14ac:dyDescent="0.25">
      <c r="A51" s="22"/>
      <c r="B51" s="21" t="s">
        <v>167</v>
      </c>
      <c r="C51" s="23">
        <v>46211</v>
      </c>
      <c r="D51" s="21" t="s">
        <v>759</v>
      </c>
      <c r="E51" s="21" t="s">
        <v>726</v>
      </c>
      <c r="F51" s="21" t="s">
        <v>727</v>
      </c>
      <c r="G51" s="21" t="s">
        <v>760</v>
      </c>
      <c r="H51" s="21">
        <v>32.6</v>
      </c>
      <c r="I51" s="21">
        <v>32.6</v>
      </c>
      <c r="J51" s="21" t="s">
        <v>168</v>
      </c>
      <c r="K51" s="21">
        <v>32.6</v>
      </c>
      <c r="L51" s="21">
        <v>0</v>
      </c>
      <c r="M51" s="21">
        <v>32.6</v>
      </c>
      <c r="N51" s="21" t="s">
        <v>174</v>
      </c>
      <c r="O51" s="21" t="s">
        <v>633</v>
      </c>
      <c r="P51" s="21" t="s">
        <v>633</v>
      </c>
      <c r="Q51" s="21" t="s">
        <v>761</v>
      </c>
      <c r="R51" s="23">
        <v>46211</v>
      </c>
      <c r="S51" s="21" t="s">
        <v>635</v>
      </c>
      <c r="T51" s="21" t="s">
        <v>636</v>
      </c>
      <c r="U51" s="21" t="s">
        <v>762</v>
      </c>
      <c r="V51" s="21">
        <v>158.82</v>
      </c>
      <c r="W51" s="21">
        <v>158.82</v>
      </c>
      <c r="X51" s="21" t="s">
        <v>761</v>
      </c>
      <c r="Y51" s="23">
        <v>46211</v>
      </c>
      <c r="Z51" s="21"/>
      <c r="AA51" s="21">
        <v>0</v>
      </c>
      <c r="AB51" s="21"/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 t="s">
        <v>638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/>
      <c r="AQ51" s="21">
        <v>0</v>
      </c>
      <c r="AR51" s="21">
        <v>0</v>
      </c>
      <c r="AS51" s="21">
        <v>1167014.02</v>
      </c>
      <c r="AT51" s="21" t="s">
        <v>169</v>
      </c>
      <c r="AU51" s="21" t="s">
        <v>170</v>
      </c>
      <c r="AV51" s="21" t="s">
        <v>157</v>
      </c>
      <c r="AW51" s="21" t="s">
        <v>639</v>
      </c>
      <c r="AX51" s="21" t="s">
        <v>640</v>
      </c>
      <c r="AY51" s="21">
        <v>0</v>
      </c>
      <c r="AZ51" s="21">
        <v>5177.53</v>
      </c>
      <c r="BA51" s="21">
        <v>406</v>
      </c>
      <c r="BB51" s="23">
        <v>46211</v>
      </c>
      <c r="BC51" s="21" t="s">
        <v>176</v>
      </c>
      <c r="BD51" s="21" t="s">
        <v>641</v>
      </c>
      <c r="BE51" s="21" t="s">
        <v>641</v>
      </c>
      <c r="BF51" s="21">
        <v>2.5</v>
      </c>
      <c r="BG51" s="21">
        <v>129.44</v>
      </c>
      <c r="BH51" s="21">
        <v>2.5</v>
      </c>
      <c r="BI51" s="21">
        <v>129.44</v>
      </c>
      <c r="BJ51" s="21">
        <v>0</v>
      </c>
      <c r="BK51" s="21">
        <v>0</v>
      </c>
      <c r="BL51" s="21">
        <v>1167014.02</v>
      </c>
      <c r="BM51" s="21">
        <v>662158883942</v>
      </c>
      <c r="BN51" s="23">
        <v>46241</v>
      </c>
      <c r="BO51" s="21">
        <v>32.6</v>
      </c>
    </row>
    <row r="52" spans="1:67" hidden="1" x14ac:dyDescent="0.25">
      <c r="A52" s="22"/>
      <c r="B52" s="21" t="s">
        <v>167</v>
      </c>
      <c r="C52" s="23">
        <v>46211</v>
      </c>
      <c r="D52" s="21" t="s">
        <v>759</v>
      </c>
      <c r="E52" s="21" t="s">
        <v>177</v>
      </c>
      <c r="F52" s="21" t="s">
        <v>178</v>
      </c>
      <c r="G52" s="21" t="s">
        <v>760</v>
      </c>
      <c r="H52" s="21">
        <v>4875</v>
      </c>
      <c r="I52" s="21">
        <v>4875</v>
      </c>
      <c r="J52" s="21" t="s">
        <v>168</v>
      </c>
      <c r="K52" s="21">
        <v>4875</v>
      </c>
      <c r="L52" s="21">
        <v>0</v>
      </c>
      <c r="M52" s="21">
        <v>4875</v>
      </c>
      <c r="N52" s="21" t="s">
        <v>174</v>
      </c>
      <c r="O52" s="21" t="s">
        <v>633</v>
      </c>
      <c r="P52" s="21" t="s">
        <v>633</v>
      </c>
      <c r="Q52" s="21" t="s">
        <v>761</v>
      </c>
      <c r="R52" s="23">
        <v>46211</v>
      </c>
      <c r="S52" s="21" t="s">
        <v>635</v>
      </c>
      <c r="T52" s="21" t="s">
        <v>636</v>
      </c>
      <c r="U52" s="21" t="s">
        <v>762</v>
      </c>
      <c r="V52" s="21">
        <v>149.32</v>
      </c>
      <c r="W52" s="21">
        <v>149.32</v>
      </c>
      <c r="X52" s="21" t="s">
        <v>761</v>
      </c>
      <c r="Y52" s="23">
        <v>46211</v>
      </c>
      <c r="Z52" s="21"/>
      <c r="AA52" s="21">
        <v>0</v>
      </c>
      <c r="AB52" s="21"/>
      <c r="AC52" s="21">
        <v>0</v>
      </c>
      <c r="AD52" s="21">
        <v>0</v>
      </c>
      <c r="AE52" s="21">
        <v>0</v>
      </c>
      <c r="AF52" s="21">
        <v>0</v>
      </c>
      <c r="AG52" s="21">
        <v>0</v>
      </c>
      <c r="AH52" s="21">
        <v>0</v>
      </c>
      <c r="AI52" s="21">
        <v>0</v>
      </c>
      <c r="AJ52" s="21" t="s">
        <v>638</v>
      </c>
      <c r="AK52" s="21">
        <v>0</v>
      </c>
      <c r="AL52" s="21">
        <v>0</v>
      </c>
      <c r="AM52" s="21">
        <v>0</v>
      </c>
      <c r="AN52" s="21">
        <v>0</v>
      </c>
      <c r="AO52" s="21">
        <v>0</v>
      </c>
      <c r="AP52" s="21"/>
      <c r="AQ52" s="21">
        <v>0</v>
      </c>
      <c r="AR52" s="21">
        <v>0</v>
      </c>
      <c r="AS52" s="21">
        <v>1167014.02</v>
      </c>
      <c r="AT52" s="21" t="s">
        <v>169</v>
      </c>
      <c r="AU52" s="21" t="s">
        <v>179</v>
      </c>
      <c r="AV52" s="21" t="s">
        <v>156</v>
      </c>
      <c r="AW52" s="21" t="s">
        <v>639</v>
      </c>
      <c r="AX52" s="21" t="s">
        <v>640</v>
      </c>
      <c r="AY52" s="21">
        <v>0</v>
      </c>
      <c r="AZ52" s="21">
        <v>727935</v>
      </c>
      <c r="BA52" s="21">
        <v>406</v>
      </c>
      <c r="BB52" s="23">
        <v>46211</v>
      </c>
      <c r="BC52" s="21" t="s">
        <v>176</v>
      </c>
      <c r="BD52" s="21" t="s">
        <v>641</v>
      </c>
      <c r="BE52" s="21" t="s">
        <v>641</v>
      </c>
      <c r="BF52" s="21">
        <v>9</v>
      </c>
      <c r="BG52" s="21">
        <v>65514.15</v>
      </c>
      <c r="BH52" s="21">
        <v>9</v>
      </c>
      <c r="BI52" s="21">
        <v>65514.15</v>
      </c>
      <c r="BJ52" s="21">
        <v>0</v>
      </c>
      <c r="BK52" s="21">
        <v>0</v>
      </c>
      <c r="BL52" s="21">
        <v>0</v>
      </c>
      <c r="BM52" s="21">
        <v>662158883942</v>
      </c>
      <c r="BN52" s="23">
        <v>46241</v>
      </c>
      <c r="BO52" s="21">
        <v>4875</v>
      </c>
    </row>
    <row r="53" spans="1:67" hidden="1" x14ac:dyDescent="0.25">
      <c r="A53" s="22"/>
      <c r="B53" s="21" t="s">
        <v>167</v>
      </c>
      <c r="C53" s="23">
        <v>46211</v>
      </c>
      <c r="D53" s="21" t="s">
        <v>759</v>
      </c>
      <c r="E53" s="21" t="s">
        <v>180</v>
      </c>
      <c r="F53" s="21" t="s">
        <v>181</v>
      </c>
      <c r="G53" s="21" t="s">
        <v>760</v>
      </c>
      <c r="H53" s="21">
        <v>845.4</v>
      </c>
      <c r="I53" s="21">
        <v>845.4</v>
      </c>
      <c r="J53" s="21" t="s">
        <v>168</v>
      </c>
      <c r="K53" s="21">
        <v>845.4</v>
      </c>
      <c r="L53" s="21">
        <v>0</v>
      </c>
      <c r="M53" s="21">
        <v>845.4</v>
      </c>
      <c r="N53" s="21" t="s">
        <v>174</v>
      </c>
      <c r="O53" s="21" t="s">
        <v>633</v>
      </c>
      <c r="P53" s="21" t="s">
        <v>633</v>
      </c>
      <c r="Q53" s="21" t="s">
        <v>761</v>
      </c>
      <c r="R53" s="23">
        <v>46211</v>
      </c>
      <c r="S53" s="21" t="s">
        <v>635</v>
      </c>
      <c r="T53" s="21" t="s">
        <v>636</v>
      </c>
      <c r="U53" s="21" t="s">
        <v>762</v>
      </c>
      <c r="V53" s="21">
        <v>147.32</v>
      </c>
      <c r="W53" s="21">
        <v>147.32</v>
      </c>
      <c r="X53" s="21" t="s">
        <v>761</v>
      </c>
      <c r="Y53" s="23">
        <v>46211</v>
      </c>
      <c r="Z53" s="21"/>
      <c r="AA53" s="21">
        <v>0</v>
      </c>
      <c r="AB53" s="21"/>
      <c r="AC53" s="21">
        <v>0</v>
      </c>
      <c r="AD53" s="21">
        <v>0</v>
      </c>
      <c r="AE53" s="21">
        <v>0</v>
      </c>
      <c r="AF53" s="21">
        <v>0</v>
      </c>
      <c r="AG53" s="21">
        <v>0</v>
      </c>
      <c r="AH53" s="21">
        <v>0</v>
      </c>
      <c r="AI53" s="21">
        <v>0</v>
      </c>
      <c r="AJ53" s="21" t="s">
        <v>638</v>
      </c>
      <c r="AK53" s="21">
        <v>0</v>
      </c>
      <c r="AL53" s="21">
        <v>0</v>
      </c>
      <c r="AM53" s="21">
        <v>0</v>
      </c>
      <c r="AN53" s="21">
        <v>0</v>
      </c>
      <c r="AO53" s="21">
        <v>0</v>
      </c>
      <c r="AP53" s="21"/>
      <c r="AQ53" s="21">
        <v>0</v>
      </c>
      <c r="AR53" s="21">
        <v>0</v>
      </c>
      <c r="AS53" s="21">
        <v>1167014.02</v>
      </c>
      <c r="AT53" s="21" t="s">
        <v>169</v>
      </c>
      <c r="AU53" s="21" t="s">
        <v>181</v>
      </c>
      <c r="AV53" s="21" t="s">
        <v>154</v>
      </c>
      <c r="AW53" s="21" t="s">
        <v>639</v>
      </c>
      <c r="AX53" s="21" t="s">
        <v>640</v>
      </c>
      <c r="AY53" s="21">
        <v>0</v>
      </c>
      <c r="AZ53" s="21">
        <v>124544.33</v>
      </c>
      <c r="BA53" s="21">
        <v>406</v>
      </c>
      <c r="BB53" s="23">
        <v>46211</v>
      </c>
      <c r="BC53" s="21" t="s">
        <v>176</v>
      </c>
      <c r="BD53" s="21" t="s">
        <v>641</v>
      </c>
      <c r="BE53" s="21" t="s">
        <v>641</v>
      </c>
      <c r="BF53" s="21">
        <v>9</v>
      </c>
      <c r="BG53" s="21">
        <v>11208.99</v>
      </c>
      <c r="BH53" s="21">
        <v>9</v>
      </c>
      <c r="BI53" s="21">
        <v>11208.99</v>
      </c>
      <c r="BJ53" s="21">
        <v>0</v>
      </c>
      <c r="BK53" s="21">
        <v>0</v>
      </c>
      <c r="BL53" s="21">
        <v>0</v>
      </c>
      <c r="BM53" s="21">
        <v>662158883942</v>
      </c>
      <c r="BN53" s="23">
        <v>46241</v>
      </c>
      <c r="BO53" s="21">
        <v>845.4</v>
      </c>
    </row>
    <row r="54" spans="1:67" hidden="1" x14ac:dyDescent="0.25">
      <c r="A54" s="22"/>
      <c r="B54" s="21" t="s">
        <v>167</v>
      </c>
      <c r="C54" s="23">
        <v>46211</v>
      </c>
      <c r="D54" s="21" t="s">
        <v>759</v>
      </c>
      <c r="E54" s="21" t="s">
        <v>180</v>
      </c>
      <c r="F54" s="21" t="s">
        <v>181</v>
      </c>
      <c r="G54" s="21" t="s">
        <v>760</v>
      </c>
      <c r="H54" s="21">
        <v>914</v>
      </c>
      <c r="I54" s="21">
        <v>914</v>
      </c>
      <c r="J54" s="21" t="s">
        <v>168</v>
      </c>
      <c r="K54" s="21">
        <v>914</v>
      </c>
      <c r="L54" s="21">
        <v>0</v>
      </c>
      <c r="M54" s="21">
        <v>914</v>
      </c>
      <c r="N54" s="21" t="s">
        <v>174</v>
      </c>
      <c r="O54" s="21" t="s">
        <v>633</v>
      </c>
      <c r="P54" s="21" t="s">
        <v>633</v>
      </c>
      <c r="Q54" s="21" t="s">
        <v>761</v>
      </c>
      <c r="R54" s="23">
        <v>46211</v>
      </c>
      <c r="S54" s="21" t="s">
        <v>635</v>
      </c>
      <c r="T54" s="21" t="s">
        <v>636</v>
      </c>
      <c r="U54" s="21" t="s">
        <v>762</v>
      </c>
      <c r="V54" s="21">
        <v>144.32</v>
      </c>
      <c r="W54" s="21">
        <v>144.32</v>
      </c>
      <c r="X54" s="21" t="s">
        <v>761</v>
      </c>
      <c r="Y54" s="23">
        <v>46211</v>
      </c>
      <c r="Z54" s="21"/>
      <c r="AA54" s="21">
        <v>0</v>
      </c>
      <c r="AB54" s="21"/>
      <c r="AC54" s="21">
        <v>0</v>
      </c>
      <c r="AD54" s="21">
        <v>0</v>
      </c>
      <c r="AE54" s="21">
        <v>0</v>
      </c>
      <c r="AF54" s="21">
        <v>0</v>
      </c>
      <c r="AG54" s="21">
        <v>0</v>
      </c>
      <c r="AH54" s="21">
        <v>0</v>
      </c>
      <c r="AI54" s="21">
        <v>0</v>
      </c>
      <c r="AJ54" s="21" t="s">
        <v>638</v>
      </c>
      <c r="AK54" s="21">
        <v>0</v>
      </c>
      <c r="AL54" s="21">
        <v>0</v>
      </c>
      <c r="AM54" s="21">
        <v>0</v>
      </c>
      <c r="AN54" s="21">
        <v>0</v>
      </c>
      <c r="AO54" s="21">
        <v>0</v>
      </c>
      <c r="AP54" s="21"/>
      <c r="AQ54" s="21">
        <v>0</v>
      </c>
      <c r="AR54" s="21">
        <v>0</v>
      </c>
      <c r="AS54" s="21">
        <v>1167014.02</v>
      </c>
      <c r="AT54" s="21" t="s">
        <v>169</v>
      </c>
      <c r="AU54" s="21" t="s">
        <v>181</v>
      </c>
      <c r="AV54" s="21" t="s">
        <v>154</v>
      </c>
      <c r="AW54" s="21" t="s">
        <v>639</v>
      </c>
      <c r="AX54" s="21" t="s">
        <v>640</v>
      </c>
      <c r="AY54" s="21">
        <v>0</v>
      </c>
      <c r="AZ54" s="21">
        <v>131908.48000000001</v>
      </c>
      <c r="BA54" s="21">
        <v>406</v>
      </c>
      <c r="BB54" s="23">
        <v>46211</v>
      </c>
      <c r="BC54" s="21" t="s">
        <v>176</v>
      </c>
      <c r="BD54" s="21" t="s">
        <v>641</v>
      </c>
      <c r="BE54" s="21" t="s">
        <v>641</v>
      </c>
      <c r="BF54" s="21">
        <v>9</v>
      </c>
      <c r="BG54" s="21">
        <v>11871.76</v>
      </c>
      <c r="BH54" s="21">
        <v>9</v>
      </c>
      <c r="BI54" s="21">
        <v>11871.76</v>
      </c>
      <c r="BJ54" s="21">
        <v>0</v>
      </c>
      <c r="BK54" s="21">
        <v>0</v>
      </c>
      <c r="BL54" s="21">
        <v>0</v>
      </c>
      <c r="BM54" s="21">
        <v>662158883942</v>
      </c>
      <c r="BN54" s="23">
        <v>46241</v>
      </c>
      <c r="BO54" s="21">
        <v>914</v>
      </c>
    </row>
    <row r="55" spans="1:67" hidden="1" x14ac:dyDescent="0.25">
      <c r="A55" s="22"/>
      <c r="B55" s="21" t="s">
        <v>167</v>
      </c>
      <c r="C55" s="23">
        <v>46242</v>
      </c>
      <c r="D55" s="21" t="s">
        <v>763</v>
      </c>
      <c r="E55" s="21" t="s">
        <v>273</v>
      </c>
      <c r="F55" s="21" t="s">
        <v>274</v>
      </c>
      <c r="G55" s="21" t="s">
        <v>764</v>
      </c>
      <c r="H55" s="21">
        <v>5267.57</v>
      </c>
      <c r="I55" s="21">
        <v>5267.57</v>
      </c>
      <c r="J55" s="21" t="s">
        <v>168</v>
      </c>
      <c r="K55" s="21">
        <v>5267.57</v>
      </c>
      <c r="L55" s="21">
        <v>0</v>
      </c>
      <c r="M55" s="21">
        <v>5267.57</v>
      </c>
      <c r="N55" s="21" t="s">
        <v>765</v>
      </c>
      <c r="O55" s="21" t="s">
        <v>656</v>
      </c>
      <c r="P55" s="21" t="s">
        <v>656</v>
      </c>
      <c r="Q55" s="21" t="s">
        <v>766</v>
      </c>
      <c r="R55" s="23">
        <v>46242</v>
      </c>
      <c r="S55" s="21" t="s">
        <v>635</v>
      </c>
      <c r="T55" s="21" t="s">
        <v>636</v>
      </c>
      <c r="U55" s="21" t="s">
        <v>767</v>
      </c>
      <c r="V55" s="21">
        <v>136.34</v>
      </c>
      <c r="W55" s="21">
        <v>136.33999931295699</v>
      </c>
      <c r="X55" s="21" t="s">
        <v>766</v>
      </c>
      <c r="Y55" s="23">
        <v>46242</v>
      </c>
      <c r="Z55" s="21"/>
      <c r="AA55" s="21">
        <v>0</v>
      </c>
      <c r="AB55" s="21"/>
      <c r="AC55" s="21">
        <v>0</v>
      </c>
      <c r="AD55" s="21">
        <v>0</v>
      </c>
      <c r="AE55" s="21">
        <v>0</v>
      </c>
      <c r="AF55" s="21">
        <v>0</v>
      </c>
      <c r="AG55" s="21">
        <v>0</v>
      </c>
      <c r="AH55" s="21">
        <v>0</v>
      </c>
      <c r="AI55" s="21">
        <v>0</v>
      </c>
      <c r="AJ55" s="21" t="s">
        <v>638</v>
      </c>
      <c r="AK55" s="21">
        <v>0</v>
      </c>
      <c r="AL55" s="21">
        <v>0</v>
      </c>
      <c r="AM55" s="21">
        <v>0</v>
      </c>
      <c r="AN55" s="21">
        <v>0</v>
      </c>
      <c r="AO55" s="21">
        <v>0</v>
      </c>
      <c r="AP55" s="21"/>
      <c r="AQ55" s="21">
        <v>0</v>
      </c>
      <c r="AR55" s="21">
        <v>0</v>
      </c>
      <c r="AS55" s="21">
        <v>754089.51</v>
      </c>
      <c r="AT55" s="21" t="s">
        <v>169</v>
      </c>
      <c r="AU55" s="21" t="s">
        <v>170</v>
      </c>
      <c r="AV55" s="21" t="s">
        <v>157</v>
      </c>
      <c r="AW55" s="21" t="s">
        <v>639</v>
      </c>
      <c r="AX55" s="21" t="s">
        <v>640</v>
      </c>
      <c r="AY55" s="21">
        <v>0</v>
      </c>
      <c r="AZ55" s="21">
        <v>718180.49</v>
      </c>
      <c r="BA55" s="21">
        <v>412</v>
      </c>
      <c r="BB55" s="23">
        <v>46242</v>
      </c>
      <c r="BC55" s="21" t="s">
        <v>176</v>
      </c>
      <c r="BD55" s="21" t="s">
        <v>641</v>
      </c>
      <c r="BE55" s="21" t="s">
        <v>641</v>
      </c>
      <c r="BF55" s="21">
        <v>2.5</v>
      </c>
      <c r="BG55" s="21">
        <v>17954.509999999998</v>
      </c>
      <c r="BH55" s="21">
        <v>2.5</v>
      </c>
      <c r="BI55" s="21">
        <v>17954.509999999998</v>
      </c>
      <c r="BJ55" s="21">
        <v>0</v>
      </c>
      <c r="BK55" s="21">
        <v>0</v>
      </c>
      <c r="BL55" s="21">
        <v>754089.51</v>
      </c>
      <c r="BM55" s="21">
        <v>0</v>
      </c>
      <c r="BN55" s="23">
        <v>46242</v>
      </c>
      <c r="BO55" s="21">
        <v>5267.57</v>
      </c>
    </row>
    <row r="56" spans="1:67" hidden="1" x14ac:dyDescent="0.25">
      <c r="A56" s="22"/>
      <c r="B56" s="21" t="s">
        <v>167</v>
      </c>
      <c r="C56" s="23">
        <v>46242</v>
      </c>
      <c r="D56" s="21" t="s">
        <v>768</v>
      </c>
      <c r="E56" s="21" t="s">
        <v>180</v>
      </c>
      <c r="F56" s="21" t="s">
        <v>181</v>
      </c>
      <c r="G56" s="21" t="s">
        <v>769</v>
      </c>
      <c r="H56" s="21">
        <v>206.6</v>
      </c>
      <c r="I56" s="21">
        <v>206.6</v>
      </c>
      <c r="J56" s="21" t="s">
        <v>168</v>
      </c>
      <c r="K56" s="21">
        <v>206.6</v>
      </c>
      <c r="L56" s="21">
        <v>0</v>
      </c>
      <c r="M56" s="21">
        <v>206.6</v>
      </c>
      <c r="N56" s="21" t="s">
        <v>275</v>
      </c>
      <c r="O56" s="21" t="s">
        <v>633</v>
      </c>
      <c r="P56" s="21" t="s">
        <v>633</v>
      </c>
      <c r="Q56" s="21" t="s">
        <v>770</v>
      </c>
      <c r="R56" s="23">
        <v>46242</v>
      </c>
      <c r="S56" s="21" t="s">
        <v>635</v>
      </c>
      <c r="T56" s="21" t="s">
        <v>636</v>
      </c>
      <c r="U56" s="21" t="s">
        <v>771</v>
      </c>
      <c r="V56" s="21">
        <v>165.32</v>
      </c>
      <c r="W56" s="21">
        <v>165.319997076514</v>
      </c>
      <c r="X56" s="21" t="s">
        <v>770</v>
      </c>
      <c r="Y56" s="23">
        <v>46242</v>
      </c>
      <c r="Z56" s="21"/>
      <c r="AA56" s="21">
        <v>0</v>
      </c>
      <c r="AB56" s="21"/>
      <c r="AC56" s="21">
        <v>0</v>
      </c>
      <c r="AD56" s="21">
        <v>0</v>
      </c>
      <c r="AE56" s="21">
        <v>0</v>
      </c>
      <c r="AF56" s="21">
        <v>0</v>
      </c>
      <c r="AG56" s="21">
        <v>0</v>
      </c>
      <c r="AH56" s="21">
        <v>0</v>
      </c>
      <c r="AI56" s="21">
        <v>0</v>
      </c>
      <c r="AJ56" s="21" t="s">
        <v>638</v>
      </c>
      <c r="AK56" s="21">
        <v>0</v>
      </c>
      <c r="AL56" s="21">
        <v>0</v>
      </c>
      <c r="AM56" s="21">
        <v>0</v>
      </c>
      <c r="AN56" s="21">
        <v>0</v>
      </c>
      <c r="AO56" s="21">
        <v>0</v>
      </c>
      <c r="AP56" s="21"/>
      <c r="AQ56" s="21">
        <v>0</v>
      </c>
      <c r="AR56" s="21">
        <v>0</v>
      </c>
      <c r="AS56" s="21">
        <v>226195.68</v>
      </c>
      <c r="AT56" s="21" t="s">
        <v>169</v>
      </c>
      <c r="AU56" s="21" t="s">
        <v>181</v>
      </c>
      <c r="AV56" s="21" t="s">
        <v>154</v>
      </c>
      <c r="AW56" s="21" t="s">
        <v>639</v>
      </c>
      <c r="AX56" s="21" t="s">
        <v>640</v>
      </c>
      <c r="AY56" s="21">
        <v>0</v>
      </c>
      <c r="AZ56" s="21">
        <v>34155.11</v>
      </c>
      <c r="BA56" s="21">
        <v>409</v>
      </c>
      <c r="BB56" s="23">
        <v>46242</v>
      </c>
      <c r="BC56" s="21" t="s">
        <v>176</v>
      </c>
      <c r="BD56" s="21" t="s">
        <v>641</v>
      </c>
      <c r="BE56" s="21" t="s">
        <v>641</v>
      </c>
      <c r="BF56" s="21">
        <v>9</v>
      </c>
      <c r="BG56" s="21">
        <v>3073.96</v>
      </c>
      <c r="BH56" s="21">
        <v>9</v>
      </c>
      <c r="BI56" s="21">
        <v>3073.96</v>
      </c>
      <c r="BJ56" s="21">
        <v>0</v>
      </c>
      <c r="BK56" s="21">
        <v>0</v>
      </c>
      <c r="BL56" s="21">
        <v>226195.68</v>
      </c>
      <c r="BM56" s="21">
        <v>682159447024</v>
      </c>
      <c r="BN56" s="23">
        <v>46242</v>
      </c>
      <c r="BO56" s="21">
        <v>206.6</v>
      </c>
    </row>
    <row r="57" spans="1:67" hidden="1" x14ac:dyDescent="0.25">
      <c r="A57" s="22"/>
      <c r="B57" s="21" t="s">
        <v>167</v>
      </c>
      <c r="C57" s="23">
        <v>46242</v>
      </c>
      <c r="D57" s="21" t="s">
        <v>768</v>
      </c>
      <c r="E57" s="21" t="s">
        <v>180</v>
      </c>
      <c r="F57" s="21" t="s">
        <v>181</v>
      </c>
      <c r="G57" s="21" t="s">
        <v>769</v>
      </c>
      <c r="H57" s="21">
        <v>773.6</v>
      </c>
      <c r="I57" s="21">
        <v>773.6</v>
      </c>
      <c r="J57" s="21" t="s">
        <v>168</v>
      </c>
      <c r="K57" s="21">
        <v>773.6</v>
      </c>
      <c r="L57" s="21">
        <v>0</v>
      </c>
      <c r="M57" s="21">
        <v>773.6</v>
      </c>
      <c r="N57" s="21" t="s">
        <v>275</v>
      </c>
      <c r="O57" s="21" t="s">
        <v>633</v>
      </c>
      <c r="P57" s="21" t="s">
        <v>633</v>
      </c>
      <c r="Q57" s="21" t="s">
        <v>770</v>
      </c>
      <c r="R57" s="23">
        <v>46242</v>
      </c>
      <c r="S57" s="21" t="s">
        <v>635</v>
      </c>
      <c r="T57" s="21" t="s">
        <v>636</v>
      </c>
      <c r="U57" s="21" t="s">
        <v>771</v>
      </c>
      <c r="V57" s="21">
        <v>144.32</v>
      </c>
      <c r="W57" s="21">
        <v>144.31999744787299</v>
      </c>
      <c r="X57" s="21" t="s">
        <v>770</v>
      </c>
      <c r="Y57" s="23">
        <v>46242</v>
      </c>
      <c r="Z57" s="21"/>
      <c r="AA57" s="21">
        <v>0</v>
      </c>
      <c r="AB57" s="21"/>
      <c r="AC57" s="21">
        <v>0</v>
      </c>
      <c r="AD57" s="21">
        <v>0</v>
      </c>
      <c r="AE57" s="21">
        <v>0</v>
      </c>
      <c r="AF57" s="21">
        <v>0</v>
      </c>
      <c r="AG57" s="21">
        <v>0</v>
      </c>
      <c r="AH57" s="21">
        <v>0</v>
      </c>
      <c r="AI57" s="21">
        <v>0</v>
      </c>
      <c r="AJ57" s="21" t="s">
        <v>638</v>
      </c>
      <c r="AK57" s="21">
        <v>0</v>
      </c>
      <c r="AL57" s="21">
        <v>0</v>
      </c>
      <c r="AM57" s="21">
        <v>0</v>
      </c>
      <c r="AN57" s="21">
        <v>0</v>
      </c>
      <c r="AO57" s="21">
        <v>0</v>
      </c>
      <c r="AP57" s="21"/>
      <c r="AQ57" s="21">
        <v>0</v>
      </c>
      <c r="AR57" s="21">
        <v>0</v>
      </c>
      <c r="AS57" s="21">
        <v>226195.68</v>
      </c>
      <c r="AT57" s="21" t="s">
        <v>169</v>
      </c>
      <c r="AU57" s="21" t="s">
        <v>181</v>
      </c>
      <c r="AV57" s="21" t="s">
        <v>154</v>
      </c>
      <c r="AW57" s="21" t="s">
        <v>639</v>
      </c>
      <c r="AX57" s="21" t="s">
        <v>640</v>
      </c>
      <c r="AY57" s="21">
        <v>0</v>
      </c>
      <c r="AZ57" s="21">
        <v>111645.95</v>
      </c>
      <c r="BA57" s="21">
        <v>409</v>
      </c>
      <c r="BB57" s="23">
        <v>46242</v>
      </c>
      <c r="BC57" s="21" t="s">
        <v>176</v>
      </c>
      <c r="BD57" s="21" t="s">
        <v>641</v>
      </c>
      <c r="BE57" s="21" t="s">
        <v>641</v>
      </c>
      <c r="BF57" s="21">
        <v>9</v>
      </c>
      <c r="BG57" s="21">
        <v>10048.14</v>
      </c>
      <c r="BH57" s="21">
        <v>9</v>
      </c>
      <c r="BI57" s="21">
        <v>10048.14</v>
      </c>
      <c r="BJ57" s="21">
        <v>0</v>
      </c>
      <c r="BK57" s="21">
        <v>0</v>
      </c>
      <c r="BL57" s="21">
        <v>0</v>
      </c>
      <c r="BM57" s="21">
        <v>682159447024</v>
      </c>
      <c r="BN57" s="23">
        <v>46242</v>
      </c>
      <c r="BO57" s="21">
        <v>773.6</v>
      </c>
    </row>
    <row r="58" spans="1:67" hidden="1" x14ac:dyDescent="0.25">
      <c r="A58" s="22"/>
      <c r="B58" s="21" t="s">
        <v>167</v>
      </c>
      <c r="C58" s="23">
        <v>46242</v>
      </c>
      <c r="D58" s="21" t="s">
        <v>768</v>
      </c>
      <c r="E58" s="21" t="s">
        <v>180</v>
      </c>
      <c r="F58" s="21" t="s">
        <v>181</v>
      </c>
      <c r="G58" s="21" t="s">
        <v>769</v>
      </c>
      <c r="H58" s="21">
        <v>311.5</v>
      </c>
      <c r="I58" s="21">
        <v>311.5</v>
      </c>
      <c r="J58" s="21" t="s">
        <v>168</v>
      </c>
      <c r="K58" s="21">
        <v>311.5</v>
      </c>
      <c r="L58" s="21">
        <v>0</v>
      </c>
      <c r="M58" s="21">
        <v>311.5</v>
      </c>
      <c r="N58" s="21" t="s">
        <v>275</v>
      </c>
      <c r="O58" s="21" t="s">
        <v>633</v>
      </c>
      <c r="P58" s="21" t="s">
        <v>633</v>
      </c>
      <c r="Q58" s="21" t="s">
        <v>770</v>
      </c>
      <c r="R58" s="23">
        <v>46242</v>
      </c>
      <c r="S58" s="21" t="s">
        <v>635</v>
      </c>
      <c r="T58" s="21" t="s">
        <v>636</v>
      </c>
      <c r="U58" s="21" t="s">
        <v>771</v>
      </c>
      <c r="V58" s="21">
        <v>147.32</v>
      </c>
      <c r="W58" s="21">
        <v>147.319997394822</v>
      </c>
      <c r="X58" s="21" t="s">
        <v>770</v>
      </c>
      <c r="Y58" s="23">
        <v>46242</v>
      </c>
      <c r="Z58" s="21"/>
      <c r="AA58" s="21">
        <v>0</v>
      </c>
      <c r="AB58" s="21"/>
      <c r="AC58" s="21">
        <v>0</v>
      </c>
      <c r="AD58" s="21">
        <v>0</v>
      </c>
      <c r="AE58" s="21">
        <v>0</v>
      </c>
      <c r="AF58" s="21">
        <v>0</v>
      </c>
      <c r="AG58" s="21">
        <v>0</v>
      </c>
      <c r="AH58" s="21">
        <v>0</v>
      </c>
      <c r="AI58" s="21">
        <v>0</v>
      </c>
      <c r="AJ58" s="21" t="s">
        <v>638</v>
      </c>
      <c r="AK58" s="21">
        <v>0</v>
      </c>
      <c r="AL58" s="21">
        <v>0</v>
      </c>
      <c r="AM58" s="21">
        <v>0</v>
      </c>
      <c r="AN58" s="21">
        <v>0</v>
      </c>
      <c r="AO58" s="21">
        <v>0</v>
      </c>
      <c r="AP58" s="21"/>
      <c r="AQ58" s="21">
        <v>0</v>
      </c>
      <c r="AR58" s="21">
        <v>0</v>
      </c>
      <c r="AS58" s="21">
        <v>226195.68</v>
      </c>
      <c r="AT58" s="21" t="s">
        <v>169</v>
      </c>
      <c r="AU58" s="21" t="s">
        <v>181</v>
      </c>
      <c r="AV58" s="21" t="s">
        <v>154</v>
      </c>
      <c r="AW58" s="21" t="s">
        <v>639</v>
      </c>
      <c r="AX58" s="21" t="s">
        <v>640</v>
      </c>
      <c r="AY58" s="21">
        <v>0</v>
      </c>
      <c r="AZ58" s="21">
        <v>45890.18</v>
      </c>
      <c r="BA58" s="21">
        <v>409</v>
      </c>
      <c r="BB58" s="23">
        <v>46242</v>
      </c>
      <c r="BC58" s="21" t="s">
        <v>176</v>
      </c>
      <c r="BD58" s="21" t="s">
        <v>641</v>
      </c>
      <c r="BE58" s="21" t="s">
        <v>641</v>
      </c>
      <c r="BF58" s="21">
        <v>9</v>
      </c>
      <c r="BG58" s="21">
        <v>4130.12</v>
      </c>
      <c r="BH58" s="21">
        <v>9</v>
      </c>
      <c r="BI58" s="21">
        <v>4130.12</v>
      </c>
      <c r="BJ58" s="21">
        <v>0</v>
      </c>
      <c r="BK58" s="21">
        <v>0</v>
      </c>
      <c r="BL58" s="21">
        <v>0</v>
      </c>
      <c r="BM58" s="21">
        <v>682159447024</v>
      </c>
      <c r="BN58" s="23">
        <v>46242</v>
      </c>
      <c r="BO58" s="21">
        <v>311.5</v>
      </c>
    </row>
    <row r="59" spans="1:67" hidden="1" x14ac:dyDescent="0.25">
      <c r="A59" s="22"/>
      <c r="B59" s="21" t="s">
        <v>167</v>
      </c>
      <c r="C59" s="23">
        <v>46242</v>
      </c>
      <c r="D59" s="21" t="s">
        <v>772</v>
      </c>
      <c r="E59" s="21" t="s">
        <v>190</v>
      </c>
      <c r="F59" s="21" t="s">
        <v>191</v>
      </c>
      <c r="G59" s="21" t="s">
        <v>773</v>
      </c>
      <c r="H59" s="21">
        <v>3171</v>
      </c>
      <c r="I59" s="21">
        <v>3171</v>
      </c>
      <c r="J59" s="21" t="s">
        <v>168</v>
      </c>
      <c r="K59" s="21">
        <v>3171</v>
      </c>
      <c r="L59" s="21">
        <v>0</v>
      </c>
      <c r="M59" s="21">
        <v>3171</v>
      </c>
      <c r="N59" s="21" t="s">
        <v>275</v>
      </c>
      <c r="O59" s="21" t="s">
        <v>730</v>
      </c>
      <c r="P59" s="21" t="s">
        <v>730</v>
      </c>
      <c r="Q59" s="21" t="s">
        <v>774</v>
      </c>
      <c r="R59" s="23">
        <v>46242</v>
      </c>
      <c r="S59" s="21" t="s">
        <v>635</v>
      </c>
      <c r="T59" s="21" t="s">
        <v>636</v>
      </c>
      <c r="U59" s="21" t="s">
        <v>775</v>
      </c>
      <c r="V59" s="21">
        <v>252.37</v>
      </c>
      <c r="W59" s="21">
        <v>252.37</v>
      </c>
      <c r="X59" s="21" t="s">
        <v>774</v>
      </c>
      <c r="Y59" s="23">
        <v>46242</v>
      </c>
      <c r="Z59" s="21"/>
      <c r="AA59" s="21">
        <v>0</v>
      </c>
      <c r="AB59" s="21"/>
      <c r="AC59" s="21">
        <v>0</v>
      </c>
      <c r="AD59" s="21">
        <v>0</v>
      </c>
      <c r="AE59" s="21">
        <v>0</v>
      </c>
      <c r="AF59" s="21">
        <v>0</v>
      </c>
      <c r="AG59" s="21">
        <v>0</v>
      </c>
      <c r="AH59" s="21">
        <v>0</v>
      </c>
      <c r="AI59" s="21">
        <v>0</v>
      </c>
      <c r="AJ59" s="21" t="s">
        <v>638</v>
      </c>
      <c r="AK59" s="21">
        <v>0</v>
      </c>
      <c r="AL59" s="21">
        <v>0</v>
      </c>
      <c r="AM59" s="21">
        <v>0</v>
      </c>
      <c r="AN59" s="21">
        <v>0</v>
      </c>
      <c r="AO59" s="21">
        <v>0</v>
      </c>
      <c r="AP59" s="21"/>
      <c r="AQ59" s="21">
        <v>0</v>
      </c>
      <c r="AR59" s="21">
        <v>0</v>
      </c>
      <c r="AS59" s="21">
        <v>1681599.03</v>
      </c>
      <c r="AT59" s="21" t="s">
        <v>188</v>
      </c>
      <c r="AU59" s="21" t="s">
        <v>152</v>
      </c>
      <c r="AV59" s="21" t="s">
        <v>152</v>
      </c>
      <c r="AW59" s="21" t="s">
        <v>639</v>
      </c>
      <c r="AX59" s="21" t="s">
        <v>640</v>
      </c>
      <c r="AY59" s="21">
        <v>0</v>
      </c>
      <c r="AZ59" s="21">
        <v>800265.27</v>
      </c>
      <c r="BA59" s="21">
        <v>413</v>
      </c>
      <c r="BB59" s="23">
        <v>46242</v>
      </c>
      <c r="BC59" s="21" t="s">
        <v>185</v>
      </c>
      <c r="BD59" s="21" t="s">
        <v>641</v>
      </c>
      <c r="BE59" s="21" t="s">
        <v>641</v>
      </c>
      <c r="BF59" s="21">
        <v>9</v>
      </c>
      <c r="BG59" s="21">
        <v>72023.87</v>
      </c>
      <c r="BH59" s="21">
        <v>9</v>
      </c>
      <c r="BI59" s="21">
        <v>72023.87</v>
      </c>
      <c r="BJ59" s="21">
        <v>0</v>
      </c>
      <c r="BK59" s="21">
        <v>0</v>
      </c>
      <c r="BL59" s="21">
        <v>1681599.03</v>
      </c>
      <c r="BM59" s="21">
        <v>652159463021</v>
      </c>
      <c r="BN59" s="23">
        <v>46242</v>
      </c>
      <c r="BO59" s="21">
        <v>3171</v>
      </c>
    </row>
    <row r="60" spans="1:67" hidden="1" x14ac:dyDescent="0.25">
      <c r="A60" s="22"/>
      <c r="B60" s="21" t="s">
        <v>167</v>
      </c>
      <c r="C60" s="23">
        <v>46242</v>
      </c>
      <c r="D60" s="21" t="s">
        <v>772</v>
      </c>
      <c r="E60" s="21" t="s">
        <v>190</v>
      </c>
      <c r="F60" s="21" t="s">
        <v>191</v>
      </c>
      <c r="G60" s="21" t="s">
        <v>773</v>
      </c>
      <c r="H60" s="21">
        <v>1633</v>
      </c>
      <c r="I60" s="21">
        <v>1633</v>
      </c>
      <c r="J60" s="21" t="s">
        <v>168</v>
      </c>
      <c r="K60" s="21">
        <v>1633</v>
      </c>
      <c r="L60" s="21">
        <v>0</v>
      </c>
      <c r="M60" s="21">
        <v>1633</v>
      </c>
      <c r="N60" s="21" t="s">
        <v>275</v>
      </c>
      <c r="O60" s="21" t="s">
        <v>730</v>
      </c>
      <c r="P60" s="21" t="s">
        <v>730</v>
      </c>
      <c r="Q60" s="21" t="s">
        <v>774</v>
      </c>
      <c r="R60" s="23">
        <v>46242</v>
      </c>
      <c r="S60" s="21" t="s">
        <v>635</v>
      </c>
      <c r="T60" s="21" t="s">
        <v>636</v>
      </c>
      <c r="U60" s="21" t="s">
        <v>775</v>
      </c>
      <c r="V60" s="21">
        <v>254.36</v>
      </c>
      <c r="W60" s="21">
        <v>254.36</v>
      </c>
      <c r="X60" s="21" t="s">
        <v>774</v>
      </c>
      <c r="Y60" s="23">
        <v>46242</v>
      </c>
      <c r="Z60" s="21"/>
      <c r="AA60" s="21">
        <v>0</v>
      </c>
      <c r="AB60" s="21"/>
      <c r="AC60" s="21">
        <v>0</v>
      </c>
      <c r="AD60" s="21">
        <v>0</v>
      </c>
      <c r="AE60" s="21">
        <v>0</v>
      </c>
      <c r="AF60" s="21">
        <v>0</v>
      </c>
      <c r="AG60" s="21">
        <v>0</v>
      </c>
      <c r="AH60" s="21">
        <v>0</v>
      </c>
      <c r="AI60" s="21">
        <v>0</v>
      </c>
      <c r="AJ60" s="21" t="s">
        <v>638</v>
      </c>
      <c r="AK60" s="21">
        <v>0</v>
      </c>
      <c r="AL60" s="21">
        <v>0</v>
      </c>
      <c r="AM60" s="21">
        <v>0</v>
      </c>
      <c r="AN60" s="21">
        <v>0</v>
      </c>
      <c r="AO60" s="21">
        <v>0</v>
      </c>
      <c r="AP60" s="21"/>
      <c r="AQ60" s="21">
        <v>0</v>
      </c>
      <c r="AR60" s="21">
        <v>0</v>
      </c>
      <c r="AS60" s="21">
        <v>1681599.03</v>
      </c>
      <c r="AT60" s="21" t="s">
        <v>188</v>
      </c>
      <c r="AU60" s="21" t="s">
        <v>152</v>
      </c>
      <c r="AV60" s="21" t="s">
        <v>152</v>
      </c>
      <c r="AW60" s="21" t="s">
        <v>639</v>
      </c>
      <c r="AX60" s="21" t="s">
        <v>640</v>
      </c>
      <c r="AY60" s="21">
        <v>0</v>
      </c>
      <c r="AZ60" s="21">
        <v>415369.88</v>
      </c>
      <c r="BA60" s="21">
        <v>413</v>
      </c>
      <c r="BB60" s="23">
        <v>46242</v>
      </c>
      <c r="BC60" s="21" t="s">
        <v>185</v>
      </c>
      <c r="BD60" s="21" t="s">
        <v>641</v>
      </c>
      <c r="BE60" s="21" t="s">
        <v>641</v>
      </c>
      <c r="BF60" s="21">
        <v>9</v>
      </c>
      <c r="BG60" s="21">
        <v>37383.29</v>
      </c>
      <c r="BH60" s="21">
        <v>9</v>
      </c>
      <c r="BI60" s="21">
        <v>37383.29</v>
      </c>
      <c r="BJ60" s="21">
        <v>0</v>
      </c>
      <c r="BK60" s="21">
        <v>0</v>
      </c>
      <c r="BL60" s="21">
        <v>0</v>
      </c>
      <c r="BM60" s="21">
        <v>652159463021</v>
      </c>
      <c r="BN60" s="23">
        <v>46242</v>
      </c>
      <c r="BO60" s="21">
        <v>1633</v>
      </c>
    </row>
    <row r="61" spans="1:67" hidden="1" x14ac:dyDescent="0.25">
      <c r="A61" s="22"/>
      <c r="B61" s="21" t="s">
        <v>167</v>
      </c>
      <c r="C61" s="23">
        <v>46242</v>
      </c>
      <c r="D61" s="21" t="s">
        <v>772</v>
      </c>
      <c r="E61" s="21" t="s">
        <v>190</v>
      </c>
      <c r="F61" s="21" t="s">
        <v>191</v>
      </c>
      <c r="G61" s="21" t="s">
        <v>773</v>
      </c>
      <c r="H61" s="21">
        <v>807</v>
      </c>
      <c r="I61" s="21">
        <v>807</v>
      </c>
      <c r="J61" s="21" t="s">
        <v>168</v>
      </c>
      <c r="K61" s="21">
        <v>807</v>
      </c>
      <c r="L61" s="21">
        <v>0</v>
      </c>
      <c r="M61" s="21">
        <v>807</v>
      </c>
      <c r="N61" s="21" t="s">
        <v>275</v>
      </c>
      <c r="O61" s="21" t="s">
        <v>730</v>
      </c>
      <c r="P61" s="21" t="s">
        <v>730</v>
      </c>
      <c r="Q61" s="21" t="s">
        <v>774</v>
      </c>
      <c r="R61" s="23">
        <v>46242</v>
      </c>
      <c r="S61" s="21" t="s">
        <v>635</v>
      </c>
      <c r="T61" s="21" t="s">
        <v>636</v>
      </c>
      <c r="U61" s="21" t="s">
        <v>775</v>
      </c>
      <c r="V61" s="21">
        <v>259.54000000000002</v>
      </c>
      <c r="W61" s="21">
        <v>259.54000000000002</v>
      </c>
      <c r="X61" s="21" t="s">
        <v>774</v>
      </c>
      <c r="Y61" s="23">
        <v>46242</v>
      </c>
      <c r="Z61" s="21"/>
      <c r="AA61" s="21">
        <v>0</v>
      </c>
      <c r="AB61" s="21"/>
      <c r="AC61" s="21">
        <v>0</v>
      </c>
      <c r="AD61" s="21">
        <v>0</v>
      </c>
      <c r="AE61" s="21">
        <v>0</v>
      </c>
      <c r="AF61" s="21">
        <v>0</v>
      </c>
      <c r="AG61" s="21">
        <v>0</v>
      </c>
      <c r="AH61" s="21">
        <v>0</v>
      </c>
      <c r="AI61" s="21">
        <v>0</v>
      </c>
      <c r="AJ61" s="21" t="s">
        <v>638</v>
      </c>
      <c r="AK61" s="21">
        <v>0</v>
      </c>
      <c r="AL61" s="21">
        <v>0</v>
      </c>
      <c r="AM61" s="21">
        <v>0</v>
      </c>
      <c r="AN61" s="21">
        <v>0</v>
      </c>
      <c r="AO61" s="21">
        <v>0</v>
      </c>
      <c r="AP61" s="21"/>
      <c r="AQ61" s="21">
        <v>0</v>
      </c>
      <c r="AR61" s="21">
        <v>0</v>
      </c>
      <c r="AS61" s="21">
        <v>1681599.03</v>
      </c>
      <c r="AT61" s="21" t="s">
        <v>188</v>
      </c>
      <c r="AU61" s="21" t="s">
        <v>152</v>
      </c>
      <c r="AV61" s="21" t="s">
        <v>152</v>
      </c>
      <c r="AW61" s="21" t="s">
        <v>639</v>
      </c>
      <c r="AX61" s="21" t="s">
        <v>640</v>
      </c>
      <c r="AY61" s="21">
        <v>0</v>
      </c>
      <c r="AZ61" s="21">
        <v>209448.78</v>
      </c>
      <c r="BA61" s="21">
        <v>413</v>
      </c>
      <c r="BB61" s="23">
        <v>46242</v>
      </c>
      <c r="BC61" s="21" t="s">
        <v>185</v>
      </c>
      <c r="BD61" s="21" t="s">
        <v>641</v>
      </c>
      <c r="BE61" s="21" t="s">
        <v>641</v>
      </c>
      <c r="BF61" s="21">
        <v>9</v>
      </c>
      <c r="BG61" s="21">
        <v>18850.39</v>
      </c>
      <c r="BH61" s="21">
        <v>9</v>
      </c>
      <c r="BI61" s="21">
        <v>18850.39</v>
      </c>
      <c r="BJ61" s="21">
        <v>0</v>
      </c>
      <c r="BK61" s="21">
        <v>0</v>
      </c>
      <c r="BL61" s="21">
        <v>0</v>
      </c>
      <c r="BM61" s="21">
        <v>652159463021</v>
      </c>
      <c r="BN61" s="23">
        <v>46242</v>
      </c>
      <c r="BO61" s="21">
        <v>807</v>
      </c>
    </row>
    <row r="62" spans="1:67" hidden="1" x14ac:dyDescent="0.25">
      <c r="A62" s="22" t="s">
        <v>1334</v>
      </c>
      <c r="B62" s="21" t="s">
        <v>167</v>
      </c>
      <c r="C62" s="23">
        <v>46242</v>
      </c>
      <c r="D62" s="21" t="s">
        <v>776</v>
      </c>
      <c r="E62" s="21" t="s">
        <v>594</v>
      </c>
      <c r="F62" s="21" t="s">
        <v>384</v>
      </c>
      <c r="G62" s="21" t="s">
        <v>777</v>
      </c>
      <c r="H62" s="21">
        <v>330</v>
      </c>
      <c r="I62" s="21">
        <v>330</v>
      </c>
      <c r="J62" s="21" t="s">
        <v>168</v>
      </c>
      <c r="K62" s="21">
        <v>330</v>
      </c>
      <c r="L62" s="21">
        <v>0</v>
      </c>
      <c r="M62" s="21">
        <v>330</v>
      </c>
      <c r="N62" s="21" t="s">
        <v>778</v>
      </c>
      <c r="O62" s="21" t="s">
        <v>656</v>
      </c>
      <c r="P62" s="21" t="s">
        <v>656</v>
      </c>
      <c r="Q62" s="21" t="s">
        <v>779</v>
      </c>
      <c r="R62" s="23">
        <v>46181</v>
      </c>
      <c r="S62" s="21" t="s">
        <v>635</v>
      </c>
      <c r="T62" s="21" t="s">
        <v>636</v>
      </c>
      <c r="U62" s="21" t="s">
        <v>780</v>
      </c>
      <c r="V62" s="21">
        <v>251.37</v>
      </c>
      <c r="W62" s="21">
        <v>251.37</v>
      </c>
      <c r="X62" s="21" t="s">
        <v>779</v>
      </c>
      <c r="Y62" s="23">
        <v>46181</v>
      </c>
      <c r="Z62" s="21"/>
      <c r="AA62" s="21">
        <v>0</v>
      </c>
      <c r="AB62" s="21"/>
      <c r="AC62" s="21">
        <v>0</v>
      </c>
      <c r="AD62" s="21">
        <v>0</v>
      </c>
      <c r="AE62" s="21">
        <v>0</v>
      </c>
      <c r="AF62" s="21">
        <v>0</v>
      </c>
      <c r="AG62" s="21">
        <v>0</v>
      </c>
      <c r="AH62" s="21">
        <v>0</v>
      </c>
      <c r="AI62" s="21">
        <v>0</v>
      </c>
      <c r="AJ62" s="21" t="s">
        <v>638</v>
      </c>
      <c r="AK62" s="21">
        <v>0</v>
      </c>
      <c r="AL62" s="21">
        <v>0</v>
      </c>
      <c r="AM62" s="21">
        <v>0</v>
      </c>
      <c r="AN62" s="21">
        <v>0</v>
      </c>
      <c r="AO62" s="21">
        <v>0</v>
      </c>
      <c r="AP62" s="21"/>
      <c r="AQ62" s="21">
        <v>0</v>
      </c>
      <c r="AR62" s="21">
        <v>0</v>
      </c>
      <c r="AS62" s="21">
        <v>178885.33</v>
      </c>
      <c r="AT62" s="21" t="s">
        <v>169</v>
      </c>
      <c r="AU62" s="21" t="s">
        <v>179</v>
      </c>
      <c r="AV62" s="21" t="s">
        <v>287</v>
      </c>
      <c r="AW62" s="21" t="s">
        <v>639</v>
      </c>
      <c r="AX62" s="21" t="s">
        <v>640</v>
      </c>
      <c r="AY62" s="21">
        <v>0</v>
      </c>
      <c r="AZ62" s="21">
        <v>82952.100000000006</v>
      </c>
      <c r="BA62" s="21">
        <v>408</v>
      </c>
      <c r="BB62" s="23">
        <v>46242</v>
      </c>
      <c r="BC62" s="21" t="s">
        <v>176</v>
      </c>
      <c r="BD62" s="21" t="s">
        <v>641</v>
      </c>
      <c r="BE62" s="21" t="s">
        <v>641</v>
      </c>
      <c r="BF62" s="21">
        <v>9</v>
      </c>
      <c r="BG62" s="21">
        <v>7465.69</v>
      </c>
      <c r="BH62" s="21">
        <v>9</v>
      </c>
      <c r="BI62" s="21">
        <v>7465.69</v>
      </c>
      <c r="BJ62" s="21">
        <v>0</v>
      </c>
      <c r="BK62" s="21">
        <v>0</v>
      </c>
      <c r="BL62" s="21">
        <v>178885.33</v>
      </c>
      <c r="BM62" s="21">
        <v>632158341438</v>
      </c>
      <c r="BN62" s="23">
        <v>46240</v>
      </c>
      <c r="BO62" s="21">
        <v>330</v>
      </c>
    </row>
    <row r="63" spans="1:67" hidden="1" x14ac:dyDescent="0.25">
      <c r="A63" s="22" t="s">
        <v>1334</v>
      </c>
      <c r="B63" s="21" t="s">
        <v>167</v>
      </c>
      <c r="C63" s="23">
        <v>46242</v>
      </c>
      <c r="D63" s="21" t="s">
        <v>776</v>
      </c>
      <c r="E63" s="21" t="s">
        <v>594</v>
      </c>
      <c r="F63" s="21" t="s">
        <v>384</v>
      </c>
      <c r="G63" s="21" t="s">
        <v>777</v>
      </c>
      <c r="H63" s="21">
        <v>263</v>
      </c>
      <c r="I63" s="21">
        <v>263</v>
      </c>
      <c r="J63" s="21" t="s">
        <v>168</v>
      </c>
      <c r="K63" s="21">
        <v>263</v>
      </c>
      <c r="L63" s="21">
        <v>0</v>
      </c>
      <c r="M63" s="21">
        <v>263</v>
      </c>
      <c r="N63" s="21" t="s">
        <v>778</v>
      </c>
      <c r="O63" s="21" t="s">
        <v>656</v>
      </c>
      <c r="P63" s="21" t="s">
        <v>656</v>
      </c>
      <c r="Q63" s="21" t="s">
        <v>779</v>
      </c>
      <c r="R63" s="23">
        <v>46181</v>
      </c>
      <c r="S63" s="21" t="s">
        <v>635</v>
      </c>
      <c r="T63" s="21" t="s">
        <v>636</v>
      </c>
      <c r="U63" s="21" t="s">
        <v>780</v>
      </c>
      <c r="V63" s="21">
        <v>261.01</v>
      </c>
      <c r="W63" s="21">
        <v>261.01</v>
      </c>
      <c r="X63" s="21" t="s">
        <v>779</v>
      </c>
      <c r="Y63" s="23">
        <v>46181</v>
      </c>
      <c r="Z63" s="21"/>
      <c r="AA63" s="21">
        <v>0</v>
      </c>
      <c r="AB63" s="21"/>
      <c r="AC63" s="21">
        <v>0</v>
      </c>
      <c r="AD63" s="21">
        <v>0</v>
      </c>
      <c r="AE63" s="21">
        <v>0</v>
      </c>
      <c r="AF63" s="21">
        <v>0</v>
      </c>
      <c r="AG63" s="21">
        <v>0</v>
      </c>
      <c r="AH63" s="21">
        <v>0</v>
      </c>
      <c r="AI63" s="21">
        <v>0</v>
      </c>
      <c r="AJ63" s="21" t="s">
        <v>638</v>
      </c>
      <c r="AK63" s="21">
        <v>0</v>
      </c>
      <c r="AL63" s="21">
        <v>0</v>
      </c>
      <c r="AM63" s="21">
        <v>0</v>
      </c>
      <c r="AN63" s="21">
        <v>0</v>
      </c>
      <c r="AO63" s="21">
        <v>0</v>
      </c>
      <c r="AP63" s="21"/>
      <c r="AQ63" s="21">
        <v>0</v>
      </c>
      <c r="AR63" s="21">
        <v>0</v>
      </c>
      <c r="AS63" s="21">
        <v>178885.33</v>
      </c>
      <c r="AT63" s="21" t="s">
        <v>169</v>
      </c>
      <c r="AU63" s="21" t="s">
        <v>179</v>
      </c>
      <c r="AV63" s="21" t="s">
        <v>287</v>
      </c>
      <c r="AW63" s="21" t="s">
        <v>639</v>
      </c>
      <c r="AX63" s="21" t="s">
        <v>640</v>
      </c>
      <c r="AY63" s="21">
        <v>0</v>
      </c>
      <c r="AZ63" s="21">
        <v>68645.63</v>
      </c>
      <c r="BA63" s="21">
        <v>408</v>
      </c>
      <c r="BB63" s="23">
        <v>46242</v>
      </c>
      <c r="BC63" s="21" t="s">
        <v>176</v>
      </c>
      <c r="BD63" s="21" t="s">
        <v>641</v>
      </c>
      <c r="BE63" s="21" t="s">
        <v>641</v>
      </c>
      <c r="BF63" s="21">
        <v>9</v>
      </c>
      <c r="BG63" s="21">
        <v>6178.11</v>
      </c>
      <c r="BH63" s="21">
        <v>9</v>
      </c>
      <c r="BI63" s="21">
        <v>6178.11</v>
      </c>
      <c r="BJ63" s="21">
        <v>0</v>
      </c>
      <c r="BK63" s="21">
        <v>0</v>
      </c>
      <c r="BL63" s="21">
        <v>0</v>
      </c>
      <c r="BM63" s="21">
        <v>632158341438</v>
      </c>
      <c r="BN63" s="23">
        <v>46240</v>
      </c>
      <c r="BO63" s="21">
        <v>263</v>
      </c>
    </row>
    <row r="64" spans="1:67" hidden="1" x14ac:dyDescent="0.25">
      <c r="A64" s="22"/>
      <c r="B64" s="21" t="s">
        <v>167</v>
      </c>
      <c r="C64" s="23">
        <v>46242</v>
      </c>
      <c r="D64" s="21" t="s">
        <v>781</v>
      </c>
      <c r="E64" s="21" t="s">
        <v>180</v>
      </c>
      <c r="F64" s="21" t="s">
        <v>181</v>
      </c>
      <c r="G64" s="21" t="s">
        <v>782</v>
      </c>
      <c r="H64" s="21">
        <v>50</v>
      </c>
      <c r="I64" s="21">
        <v>50</v>
      </c>
      <c r="J64" s="21" t="s">
        <v>168</v>
      </c>
      <c r="K64" s="21">
        <v>50</v>
      </c>
      <c r="L64" s="21">
        <v>0</v>
      </c>
      <c r="M64" s="21">
        <v>50</v>
      </c>
      <c r="N64" s="21" t="s">
        <v>778</v>
      </c>
      <c r="O64" s="21" t="s">
        <v>677</v>
      </c>
      <c r="P64" s="21" t="s">
        <v>677</v>
      </c>
      <c r="Q64" s="21" t="s">
        <v>783</v>
      </c>
      <c r="R64" s="23">
        <v>46211</v>
      </c>
      <c r="S64" s="21" t="s">
        <v>635</v>
      </c>
      <c r="T64" s="21" t="s">
        <v>636</v>
      </c>
      <c r="U64" s="21" t="s">
        <v>784</v>
      </c>
      <c r="V64" s="21">
        <v>160.4</v>
      </c>
      <c r="W64" s="21">
        <v>160.4</v>
      </c>
      <c r="X64" s="21" t="s">
        <v>783</v>
      </c>
      <c r="Y64" s="23">
        <v>46211</v>
      </c>
      <c r="Z64" s="21"/>
      <c r="AA64" s="21">
        <v>0</v>
      </c>
      <c r="AB64" s="21"/>
      <c r="AC64" s="21" t="s">
        <v>750</v>
      </c>
      <c r="AD64" s="21">
        <v>2655</v>
      </c>
      <c r="AE64" s="21">
        <v>0</v>
      </c>
      <c r="AF64" s="21">
        <v>0</v>
      </c>
      <c r="AG64" s="21">
        <v>0</v>
      </c>
      <c r="AH64" s="21">
        <v>0</v>
      </c>
      <c r="AI64" s="21">
        <v>0</v>
      </c>
      <c r="AJ64" s="21" t="s">
        <v>638</v>
      </c>
      <c r="AK64" s="21">
        <v>0</v>
      </c>
      <c r="AL64" s="21">
        <v>0</v>
      </c>
      <c r="AM64" s="21">
        <v>0</v>
      </c>
      <c r="AN64" s="21">
        <v>0</v>
      </c>
      <c r="AO64" s="21">
        <v>0</v>
      </c>
      <c r="AP64" s="21"/>
      <c r="AQ64" s="21">
        <v>0</v>
      </c>
      <c r="AR64" s="21">
        <v>0</v>
      </c>
      <c r="AS64" s="21">
        <v>751429.26</v>
      </c>
      <c r="AT64" s="21" t="s">
        <v>169</v>
      </c>
      <c r="AU64" s="21" t="s">
        <v>181</v>
      </c>
      <c r="AV64" s="21" t="s">
        <v>154</v>
      </c>
      <c r="AW64" s="21" t="s">
        <v>639</v>
      </c>
      <c r="AX64" s="21" t="s">
        <v>640</v>
      </c>
      <c r="AY64" s="21">
        <v>0</v>
      </c>
      <c r="AZ64" s="21">
        <v>8020</v>
      </c>
      <c r="BA64" s="21">
        <v>407</v>
      </c>
      <c r="BB64" s="23">
        <v>46242</v>
      </c>
      <c r="BC64" s="21" t="s">
        <v>171</v>
      </c>
      <c r="BD64" s="21" t="s">
        <v>641</v>
      </c>
      <c r="BE64" s="21" t="s">
        <v>641</v>
      </c>
      <c r="BF64" s="21">
        <v>9</v>
      </c>
      <c r="BG64" s="21">
        <v>721.8</v>
      </c>
      <c r="BH64" s="21">
        <v>9</v>
      </c>
      <c r="BI64" s="21">
        <v>721.8</v>
      </c>
      <c r="BJ64" s="21">
        <v>0</v>
      </c>
      <c r="BK64" s="21">
        <v>0</v>
      </c>
      <c r="BL64" s="21">
        <v>751429.26</v>
      </c>
      <c r="BM64" s="21">
        <v>652159211219</v>
      </c>
      <c r="BN64" s="23">
        <v>46241</v>
      </c>
      <c r="BO64" s="21">
        <v>50</v>
      </c>
    </row>
    <row r="65" spans="1:67" hidden="1" x14ac:dyDescent="0.25">
      <c r="A65" s="22"/>
      <c r="B65" s="21" t="s">
        <v>167</v>
      </c>
      <c r="C65" s="23">
        <v>46242</v>
      </c>
      <c r="D65" s="21" t="s">
        <v>781</v>
      </c>
      <c r="E65" s="21" t="s">
        <v>593</v>
      </c>
      <c r="F65" s="21" t="s">
        <v>403</v>
      </c>
      <c r="G65" s="21" t="s">
        <v>782</v>
      </c>
      <c r="H65" s="21">
        <v>2712.4</v>
      </c>
      <c r="I65" s="21">
        <v>2712.4</v>
      </c>
      <c r="J65" s="21" t="s">
        <v>168</v>
      </c>
      <c r="K65" s="21">
        <v>2712.4</v>
      </c>
      <c r="L65" s="21">
        <v>0</v>
      </c>
      <c r="M65" s="21">
        <v>2712.4</v>
      </c>
      <c r="N65" s="21" t="s">
        <v>778</v>
      </c>
      <c r="O65" s="21" t="s">
        <v>677</v>
      </c>
      <c r="P65" s="21" t="s">
        <v>677</v>
      </c>
      <c r="Q65" s="21" t="s">
        <v>783</v>
      </c>
      <c r="R65" s="23">
        <v>46211</v>
      </c>
      <c r="S65" s="21" t="s">
        <v>635</v>
      </c>
      <c r="T65" s="21" t="s">
        <v>636</v>
      </c>
      <c r="U65" s="21" t="s">
        <v>784</v>
      </c>
      <c r="V65" s="21">
        <v>166.4</v>
      </c>
      <c r="W65" s="21">
        <v>166.4</v>
      </c>
      <c r="X65" s="21" t="s">
        <v>783</v>
      </c>
      <c r="Y65" s="23">
        <v>46211</v>
      </c>
      <c r="Z65" s="21"/>
      <c r="AA65" s="21">
        <v>0</v>
      </c>
      <c r="AB65" s="21"/>
      <c r="AC65" s="21" t="s">
        <v>750</v>
      </c>
      <c r="AD65" s="21">
        <v>2655</v>
      </c>
      <c r="AE65" s="21">
        <v>0</v>
      </c>
      <c r="AF65" s="21">
        <v>0</v>
      </c>
      <c r="AG65" s="21">
        <v>0</v>
      </c>
      <c r="AH65" s="21">
        <v>0</v>
      </c>
      <c r="AI65" s="21">
        <v>0</v>
      </c>
      <c r="AJ65" s="21" t="s">
        <v>638</v>
      </c>
      <c r="AK65" s="21">
        <v>0</v>
      </c>
      <c r="AL65" s="21">
        <v>0</v>
      </c>
      <c r="AM65" s="21">
        <v>0</v>
      </c>
      <c r="AN65" s="21">
        <v>0</v>
      </c>
      <c r="AO65" s="21">
        <v>0</v>
      </c>
      <c r="AP65" s="21"/>
      <c r="AQ65" s="21">
        <v>0</v>
      </c>
      <c r="AR65" s="21">
        <v>0</v>
      </c>
      <c r="AS65" s="21">
        <v>751429.26</v>
      </c>
      <c r="AT65" s="21" t="s">
        <v>169</v>
      </c>
      <c r="AU65" s="21" t="s">
        <v>179</v>
      </c>
      <c r="AV65" s="21" t="s">
        <v>155</v>
      </c>
      <c r="AW65" s="21" t="s">
        <v>639</v>
      </c>
      <c r="AX65" s="21"/>
      <c r="AY65" s="21">
        <v>0</v>
      </c>
      <c r="AZ65" s="21">
        <v>451343.35999999999</v>
      </c>
      <c r="BA65" s="21">
        <v>407</v>
      </c>
      <c r="BB65" s="23">
        <v>46242</v>
      </c>
      <c r="BC65" s="21" t="s">
        <v>171</v>
      </c>
      <c r="BD65" s="21" t="s">
        <v>641</v>
      </c>
      <c r="BE65" s="21" t="s">
        <v>641</v>
      </c>
      <c r="BF65" s="21">
        <v>9</v>
      </c>
      <c r="BG65" s="21">
        <v>40620.9</v>
      </c>
      <c r="BH65" s="21">
        <v>9</v>
      </c>
      <c r="BI65" s="21">
        <v>40620.9</v>
      </c>
      <c r="BJ65" s="21">
        <v>0</v>
      </c>
      <c r="BK65" s="21">
        <v>0</v>
      </c>
      <c r="BL65" s="21">
        <v>0</v>
      </c>
      <c r="BM65" s="21">
        <v>652159211219</v>
      </c>
      <c r="BN65" s="23">
        <v>46241</v>
      </c>
      <c r="BO65" s="21">
        <v>2712.4</v>
      </c>
    </row>
    <row r="66" spans="1:67" hidden="1" x14ac:dyDescent="0.25">
      <c r="A66" s="22"/>
      <c r="B66" s="21" t="s">
        <v>167</v>
      </c>
      <c r="C66" s="23">
        <v>46242</v>
      </c>
      <c r="D66" s="21" t="s">
        <v>781</v>
      </c>
      <c r="E66" s="21" t="s">
        <v>318</v>
      </c>
      <c r="F66" s="21" t="s">
        <v>312</v>
      </c>
      <c r="G66" s="21" t="s">
        <v>782</v>
      </c>
      <c r="H66" s="21">
        <v>1275</v>
      </c>
      <c r="I66" s="21">
        <v>1275</v>
      </c>
      <c r="J66" s="21" t="s">
        <v>168</v>
      </c>
      <c r="K66" s="21">
        <v>1275</v>
      </c>
      <c r="L66" s="21">
        <v>0</v>
      </c>
      <c r="M66" s="21">
        <v>1275</v>
      </c>
      <c r="N66" s="21" t="s">
        <v>778</v>
      </c>
      <c r="O66" s="21" t="s">
        <v>677</v>
      </c>
      <c r="P66" s="21" t="s">
        <v>677</v>
      </c>
      <c r="Q66" s="21" t="s">
        <v>783</v>
      </c>
      <c r="R66" s="23">
        <v>46211</v>
      </c>
      <c r="S66" s="21" t="s">
        <v>635</v>
      </c>
      <c r="T66" s="21" t="s">
        <v>636</v>
      </c>
      <c r="U66" s="21" t="s">
        <v>784</v>
      </c>
      <c r="V66" s="21">
        <v>156.4</v>
      </c>
      <c r="W66" s="21">
        <v>156.4</v>
      </c>
      <c r="X66" s="21" t="s">
        <v>783</v>
      </c>
      <c r="Y66" s="23">
        <v>46211</v>
      </c>
      <c r="Z66" s="21"/>
      <c r="AA66" s="21">
        <v>0</v>
      </c>
      <c r="AB66" s="21"/>
      <c r="AC66" s="21" t="s">
        <v>750</v>
      </c>
      <c r="AD66" s="21">
        <v>2655</v>
      </c>
      <c r="AE66" s="21">
        <v>0</v>
      </c>
      <c r="AF66" s="21">
        <v>0</v>
      </c>
      <c r="AG66" s="21">
        <v>0</v>
      </c>
      <c r="AH66" s="21">
        <v>0</v>
      </c>
      <c r="AI66" s="21">
        <v>0</v>
      </c>
      <c r="AJ66" s="21" t="s">
        <v>638</v>
      </c>
      <c r="AK66" s="21">
        <v>0</v>
      </c>
      <c r="AL66" s="21">
        <v>0</v>
      </c>
      <c r="AM66" s="21">
        <v>0</v>
      </c>
      <c r="AN66" s="21">
        <v>0</v>
      </c>
      <c r="AO66" s="21">
        <v>0</v>
      </c>
      <c r="AP66" s="21"/>
      <c r="AQ66" s="21">
        <v>0</v>
      </c>
      <c r="AR66" s="21">
        <v>0</v>
      </c>
      <c r="AS66" s="21">
        <v>751429.26</v>
      </c>
      <c r="AT66" s="21" t="s">
        <v>169</v>
      </c>
      <c r="AU66" s="21" t="s">
        <v>170</v>
      </c>
      <c r="AV66" s="21" t="s">
        <v>157</v>
      </c>
      <c r="AW66" s="21" t="s">
        <v>639</v>
      </c>
      <c r="AX66" s="21" t="s">
        <v>640</v>
      </c>
      <c r="AY66" s="21">
        <v>0</v>
      </c>
      <c r="AZ66" s="21">
        <v>199410</v>
      </c>
      <c r="BA66" s="21">
        <v>407</v>
      </c>
      <c r="BB66" s="23">
        <v>46242</v>
      </c>
      <c r="BC66" s="21" t="s">
        <v>171</v>
      </c>
      <c r="BD66" s="21" t="s">
        <v>641</v>
      </c>
      <c r="BE66" s="21" t="s">
        <v>641</v>
      </c>
      <c r="BF66" s="21">
        <v>2.5</v>
      </c>
      <c r="BG66" s="21">
        <v>4985.25</v>
      </c>
      <c r="BH66" s="21">
        <v>2.5</v>
      </c>
      <c r="BI66" s="21">
        <v>4985.25</v>
      </c>
      <c r="BJ66" s="21">
        <v>0</v>
      </c>
      <c r="BK66" s="21">
        <v>0</v>
      </c>
      <c r="BL66" s="21">
        <v>0</v>
      </c>
      <c r="BM66" s="21">
        <v>652159211219</v>
      </c>
      <c r="BN66" s="23">
        <v>46241</v>
      </c>
      <c r="BO66" s="21">
        <v>1275</v>
      </c>
    </row>
    <row r="67" spans="1:67" hidden="1" x14ac:dyDescent="0.25">
      <c r="A67" s="22"/>
      <c r="B67" s="21" t="s">
        <v>167</v>
      </c>
      <c r="C67" s="23">
        <v>46242</v>
      </c>
      <c r="D67" s="21" t="s">
        <v>785</v>
      </c>
      <c r="E67" s="21" t="s">
        <v>186</v>
      </c>
      <c r="F67" s="21" t="s">
        <v>187</v>
      </c>
      <c r="G67" s="21" t="s">
        <v>786</v>
      </c>
      <c r="H67" s="21">
        <v>1656</v>
      </c>
      <c r="I67" s="21">
        <v>1656</v>
      </c>
      <c r="J67" s="21" t="s">
        <v>168</v>
      </c>
      <c r="K67" s="21">
        <v>1656</v>
      </c>
      <c r="L67" s="21">
        <v>0</v>
      </c>
      <c r="M67" s="21">
        <v>1656</v>
      </c>
      <c r="N67" s="21" t="s">
        <v>787</v>
      </c>
      <c r="O67" s="21" t="s">
        <v>656</v>
      </c>
      <c r="P67" s="21" t="s">
        <v>656</v>
      </c>
      <c r="Q67" s="21" t="s">
        <v>788</v>
      </c>
      <c r="R67" s="23">
        <v>46211</v>
      </c>
      <c r="S67" s="21" t="s">
        <v>635</v>
      </c>
      <c r="T67" s="21" t="s">
        <v>636</v>
      </c>
      <c r="U67" s="21" t="s">
        <v>789</v>
      </c>
      <c r="V67" s="21">
        <v>219.27</v>
      </c>
      <c r="W67" s="21">
        <v>219.27</v>
      </c>
      <c r="X67" s="21" t="s">
        <v>788</v>
      </c>
      <c r="Y67" s="23">
        <v>46211</v>
      </c>
      <c r="Z67" s="21"/>
      <c r="AA67" s="21">
        <v>0</v>
      </c>
      <c r="AB67" s="21"/>
      <c r="AC67" s="21" t="s">
        <v>659</v>
      </c>
      <c r="AD67" s="21">
        <v>2563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 t="s">
        <v>638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/>
      <c r="AQ67" s="21">
        <v>0</v>
      </c>
      <c r="AR67" s="21">
        <v>0</v>
      </c>
      <c r="AS67" s="21">
        <v>962594.01</v>
      </c>
      <c r="AT67" s="21" t="s">
        <v>188</v>
      </c>
      <c r="AU67" s="21" t="s">
        <v>152</v>
      </c>
      <c r="AV67" s="21" t="s">
        <v>152</v>
      </c>
      <c r="AW67" s="21" t="s">
        <v>639</v>
      </c>
      <c r="AX67" s="21" t="s">
        <v>640</v>
      </c>
      <c r="AY67" s="21">
        <v>0</v>
      </c>
      <c r="AZ67" s="21">
        <v>363111.12</v>
      </c>
      <c r="BA67" s="21">
        <v>411</v>
      </c>
      <c r="BB67" s="23">
        <v>46242</v>
      </c>
      <c r="BC67" s="21" t="s">
        <v>176</v>
      </c>
      <c r="BD67" s="21" t="s">
        <v>641</v>
      </c>
      <c r="BE67" s="21" t="s">
        <v>641</v>
      </c>
      <c r="BF67" s="21">
        <v>9</v>
      </c>
      <c r="BG67" s="21">
        <v>32680</v>
      </c>
      <c r="BH67" s="21">
        <v>9</v>
      </c>
      <c r="BI67" s="21">
        <v>32680</v>
      </c>
      <c r="BJ67" s="21">
        <v>0</v>
      </c>
      <c r="BK67" s="21">
        <v>0</v>
      </c>
      <c r="BL67" s="21">
        <v>962594.01</v>
      </c>
      <c r="BM67" s="21">
        <v>692159163110</v>
      </c>
      <c r="BN67" s="23">
        <v>46241</v>
      </c>
      <c r="BO67" s="21">
        <v>1656</v>
      </c>
    </row>
    <row r="68" spans="1:67" hidden="1" x14ac:dyDescent="0.25">
      <c r="A68" s="22"/>
      <c r="B68" s="21" t="s">
        <v>167</v>
      </c>
      <c r="C68" s="23">
        <v>46242</v>
      </c>
      <c r="D68" s="21" t="s">
        <v>785</v>
      </c>
      <c r="E68" s="21" t="s">
        <v>186</v>
      </c>
      <c r="F68" s="21" t="s">
        <v>187</v>
      </c>
      <c r="G68" s="21" t="s">
        <v>786</v>
      </c>
      <c r="H68" s="21">
        <v>1239</v>
      </c>
      <c r="I68" s="21">
        <v>1239</v>
      </c>
      <c r="J68" s="21" t="s">
        <v>168</v>
      </c>
      <c r="K68" s="21">
        <v>1239</v>
      </c>
      <c r="L68" s="21">
        <v>0</v>
      </c>
      <c r="M68" s="21">
        <v>1239</v>
      </c>
      <c r="N68" s="21" t="s">
        <v>787</v>
      </c>
      <c r="O68" s="21" t="s">
        <v>656</v>
      </c>
      <c r="P68" s="21" t="s">
        <v>656</v>
      </c>
      <c r="Q68" s="21" t="s">
        <v>788</v>
      </c>
      <c r="R68" s="23">
        <v>46211</v>
      </c>
      <c r="S68" s="21" t="s">
        <v>635</v>
      </c>
      <c r="T68" s="21" t="s">
        <v>636</v>
      </c>
      <c r="U68" s="21" t="s">
        <v>789</v>
      </c>
      <c r="V68" s="21">
        <v>222.98</v>
      </c>
      <c r="W68" s="21">
        <v>222.98</v>
      </c>
      <c r="X68" s="21" t="s">
        <v>788</v>
      </c>
      <c r="Y68" s="23">
        <v>46211</v>
      </c>
      <c r="Z68" s="21"/>
      <c r="AA68" s="21">
        <v>0</v>
      </c>
      <c r="AB68" s="21"/>
      <c r="AC68" s="21" t="s">
        <v>659</v>
      </c>
      <c r="AD68" s="21">
        <v>2563</v>
      </c>
      <c r="AE68" s="21">
        <v>0</v>
      </c>
      <c r="AF68" s="21">
        <v>0</v>
      </c>
      <c r="AG68" s="21">
        <v>0</v>
      </c>
      <c r="AH68" s="21">
        <v>0</v>
      </c>
      <c r="AI68" s="21">
        <v>0</v>
      </c>
      <c r="AJ68" s="21" t="s">
        <v>638</v>
      </c>
      <c r="AK68" s="21">
        <v>0</v>
      </c>
      <c r="AL68" s="21">
        <v>0</v>
      </c>
      <c r="AM68" s="21">
        <v>0</v>
      </c>
      <c r="AN68" s="21">
        <v>0</v>
      </c>
      <c r="AO68" s="21">
        <v>0</v>
      </c>
      <c r="AP68" s="21"/>
      <c r="AQ68" s="21">
        <v>0</v>
      </c>
      <c r="AR68" s="21">
        <v>0</v>
      </c>
      <c r="AS68" s="21">
        <v>962594.01</v>
      </c>
      <c r="AT68" s="21" t="s">
        <v>188</v>
      </c>
      <c r="AU68" s="21" t="s">
        <v>152</v>
      </c>
      <c r="AV68" s="21" t="s">
        <v>152</v>
      </c>
      <c r="AW68" s="21" t="s">
        <v>639</v>
      </c>
      <c r="AX68" s="21" t="s">
        <v>640</v>
      </c>
      <c r="AY68" s="21">
        <v>0</v>
      </c>
      <c r="AZ68" s="21">
        <v>276272.21999999997</v>
      </c>
      <c r="BA68" s="21">
        <v>411</v>
      </c>
      <c r="BB68" s="23">
        <v>46242</v>
      </c>
      <c r="BC68" s="21" t="s">
        <v>176</v>
      </c>
      <c r="BD68" s="21" t="s">
        <v>641</v>
      </c>
      <c r="BE68" s="21" t="s">
        <v>641</v>
      </c>
      <c r="BF68" s="21">
        <v>9</v>
      </c>
      <c r="BG68" s="21">
        <v>24864.5</v>
      </c>
      <c r="BH68" s="21">
        <v>9</v>
      </c>
      <c r="BI68" s="21">
        <v>24864.5</v>
      </c>
      <c r="BJ68" s="21">
        <v>0</v>
      </c>
      <c r="BK68" s="21">
        <v>0</v>
      </c>
      <c r="BL68" s="21">
        <v>0</v>
      </c>
      <c r="BM68" s="21">
        <v>692159163110</v>
      </c>
      <c r="BN68" s="23">
        <v>46241</v>
      </c>
      <c r="BO68" s="21">
        <v>1239</v>
      </c>
    </row>
    <row r="69" spans="1:67" hidden="1" x14ac:dyDescent="0.25">
      <c r="A69" s="22"/>
      <c r="B69" s="21" t="s">
        <v>167</v>
      </c>
      <c r="C69" s="23">
        <v>46242</v>
      </c>
      <c r="D69" s="21" t="s">
        <v>785</v>
      </c>
      <c r="E69" s="21" t="s">
        <v>186</v>
      </c>
      <c r="F69" s="21" t="s">
        <v>187</v>
      </c>
      <c r="G69" s="21" t="s">
        <v>786</v>
      </c>
      <c r="H69" s="21">
        <v>827</v>
      </c>
      <c r="I69" s="21">
        <v>827</v>
      </c>
      <c r="J69" s="21" t="s">
        <v>168</v>
      </c>
      <c r="K69" s="21">
        <v>827</v>
      </c>
      <c r="L69" s="21">
        <v>0</v>
      </c>
      <c r="M69" s="21">
        <v>827</v>
      </c>
      <c r="N69" s="21" t="s">
        <v>787</v>
      </c>
      <c r="O69" s="21" t="s">
        <v>656</v>
      </c>
      <c r="P69" s="21" t="s">
        <v>656</v>
      </c>
      <c r="Q69" s="21" t="s">
        <v>788</v>
      </c>
      <c r="R69" s="23">
        <v>46211</v>
      </c>
      <c r="S69" s="21" t="s">
        <v>635</v>
      </c>
      <c r="T69" s="21" t="s">
        <v>636</v>
      </c>
      <c r="U69" s="21" t="s">
        <v>789</v>
      </c>
      <c r="V69" s="21">
        <v>213.27</v>
      </c>
      <c r="W69" s="21">
        <v>213.27</v>
      </c>
      <c r="X69" s="21" t="s">
        <v>788</v>
      </c>
      <c r="Y69" s="23">
        <v>46211</v>
      </c>
      <c r="Z69" s="21"/>
      <c r="AA69" s="21">
        <v>0</v>
      </c>
      <c r="AB69" s="21"/>
      <c r="AC69" s="21" t="s">
        <v>659</v>
      </c>
      <c r="AD69" s="21">
        <v>2563</v>
      </c>
      <c r="AE69" s="21">
        <v>0</v>
      </c>
      <c r="AF69" s="21">
        <v>0</v>
      </c>
      <c r="AG69" s="21">
        <v>0</v>
      </c>
      <c r="AH69" s="21">
        <v>0</v>
      </c>
      <c r="AI69" s="21">
        <v>0</v>
      </c>
      <c r="AJ69" s="21" t="s">
        <v>638</v>
      </c>
      <c r="AK69" s="21">
        <v>0</v>
      </c>
      <c r="AL69" s="21">
        <v>0</v>
      </c>
      <c r="AM69" s="21">
        <v>0</v>
      </c>
      <c r="AN69" s="21">
        <v>0</v>
      </c>
      <c r="AO69" s="21">
        <v>0</v>
      </c>
      <c r="AP69" s="21"/>
      <c r="AQ69" s="21">
        <v>0</v>
      </c>
      <c r="AR69" s="21">
        <v>0</v>
      </c>
      <c r="AS69" s="21">
        <v>962594.01</v>
      </c>
      <c r="AT69" s="21" t="s">
        <v>188</v>
      </c>
      <c r="AU69" s="21" t="s">
        <v>152</v>
      </c>
      <c r="AV69" s="21" t="s">
        <v>152</v>
      </c>
      <c r="AW69" s="21" t="s">
        <v>639</v>
      </c>
      <c r="AX69" s="21" t="s">
        <v>640</v>
      </c>
      <c r="AY69" s="21">
        <v>0</v>
      </c>
      <c r="AZ69" s="21">
        <v>176374.29</v>
      </c>
      <c r="BA69" s="21">
        <v>411</v>
      </c>
      <c r="BB69" s="23">
        <v>46242</v>
      </c>
      <c r="BC69" s="21" t="s">
        <v>176</v>
      </c>
      <c r="BD69" s="21" t="s">
        <v>641</v>
      </c>
      <c r="BE69" s="21" t="s">
        <v>641</v>
      </c>
      <c r="BF69" s="21">
        <v>9</v>
      </c>
      <c r="BG69" s="21">
        <v>15873.69</v>
      </c>
      <c r="BH69" s="21">
        <v>9</v>
      </c>
      <c r="BI69" s="21">
        <v>15873.69</v>
      </c>
      <c r="BJ69" s="21">
        <v>0</v>
      </c>
      <c r="BK69" s="21">
        <v>0</v>
      </c>
      <c r="BL69" s="21">
        <v>0</v>
      </c>
      <c r="BM69" s="21">
        <v>692159163110</v>
      </c>
      <c r="BN69" s="23">
        <v>46241</v>
      </c>
      <c r="BO69" s="21">
        <v>827</v>
      </c>
    </row>
    <row r="70" spans="1:67" hidden="1" x14ac:dyDescent="0.25">
      <c r="A70" s="22"/>
      <c r="B70" s="21" t="s">
        <v>167</v>
      </c>
      <c r="C70" s="23">
        <v>46242</v>
      </c>
      <c r="D70" s="21" t="s">
        <v>790</v>
      </c>
      <c r="E70" s="21" t="s">
        <v>172</v>
      </c>
      <c r="F70" s="21" t="s">
        <v>173</v>
      </c>
      <c r="G70" s="21" t="s">
        <v>791</v>
      </c>
      <c r="H70" s="21">
        <v>125</v>
      </c>
      <c r="I70" s="21">
        <v>125</v>
      </c>
      <c r="J70" s="21" t="s">
        <v>168</v>
      </c>
      <c r="K70" s="21">
        <v>125</v>
      </c>
      <c r="L70" s="21">
        <v>0</v>
      </c>
      <c r="M70" s="21">
        <v>125</v>
      </c>
      <c r="N70" s="21" t="s">
        <v>792</v>
      </c>
      <c r="O70" s="21" t="s">
        <v>663</v>
      </c>
      <c r="P70" s="21" t="s">
        <v>663</v>
      </c>
      <c r="Q70" s="21" t="s">
        <v>793</v>
      </c>
      <c r="R70" s="23">
        <v>46211</v>
      </c>
      <c r="S70" s="21" t="s">
        <v>635</v>
      </c>
      <c r="T70" s="21" t="s">
        <v>636</v>
      </c>
      <c r="U70" s="21" t="s">
        <v>794</v>
      </c>
      <c r="V70" s="21">
        <v>170.95</v>
      </c>
      <c r="W70" s="21">
        <v>170.95</v>
      </c>
      <c r="X70" s="21" t="s">
        <v>793</v>
      </c>
      <c r="Y70" s="23">
        <v>46211</v>
      </c>
      <c r="Z70" s="21"/>
      <c r="AA70" s="21">
        <v>0</v>
      </c>
      <c r="AB70" s="21"/>
      <c r="AC70" s="21">
        <v>0</v>
      </c>
      <c r="AD70" s="21">
        <v>0</v>
      </c>
      <c r="AE70" s="21">
        <v>0</v>
      </c>
      <c r="AF70" s="21">
        <v>0</v>
      </c>
      <c r="AG70" s="21">
        <v>0</v>
      </c>
      <c r="AH70" s="21">
        <v>0</v>
      </c>
      <c r="AI70" s="21">
        <v>0</v>
      </c>
      <c r="AJ70" s="21" t="s">
        <v>638</v>
      </c>
      <c r="AK70" s="21">
        <v>0</v>
      </c>
      <c r="AL70" s="21">
        <v>0</v>
      </c>
      <c r="AM70" s="21">
        <v>0</v>
      </c>
      <c r="AN70" s="21">
        <v>0</v>
      </c>
      <c r="AO70" s="21">
        <v>0</v>
      </c>
      <c r="AP70" s="21"/>
      <c r="AQ70" s="21">
        <v>0</v>
      </c>
      <c r="AR70" s="21">
        <v>0</v>
      </c>
      <c r="AS70" s="21">
        <v>1002795.65</v>
      </c>
      <c r="AT70" s="21" t="s">
        <v>169</v>
      </c>
      <c r="AU70" s="21" t="s">
        <v>175</v>
      </c>
      <c r="AV70" s="21" t="s">
        <v>159</v>
      </c>
      <c r="AW70" s="21" t="s">
        <v>639</v>
      </c>
      <c r="AX70" s="21" t="s">
        <v>640</v>
      </c>
      <c r="AY70" s="21">
        <v>0</v>
      </c>
      <c r="AZ70" s="21">
        <v>21368.75</v>
      </c>
      <c r="BA70" s="21">
        <v>410</v>
      </c>
      <c r="BB70" s="23">
        <v>46242</v>
      </c>
      <c r="BC70" s="21" t="s">
        <v>185</v>
      </c>
      <c r="BD70" s="21" t="s">
        <v>641</v>
      </c>
      <c r="BE70" s="21" t="s">
        <v>641</v>
      </c>
      <c r="BF70" s="21">
        <v>9</v>
      </c>
      <c r="BG70" s="21">
        <v>1923.19</v>
      </c>
      <c r="BH70" s="21">
        <v>9</v>
      </c>
      <c r="BI70" s="21">
        <v>1923.19</v>
      </c>
      <c r="BJ70" s="21">
        <v>0</v>
      </c>
      <c r="BK70" s="21">
        <v>0</v>
      </c>
      <c r="BL70" s="21">
        <v>1002795.65</v>
      </c>
      <c r="BM70" s="21">
        <v>692158987694</v>
      </c>
      <c r="BN70" s="23">
        <v>46241</v>
      </c>
      <c r="BO70" s="21">
        <v>125</v>
      </c>
    </row>
    <row r="71" spans="1:67" hidden="1" x14ac:dyDescent="0.25">
      <c r="A71" s="22"/>
      <c r="B71" s="21" t="s">
        <v>167</v>
      </c>
      <c r="C71" s="23">
        <v>46242</v>
      </c>
      <c r="D71" s="21" t="s">
        <v>790</v>
      </c>
      <c r="E71" s="21" t="s">
        <v>182</v>
      </c>
      <c r="F71" s="21" t="s">
        <v>183</v>
      </c>
      <c r="G71" s="21" t="s">
        <v>791</v>
      </c>
      <c r="H71" s="21">
        <v>5294</v>
      </c>
      <c r="I71" s="21">
        <v>5294</v>
      </c>
      <c r="J71" s="21" t="s">
        <v>168</v>
      </c>
      <c r="K71" s="21">
        <v>5294</v>
      </c>
      <c r="L71" s="21">
        <v>0</v>
      </c>
      <c r="M71" s="21">
        <v>5294</v>
      </c>
      <c r="N71" s="21" t="s">
        <v>792</v>
      </c>
      <c r="O71" s="21" t="s">
        <v>663</v>
      </c>
      <c r="P71" s="21" t="s">
        <v>663</v>
      </c>
      <c r="Q71" s="21" t="s">
        <v>793</v>
      </c>
      <c r="R71" s="23">
        <v>46211</v>
      </c>
      <c r="S71" s="21" t="s">
        <v>635</v>
      </c>
      <c r="T71" s="21" t="s">
        <v>636</v>
      </c>
      <c r="U71" s="21" t="s">
        <v>794</v>
      </c>
      <c r="V71" s="21">
        <v>156.49</v>
      </c>
      <c r="W71" s="21">
        <v>156.49</v>
      </c>
      <c r="X71" s="21" t="s">
        <v>793</v>
      </c>
      <c r="Y71" s="23">
        <v>46211</v>
      </c>
      <c r="Z71" s="21"/>
      <c r="AA71" s="21">
        <v>0</v>
      </c>
      <c r="AB71" s="21"/>
      <c r="AC71" s="21">
        <v>0</v>
      </c>
      <c r="AD71" s="21">
        <v>0</v>
      </c>
      <c r="AE71" s="21">
        <v>0</v>
      </c>
      <c r="AF71" s="21">
        <v>0</v>
      </c>
      <c r="AG71" s="21">
        <v>0</v>
      </c>
      <c r="AH71" s="21">
        <v>0</v>
      </c>
      <c r="AI71" s="21">
        <v>0</v>
      </c>
      <c r="AJ71" s="21" t="s">
        <v>638</v>
      </c>
      <c r="AK71" s="21">
        <v>0</v>
      </c>
      <c r="AL71" s="21">
        <v>0</v>
      </c>
      <c r="AM71" s="21">
        <v>0</v>
      </c>
      <c r="AN71" s="21">
        <v>0</v>
      </c>
      <c r="AO71" s="21">
        <v>0</v>
      </c>
      <c r="AP71" s="21"/>
      <c r="AQ71" s="21">
        <v>0</v>
      </c>
      <c r="AR71" s="21">
        <v>0</v>
      </c>
      <c r="AS71" s="21">
        <v>1002795.65</v>
      </c>
      <c r="AT71" s="21" t="s">
        <v>169</v>
      </c>
      <c r="AU71" s="21" t="s">
        <v>179</v>
      </c>
      <c r="AV71" s="21" t="s">
        <v>155</v>
      </c>
      <c r="AW71" s="21" t="s">
        <v>639</v>
      </c>
      <c r="AX71" s="21" t="s">
        <v>640</v>
      </c>
      <c r="AY71" s="21">
        <v>0</v>
      </c>
      <c r="AZ71" s="21">
        <v>828458.06</v>
      </c>
      <c r="BA71" s="21">
        <v>410</v>
      </c>
      <c r="BB71" s="23">
        <v>46242</v>
      </c>
      <c r="BC71" s="21" t="s">
        <v>185</v>
      </c>
      <c r="BD71" s="21" t="s">
        <v>641</v>
      </c>
      <c r="BE71" s="21" t="s">
        <v>641</v>
      </c>
      <c r="BF71" s="21">
        <v>9</v>
      </c>
      <c r="BG71" s="21">
        <v>74561.23</v>
      </c>
      <c r="BH71" s="21">
        <v>9</v>
      </c>
      <c r="BI71" s="21">
        <v>74561.23</v>
      </c>
      <c r="BJ71" s="21">
        <v>0</v>
      </c>
      <c r="BK71" s="21">
        <v>0</v>
      </c>
      <c r="BL71" s="21">
        <v>0</v>
      </c>
      <c r="BM71" s="21">
        <v>692158987694</v>
      </c>
      <c r="BN71" s="23">
        <v>46241</v>
      </c>
      <c r="BO71" s="21">
        <v>5294</v>
      </c>
    </row>
    <row r="72" spans="1:67" hidden="1" x14ac:dyDescent="0.25">
      <c r="A72" s="22"/>
      <c r="B72" s="21" t="s">
        <v>167</v>
      </c>
      <c r="C72" s="23">
        <v>46242</v>
      </c>
      <c r="D72" s="21" t="s">
        <v>795</v>
      </c>
      <c r="E72" s="21" t="s">
        <v>796</v>
      </c>
      <c r="F72" s="21" t="s">
        <v>797</v>
      </c>
      <c r="G72" s="21" t="s">
        <v>798</v>
      </c>
      <c r="H72" s="21">
        <v>10000</v>
      </c>
      <c r="I72" s="21">
        <v>10000</v>
      </c>
      <c r="J72" s="21" t="s">
        <v>168</v>
      </c>
      <c r="K72" s="21">
        <v>10000</v>
      </c>
      <c r="L72" s="21">
        <v>0</v>
      </c>
      <c r="M72" s="21">
        <v>10000</v>
      </c>
      <c r="N72" s="21" t="s">
        <v>799</v>
      </c>
      <c r="O72" s="21" t="s">
        <v>633</v>
      </c>
      <c r="P72" s="21" t="s">
        <v>633</v>
      </c>
      <c r="Q72" s="21" t="s">
        <v>800</v>
      </c>
      <c r="R72" s="23">
        <v>46242</v>
      </c>
      <c r="S72" s="21" t="s">
        <v>635</v>
      </c>
      <c r="T72" s="21" t="s">
        <v>636</v>
      </c>
      <c r="U72" s="21" t="s">
        <v>801</v>
      </c>
      <c r="V72" s="21">
        <v>40.5</v>
      </c>
      <c r="W72" s="21">
        <v>40.5</v>
      </c>
      <c r="X72" s="21" t="s">
        <v>800</v>
      </c>
      <c r="Y72" s="23">
        <v>46242</v>
      </c>
      <c r="Z72" s="21"/>
      <c r="AA72" s="21">
        <v>0</v>
      </c>
      <c r="AB72" s="21"/>
      <c r="AC72" s="21">
        <v>0</v>
      </c>
      <c r="AD72" s="21">
        <v>0</v>
      </c>
      <c r="AE72" s="21">
        <v>0</v>
      </c>
      <c r="AF72" s="21">
        <v>0</v>
      </c>
      <c r="AG72" s="21">
        <v>0</v>
      </c>
      <c r="AH72" s="21">
        <v>0</v>
      </c>
      <c r="AI72" s="21">
        <v>0</v>
      </c>
      <c r="AJ72" s="21" t="s">
        <v>638</v>
      </c>
      <c r="AK72" s="21">
        <v>0</v>
      </c>
      <c r="AL72" s="21">
        <v>0</v>
      </c>
      <c r="AM72" s="21">
        <v>0</v>
      </c>
      <c r="AN72" s="21">
        <v>0</v>
      </c>
      <c r="AO72" s="21">
        <v>0</v>
      </c>
      <c r="AP72" s="21"/>
      <c r="AQ72" s="21">
        <v>0</v>
      </c>
      <c r="AR72" s="21">
        <v>0</v>
      </c>
      <c r="AS72" s="21">
        <v>477900</v>
      </c>
      <c r="AT72" s="21" t="s">
        <v>639</v>
      </c>
      <c r="AU72" s="21" t="s">
        <v>648</v>
      </c>
      <c r="AV72" s="21" t="s">
        <v>164</v>
      </c>
      <c r="AW72" s="21" t="s">
        <v>639</v>
      </c>
      <c r="AX72" s="21" t="s">
        <v>802</v>
      </c>
      <c r="AY72" s="21">
        <v>0</v>
      </c>
      <c r="AZ72" s="21">
        <v>405000</v>
      </c>
      <c r="BA72" s="21">
        <v>417</v>
      </c>
      <c r="BB72" s="23">
        <v>46242</v>
      </c>
      <c r="BC72" s="21" t="s">
        <v>176</v>
      </c>
      <c r="BD72" s="21" t="s">
        <v>641</v>
      </c>
      <c r="BE72" s="21" t="s">
        <v>641</v>
      </c>
      <c r="BF72" s="21">
        <v>9</v>
      </c>
      <c r="BG72" s="21">
        <v>36450</v>
      </c>
      <c r="BH72" s="21">
        <v>9</v>
      </c>
      <c r="BI72" s="21">
        <v>36450</v>
      </c>
      <c r="BJ72" s="21">
        <v>0</v>
      </c>
      <c r="BK72" s="21">
        <v>0</v>
      </c>
      <c r="BL72" s="21">
        <v>477900</v>
      </c>
      <c r="BM72" s="21">
        <v>662159460997</v>
      </c>
      <c r="BN72" s="23">
        <v>46242</v>
      </c>
      <c r="BO72" s="21">
        <v>10000</v>
      </c>
    </row>
    <row r="73" spans="1:67" hidden="1" x14ac:dyDescent="0.25">
      <c r="A73" s="22"/>
      <c r="B73" s="21" t="s">
        <v>167</v>
      </c>
      <c r="C73" s="23">
        <v>46242</v>
      </c>
      <c r="D73" s="21" t="s">
        <v>803</v>
      </c>
      <c r="E73" s="21" t="s">
        <v>804</v>
      </c>
      <c r="F73" s="21" t="s">
        <v>805</v>
      </c>
      <c r="G73" s="21" t="s">
        <v>806</v>
      </c>
      <c r="H73" s="21">
        <v>5000</v>
      </c>
      <c r="I73" s="21">
        <v>5000</v>
      </c>
      <c r="J73" s="21" t="s">
        <v>168</v>
      </c>
      <c r="K73" s="21">
        <v>5000</v>
      </c>
      <c r="L73" s="21">
        <v>0</v>
      </c>
      <c r="M73" s="21">
        <v>5000</v>
      </c>
      <c r="N73" s="21" t="s">
        <v>174</v>
      </c>
      <c r="O73" s="21" t="s">
        <v>633</v>
      </c>
      <c r="P73" s="21" t="s">
        <v>633</v>
      </c>
      <c r="Q73" s="21" t="s">
        <v>807</v>
      </c>
      <c r="R73" s="23">
        <v>46242</v>
      </c>
      <c r="S73" s="21" t="s">
        <v>635</v>
      </c>
      <c r="T73" s="21" t="s">
        <v>636</v>
      </c>
      <c r="U73" s="21" t="s">
        <v>808</v>
      </c>
      <c r="V73" s="21">
        <v>149.65</v>
      </c>
      <c r="W73" s="21">
        <v>149.65</v>
      </c>
      <c r="X73" s="21" t="s">
        <v>807</v>
      </c>
      <c r="Y73" s="23">
        <v>46242</v>
      </c>
      <c r="Z73" s="21"/>
      <c r="AA73" s="21">
        <v>0</v>
      </c>
      <c r="AB73" s="21"/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 t="s">
        <v>638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/>
      <c r="AQ73" s="21">
        <v>0</v>
      </c>
      <c r="AR73" s="21">
        <v>0</v>
      </c>
      <c r="AS73" s="21">
        <v>882935</v>
      </c>
      <c r="AT73" s="21" t="s">
        <v>639</v>
      </c>
      <c r="AU73" s="21" t="s">
        <v>648</v>
      </c>
      <c r="AV73" s="21" t="s">
        <v>166</v>
      </c>
      <c r="AW73" s="21" t="s">
        <v>639</v>
      </c>
      <c r="AX73" s="21" t="s">
        <v>802</v>
      </c>
      <c r="AY73" s="21">
        <v>0</v>
      </c>
      <c r="AZ73" s="21">
        <v>748250</v>
      </c>
      <c r="BA73" s="21">
        <v>416</v>
      </c>
      <c r="BB73" s="23">
        <v>46242</v>
      </c>
      <c r="BC73" s="21" t="s">
        <v>176</v>
      </c>
      <c r="BD73" s="21" t="s">
        <v>641</v>
      </c>
      <c r="BE73" s="21" t="s">
        <v>641</v>
      </c>
      <c r="BF73" s="21">
        <v>9</v>
      </c>
      <c r="BG73" s="21">
        <v>67342.5</v>
      </c>
      <c r="BH73" s="21">
        <v>9</v>
      </c>
      <c r="BI73" s="21">
        <v>67342.5</v>
      </c>
      <c r="BJ73" s="21">
        <v>0</v>
      </c>
      <c r="BK73" s="21">
        <v>0</v>
      </c>
      <c r="BL73" s="21">
        <v>882935</v>
      </c>
      <c r="BM73" s="21">
        <v>642159798438</v>
      </c>
      <c r="BN73" s="23">
        <v>46242</v>
      </c>
      <c r="BO73" s="21">
        <v>5000</v>
      </c>
    </row>
    <row r="74" spans="1:67" hidden="1" x14ac:dyDescent="0.25">
      <c r="A74" s="22"/>
      <c r="B74" s="21" t="s">
        <v>167</v>
      </c>
      <c r="C74" s="23">
        <v>46242</v>
      </c>
      <c r="D74" s="21" t="s">
        <v>809</v>
      </c>
      <c r="E74" s="21" t="s">
        <v>704</v>
      </c>
      <c r="F74" s="21" t="s">
        <v>705</v>
      </c>
      <c r="G74" s="21" t="s">
        <v>810</v>
      </c>
      <c r="H74" s="21">
        <v>824.38</v>
      </c>
      <c r="I74" s="21">
        <v>824.38</v>
      </c>
      <c r="J74" s="21" t="s">
        <v>184</v>
      </c>
      <c r="K74" s="21">
        <v>824.38</v>
      </c>
      <c r="L74" s="21">
        <v>0</v>
      </c>
      <c r="M74" s="21">
        <v>824.38</v>
      </c>
      <c r="N74" s="21" t="s">
        <v>174</v>
      </c>
      <c r="O74" s="21" t="s">
        <v>633</v>
      </c>
      <c r="P74" s="21" t="s">
        <v>633</v>
      </c>
      <c r="Q74" s="21" t="s">
        <v>811</v>
      </c>
      <c r="R74" s="23">
        <v>46242</v>
      </c>
      <c r="S74" s="21" t="s">
        <v>635</v>
      </c>
      <c r="T74" s="21" t="s">
        <v>636</v>
      </c>
      <c r="U74" s="21" t="s">
        <v>812</v>
      </c>
      <c r="V74" s="21">
        <v>154.32</v>
      </c>
      <c r="W74" s="21">
        <v>154.319998151569</v>
      </c>
      <c r="X74" s="21" t="s">
        <v>811</v>
      </c>
      <c r="Y74" s="23">
        <v>46242</v>
      </c>
      <c r="Z74" s="21"/>
      <c r="AA74" s="21">
        <v>0</v>
      </c>
      <c r="AB74" s="21"/>
      <c r="AC74" s="21">
        <v>0</v>
      </c>
      <c r="AD74" s="21">
        <v>0</v>
      </c>
      <c r="AE74" s="21">
        <v>0</v>
      </c>
      <c r="AF74" s="21">
        <v>0</v>
      </c>
      <c r="AG74" s="21">
        <v>0</v>
      </c>
      <c r="AH74" s="21">
        <v>0</v>
      </c>
      <c r="AI74" s="21">
        <v>0</v>
      </c>
      <c r="AJ74" s="21" t="s">
        <v>638</v>
      </c>
      <c r="AK74" s="21">
        <v>0</v>
      </c>
      <c r="AL74" s="21">
        <v>0</v>
      </c>
      <c r="AM74" s="21">
        <v>0</v>
      </c>
      <c r="AN74" s="21">
        <v>0</v>
      </c>
      <c r="AO74" s="21">
        <v>0</v>
      </c>
      <c r="AP74" s="21"/>
      <c r="AQ74" s="21">
        <v>0</v>
      </c>
      <c r="AR74" s="21">
        <v>0</v>
      </c>
      <c r="AS74" s="21">
        <v>133579.24</v>
      </c>
      <c r="AT74" s="21" t="s">
        <v>169</v>
      </c>
      <c r="AU74" s="21" t="s">
        <v>170</v>
      </c>
      <c r="AV74" s="21" t="s">
        <v>157</v>
      </c>
      <c r="AW74" s="21" t="s">
        <v>639</v>
      </c>
      <c r="AX74" s="21"/>
      <c r="AY74" s="21">
        <v>0</v>
      </c>
      <c r="AZ74" s="21">
        <v>127218.32</v>
      </c>
      <c r="BA74" s="21">
        <v>414</v>
      </c>
      <c r="BB74" s="23">
        <v>46242</v>
      </c>
      <c r="BC74" s="21" t="s">
        <v>176</v>
      </c>
      <c r="BD74" s="21" t="s">
        <v>641</v>
      </c>
      <c r="BE74" s="21" t="s">
        <v>641</v>
      </c>
      <c r="BF74" s="21">
        <v>2.5</v>
      </c>
      <c r="BG74" s="21">
        <v>3180.46</v>
      </c>
      <c r="BH74" s="21">
        <v>2.5</v>
      </c>
      <c r="BI74" s="21">
        <v>3180.46</v>
      </c>
      <c r="BJ74" s="21">
        <v>0</v>
      </c>
      <c r="BK74" s="21">
        <v>0</v>
      </c>
      <c r="BL74" s="21">
        <v>133579.24</v>
      </c>
      <c r="BM74" s="21">
        <v>632159672506</v>
      </c>
      <c r="BN74" s="23">
        <v>46242</v>
      </c>
      <c r="BO74" s="21">
        <v>824.38</v>
      </c>
    </row>
    <row r="75" spans="1:67" hidden="1" x14ac:dyDescent="0.25">
      <c r="A75" s="22"/>
      <c r="B75" s="21" t="s">
        <v>167</v>
      </c>
      <c r="C75" s="23">
        <v>46242</v>
      </c>
      <c r="D75" s="21" t="s">
        <v>813</v>
      </c>
      <c r="E75" s="21" t="s">
        <v>172</v>
      </c>
      <c r="F75" s="21" t="s">
        <v>173</v>
      </c>
      <c r="G75" s="21" t="s">
        <v>814</v>
      </c>
      <c r="H75" s="21">
        <v>258</v>
      </c>
      <c r="I75" s="21">
        <v>258</v>
      </c>
      <c r="J75" s="21" t="s">
        <v>168</v>
      </c>
      <c r="K75" s="21">
        <v>258</v>
      </c>
      <c r="L75" s="21">
        <v>0</v>
      </c>
      <c r="M75" s="21">
        <v>258</v>
      </c>
      <c r="N75" s="21" t="s">
        <v>174</v>
      </c>
      <c r="O75" s="21" t="s">
        <v>633</v>
      </c>
      <c r="P75" s="21" t="s">
        <v>633</v>
      </c>
      <c r="Q75" s="21" t="s">
        <v>815</v>
      </c>
      <c r="R75" s="23">
        <v>46242</v>
      </c>
      <c r="S75" s="21" t="s">
        <v>635</v>
      </c>
      <c r="T75" s="21" t="s">
        <v>636</v>
      </c>
      <c r="U75" s="21" t="s">
        <v>816</v>
      </c>
      <c r="V75" s="21">
        <v>176.86</v>
      </c>
      <c r="W75" s="21">
        <v>176.859996765657</v>
      </c>
      <c r="X75" s="21" t="s">
        <v>815</v>
      </c>
      <c r="Y75" s="23">
        <v>46242</v>
      </c>
      <c r="Z75" s="21"/>
      <c r="AA75" s="21">
        <v>0</v>
      </c>
      <c r="AB75" s="21"/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 t="s">
        <v>638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/>
      <c r="AQ75" s="21">
        <v>0</v>
      </c>
      <c r="AR75" s="21">
        <v>0</v>
      </c>
      <c r="AS75" s="21">
        <v>218727.54</v>
      </c>
      <c r="AT75" s="21" t="s">
        <v>169</v>
      </c>
      <c r="AU75" s="21" t="s">
        <v>175</v>
      </c>
      <c r="AV75" s="21" t="s">
        <v>159</v>
      </c>
      <c r="AW75" s="21" t="s">
        <v>639</v>
      </c>
      <c r="AX75" s="21" t="s">
        <v>640</v>
      </c>
      <c r="AY75" s="21">
        <v>0</v>
      </c>
      <c r="AZ75" s="21">
        <v>45629.88</v>
      </c>
      <c r="BA75" s="21">
        <v>415</v>
      </c>
      <c r="BB75" s="23">
        <v>46242</v>
      </c>
      <c r="BC75" s="21" t="s">
        <v>176</v>
      </c>
      <c r="BD75" s="21" t="s">
        <v>641</v>
      </c>
      <c r="BE75" s="21" t="s">
        <v>641</v>
      </c>
      <c r="BF75" s="21">
        <v>9</v>
      </c>
      <c r="BG75" s="21">
        <v>4106.6899999999996</v>
      </c>
      <c r="BH75" s="21">
        <v>9</v>
      </c>
      <c r="BI75" s="21">
        <v>4106.6899999999996</v>
      </c>
      <c r="BJ75" s="21">
        <v>0</v>
      </c>
      <c r="BK75" s="21">
        <v>0</v>
      </c>
      <c r="BL75" s="21">
        <v>218727.54</v>
      </c>
      <c r="BM75" s="21">
        <v>632159650049</v>
      </c>
      <c r="BN75" s="23">
        <v>46242</v>
      </c>
      <c r="BO75" s="21">
        <v>258</v>
      </c>
    </row>
    <row r="76" spans="1:67" hidden="1" x14ac:dyDescent="0.25">
      <c r="A76" s="22"/>
      <c r="B76" s="21" t="s">
        <v>167</v>
      </c>
      <c r="C76" s="23">
        <v>46242</v>
      </c>
      <c r="D76" s="21" t="s">
        <v>813</v>
      </c>
      <c r="E76" s="21" t="s">
        <v>180</v>
      </c>
      <c r="F76" s="21" t="s">
        <v>181</v>
      </c>
      <c r="G76" s="21" t="s">
        <v>814</v>
      </c>
      <c r="H76" s="21">
        <v>674.1</v>
      </c>
      <c r="I76" s="21">
        <v>674.1</v>
      </c>
      <c r="J76" s="21" t="s">
        <v>168</v>
      </c>
      <c r="K76" s="21">
        <v>674.1</v>
      </c>
      <c r="L76" s="21">
        <v>0</v>
      </c>
      <c r="M76" s="21">
        <v>674.1</v>
      </c>
      <c r="N76" s="21" t="s">
        <v>174</v>
      </c>
      <c r="O76" s="21" t="s">
        <v>633</v>
      </c>
      <c r="P76" s="21" t="s">
        <v>633</v>
      </c>
      <c r="Q76" s="21" t="s">
        <v>815</v>
      </c>
      <c r="R76" s="23">
        <v>46242</v>
      </c>
      <c r="S76" s="21" t="s">
        <v>635</v>
      </c>
      <c r="T76" s="21" t="s">
        <v>636</v>
      </c>
      <c r="U76" s="21" t="s">
        <v>816</v>
      </c>
      <c r="V76" s="21">
        <v>147.32</v>
      </c>
      <c r="W76" s="21">
        <v>147.31999730587199</v>
      </c>
      <c r="X76" s="21" t="s">
        <v>815</v>
      </c>
      <c r="Y76" s="23">
        <v>46242</v>
      </c>
      <c r="Z76" s="21"/>
      <c r="AA76" s="21">
        <v>0</v>
      </c>
      <c r="AB76" s="21"/>
      <c r="AC76" s="21">
        <v>0</v>
      </c>
      <c r="AD76" s="21">
        <v>0</v>
      </c>
      <c r="AE76" s="21">
        <v>0</v>
      </c>
      <c r="AF76" s="21">
        <v>0</v>
      </c>
      <c r="AG76" s="21">
        <v>0</v>
      </c>
      <c r="AH76" s="21">
        <v>0</v>
      </c>
      <c r="AI76" s="21">
        <v>0</v>
      </c>
      <c r="AJ76" s="21" t="s">
        <v>638</v>
      </c>
      <c r="AK76" s="21">
        <v>0</v>
      </c>
      <c r="AL76" s="21">
        <v>0</v>
      </c>
      <c r="AM76" s="21">
        <v>0</v>
      </c>
      <c r="AN76" s="21">
        <v>0</v>
      </c>
      <c r="AO76" s="21">
        <v>0</v>
      </c>
      <c r="AP76" s="21"/>
      <c r="AQ76" s="21">
        <v>0</v>
      </c>
      <c r="AR76" s="21">
        <v>0</v>
      </c>
      <c r="AS76" s="21">
        <v>218727.54</v>
      </c>
      <c r="AT76" s="21" t="s">
        <v>169</v>
      </c>
      <c r="AU76" s="21" t="s">
        <v>181</v>
      </c>
      <c r="AV76" s="21" t="s">
        <v>154</v>
      </c>
      <c r="AW76" s="21" t="s">
        <v>639</v>
      </c>
      <c r="AX76" s="21" t="s">
        <v>640</v>
      </c>
      <c r="AY76" s="21">
        <v>0</v>
      </c>
      <c r="AZ76" s="21">
        <v>99308.41</v>
      </c>
      <c r="BA76" s="21">
        <v>415</v>
      </c>
      <c r="BB76" s="23">
        <v>46242</v>
      </c>
      <c r="BC76" s="21" t="s">
        <v>176</v>
      </c>
      <c r="BD76" s="21" t="s">
        <v>641</v>
      </c>
      <c r="BE76" s="21" t="s">
        <v>641</v>
      </c>
      <c r="BF76" s="21">
        <v>9</v>
      </c>
      <c r="BG76" s="21">
        <v>8937.76</v>
      </c>
      <c r="BH76" s="21">
        <v>9</v>
      </c>
      <c r="BI76" s="21">
        <v>8937.76</v>
      </c>
      <c r="BJ76" s="21">
        <v>0</v>
      </c>
      <c r="BK76" s="21">
        <v>0</v>
      </c>
      <c r="BL76" s="21">
        <v>0</v>
      </c>
      <c r="BM76" s="21">
        <v>632159650049</v>
      </c>
      <c r="BN76" s="23">
        <v>46242</v>
      </c>
      <c r="BO76" s="21">
        <v>674.1</v>
      </c>
    </row>
    <row r="77" spans="1:67" hidden="1" x14ac:dyDescent="0.25">
      <c r="A77" s="22"/>
      <c r="B77" s="21" t="s">
        <v>167</v>
      </c>
      <c r="C77" s="23">
        <v>46242</v>
      </c>
      <c r="D77" s="21" t="s">
        <v>813</v>
      </c>
      <c r="E77" s="21" t="s">
        <v>180</v>
      </c>
      <c r="F77" s="21" t="s">
        <v>181</v>
      </c>
      <c r="G77" s="21" t="s">
        <v>814</v>
      </c>
      <c r="H77" s="21">
        <v>280.10000000000002</v>
      </c>
      <c r="I77" s="21">
        <v>280.10000000000002</v>
      </c>
      <c r="J77" s="21" t="s">
        <v>168</v>
      </c>
      <c r="K77" s="21">
        <v>280.10000000000002</v>
      </c>
      <c r="L77" s="21">
        <v>0</v>
      </c>
      <c r="M77" s="21">
        <v>280.10000000000002</v>
      </c>
      <c r="N77" s="21" t="s">
        <v>174</v>
      </c>
      <c r="O77" s="21" t="s">
        <v>633</v>
      </c>
      <c r="P77" s="21" t="s">
        <v>633</v>
      </c>
      <c r="Q77" s="21" t="s">
        <v>815</v>
      </c>
      <c r="R77" s="23">
        <v>46242</v>
      </c>
      <c r="S77" s="21" t="s">
        <v>635</v>
      </c>
      <c r="T77" s="21" t="s">
        <v>636</v>
      </c>
      <c r="U77" s="21" t="s">
        <v>816</v>
      </c>
      <c r="V77" s="21">
        <v>144.32</v>
      </c>
      <c r="W77" s="21">
        <v>144.31999736073499</v>
      </c>
      <c r="X77" s="21" t="s">
        <v>815</v>
      </c>
      <c r="Y77" s="23">
        <v>46242</v>
      </c>
      <c r="Z77" s="21"/>
      <c r="AA77" s="21">
        <v>0</v>
      </c>
      <c r="AB77" s="21"/>
      <c r="AC77" s="21">
        <v>0</v>
      </c>
      <c r="AD77" s="21">
        <v>0</v>
      </c>
      <c r="AE77" s="21">
        <v>0</v>
      </c>
      <c r="AF77" s="21">
        <v>0</v>
      </c>
      <c r="AG77" s="21">
        <v>0</v>
      </c>
      <c r="AH77" s="21">
        <v>0</v>
      </c>
      <c r="AI77" s="21">
        <v>0</v>
      </c>
      <c r="AJ77" s="21" t="s">
        <v>638</v>
      </c>
      <c r="AK77" s="21">
        <v>0</v>
      </c>
      <c r="AL77" s="21">
        <v>0</v>
      </c>
      <c r="AM77" s="21">
        <v>0</v>
      </c>
      <c r="AN77" s="21">
        <v>0</v>
      </c>
      <c r="AO77" s="21">
        <v>0</v>
      </c>
      <c r="AP77" s="21"/>
      <c r="AQ77" s="21">
        <v>0</v>
      </c>
      <c r="AR77" s="21">
        <v>0</v>
      </c>
      <c r="AS77" s="21">
        <v>218727.54</v>
      </c>
      <c r="AT77" s="21" t="s">
        <v>169</v>
      </c>
      <c r="AU77" s="21" t="s">
        <v>181</v>
      </c>
      <c r="AV77" s="21" t="s">
        <v>154</v>
      </c>
      <c r="AW77" s="21" t="s">
        <v>639</v>
      </c>
      <c r="AX77" s="21" t="s">
        <v>640</v>
      </c>
      <c r="AY77" s="21">
        <v>0</v>
      </c>
      <c r="AZ77" s="21">
        <v>40424.03</v>
      </c>
      <c r="BA77" s="21">
        <v>415</v>
      </c>
      <c r="BB77" s="23">
        <v>46242</v>
      </c>
      <c r="BC77" s="21" t="s">
        <v>176</v>
      </c>
      <c r="BD77" s="21" t="s">
        <v>641</v>
      </c>
      <c r="BE77" s="21" t="s">
        <v>641</v>
      </c>
      <c r="BF77" s="21">
        <v>9</v>
      </c>
      <c r="BG77" s="21">
        <v>3638.16</v>
      </c>
      <c r="BH77" s="21">
        <v>9</v>
      </c>
      <c r="BI77" s="21">
        <v>3638.16</v>
      </c>
      <c r="BJ77" s="21">
        <v>0</v>
      </c>
      <c r="BK77" s="21">
        <v>0</v>
      </c>
      <c r="BL77" s="21">
        <v>0</v>
      </c>
      <c r="BM77" s="21">
        <v>632159650049</v>
      </c>
      <c r="BN77" s="23">
        <v>46242</v>
      </c>
      <c r="BO77" s="21">
        <v>280.10000000000002</v>
      </c>
    </row>
    <row r="78" spans="1:67" hidden="1" x14ac:dyDescent="0.25">
      <c r="A78" s="22"/>
      <c r="B78" s="21" t="s">
        <v>167</v>
      </c>
      <c r="C78" s="23">
        <v>46273</v>
      </c>
      <c r="D78" s="21" t="s">
        <v>817</v>
      </c>
      <c r="E78" s="21" t="s">
        <v>182</v>
      </c>
      <c r="F78" s="21" t="s">
        <v>183</v>
      </c>
      <c r="G78" s="21" t="s">
        <v>818</v>
      </c>
      <c r="H78" s="21">
        <v>2271</v>
      </c>
      <c r="I78" s="21">
        <v>2271</v>
      </c>
      <c r="J78" s="21" t="s">
        <v>168</v>
      </c>
      <c r="K78" s="21">
        <v>2271</v>
      </c>
      <c r="L78" s="21">
        <v>0</v>
      </c>
      <c r="M78" s="21">
        <v>2271</v>
      </c>
      <c r="N78" s="21" t="s">
        <v>819</v>
      </c>
      <c r="O78" s="21" t="s">
        <v>663</v>
      </c>
      <c r="P78" s="21" t="s">
        <v>663</v>
      </c>
      <c r="Q78" s="21" t="s">
        <v>820</v>
      </c>
      <c r="R78" s="23">
        <v>46242</v>
      </c>
      <c r="S78" s="21" t="s">
        <v>635</v>
      </c>
      <c r="T78" s="21" t="s">
        <v>636</v>
      </c>
      <c r="U78" s="21" t="s">
        <v>821</v>
      </c>
      <c r="V78" s="21">
        <v>156.49</v>
      </c>
      <c r="W78" s="21">
        <v>156.49</v>
      </c>
      <c r="X78" s="21" t="s">
        <v>820</v>
      </c>
      <c r="Y78" s="23">
        <v>46242</v>
      </c>
      <c r="Z78" s="21"/>
      <c r="AA78" s="21">
        <v>0</v>
      </c>
      <c r="AB78" s="21"/>
      <c r="AC78" s="21" t="s">
        <v>750</v>
      </c>
      <c r="AD78" s="21">
        <v>2707</v>
      </c>
      <c r="AE78" s="21">
        <v>0</v>
      </c>
      <c r="AF78" s="21">
        <v>0</v>
      </c>
      <c r="AG78" s="21">
        <v>0</v>
      </c>
      <c r="AH78" s="21">
        <v>0</v>
      </c>
      <c r="AI78" s="21">
        <v>0</v>
      </c>
      <c r="AJ78" s="21" t="s">
        <v>638</v>
      </c>
      <c r="AK78" s="21">
        <v>0</v>
      </c>
      <c r="AL78" s="21">
        <v>0</v>
      </c>
      <c r="AM78" s="21">
        <v>0</v>
      </c>
      <c r="AN78" s="21">
        <v>0</v>
      </c>
      <c r="AO78" s="21">
        <v>0</v>
      </c>
      <c r="AP78" s="21"/>
      <c r="AQ78" s="21">
        <v>0</v>
      </c>
      <c r="AR78" s="21">
        <v>0</v>
      </c>
      <c r="AS78" s="21">
        <v>686650.24</v>
      </c>
      <c r="AT78" s="21" t="s">
        <v>169</v>
      </c>
      <c r="AU78" s="21" t="s">
        <v>179</v>
      </c>
      <c r="AV78" s="21" t="s">
        <v>155</v>
      </c>
      <c r="AW78" s="21" t="s">
        <v>639</v>
      </c>
      <c r="AX78" s="21" t="s">
        <v>640</v>
      </c>
      <c r="AY78" s="21">
        <v>0</v>
      </c>
      <c r="AZ78" s="21">
        <v>355388.79</v>
      </c>
      <c r="BA78" s="21">
        <v>418</v>
      </c>
      <c r="BB78" s="23">
        <v>46273</v>
      </c>
      <c r="BC78" s="21" t="s">
        <v>185</v>
      </c>
      <c r="BD78" s="21" t="s">
        <v>641</v>
      </c>
      <c r="BE78" s="21" t="s">
        <v>641</v>
      </c>
      <c r="BF78" s="21">
        <v>9</v>
      </c>
      <c r="BG78" s="21">
        <v>31984.99</v>
      </c>
      <c r="BH78" s="21">
        <v>9</v>
      </c>
      <c r="BI78" s="21">
        <v>31984.99</v>
      </c>
      <c r="BJ78" s="21">
        <v>0</v>
      </c>
      <c r="BK78" s="21">
        <v>0</v>
      </c>
      <c r="BL78" s="21">
        <v>686650.24</v>
      </c>
      <c r="BM78" s="21">
        <v>692159705826</v>
      </c>
      <c r="BN78" s="23">
        <v>46242</v>
      </c>
      <c r="BO78" s="21">
        <v>2271</v>
      </c>
    </row>
    <row r="79" spans="1:67" hidden="1" x14ac:dyDescent="0.25">
      <c r="A79" s="22"/>
      <c r="B79" s="21" t="s">
        <v>167</v>
      </c>
      <c r="C79" s="23">
        <v>46273</v>
      </c>
      <c r="D79" s="21" t="s">
        <v>817</v>
      </c>
      <c r="E79" s="21" t="s">
        <v>172</v>
      </c>
      <c r="F79" s="21" t="s">
        <v>173</v>
      </c>
      <c r="G79" s="21" t="s">
        <v>818</v>
      </c>
      <c r="H79" s="21">
        <v>1044</v>
      </c>
      <c r="I79" s="21">
        <v>1044</v>
      </c>
      <c r="J79" s="21" t="s">
        <v>168</v>
      </c>
      <c r="K79" s="21">
        <v>1044</v>
      </c>
      <c r="L79" s="21">
        <v>0</v>
      </c>
      <c r="M79" s="21">
        <v>1044</v>
      </c>
      <c r="N79" s="21" t="s">
        <v>819</v>
      </c>
      <c r="O79" s="21" t="s">
        <v>663</v>
      </c>
      <c r="P79" s="21" t="s">
        <v>663</v>
      </c>
      <c r="Q79" s="21" t="s">
        <v>820</v>
      </c>
      <c r="R79" s="23">
        <v>46242</v>
      </c>
      <c r="S79" s="21" t="s">
        <v>635</v>
      </c>
      <c r="T79" s="21" t="s">
        <v>636</v>
      </c>
      <c r="U79" s="21" t="s">
        <v>821</v>
      </c>
      <c r="V79" s="21">
        <v>170.95</v>
      </c>
      <c r="W79" s="21">
        <v>170.95</v>
      </c>
      <c r="X79" s="21" t="s">
        <v>820</v>
      </c>
      <c r="Y79" s="23">
        <v>46242</v>
      </c>
      <c r="Z79" s="21"/>
      <c r="AA79" s="21">
        <v>0</v>
      </c>
      <c r="AB79" s="21"/>
      <c r="AC79" s="21" t="s">
        <v>750</v>
      </c>
      <c r="AD79" s="21">
        <v>2707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 t="s">
        <v>638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/>
      <c r="AQ79" s="21">
        <v>0</v>
      </c>
      <c r="AR79" s="21">
        <v>0</v>
      </c>
      <c r="AS79" s="21">
        <v>686650.24</v>
      </c>
      <c r="AT79" s="21" t="s">
        <v>169</v>
      </c>
      <c r="AU79" s="21" t="s">
        <v>175</v>
      </c>
      <c r="AV79" s="21" t="s">
        <v>159</v>
      </c>
      <c r="AW79" s="21" t="s">
        <v>639</v>
      </c>
      <c r="AX79" s="21" t="s">
        <v>640</v>
      </c>
      <c r="AY79" s="21">
        <v>0</v>
      </c>
      <c r="AZ79" s="21">
        <v>178471.8</v>
      </c>
      <c r="BA79" s="21">
        <v>418</v>
      </c>
      <c r="BB79" s="23">
        <v>46273</v>
      </c>
      <c r="BC79" s="21" t="s">
        <v>185</v>
      </c>
      <c r="BD79" s="21" t="s">
        <v>641</v>
      </c>
      <c r="BE79" s="21" t="s">
        <v>641</v>
      </c>
      <c r="BF79" s="21">
        <v>9</v>
      </c>
      <c r="BG79" s="21">
        <v>16062.46</v>
      </c>
      <c r="BH79" s="21">
        <v>9</v>
      </c>
      <c r="BI79" s="21">
        <v>16062.46</v>
      </c>
      <c r="BJ79" s="21">
        <v>0</v>
      </c>
      <c r="BK79" s="21">
        <v>0</v>
      </c>
      <c r="BL79" s="21">
        <v>0</v>
      </c>
      <c r="BM79" s="21">
        <v>692159705826</v>
      </c>
      <c r="BN79" s="23">
        <v>46242</v>
      </c>
      <c r="BO79" s="21">
        <v>1044</v>
      </c>
    </row>
    <row r="80" spans="1:67" hidden="1" x14ac:dyDescent="0.25">
      <c r="A80" s="22"/>
      <c r="B80" s="21" t="s">
        <v>167</v>
      </c>
      <c r="C80" s="23">
        <v>46273</v>
      </c>
      <c r="D80" s="21" t="s">
        <v>817</v>
      </c>
      <c r="E80" s="21" t="s">
        <v>182</v>
      </c>
      <c r="F80" s="21" t="s">
        <v>183</v>
      </c>
      <c r="G80" s="21" t="s">
        <v>818</v>
      </c>
      <c r="H80" s="21">
        <v>311</v>
      </c>
      <c r="I80" s="21">
        <v>311</v>
      </c>
      <c r="J80" s="21" t="s">
        <v>168</v>
      </c>
      <c r="K80" s="21">
        <v>311</v>
      </c>
      <c r="L80" s="21">
        <v>0</v>
      </c>
      <c r="M80" s="21">
        <v>311</v>
      </c>
      <c r="N80" s="21" t="s">
        <v>819</v>
      </c>
      <c r="O80" s="21" t="s">
        <v>663</v>
      </c>
      <c r="P80" s="21" t="s">
        <v>663</v>
      </c>
      <c r="Q80" s="21" t="s">
        <v>820</v>
      </c>
      <c r="R80" s="23">
        <v>46242</v>
      </c>
      <c r="S80" s="21" t="s">
        <v>635</v>
      </c>
      <c r="T80" s="21" t="s">
        <v>636</v>
      </c>
      <c r="U80" s="21" t="s">
        <v>821</v>
      </c>
      <c r="V80" s="21">
        <v>154.49</v>
      </c>
      <c r="W80" s="21">
        <v>154.49</v>
      </c>
      <c r="X80" s="21" t="s">
        <v>820</v>
      </c>
      <c r="Y80" s="23">
        <v>46242</v>
      </c>
      <c r="Z80" s="21"/>
      <c r="AA80" s="21">
        <v>0</v>
      </c>
      <c r="AB80" s="21"/>
      <c r="AC80" s="21" t="s">
        <v>750</v>
      </c>
      <c r="AD80" s="21">
        <v>2707</v>
      </c>
      <c r="AE80" s="21">
        <v>0</v>
      </c>
      <c r="AF80" s="21">
        <v>0</v>
      </c>
      <c r="AG80" s="21">
        <v>0</v>
      </c>
      <c r="AH80" s="21">
        <v>0</v>
      </c>
      <c r="AI80" s="21">
        <v>0</v>
      </c>
      <c r="AJ80" s="21" t="s">
        <v>638</v>
      </c>
      <c r="AK80" s="21">
        <v>0</v>
      </c>
      <c r="AL80" s="21">
        <v>0</v>
      </c>
      <c r="AM80" s="21">
        <v>0</v>
      </c>
      <c r="AN80" s="21">
        <v>0</v>
      </c>
      <c r="AO80" s="21">
        <v>0</v>
      </c>
      <c r="AP80" s="21"/>
      <c r="AQ80" s="21">
        <v>0</v>
      </c>
      <c r="AR80" s="21">
        <v>0</v>
      </c>
      <c r="AS80" s="21">
        <v>686650.24</v>
      </c>
      <c r="AT80" s="21" t="s">
        <v>169</v>
      </c>
      <c r="AU80" s="21" t="s">
        <v>179</v>
      </c>
      <c r="AV80" s="21" t="s">
        <v>155</v>
      </c>
      <c r="AW80" s="21" t="s">
        <v>639</v>
      </c>
      <c r="AX80" s="21" t="s">
        <v>640</v>
      </c>
      <c r="AY80" s="21">
        <v>0</v>
      </c>
      <c r="AZ80" s="21">
        <v>48046.39</v>
      </c>
      <c r="BA80" s="21">
        <v>418</v>
      </c>
      <c r="BB80" s="23">
        <v>46273</v>
      </c>
      <c r="BC80" s="21" t="s">
        <v>185</v>
      </c>
      <c r="BD80" s="21" t="s">
        <v>641</v>
      </c>
      <c r="BE80" s="21" t="s">
        <v>641</v>
      </c>
      <c r="BF80" s="21">
        <v>9</v>
      </c>
      <c r="BG80" s="21">
        <v>4324.18</v>
      </c>
      <c r="BH80" s="21">
        <v>9</v>
      </c>
      <c r="BI80" s="21">
        <v>4324.18</v>
      </c>
      <c r="BJ80" s="21">
        <v>0</v>
      </c>
      <c r="BK80" s="21">
        <v>0</v>
      </c>
      <c r="BL80" s="21">
        <v>0</v>
      </c>
      <c r="BM80" s="21">
        <v>692159705826</v>
      </c>
      <c r="BN80" s="23">
        <v>46242</v>
      </c>
      <c r="BO80" s="21">
        <v>311</v>
      </c>
    </row>
    <row r="81" spans="1:67" hidden="1" x14ac:dyDescent="0.25">
      <c r="A81" s="22"/>
      <c r="B81" s="21" t="s">
        <v>167</v>
      </c>
      <c r="C81" s="23">
        <v>46273</v>
      </c>
      <c r="D81" s="21" t="s">
        <v>822</v>
      </c>
      <c r="E81" s="21" t="s">
        <v>180</v>
      </c>
      <c r="F81" s="21" t="s">
        <v>181</v>
      </c>
      <c r="G81" s="21" t="s">
        <v>823</v>
      </c>
      <c r="H81" s="21">
        <v>744.1</v>
      </c>
      <c r="I81" s="21">
        <v>744.1</v>
      </c>
      <c r="J81" s="21" t="s">
        <v>168</v>
      </c>
      <c r="K81" s="21">
        <v>744.1</v>
      </c>
      <c r="L81" s="21">
        <v>0</v>
      </c>
      <c r="M81" s="21">
        <v>744.1</v>
      </c>
      <c r="N81" s="21" t="s">
        <v>174</v>
      </c>
      <c r="O81" s="21" t="s">
        <v>633</v>
      </c>
      <c r="P81" s="21" t="s">
        <v>633</v>
      </c>
      <c r="Q81" s="21" t="s">
        <v>824</v>
      </c>
      <c r="R81" s="23">
        <v>46273</v>
      </c>
      <c r="S81" s="21" t="s">
        <v>635</v>
      </c>
      <c r="T81" s="21" t="s">
        <v>636</v>
      </c>
      <c r="U81" s="21" t="s">
        <v>825</v>
      </c>
      <c r="V81" s="21">
        <v>147.32</v>
      </c>
      <c r="W81" s="21">
        <v>147.32000090033301</v>
      </c>
      <c r="X81" s="21" t="s">
        <v>824</v>
      </c>
      <c r="Y81" s="23">
        <v>46273</v>
      </c>
      <c r="Z81" s="21"/>
      <c r="AA81" s="21">
        <v>0</v>
      </c>
      <c r="AB81" s="21"/>
      <c r="AC81" s="21">
        <v>0</v>
      </c>
      <c r="AD81" s="21">
        <v>0</v>
      </c>
      <c r="AE81" s="21">
        <v>0</v>
      </c>
      <c r="AF81" s="21">
        <v>0</v>
      </c>
      <c r="AG81" s="21">
        <v>0</v>
      </c>
      <c r="AH81" s="21">
        <v>0</v>
      </c>
      <c r="AI81" s="21">
        <v>0</v>
      </c>
      <c r="AJ81" s="21" t="s">
        <v>638</v>
      </c>
      <c r="AK81" s="21">
        <v>0</v>
      </c>
      <c r="AL81" s="21">
        <v>0</v>
      </c>
      <c r="AM81" s="21">
        <v>0</v>
      </c>
      <c r="AN81" s="21">
        <v>0</v>
      </c>
      <c r="AO81" s="21">
        <v>0</v>
      </c>
      <c r="AP81" s="21"/>
      <c r="AQ81" s="21">
        <v>0</v>
      </c>
      <c r="AR81" s="21">
        <v>0</v>
      </c>
      <c r="AS81" s="21">
        <v>327256.55</v>
      </c>
      <c r="AT81" s="21" t="s">
        <v>169</v>
      </c>
      <c r="AU81" s="21" t="s">
        <v>181</v>
      </c>
      <c r="AV81" s="21" t="s">
        <v>154</v>
      </c>
      <c r="AW81" s="21" t="s">
        <v>639</v>
      </c>
      <c r="AX81" s="21" t="s">
        <v>640</v>
      </c>
      <c r="AY81" s="21">
        <v>0</v>
      </c>
      <c r="AZ81" s="21">
        <v>109620.81</v>
      </c>
      <c r="BA81" s="21">
        <v>420</v>
      </c>
      <c r="BB81" s="23">
        <v>46273</v>
      </c>
      <c r="BC81" s="21" t="s">
        <v>176</v>
      </c>
      <c r="BD81" s="21" t="s">
        <v>641</v>
      </c>
      <c r="BE81" s="21" t="s">
        <v>641</v>
      </c>
      <c r="BF81" s="21">
        <v>9</v>
      </c>
      <c r="BG81" s="21">
        <v>9865.8700000000008</v>
      </c>
      <c r="BH81" s="21">
        <v>9</v>
      </c>
      <c r="BI81" s="21">
        <v>9865.8700000000008</v>
      </c>
      <c r="BJ81" s="21">
        <v>0</v>
      </c>
      <c r="BK81" s="21">
        <v>0</v>
      </c>
      <c r="BL81" s="21">
        <v>327256.55</v>
      </c>
      <c r="BM81" s="21">
        <v>622160187968</v>
      </c>
      <c r="BN81" s="23">
        <v>46243</v>
      </c>
      <c r="BO81" s="21">
        <v>744.1</v>
      </c>
    </row>
    <row r="82" spans="1:67" hidden="1" x14ac:dyDescent="0.25">
      <c r="A82" s="22"/>
      <c r="B82" s="21" t="s">
        <v>167</v>
      </c>
      <c r="C82" s="23">
        <v>46273</v>
      </c>
      <c r="D82" s="21" t="s">
        <v>822</v>
      </c>
      <c r="E82" s="21" t="s">
        <v>180</v>
      </c>
      <c r="F82" s="21" t="s">
        <v>181</v>
      </c>
      <c r="G82" s="21" t="s">
        <v>823</v>
      </c>
      <c r="H82" s="21">
        <v>525.79999999999995</v>
      </c>
      <c r="I82" s="21">
        <v>525.79999999999995</v>
      </c>
      <c r="J82" s="21" t="s">
        <v>168</v>
      </c>
      <c r="K82" s="21">
        <v>525.79999999999995</v>
      </c>
      <c r="L82" s="21">
        <v>0</v>
      </c>
      <c r="M82" s="21">
        <v>525.79999999999995</v>
      </c>
      <c r="N82" s="21" t="s">
        <v>174</v>
      </c>
      <c r="O82" s="21" t="s">
        <v>633</v>
      </c>
      <c r="P82" s="21" t="s">
        <v>633</v>
      </c>
      <c r="Q82" s="21" t="s">
        <v>824</v>
      </c>
      <c r="R82" s="23">
        <v>46273</v>
      </c>
      <c r="S82" s="21" t="s">
        <v>635</v>
      </c>
      <c r="T82" s="21" t="s">
        <v>636</v>
      </c>
      <c r="U82" s="21" t="s">
        <v>825</v>
      </c>
      <c r="V82" s="21">
        <v>144.32</v>
      </c>
      <c r="W82" s="21">
        <v>144.32000088199899</v>
      </c>
      <c r="X82" s="21" t="s">
        <v>824</v>
      </c>
      <c r="Y82" s="23">
        <v>46273</v>
      </c>
      <c r="Z82" s="21"/>
      <c r="AA82" s="21">
        <v>0</v>
      </c>
      <c r="AB82" s="21"/>
      <c r="AC82" s="21">
        <v>0</v>
      </c>
      <c r="AD82" s="21">
        <v>0</v>
      </c>
      <c r="AE82" s="21">
        <v>0</v>
      </c>
      <c r="AF82" s="21">
        <v>0</v>
      </c>
      <c r="AG82" s="21">
        <v>0</v>
      </c>
      <c r="AH82" s="21">
        <v>0</v>
      </c>
      <c r="AI82" s="21">
        <v>0</v>
      </c>
      <c r="AJ82" s="21" t="s">
        <v>638</v>
      </c>
      <c r="AK82" s="21">
        <v>0</v>
      </c>
      <c r="AL82" s="21">
        <v>0</v>
      </c>
      <c r="AM82" s="21">
        <v>0</v>
      </c>
      <c r="AN82" s="21">
        <v>0</v>
      </c>
      <c r="AO82" s="21">
        <v>0</v>
      </c>
      <c r="AP82" s="21"/>
      <c r="AQ82" s="21">
        <v>0</v>
      </c>
      <c r="AR82" s="21">
        <v>0</v>
      </c>
      <c r="AS82" s="21">
        <v>327256.55</v>
      </c>
      <c r="AT82" s="21" t="s">
        <v>169</v>
      </c>
      <c r="AU82" s="21" t="s">
        <v>181</v>
      </c>
      <c r="AV82" s="21" t="s">
        <v>154</v>
      </c>
      <c r="AW82" s="21" t="s">
        <v>639</v>
      </c>
      <c r="AX82" s="21" t="s">
        <v>640</v>
      </c>
      <c r="AY82" s="21">
        <v>0</v>
      </c>
      <c r="AZ82" s="21">
        <v>75883.460000000006</v>
      </c>
      <c r="BA82" s="21">
        <v>420</v>
      </c>
      <c r="BB82" s="23">
        <v>46273</v>
      </c>
      <c r="BC82" s="21" t="s">
        <v>176</v>
      </c>
      <c r="BD82" s="21" t="s">
        <v>641</v>
      </c>
      <c r="BE82" s="21" t="s">
        <v>641</v>
      </c>
      <c r="BF82" s="21">
        <v>9</v>
      </c>
      <c r="BG82" s="21">
        <v>6829.51</v>
      </c>
      <c r="BH82" s="21">
        <v>9</v>
      </c>
      <c r="BI82" s="21">
        <v>6829.51</v>
      </c>
      <c r="BJ82" s="21">
        <v>0</v>
      </c>
      <c r="BK82" s="21">
        <v>0</v>
      </c>
      <c r="BL82" s="21">
        <v>0</v>
      </c>
      <c r="BM82" s="21">
        <v>622160187968</v>
      </c>
      <c r="BN82" s="23">
        <v>46243</v>
      </c>
      <c r="BO82" s="21">
        <v>525.79999999999995</v>
      </c>
    </row>
    <row r="83" spans="1:67" hidden="1" x14ac:dyDescent="0.25">
      <c r="A83" s="22"/>
      <c r="B83" s="21" t="s">
        <v>167</v>
      </c>
      <c r="C83" s="23">
        <v>46273</v>
      </c>
      <c r="D83" s="21" t="s">
        <v>822</v>
      </c>
      <c r="E83" s="21" t="s">
        <v>177</v>
      </c>
      <c r="F83" s="21" t="s">
        <v>178</v>
      </c>
      <c r="G83" s="21" t="s">
        <v>823</v>
      </c>
      <c r="H83" s="21">
        <v>615</v>
      </c>
      <c r="I83" s="21">
        <v>615</v>
      </c>
      <c r="J83" s="21" t="s">
        <v>168</v>
      </c>
      <c r="K83" s="21">
        <v>615</v>
      </c>
      <c r="L83" s="21">
        <v>0</v>
      </c>
      <c r="M83" s="21">
        <v>615</v>
      </c>
      <c r="N83" s="21" t="s">
        <v>174</v>
      </c>
      <c r="O83" s="21" t="s">
        <v>633</v>
      </c>
      <c r="P83" s="21" t="s">
        <v>633</v>
      </c>
      <c r="Q83" s="21" t="s">
        <v>824</v>
      </c>
      <c r="R83" s="23">
        <v>46273</v>
      </c>
      <c r="S83" s="21" t="s">
        <v>635</v>
      </c>
      <c r="T83" s="21" t="s">
        <v>636</v>
      </c>
      <c r="U83" s="21" t="s">
        <v>825</v>
      </c>
      <c r="V83" s="21">
        <v>149.32</v>
      </c>
      <c r="W83" s="21">
        <v>149.320000912556</v>
      </c>
      <c r="X83" s="21" t="s">
        <v>824</v>
      </c>
      <c r="Y83" s="23">
        <v>46273</v>
      </c>
      <c r="Z83" s="21"/>
      <c r="AA83" s="21">
        <v>0</v>
      </c>
      <c r="AB83" s="21"/>
      <c r="AC83" s="21">
        <v>0</v>
      </c>
      <c r="AD83" s="21">
        <v>0</v>
      </c>
      <c r="AE83" s="21">
        <v>0</v>
      </c>
      <c r="AF83" s="21">
        <v>0</v>
      </c>
      <c r="AG83" s="21">
        <v>0</v>
      </c>
      <c r="AH83" s="21">
        <v>0</v>
      </c>
      <c r="AI83" s="21">
        <v>0</v>
      </c>
      <c r="AJ83" s="21" t="s">
        <v>638</v>
      </c>
      <c r="AK83" s="21">
        <v>0</v>
      </c>
      <c r="AL83" s="21">
        <v>0</v>
      </c>
      <c r="AM83" s="21">
        <v>0</v>
      </c>
      <c r="AN83" s="21">
        <v>0</v>
      </c>
      <c r="AO83" s="21">
        <v>0</v>
      </c>
      <c r="AP83" s="21"/>
      <c r="AQ83" s="21">
        <v>0</v>
      </c>
      <c r="AR83" s="21">
        <v>0</v>
      </c>
      <c r="AS83" s="21">
        <v>327256.55</v>
      </c>
      <c r="AT83" s="21" t="s">
        <v>169</v>
      </c>
      <c r="AU83" s="21" t="s">
        <v>179</v>
      </c>
      <c r="AV83" s="21" t="s">
        <v>156</v>
      </c>
      <c r="AW83" s="21" t="s">
        <v>639</v>
      </c>
      <c r="AX83" s="21" t="s">
        <v>640</v>
      </c>
      <c r="AY83" s="21">
        <v>0</v>
      </c>
      <c r="AZ83" s="21">
        <v>91831.8</v>
      </c>
      <c r="BA83" s="21">
        <v>420</v>
      </c>
      <c r="BB83" s="23">
        <v>46273</v>
      </c>
      <c r="BC83" s="21" t="s">
        <v>176</v>
      </c>
      <c r="BD83" s="21" t="s">
        <v>641</v>
      </c>
      <c r="BE83" s="21" t="s">
        <v>641</v>
      </c>
      <c r="BF83" s="21">
        <v>9</v>
      </c>
      <c r="BG83" s="21">
        <v>8264.86</v>
      </c>
      <c r="BH83" s="21">
        <v>9</v>
      </c>
      <c r="BI83" s="21">
        <v>8264.86</v>
      </c>
      <c r="BJ83" s="21">
        <v>0</v>
      </c>
      <c r="BK83" s="21">
        <v>0</v>
      </c>
      <c r="BL83" s="21">
        <v>0</v>
      </c>
      <c r="BM83" s="21">
        <v>622160187968</v>
      </c>
      <c r="BN83" s="23">
        <v>46243</v>
      </c>
      <c r="BO83" s="21">
        <v>615</v>
      </c>
    </row>
    <row r="84" spans="1:67" hidden="1" x14ac:dyDescent="0.25">
      <c r="A84" s="22"/>
      <c r="B84" s="21" t="s">
        <v>167</v>
      </c>
      <c r="C84" s="23">
        <v>46303</v>
      </c>
      <c r="D84" s="21" t="s">
        <v>826</v>
      </c>
      <c r="E84" s="21" t="s">
        <v>186</v>
      </c>
      <c r="F84" s="21" t="s">
        <v>187</v>
      </c>
      <c r="G84" s="21" t="s">
        <v>827</v>
      </c>
      <c r="H84" s="21">
        <v>1700</v>
      </c>
      <c r="I84" s="21">
        <v>1700</v>
      </c>
      <c r="J84" s="21" t="s">
        <v>168</v>
      </c>
      <c r="K84" s="21">
        <v>1700</v>
      </c>
      <c r="L84" s="21">
        <v>0</v>
      </c>
      <c r="M84" s="21">
        <v>1700</v>
      </c>
      <c r="N84" s="21" t="s">
        <v>174</v>
      </c>
      <c r="O84" s="21" t="s">
        <v>633</v>
      </c>
      <c r="P84" s="21" t="s">
        <v>633</v>
      </c>
      <c r="Q84" s="21" t="s">
        <v>828</v>
      </c>
      <c r="R84" s="23">
        <v>46303</v>
      </c>
      <c r="S84" s="21" t="s">
        <v>635</v>
      </c>
      <c r="T84" s="21" t="s">
        <v>636</v>
      </c>
      <c r="U84" s="21" t="s">
        <v>829</v>
      </c>
      <c r="V84" s="21">
        <v>223.82</v>
      </c>
      <c r="W84" s="21">
        <v>223.82</v>
      </c>
      <c r="X84" s="21" t="s">
        <v>828</v>
      </c>
      <c r="Y84" s="23">
        <v>46303</v>
      </c>
      <c r="Z84" s="21"/>
      <c r="AA84" s="21">
        <v>0</v>
      </c>
      <c r="AB84" s="21"/>
      <c r="AC84" s="21">
        <v>0</v>
      </c>
      <c r="AD84" s="21">
        <v>0</v>
      </c>
      <c r="AE84" s="21">
        <v>0</v>
      </c>
      <c r="AF84" s="21">
        <v>0</v>
      </c>
      <c r="AG84" s="21">
        <v>0</v>
      </c>
      <c r="AH84" s="21">
        <v>0</v>
      </c>
      <c r="AI84" s="21">
        <v>0</v>
      </c>
      <c r="AJ84" s="21" t="s">
        <v>638</v>
      </c>
      <c r="AK84" s="21">
        <v>0</v>
      </c>
      <c r="AL84" s="21">
        <v>0</v>
      </c>
      <c r="AM84" s="21">
        <v>0</v>
      </c>
      <c r="AN84" s="21">
        <v>0</v>
      </c>
      <c r="AO84" s="21">
        <v>0</v>
      </c>
      <c r="AP84" s="21"/>
      <c r="AQ84" s="21">
        <v>0</v>
      </c>
      <c r="AR84" s="21">
        <v>0</v>
      </c>
      <c r="AS84" s="21">
        <v>448982.92</v>
      </c>
      <c r="AT84" s="21" t="s">
        <v>188</v>
      </c>
      <c r="AU84" s="21" t="s">
        <v>152</v>
      </c>
      <c r="AV84" s="21" t="s">
        <v>152</v>
      </c>
      <c r="AW84" s="21" t="s">
        <v>639</v>
      </c>
      <c r="AX84" s="21" t="s">
        <v>640</v>
      </c>
      <c r="AY84" s="21">
        <v>0</v>
      </c>
      <c r="AZ84" s="21">
        <v>380494</v>
      </c>
      <c r="BA84" s="21">
        <v>421</v>
      </c>
      <c r="BB84" s="23">
        <v>46303</v>
      </c>
      <c r="BC84" s="21" t="s">
        <v>176</v>
      </c>
      <c r="BD84" s="21" t="s">
        <v>641</v>
      </c>
      <c r="BE84" s="21" t="s">
        <v>641</v>
      </c>
      <c r="BF84" s="21">
        <v>9</v>
      </c>
      <c r="BG84" s="21">
        <v>34244.46</v>
      </c>
      <c r="BH84" s="21">
        <v>9</v>
      </c>
      <c r="BI84" s="21">
        <v>34244.46</v>
      </c>
      <c r="BJ84" s="21">
        <v>0</v>
      </c>
      <c r="BK84" s="21">
        <v>0</v>
      </c>
      <c r="BL84" s="21">
        <v>448982.92</v>
      </c>
      <c r="BM84" s="21">
        <v>632160522302</v>
      </c>
      <c r="BN84" s="23">
        <v>46244</v>
      </c>
      <c r="BO84" s="21">
        <v>1700</v>
      </c>
    </row>
    <row r="85" spans="1:67" hidden="1" x14ac:dyDescent="0.25">
      <c r="A85" s="22"/>
      <c r="B85" s="21" t="s">
        <v>167</v>
      </c>
      <c r="C85" s="23">
        <v>46303</v>
      </c>
      <c r="D85" s="21" t="s">
        <v>830</v>
      </c>
      <c r="E85" s="21" t="s">
        <v>182</v>
      </c>
      <c r="F85" s="21" t="s">
        <v>183</v>
      </c>
      <c r="G85" s="21" t="s">
        <v>831</v>
      </c>
      <c r="H85" s="21">
        <v>1524</v>
      </c>
      <c r="I85" s="21">
        <v>1524</v>
      </c>
      <c r="J85" s="21" t="s">
        <v>168</v>
      </c>
      <c r="K85" s="21">
        <v>1524</v>
      </c>
      <c r="L85" s="21">
        <v>0</v>
      </c>
      <c r="M85" s="21">
        <v>1524</v>
      </c>
      <c r="N85" s="21" t="s">
        <v>174</v>
      </c>
      <c r="O85" s="21" t="s">
        <v>633</v>
      </c>
      <c r="P85" s="21" t="s">
        <v>633</v>
      </c>
      <c r="Q85" s="21" t="s">
        <v>832</v>
      </c>
      <c r="R85" s="23">
        <v>46303</v>
      </c>
      <c r="S85" s="21" t="s">
        <v>635</v>
      </c>
      <c r="T85" s="21" t="s">
        <v>636</v>
      </c>
      <c r="U85" s="21" t="s">
        <v>833</v>
      </c>
      <c r="V85" s="21">
        <v>147.32</v>
      </c>
      <c r="W85" s="21">
        <v>147.320000273066</v>
      </c>
      <c r="X85" s="21" t="s">
        <v>832</v>
      </c>
      <c r="Y85" s="23">
        <v>46303</v>
      </c>
      <c r="Z85" s="21"/>
      <c r="AA85" s="21">
        <v>0</v>
      </c>
      <c r="AB85" s="21"/>
      <c r="AC85" s="21">
        <v>0</v>
      </c>
      <c r="AD85" s="21">
        <v>0</v>
      </c>
      <c r="AE85" s="21">
        <v>0</v>
      </c>
      <c r="AF85" s="21">
        <v>0</v>
      </c>
      <c r="AG85" s="21">
        <v>0</v>
      </c>
      <c r="AH85" s="21">
        <v>0</v>
      </c>
      <c r="AI85" s="21">
        <v>0</v>
      </c>
      <c r="AJ85" s="21" t="s">
        <v>638</v>
      </c>
      <c r="AK85" s="21">
        <v>0</v>
      </c>
      <c r="AL85" s="21">
        <v>0</v>
      </c>
      <c r="AM85" s="21">
        <v>0</v>
      </c>
      <c r="AN85" s="21">
        <v>0</v>
      </c>
      <c r="AO85" s="21">
        <v>0</v>
      </c>
      <c r="AP85" s="21"/>
      <c r="AQ85" s="21">
        <v>0</v>
      </c>
      <c r="AR85" s="21">
        <v>0</v>
      </c>
      <c r="AS85" s="21">
        <v>1079006.21</v>
      </c>
      <c r="AT85" s="21" t="s">
        <v>169</v>
      </c>
      <c r="AU85" s="21" t="s">
        <v>179</v>
      </c>
      <c r="AV85" s="21" t="s">
        <v>155</v>
      </c>
      <c r="AW85" s="21" t="s">
        <v>639</v>
      </c>
      <c r="AX85" s="21" t="s">
        <v>640</v>
      </c>
      <c r="AY85" s="21">
        <v>0</v>
      </c>
      <c r="AZ85" s="21">
        <v>224515.68</v>
      </c>
      <c r="BA85" s="21">
        <v>422</v>
      </c>
      <c r="BB85" s="23">
        <v>46303</v>
      </c>
      <c r="BC85" s="21" t="s">
        <v>176</v>
      </c>
      <c r="BD85" s="21" t="s">
        <v>641</v>
      </c>
      <c r="BE85" s="21" t="s">
        <v>641</v>
      </c>
      <c r="BF85" s="21">
        <v>9</v>
      </c>
      <c r="BG85" s="21">
        <v>20206.41</v>
      </c>
      <c r="BH85" s="21">
        <v>9</v>
      </c>
      <c r="BI85" s="21">
        <v>20206.41</v>
      </c>
      <c r="BJ85" s="21">
        <v>0</v>
      </c>
      <c r="BK85" s="21">
        <v>0</v>
      </c>
      <c r="BL85" s="21">
        <v>1079006.21</v>
      </c>
      <c r="BM85" s="21">
        <v>682160677201</v>
      </c>
      <c r="BN85" s="23">
        <v>46244</v>
      </c>
      <c r="BO85" s="21">
        <v>1524</v>
      </c>
    </row>
    <row r="86" spans="1:67" hidden="1" x14ac:dyDescent="0.25">
      <c r="A86" s="22"/>
      <c r="B86" s="21" t="s">
        <v>167</v>
      </c>
      <c r="C86" s="23">
        <v>46303</v>
      </c>
      <c r="D86" s="21" t="s">
        <v>830</v>
      </c>
      <c r="E86" s="21" t="s">
        <v>182</v>
      </c>
      <c r="F86" s="21" t="s">
        <v>183</v>
      </c>
      <c r="G86" s="21" t="s">
        <v>831</v>
      </c>
      <c r="H86" s="21">
        <v>480</v>
      </c>
      <c r="I86" s="21">
        <v>480</v>
      </c>
      <c r="J86" s="21" t="s">
        <v>168</v>
      </c>
      <c r="K86" s="21">
        <v>480</v>
      </c>
      <c r="L86" s="21">
        <v>0</v>
      </c>
      <c r="M86" s="21">
        <v>480</v>
      </c>
      <c r="N86" s="21" t="s">
        <v>174</v>
      </c>
      <c r="O86" s="21" t="s">
        <v>633</v>
      </c>
      <c r="P86" s="21" t="s">
        <v>633</v>
      </c>
      <c r="Q86" s="21" t="s">
        <v>832</v>
      </c>
      <c r="R86" s="23">
        <v>46303</v>
      </c>
      <c r="S86" s="21" t="s">
        <v>635</v>
      </c>
      <c r="T86" s="21" t="s">
        <v>636</v>
      </c>
      <c r="U86" s="21" t="s">
        <v>833</v>
      </c>
      <c r="V86" s="21">
        <v>142.32</v>
      </c>
      <c r="W86" s="21">
        <v>142.32000026379799</v>
      </c>
      <c r="X86" s="21" t="s">
        <v>832</v>
      </c>
      <c r="Y86" s="23">
        <v>46303</v>
      </c>
      <c r="Z86" s="21"/>
      <c r="AA86" s="21">
        <v>0</v>
      </c>
      <c r="AB86" s="21"/>
      <c r="AC86" s="21">
        <v>0</v>
      </c>
      <c r="AD86" s="21">
        <v>0</v>
      </c>
      <c r="AE86" s="21">
        <v>0</v>
      </c>
      <c r="AF86" s="21">
        <v>0</v>
      </c>
      <c r="AG86" s="21">
        <v>0</v>
      </c>
      <c r="AH86" s="21">
        <v>0</v>
      </c>
      <c r="AI86" s="21">
        <v>0</v>
      </c>
      <c r="AJ86" s="21" t="s">
        <v>638</v>
      </c>
      <c r="AK86" s="21">
        <v>0</v>
      </c>
      <c r="AL86" s="21">
        <v>0</v>
      </c>
      <c r="AM86" s="21">
        <v>0</v>
      </c>
      <c r="AN86" s="21">
        <v>0</v>
      </c>
      <c r="AO86" s="21">
        <v>0</v>
      </c>
      <c r="AP86" s="21"/>
      <c r="AQ86" s="21">
        <v>0</v>
      </c>
      <c r="AR86" s="21">
        <v>0</v>
      </c>
      <c r="AS86" s="21">
        <v>1079006.21</v>
      </c>
      <c r="AT86" s="21" t="s">
        <v>169</v>
      </c>
      <c r="AU86" s="21" t="s">
        <v>179</v>
      </c>
      <c r="AV86" s="21" t="s">
        <v>155</v>
      </c>
      <c r="AW86" s="21" t="s">
        <v>639</v>
      </c>
      <c r="AX86" s="21" t="s">
        <v>640</v>
      </c>
      <c r="AY86" s="21">
        <v>0</v>
      </c>
      <c r="AZ86" s="21">
        <v>68313.600000000006</v>
      </c>
      <c r="BA86" s="21">
        <v>422</v>
      </c>
      <c r="BB86" s="23">
        <v>46303</v>
      </c>
      <c r="BC86" s="21" t="s">
        <v>176</v>
      </c>
      <c r="BD86" s="21" t="s">
        <v>641</v>
      </c>
      <c r="BE86" s="21" t="s">
        <v>641</v>
      </c>
      <c r="BF86" s="21">
        <v>9</v>
      </c>
      <c r="BG86" s="21">
        <v>6148.22</v>
      </c>
      <c r="BH86" s="21">
        <v>9</v>
      </c>
      <c r="BI86" s="21">
        <v>6148.22</v>
      </c>
      <c r="BJ86" s="21">
        <v>0</v>
      </c>
      <c r="BK86" s="21">
        <v>0</v>
      </c>
      <c r="BL86" s="21">
        <v>0</v>
      </c>
      <c r="BM86" s="21">
        <v>682160677201</v>
      </c>
      <c r="BN86" s="23">
        <v>46244</v>
      </c>
      <c r="BO86" s="21">
        <v>480</v>
      </c>
    </row>
    <row r="87" spans="1:67" hidden="1" x14ac:dyDescent="0.25">
      <c r="A87" s="22"/>
      <c r="B87" s="21" t="s">
        <v>167</v>
      </c>
      <c r="C87" s="23">
        <v>46303</v>
      </c>
      <c r="D87" s="21" t="s">
        <v>830</v>
      </c>
      <c r="E87" s="21" t="s">
        <v>177</v>
      </c>
      <c r="F87" s="21" t="s">
        <v>178</v>
      </c>
      <c r="G87" s="21" t="s">
        <v>831</v>
      </c>
      <c r="H87" s="21">
        <v>2647</v>
      </c>
      <c r="I87" s="21">
        <v>2647</v>
      </c>
      <c r="J87" s="21" t="s">
        <v>168</v>
      </c>
      <c r="K87" s="21">
        <v>2647</v>
      </c>
      <c r="L87" s="21">
        <v>0</v>
      </c>
      <c r="M87" s="21">
        <v>2647</v>
      </c>
      <c r="N87" s="21" t="s">
        <v>174</v>
      </c>
      <c r="O87" s="21" t="s">
        <v>633</v>
      </c>
      <c r="P87" s="21" t="s">
        <v>633</v>
      </c>
      <c r="Q87" s="21" t="s">
        <v>832</v>
      </c>
      <c r="R87" s="23">
        <v>46303</v>
      </c>
      <c r="S87" s="21" t="s">
        <v>635</v>
      </c>
      <c r="T87" s="21" t="s">
        <v>636</v>
      </c>
      <c r="U87" s="21" t="s">
        <v>833</v>
      </c>
      <c r="V87" s="21">
        <v>149.32</v>
      </c>
      <c r="W87" s="21">
        <v>149.32000027677299</v>
      </c>
      <c r="X87" s="21" t="s">
        <v>832</v>
      </c>
      <c r="Y87" s="23">
        <v>46303</v>
      </c>
      <c r="Z87" s="21"/>
      <c r="AA87" s="21">
        <v>0</v>
      </c>
      <c r="AB87" s="21"/>
      <c r="AC87" s="21">
        <v>0</v>
      </c>
      <c r="AD87" s="21">
        <v>0</v>
      </c>
      <c r="AE87" s="21">
        <v>0</v>
      </c>
      <c r="AF87" s="21">
        <v>0</v>
      </c>
      <c r="AG87" s="21">
        <v>0</v>
      </c>
      <c r="AH87" s="21">
        <v>0</v>
      </c>
      <c r="AI87" s="21">
        <v>0</v>
      </c>
      <c r="AJ87" s="21" t="s">
        <v>638</v>
      </c>
      <c r="AK87" s="21">
        <v>0</v>
      </c>
      <c r="AL87" s="21">
        <v>0</v>
      </c>
      <c r="AM87" s="21">
        <v>0</v>
      </c>
      <c r="AN87" s="21">
        <v>0</v>
      </c>
      <c r="AO87" s="21">
        <v>0</v>
      </c>
      <c r="AP87" s="21"/>
      <c r="AQ87" s="21">
        <v>0</v>
      </c>
      <c r="AR87" s="21">
        <v>0</v>
      </c>
      <c r="AS87" s="21">
        <v>1079006.21</v>
      </c>
      <c r="AT87" s="21" t="s">
        <v>169</v>
      </c>
      <c r="AU87" s="21" t="s">
        <v>179</v>
      </c>
      <c r="AV87" s="21" t="s">
        <v>156</v>
      </c>
      <c r="AW87" s="21" t="s">
        <v>639</v>
      </c>
      <c r="AX87" s="21" t="s">
        <v>640</v>
      </c>
      <c r="AY87" s="21">
        <v>0</v>
      </c>
      <c r="AZ87" s="21">
        <v>395250.04</v>
      </c>
      <c r="BA87" s="21">
        <v>422</v>
      </c>
      <c r="BB87" s="23">
        <v>46303</v>
      </c>
      <c r="BC87" s="21" t="s">
        <v>176</v>
      </c>
      <c r="BD87" s="21" t="s">
        <v>641</v>
      </c>
      <c r="BE87" s="21" t="s">
        <v>641</v>
      </c>
      <c r="BF87" s="21">
        <v>9</v>
      </c>
      <c r="BG87" s="21">
        <v>35572.5</v>
      </c>
      <c r="BH87" s="21">
        <v>9</v>
      </c>
      <c r="BI87" s="21">
        <v>35572.5</v>
      </c>
      <c r="BJ87" s="21">
        <v>0</v>
      </c>
      <c r="BK87" s="21">
        <v>0</v>
      </c>
      <c r="BL87" s="21">
        <v>0</v>
      </c>
      <c r="BM87" s="21">
        <v>682160677201</v>
      </c>
      <c r="BN87" s="23">
        <v>46244</v>
      </c>
      <c r="BO87" s="21">
        <v>2647</v>
      </c>
    </row>
    <row r="88" spans="1:67" hidden="1" x14ac:dyDescent="0.25">
      <c r="A88" s="22"/>
      <c r="B88" s="21" t="s">
        <v>167</v>
      </c>
      <c r="C88" s="23">
        <v>46303</v>
      </c>
      <c r="D88" s="21" t="s">
        <v>830</v>
      </c>
      <c r="E88" s="21" t="s">
        <v>180</v>
      </c>
      <c r="F88" s="21" t="s">
        <v>181</v>
      </c>
      <c r="G88" s="21" t="s">
        <v>831</v>
      </c>
      <c r="H88" s="21">
        <v>591</v>
      </c>
      <c r="I88" s="21">
        <v>591</v>
      </c>
      <c r="J88" s="21" t="s">
        <v>168</v>
      </c>
      <c r="K88" s="21">
        <v>591</v>
      </c>
      <c r="L88" s="21">
        <v>0</v>
      </c>
      <c r="M88" s="21">
        <v>591</v>
      </c>
      <c r="N88" s="21" t="s">
        <v>174</v>
      </c>
      <c r="O88" s="21" t="s">
        <v>633</v>
      </c>
      <c r="P88" s="21" t="s">
        <v>633</v>
      </c>
      <c r="Q88" s="21" t="s">
        <v>832</v>
      </c>
      <c r="R88" s="23">
        <v>46303</v>
      </c>
      <c r="S88" s="21" t="s">
        <v>635</v>
      </c>
      <c r="T88" s="21" t="s">
        <v>636</v>
      </c>
      <c r="U88" s="21" t="s">
        <v>833</v>
      </c>
      <c r="V88" s="21">
        <v>147.32</v>
      </c>
      <c r="W88" s="21">
        <v>147.320000273066</v>
      </c>
      <c r="X88" s="21" t="s">
        <v>832</v>
      </c>
      <c r="Y88" s="23">
        <v>46303</v>
      </c>
      <c r="Z88" s="21"/>
      <c r="AA88" s="21">
        <v>0</v>
      </c>
      <c r="AB88" s="21"/>
      <c r="AC88" s="21">
        <v>0</v>
      </c>
      <c r="AD88" s="21">
        <v>0</v>
      </c>
      <c r="AE88" s="21">
        <v>0</v>
      </c>
      <c r="AF88" s="21">
        <v>0</v>
      </c>
      <c r="AG88" s="21">
        <v>0</v>
      </c>
      <c r="AH88" s="21">
        <v>0</v>
      </c>
      <c r="AI88" s="21">
        <v>0</v>
      </c>
      <c r="AJ88" s="21" t="s">
        <v>638</v>
      </c>
      <c r="AK88" s="21">
        <v>0</v>
      </c>
      <c r="AL88" s="21">
        <v>0</v>
      </c>
      <c r="AM88" s="21">
        <v>0</v>
      </c>
      <c r="AN88" s="21">
        <v>0</v>
      </c>
      <c r="AO88" s="21">
        <v>0</v>
      </c>
      <c r="AP88" s="21"/>
      <c r="AQ88" s="21">
        <v>0</v>
      </c>
      <c r="AR88" s="21">
        <v>0</v>
      </c>
      <c r="AS88" s="21">
        <v>1079006.21</v>
      </c>
      <c r="AT88" s="21" t="s">
        <v>169</v>
      </c>
      <c r="AU88" s="21" t="s">
        <v>181</v>
      </c>
      <c r="AV88" s="21" t="s">
        <v>154</v>
      </c>
      <c r="AW88" s="21" t="s">
        <v>639</v>
      </c>
      <c r="AX88" s="21" t="s">
        <v>640</v>
      </c>
      <c r="AY88" s="21">
        <v>0</v>
      </c>
      <c r="AZ88" s="21">
        <v>87066.12</v>
      </c>
      <c r="BA88" s="21">
        <v>422</v>
      </c>
      <c r="BB88" s="23">
        <v>46303</v>
      </c>
      <c r="BC88" s="21" t="s">
        <v>176</v>
      </c>
      <c r="BD88" s="21" t="s">
        <v>641</v>
      </c>
      <c r="BE88" s="21" t="s">
        <v>641</v>
      </c>
      <c r="BF88" s="21">
        <v>9</v>
      </c>
      <c r="BG88" s="21">
        <v>7835.95</v>
      </c>
      <c r="BH88" s="21">
        <v>9</v>
      </c>
      <c r="BI88" s="21">
        <v>7835.95</v>
      </c>
      <c r="BJ88" s="21">
        <v>0</v>
      </c>
      <c r="BK88" s="21">
        <v>0</v>
      </c>
      <c r="BL88" s="21">
        <v>0</v>
      </c>
      <c r="BM88" s="21">
        <v>682160677201</v>
      </c>
      <c r="BN88" s="23">
        <v>46244</v>
      </c>
      <c r="BO88" s="21">
        <v>591</v>
      </c>
    </row>
    <row r="89" spans="1:67" hidden="1" x14ac:dyDescent="0.25">
      <c r="A89" s="22"/>
      <c r="B89" s="21" t="s">
        <v>167</v>
      </c>
      <c r="C89" s="23">
        <v>46303</v>
      </c>
      <c r="D89" s="21" t="s">
        <v>830</v>
      </c>
      <c r="E89" s="21" t="s">
        <v>180</v>
      </c>
      <c r="F89" s="21" t="s">
        <v>181</v>
      </c>
      <c r="G89" s="21" t="s">
        <v>831</v>
      </c>
      <c r="H89" s="21">
        <v>756.8</v>
      </c>
      <c r="I89" s="21">
        <v>756.8</v>
      </c>
      <c r="J89" s="21" t="s">
        <v>168</v>
      </c>
      <c r="K89" s="21">
        <v>756.8</v>
      </c>
      <c r="L89" s="21">
        <v>0</v>
      </c>
      <c r="M89" s="21">
        <v>756.8</v>
      </c>
      <c r="N89" s="21" t="s">
        <v>174</v>
      </c>
      <c r="O89" s="21" t="s">
        <v>633</v>
      </c>
      <c r="P89" s="21" t="s">
        <v>633</v>
      </c>
      <c r="Q89" s="21" t="s">
        <v>832</v>
      </c>
      <c r="R89" s="23">
        <v>46303</v>
      </c>
      <c r="S89" s="21" t="s">
        <v>635</v>
      </c>
      <c r="T89" s="21" t="s">
        <v>636</v>
      </c>
      <c r="U89" s="21" t="s">
        <v>833</v>
      </c>
      <c r="V89" s="21">
        <v>144.32</v>
      </c>
      <c r="W89" s="21">
        <v>144.32000026750501</v>
      </c>
      <c r="X89" s="21" t="s">
        <v>832</v>
      </c>
      <c r="Y89" s="23">
        <v>46303</v>
      </c>
      <c r="Z89" s="21"/>
      <c r="AA89" s="21">
        <v>0</v>
      </c>
      <c r="AB89" s="21"/>
      <c r="AC89" s="21">
        <v>0</v>
      </c>
      <c r="AD89" s="21">
        <v>0</v>
      </c>
      <c r="AE89" s="21">
        <v>0</v>
      </c>
      <c r="AF89" s="21">
        <v>0</v>
      </c>
      <c r="AG89" s="21">
        <v>0</v>
      </c>
      <c r="AH89" s="21">
        <v>0</v>
      </c>
      <c r="AI89" s="21">
        <v>0</v>
      </c>
      <c r="AJ89" s="21" t="s">
        <v>638</v>
      </c>
      <c r="AK89" s="21">
        <v>0</v>
      </c>
      <c r="AL89" s="21">
        <v>0</v>
      </c>
      <c r="AM89" s="21">
        <v>0</v>
      </c>
      <c r="AN89" s="21">
        <v>0</v>
      </c>
      <c r="AO89" s="21">
        <v>0</v>
      </c>
      <c r="AP89" s="21"/>
      <c r="AQ89" s="21">
        <v>0</v>
      </c>
      <c r="AR89" s="21">
        <v>0</v>
      </c>
      <c r="AS89" s="21">
        <v>1079006.21</v>
      </c>
      <c r="AT89" s="21" t="s">
        <v>169</v>
      </c>
      <c r="AU89" s="21" t="s">
        <v>181</v>
      </c>
      <c r="AV89" s="21" t="s">
        <v>154</v>
      </c>
      <c r="AW89" s="21" t="s">
        <v>639</v>
      </c>
      <c r="AX89" s="21" t="s">
        <v>640</v>
      </c>
      <c r="AY89" s="21">
        <v>0</v>
      </c>
      <c r="AZ89" s="21">
        <v>109221.38</v>
      </c>
      <c r="BA89" s="21">
        <v>422</v>
      </c>
      <c r="BB89" s="23">
        <v>46303</v>
      </c>
      <c r="BC89" s="21" t="s">
        <v>176</v>
      </c>
      <c r="BD89" s="21" t="s">
        <v>641</v>
      </c>
      <c r="BE89" s="21" t="s">
        <v>641</v>
      </c>
      <c r="BF89" s="21">
        <v>9</v>
      </c>
      <c r="BG89" s="21">
        <v>9829.92</v>
      </c>
      <c r="BH89" s="21">
        <v>9</v>
      </c>
      <c r="BI89" s="21">
        <v>9829.92</v>
      </c>
      <c r="BJ89" s="21">
        <v>0</v>
      </c>
      <c r="BK89" s="21">
        <v>0</v>
      </c>
      <c r="BL89" s="21">
        <v>0</v>
      </c>
      <c r="BM89" s="21">
        <v>682160677201</v>
      </c>
      <c r="BN89" s="23">
        <v>46244</v>
      </c>
      <c r="BO89" s="21">
        <v>756.8</v>
      </c>
    </row>
    <row r="90" spans="1:67" hidden="1" x14ac:dyDescent="0.25">
      <c r="A90" s="22"/>
      <c r="B90" s="21" t="s">
        <v>167</v>
      </c>
      <c r="C90" s="23">
        <v>46303</v>
      </c>
      <c r="D90" s="21" t="s">
        <v>830</v>
      </c>
      <c r="E90" s="21" t="s">
        <v>726</v>
      </c>
      <c r="F90" s="21" t="s">
        <v>727</v>
      </c>
      <c r="G90" s="21" t="s">
        <v>831</v>
      </c>
      <c r="H90" s="21">
        <v>212.6</v>
      </c>
      <c r="I90" s="21">
        <v>212.6</v>
      </c>
      <c r="J90" s="21" t="s">
        <v>168</v>
      </c>
      <c r="K90" s="21">
        <v>212.6</v>
      </c>
      <c r="L90" s="21">
        <v>0</v>
      </c>
      <c r="M90" s="21">
        <v>212.6</v>
      </c>
      <c r="N90" s="21" t="s">
        <v>174</v>
      </c>
      <c r="O90" s="21" t="s">
        <v>633</v>
      </c>
      <c r="P90" s="21" t="s">
        <v>633</v>
      </c>
      <c r="Q90" s="21" t="s">
        <v>832</v>
      </c>
      <c r="R90" s="23">
        <v>46303</v>
      </c>
      <c r="S90" s="21" t="s">
        <v>635</v>
      </c>
      <c r="T90" s="21" t="s">
        <v>636</v>
      </c>
      <c r="U90" s="21" t="s">
        <v>833</v>
      </c>
      <c r="V90" s="21">
        <v>158.82</v>
      </c>
      <c r="W90" s="21">
        <v>158.820000294382</v>
      </c>
      <c r="X90" s="21" t="s">
        <v>832</v>
      </c>
      <c r="Y90" s="23">
        <v>46303</v>
      </c>
      <c r="Z90" s="21"/>
      <c r="AA90" s="21">
        <v>0</v>
      </c>
      <c r="AB90" s="21"/>
      <c r="AC90" s="21">
        <v>0</v>
      </c>
      <c r="AD90" s="21">
        <v>0</v>
      </c>
      <c r="AE90" s="21">
        <v>0</v>
      </c>
      <c r="AF90" s="21">
        <v>0</v>
      </c>
      <c r="AG90" s="21">
        <v>0</v>
      </c>
      <c r="AH90" s="21">
        <v>0</v>
      </c>
      <c r="AI90" s="21">
        <v>0</v>
      </c>
      <c r="AJ90" s="21" t="s">
        <v>638</v>
      </c>
      <c r="AK90" s="21">
        <v>0</v>
      </c>
      <c r="AL90" s="21">
        <v>0</v>
      </c>
      <c r="AM90" s="21">
        <v>0</v>
      </c>
      <c r="AN90" s="21">
        <v>0</v>
      </c>
      <c r="AO90" s="21">
        <v>0</v>
      </c>
      <c r="AP90" s="21"/>
      <c r="AQ90" s="21">
        <v>0</v>
      </c>
      <c r="AR90" s="21">
        <v>0</v>
      </c>
      <c r="AS90" s="21">
        <v>1079006.21</v>
      </c>
      <c r="AT90" s="21" t="s">
        <v>169</v>
      </c>
      <c r="AU90" s="21" t="s">
        <v>170</v>
      </c>
      <c r="AV90" s="21" t="s">
        <v>157</v>
      </c>
      <c r="AW90" s="21" t="s">
        <v>639</v>
      </c>
      <c r="AX90" s="21" t="s">
        <v>640</v>
      </c>
      <c r="AY90" s="21">
        <v>0</v>
      </c>
      <c r="AZ90" s="21">
        <v>33765.129999999997</v>
      </c>
      <c r="BA90" s="21">
        <v>422</v>
      </c>
      <c r="BB90" s="23">
        <v>46303</v>
      </c>
      <c r="BC90" s="21" t="s">
        <v>176</v>
      </c>
      <c r="BD90" s="21" t="s">
        <v>641</v>
      </c>
      <c r="BE90" s="21" t="s">
        <v>641</v>
      </c>
      <c r="BF90" s="21">
        <v>2.5</v>
      </c>
      <c r="BG90" s="21">
        <v>844.13</v>
      </c>
      <c r="BH90" s="21">
        <v>2.5</v>
      </c>
      <c r="BI90" s="21">
        <v>844.13</v>
      </c>
      <c r="BJ90" s="21">
        <v>0</v>
      </c>
      <c r="BK90" s="21">
        <v>0</v>
      </c>
      <c r="BL90" s="21">
        <v>0</v>
      </c>
      <c r="BM90" s="21">
        <v>682160677201</v>
      </c>
      <c r="BN90" s="23">
        <v>46244</v>
      </c>
      <c r="BO90" s="21">
        <v>212.6</v>
      </c>
    </row>
    <row r="91" spans="1:67" hidden="1" x14ac:dyDescent="0.25">
      <c r="A91" s="22"/>
      <c r="B91" s="21" t="s">
        <v>167</v>
      </c>
      <c r="C91" s="23">
        <v>46334</v>
      </c>
      <c r="D91" s="21" t="s">
        <v>834</v>
      </c>
      <c r="E91" s="21" t="s">
        <v>186</v>
      </c>
      <c r="F91" s="21" t="s">
        <v>187</v>
      </c>
      <c r="G91" s="21" t="s">
        <v>835</v>
      </c>
      <c r="H91" s="21">
        <v>1314</v>
      </c>
      <c r="I91" s="21">
        <v>1314</v>
      </c>
      <c r="J91" s="21" t="s">
        <v>168</v>
      </c>
      <c r="K91" s="21">
        <v>1314</v>
      </c>
      <c r="L91" s="21">
        <v>0</v>
      </c>
      <c r="M91" s="21">
        <v>1314</v>
      </c>
      <c r="N91" s="21" t="s">
        <v>275</v>
      </c>
      <c r="O91" s="21" t="s">
        <v>633</v>
      </c>
      <c r="P91" s="21" t="s">
        <v>633</v>
      </c>
      <c r="Q91" s="21" t="s">
        <v>836</v>
      </c>
      <c r="R91" s="23">
        <v>46334</v>
      </c>
      <c r="S91" s="21" t="s">
        <v>635</v>
      </c>
      <c r="T91" s="21" t="s">
        <v>636</v>
      </c>
      <c r="U91" s="21" t="s">
        <v>837</v>
      </c>
      <c r="V91" s="21">
        <v>222.68</v>
      </c>
      <c r="W91" s="21">
        <v>222.68</v>
      </c>
      <c r="X91" s="21" t="s">
        <v>836</v>
      </c>
      <c r="Y91" s="23">
        <v>46334</v>
      </c>
      <c r="Z91" s="21"/>
      <c r="AA91" s="21">
        <v>0</v>
      </c>
      <c r="AB91" s="21"/>
      <c r="AC91" s="21">
        <v>0</v>
      </c>
      <c r="AD91" s="21">
        <v>0</v>
      </c>
      <c r="AE91" s="21">
        <v>0</v>
      </c>
      <c r="AF91" s="21">
        <v>0</v>
      </c>
      <c r="AG91" s="21">
        <v>0</v>
      </c>
      <c r="AH91" s="21">
        <v>0</v>
      </c>
      <c r="AI91" s="21">
        <v>0</v>
      </c>
      <c r="AJ91" s="21" t="s">
        <v>638</v>
      </c>
      <c r="AK91" s="21">
        <v>0</v>
      </c>
      <c r="AL91" s="21">
        <v>0</v>
      </c>
      <c r="AM91" s="21">
        <v>0</v>
      </c>
      <c r="AN91" s="21">
        <v>0</v>
      </c>
      <c r="AO91" s="21">
        <v>0</v>
      </c>
      <c r="AP91" s="21"/>
      <c r="AQ91" s="21">
        <v>0</v>
      </c>
      <c r="AR91" s="21">
        <v>0</v>
      </c>
      <c r="AS91" s="21">
        <v>2085604.94</v>
      </c>
      <c r="AT91" s="21" t="s">
        <v>188</v>
      </c>
      <c r="AU91" s="21" t="s">
        <v>152</v>
      </c>
      <c r="AV91" s="21" t="s">
        <v>152</v>
      </c>
      <c r="AW91" s="21" t="s">
        <v>639</v>
      </c>
      <c r="AX91" s="21" t="s">
        <v>640</v>
      </c>
      <c r="AY91" s="21">
        <v>0</v>
      </c>
      <c r="AZ91" s="21">
        <v>292601.52</v>
      </c>
      <c r="BA91" s="21">
        <v>424</v>
      </c>
      <c r="BB91" s="23">
        <v>46334</v>
      </c>
      <c r="BC91" s="21" t="s">
        <v>176</v>
      </c>
      <c r="BD91" s="21" t="s">
        <v>641</v>
      </c>
      <c r="BE91" s="21" t="s">
        <v>641</v>
      </c>
      <c r="BF91" s="21">
        <v>9</v>
      </c>
      <c r="BG91" s="21">
        <v>26334.14</v>
      </c>
      <c r="BH91" s="21">
        <v>9</v>
      </c>
      <c r="BI91" s="21">
        <v>26334.14</v>
      </c>
      <c r="BJ91" s="21">
        <v>0</v>
      </c>
      <c r="BK91" s="21">
        <v>0</v>
      </c>
      <c r="BL91" s="21">
        <v>2085604.94</v>
      </c>
      <c r="BM91" s="21">
        <v>652161047673</v>
      </c>
      <c r="BN91" s="23">
        <v>46245</v>
      </c>
      <c r="BO91" s="21">
        <v>1314</v>
      </c>
    </row>
    <row r="92" spans="1:67" hidden="1" x14ac:dyDescent="0.25">
      <c r="A92" s="22"/>
      <c r="B92" s="21" t="s">
        <v>167</v>
      </c>
      <c r="C92" s="23">
        <v>46334</v>
      </c>
      <c r="D92" s="21" t="s">
        <v>834</v>
      </c>
      <c r="E92" s="21" t="s">
        <v>186</v>
      </c>
      <c r="F92" s="21" t="s">
        <v>187</v>
      </c>
      <c r="G92" s="21" t="s">
        <v>835</v>
      </c>
      <c r="H92" s="21">
        <v>2644</v>
      </c>
      <c r="I92" s="21">
        <v>2644</v>
      </c>
      <c r="J92" s="21" t="s">
        <v>168</v>
      </c>
      <c r="K92" s="21">
        <v>2644</v>
      </c>
      <c r="L92" s="21">
        <v>0</v>
      </c>
      <c r="M92" s="21">
        <v>2644</v>
      </c>
      <c r="N92" s="21" t="s">
        <v>275</v>
      </c>
      <c r="O92" s="21" t="s">
        <v>633</v>
      </c>
      <c r="P92" s="21" t="s">
        <v>633</v>
      </c>
      <c r="Q92" s="21" t="s">
        <v>836</v>
      </c>
      <c r="R92" s="23">
        <v>46334</v>
      </c>
      <c r="S92" s="21" t="s">
        <v>635</v>
      </c>
      <c r="T92" s="21" t="s">
        <v>636</v>
      </c>
      <c r="U92" s="21" t="s">
        <v>837</v>
      </c>
      <c r="V92" s="21">
        <v>221.36</v>
      </c>
      <c r="W92" s="21">
        <v>221.36</v>
      </c>
      <c r="X92" s="21" t="s">
        <v>836</v>
      </c>
      <c r="Y92" s="23">
        <v>46334</v>
      </c>
      <c r="Z92" s="21"/>
      <c r="AA92" s="21">
        <v>0</v>
      </c>
      <c r="AB92" s="21"/>
      <c r="AC92" s="21">
        <v>0</v>
      </c>
      <c r="AD92" s="21">
        <v>0</v>
      </c>
      <c r="AE92" s="21">
        <v>0</v>
      </c>
      <c r="AF92" s="21">
        <v>0</v>
      </c>
      <c r="AG92" s="21">
        <v>0</v>
      </c>
      <c r="AH92" s="21">
        <v>0</v>
      </c>
      <c r="AI92" s="21">
        <v>0</v>
      </c>
      <c r="AJ92" s="21" t="s">
        <v>638</v>
      </c>
      <c r="AK92" s="21">
        <v>0</v>
      </c>
      <c r="AL92" s="21">
        <v>0</v>
      </c>
      <c r="AM92" s="21">
        <v>0</v>
      </c>
      <c r="AN92" s="21">
        <v>0</v>
      </c>
      <c r="AO92" s="21">
        <v>0</v>
      </c>
      <c r="AP92" s="21"/>
      <c r="AQ92" s="21">
        <v>0</v>
      </c>
      <c r="AR92" s="21">
        <v>0</v>
      </c>
      <c r="AS92" s="21">
        <v>2085604.94</v>
      </c>
      <c r="AT92" s="21" t="s">
        <v>188</v>
      </c>
      <c r="AU92" s="21" t="s">
        <v>152</v>
      </c>
      <c r="AV92" s="21" t="s">
        <v>152</v>
      </c>
      <c r="AW92" s="21" t="s">
        <v>639</v>
      </c>
      <c r="AX92" s="21" t="s">
        <v>640</v>
      </c>
      <c r="AY92" s="21">
        <v>0</v>
      </c>
      <c r="AZ92" s="21">
        <v>585275.84</v>
      </c>
      <c r="BA92" s="21">
        <v>424</v>
      </c>
      <c r="BB92" s="23">
        <v>46334</v>
      </c>
      <c r="BC92" s="21" t="s">
        <v>176</v>
      </c>
      <c r="BD92" s="21" t="s">
        <v>641</v>
      </c>
      <c r="BE92" s="21" t="s">
        <v>641</v>
      </c>
      <c r="BF92" s="21">
        <v>9</v>
      </c>
      <c r="BG92" s="21">
        <v>52674.83</v>
      </c>
      <c r="BH92" s="21">
        <v>9</v>
      </c>
      <c r="BI92" s="21">
        <v>52674.83</v>
      </c>
      <c r="BJ92" s="21">
        <v>0</v>
      </c>
      <c r="BK92" s="21">
        <v>0</v>
      </c>
      <c r="BL92" s="21">
        <v>0</v>
      </c>
      <c r="BM92" s="21">
        <v>652161047673</v>
      </c>
      <c r="BN92" s="23">
        <v>46245</v>
      </c>
      <c r="BO92" s="21">
        <v>2644</v>
      </c>
    </row>
    <row r="93" spans="1:67" hidden="1" x14ac:dyDescent="0.25">
      <c r="A93" s="22"/>
      <c r="B93" s="21" t="s">
        <v>167</v>
      </c>
      <c r="C93" s="23">
        <v>46334</v>
      </c>
      <c r="D93" s="21" t="s">
        <v>834</v>
      </c>
      <c r="E93" s="21" t="s">
        <v>186</v>
      </c>
      <c r="F93" s="21" t="s">
        <v>187</v>
      </c>
      <c r="G93" s="21" t="s">
        <v>835</v>
      </c>
      <c r="H93" s="21">
        <v>456</v>
      </c>
      <c r="I93" s="21">
        <v>456</v>
      </c>
      <c r="J93" s="21" t="s">
        <v>168</v>
      </c>
      <c r="K93" s="21">
        <v>456</v>
      </c>
      <c r="L93" s="21">
        <v>0</v>
      </c>
      <c r="M93" s="21">
        <v>456</v>
      </c>
      <c r="N93" s="21" t="s">
        <v>275</v>
      </c>
      <c r="O93" s="21" t="s">
        <v>633</v>
      </c>
      <c r="P93" s="21" t="s">
        <v>633</v>
      </c>
      <c r="Q93" s="21" t="s">
        <v>836</v>
      </c>
      <c r="R93" s="23">
        <v>46334</v>
      </c>
      <c r="S93" s="21" t="s">
        <v>635</v>
      </c>
      <c r="T93" s="21" t="s">
        <v>636</v>
      </c>
      <c r="U93" s="21" t="s">
        <v>837</v>
      </c>
      <c r="V93" s="21">
        <v>220.34</v>
      </c>
      <c r="W93" s="21">
        <v>220.34</v>
      </c>
      <c r="X93" s="21" t="s">
        <v>836</v>
      </c>
      <c r="Y93" s="23">
        <v>46334</v>
      </c>
      <c r="Z93" s="21"/>
      <c r="AA93" s="21">
        <v>0</v>
      </c>
      <c r="AB93" s="21"/>
      <c r="AC93" s="21">
        <v>0</v>
      </c>
      <c r="AD93" s="21">
        <v>0</v>
      </c>
      <c r="AE93" s="21">
        <v>0</v>
      </c>
      <c r="AF93" s="21">
        <v>0</v>
      </c>
      <c r="AG93" s="21">
        <v>0</v>
      </c>
      <c r="AH93" s="21">
        <v>0</v>
      </c>
      <c r="AI93" s="21">
        <v>0</v>
      </c>
      <c r="AJ93" s="21" t="s">
        <v>638</v>
      </c>
      <c r="AK93" s="21">
        <v>0</v>
      </c>
      <c r="AL93" s="21">
        <v>0</v>
      </c>
      <c r="AM93" s="21">
        <v>0</v>
      </c>
      <c r="AN93" s="21">
        <v>0</v>
      </c>
      <c r="AO93" s="21">
        <v>0</v>
      </c>
      <c r="AP93" s="21"/>
      <c r="AQ93" s="21">
        <v>0</v>
      </c>
      <c r="AR93" s="21">
        <v>0</v>
      </c>
      <c r="AS93" s="21">
        <v>2085604.94</v>
      </c>
      <c r="AT93" s="21" t="s">
        <v>188</v>
      </c>
      <c r="AU93" s="21" t="s">
        <v>152</v>
      </c>
      <c r="AV93" s="21" t="s">
        <v>152</v>
      </c>
      <c r="AW93" s="21" t="s">
        <v>639</v>
      </c>
      <c r="AX93" s="21" t="s">
        <v>640</v>
      </c>
      <c r="AY93" s="21">
        <v>0</v>
      </c>
      <c r="AZ93" s="21">
        <v>100475.04</v>
      </c>
      <c r="BA93" s="21">
        <v>424</v>
      </c>
      <c r="BB93" s="23">
        <v>46334</v>
      </c>
      <c r="BC93" s="21" t="s">
        <v>176</v>
      </c>
      <c r="BD93" s="21" t="s">
        <v>641</v>
      </c>
      <c r="BE93" s="21" t="s">
        <v>641</v>
      </c>
      <c r="BF93" s="21">
        <v>9</v>
      </c>
      <c r="BG93" s="21">
        <v>9042.75</v>
      </c>
      <c r="BH93" s="21">
        <v>9</v>
      </c>
      <c r="BI93" s="21">
        <v>9042.75</v>
      </c>
      <c r="BJ93" s="21">
        <v>0</v>
      </c>
      <c r="BK93" s="21">
        <v>0</v>
      </c>
      <c r="BL93" s="21">
        <v>0</v>
      </c>
      <c r="BM93" s="21">
        <v>652161047673</v>
      </c>
      <c r="BN93" s="23">
        <v>46245</v>
      </c>
      <c r="BO93" s="21">
        <v>456</v>
      </c>
    </row>
    <row r="94" spans="1:67" hidden="1" x14ac:dyDescent="0.25">
      <c r="A94" s="22"/>
      <c r="B94" s="21" t="s">
        <v>167</v>
      </c>
      <c r="C94" s="23">
        <v>46334</v>
      </c>
      <c r="D94" s="21" t="s">
        <v>834</v>
      </c>
      <c r="E94" s="21" t="s">
        <v>186</v>
      </c>
      <c r="F94" s="21" t="s">
        <v>187</v>
      </c>
      <c r="G94" s="21" t="s">
        <v>835</v>
      </c>
      <c r="H94" s="21">
        <v>2224</v>
      </c>
      <c r="I94" s="21">
        <v>2224</v>
      </c>
      <c r="J94" s="21" t="s">
        <v>168</v>
      </c>
      <c r="K94" s="21">
        <v>2224</v>
      </c>
      <c r="L94" s="21">
        <v>0</v>
      </c>
      <c r="M94" s="21">
        <v>2224</v>
      </c>
      <c r="N94" s="21" t="s">
        <v>275</v>
      </c>
      <c r="O94" s="21" t="s">
        <v>633</v>
      </c>
      <c r="P94" s="21" t="s">
        <v>633</v>
      </c>
      <c r="Q94" s="21" t="s">
        <v>836</v>
      </c>
      <c r="R94" s="23">
        <v>46334</v>
      </c>
      <c r="S94" s="21" t="s">
        <v>635</v>
      </c>
      <c r="T94" s="21" t="s">
        <v>636</v>
      </c>
      <c r="U94" s="21" t="s">
        <v>837</v>
      </c>
      <c r="V94" s="21">
        <v>219.35</v>
      </c>
      <c r="W94" s="21">
        <v>219.35</v>
      </c>
      <c r="X94" s="21" t="s">
        <v>836</v>
      </c>
      <c r="Y94" s="23">
        <v>46334</v>
      </c>
      <c r="Z94" s="21"/>
      <c r="AA94" s="21">
        <v>0</v>
      </c>
      <c r="AB94" s="21"/>
      <c r="AC94" s="21">
        <v>0</v>
      </c>
      <c r="AD94" s="21">
        <v>0</v>
      </c>
      <c r="AE94" s="21">
        <v>0</v>
      </c>
      <c r="AF94" s="21">
        <v>0</v>
      </c>
      <c r="AG94" s="21">
        <v>0</v>
      </c>
      <c r="AH94" s="21">
        <v>0</v>
      </c>
      <c r="AI94" s="21">
        <v>0</v>
      </c>
      <c r="AJ94" s="21" t="s">
        <v>638</v>
      </c>
      <c r="AK94" s="21">
        <v>0</v>
      </c>
      <c r="AL94" s="21">
        <v>0</v>
      </c>
      <c r="AM94" s="21">
        <v>0</v>
      </c>
      <c r="AN94" s="21">
        <v>0</v>
      </c>
      <c r="AO94" s="21">
        <v>0</v>
      </c>
      <c r="AP94" s="21"/>
      <c r="AQ94" s="21">
        <v>0</v>
      </c>
      <c r="AR94" s="21">
        <v>0</v>
      </c>
      <c r="AS94" s="21">
        <v>2085604.94</v>
      </c>
      <c r="AT94" s="21" t="s">
        <v>188</v>
      </c>
      <c r="AU94" s="21" t="s">
        <v>152</v>
      </c>
      <c r="AV94" s="21" t="s">
        <v>152</v>
      </c>
      <c r="AW94" s="21" t="s">
        <v>639</v>
      </c>
      <c r="AX94" s="21" t="s">
        <v>640</v>
      </c>
      <c r="AY94" s="21">
        <v>0</v>
      </c>
      <c r="AZ94" s="21">
        <v>487834.4</v>
      </c>
      <c r="BA94" s="21">
        <v>424</v>
      </c>
      <c r="BB94" s="23">
        <v>46334</v>
      </c>
      <c r="BC94" s="21" t="s">
        <v>176</v>
      </c>
      <c r="BD94" s="21" t="s">
        <v>641</v>
      </c>
      <c r="BE94" s="21" t="s">
        <v>641</v>
      </c>
      <c r="BF94" s="21">
        <v>9</v>
      </c>
      <c r="BG94" s="21">
        <v>43905.1</v>
      </c>
      <c r="BH94" s="21">
        <v>9</v>
      </c>
      <c r="BI94" s="21">
        <v>43905.1</v>
      </c>
      <c r="BJ94" s="21">
        <v>0</v>
      </c>
      <c r="BK94" s="21">
        <v>0</v>
      </c>
      <c r="BL94" s="21">
        <v>0</v>
      </c>
      <c r="BM94" s="21">
        <v>652161047673</v>
      </c>
      <c r="BN94" s="23">
        <v>46245</v>
      </c>
      <c r="BO94" s="21">
        <v>2224</v>
      </c>
    </row>
    <row r="95" spans="1:67" hidden="1" x14ac:dyDescent="0.25">
      <c r="A95" s="22"/>
      <c r="B95" s="21" t="s">
        <v>167</v>
      </c>
      <c r="C95" s="23">
        <v>46334</v>
      </c>
      <c r="D95" s="21" t="s">
        <v>834</v>
      </c>
      <c r="E95" s="21" t="s">
        <v>186</v>
      </c>
      <c r="F95" s="21" t="s">
        <v>187</v>
      </c>
      <c r="G95" s="21" t="s">
        <v>835</v>
      </c>
      <c r="H95" s="21">
        <v>1339</v>
      </c>
      <c r="I95" s="21">
        <v>1339</v>
      </c>
      <c r="J95" s="21" t="s">
        <v>168</v>
      </c>
      <c r="K95" s="21">
        <v>1339</v>
      </c>
      <c r="L95" s="21">
        <v>0</v>
      </c>
      <c r="M95" s="21">
        <v>1339</v>
      </c>
      <c r="N95" s="21" t="s">
        <v>275</v>
      </c>
      <c r="O95" s="21" t="s">
        <v>633</v>
      </c>
      <c r="P95" s="21" t="s">
        <v>633</v>
      </c>
      <c r="Q95" s="21" t="s">
        <v>836</v>
      </c>
      <c r="R95" s="23">
        <v>46334</v>
      </c>
      <c r="S95" s="21" t="s">
        <v>635</v>
      </c>
      <c r="T95" s="21" t="s">
        <v>636</v>
      </c>
      <c r="U95" s="21" t="s">
        <v>837</v>
      </c>
      <c r="V95" s="21">
        <v>225</v>
      </c>
      <c r="W95" s="21">
        <v>225</v>
      </c>
      <c r="X95" s="21" t="s">
        <v>836</v>
      </c>
      <c r="Y95" s="23">
        <v>46334</v>
      </c>
      <c r="Z95" s="21"/>
      <c r="AA95" s="21">
        <v>0</v>
      </c>
      <c r="AB95" s="21"/>
      <c r="AC95" s="21">
        <v>0</v>
      </c>
      <c r="AD95" s="21">
        <v>0</v>
      </c>
      <c r="AE95" s="21">
        <v>0</v>
      </c>
      <c r="AF95" s="21">
        <v>0</v>
      </c>
      <c r="AG95" s="21">
        <v>0</v>
      </c>
      <c r="AH95" s="21">
        <v>0</v>
      </c>
      <c r="AI95" s="21">
        <v>0</v>
      </c>
      <c r="AJ95" s="21" t="s">
        <v>638</v>
      </c>
      <c r="AK95" s="21">
        <v>0</v>
      </c>
      <c r="AL95" s="21">
        <v>0</v>
      </c>
      <c r="AM95" s="21">
        <v>0</v>
      </c>
      <c r="AN95" s="21">
        <v>0</v>
      </c>
      <c r="AO95" s="21">
        <v>0</v>
      </c>
      <c r="AP95" s="21"/>
      <c r="AQ95" s="21">
        <v>0</v>
      </c>
      <c r="AR95" s="21">
        <v>0</v>
      </c>
      <c r="AS95" s="21">
        <v>2085604.94</v>
      </c>
      <c r="AT95" s="21" t="s">
        <v>188</v>
      </c>
      <c r="AU95" s="21" t="s">
        <v>152</v>
      </c>
      <c r="AV95" s="21" t="s">
        <v>152</v>
      </c>
      <c r="AW95" s="21" t="s">
        <v>639</v>
      </c>
      <c r="AX95" s="21" t="s">
        <v>640</v>
      </c>
      <c r="AY95" s="21">
        <v>0</v>
      </c>
      <c r="AZ95" s="21">
        <v>301275</v>
      </c>
      <c r="BA95" s="21">
        <v>424</v>
      </c>
      <c r="BB95" s="23">
        <v>46334</v>
      </c>
      <c r="BC95" s="21" t="s">
        <v>176</v>
      </c>
      <c r="BD95" s="21" t="s">
        <v>641</v>
      </c>
      <c r="BE95" s="21" t="s">
        <v>641</v>
      </c>
      <c r="BF95" s="21">
        <v>9</v>
      </c>
      <c r="BG95" s="21">
        <v>27114.75</v>
      </c>
      <c r="BH95" s="21">
        <v>9</v>
      </c>
      <c r="BI95" s="21">
        <v>27114.75</v>
      </c>
      <c r="BJ95" s="21">
        <v>0</v>
      </c>
      <c r="BK95" s="21">
        <v>0</v>
      </c>
      <c r="BL95" s="21">
        <v>0</v>
      </c>
      <c r="BM95" s="21">
        <v>652161047673</v>
      </c>
      <c r="BN95" s="23">
        <v>46245</v>
      </c>
      <c r="BO95" s="21">
        <v>1339</v>
      </c>
    </row>
    <row r="96" spans="1:67" hidden="1" x14ac:dyDescent="0.25">
      <c r="A96" s="22"/>
      <c r="B96" s="21" t="s">
        <v>167</v>
      </c>
      <c r="C96" s="23">
        <v>46334</v>
      </c>
      <c r="D96" s="21" t="s">
        <v>838</v>
      </c>
      <c r="E96" s="21" t="s">
        <v>182</v>
      </c>
      <c r="F96" s="21" t="s">
        <v>183</v>
      </c>
      <c r="G96" s="21" t="s">
        <v>839</v>
      </c>
      <c r="H96" s="21">
        <v>3492</v>
      </c>
      <c r="I96" s="21">
        <v>3492</v>
      </c>
      <c r="J96" s="21" t="s">
        <v>168</v>
      </c>
      <c r="K96" s="21">
        <v>3492</v>
      </c>
      <c r="L96" s="21">
        <v>0</v>
      </c>
      <c r="M96" s="21">
        <v>3492</v>
      </c>
      <c r="N96" s="21" t="s">
        <v>778</v>
      </c>
      <c r="O96" s="21" t="s">
        <v>663</v>
      </c>
      <c r="P96" s="21" t="s">
        <v>663</v>
      </c>
      <c r="Q96" s="21" t="s">
        <v>840</v>
      </c>
      <c r="R96" s="23">
        <v>46303</v>
      </c>
      <c r="S96" s="21" t="s">
        <v>635</v>
      </c>
      <c r="T96" s="21" t="s">
        <v>636</v>
      </c>
      <c r="U96" s="21" t="s">
        <v>841</v>
      </c>
      <c r="V96" s="21">
        <v>156.49</v>
      </c>
      <c r="W96" s="21">
        <v>156.49</v>
      </c>
      <c r="X96" s="21" t="s">
        <v>840</v>
      </c>
      <c r="Y96" s="23">
        <v>46303</v>
      </c>
      <c r="Z96" s="21"/>
      <c r="AA96" s="21">
        <v>0</v>
      </c>
      <c r="AB96" s="21"/>
      <c r="AC96" s="21">
        <v>0</v>
      </c>
      <c r="AD96" s="21">
        <v>0</v>
      </c>
      <c r="AE96" s="21">
        <v>0</v>
      </c>
      <c r="AF96" s="21">
        <v>0</v>
      </c>
      <c r="AG96" s="21">
        <v>0</v>
      </c>
      <c r="AH96" s="21">
        <v>0</v>
      </c>
      <c r="AI96" s="21">
        <v>0</v>
      </c>
      <c r="AJ96" s="21" t="s">
        <v>638</v>
      </c>
      <c r="AK96" s="21">
        <v>0</v>
      </c>
      <c r="AL96" s="21">
        <v>0</v>
      </c>
      <c r="AM96" s="21">
        <v>0</v>
      </c>
      <c r="AN96" s="21">
        <v>0</v>
      </c>
      <c r="AO96" s="21">
        <v>0</v>
      </c>
      <c r="AP96" s="21"/>
      <c r="AQ96" s="21">
        <v>0</v>
      </c>
      <c r="AR96" s="21">
        <v>0</v>
      </c>
      <c r="AS96" s="21">
        <v>685289.05</v>
      </c>
      <c r="AT96" s="21" t="s">
        <v>169</v>
      </c>
      <c r="AU96" s="21" t="s">
        <v>179</v>
      </c>
      <c r="AV96" s="21" t="s">
        <v>155</v>
      </c>
      <c r="AW96" s="21" t="s">
        <v>639</v>
      </c>
      <c r="AX96" s="21" t="s">
        <v>640</v>
      </c>
      <c r="AY96" s="21">
        <v>0</v>
      </c>
      <c r="AZ96" s="21">
        <v>546463.07999999996</v>
      </c>
      <c r="BA96" s="21">
        <v>423</v>
      </c>
      <c r="BB96" s="23">
        <v>46334</v>
      </c>
      <c r="BC96" s="21" t="s">
        <v>185</v>
      </c>
      <c r="BD96" s="21" t="s">
        <v>641</v>
      </c>
      <c r="BE96" s="21" t="s">
        <v>641</v>
      </c>
      <c r="BF96" s="21">
        <v>9</v>
      </c>
      <c r="BG96" s="21">
        <v>49181.68</v>
      </c>
      <c r="BH96" s="21">
        <v>9</v>
      </c>
      <c r="BI96" s="21">
        <v>49181.68</v>
      </c>
      <c r="BJ96" s="21">
        <v>0</v>
      </c>
      <c r="BK96" s="21">
        <v>0</v>
      </c>
      <c r="BL96" s="21">
        <v>685289.05</v>
      </c>
      <c r="BM96" s="21">
        <v>642160611319</v>
      </c>
      <c r="BN96" s="23">
        <v>46244</v>
      </c>
      <c r="BO96" s="21">
        <v>3492</v>
      </c>
    </row>
    <row r="97" spans="1:67" hidden="1" x14ac:dyDescent="0.25">
      <c r="A97" s="22"/>
      <c r="B97" s="21" t="s">
        <v>167</v>
      </c>
      <c r="C97" s="23">
        <v>46334</v>
      </c>
      <c r="D97" s="21" t="s">
        <v>838</v>
      </c>
      <c r="E97" s="21" t="s">
        <v>182</v>
      </c>
      <c r="F97" s="21" t="s">
        <v>183</v>
      </c>
      <c r="G97" s="21" t="s">
        <v>839</v>
      </c>
      <c r="H97" s="21">
        <v>215</v>
      </c>
      <c r="I97" s="21">
        <v>215</v>
      </c>
      <c r="J97" s="21" t="s">
        <v>168</v>
      </c>
      <c r="K97" s="21">
        <v>215</v>
      </c>
      <c r="L97" s="21">
        <v>0</v>
      </c>
      <c r="M97" s="21">
        <v>215</v>
      </c>
      <c r="N97" s="21" t="s">
        <v>778</v>
      </c>
      <c r="O97" s="21" t="s">
        <v>663</v>
      </c>
      <c r="P97" s="21" t="s">
        <v>663</v>
      </c>
      <c r="Q97" s="21" t="s">
        <v>840</v>
      </c>
      <c r="R97" s="23">
        <v>46303</v>
      </c>
      <c r="S97" s="21" t="s">
        <v>635</v>
      </c>
      <c r="T97" s="21" t="s">
        <v>636</v>
      </c>
      <c r="U97" s="21" t="s">
        <v>841</v>
      </c>
      <c r="V97" s="21">
        <v>159.49</v>
      </c>
      <c r="W97" s="21">
        <v>159.49</v>
      </c>
      <c r="X97" s="21" t="s">
        <v>840</v>
      </c>
      <c r="Y97" s="23">
        <v>46303</v>
      </c>
      <c r="Z97" s="21"/>
      <c r="AA97" s="21">
        <v>0</v>
      </c>
      <c r="AB97" s="21"/>
      <c r="AC97" s="21">
        <v>0</v>
      </c>
      <c r="AD97" s="21">
        <v>0</v>
      </c>
      <c r="AE97" s="21">
        <v>0</v>
      </c>
      <c r="AF97" s="21">
        <v>0</v>
      </c>
      <c r="AG97" s="21">
        <v>0</v>
      </c>
      <c r="AH97" s="21">
        <v>0</v>
      </c>
      <c r="AI97" s="21">
        <v>0</v>
      </c>
      <c r="AJ97" s="21" t="s">
        <v>638</v>
      </c>
      <c r="AK97" s="21">
        <v>0</v>
      </c>
      <c r="AL97" s="21">
        <v>0</v>
      </c>
      <c r="AM97" s="21">
        <v>0</v>
      </c>
      <c r="AN97" s="21">
        <v>0</v>
      </c>
      <c r="AO97" s="21">
        <v>0</v>
      </c>
      <c r="AP97" s="21"/>
      <c r="AQ97" s="21">
        <v>0</v>
      </c>
      <c r="AR97" s="21">
        <v>0</v>
      </c>
      <c r="AS97" s="21">
        <v>685289.05</v>
      </c>
      <c r="AT97" s="21" t="s">
        <v>169</v>
      </c>
      <c r="AU97" s="21" t="s">
        <v>179</v>
      </c>
      <c r="AV97" s="21" t="s">
        <v>155</v>
      </c>
      <c r="AW97" s="21" t="s">
        <v>639</v>
      </c>
      <c r="AX97" s="21" t="s">
        <v>640</v>
      </c>
      <c r="AY97" s="21">
        <v>0</v>
      </c>
      <c r="AZ97" s="21">
        <v>34290.35</v>
      </c>
      <c r="BA97" s="21">
        <v>423</v>
      </c>
      <c r="BB97" s="23">
        <v>46334</v>
      </c>
      <c r="BC97" s="21" t="s">
        <v>185</v>
      </c>
      <c r="BD97" s="21" t="s">
        <v>641</v>
      </c>
      <c r="BE97" s="21" t="s">
        <v>641</v>
      </c>
      <c r="BF97" s="21">
        <v>9</v>
      </c>
      <c r="BG97" s="21">
        <v>3086.13</v>
      </c>
      <c r="BH97" s="21">
        <v>9</v>
      </c>
      <c r="BI97" s="21">
        <v>3086.13</v>
      </c>
      <c r="BJ97" s="21">
        <v>0</v>
      </c>
      <c r="BK97" s="21">
        <v>0</v>
      </c>
      <c r="BL97" s="21">
        <v>0</v>
      </c>
      <c r="BM97" s="21">
        <v>642160611319</v>
      </c>
      <c r="BN97" s="23">
        <v>46244</v>
      </c>
      <c r="BO97" s="21">
        <v>215</v>
      </c>
    </row>
    <row r="98" spans="1:67" hidden="1" x14ac:dyDescent="0.25">
      <c r="A98" s="22"/>
      <c r="B98" s="21" t="s">
        <v>167</v>
      </c>
      <c r="C98" s="23">
        <v>46364</v>
      </c>
      <c r="D98" s="21" t="s">
        <v>842</v>
      </c>
      <c r="E98" s="21" t="s">
        <v>177</v>
      </c>
      <c r="F98" s="21" t="s">
        <v>178</v>
      </c>
      <c r="G98" s="21" t="s">
        <v>843</v>
      </c>
      <c r="H98" s="21">
        <v>3258</v>
      </c>
      <c r="I98" s="21">
        <v>3258</v>
      </c>
      <c r="J98" s="21" t="s">
        <v>168</v>
      </c>
      <c r="K98" s="21">
        <v>3258</v>
      </c>
      <c r="L98" s="21">
        <v>0</v>
      </c>
      <c r="M98" s="21">
        <v>3258</v>
      </c>
      <c r="N98" s="21" t="s">
        <v>174</v>
      </c>
      <c r="O98" s="21" t="s">
        <v>633</v>
      </c>
      <c r="P98" s="21" t="s">
        <v>633</v>
      </c>
      <c r="Q98" s="21" t="s">
        <v>844</v>
      </c>
      <c r="R98" s="23">
        <v>46334</v>
      </c>
      <c r="S98" s="21" t="s">
        <v>635</v>
      </c>
      <c r="T98" s="21" t="s">
        <v>636</v>
      </c>
      <c r="U98" s="21" t="s">
        <v>845</v>
      </c>
      <c r="V98" s="21">
        <v>149.32</v>
      </c>
      <c r="W98" s="21">
        <v>149.320000627718</v>
      </c>
      <c r="X98" s="21" t="s">
        <v>844</v>
      </c>
      <c r="Y98" s="23">
        <v>46334</v>
      </c>
      <c r="Z98" s="21"/>
      <c r="AA98" s="21">
        <v>0</v>
      </c>
      <c r="AB98" s="21"/>
      <c r="AC98" s="21">
        <v>0</v>
      </c>
      <c r="AD98" s="21">
        <v>0</v>
      </c>
      <c r="AE98" s="21">
        <v>0</v>
      </c>
      <c r="AF98" s="21">
        <v>0</v>
      </c>
      <c r="AG98" s="21">
        <v>0</v>
      </c>
      <c r="AH98" s="21">
        <v>0</v>
      </c>
      <c r="AI98" s="21">
        <v>0</v>
      </c>
      <c r="AJ98" s="21" t="s">
        <v>638</v>
      </c>
      <c r="AK98" s="21">
        <v>0</v>
      </c>
      <c r="AL98" s="21">
        <v>0</v>
      </c>
      <c r="AM98" s="21">
        <v>0</v>
      </c>
      <c r="AN98" s="21">
        <v>0</v>
      </c>
      <c r="AO98" s="21">
        <v>0</v>
      </c>
      <c r="AP98" s="21"/>
      <c r="AQ98" s="21">
        <v>0</v>
      </c>
      <c r="AR98" s="21">
        <v>0</v>
      </c>
      <c r="AS98" s="21">
        <v>951509.7</v>
      </c>
      <c r="AT98" s="21" t="s">
        <v>169</v>
      </c>
      <c r="AU98" s="21" t="s">
        <v>179</v>
      </c>
      <c r="AV98" s="21" t="s">
        <v>156</v>
      </c>
      <c r="AW98" s="21" t="s">
        <v>639</v>
      </c>
      <c r="AX98" s="21" t="s">
        <v>640</v>
      </c>
      <c r="AY98" s="21">
        <v>0</v>
      </c>
      <c r="AZ98" s="21">
        <v>486484.56</v>
      </c>
      <c r="BA98" s="21">
        <v>425</v>
      </c>
      <c r="BB98" s="23">
        <v>46334</v>
      </c>
      <c r="BC98" s="21" t="s">
        <v>176</v>
      </c>
      <c r="BD98" s="21" t="s">
        <v>641</v>
      </c>
      <c r="BE98" s="21" t="s">
        <v>641</v>
      </c>
      <c r="BF98" s="21">
        <v>9</v>
      </c>
      <c r="BG98" s="21">
        <v>43783.61</v>
      </c>
      <c r="BH98" s="21">
        <v>9</v>
      </c>
      <c r="BI98" s="21">
        <v>43783.61</v>
      </c>
      <c r="BJ98" s="21">
        <v>0</v>
      </c>
      <c r="BK98" s="21">
        <v>0</v>
      </c>
      <c r="BL98" s="21">
        <v>951509.7</v>
      </c>
      <c r="BM98" s="21">
        <v>662161464143</v>
      </c>
      <c r="BN98" s="23">
        <v>46245</v>
      </c>
      <c r="BO98" s="21">
        <v>3258</v>
      </c>
    </row>
    <row r="99" spans="1:67" hidden="1" x14ac:dyDescent="0.25">
      <c r="A99" s="22"/>
      <c r="B99" s="21" t="s">
        <v>167</v>
      </c>
      <c r="C99" s="23">
        <v>46364</v>
      </c>
      <c r="D99" s="21" t="s">
        <v>842</v>
      </c>
      <c r="E99" s="21" t="s">
        <v>180</v>
      </c>
      <c r="F99" s="21" t="s">
        <v>181</v>
      </c>
      <c r="G99" s="21" t="s">
        <v>843</v>
      </c>
      <c r="H99" s="21">
        <v>769.9</v>
      </c>
      <c r="I99" s="21">
        <v>769.9</v>
      </c>
      <c r="J99" s="21" t="s">
        <v>168</v>
      </c>
      <c r="K99" s="21">
        <v>769.9</v>
      </c>
      <c r="L99" s="21">
        <v>0</v>
      </c>
      <c r="M99" s="21">
        <v>769.9</v>
      </c>
      <c r="N99" s="21" t="s">
        <v>174</v>
      </c>
      <c r="O99" s="21" t="s">
        <v>633</v>
      </c>
      <c r="P99" s="21" t="s">
        <v>633</v>
      </c>
      <c r="Q99" s="21" t="s">
        <v>844</v>
      </c>
      <c r="R99" s="23">
        <v>46334</v>
      </c>
      <c r="S99" s="21" t="s">
        <v>635</v>
      </c>
      <c r="T99" s="21" t="s">
        <v>636</v>
      </c>
      <c r="U99" s="21" t="s">
        <v>845</v>
      </c>
      <c r="V99" s="21">
        <v>147.32</v>
      </c>
      <c r="W99" s="21">
        <v>147.320000619311</v>
      </c>
      <c r="X99" s="21" t="s">
        <v>844</v>
      </c>
      <c r="Y99" s="23">
        <v>46334</v>
      </c>
      <c r="Z99" s="21"/>
      <c r="AA99" s="21">
        <v>0</v>
      </c>
      <c r="AB99" s="21"/>
      <c r="AC99" s="21">
        <v>0</v>
      </c>
      <c r="AD99" s="21">
        <v>0</v>
      </c>
      <c r="AE99" s="21">
        <v>0</v>
      </c>
      <c r="AF99" s="21">
        <v>0</v>
      </c>
      <c r="AG99" s="21">
        <v>0</v>
      </c>
      <c r="AH99" s="21">
        <v>0</v>
      </c>
      <c r="AI99" s="21">
        <v>0</v>
      </c>
      <c r="AJ99" s="21" t="s">
        <v>638</v>
      </c>
      <c r="AK99" s="21">
        <v>0</v>
      </c>
      <c r="AL99" s="21">
        <v>0</v>
      </c>
      <c r="AM99" s="21">
        <v>0</v>
      </c>
      <c r="AN99" s="21">
        <v>0</v>
      </c>
      <c r="AO99" s="21">
        <v>0</v>
      </c>
      <c r="AP99" s="21"/>
      <c r="AQ99" s="21">
        <v>0</v>
      </c>
      <c r="AR99" s="21">
        <v>0</v>
      </c>
      <c r="AS99" s="21">
        <v>951509.7</v>
      </c>
      <c r="AT99" s="21" t="s">
        <v>169</v>
      </c>
      <c r="AU99" s="21" t="s">
        <v>181</v>
      </c>
      <c r="AV99" s="21" t="s">
        <v>154</v>
      </c>
      <c r="AW99" s="21" t="s">
        <v>639</v>
      </c>
      <c r="AX99" s="21" t="s">
        <v>640</v>
      </c>
      <c r="AY99" s="21">
        <v>0</v>
      </c>
      <c r="AZ99" s="21">
        <v>113421.67</v>
      </c>
      <c r="BA99" s="21">
        <v>425</v>
      </c>
      <c r="BB99" s="23">
        <v>46334</v>
      </c>
      <c r="BC99" s="21" t="s">
        <v>176</v>
      </c>
      <c r="BD99" s="21" t="s">
        <v>641</v>
      </c>
      <c r="BE99" s="21" t="s">
        <v>641</v>
      </c>
      <c r="BF99" s="21">
        <v>9</v>
      </c>
      <c r="BG99" s="21">
        <v>10207.950000000001</v>
      </c>
      <c r="BH99" s="21">
        <v>9</v>
      </c>
      <c r="BI99" s="21">
        <v>10207.950000000001</v>
      </c>
      <c r="BJ99" s="21">
        <v>0</v>
      </c>
      <c r="BK99" s="21">
        <v>0</v>
      </c>
      <c r="BL99" s="21">
        <v>0</v>
      </c>
      <c r="BM99" s="21">
        <v>662161464143</v>
      </c>
      <c r="BN99" s="23">
        <v>46245</v>
      </c>
      <c r="BO99" s="21">
        <v>769.9</v>
      </c>
    </row>
    <row r="100" spans="1:67" hidden="1" x14ac:dyDescent="0.25">
      <c r="A100" s="22"/>
      <c r="B100" s="21" t="s">
        <v>167</v>
      </c>
      <c r="C100" s="23">
        <v>46364</v>
      </c>
      <c r="D100" s="21" t="s">
        <v>842</v>
      </c>
      <c r="E100" s="21" t="s">
        <v>180</v>
      </c>
      <c r="F100" s="21" t="s">
        <v>181</v>
      </c>
      <c r="G100" s="21" t="s">
        <v>843</v>
      </c>
      <c r="H100" s="21">
        <v>697.5</v>
      </c>
      <c r="I100" s="21">
        <v>697.5</v>
      </c>
      <c r="J100" s="21" t="s">
        <v>168</v>
      </c>
      <c r="K100" s="21">
        <v>697.5</v>
      </c>
      <c r="L100" s="21">
        <v>0</v>
      </c>
      <c r="M100" s="21">
        <v>697.5</v>
      </c>
      <c r="N100" s="21" t="s">
        <v>174</v>
      </c>
      <c r="O100" s="21" t="s">
        <v>633</v>
      </c>
      <c r="P100" s="21" t="s">
        <v>633</v>
      </c>
      <c r="Q100" s="21" t="s">
        <v>844</v>
      </c>
      <c r="R100" s="23">
        <v>46334</v>
      </c>
      <c r="S100" s="21" t="s">
        <v>635</v>
      </c>
      <c r="T100" s="21" t="s">
        <v>636</v>
      </c>
      <c r="U100" s="21" t="s">
        <v>845</v>
      </c>
      <c r="V100" s="21">
        <v>144.32</v>
      </c>
      <c r="W100" s="21">
        <v>144.32000060669901</v>
      </c>
      <c r="X100" s="21" t="s">
        <v>844</v>
      </c>
      <c r="Y100" s="23">
        <v>46334</v>
      </c>
      <c r="Z100" s="21"/>
      <c r="AA100" s="21">
        <v>0</v>
      </c>
      <c r="AB100" s="21"/>
      <c r="AC100" s="21">
        <v>0</v>
      </c>
      <c r="AD100" s="21">
        <v>0</v>
      </c>
      <c r="AE100" s="21">
        <v>0</v>
      </c>
      <c r="AF100" s="21">
        <v>0</v>
      </c>
      <c r="AG100" s="21">
        <v>0</v>
      </c>
      <c r="AH100" s="21">
        <v>0</v>
      </c>
      <c r="AI100" s="21">
        <v>0</v>
      </c>
      <c r="AJ100" s="21" t="s">
        <v>638</v>
      </c>
      <c r="AK100" s="21">
        <v>0</v>
      </c>
      <c r="AL100" s="21">
        <v>0</v>
      </c>
      <c r="AM100" s="21">
        <v>0</v>
      </c>
      <c r="AN100" s="21">
        <v>0</v>
      </c>
      <c r="AO100" s="21">
        <v>0</v>
      </c>
      <c r="AP100" s="21"/>
      <c r="AQ100" s="21">
        <v>0</v>
      </c>
      <c r="AR100" s="21">
        <v>0</v>
      </c>
      <c r="AS100" s="21">
        <v>951509.7</v>
      </c>
      <c r="AT100" s="21" t="s">
        <v>169</v>
      </c>
      <c r="AU100" s="21" t="s">
        <v>181</v>
      </c>
      <c r="AV100" s="21" t="s">
        <v>154</v>
      </c>
      <c r="AW100" s="21" t="s">
        <v>639</v>
      </c>
      <c r="AX100" s="21" t="s">
        <v>640</v>
      </c>
      <c r="AY100" s="21">
        <v>0</v>
      </c>
      <c r="AZ100" s="21">
        <v>100663.2</v>
      </c>
      <c r="BA100" s="21">
        <v>425</v>
      </c>
      <c r="BB100" s="23">
        <v>46334</v>
      </c>
      <c r="BC100" s="21" t="s">
        <v>176</v>
      </c>
      <c r="BD100" s="21" t="s">
        <v>641</v>
      </c>
      <c r="BE100" s="21" t="s">
        <v>641</v>
      </c>
      <c r="BF100" s="21">
        <v>9</v>
      </c>
      <c r="BG100" s="21">
        <v>9059.69</v>
      </c>
      <c r="BH100" s="21">
        <v>9</v>
      </c>
      <c r="BI100" s="21">
        <v>9059.69</v>
      </c>
      <c r="BJ100" s="21">
        <v>0</v>
      </c>
      <c r="BK100" s="21">
        <v>0</v>
      </c>
      <c r="BL100" s="21">
        <v>0</v>
      </c>
      <c r="BM100" s="21">
        <v>662161464143</v>
      </c>
      <c r="BN100" s="23">
        <v>46245</v>
      </c>
      <c r="BO100" s="21">
        <v>697.5</v>
      </c>
    </row>
    <row r="101" spans="1:67" hidden="1" x14ac:dyDescent="0.25">
      <c r="A101" s="22"/>
      <c r="B101" s="21" t="s">
        <v>167</v>
      </c>
      <c r="C101" s="23">
        <v>46364</v>
      </c>
      <c r="D101" s="21" t="s">
        <v>842</v>
      </c>
      <c r="E101" s="21" t="s">
        <v>172</v>
      </c>
      <c r="F101" s="21" t="s">
        <v>173</v>
      </c>
      <c r="G101" s="21" t="s">
        <v>843</v>
      </c>
      <c r="H101" s="21">
        <v>487</v>
      </c>
      <c r="I101" s="21">
        <v>487</v>
      </c>
      <c r="J101" s="21" t="s">
        <v>168</v>
      </c>
      <c r="K101" s="21">
        <v>487</v>
      </c>
      <c r="L101" s="21">
        <v>0</v>
      </c>
      <c r="M101" s="21">
        <v>487</v>
      </c>
      <c r="N101" s="21" t="s">
        <v>174</v>
      </c>
      <c r="O101" s="21" t="s">
        <v>633</v>
      </c>
      <c r="P101" s="21" t="s">
        <v>633</v>
      </c>
      <c r="Q101" s="21" t="s">
        <v>844</v>
      </c>
      <c r="R101" s="23">
        <v>46334</v>
      </c>
      <c r="S101" s="21" t="s">
        <v>635</v>
      </c>
      <c r="T101" s="21" t="s">
        <v>636</v>
      </c>
      <c r="U101" s="21" t="s">
        <v>845</v>
      </c>
      <c r="V101" s="21">
        <v>200.86</v>
      </c>
      <c r="W101" s="21">
        <v>200.86000084438399</v>
      </c>
      <c r="X101" s="21" t="s">
        <v>844</v>
      </c>
      <c r="Y101" s="23">
        <v>46334</v>
      </c>
      <c r="Z101" s="21"/>
      <c r="AA101" s="21">
        <v>0</v>
      </c>
      <c r="AB101" s="21"/>
      <c r="AC101" s="21">
        <v>0</v>
      </c>
      <c r="AD101" s="21">
        <v>0</v>
      </c>
      <c r="AE101" s="21">
        <v>0</v>
      </c>
      <c r="AF101" s="21">
        <v>0</v>
      </c>
      <c r="AG101" s="21">
        <v>0</v>
      </c>
      <c r="AH101" s="21">
        <v>0</v>
      </c>
      <c r="AI101" s="21">
        <v>0</v>
      </c>
      <c r="AJ101" s="21" t="s">
        <v>638</v>
      </c>
      <c r="AK101" s="21">
        <v>0</v>
      </c>
      <c r="AL101" s="21">
        <v>0</v>
      </c>
      <c r="AM101" s="21">
        <v>0</v>
      </c>
      <c r="AN101" s="21">
        <v>0</v>
      </c>
      <c r="AO101" s="21">
        <v>0</v>
      </c>
      <c r="AP101" s="21"/>
      <c r="AQ101" s="21">
        <v>0</v>
      </c>
      <c r="AR101" s="21">
        <v>0</v>
      </c>
      <c r="AS101" s="21">
        <v>951509.7</v>
      </c>
      <c r="AT101" s="21" t="s">
        <v>169</v>
      </c>
      <c r="AU101" s="21" t="s">
        <v>175</v>
      </c>
      <c r="AV101" s="21" t="s">
        <v>159</v>
      </c>
      <c r="AW101" s="21" t="s">
        <v>639</v>
      </c>
      <c r="AX101" s="21" t="s">
        <v>640</v>
      </c>
      <c r="AY101" s="21">
        <v>0</v>
      </c>
      <c r="AZ101" s="21">
        <v>97818.82</v>
      </c>
      <c r="BA101" s="21">
        <v>425</v>
      </c>
      <c r="BB101" s="23">
        <v>46334</v>
      </c>
      <c r="BC101" s="21" t="s">
        <v>176</v>
      </c>
      <c r="BD101" s="21" t="s">
        <v>641</v>
      </c>
      <c r="BE101" s="21" t="s">
        <v>641</v>
      </c>
      <c r="BF101" s="21">
        <v>9</v>
      </c>
      <c r="BG101" s="21">
        <v>8803.69</v>
      </c>
      <c r="BH101" s="21">
        <v>9</v>
      </c>
      <c r="BI101" s="21">
        <v>8803.69</v>
      </c>
      <c r="BJ101" s="21">
        <v>0</v>
      </c>
      <c r="BK101" s="21">
        <v>0</v>
      </c>
      <c r="BL101" s="21">
        <v>0</v>
      </c>
      <c r="BM101" s="21">
        <v>662161464143</v>
      </c>
      <c r="BN101" s="23">
        <v>46245</v>
      </c>
      <c r="BO101" s="21">
        <v>487</v>
      </c>
    </row>
    <row r="102" spans="1:67" hidden="1" x14ac:dyDescent="0.25">
      <c r="A102" s="22"/>
      <c r="B102" s="21" t="s">
        <v>167</v>
      </c>
      <c r="C102" s="23">
        <v>46364</v>
      </c>
      <c r="D102" s="21" t="s">
        <v>842</v>
      </c>
      <c r="E102" s="21" t="s">
        <v>195</v>
      </c>
      <c r="F102" s="21" t="s">
        <v>196</v>
      </c>
      <c r="G102" s="21" t="s">
        <v>843</v>
      </c>
      <c r="H102" s="21">
        <v>47.8</v>
      </c>
      <c r="I102" s="21">
        <v>47.8</v>
      </c>
      <c r="J102" s="21" t="s">
        <v>168</v>
      </c>
      <c r="K102" s="21">
        <v>47.8</v>
      </c>
      <c r="L102" s="21">
        <v>0</v>
      </c>
      <c r="M102" s="21">
        <v>47.8</v>
      </c>
      <c r="N102" s="21" t="s">
        <v>174</v>
      </c>
      <c r="O102" s="21" t="s">
        <v>633</v>
      </c>
      <c r="P102" s="21" t="s">
        <v>633</v>
      </c>
      <c r="Q102" s="21" t="s">
        <v>844</v>
      </c>
      <c r="R102" s="23">
        <v>46334</v>
      </c>
      <c r="S102" s="21" t="s">
        <v>635</v>
      </c>
      <c r="T102" s="21" t="s">
        <v>636</v>
      </c>
      <c r="U102" s="21" t="s">
        <v>845</v>
      </c>
      <c r="V102" s="21">
        <v>166.86</v>
      </c>
      <c r="W102" s="21">
        <v>166.860000701454</v>
      </c>
      <c r="X102" s="21" t="s">
        <v>844</v>
      </c>
      <c r="Y102" s="23">
        <v>46334</v>
      </c>
      <c r="Z102" s="21"/>
      <c r="AA102" s="21">
        <v>0</v>
      </c>
      <c r="AB102" s="21"/>
      <c r="AC102" s="21">
        <v>0</v>
      </c>
      <c r="AD102" s="21">
        <v>0</v>
      </c>
      <c r="AE102" s="21">
        <v>0</v>
      </c>
      <c r="AF102" s="21">
        <v>0</v>
      </c>
      <c r="AG102" s="21">
        <v>0</v>
      </c>
      <c r="AH102" s="21">
        <v>0</v>
      </c>
      <c r="AI102" s="21">
        <v>0</v>
      </c>
      <c r="AJ102" s="21" t="s">
        <v>638</v>
      </c>
      <c r="AK102" s="21">
        <v>0</v>
      </c>
      <c r="AL102" s="21">
        <v>0</v>
      </c>
      <c r="AM102" s="21">
        <v>0</v>
      </c>
      <c r="AN102" s="21">
        <v>0</v>
      </c>
      <c r="AO102" s="21">
        <v>0</v>
      </c>
      <c r="AP102" s="21"/>
      <c r="AQ102" s="21">
        <v>0</v>
      </c>
      <c r="AR102" s="21">
        <v>0</v>
      </c>
      <c r="AS102" s="21">
        <v>951509.7</v>
      </c>
      <c r="AT102" s="21" t="s">
        <v>169</v>
      </c>
      <c r="AU102" s="21" t="s">
        <v>197</v>
      </c>
      <c r="AV102" s="21" t="s">
        <v>158</v>
      </c>
      <c r="AW102" s="21" t="s">
        <v>639</v>
      </c>
      <c r="AX102" s="21" t="s">
        <v>640</v>
      </c>
      <c r="AY102" s="21">
        <v>0</v>
      </c>
      <c r="AZ102" s="21">
        <v>7975.91</v>
      </c>
      <c r="BA102" s="21">
        <v>425</v>
      </c>
      <c r="BB102" s="23">
        <v>46334</v>
      </c>
      <c r="BC102" s="21" t="s">
        <v>176</v>
      </c>
      <c r="BD102" s="21" t="s">
        <v>641</v>
      </c>
      <c r="BE102" s="21" t="s">
        <v>641</v>
      </c>
      <c r="BF102" s="21">
        <v>9</v>
      </c>
      <c r="BG102" s="21">
        <v>717.83</v>
      </c>
      <c r="BH102" s="21">
        <v>9</v>
      </c>
      <c r="BI102" s="21">
        <v>717.83</v>
      </c>
      <c r="BJ102" s="21">
        <v>0</v>
      </c>
      <c r="BK102" s="21">
        <v>0</v>
      </c>
      <c r="BL102" s="21">
        <v>0</v>
      </c>
      <c r="BM102" s="21">
        <v>662161464143</v>
      </c>
      <c r="BN102" s="23">
        <v>46245</v>
      </c>
      <c r="BO102" s="21">
        <v>47.8</v>
      </c>
    </row>
    <row r="103" spans="1:67" hidden="1" x14ac:dyDescent="0.25">
      <c r="A103" s="22"/>
      <c r="B103" s="21" t="s">
        <v>167</v>
      </c>
      <c r="C103" s="23">
        <v>46364</v>
      </c>
      <c r="D103" s="21" t="s">
        <v>846</v>
      </c>
      <c r="E103" s="21" t="s">
        <v>182</v>
      </c>
      <c r="F103" s="21" t="s">
        <v>183</v>
      </c>
      <c r="G103" s="21" t="s">
        <v>847</v>
      </c>
      <c r="H103" s="21">
        <v>2760</v>
      </c>
      <c r="I103" s="21">
        <v>2760</v>
      </c>
      <c r="J103" s="21" t="s">
        <v>168</v>
      </c>
      <c r="K103" s="21">
        <v>2760</v>
      </c>
      <c r="L103" s="21">
        <v>0</v>
      </c>
      <c r="M103" s="21">
        <v>2760</v>
      </c>
      <c r="N103" s="21" t="s">
        <v>194</v>
      </c>
      <c r="O103" s="21" t="s">
        <v>633</v>
      </c>
      <c r="P103" s="21" t="s">
        <v>633</v>
      </c>
      <c r="Q103" s="21" t="s">
        <v>848</v>
      </c>
      <c r="R103" s="23">
        <v>46364</v>
      </c>
      <c r="S103" s="21" t="s">
        <v>635</v>
      </c>
      <c r="T103" s="21" t="s">
        <v>636</v>
      </c>
      <c r="U103" s="21" t="s">
        <v>849</v>
      </c>
      <c r="V103" s="21">
        <v>142.32</v>
      </c>
      <c r="W103" s="21">
        <v>142.32</v>
      </c>
      <c r="X103" s="21" t="s">
        <v>848</v>
      </c>
      <c r="Y103" s="23">
        <v>46364</v>
      </c>
      <c r="Z103" s="21"/>
      <c r="AA103" s="21">
        <v>0</v>
      </c>
      <c r="AB103" s="21"/>
      <c r="AC103" s="21">
        <v>0</v>
      </c>
      <c r="AD103" s="21">
        <v>0</v>
      </c>
      <c r="AE103" s="21">
        <v>0</v>
      </c>
      <c r="AF103" s="21">
        <v>0</v>
      </c>
      <c r="AG103" s="21">
        <v>0</v>
      </c>
      <c r="AH103" s="21">
        <v>0</v>
      </c>
      <c r="AI103" s="21">
        <v>0</v>
      </c>
      <c r="AJ103" s="21" t="s">
        <v>638</v>
      </c>
      <c r="AK103" s="21">
        <v>0</v>
      </c>
      <c r="AL103" s="21">
        <v>0</v>
      </c>
      <c r="AM103" s="21">
        <v>0</v>
      </c>
      <c r="AN103" s="21">
        <v>0</v>
      </c>
      <c r="AO103" s="21">
        <v>0</v>
      </c>
      <c r="AP103" s="21"/>
      <c r="AQ103" s="21">
        <v>0</v>
      </c>
      <c r="AR103" s="21">
        <v>0</v>
      </c>
      <c r="AS103" s="21">
        <v>463507.78</v>
      </c>
      <c r="AT103" s="21" t="s">
        <v>169</v>
      </c>
      <c r="AU103" s="21" t="s">
        <v>179</v>
      </c>
      <c r="AV103" s="21" t="s">
        <v>155</v>
      </c>
      <c r="AW103" s="21" t="s">
        <v>639</v>
      </c>
      <c r="AX103" s="21" t="s">
        <v>640</v>
      </c>
      <c r="AY103" s="21">
        <v>0</v>
      </c>
      <c r="AZ103" s="21">
        <v>392803.2</v>
      </c>
      <c r="BA103" s="21">
        <v>427</v>
      </c>
      <c r="BB103" s="23">
        <v>46364</v>
      </c>
      <c r="BC103" s="21" t="s">
        <v>176</v>
      </c>
      <c r="BD103" s="21" t="s">
        <v>641</v>
      </c>
      <c r="BE103" s="21" t="s">
        <v>641</v>
      </c>
      <c r="BF103" s="21">
        <v>9</v>
      </c>
      <c r="BG103" s="21">
        <v>35352.29</v>
      </c>
      <c r="BH103" s="21">
        <v>9</v>
      </c>
      <c r="BI103" s="21">
        <v>35352.29</v>
      </c>
      <c r="BJ103" s="21">
        <v>0</v>
      </c>
      <c r="BK103" s="21">
        <v>0</v>
      </c>
      <c r="BL103" s="21">
        <v>463507.78</v>
      </c>
      <c r="BM103" s="21">
        <v>682164712994</v>
      </c>
      <c r="BN103" s="23">
        <v>46246</v>
      </c>
      <c r="BO103" s="21">
        <v>2760</v>
      </c>
    </row>
    <row r="104" spans="1:67" hidden="1" x14ac:dyDescent="0.25">
      <c r="A104" s="22"/>
      <c r="B104" s="21" t="s">
        <v>167</v>
      </c>
      <c r="C104" s="23">
        <v>46364</v>
      </c>
      <c r="D104" s="21" t="s">
        <v>850</v>
      </c>
      <c r="E104" s="21" t="s">
        <v>744</v>
      </c>
      <c r="F104" s="21" t="s">
        <v>745</v>
      </c>
      <c r="G104" s="21" t="s">
        <v>851</v>
      </c>
      <c r="H104" s="21">
        <v>1775</v>
      </c>
      <c r="I104" s="21">
        <v>1775</v>
      </c>
      <c r="J104" s="21" t="s">
        <v>168</v>
      </c>
      <c r="K104" s="21">
        <v>1775</v>
      </c>
      <c r="L104" s="21">
        <v>0</v>
      </c>
      <c r="M104" s="21">
        <v>1775</v>
      </c>
      <c r="N104" s="21" t="s">
        <v>676</v>
      </c>
      <c r="O104" s="21" t="s">
        <v>677</v>
      </c>
      <c r="P104" s="21" t="s">
        <v>677</v>
      </c>
      <c r="Q104" s="21" t="s">
        <v>852</v>
      </c>
      <c r="R104" s="23">
        <v>46334</v>
      </c>
      <c r="S104" s="21" t="s">
        <v>635</v>
      </c>
      <c r="T104" s="21" t="s">
        <v>636</v>
      </c>
      <c r="U104" s="21" t="s">
        <v>853</v>
      </c>
      <c r="V104" s="21">
        <v>159.4</v>
      </c>
      <c r="W104" s="21">
        <v>159.4</v>
      </c>
      <c r="X104" s="21" t="s">
        <v>852</v>
      </c>
      <c r="Y104" s="23">
        <v>46334</v>
      </c>
      <c r="Z104" s="21"/>
      <c r="AA104" s="21">
        <v>0</v>
      </c>
      <c r="AB104" s="21"/>
      <c r="AC104" s="21" t="s">
        <v>680</v>
      </c>
      <c r="AD104" s="21">
        <v>1934</v>
      </c>
      <c r="AE104" s="21">
        <v>0</v>
      </c>
      <c r="AF104" s="21">
        <v>0</v>
      </c>
      <c r="AG104" s="21">
        <v>0</v>
      </c>
      <c r="AH104" s="21">
        <v>0</v>
      </c>
      <c r="AI104" s="21">
        <v>0</v>
      </c>
      <c r="AJ104" s="21" t="s">
        <v>638</v>
      </c>
      <c r="AK104" s="21">
        <v>0</v>
      </c>
      <c r="AL104" s="21">
        <v>0</v>
      </c>
      <c r="AM104" s="21">
        <v>0</v>
      </c>
      <c r="AN104" s="21">
        <v>0</v>
      </c>
      <c r="AO104" s="21">
        <v>0</v>
      </c>
      <c r="AP104" s="21"/>
      <c r="AQ104" s="21">
        <v>0</v>
      </c>
      <c r="AR104" s="21">
        <v>0</v>
      </c>
      <c r="AS104" s="21">
        <v>358664.26</v>
      </c>
      <c r="AT104" s="21" t="s">
        <v>169</v>
      </c>
      <c r="AU104" s="21" t="s">
        <v>170</v>
      </c>
      <c r="AV104" s="21" t="s">
        <v>157</v>
      </c>
      <c r="AW104" s="21" t="s">
        <v>639</v>
      </c>
      <c r="AX104" s="21" t="s">
        <v>640</v>
      </c>
      <c r="AY104" s="21">
        <v>0</v>
      </c>
      <c r="AZ104" s="21">
        <v>282935</v>
      </c>
      <c r="BA104" s="21">
        <v>426</v>
      </c>
      <c r="BB104" s="23">
        <v>46364</v>
      </c>
      <c r="BC104" s="21" t="s">
        <v>171</v>
      </c>
      <c r="BD104" s="21" t="s">
        <v>641</v>
      </c>
      <c r="BE104" s="21" t="s">
        <v>641</v>
      </c>
      <c r="BF104" s="21">
        <v>2.5</v>
      </c>
      <c r="BG104" s="21">
        <v>7073.38</v>
      </c>
      <c r="BH104" s="21">
        <v>2.5</v>
      </c>
      <c r="BI104" s="21">
        <v>7073.38</v>
      </c>
      <c r="BJ104" s="21">
        <v>0</v>
      </c>
      <c r="BK104" s="21">
        <v>0</v>
      </c>
      <c r="BL104" s="21">
        <v>358664.26</v>
      </c>
      <c r="BM104" s="21">
        <v>672161392975</v>
      </c>
      <c r="BN104" s="23">
        <v>46245</v>
      </c>
      <c r="BO104" s="21">
        <v>1775</v>
      </c>
    </row>
    <row r="105" spans="1:67" hidden="1" x14ac:dyDescent="0.25">
      <c r="A105" s="22"/>
      <c r="B105" s="21" t="s">
        <v>167</v>
      </c>
      <c r="C105" s="23">
        <v>46364</v>
      </c>
      <c r="D105" s="21" t="s">
        <v>850</v>
      </c>
      <c r="E105" s="21" t="s">
        <v>318</v>
      </c>
      <c r="F105" s="21" t="s">
        <v>312</v>
      </c>
      <c r="G105" s="21" t="s">
        <v>851</v>
      </c>
      <c r="H105" s="21">
        <v>375</v>
      </c>
      <c r="I105" s="21">
        <v>375</v>
      </c>
      <c r="J105" s="21" t="s">
        <v>168</v>
      </c>
      <c r="K105" s="21">
        <v>375</v>
      </c>
      <c r="L105" s="21">
        <v>0</v>
      </c>
      <c r="M105" s="21">
        <v>375</v>
      </c>
      <c r="N105" s="21" t="s">
        <v>676</v>
      </c>
      <c r="O105" s="21" t="s">
        <v>677</v>
      </c>
      <c r="P105" s="21" t="s">
        <v>677</v>
      </c>
      <c r="Q105" s="21" t="s">
        <v>852</v>
      </c>
      <c r="R105" s="23">
        <v>46334</v>
      </c>
      <c r="S105" s="21" t="s">
        <v>635</v>
      </c>
      <c r="T105" s="21" t="s">
        <v>636</v>
      </c>
      <c r="U105" s="21" t="s">
        <v>853</v>
      </c>
      <c r="V105" s="21">
        <v>156.4</v>
      </c>
      <c r="W105" s="21">
        <v>156.4</v>
      </c>
      <c r="X105" s="21" t="s">
        <v>852</v>
      </c>
      <c r="Y105" s="23">
        <v>46334</v>
      </c>
      <c r="Z105" s="21"/>
      <c r="AA105" s="21">
        <v>0</v>
      </c>
      <c r="AB105" s="21"/>
      <c r="AC105" s="21" t="s">
        <v>680</v>
      </c>
      <c r="AD105" s="21">
        <v>1934</v>
      </c>
      <c r="AE105" s="21">
        <v>0</v>
      </c>
      <c r="AF105" s="21">
        <v>0</v>
      </c>
      <c r="AG105" s="21">
        <v>0</v>
      </c>
      <c r="AH105" s="21">
        <v>0</v>
      </c>
      <c r="AI105" s="21">
        <v>0</v>
      </c>
      <c r="AJ105" s="21" t="s">
        <v>638</v>
      </c>
      <c r="AK105" s="21">
        <v>0</v>
      </c>
      <c r="AL105" s="21">
        <v>0</v>
      </c>
      <c r="AM105" s="21">
        <v>0</v>
      </c>
      <c r="AN105" s="21">
        <v>0</v>
      </c>
      <c r="AO105" s="21">
        <v>0</v>
      </c>
      <c r="AP105" s="21"/>
      <c r="AQ105" s="21">
        <v>0</v>
      </c>
      <c r="AR105" s="21">
        <v>0</v>
      </c>
      <c r="AS105" s="21">
        <v>358664.26</v>
      </c>
      <c r="AT105" s="21" t="s">
        <v>169</v>
      </c>
      <c r="AU105" s="21" t="s">
        <v>170</v>
      </c>
      <c r="AV105" s="21" t="s">
        <v>157</v>
      </c>
      <c r="AW105" s="21" t="s">
        <v>639</v>
      </c>
      <c r="AX105" s="21" t="s">
        <v>640</v>
      </c>
      <c r="AY105" s="21">
        <v>0</v>
      </c>
      <c r="AZ105" s="21">
        <v>58650</v>
      </c>
      <c r="BA105" s="21">
        <v>426</v>
      </c>
      <c r="BB105" s="23">
        <v>46364</v>
      </c>
      <c r="BC105" s="21" t="s">
        <v>171</v>
      </c>
      <c r="BD105" s="21" t="s">
        <v>641</v>
      </c>
      <c r="BE105" s="21" t="s">
        <v>641</v>
      </c>
      <c r="BF105" s="21">
        <v>2.5</v>
      </c>
      <c r="BG105" s="21">
        <v>1466.25</v>
      </c>
      <c r="BH105" s="21">
        <v>2.5</v>
      </c>
      <c r="BI105" s="21">
        <v>1466.25</v>
      </c>
      <c r="BJ105" s="21">
        <v>0</v>
      </c>
      <c r="BK105" s="21">
        <v>0</v>
      </c>
      <c r="BL105" s="21">
        <v>0</v>
      </c>
      <c r="BM105" s="21">
        <v>672161392975</v>
      </c>
      <c r="BN105" s="23">
        <v>46245</v>
      </c>
      <c r="BO105" s="21">
        <v>375</v>
      </c>
    </row>
    <row r="106" spans="1:67" hidden="1" x14ac:dyDescent="0.25">
      <c r="A106" s="22"/>
      <c r="B106" s="21" t="s">
        <v>167</v>
      </c>
      <c r="C106" s="23">
        <v>46364</v>
      </c>
      <c r="D106" s="21" t="s">
        <v>854</v>
      </c>
      <c r="E106" s="21" t="s">
        <v>186</v>
      </c>
      <c r="F106" s="21" t="s">
        <v>187</v>
      </c>
      <c r="G106" s="21" t="s">
        <v>855</v>
      </c>
      <c r="H106" s="21">
        <v>13942</v>
      </c>
      <c r="I106" s="21">
        <v>13942</v>
      </c>
      <c r="J106" s="21" t="s">
        <v>168</v>
      </c>
      <c r="K106" s="21">
        <v>13942</v>
      </c>
      <c r="L106" s="21">
        <v>0</v>
      </c>
      <c r="M106" s="21">
        <v>13942</v>
      </c>
      <c r="N106" s="21" t="s">
        <v>856</v>
      </c>
      <c r="O106" s="21" t="s">
        <v>656</v>
      </c>
      <c r="P106" s="21" t="s">
        <v>656</v>
      </c>
      <c r="Q106" s="21" t="s">
        <v>857</v>
      </c>
      <c r="R106" s="23">
        <v>46364</v>
      </c>
      <c r="S106" s="21" t="s">
        <v>635</v>
      </c>
      <c r="T106" s="21" t="s">
        <v>636</v>
      </c>
      <c r="U106" s="21" t="s">
        <v>858</v>
      </c>
      <c r="V106" s="21">
        <v>241.46</v>
      </c>
      <c r="W106" s="21">
        <v>241.46</v>
      </c>
      <c r="X106" s="21" t="s">
        <v>857</v>
      </c>
      <c r="Y106" s="23">
        <v>46364</v>
      </c>
      <c r="Z106" s="21"/>
      <c r="AA106" s="21">
        <v>0</v>
      </c>
      <c r="AB106" s="21"/>
      <c r="AC106" s="21">
        <v>0</v>
      </c>
      <c r="AD106" s="21">
        <v>0</v>
      </c>
      <c r="AE106" s="21">
        <v>0</v>
      </c>
      <c r="AF106" s="21">
        <v>0</v>
      </c>
      <c r="AG106" s="21">
        <v>0</v>
      </c>
      <c r="AH106" s="21">
        <v>0</v>
      </c>
      <c r="AI106" s="21">
        <v>0</v>
      </c>
      <c r="AJ106" s="21" t="s">
        <v>638</v>
      </c>
      <c r="AK106" s="21">
        <v>0</v>
      </c>
      <c r="AL106" s="21">
        <v>0</v>
      </c>
      <c r="AM106" s="21">
        <v>0</v>
      </c>
      <c r="AN106" s="21">
        <v>0</v>
      </c>
      <c r="AO106" s="21">
        <v>0</v>
      </c>
      <c r="AP106" s="21"/>
      <c r="AQ106" s="21">
        <v>0</v>
      </c>
      <c r="AR106" s="21">
        <v>0</v>
      </c>
      <c r="AS106" s="21">
        <v>5298382.1100000003</v>
      </c>
      <c r="AT106" s="21" t="s">
        <v>188</v>
      </c>
      <c r="AU106" s="21" t="s">
        <v>152</v>
      </c>
      <c r="AV106" s="21" t="s">
        <v>152</v>
      </c>
      <c r="AW106" s="21" t="s">
        <v>639</v>
      </c>
      <c r="AX106" s="21" t="s">
        <v>640</v>
      </c>
      <c r="AY106" s="21">
        <v>0</v>
      </c>
      <c r="AZ106" s="21">
        <v>3366435.32</v>
      </c>
      <c r="BA106" s="21">
        <v>428</v>
      </c>
      <c r="BB106" s="23">
        <v>46364</v>
      </c>
      <c r="BC106" s="21" t="s">
        <v>176</v>
      </c>
      <c r="BD106" s="21" t="s">
        <v>641</v>
      </c>
      <c r="BE106" s="21" t="s">
        <v>641</v>
      </c>
      <c r="BF106" s="21">
        <v>9</v>
      </c>
      <c r="BG106" s="21">
        <v>302979.18</v>
      </c>
      <c r="BH106" s="21">
        <v>9</v>
      </c>
      <c r="BI106" s="21">
        <v>302979.18</v>
      </c>
      <c r="BJ106" s="21">
        <v>0</v>
      </c>
      <c r="BK106" s="21">
        <v>0</v>
      </c>
      <c r="BL106" s="21">
        <v>5298382.1100000003</v>
      </c>
      <c r="BM106" s="21">
        <v>622161908636</v>
      </c>
      <c r="BN106" s="23">
        <v>46246</v>
      </c>
      <c r="BO106" s="21">
        <v>13942</v>
      </c>
    </row>
    <row r="107" spans="1:67" hidden="1" x14ac:dyDescent="0.25">
      <c r="A107" s="22"/>
      <c r="B107" s="21" t="s">
        <v>167</v>
      </c>
      <c r="C107" s="23">
        <v>46364</v>
      </c>
      <c r="D107" s="21" t="s">
        <v>854</v>
      </c>
      <c r="E107" s="21" t="s">
        <v>186</v>
      </c>
      <c r="F107" s="21" t="s">
        <v>187</v>
      </c>
      <c r="G107" s="21" t="s">
        <v>855</v>
      </c>
      <c r="H107" s="21">
        <v>3857</v>
      </c>
      <c r="I107" s="21">
        <v>3857</v>
      </c>
      <c r="J107" s="21" t="s">
        <v>168</v>
      </c>
      <c r="K107" s="21">
        <v>3857</v>
      </c>
      <c r="L107" s="21">
        <v>0</v>
      </c>
      <c r="M107" s="21">
        <v>3857</v>
      </c>
      <c r="N107" s="21" t="s">
        <v>856</v>
      </c>
      <c r="O107" s="21" t="s">
        <v>656</v>
      </c>
      <c r="P107" s="21" t="s">
        <v>656</v>
      </c>
      <c r="Q107" s="21" t="s">
        <v>857</v>
      </c>
      <c r="R107" s="23">
        <v>46364</v>
      </c>
      <c r="S107" s="21" t="s">
        <v>635</v>
      </c>
      <c r="T107" s="21" t="s">
        <v>636</v>
      </c>
      <c r="U107" s="21" t="s">
        <v>858</v>
      </c>
      <c r="V107" s="21">
        <v>205.39</v>
      </c>
      <c r="W107" s="21">
        <v>205.39</v>
      </c>
      <c r="X107" s="21" t="s">
        <v>857</v>
      </c>
      <c r="Y107" s="23">
        <v>46364</v>
      </c>
      <c r="Z107" s="21"/>
      <c r="AA107" s="21">
        <v>0</v>
      </c>
      <c r="AB107" s="21"/>
      <c r="AC107" s="21">
        <v>0</v>
      </c>
      <c r="AD107" s="21">
        <v>0</v>
      </c>
      <c r="AE107" s="21">
        <v>0</v>
      </c>
      <c r="AF107" s="21">
        <v>0</v>
      </c>
      <c r="AG107" s="21">
        <v>0</v>
      </c>
      <c r="AH107" s="21">
        <v>0</v>
      </c>
      <c r="AI107" s="21">
        <v>0</v>
      </c>
      <c r="AJ107" s="21" t="s">
        <v>638</v>
      </c>
      <c r="AK107" s="21">
        <v>0</v>
      </c>
      <c r="AL107" s="21">
        <v>0</v>
      </c>
      <c r="AM107" s="21">
        <v>0</v>
      </c>
      <c r="AN107" s="21">
        <v>0</v>
      </c>
      <c r="AO107" s="21">
        <v>0</v>
      </c>
      <c r="AP107" s="21"/>
      <c r="AQ107" s="21">
        <v>0</v>
      </c>
      <c r="AR107" s="21">
        <v>0</v>
      </c>
      <c r="AS107" s="21">
        <v>5298382.1100000003</v>
      </c>
      <c r="AT107" s="21" t="s">
        <v>188</v>
      </c>
      <c r="AU107" s="21" t="s">
        <v>152</v>
      </c>
      <c r="AV107" s="21" t="s">
        <v>152</v>
      </c>
      <c r="AW107" s="21" t="s">
        <v>639</v>
      </c>
      <c r="AX107" s="21" t="s">
        <v>640</v>
      </c>
      <c r="AY107" s="21">
        <v>0</v>
      </c>
      <c r="AZ107" s="21">
        <v>792189.23</v>
      </c>
      <c r="BA107" s="21">
        <v>428</v>
      </c>
      <c r="BB107" s="23">
        <v>46364</v>
      </c>
      <c r="BC107" s="21" t="s">
        <v>176</v>
      </c>
      <c r="BD107" s="21" t="s">
        <v>641</v>
      </c>
      <c r="BE107" s="21" t="s">
        <v>641</v>
      </c>
      <c r="BF107" s="21">
        <v>9</v>
      </c>
      <c r="BG107" s="21">
        <v>71297.03</v>
      </c>
      <c r="BH107" s="21">
        <v>9</v>
      </c>
      <c r="BI107" s="21">
        <v>71297.03</v>
      </c>
      <c r="BJ107" s="21">
        <v>0</v>
      </c>
      <c r="BK107" s="21">
        <v>0</v>
      </c>
      <c r="BL107" s="21">
        <v>0</v>
      </c>
      <c r="BM107" s="21">
        <v>622161908636</v>
      </c>
      <c r="BN107" s="23">
        <v>46246</v>
      </c>
      <c r="BO107" s="21">
        <v>3857</v>
      </c>
    </row>
    <row r="108" spans="1:67" hidden="1" x14ac:dyDescent="0.25">
      <c r="A108" s="22"/>
      <c r="B108" s="21" t="s">
        <v>167</v>
      </c>
      <c r="C108" s="23">
        <v>46364</v>
      </c>
      <c r="D108" s="21" t="s">
        <v>854</v>
      </c>
      <c r="E108" s="21" t="s">
        <v>186</v>
      </c>
      <c r="F108" s="21" t="s">
        <v>187</v>
      </c>
      <c r="G108" s="21" t="s">
        <v>855</v>
      </c>
      <c r="H108" s="21">
        <v>411</v>
      </c>
      <c r="I108" s="21">
        <v>411</v>
      </c>
      <c r="J108" s="21" t="s">
        <v>168</v>
      </c>
      <c r="K108" s="21">
        <v>411</v>
      </c>
      <c r="L108" s="21">
        <v>0</v>
      </c>
      <c r="M108" s="21">
        <v>411</v>
      </c>
      <c r="N108" s="21" t="s">
        <v>856</v>
      </c>
      <c r="O108" s="21" t="s">
        <v>656</v>
      </c>
      <c r="P108" s="21" t="s">
        <v>656</v>
      </c>
      <c r="Q108" s="21" t="s">
        <v>857</v>
      </c>
      <c r="R108" s="23">
        <v>46364</v>
      </c>
      <c r="S108" s="21" t="s">
        <v>635</v>
      </c>
      <c r="T108" s="21" t="s">
        <v>636</v>
      </c>
      <c r="U108" s="21" t="s">
        <v>858</v>
      </c>
      <c r="V108" s="21">
        <v>181.44</v>
      </c>
      <c r="W108" s="21">
        <v>181.44</v>
      </c>
      <c r="X108" s="21" t="s">
        <v>857</v>
      </c>
      <c r="Y108" s="23">
        <v>46364</v>
      </c>
      <c r="Z108" s="21"/>
      <c r="AA108" s="21">
        <v>0</v>
      </c>
      <c r="AB108" s="21"/>
      <c r="AC108" s="21">
        <v>0</v>
      </c>
      <c r="AD108" s="21">
        <v>0</v>
      </c>
      <c r="AE108" s="21">
        <v>0</v>
      </c>
      <c r="AF108" s="21">
        <v>0</v>
      </c>
      <c r="AG108" s="21">
        <v>0</v>
      </c>
      <c r="AH108" s="21">
        <v>0</v>
      </c>
      <c r="AI108" s="21">
        <v>0</v>
      </c>
      <c r="AJ108" s="21" t="s">
        <v>638</v>
      </c>
      <c r="AK108" s="21">
        <v>0</v>
      </c>
      <c r="AL108" s="21">
        <v>0</v>
      </c>
      <c r="AM108" s="21">
        <v>0</v>
      </c>
      <c r="AN108" s="21">
        <v>0</v>
      </c>
      <c r="AO108" s="21">
        <v>0</v>
      </c>
      <c r="AP108" s="21"/>
      <c r="AQ108" s="21">
        <v>0</v>
      </c>
      <c r="AR108" s="21">
        <v>0</v>
      </c>
      <c r="AS108" s="21">
        <v>5298382.1100000003</v>
      </c>
      <c r="AT108" s="21" t="s">
        <v>188</v>
      </c>
      <c r="AU108" s="21" t="s">
        <v>152</v>
      </c>
      <c r="AV108" s="21" t="s">
        <v>152</v>
      </c>
      <c r="AW108" s="21" t="s">
        <v>639</v>
      </c>
      <c r="AX108" s="21" t="s">
        <v>640</v>
      </c>
      <c r="AY108" s="21">
        <v>0</v>
      </c>
      <c r="AZ108" s="21">
        <v>74571.839999999997</v>
      </c>
      <c r="BA108" s="21">
        <v>428</v>
      </c>
      <c r="BB108" s="23">
        <v>46364</v>
      </c>
      <c r="BC108" s="21" t="s">
        <v>176</v>
      </c>
      <c r="BD108" s="21" t="s">
        <v>641</v>
      </c>
      <c r="BE108" s="21" t="s">
        <v>641</v>
      </c>
      <c r="BF108" s="21">
        <v>9</v>
      </c>
      <c r="BG108" s="21">
        <v>6711.47</v>
      </c>
      <c r="BH108" s="21">
        <v>9</v>
      </c>
      <c r="BI108" s="21">
        <v>6711.47</v>
      </c>
      <c r="BJ108" s="21">
        <v>0</v>
      </c>
      <c r="BK108" s="21">
        <v>0</v>
      </c>
      <c r="BL108" s="21">
        <v>0</v>
      </c>
      <c r="BM108" s="21">
        <v>622161908636</v>
      </c>
      <c r="BN108" s="23">
        <v>46246</v>
      </c>
      <c r="BO108" s="21">
        <v>411</v>
      </c>
    </row>
    <row r="109" spans="1:67" hidden="1" x14ac:dyDescent="0.25">
      <c r="A109" s="22"/>
      <c r="B109" s="21" t="s">
        <v>167</v>
      </c>
      <c r="C109" s="23">
        <v>46364</v>
      </c>
      <c r="D109" s="21" t="s">
        <v>854</v>
      </c>
      <c r="E109" s="21" t="s">
        <v>186</v>
      </c>
      <c r="F109" s="21" t="s">
        <v>187</v>
      </c>
      <c r="G109" s="21" t="s">
        <v>855</v>
      </c>
      <c r="H109" s="21">
        <v>1277</v>
      </c>
      <c r="I109" s="21">
        <v>1277</v>
      </c>
      <c r="J109" s="21" t="s">
        <v>168</v>
      </c>
      <c r="K109" s="21">
        <v>1277</v>
      </c>
      <c r="L109" s="21">
        <v>0</v>
      </c>
      <c r="M109" s="21">
        <v>1277</v>
      </c>
      <c r="N109" s="21" t="s">
        <v>856</v>
      </c>
      <c r="O109" s="21" t="s">
        <v>656</v>
      </c>
      <c r="P109" s="21" t="s">
        <v>656</v>
      </c>
      <c r="Q109" s="21" t="s">
        <v>857</v>
      </c>
      <c r="R109" s="23">
        <v>46364</v>
      </c>
      <c r="S109" s="21" t="s">
        <v>635</v>
      </c>
      <c r="T109" s="21" t="s">
        <v>636</v>
      </c>
      <c r="U109" s="21" t="s">
        <v>858</v>
      </c>
      <c r="V109" s="21">
        <v>201.22</v>
      </c>
      <c r="W109" s="21">
        <v>201.22</v>
      </c>
      <c r="X109" s="21" t="s">
        <v>857</v>
      </c>
      <c r="Y109" s="23">
        <v>46364</v>
      </c>
      <c r="Z109" s="21"/>
      <c r="AA109" s="21">
        <v>0</v>
      </c>
      <c r="AB109" s="21"/>
      <c r="AC109" s="21">
        <v>0</v>
      </c>
      <c r="AD109" s="21">
        <v>0</v>
      </c>
      <c r="AE109" s="21">
        <v>0</v>
      </c>
      <c r="AF109" s="21">
        <v>0</v>
      </c>
      <c r="AG109" s="21">
        <v>0</v>
      </c>
      <c r="AH109" s="21">
        <v>0</v>
      </c>
      <c r="AI109" s="21">
        <v>0</v>
      </c>
      <c r="AJ109" s="21" t="s">
        <v>638</v>
      </c>
      <c r="AK109" s="21">
        <v>0</v>
      </c>
      <c r="AL109" s="21">
        <v>0</v>
      </c>
      <c r="AM109" s="21">
        <v>0</v>
      </c>
      <c r="AN109" s="21">
        <v>0</v>
      </c>
      <c r="AO109" s="21">
        <v>0</v>
      </c>
      <c r="AP109" s="21"/>
      <c r="AQ109" s="21">
        <v>0</v>
      </c>
      <c r="AR109" s="21">
        <v>0</v>
      </c>
      <c r="AS109" s="21">
        <v>5298382.1100000003</v>
      </c>
      <c r="AT109" s="21" t="s">
        <v>188</v>
      </c>
      <c r="AU109" s="21" t="s">
        <v>152</v>
      </c>
      <c r="AV109" s="21" t="s">
        <v>152</v>
      </c>
      <c r="AW109" s="21" t="s">
        <v>639</v>
      </c>
      <c r="AX109" s="21" t="s">
        <v>640</v>
      </c>
      <c r="AY109" s="21">
        <v>0</v>
      </c>
      <c r="AZ109" s="21">
        <v>256957.94</v>
      </c>
      <c r="BA109" s="21">
        <v>428</v>
      </c>
      <c r="BB109" s="23">
        <v>46364</v>
      </c>
      <c r="BC109" s="21" t="s">
        <v>176</v>
      </c>
      <c r="BD109" s="21" t="s">
        <v>641</v>
      </c>
      <c r="BE109" s="21" t="s">
        <v>641</v>
      </c>
      <c r="BF109" s="21">
        <v>9</v>
      </c>
      <c r="BG109" s="21">
        <v>23126.21</v>
      </c>
      <c r="BH109" s="21">
        <v>9</v>
      </c>
      <c r="BI109" s="21">
        <v>23126.21</v>
      </c>
      <c r="BJ109" s="21">
        <v>0</v>
      </c>
      <c r="BK109" s="21">
        <v>0</v>
      </c>
      <c r="BL109" s="21">
        <v>0</v>
      </c>
      <c r="BM109" s="21">
        <v>622161908636</v>
      </c>
      <c r="BN109" s="23">
        <v>46246</v>
      </c>
      <c r="BO109" s="21">
        <v>1277</v>
      </c>
    </row>
    <row r="110" spans="1:67" hidden="1" x14ac:dyDescent="0.25">
      <c r="A110" s="22"/>
      <c r="B110" s="21" t="s">
        <v>167</v>
      </c>
      <c r="C110" s="23">
        <v>46364</v>
      </c>
      <c r="D110" s="21" t="s">
        <v>859</v>
      </c>
      <c r="E110" s="21" t="s">
        <v>172</v>
      </c>
      <c r="F110" s="21" t="s">
        <v>173</v>
      </c>
      <c r="G110" s="21" t="s">
        <v>860</v>
      </c>
      <c r="H110" s="21">
        <v>525</v>
      </c>
      <c r="I110" s="21">
        <v>525</v>
      </c>
      <c r="J110" s="21" t="s">
        <v>168</v>
      </c>
      <c r="K110" s="21">
        <v>525</v>
      </c>
      <c r="L110" s="21">
        <v>0</v>
      </c>
      <c r="M110" s="21">
        <v>525</v>
      </c>
      <c r="N110" s="21" t="s">
        <v>174</v>
      </c>
      <c r="O110" s="21" t="s">
        <v>633</v>
      </c>
      <c r="P110" s="21" t="s">
        <v>633</v>
      </c>
      <c r="Q110" s="21" t="s">
        <v>861</v>
      </c>
      <c r="R110" s="23">
        <v>46364</v>
      </c>
      <c r="S110" s="21" t="s">
        <v>635</v>
      </c>
      <c r="T110" s="21" t="s">
        <v>636</v>
      </c>
      <c r="U110" s="34" t="s">
        <v>862</v>
      </c>
      <c r="V110" s="21">
        <v>182.86</v>
      </c>
      <c r="W110" s="21">
        <v>182.86000076945601</v>
      </c>
      <c r="X110" s="21" t="s">
        <v>861</v>
      </c>
      <c r="Y110" s="23">
        <v>46364</v>
      </c>
      <c r="Z110" s="21"/>
      <c r="AA110" s="21">
        <v>0</v>
      </c>
      <c r="AB110" s="21"/>
      <c r="AC110" s="21">
        <v>0</v>
      </c>
      <c r="AD110" s="21">
        <v>0</v>
      </c>
      <c r="AE110" s="21">
        <v>0</v>
      </c>
      <c r="AF110" s="21">
        <v>0</v>
      </c>
      <c r="AG110" s="21">
        <v>0</v>
      </c>
      <c r="AH110" s="21">
        <v>0</v>
      </c>
      <c r="AI110" s="21">
        <v>0</v>
      </c>
      <c r="AJ110" s="21" t="s">
        <v>638</v>
      </c>
      <c r="AK110" s="21">
        <v>0</v>
      </c>
      <c r="AL110" s="21">
        <v>0</v>
      </c>
      <c r="AM110" s="21">
        <v>0</v>
      </c>
      <c r="AN110" s="21">
        <v>0</v>
      </c>
      <c r="AO110" s="21">
        <v>0</v>
      </c>
      <c r="AP110" s="21"/>
      <c r="AQ110" s="21">
        <v>0</v>
      </c>
      <c r="AR110" s="21">
        <v>0</v>
      </c>
      <c r="AS110" s="21">
        <v>950593.13</v>
      </c>
      <c r="AT110" s="21" t="s">
        <v>169</v>
      </c>
      <c r="AU110" s="21" t="s">
        <v>175</v>
      </c>
      <c r="AV110" s="21" t="s">
        <v>159</v>
      </c>
      <c r="AW110" s="21" t="s">
        <v>639</v>
      </c>
      <c r="AX110" s="21" t="s">
        <v>640</v>
      </c>
      <c r="AY110" s="21">
        <v>0</v>
      </c>
      <c r="AZ110" s="21">
        <v>96001.5</v>
      </c>
      <c r="BA110" s="21">
        <v>429</v>
      </c>
      <c r="BB110" s="23">
        <v>46364</v>
      </c>
      <c r="BC110" s="21" t="s">
        <v>176</v>
      </c>
      <c r="BD110" s="21" t="s">
        <v>641</v>
      </c>
      <c r="BE110" s="21" t="s">
        <v>641</v>
      </c>
      <c r="BF110" s="21">
        <v>9</v>
      </c>
      <c r="BG110" s="21">
        <v>8640.14</v>
      </c>
      <c r="BH110" s="21">
        <v>9</v>
      </c>
      <c r="BI110" s="21">
        <v>8640.14</v>
      </c>
      <c r="BJ110" s="21">
        <v>0</v>
      </c>
      <c r="BK110" s="21">
        <v>0</v>
      </c>
      <c r="BL110" s="21">
        <v>950593.13</v>
      </c>
      <c r="BM110" s="21">
        <v>612162102838</v>
      </c>
      <c r="BN110" s="23">
        <v>46246</v>
      </c>
      <c r="BO110" s="35">
        <v>525</v>
      </c>
    </row>
    <row r="111" spans="1:67" hidden="1" x14ac:dyDescent="0.25">
      <c r="A111" s="22"/>
      <c r="B111" s="21" t="s">
        <v>167</v>
      </c>
      <c r="C111" s="23">
        <v>46364</v>
      </c>
      <c r="D111" s="21" t="s">
        <v>859</v>
      </c>
      <c r="E111" s="21" t="s">
        <v>182</v>
      </c>
      <c r="F111" s="21" t="s">
        <v>183</v>
      </c>
      <c r="G111" s="21" t="s">
        <v>860</v>
      </c>
      <c r="H111" s="21">
        <v>1401</v>
      </c>
      <c r="I111" s="21">
        <v>1401</v>
      </c>
      <c r="J111" s="21" t="s">
        <v>168</v>
      </c>
      <c r="K111" s="21">
        <v>1401</v>
      </c>
      <c r="L111" s="21">
        <v>0</v>
      </c>
      <c r="M111" s="21">
        <v>1401</v>
      </c>
      <c r="N111" s="21" t="s">
        <v>174</v>
      </c>
      <c r="O111" s="21" t="s">
        <v>633</v>
      </c>
      <c r="P111" s="21" t="s">
        <v>633</v>
      </c>
      <c r="Q111" s="21" t="s">
        <v>861</v>
      </c>
      <c r="R111" s="23">
        <v>46364</v>
      </c>
      <c r="S111" s="21" t="s">
        <v>635</v>
      </c>
      <c r="T111" s="21" t="s">
        <v>636</v>
      </c>
      <c r="U111" s="34" t="s">
        <v>862</v>
      </c>
      <c r="V111" s="21">
        <v>142.32</v>
      </c>
      <c r="W111" s="21">
        <v>142.32000059886801</v>
      </c>
      <c r="X111" s="21" t="s">
        <v>861</v>
      </c>
      <c r="Y111" s="23">
        <v>46364</v>
      </c>
      <c r="Z111" s="21"/>
      <c r="AA111" s="21">
        <v>0</v>
      </c>
      <c r="AB111" s="21"/>
      <c r="AC111" s="21">
        <v>0</v>
      </c>
      <c r="AD111" s="21">
        <v>0</v>
      </c>
      <c r="AE111" s="21">
        <v>0</v>
      </c>
      <c r="AF111" s="21">
        <v>0</v>
      </c>
      <c r="AG111" s="21">
        <v>0</v>
      </c>
      <c r="AH111" s="21">
        <v>0</v>
      </c>
      <c r="AI111" s="21">
        <v>0</v>
      </c>
      <c r="AJ111" s="21" t="s">
        <v>638</v>
      </c>
      <c r="AK111" s="21">
        <v>0</v>
      </c>
      <c r="AL111" s="21">
        <v>0</v>
      </c>
      <c r="AM111" s="21">
        <v>0</v>
      </c>
      <c r="AN111" s="21">
        <v>0</v>
      </c>
      <c r="AO111" s="21">
        <v>0</v>
      </c>
      <c r="AP111" s="21"/>
      <c r="AQ111" s="21">
        <v>0</v>
      </c>
      <c r="AR111" s="21">
        <v>0</v>
      </c>
      <c r="AS111" s="21">
        <v>950593.13</v>
      </c>
      <c r="AT111" s="21" t="s">
        <v>169</v>
      </c>
      <c r="AU111" s="21" t="s">
        <v>179</v>
      </c>
      <c r="AV111" s="21" t="s">
        <v>155</v>
      </c>
      <c r="AW111" s="21" t="s">
        <v>639</v>
      </c>
      <c r="AX111" s="21" t="s">
        <v>640</v>
      </c>
      <c r="AY111" s="21">
        <v>0</v>
      </c>
      <c r="AZ111" s="21">
        <v>199390.32</v>
      </c>
      <c r="BA111" s="21">
        <v>429</v>
      </c>
      <c r="BB111" s="23">
        <v>46364</v>
      </c>
      <c r="BC111" s="21" t="s">
        <v>176</v>
      </c>
      <c r="BD111" s="21" t="s">
        <v>641</v>
      </c>
      <c r="BE111" s="21" t="s">
        <v>641</v>
      </c>
      <c r="BF111" s="21">
        <v>9</v>
      </c>
      <c r="BG111" s="21">
        <v>17945.13</v>
      </c>
      <c r="BH111" s="21">
        <v>9</v>
      </c>
      <c r="BI111" s="21">
        <v>17945.13</v>
      </c>
      <c r="BJ111" s="21">
        <v>0</v>
      </c>
      <c r="BK111" s="21">
        <v>0</v>
      </c>
      <c r="BL111" s="21">
        <v>0</v>
      </c>
      <c r="BM111" s="21">
        <v>612162102838</v>
      </c>
      <c r="BN111" s="23">
        <v>46246</v>
      </c>
      <c r="BO111" s="35">
        <v>1401</v>
      </c>
    </row>
    <row r="112" spans="1:67" hidden="1" x14ac:dyDescent="0.25">
      <c r="A112" s="22"/>
      <c r="B112" s="21" t="s">
        <v>167</v>
      </c>
      <c r="C112" s="23">
        <v>46364</v>
      </c>
      <c r="D112" s="21" t="s">
        <v>859</v>
      </c>
      <c r="E112" s="21" t="s">
        <v>227</v>
      </c>
      <c r="F112" s="21" t="s">
        <v>228</v>
      </c>
      <c r="G112" s="21" t="s">
        <v>860</v>
      </c>
      <c r="H112" s="21">
        <v>192.7</v>
      </c>
      <c r="I112" s="21">
        <v>192.7</v>
      </c>
      <c r="J112" s="21" t="s">
        <v>168</v>
      </c>
      <c r="K112" s="21">
        <v>192.7</v>
      </c>
      <c r="L112" s="21">
        <v>0</v>
      </c>
      <c r="M112" s="21">
        <v>192.7</v>
      </c>
      <c r="N112" s="21" t="s">
        <v>174</v>
      </c>
      <c r="O112" s="21" t="s">
        <v>633</v>
      </c>
      <c r="P112" s="21" t="s">
        <v>633</v>
      </c>
      <c r="Q112" s="21" t="s">
        <v>861</v>
      </c>
      <c r="R112" s="23">
        <v>46364</v>
      </c>
      <c r="S112" s="21" t="s">
        <v>635</v>
      </c>
      <c r="T112" s="21" t="s">
        <v>636</v>
      </c>
      <c r="U112" s="34" t="s">
        <v>862</v>
      </c>
      <c r="V112" s="21">
        <v>120</v>
      </c>
      <c r="W112" s="21">
        <v>120.00000050494801</v>
      </c>
      <c r="X112" s="21" t="s">
        <v>861</v>
      </c>
      <c r="Y112" s="23">
        <v>46364</v>
      </c>
      <c r="Z112" s="21"/>
      <c r="AA112" s="21">
        <v>0</v>
      </c>
      <c r="AB112" s="21"/>
      <c r="AC112" s="21">
        <v>0</v>
      </c>
      <c r="AD112" s="21">
        <v>0</v>
      </c>
      <c r="AE112" s="21">
        <v>0</v>
      </c>
      <c r="AF112" s="21">
        <v>0</v>
      </c>
      <c r="AG112" s="21">
        <v>0</v>
      </c>
      <c r="AH112" s="21">
        <v>0</v>
      </c>
      <c r="AI112" s="21">
        <v>0</v>
      </c>
      <c r="AJ112" s="21" t="s">
        <v>638</v>
      </c>
      <c r="AK112" s="21">
        <v>0</v>
      </c>
      <c r="AL112" s="21">
        <v>0</v>
      </c>
      <c r="AM112" s="21">
        <v>0</v>
      </c>
      <c r="AN112" s="21">
        <v>0</v>
      </c>
      <c r="AO112" s="21">
        <v>0</v>
      </c>
      <c r="AP112" s="21"/>
      <c r="AQ112" s="21">
        <v>0</v>
      </c>
      <c r="AR112" s="21">
        <v>0</v>
      </c>
      <c r="AS112" s="21">
        <v>950593.13</v>
      </c>
      <c r="AT112" s="21" t="s">
        <v>169</v>
      </c>
      <c r="AU112" s="21" t="s">
        <v>175</v>
      </c>
      <c r="AV112" s="21" t="s">
        <v>159</v>
      </c>
      <c r="AW112" s="21" t="s">
        <v>639</v>
      </c>
      <c r="AX112" s="21" t="s">
        <v>640</v>
      </c>
      <c r="AY112" s="21">
        <v>0</v>
      </c>
      <c r="AZ112" s="21">
        <v>23124</v>
      </c>
      <c r="BA112" s="21">
        <v>429</v>
      </c>
      <c r="BB112" s="23">
        <v>46364</v>
      </c>
      <c r="BC112" s="21" t="s">
        <v>176</v>
      </c>
      <c r="BD112" s="21" t="s">
        <v>641</v>
      </c>
      <c r="BE112" s="21" t="s">
        <v>641</v>
      </c>
      <c r="BF112" s="21">
        <v>9</v>
      </c>
      <c r="BG112" s="21">
        <v>2081.16</v>
      </c>
      <c r="BH112" s="21">
        <v>9</v>
      </c>
      <c r="BI112" s="21">
        <v>2081.16</v>
      </c>
      <c r="BJ112" s="21">
        <v>0</v>
      </c>
      <c r="BK112" s="21">
        <v>0</v>
      </c>
      <c r="BL112" s="21">
        <v>0</v>
      </c>
      <c r="BM112" s="21">
        <v>612162102838</v>
      </c>
      <c r="BN112" s="23">
        <v>46246</v>
      </c>
      <c r="BO112" s="35">
        <v>192.7</v>
      </c>
    </row>
    <row r="113" spans="1:67" hidden="1" x14ac:dyDescent="0.25">
      <c r="A113" s="22"/>
      <c r="B113" s="21" t="s">
        <v>167</v>
      </c>
      <c r="C113" s="23">
        <v>46364</v>
      </c>
      <c r="D113" s="21" t="s">
        <v>859</v>
      </c>
      <c r="E113" s="21" t="s">
        <v>863</v>
      </c>
      <c r="F113" s="21" t="s">
        <v>864</v>
      </c>
      <c r="G113" s="21" t="s">
        <v>860</v>
      </c>
      <c r="H113" s="21">
        <v>34</v>
      </c>
      <c r="I113" s="21">
        <v>34</v>
      </c>
      <c r="J113" s="21" t="s">
        <v>184</v>
      </c>
      <c r="K113" s="21">
        <v>34</v>
      </c>
      <c r="L113" s="21">
        <v>0</v>
      </c>
      <c r="M113" s="21">
        <v>34</v>
      </c>
      <c r="N113" s="21" t="s">
        <v>174</v>
      </c>
      <c r="O113" s="21" t="s">
        <v>633</v>
      </c>
      <c r="P113" s="21" t="s">
        <v>633</v>
      </c>
      <c r="Q113" s="21" t="s">
        <v>861</v>
      </c>
      <c r="R113" s="23">
        <v>46364</v>
      </c>
      <c r="S113" s="21" t="s">
        <v>635</v>
      </c>
      <c r="T113" s="21" t="s">
        <v>636</v>
      </c>
      <c r="U113" s="21" t="s">
        <v>862</v>
      </c>
      <c r="V113" s="21">
        <v>155</v>
      </c>
      <c r="W113" s="21">
        <v>155.000000652224</v>
      </c>
      <c r="X113" s="21" t="s">
        <v>861</v>
      </c>
      <c r="Y113" s="23">
        <v>46364</v>
      </c>
      <c r="Z113" s="21"/>
      <c r="AA113" s="21">
        <v>0</v>
      </c>
      <c r="AB113" s="21"/>
      <c r="AC113" s="21">
        <v>0</v>
      </c>
      <c r="AD113" s="21">
        <v>0</v>
      </c>
      <c r="AE113" s="21">
        <v>0</v>
      </c>
      <c r="AF113" s="21">
        <v>0</v>
      </c>
      <c r="AG113" s="21">
        <v>0</v>
      </c>
      <c r="AH113" s="21">
        <v>0</v>
      </c>
      <c r="AI113" s="21">
        <v>0</v>
      </c>
      <c r="AJ113" s="21" t="s">
        <v>638</v>
      </c>
      <c r="AK113" s="21">
        <v>0</v>
      </c>
      <c r="AL113" s="21">
        <v>0</v>
      </c>
      <c r="AM113" s="21">
        <v>0</v>
      </c>
      <c r="AN113" s="21">
        <v>0</v>
      </c>
      <c r="AO113" s="21">
        <v>0</v>
      </c>
      <c r="AP113" s="21"/>
      <c r="AQ113" s="21">
        <v>0</v>
      </c>
      <c r="AR113" s="21">
        <v>0</v>
      </c>
      <c r="AS113" s="21">
        <v>950593.13</v>
      </c>
      <c r="AT113" s="21" t="s">
        <v>865</v>
      </c>
      <c r="AU113" s="21" t="s">
        <v>866</v>
      </c>
      <c r="AV113" s="21" t="s">
        <v>158</v>
      </c>
      <c r="AW113" s="21" t="s">
        <v>639</v>
      </c>
      <c r="AX113" s="21" t="s">
        <v>640</v>
      </c>
      <c r="AY113" s="21">
        <v>0</v>
      </c>
      <c r="AZ113" s="21">
        <v>5270</v>
      </c>
      <c r="BA113" s="21">
        <v>429</v>
      </c>
      <c r="BB113" s="23">
        <v>46364</v>
      </c>
      <c r="BC113" s="21" t="s">
        <v>176</v>
      </c>
      <c r="BD113" s="21" t="s">
        <v>641</v>
      </c>
      <c r="BE113" s="21" t="s">
        <v>641</v>
      </c>
      <c r="BF113" s="21">
        <v>9</v>
      </c>
      <c r="BG113" s="21">
        <v>474.3</v>
      </c>
      <c r="BH113" s="21">
        <v>9</v>
      </c>
      <c r="BI113" s="21">
        <v>474.3</v>
      </c>
      <c r="BJ113" s="21">
        <v>0</v>
      </c>
      <c r="BK113" s="21">
        <v>0</v>
      </c>
      <c r="BL113" s="21">
        <v>0</v>
      </c>
      <c r="BM113" s="21">
        <v>612162102838</v>
      </c>
      <c r="BN113" s="23">
        <v>46246</v>
      </c>
      <c r="BO113" s="21">
        <v>34</v>
      </c>
    </row>
    <row r="114" spans="1:67" hidden="1" x14ac:dyDescent="0.25">
      <c r="A114" s="22"/>
      <c r="B114" s="21" t="s">
        <v>167</v>
      </c>
      <c r="C114" s="23">
        <v>46364</v>
      </c>
      <c r="D114" s="21" t="s">
        <v>859</v>
      </c>
      <c r="E114" s="21" t="s">
        <v>180</v>
      </c>
      <c r="F114" s="21" t="s">
        <v>181</v>
      </c>
      <c r="G114" s="21" t="s">
        <v>860</v>
      </c>
      <c r="H114" s="21">
        <v>405.8</v>
      </c>
      <c r="I114" s="21">
        <v>405.8</v>
      </c>
      <c r="J114" s="21" t="s">
        <v>168</v>
      </c>
      <c r="K114" s="21">
        <v>405.8</v>
      </c>
      <c r="L114" s="21">
        <v>0</v>
      </c>
      <c r="M114" s="21">
        <v>405.8</v>
      </c>
      <c r="N114" s="21" t="s">
        <v>174</v>
      </c>
      <c r="O114" s="21" t="s">
        <v>633</v>
      </c>
      <c r="P114" s="21" t="s">
        <v>633</v>
      </c>
      <c r="Q114" s="21" t="s">
        <v>861</v>
      </c>
      <c r="R114" s="23">
        <v>46364</v>
      </c>
      <c r="S114" s="21" t="s">
        <v>635</v>
      </c>
      <c r="T114" s="21" t="s">
        <v>636</v>
      </c>
      <c r="U114" s="34" t="s">
        <v>862</v>
      </c>
      <c r="V114" s="21">
        <v>144.32</v>
      </c>
      <c r="W114" s="21">
        <v>144.32000060728399</v>
      </c>
      <c r="X114" s="21" t="s">
        <v>861</v>
      </c>
      <c r="Y114" s="23">
        <v>46364</v>
      </c>
      <c r="Z114" s="21"/>
      <c r="AA114" s="21">
        <v>0</v>
      </c>
      <c r="AB114" s="21"/>
      <c r="AC114" s="21">
        <v>0</v>
      </c>
      <c r="AD114" s="21">
        <v>0</v>
      </c>
      <c r="AE114" s="21">
        <v>0</v>
      </c>
      <c r="AF114" s="21">
        <v>0</v>
      </c>
      <c r="AG114" s="21">
        <v>0</v>
      </c>
      <c r="AH114" s="21">
        <v>0</v>
      </c>
      <c r="AI114" s="21">
        <v>0</v>
      </c>
      <c r="AJ114" s="21" t="s">
        <v>638</v>
      </c>
      <c r="AK114" s="21">
        <v>0</v>
      </c>
      <c r="AL114" s="21">
        <v>0</v>
      </c>
      <c r="AM114" s="21">
        <v>0</v>
      </c>
      <c r="AN114" s="21">
        <v>0</v>
      </c>
      <c r="AO114" s="21">
        <v>0</v>
      </c>
      <c r="AP114" s="21"/>
      <c r="AQ114" s="21">
        <v>0</v>
      </c>
      <c r="AR114" s="21">
        <v>0</v>
      </c>
      <c r="AS114" s="21">
        <v>950593.13</v>
      </c>
      <c r="AT114" s="21" t="s">
        <v>169</v>
      </c>
      <c r="AU114" s="21" t="s">
        <v>181</v>
      </c>
      <c r="AV114" s="21" t="s">
        <v>154</v>
      </c>
      <c r="AW114" s="21" t="s">
        <v>639</v>
      </c>
      <c r="AX114" s="21" t="s">
        <v>640</v>
      </c>
      <c r="AY114" s="21">
        <v>0</v>
      </c>
      <c r="AZ114" s="21">
        <v>58565.06</v>
      </c>
      <c r="BA114" s="21">
        <v>429</v>
      </c>
      <c r="BB114" s="23">
        <v>46364</v>
      </c>
      <c r="BC114" s="21" t="s">
        <v>176</v>
      </c>
      <c r="BD114" s="21" t="s">
        <v>641</v>
      </c>
      <c r="BE114" s="21" t="s">
        <v>641</v>
      </c>
      <c r="BF114" s="21">
        <v>9</v>
      </c>
      <c r="BG114" s="21">
        <v>5270.86</v>
      </c>
      <c r="BH114" s="21">
        <v>9</v>
      </c>
      <c r="BI114" s="21">
        <v>5270.86</v>
      </c>
      <c r="BJ114" s="21">
        <v>0</v>
      </c>
      <c r="BK114" s="21">
        <v>0</v>
      </c>
      <c r="BL114" s="21">
        <v>0</v>
      </c>
      <c r="BM114" s="21">
        <v>612162102838</v>
      </c>
      <c r="BN114" s="23">
        <v>46246</v>
      </c>
      <c r="BO114" s="35">
        <v>405.8</v>
      </c>
    </row>
    <row r="115" spans="1:67" hidden="1" x14ac:dyDescent="0.25">
      <c r="A115" s="22"/>
      <c r="B115" s="21" t="s">
        <v>167</v>
      </c>
      <c r="C115" s="23">
        <v>46364</v>
      </c>
      <c r="D115" s="21" t="s">
        <v>859</v>
      </c>
      <c r="E115" s="21" t="s">
        <v>180</v>
      </c>
      <c r="F115" s="21" t="s">
        <v>181</v>
      </c>
      <c r="G115" s="21" t="s">
        <v>860</v>
      </c>
      <c r="H115" s="21">
        <v>402.9</v>
      </c>
      <c r="I115" s="21">
        <v>402.9</v>
      </c>
      <c r="J115" s="21" t="s">
        <v>168</v>
      </c>
      <c r="K115" s="21">
        <v>402.9</v>
      </c>
      <c r="L115" s="21">
        <v>0</v>
      </c>
      <c r="M115" s="21">
        <v>402.9</v>
      </c>
      <c r="N115" s="21" t="s">
        <v>174</v>
      </c>
      <c r="O115" s="21" t="s">
        <v>633</v>
      </c>
      <c r="P115" s="21" t="s">
        <v>633</v>
      </c>
      <c r="Q115" s="21" t="s">
        <v>861</v>
      </c>
      <c r="R115" s="23">
        <v>46364</v>
      </c>
      <c r="S115" s="21" t="s">
        <v>635</v>
      </c>
      <c r="T115" s="21" t="s">
        <v>636</v>
      </c>
      <c r="U115" s="34" t="s">
        <v>862</v>
      </c>
      <c r="V115" s="21">
        <v>147.32</v>
      </c>
      <c r="W115" s="21">
        <v>147.320000619908</v>
      </c>
      <c r="X115" s="21" t="s">
        <v>861</v>
      </c>
      <c r="Y115" s="23">
        <v>46364</v>
      </c>
      <c r="Z115" s="21"/>
      <c r="AA115" s="21">
        <v>0</v>
      </c>
      <c r="AB115" s="21"/>
      <c r="AC115" s="21">
        <v>0</v>
      </c>
      <c r="AD115" s="21">
        <v>0</v>
      </c>
      <c r="AE115" s="21">
        <v>0</v>
      </c>
      <c r="AF115" s="21">
        <v>0</v>
      </c>
      <c r="AG115" s="21">
        <v>0</v>
      </c>
      <c r="AH115" s="21">
        <v>0</v>
      </c>
      <c r="AI115" s="21">
        <v>0</v>
      </c>
      <c r="AJ115" s="21" t="s">
        <v>638</v>
      </c>
      <c r="AK115" s="21">
        <v>0</v>
      </c>
      <c r="AL115" s="21">
        <v>0</v>
      </c>
      <c r="AM115" s="21">
        <v>0</v>
      </c>
      <c r="AN115" s="21">
        <v>0</v>
      </c>
      <c r="AO115" s="21">
        <v>0</v>
      </c>
      <c r="AP115" s="21"/>
      <c r="AQ115" s="21">
        <v>0</v>
      </c>
      <c r="AR115" s="21">
        <v>0</v>
      </c>
      <c r="AS115" s="21">
        <v>950593.13</v>
      </c>
      <c r="AT115" s="21" t="s">
        <v>169</v>
      </c>
      <c r="AU115" s="21" t="s">
        <v>181</v>
      </c>
      <c r="AV115" s="21" t="s">
        <v>154</v>
      </c>
      <c r="AW115" s="21" t="s">
        <v>639</v>
      </c>
      <c r="AX115" s="21" t="s">
        <v>640</v>
      </c>
      <c r="AY115" s="21">
        <v>0</v>
      </c>
      <c r="AZ115" s="21">
        <v>59355.23</v>
      </c>
      <c r="BA115" s="21">
        <v>429</v>
      </c>
      <c r="BB115" s="23">
        <v>46364</v>
      </c>
      <c r="BC115" s="21" t="s">
        <v>176</v>
      </c>
      <c r="BD115" s="21" t="s">
        <v>641</v>
      </c>
      <c r="BE115" s="21" t="s">
        <v>641</v>
      </c>
      <c r="BF115" s="21">
        <v>9</v>
      </c>
      <c r="BG115" s="21">
        <v>5341.97</v>
      </c>
      <c r="BH115" s="21">
        <v>9</v>
      </c>
      <c r="BI115" s="21">
        <v>5341.97</v>
      </c>
      <c r="BJ115" s="21">
        <v>0</v>
      </c>
      <c r="BK115" s="21">
        <v>0</v>
      </c>
      <c r="BL115" s="21">
        <v>0</v>
      </c>
      <c r="BM115" s="21">
        <v>612162102838</v>
      </c>
      <c r="BN115" s="23">
        <v>46246</v>
      </c>
      <c r="BO115" s="35">
        <v>402.9</v>
      </c>
    </row>
    <row r="116" spans="1:67" hidden="1" x14ac:dyDescent="0.25">
      <c r="A116" s="22"/>
      <c r="B116" s="21" t="s">
        <v>167</v>
      </c>
      <c r="C116" s="23">
        <v>46364</v>
      </c>
      <c r="D116" s="21" t="s">
        <v>859</v>
      </c>
      <c r="E116" s="21" t="s">
        <v>177</v>
      </c>
      <c r="F116" s="21" t="s">
        <v>178</v>
      </c>
      <c r="G116" s="21" t="s">
        <v>860</v>
      </c>
      <c r="H116" s="21">
        <v>1540</v>
      </c>
      <c r="I116" s="21">
        <v>1540</v>
      </c>
      <c r="J116" s="21" t="s">
        <v>168</v>
      </c>
      <c r="K116" s="21">
        <v>1540</v>
      </c>
      <c r="L116" s="21">
        <v>0</v>
      </c>
      <c r="M116" s="21">
        <v>1540</v>
      </c>
      <c r="N116" s="21" t="s">
        <v>174</v>
      </c>
      <c r="O116" s="21" t="s">
        <v>633</v>
      </c>
      <c r="P116" s="21" t="s">
        <v>633</v>
      </c>
      <c r="Q116" s="21" t="s">
        <v>861</v>
      </c>
      <c r="R116" s="23">
        <v>46364</v>
      </c>
      <c r="S116" s="21" t="s">
        <v>635</v>
      </c>
      <c r="T116" s="21" t="s">
        <v>636</v>
      </c>
      <c r="U116" s="34" t="s">
        <v>862</v>
      </c>
      <c r="V116" s="21">
        <v>149.32</v>
      </c>
      <c r="W116" s="21">
        <v>149.32000062832299</v>
      </c>
      <c r="X116" s="21" t="s">
        <v>861</v>
      </c>
      <c r="Y116" s="23">
        <v>46364</v>
      </c>
      <c r="Z116" s="21"/>
      <c r="AA116" s="21">
        <v>0</v>
      </c>
      <c r="AB116" s="21"/>
      <c r="AC116" s="21">
        <v>0</v>
      </c>
      <c r="AD116" s="21">
        <v>0</v>
      </c>
      <c r="AE116" s="21">
        <v>0</v>
      </c>
      <c r="AF116" s="21">
        <v>0</v>
      </c>
      <c r="AG116" s="21">
        <v>0</v>
      </c>
      <c r="AH116" s="21">
        <v>0</v>
      </c>
      <c r="AI116" s="21">
        <v>0</v>
      </c>
      <c r="AJ116" s="21" t="s">
        <v>638</v>
      </c>
      <c r="AK116" s="21">
        <v>0</v>
      </c>
      <c r="AL116" s="21">
        <v>0</v>
      </c>
      <c r="AM116" s="21">
        <v>0</v>
      </c>
      <c r="AN116" s="21">
        <v>0</v>
      </c>
      <c r="AO116" s="21">
        <v>0</v>
      </c>
      <c r="AP116" s="21"/>
      <c r="AQ116" s="21">
        <v>0</v>
      </c>
      <c r="AR116" s="21">
        <v>0</v>
      </c>
      <c r="AS116" s="21">
        <v>950593.13</v>
      </c>
      <c r="AT116" s="21" t="s">
        <v>169</v>
      </c>
      <c r="AU116" s="21" t="s">
        <v>179</v>
      </c>
      <c r="AV116" s="21" t="s">
        <v>156</v>
      </c>
      <c r="AW116" s="21" t="s">
        <v>639</v>
      </c>
      <c r="AX116" s="21" t="s">
        <v>640</v>
      </c>
      <c r="AY116" s="21">
        <v>0</v>
      </c>
      <c r="AZ116" s="21">
        <v>229952.8</v>
      </c>
      <c r="BA116" s="21">
        <v>429</v>
      </c>
      <c r="BB116" s="23">
        <v>46364</v>
      </c>
      <c r="BC116" s="21" t="s">
        <v>176</v>
      </c>
      <c r="BD116" s="21" t="s">
        <v>641</v>
      </c>
      <c r="BE116" s="21" t="s">
        <v>641</v>
      </c>
      <c r="BF116" s="21">
        <v>9</v>
      </c>
      <c r="BG116" s="21">
        <v>20695.75</v>
      </c>
      <c r="BH116" s="21">
        <v>9</v>
      </c>
      <c r="BI116" s="21">
        <v>20695.75</v>
      </c>
      <c r="BJ116" s="21">
        <v>0</v>
      </c>
      <c r="BK116" s="21">
        <v>0</v>
      </c>
      <c r="BL116" s="21">
        <v>0</v>
      </c>
      <c r="BM116" s="21">
        <v>612162102838</v>
      </c>
      <c r="BN116" s="23">
        <v>46246</v>
      </c>
      <c r="BO116" s="35">
        <v>1540</v>
      </c>
    </row>
    <row r="117" spans="1:67" hidden="1" x14ac:dyDescent="0.25">
      <c r="A117" s="22"/>
      <c r="B117" s="21" t="s">
        <v>167</v>
      </c>
      <c r="C117" s="23">
        <v>46364</v>
      </c>
      <c r="D117" s="21" t="s">
        <v>859</v>
      </c>
      <c r="E117" s="21" t="s">
        <v>726</v>
      </c>
      <c r="F117" s="21" t="s">
        <v>727</v>
      </c>
      <c r="G117" s="21" t="s">
        <v>860</v>
      </c>
      <c r="H117" s="21">
        <v>58.7</v>
      </c>
      <c r="I117" s="21">
        <v>58.7</v>
      </c>
      <c r="J117" s="21" t="s">
        <v>168</v>
      </c>
      <c r="K117" s="21">
        <v>58.7</v>
      </c>
      <c r="L117" s="21">
        <v>0</v>
      </c>
      <c r="M117" s="21">
        <v>58.7</v>
      </c>
      <c r="N117" s="21" t="s">
        <v>174</v>
      </c>
      <c r="O117" s="21" t="s">
        <v>633</v>
      </c>
      <c r="P117" s="21" t="s">
        <v>633</v>
      </c>
      <c r="Q117" s="21" t="s">
        <v>861</v>
      </c>
      <c r="R117" s="23">
        <v>46364</v>
      </c>
      <c r="S117" s="21" t="s">
        <v>635</v>
      </c>
      <c r="T117" s="21" t="s">
        <v>636</v>
      </c>
      <c r="U117" s="34" t="s">
        <v>862</v>
      </c>
      <c r="V117" s="21">
        <v>158.82</v>
      </c>
      <c r="W117" s="21">
        <v>158.820000668299</v>
      </c>
      <c r="X117" s="21" t="s">
        <v>861</v>
      </c>
      <c r="Y117" s="23">
        <v>46364</v>
      </c>
      <c r="Z117" s="21"/>
      <c r="AA117" s="21">
        <v>0</v>
      </c>
      <c r="AB117" s="21"/>
      <c r="AC117" s="21">
        <v>0</v>
      </c>
      <c r="AD117" s="21">
        <v>0</v>
      </c>
      <c r="AE117" s="21">
        <v>0</v>
      </c>
      <c r="AF117" s="21">
        <v>0</v>
      </c>
      <c r="AG117" s="21">
        <v>0</v>
      </c>
      <c r="AH117" s="21">
        <v>0</v>
      </c>
      <c r="AI117" s="21">
        <v>0</v>
      </c>
      <c r="AJ117" s="21" t="s">
        <v>638</v>
      </c>
      <c r="AK117" s="21">
        <v>0</v>
      </c>
      <c r="AL117" s="21">
        <v>0</v>
      </c>
      <c r="AM117" s="21">
        <v>0</v>
      </c>
      <c r="AN117" s="21">
        <v>0</v>
      </c>
      <c r="AO117" s="21">
        <v>0</v>
      </c>
      <c r="AP117" s="21"/>
      <c r="AQ117" s="21">
        <v>0</v>
      </c>
      <c r="AR117" s="21">
        <v>0</v>
      </c>
      <c r="AS117" s="21">
        <v>950593.13</v>
      </c>
      <c r="AT117" s="21" t="s">
        <v>169</v>
      </c>
      <c r="AU117" s="21" t="s">
        <v>170</v>
      </c>
      <c r="AV117" s="21" t="s">
        <v>157</v>
      </c>
      <c r="AW117" s="21" t="s">
        <v>639</v>
      </c>
      <c r="AX117" s="21" t="s">
        <v>640</v>
      </c>
      <c r="AY117" s="21">
        <v>0</v>
      </c>
      <c r="AZ117" s="21">
        <v>9322.73</v>
      </c>
      <c r="BA117" s="21">
        <v>429</v>
      </c>
      <c r="BB117" s="23">
        <v>46364</v>
      </c>
      <c r="BC117" s="21" t="s">
        <v>176</v>
      </c>
      <c r="BD117" s="21" t="s">
        <v>641</v>
      </c>
      <c r="BE117" s="21" t="s">
        <v>641</v>
      </c>
      <c r="BF117" s="21">
        <v>2.5</v>
      </c>
      <c r="BG117" s="21">
        <v>233.07</v>
      </c>
      <c r="BH117" s="21">
        <v>2.5</v>
      </c>
      <c r="BI117" s="21">
        <v>233.07</v>
      </c>
      <c r="BJ117" s="21">
        <v>0</v>
      </c>
      <c r="BK117" s="21">
        <v>0</v>
      </c>
      <c r="BL117" s="21">
        <v>0</v>
      </c>
      <c r="BM117" s="21">
        <v>612162102838</v>
      </c>
      <c r="BN117" s="23">
        <v>46246</v>
      </c>
      <c r="BO117" s="35">
        <v>58.7</v>
      </c>
    </row>
    <row r="118" spans="1:67" hidden="1" x14ac:dyDescent="0.25">
      <c r="A118" s="22"/>
      <c r="B118" s="21" t="s">
        <v>167</v>
      </c>
      <c r="C118" s="23">
        <v>46364</v>
      </c>
      <c r="D118" s="21" t="s">
        <v>859</v>
      </c>
      <c r="E118" s="21" t="s">
        <v>704</v>
      </c>
      <c r="F118" s="21" t="s">
        <v>705</v>
      </c>
      <c r="G118" s="21" t="s">
        <v>860</v>
      </c>
      <c r="H118" s="21">
        <v>914.9</v>
      </c>
      <c r="I118" s="21">
        <v>914.9</v>
      </c>
      <c r="J118" s="21" t="s">
        <v>184</v>
      </c>
      <c r="K118" s="21">
        <v>914.9</v>
      </c>
      <c r="L118" s="21">
        <v>0</v>
      </c>
      <c r="M118" s="21">
        <v>914.9</v>
      </c>
      <c r="N118" s="21" t="s">
        <v>174</v>
      </c>
      <c r="O118" s="21" t="s">
        <v>633</v>
      </c>
      <c r="P118" s="21" t="s">
        <v>633</v>
      </c>
      <c r="Q118" s="21" t="s">
        <v>861</v>
      </c>
      <c r="R118" s="23">
        <v>46364</v>
      </c>
      <c r="S118" s="21" t="s">
        <v>635</v>
      </c>
      <c r="T118" s="21" t="s">
        <v>636</v>
      </c>
      <c r="U118" s="34" t="s">
        <v>862</v>
      </c>
      <c r="V118" s="21">
        <v>154.32</v>
      </c>
      <c r="W118" s="21">
        <v>154.32000064936301</v>
      </c>
      <c r="X118" s="21" t="s">
        <v>861</v>
      </c>
      <c r="Y118" s="23">
        <v>46364</v>
      </c>
      <c r="Z118" s="21"/>
      <c r="AA118" s="21">
        <v>0</v>
      </c>
      <c r="AB118" s="21"/>
      <c r="AC118" s="21">
        <v>0</v>
      </c>
      <c r="AD118" s="21">
        <v>0</v>
      </c>
      <c r="AE118" s="21">
        <v>0</v>
      </c>
      <c r="AF118" s="21">
        <v>0</v>
      </c>
      <c r="AG118" s="21">
        <v>0</v>
      </c>
      <c r="AH118" s="21">
        <v>0</v>
      </c>
      <c r="AI118" s="21">
        <v>0</v>
      </c>
      <c r="AJ118" s="21" t="s">
        <v>638</v>
      </c>
      <c r="AK118" s="21">
        <v>0</v>
      </c>
      <c r="AL118" s="21">
        <v>0</v>
      </c>
      <c r="AM118" s="21">
        <v>0</v>
      </c>
      <c r="AN118" s="21">
        <v>0</v>
      </c>
      <c r="AO118" s="21">
        <v>0</v>
      </c>
      <c r="AP118" s="21"/>
      <c r="AQ118" s="21">
        <v>0</v>
      </c>
      <c r="AR118" s="21">
        <v>0</v>
      </c>
      <c r="AS118" s="21">
        <v>950593.13</v>
      </c>
      <c r="AT118" s="21" t="s">
        <v>169</v>
      </c>
      <c r="AU118" s="21" t="s">
        <v>170</v>
      </c>
      <c r="AV118" s="21" t="s">
        <v>157</v>
      </c>
      <c r="AW118" s="21" t="s">
        <v>639</v>
      </c>
      <c r="AX118" s="21"/>
      <c r="AY118" s="21">
        <v>0</v>
      </c>
      <c r="AZ118" s="21">
        <v>141187.37</v>
      </c>
      <c r="BA118" s="21">
        <v>429</v>
      </c>
      <c r="BB118" s="23">
        <v>46364</v>
      </c>
      <c r="BC118" s="21" t="s">
        <v>176</v>
      </c>
      <c r="BD118" s="21" t="s">
        <v>641</v>
      </c>
      <c r="BE118" s="21" t="s">
        <v>641</v>
      </c>
      <c r="BF118" s="21">
        <v>2.5</v>
      </c>
      <c r="BG118" s="21">
        <v>3529.68</v>
      </c>
      <c r="BH118" s="21">
        <v>2.5</v>
      </c>
      <c r="BI118" s="21">
        <v>3529.68</v>
      </c>
      <c r="BJ118" s="21">
        <v>0</v>
      </c>
      <c r="BK118" s="21">
        <v>0</v>
      </c>
      <c r="BL118" s="21">
        <v>0</v>
      </c>
      <c r="BM118" s="21">
        <v>612162102838</v>
      </c>
      <c r="BN118" s="23">
        <v>46246</v>
      </c>
      <c r="BO118" s="35">
        <v>914.9</v>
      </c>
    </row>
    <row r="119" spans="1:67" hidden="1" x14ac:dyDescent="0.25">
      <c r="A119" s="22"/>
      <c r="B119" s="21" t="s">
        <v>167</v>
      </c>
      <c r="C119" s="21" t="s">
        <v>867</v>
      </c>
      <c r="D119" s="21" t="s">
        <v>868</v>
      </c>
      <c r="E119" s="21" t="s">
        <v>186</v>
      </c>
      <c r="F119" s="21" t="s">
        <v>187</v>
      </c>
      <c r="G119" s="21" t="s">
        <v>869</v>
      </c>
      <c r="H119" s="21">
        <v>4963</v>
      </c>
      <c r="I119" s="21">
        <v>4963</v>
      </c>
      <c r="J119" s="21" t="s">
        <v>168</v>
      </c>
      <c r="K119" s="21">
        <v>4963</v>
      </c>
      <c r="L119" s="21">
        <v>0</v>
      </c>
      <c r="M119" s="21">
        <v>4963</v>
      </c>
      <c r="N119" s="21" t="s">
        <v>870</v>
      </c>
      <c r="O119" s="21" t="s">
        <v>656</v>
      </c>
      <c r="P119" s="21" t="s">
        <v>656</v>
      </c>
      <c r="Q119" s="21" t="s">
        <v>871</v>
      </c>
      <c r="R119" s="23">
        <v>46364</v>
      </c>
      <c r="S119" s="21" t="s">
        <v>635</v>
      </c>
      <c r="T119" s="21" t="s">
        <v>636</v>
      </c>
      <c r="U119" s="21" t="s">
        <v>872</v>
      </c>
      <c r="V119" s="21">
        <v>210.48</v>
      </c>
      <c r="W119" s="21">
        <v>210.48</v>
      </c>
      <c r="X119" s="21" t="s">
        <v>871</v>
      </c>
      <c r="Y119" s="23">
        <v>46364</v>
      </c>
      <c r="Z119" s="21"/>
      <c r="AA119" s="21">
        <v>0</v>
      </c>
      <c r="AB119" s="21"/>
      <c r="AC119" s="21" t="s">
        <v>750</v>
      </c>
      <c r="AD119" s="21">
        <v>2565</v>
      </c>
      <c r="AE119" s="21">
        <v>0</v>
      </c>
      <c r="AF119" s="21">
        <v>0</v>
      </c>
      <c r="AG119" s="21">
        <v>0</v>
      </c>
      <c r="AH119" s="21">
        <v>0</v>
      </c>
      <c r="AI119" s="21">
        <v>0</v>
      </c>
      <c r="AJ119" s="21" t="s">
        <v>638</v>
      </c>
      <c r="AK119" s="21">
        <v>0</v>
      </c>
      <c r="AL119" s="21">
        <v>0</v>
      </c>
      <c r="AM119" s="21">
        <v>0</v>
      </c>
      <c r="AN119" s="21">
        <v>0</v>
      </c>
      <c r="AO119" s="21">
        <v>0</v>
      </c>
      <c r="AP119" s="21"/>
      <c r="AQ119" s="21">
        <v>0</v>
      </c>
      <c r="AR119" s="21">
        <v>0</v>
      </c>
      <c r="AS119" s="21">
        <v>2458018.09</v>
      </c>
      <c r="AT119" s="21" t="s">
        <v>188</v>
      </c>
      <c r="AU119" s="21" t="s">
        <v>152</v>
      </c>
      <c r="AV119" s="21" t="s">
        <v>152</v>
      </c>
      <c r="AW119" s="21" t="s">
        <v>639</v>
      </c>
      <c r="AX119" s="21" t="s">
        <v>640</v>
      </c>
      <c r="AY119" s="21">
        <v>0</v>
      </c>
      <c r="AZ119" s="21">
        <v>1044612.24</v>
      </c>
      <c r="BA119" s="21">
        <v>430</v>
      </c>
      <c r="BB119" s="21" t="s">
        <v>867</v>
      </c>
      <c r="BC119" s="21" t="s">
        <v>176</v>
      </c>
      <c r="BD119" s="21" t="s">
        <v>641</v>
      </c>
      <c r="BE119" s="21" t="s">
        <v>641</v>
      </c>
      <c r="BF119" s="21">
        <v>9</v>
      </c>
      <c r="BG119" s="21">
        <v>94015.1</v>
      </c>
      <c r="BH119" s="21">
        <v>9</v>
      </c>
      <c r="BI119" s="21">
        <v>94015.1</v>
      </c>
      <c r="BJ119" s="21">
        <v>0</v>
      </c>
      <c r="BK119" s="21">
        <v>0</v>
      </c>
      <c r="BL119" s="21">
        <v>2458018.09</v>
      </c>
      <c r="BM119" s="21">
        <v>0</v>
      </c>
      <c r="BN119" s="23">
        <v>46246</v>
      </c>
      <c r="BO119" s="21">
        <v>4963</v>
      </c>
    </row>
    <row r="120" spans="1:67" hidden="1" x14ac:dyDescent="0.25">
      <c r="A120" s="22"/>
      <c r="B120" s="21" t="s">
        <v>167</v>
      </c>
      <c r="C120" s="21" t="s">
        <v>867</v>
      </c>
      <c r="D120" s="21" t="s">
        <v>868</v>
      </c>
      <c r="E120" s="21" t="s">
        <v>186</v>
      </c>
      <c r="F120" s="21" t="s">
        <v>187</v>
      </c>
      <c r="G120" s="21" t="s">
        <v>869</v>
      </c>
      <c r="H120" s="21">
        <v>2888</v>
      </c>
      <c r="I120" s="21">
        <v>2888</v>
      </c>
      <c r="J120" s="21" t="s">
        <v>168</v>
      </c>
      <c r="K120" s="21">
        <v>2888</v>
      </c>
      <c r="L120" s="21">
        <v>0</v>
      </c>
      <c r="M120" s="21">
        <v>2888</v>
      </c>
      <c r="N120" s="21" t="s">
        <v>870</v>
      </c>
      <c r="O120" s="21" t="s">
        <v>656</v>
      </c>
      <c r="P120" s="21" t="s">
        <v>656</v>
      </c>
      <c r="Q120" s="21" t="s">
        <v>871</v>
      </c>
      <c r="R120" s="23">
        <v>46364</v>
      </c>
      <c r="S120" s="21" t="s">
        <v>635</v>
      </c>
      <c r="T120" s="21" t="s">
        <v>636</v>
      </c>
      <c r="U120" s="21" t="s">
        <v>872</v>
      </c>
      <c r="V120" s="21">
        <v>208.41</v>
      </c>
      <c r="W120" s="21">
        <v>208.41</v>
      </c>
      <c r="X120" s="21" t="s">
        <v>871</v>
      </c>
      <c r="Y120" s="23">
        <v>46364</v>
      </c>
      <c r="Z120" s="21"/>
      <c r="AA120" s="21">
        <v>0</v>
      </c>
      <c r="AB120" s="21"/>
      <c r="AC120" s="21" t="s">
        <v>750</v>
      </c>
      <c r="AD120" s="21">
        <v>2565</v>
      </c>
      <c r="AE120" s="21">
        <v>0</v>
      </c>
      <c r="AF120" s="21">
        <v>0</v>
      </c>
      <c r="AG120" s="21">
        <v>0</v>
      </c>
      <c r="AH120" s="21">
        <v>0</v>
      </c>
      <c r="AI120" s="21">
        <v>0</v>
      </c>
      <c r="AJ120" s="21" t="s">
        <v>638</v>
      </c>
      <c r="AK120" s="21">
        <v>0</v>
      </c>
      <c r="AL120" s="21">
        <v>0</v>
      </c>
      <c r="AM120" s="21">
        <v>0</v>
      </c>
      <c r="AN120" s="21">
        <v>0</v>
      </c>
      <c r="AO120" s="21">
        <v>0</v>
      </c>
      <c r="AP120" s="21"/>
      <c r="AQ120" s="21">
        <v>0</v>
      </c>
      <c r="AR120" s="21">
        <v>0</v>
      </c>
      <c r="AS120" s="21">
        <v>2458018.09</v>
      </c>
      <c r="AT120" s="21" t="s">
        <v>188</v>
      </c>
      <c r="AU120" s="21" t="s">
        <v>152</v>
      </c>
      <c r="AV120" s="21" t="s">
        <v>152</v>
      </c>
      <c r="AW120" s="21" t="s">
        <v>639</v>
      </c>
      <c r="AX120" s="21" t="s">
        <v>640</v>
      </c>
      <c r="AY120" s="21">
        <v>0</v>
      </c>
      <c r="AZ120" s="21">
        <v>601888.07999999996</v>
      </c>
      <c r="BA120" s="21">
        <v>430</v>
      </c>
      <c r="BB120" s="21" t="s">
        <v>867</v>
      </c>
      <c r="BC120" s="21" t="s">
        <v>176</v>
      </c>
      <c r="BD120" s="21" t="s">
        <v>641</v>
      </c>
      <c r="BE120" s="21" t="s">
        <v>641</v>
      </c>
      <c r="BF120" s="21">
        <v>9</v>
      </c>
      <c r="BG120" s="21">
        <v>54169.93</v>
      </c>
      <c r="BH120" s="21">
        <v>9</v>
      </c>
      <c r="BI120" s="21">
        <v>54169.93</v>
      </c>
      <c r="BJ120" s="21">
        <v>0</v>
      </c>
      <c r="BK120" s="21">
        <v>0</v>
      </c>
      <c r="BL120" s="21">
        <v>0</v>
      </c>
      <c r="BM120" s="21">
        <v>0</v>
      </c>
      <c r="BN120" s="23">
        <v>46246</v>
      </c>
      <c r="BO120" s="21">
        <v>2888</v>
      </c>
    </row>
    <row r="121" spans="1:67" hidden="1" x14ac:dyDescent="0.25">
      <c r="A121" s="22"/>
      <c r="B121" s="21" t="s">
        <v>167</v>
      </c>
      <c r="C121" s="21" t="s">
        <v>867</v>
      </c>
      <c r="D121" s="21" t="s">
        <v>868</v>
      </c>
      <c r="E121" s="21" t="s">
        <v>186</v>
      </c>
      <c r="F121" s="21" t="s">
        <v>187</v>
      </c>
      <c r="G121" s="21" t="s">
        <v>869</v>
      </c>
      <c r="H121" s="21">
        <v>1995</v>
      </c>
      <c r="I121" s="21">
        <v>1995</v>
      </c>
      <c r="J121" s="21" t="s">
        <v>168</v>
      </c>
      <c r="K121" s="21">
        <v>1995</v>
      </c>
      <c r="L121" s="21">
        <v>0</v>
      </c>
      <c r="M121" s="21">
        <v>1995</v>
      </c>
      <c r="N121" s="21" t="s">
        <v>870</v>
      </c>
      <c r="O121" s="21" t="s">
        <v>656</v>
      </c>
      <c r="P121" s="21" t="s">
        <v>656</v>
      </c>
      <c r="Q121" s="21" t="s">
        <v>871</v>
      </c>
      <c r="R121" s="23">
        <v>46364</v>
      </c>
      <c r="S121" s="21" t="s">
        <v>635</v>
      </c>
      <c r="T121" s="21" t="s">
        <v>636</v>
      </c>
      <c r="U121" s="21" t="s">
        <v>872</v>
      </c>
      <c r="V121" s="21">
        <v>218.83</v>
      </c>
      <c r="W121" s="21">
        <v>218.83</v>
      </c>
      <c r="X121" s="21" t="s">
        <v>871</v>
      </c>
      <c r="Y121" s="23">
        <v>46364</v>
      </c>
      <c r="Z121" s="21"/>
      <c r="AA121" s="21">
        <v>0</v>
      </c>
      <c r="AB121" s="21"/>
      <c r="AC121" s="21" t="s">
        <v>750</v>
      </c>
      <c r="AD121" s="21">
        <v>2565</v>
      </c>
      <c r="AE121" s="21">
        <v>0</v>
      </c>
      <c r="AF121" s="21">
        <v>0</v>
      </c>
      <c r="AG121" s="21">
        <v>0</v>
      </c>
      <c r="AH121" s="21">
        <v>0</v>
      </c>
      <c r="AI121" s="21">
        <v>0</v>
      </c>
      <c r="AJ121" s="21" t="s">
        <v>638</v>
      </c>
      <c r="AK121" s="21">
        <v>0</v>
      </c>
      <c r="AL121" s="21">
        <v>0</v>
      </c>
      <c r="AM121" s="21">
        <v>0</v>
      </c>
      <c r="AN121" s="21">
        <v>0</v>
      </c>
      <c r="AO121" s="21">
        <v>0</v>
      </c>
      <c r="AP121" s="21"/>
      <c r="AQ121" s="21">
        <v>0</v>
      </c>
      <c r="AR121" s="21">
        <v>0</v>
      </c>
      <c r="AS121" s="21">
        <v>2458018.09</v>
      </c>
      <c r="AT121" s="21" t="s">
        <v>188</v>
      </c>
      <c r="AU121" s="21" t="s">
        <v>152</v>
      </c>
      <c r="AV121" s="21" t="s">
        <v>152</v>
      </c>
      <c r="AW121" s="21" t="s">
        <v>639</v>
      </c>
      <c r="AX121" s="21" t="s">
        <v>640</v>
      </c>
      <c r="AY121" s="21">
        <v>0</v>
      </c>
      <c r="AZ121" s="21">
        <v>436565.85</v>
      </c>
      <c r="BA121" s="21">
        <v>430</v>
      </c>
      <c r="BB121" s="21" t="s">
        <v>867</v>
      </c>
      <c r="BC121" s="21" t="s">
        <v>176</v>
      </c>
      <c r="BD121" s="21" t="s">
        <v>641</v>
      </c>
      <c r="BE121" s="21" t="s">
        <v>641</v>
      </c>
      <c r="BF121" s="21">
        <v>9</v>
      </c>
      <c r="BG121" s="21">
        <v>39290.93</v>
      </c>
      <c r="BH121" s="21">
        <v>9</v>
      </c>
      <c r="BI121" s="21">
        <v>39290.93</v>
      </c>
      <c r="BJ121" s="21">
        <v>0</v>
      </c>
      <c r="BK121" s="21">
        <v>0</v>
      </c>
      <c r="BL121" s="21">
        <v>0</v>
      </c>
      <c r="BM121" s="21">
        <v>0</v>
      </c>
      <c r="BN121" s="23">
        <v>46246</v>
      </c>
      <c r="BO121" s="21">
        <v>1995</v>
      </c>
    </row>
    <row r="122" spans="1:67" x14ac:dyDescent="0.25">
      <c r="A122" s="22"/>
      <c r="B122" s="21" t="s">
        <v>167</v>
      </c>
      <c r="C122" s="21" t="s">
        <v>867</v>
      </c>
      <c r="D122" s="21" t="s">
        <v>873</v>
      </c>
      <c r="E122" s="21" t="s">
        <v>874</v>
      </c>
      <c r="F122" s="21" t="s">
        <v>875</v>
      </c>
      <c r="G122" s="21" t="s">
        <v>876</v>
      </c>
      <c r="H122" s="21">
        <v>400</v>
      </c>
      <c r="I122" s="21">
        <v>400</v>
      </c>
      <c r="J122" s="21" t="s">
        <v>168</v>
      </c>
      <c r="K122" s="21">
        <v>400</v>
      </c>
      <c r="L122" s="21">
        <v>0</v>
      </c>
      <c r="M122" s="21">
        <v>400</v>
      </c>
      <c r="N122" s="21" t="s">
        <v>877</v>
      </c>
      <c r="O122" s="21" t="s">
        <v>878</v>
      </c>
      <c r="P122" s="21" t="s">
        <v>878</v>
      </c>
      <c r="Q122" s="21" t="s">
        <v>879</v>
      </c>
      <c r="R122" s="23">
        <v>46334</v>
      </c>
      <c r="S122" s="21" t="s">
        <v>635</v>
      </c>
      <c r="T122" s="21" t="s">
        <v>636</v>
      </c>
      <c r="U122" s="21" t="s">
        <v>880</v>
      </c>
      <c r="V122" s="21">
        <v>160</v>
      </c>
      <c r="W122" s="21">
        <v>160</v>
      </c>
      <c r="X122" s="21" t="s">
        <v>879</v>
      </c>
      <c r="Y122" s="23">
        <v>46334</v>
      </c>
      <c r="Z122" s="21"/>
      <c r="AA122" s="21">
        <v>0</v>
      </c>
      <c r="AB122" s="21"/>
      <c r="AC122" s="21" t="s">
        <v>881</v>
      </c>
      <c r="AD122" s="20">
        <v>2492385</v>
      </c>
      <c r="AE122" s="21">
        <v>0</v>
      </c>
      <c r="AF122" s="21">
        <v>0</v>
      </c>
      <c r="AG122" s="21">
        <v>0</v>
      </c>
      <c r="AH122" s="21">
        <v>0</v>
      </c>
      <c r="AI122" s="21">
        <v>0</v>
      </c>
      <c r="AJ122" s="21" t="s">
        <v>638</v>
      </c>
      <c r="AK122" s="21">
        <v>0</v>
      </c>
      <c r="AL122" s="21">
        <v>0</v>
      </c>
      <c r="AM122" s="21">
        <v>0</v>
      </c>
      <c r="AN122" s="21">
        <v>0</v>
      </c>
      <c r="AO122" s="21">
        <v>0</v>
      </c>
      <c r="AP122" s="21"/>
      <c r="AQ122" s="21">
        <v>0</v>
      </c>
      <c r="AR122" s="21">
        <v>0</v>
      </c>
      <c r="AS122" s="21">
        <v>75520</v>
      </c>
      <c r="AT122" s="21" t="s">
        <v>639</v>
      </c>
      <c r="AU122" s="21" t="s">
        <v>648</v>
      </c>
      <c r="AV122" s="21" t="s">
        <v>313</v>
      </c>
      <c r="AW122" s="21" t="s">
        <v>639</v>
      </c>
      <c r="AX122" s="21" t="s">
        <v>802</v>
      </c>
      <c r="AY122" s="21">
        <v>0</v>
      </c>
      <c r="AZ122" s="21">
        <v>64000</v>
      </c>
      <c r="BA122" s="21">
        <v>641</v>
      </c>
      <c r="BB122" s="21" t="s">
        <v>867</v>
      </c>
      <c r="BC122" s="21" t="s">
        <v>882</v>
      </c>
      <c r="BD122" s="21" t="s">
        <v>641</v>
      </c>
      <c r="BE122" s="21" t="s">
        <v>883</v>
      </c>
      <c r="BF122" s="21">
        <v>9</v>
      </c>
      <c r="BG122" s="21">
        <v>5760</v>
      </c>
      <c r="BH122" s="21">
        <v>9</v>
      </c>
      <c r="BI122" s="21">
        <v>5760</v>
      </c>
      <c r="BJ122" s="21">
        <v>0</v>
      </c>
      <c r="BK122" s="21">
        <v>0</v>
      </c>
      <c r="BL122" s="21">
        <v>75520</v>
      </c>
      <c r="BM122" s="21">
        <v>612161011225</v>
      </c>
      <c r="BN122" s="23">
        <v>46245</v>
      </c>
      <c r="BO122" s="21">
        <v>400</v>
      </c>
    </row>
    <row r="123" spans="1:67" hidden="1" x14ac:dyDescent="0.25">
      <c r="A123" s="22"/>
      <c r="B123" s="21" t="s">
        <v>167</v>
      </c>
      <c r="C123" s="21" t="s">
        <v>867</v>
      </c>
      <c r="D123" s="21" t="s">
        <v>884</v>
      </c>
      <c r="E123" s="21" t="s">
        <v>172</v>
      </c>
      <c r="F123" s="21" t="s">
        <v>173</v>
      </c>
      <c r="G123" s="21" t="s">
        <v>885</v>
      </c>
      <c r="H123" s="21">
        <v>84.9</v>
      </c>
      <c r="I123" s="21">
        <v>84.9</v>
      </c>
      <c r="J123" s="21" t="s">
        <v>168</v>
      </c>
      <c r="K123" s="21">
        <v>84.9</v>
      </c>
      <c r="L123" s="21">
        <v>0</v>
      </c>
      <c r="M123" s="21">
        <v>84.9</v>
      </c>
      <c r="N123" s="21" t="s">
        <v>174</v>
      </c>
      <c r="O123" s="21" t="s">
        <v>633</v>
      </c>
      <c r="P123" s="21" t="s">
        <v>633</v>
      </c>
      <c r="Q123" s="21" t="s">
        <v>886</v>
      </c>
      <c r="R123" s="21" t="s">
        <v>867</v>
      </c>
      <c r="S123" s="21" t="s">
        <v>635</v>
      </c>
      <c r="T123" s="21" t="s">
        <v>636</v>
      </c>
      <c r="U123" s="21" t="s">
        <v>887</v>
      </c>
      <c r="V123" s="21">
        <v>176.86</v>
      </c>
      <c r="W123" s="21">
        <v>176.859990586419</v>
      </c>
      <c r="X123" s="21" t="s">
        <v>886</v>
      </c>
      <c r="Y123" s="21" t="s">
        <v>867</v>
      </c>
      <c r="Z123" s="21"/>
      <c r="AA123" s="21">
        <v>0</v>
      </c>
      <c r="AB123" s="21"/>
      <c r="AC123" s="21">
        <v>0</v>
      </c>
      <c r="AD123" s="21">
        <v>0</v>
      </c>
      <c r="AE123" s="21">
        <v>0</v>
      </c>
      <c r="AF123" s="21">
        <v>0</v>
      </c>
      <c r="AG123" s="21">
        <v>0</v>
      </c>
      <c r="AH123" s="21">
        <v>0</v>
      </c>
      <c r="AI123" s="21">
        <v>0</v>
      </c>
      <c r="AJ123" s="21" t="s">
        <v>638</v>
      </c>
      <c r="AK123" s="21">
        <v>0</v>
      </c>
      <c r="AL123" s="21">
        <v>0</v>
      </c>
      <c r="AM123" s="21">
        <v>0</v>
      </c>
      <c r="AN123" s="21">
        <v>0</v>
      </c>
      <c r="AO123" s="21">
        <v>0</v>
      </c>
      <c r="AP123" s="21"/>
      <c r="AQ123" s="21">
        <v>0</v>
      </c>
      <c r="AR123" s="21">
        <v>0</v>
      </c>
      <c r="AS123" s="21">
        <v>263028.47999999998</v>
      </c>
      <c r="AT123" s="21" t="s">
        <v>169</v>
      </c>
      <c r="AU123" s="21" t="s">
        <v>175</v>
      </c>
      <c r="AV123" s="21" t="s">
        <v>159</v>
      </c>
      <c r="AW123" s="21" t="s">
        <v>639</v>
      </c>
      <c r="AX123" s="21" t="s">
        <v>640</v>
      </c>
      <c r="AY123" s="21">
        <v>0</v>
      </c>
      <c r="AZ123" s="21">
        <v>15015.41</v>
      </c>
      <c r="BA123" s="21">
        <v>431</v>
      </c>
      <c r="BB123" s="21" t="s">
        <v>867</v>
      </c>
      <c r="BC123" s="21" t="s">
        <v>176</v>
      </c>
      <c r="BD123" s="21" t="s">
        <v>641</v>
      </c>
      <c r="BE123" s="21" t="s">
        <v>641</v>
      </c>
      <c r="BF123" s="21">
        <v>9</v>
      </c>
      <c r="BG123" s="21">
        <v>1351.39</v>
      </c>
      <c r="BH123" s="21">
        <v>9</v>
      </c>
      <c r="BI123" s="21">
        <v>1351.39</v>
      </c>
      <c r="BJ123" s="21">
        <v>0</v>
      </c>
      <c r="BK123" s="21">
        <v>0</v>
      </c>
      <c r="BL123" s="21">
        <v>263028.47999999998</v>
      </c>
      <c r="BM123" s="21">
        <v>692162642297</v>
      </c>
      <c r="BN123" s="23">
        <v>46247</v>
      </c>
      <c r="BO123" s="21">
        <v>84.9</v>
      </c>
    </row>
    <row r="124" spans="1:67" hidden="1" x14ac:dyDescent="0.25">
      <c r="A124" s="22"/>
      <c r="B124" s="21" t="s">
        <v>167</v>
      </c>
      <c r="C124" s="21" t="s">
        <v>867</v>
      </c>
      <c r="D124" s="21" t="s">
        <v>884</v>
      </c>
      <c r="E124" s="21" t="s">
        <v>177</v>
      </c>
      <c r="F124" s="21" t="s">
        <v>178</v>
      </c>
      <c r="G124" s="21" t="s">
        <v>885</v>
      </c>
      <c r="H124" s="21">
        <v>86</v>
      </c>
      <c r="I124" s="21">
        <v>86</v>
      </c>
      <c r="J124" s="21" t="s">
        <v>168</v>
      </c>
      <c r="K124" s="21">
        <v>86</v>
      </c>
      <c r="L124" s="21">
        <v>0</v>
      </c>
      <c r="M124" s="21">
        <v>86</v>
      </c>
      <c r="N124" s="21" t="s">
        <v>174</v>
      </c>
      <c r="O124" s="21" t="s">
        <v>633</v>
      </c>
      <c r="P124" s="21" t="s">
        <v>633</v>
      </c>
      <c r="Q124" s="21" t="s">
        <v>886</v>
      </c>
      <c r="R124" s="21" t="s">
        <v>867</v>
      </c>
      <c r="S124" s="21" t="s">
        <v>635</v>
      </c>
      <c r="T124" s="21" t="s">
        <v>636</v>
      </c>
      <c r="U124" s="21" t="s">
        <v>887</v>
      </c>
      <c r="V124" s="21">
        <v>146.32</v>
      </c>
      <c r="W124" s="21">
        <v>146.31999221194599</v>
      </c>
      <c r="X124" s="21" t="s">
        <v>886</v>
      </c>
      <c r="Y124" s="21" t="s">
        <v>867</v>
      </c>
      <c r="Z124" s="21"/>
      <c r="AA124" s="21">
        <v>0</v>
      </c>
      <c r="AB124" s="21"/>
      <c r="AC124" s="21">
        <v>0</v>
      </c>
      <c r="AD124" s="21">
        <v>0</v>
      </c>
      <c r="AE124" s="21">
        <v>0</v>
      </c>
      <c r="AF124" s="21">
        <v>0</v>
      </c>
      <c r="AG124" s="21">
        <v>0</v>
      </c>
      <c r="AH124" s="21">
        <v>0</v>
      </c>
      <c r="AI124" s="21">
        <v>0</v>
      </c>
      <c r="AJ124" s="21" t="s">
        <v>638</v>
      </c>
      <c r="AK124" s="21">
        <v>0</v>
      </c>
      <c r="AL124" s="21">
        <v>0</v>
      </c>
      <c r="AM124" s="21">
        <v>0</v>
      </c>
      <c r="AN124" s="21">
        <v>0</v>
      </c>
      <c r="AO124" s="21">
        <v>0</v>
      </c>
      <c r="AP124" s="21"/>
      <c r="AQ124" s="21">
        <v>0</v>
      </c>
      <c r="AR124" s="21">
        <v>0</v>
      </c>
      <c r="AS124" s="21">
        <v>263028.47999999998</v>
      </c>
      <c r="AT124" s="21" t="s">
        <v>169</v>
      </c>
      <c r="AU124" s="21" t="s">
        <v>179</v>
      </c>
      <c r="AV124" s="21" t="s">
        <v>156</v>
      </c>
      <c r="AW124" s="21" t="s">
        <v>639</v>
      </c>
      <c r="AX124" s="21" t="s">
        <v>640</v>
      </c>
      <c r="AY124" s="21">
        <v>0</v>
      </c>
      <c r="AZ124" s="21">
        <v>12583.52</v>
      </c>
      <c r="BA124" s="21">
        <v>431</v>
      </c>
      <c r="BB124" s="21" t="s">
        <v>867</v>
      </c>
      <c r="BC124" s="21" t="s">
        <v>176</v>
      </c>
      <c r="BD124" s="21" t="s">
        <v>641</v>
      </c>
      <c r="BE124" s="21" t="s">
        <v>641</v>
      </c>
      <c r="BF124" s="21">
        <v>9</v>
      </c>
      <c r="BG124" s="21">
        <v>1132.52</v>
      </c>
      <c r="BH124" s="21">
        <v>9</v>
      </c>
      <c r="BI124" s="21">
        <v>1132.52</v>
      </c>
      <c r="BJ124" s="21">
        <v>0</v>
      </c>
      <c r="BK124" s="21">
        <v>0</v>
      </c>
      <c r="BL124" s="21">
        <v>0</v>
      </c>
      <c r="BM124" s="21">
        <v>692162642297</v>
      </c>
      <c r="BN124" s="23">
        <v>46247</v>
      </c>
      <c r="BO124" s="21">
        <v>86</v>
      </c>
    </row>
    <row r="125" spans="1:67" hidden="1" x14ac:dyDescent="0.25">
      <c r="A125" s="22"/>
      <c r="B125" s="21" t="s">
        <v>167</v>
      </c>
      <c r="C125" s="21" t="s">
        <v>867</v>
      </c>
      <c r="D125" s="21" t="s">
        <v>884</v>
      </c>
      <c r="E125" s="21" t="s">
        <v>182</v>
      </c>
      <c r="F125" s="21" t="s">
        <v>183</v>
      </c>
      <c r="G125" s="21" t="s">
        <v>885</v>
      </c>
      <c r="H125" s="21">
        <v>544</v>
      </c>
      <c r="I125" s="21">
        <v>544</v>
      </c>
      <c r="J125" s="21" t="s">
        <v>168</v>
      </c>
      <c r="K125" s="21">
        <v>544</v>
      </c>
      <c r="L125" s="21">
        <v>0</v>
      </c>
      <c r="M125" s="21">
        <v>544</v>
      </c>
      <c r="N125" s="21" t="s">
        <v>174</v>
      </c>
      <c r="O125" s="21" t="s">
        <v>633</v>
      </c>
      <c r="P125" s="21" t="s">
        <v>633</v>
      </c>
      <c r="Q125" s="21" t="s">
        <v>886</v>
      </c>
      <c r="R125" s="21" t="s">
        <v>867</v>
      </c>
      <c r="S125" s="21" t="s">
        <v>635</v>
      </c>
      <c r="T125" s="21" t="s">
        <v>636</v>
      </c>
      <c r="U125" s="21" t="s">
        <v>887</v>
      </c>
      <c r="V125" s="21">
        <v>142.32</v>
      </c>
      <c r="W125" s="21">
        <v>142.31999242485099</v>
      </c>
      <c r="X125" s="21" t="s">
        <v>886</v>
      </c>
      <c r="Y125" s="21" t="s">
        <v>867</v>
      </c>
      <c r="Z125" s="21"/>
      <c r="AA125" s="21">
        <v>0</v>
      </c>
      <c r="AB125" s="21"/>
      <c r="AC125" s="21">
        <v>0</v>
      </c>
      <c r="AD125" s="21">
        <v>0</v>
      </c>
      <c r="AE125" s="21">
        <v>0</v>
      </c>
      <c r="AF125" s="21">
        <v>0</v>
      </c>
      <c r="AG125" s="21">
        <v>0</v>
      </c>
      <c r="AH125" s="21">
        <v>0</v>
      </c>
      <c r="AI125" s="21">
        <v>0</v>
      </c>
      <c r="AJ125" s="21" t="s">
        <v>638</v>
      </c>
      <c r="AK125" s="21">
        <v>0</v>
      </c>
      <c r="AL125" s="21">
        <v>0</v>
      </c>
      <c r="AM125" s="21">
        <v>0</v>
      </c>
      <c r="AN125" s="21">
        <v>0</v>
      </c>
      <c r="AO125" s="21">
        <v>0</v>
      </c>
      <c r="AP125" s="21"/>
      <c r="AQ125" s="21">
        <v>0</v>
      </c>
      <c r="AR125" s="21">
        <v>0</v>
      </c>
      <c r="AS125" s="21">
        <v>263028.47999999998</v>
      </c>
      <c r="AT125" s="21" t="s">
        <v>169</v>
      </c>
      <c r="AU125" s="21" t="s">
        <v>179</v>
      </c>
      <c r="AV125" s="21" t="s">
        <v>155</v>
      </c>
      <c r="AW125" s="21" t="s">
        <v>639</v>
      </c>
      <c r="AX125" s="21" t="s">
        <v>640</v>
      </c>
      <c r="AY125" s="21">
        <v>0</v>
      </c>
      <c r="AZ125" s="21">
        <v>77422.080000000002</v>
      </c>
      <c r="BA125" s="21">
        <v>431</v>
      </c>
      <c r="BB125" s="21" t="s">
        <v>867</v>
      </c>
      <c r="BC125" s="21" t="s">
        <v>176</v>
      </c>
      <c r="BD125" s="21" t="s">
        <v>641</v>
      </c>
      <c r="BE125" s="21" t="s">
        <v>641</v>
      </c>
      <c r="BF125" s="21">
        <v>9</v>
      </c>
      <c r="BG125" s="21">
        <v>6967.99</v>
      </c>
      <c r="BH125" s="21">
        <v>9</v>
      </c>
      <c r="BI125" s="21">
        <v>6967.99</v>
      </c>
      <c r="BJ125" s="21">
        <v>0</v>
      </c>
      <c r="BK125" s="21">
        <v>0</v>
      </c>
      <c r="BL125" s="21">
        <v>0</v>
      </c>
      <c r="BM125" s="21">
        <v>692162642297</v>
      </c>
      <c r="BN125" s="23">
        <v>46247</v>
      </c>
      <c r="BO125" s="21">
        <v>544</v>
      </c>
    </row>
    <row r="126" spans="1:67" hidden="1" x14ac:dyDescent="0.25">
      <c r="A126" s="22"/>
      <c r="B126" s="21" t="s">
        <v>167</v>
      </c>
      <c r="C126" s="21" t="s">
        <v>867</v>
      </c>
      <c r="D126" s="21" t="s">
        <v>884</v>
      </c>
      <c r="E126" s="21" t="s">
        <v>180</v>
      </c>
      <c r="F126" s="21" t="s">
        <v>181</v>
      </c>
      <c r="G126" s="21" t="s">
        <v>885</v>
      </c>
      <c r="H126" s="21">
        <v>354.6</v>
      </c>
      <c r="I126" s="21">
        <v>354.6</v>
      </c>
      <c r="J126" s="21" t="s">
        <v>168</v>
      </c>
      <c r="K126" s="21">
        <v>354.6</v>
      </c>
      <c r="L126" s="21">
        <v>0</v>
      </c>
      <c r="M126" s="21">
        <v>354.6</v>
      </c>
      <c r="N126" s="21" t="s">
        <v>174</v>
      </c>
      <c r="O126" s="21" t="s">
        <v>633</v>
      </c>
      <c r="P126" s="21" t="s">
        <v>633</v>
      </c>
      <c r="Q126" s="21" t="s">
        <v>886</v>
      </c>
      <c r="R126" s="21" t="s">
        <v>867</v>
      </c>
      <c r="S126" s="21" t="s">
        <v>635</v>
      </c>
      <c r="T126" s="21" t="s">
        <v>636</v>
      </c>
      <c r="U126" s="21" t="s">
        <v>887</v>
      </c>
      <c r="V126" s="21">
        <v>147.32</v>
      </c>
      <c r="W126" s="21">
        <v>147.31999215872</v>
      </c>
      <c r="X126" s="21" t="s">
        <v>886</v>
      </c>
      <c r="Y126" s="21" t="s">
        <v>867</v>
      </c>
      <c r="Z126" s="21"/>
      <c r="AA126" s="21">
        <v>0</v>
      </c>
      <c r="AB126" s="21"/>
      <c r="AC126" s="21">
        <v>0</v>
      </c>
      <c r="AD126" s="21">
        <v>0</v>
      </c>
      <c r="AE126" s="21">
        <v>0</v>
      </c>
      <c r="AF126" s="21">
        <v>0</v>
      </c>
      <c r="AG126" s="21">
        <v>0</v>
      </c>
      <c r="AH126" s="21">
        <v>0</v>
      </c>
      <c r="AI126" s="21">
        <v>0</v>
      </c>
      <c r="AJ126" s="21" t="s">
        <v>638</v>
      </c>
      <c r="AK126" s="21">
        <v>0</v>
      </c>
      <c r="AL126" s="21">
        <v>0</v>
      </c>
      <c r="AM126" s="21">
        <v>0</v>
      </c>
      <c r="AN126" s="21">
        <v>0</v>
      </c>
      <c r="AO126" s="21">
        <v>0</v>
      </c>
      <c r="AP126" s="21"/>
      <c r="AQ126" s="21">
        <v>0</v>
      </c>
      <c r="AR126" s="21">
        <v>0</v>
      </c>
      <c r="AS126" s="21">
        <v>263028.47999999998</v>
      </c>
      <c r="AT126" s="21" t="s">
        <v>169</v>
      </c>
      <c r="AU126" s="21" t="s">
        <v>181</v>
      </c>
      <c r="AV126" s="21" t="s">
        <v>154</v>
      </c>
      <c r="AW126" s="21" t="s">
        <v>639</v>
      </c>
      <c r="AX126" s="21" t="s">
        <v>640</v>
      </c>
      <c r="AY126" s="21">
        <v>0</v>
      </c>
      <c r="AZ126" s="21">
        <v>52239.67</v>
      </c>
      <c r="BA126" s="21">
        <v>431</v>
      </c>
      <c r="BB126" s="21" t="s">
        <v>867</v>
      </c>
      <c r="BC126" s="21" t="s">
        <v>176</v>
      </c>
      <c r="BD126" s="21" t="s">
        <v>641</v>
      </c>
      <c r="BE126" s="21" t="s">
        <v>641</v>
      </c>
      <c r="BF126" s="21">
        <v>9</v>
      </c>
      <c r="BG126" s="21">
        <v>4701.57</v>
      </c>
      <c r="BH126" s="21">
        <v>9</v>
      </c>
      <c r="BI126" s="21">
        <v>4701.57</v>
      </c>
      <c r="BJ126" s="21">
        <v>0</v>
      </c>
      <c r="BK126" s="21">
        <v>0</v>
      </c>
      <c r="BL126" s="21">
        <v>0</v>
      </c>
      <c r="BM126" s="21">
        <v>692162642297</v>
      </c>
      <c r="BN126" s="23">
        <v>46247</v>
      </c>
      <c r="BO126" s="21">
        <v>354.6</v>
      </c>
    </row>
    <row r="127" spans="1:67" hidden="1" x14ac:dyDescent="0.25">
      <c r="A127" s="22"/>
      <c r="B127" s="21" t="s">
        <v>167</v>
      </c>
      <c r="C127" s="21" t="s">
        <v>867</v>
      </c>
      <c r="D127" s="21" t="s">
        <v>884</v>
      </c>
      <c r="E127" s="21" t="s">
        <v>180</v>
      </c>
      <c r="F127" s="21" t="s">
        <v>181</v>
      </c>
      <c r="G127" s="21" t="s">
        <v>885</v>
      </c>
      <c r="H127" s="21">
        <v>429.2</v>
      </c>
      <c r="I127" s="21">
        <v>429.2</v>
      </c>
      <c r="J127" s="21" t="s">
        <v>168</v>
      </c>
      <c r="K127" s="21">
        <v>429.2</v>
      </c>
      <c r="L127" s="21">
        <v>0</v>
      </c>
      <c r="M127" s="21">
        <v>429.2</v>
      </c>
      <c r="N127" s="21" t="s">
        <v>174</v>
      </c>
      <c r="O127" s="21" t="s">
        <v>633</v>
      </c>
      <c r="P127" s="21" t="s">
        <v>633</v>
      </c>
      <c r="Q127" s="21" t="s">
        <v>886</v>
      </c>
      <c r="R127" s="21" t="s">
        <v>867</v>
      </c>
      <c r="S127" s="21" t="s">
        <v>635</v>
      </c>
      <c r="T127" s="21" t="s">
        <v>636</v>
      </c>
      <c r="U127" s="21" t="s">
        <v>887</v>
      </c>
      <c r="V127" s="21">
        <v>144.32</v>
      </c>
      <c r="W127" s="21">
        <v>144.31999231839899</v>
      </c>
      <c r="X127" s="21" t="s">
        <v>886</v>
      </c>
      <c r="Y127" s="21" t="s">
        <v>867</v>
      </c>
      <c r="Z127" s="21"/>
      <c r="AA127" s="21">
        <v>0</v>
      </c>
      <c r="AB127" s="21"/>
      <c r="AC127" s="21">
        <v>0</v>
      </c>
      <c r="AD127" s="21">
        <v>0</v>
      </c>
      <c r="AE127" s="21">
        <v>0</v>
      </c>
      <c r="AF127" s="21">
        <v>0</v>
      </c>
      <c r="AG127" s="21">
        <v>0</v>
      </c>
      <c r="AH127" s="21">
        <v>0</v>
      </c>
      <c r="AI127" s="21">
        <v>0</v>
      </c>
      <c r="AJ127" s="21" t="s">
        <v>638</v>
      </c>
      <c r="AK127" s="21">
        <v>0</v>
      </c>
      <c r="AL127" s="21">
        <v>0</v>
      </c>
      <c r="AM127" s="21">
        <v>0</v>
      </c>
      <c r="AN127" s="21">
        <v>0</v>
      </c>
      <c r="AO127" s="21">
        <v>0</v>
      </c>
      <c r="AP127" s="21"/>
      <c r="AQ127" s="21">
        <v>0</v>
      </c>
      <c r="AR127" s="21">
        <v>0</v>
      </c>
      <c r="AS127" s="21">
        <v>263028.47999999998</v>
      </c>
      <c r="AT127" s="21" t="s">
        <v>169</v>
      </c>
      <c r="AU127" s="21" t="s">
        <v>181</v>
      </c>
      <c r="AV127" s="21" t="s">
        <v>154</v>
      </c>
      <c r="AW127" s="21" t="s">
        <v>639</v>
      </c>
      <c r="AX127" s="21" t="s">
        <v>640</v>
      </c>
      <c r="AY127" s="21">
        <v>0</v>
      </c>
      <c r="AZ127" s="21">
        <v>61942.14</v>
      </c>
      <c r="BA127" s="21">
        <v>431</v>
      </c>
      <c r="BB127" s="21" t="s">
        <v>867</v>
      </c>
      <c r="BC127" s="21" t="s">
        <v>176</v>
      </c>
      <c r="BD127" s="21" t="s">
        <v>641</v>
      </c>
      <c r="BE127" s="21" t="s">
        <v>641</v>
      </c>
      <c r="BF127" s="21">
        <v>9</v>
      </c>
      <c r="BG127" s="21">
        <v>5574.79</v>
      </c>
      <c r="BH127" s="21">
        <v>9</v>
      </c>
      <c r="BI127" s="21">
        <v>5574.79</v>
      </c>
      <c r="BJ127" s="21">
        <v>0</v>
      </c>
      <c r="BK127" s="21">
        <v>0</v>
      </c>
      <c r="BL127" s="21">
        <v>0</v>
      </c>
      <c r="BM127" s="21">
        <v>692162642297</v>
      </c>
      <c r="BN127" s="23">
        <v>46247</v>
      </c>
      <c r="BO127" s="21">
        <v>429.2</v>
      </c>
    </row>
    <row r="128" spans="1:67" hidden="1" x14ac:dyDescent="0.25">
      <c r="A128" s="22"/>
      <c r="B128" s="21" t="s">
        <v>167</v>
      </c>
      <c r="C128" s="21" t="s">
        <v>867</v>
      </c>
      <c r="D128" s="21" t="s">
        <v>884</v>
      </c>
      <c r="E128" s="21" t="s">
        <v>726</v>
      </c>
      <c r="F128" s="21" t="s">
        <v>727</v>
      </c>
      <c r="G128" s="21" t="s">
        <v>885</v>
      </c>
      <c r="H128" s="21">
        <v>26.2</v>
      </c>
      <c r="I128" s="21">
        <v>26.2</v>
      </c>
      <c r="J128" s="21" t="s">
        <v>168</v>
      </c>
      <c r="K128" s="21">
        <v>26.2</v>
      </c>
      <c r="L128" s="21">
        <v>0</v>
      </c>
      <c r="M128" s="21">
        <v>26.2</v>
      </c>
      <c r="N128" s="21" t="s">
        <v>174</v>
      </c>
      <c r="O128" s="21" t="s">
        <v>633</v>
      </c>
      <c r="P128" s="21" t="s">
        <v>633</v>
      </c>
      <c r="Q128" s="21" t="s">
        <v>886</v>
      </c>
      <c r="R128" s="21" t="s">
        <v>867</v>
      </c>
      <c r="S128" s="21" t="s">
        <v>635</v>
      </c>
      <c r="T128" s="21" t="s">
        <v>636</v>
      </c>
      <c r="U128" s="21" t="s">
        <v>887</v>
      </c>
      <c r="V128" s="21">
        <v>158.82</v>
      </c>
      <c r="W128" s="21">
        <v>158.81999154661901</v>
      </c>
      <c r="X128" s="21" t="s">
        <v>886</v>
      </c>
      <c r="Y128" s="21" t="s">
        <v>867</v>
      </c>
      <c r="Z128" s="21"/>
      <c r="AA128" s="21">
        <v>0</v>
      </c>
      <c r="AB128" s="21"/>
      <c r="AC128" s="21">
        <v>0</v>
      </c>
      <c r="AD128" s="21">
        <v>0</v>
      </c>
      <c r="AE128" s="21">
        <v>0</v>
      </c>
      <c r="AF128" s="21">
        <v>0</v>
      </c>
      <c r="AG128" s="21">
        <v>0</v>
      </c>
      <c r="AH128" s="21">
        <v>0</v>
      </c>
      <c r="AI128" s="21">
        <v>0</v>
      </c>
      <c r="AJ128" s="21" t="s">
        <v>638</v>
      </c>
      <c r="AK128" s="21">
        <v>0</v>
      </c>
      <c r="AL128" s="21">
        <v>0</v>
      </c>
      <c r="AM128" s="21">
        <v>0</v>
      </c>
      <c r="AN128" s="21">
        <v>0</v>
      </c>
      <c r="AO128" s="21">
        <v>0</v>
      </c>
      <c r="AP128" s="21"/>
      <c r="AQ128" s="21">
        <v>0</v>
      </c>
      <c r="AR128" s="21">
        <v>0</v>
      </c>
      <c r="AS128" s="21">
        <v>263028.47999999998</v>
      </c>
      <c r="AT128" s="21" t="s">
        <v>169</v>
      </c>
      <c r="AU128" s="21" t="s">
        <v>170</v>
      </c>
      <c r="AV128" s="21" t="s">
        <v>157</v>
      </c>
      <c r="AW128" s="21" t="s">
        <v>639</v>
      </c>
      <c r="AX128" s="21" t="s">
        <v>640</v>
      </c>
      <c r="AY128" s="21">
        <v>0</v>
      </c>
      <c r="AZ128" s="21">
        <v>4161.08</v>
      </c>
      <c r="BA128" s="21">
        <v>431</v>
      </c>
      <c r="BB128" s="21" t="s">
        <v>867</v>
      </c>
      <c r="BC128" s="21" t="s">
        <v>176</v>
      </c>
      <c r="BD128" s="21" t="s">
        <v>641</v>
      </c>
      <c r="BE128" s="21" t="s">
        <v>641</v>
      </c>
      <c r="BF128" s="21">
        <v>2.5</v>
      </c>
      <c r="BG128" s="21">
        <v>104.03</v>
      </c>
      <c r="BH128" s="21">
        <v>2.5</v>
      </c>
      <c r="BI128" s="21">
        <v>104.03</v>
      </c>
      <c r="BJ128" s="21">
        <v>0</v>
      </c>
      <c r="BK128" s="21">
        <v>0</v>
      </c>
      <c r="BL128" s="21">
        <v>0</v>
      </c>
      <c r="BM128" s="21">
        <v>692162642297</v>
      </c>
      <c r="BN128" s="23">
        <v>46247</v>
      </c>
      <c r="BO128" s="21">
        <v>26.2</v>
      </c>
    </row>
    <row r="129" spans="1:67" hidden="1" x14ac:dyDescent="0.25">
      <c r="A129" s="22"/>
      <c r="B129" s="21" t="s">
        <v>167</v>
      </c>
      <c r="C129" s="21" t="s">
        <v>888</v>
      </c>
      <c r="D129" s="21" t="s">
        <v>889</v>
      </c>
      <c r="E129" s="21" t="s">
        <v>319</v>
      </c>
      <c r="F129" s="21" t="s">
        <v>314</v>
      </c>
      <c r="G129" s="21" t="s">
        <v>890</v>
      </c>
      <c r="H129" s="21">
        <v>5000</v>
      </c>
      <c r="I129" s="21">
        <v>5000</v>
      </c>
      <c r="J129" s="21" t="s">
        <v>168</v>
      </c>
      <c r="K129" s="21">
        <v>5000</v>
      </c>
      <c r="L129" s="21">
        <v>0</v>
      </c>
      <c r="M129" s="21">
        <v>5000</v>
      </c>
      <c r="N129" s="21" t="s">
        <v>174</v>
      </c>
      <c r="O129" s="21" t="s">
        <v>633</v>
      </c>
      <c r="P129" s="21" t="s">
        <v>633</v>
      </c>
      <c r="Q129" s="21" t="s">
        <v>891</v>
      </c>
      <c r="R129" s="21" t="s">
        <v>888</v>
      </c>
      <c r="S129" s="21" t="s">
        <v>635</v>
      </c>
      <c r="T129" s="21" t="s">
        <v>636</v>
      </c>
      <c r="U129" s="21" t="s">
        <v>892</v>
      </c>
      <c r="V129" s="21">
        <v>105</v>
      </c>
      <c r="W129" s="21">
        <v>105</v>
      </c>
      <c r="X129" s="21" t="s">
        <v>891</v>
      </c>
      <c r="Y129" s="21" t="s">
        <v>888</v>
      </c>
      <c r="Z129" s="21"/>
      <c r="AA129" s="21">
        <v>0</v>
      </c>
      <c r="AB129" s="21"/>
      <c r="AC129" s="21">
        <v>0</v>
      </c>
      <c r="AD129" s="21">
        <v>0</v>
      </c>
      <c r="AE129" s="21">
        <v>0</v>
      </c>
      <c r="AF129" s="21">
        <v>0</v>
      </c>
      <c r="AG129" s="21">
        <v>0</v>
      </c>
      <c r="AH129" s="21">
        <v>0</v>
      </c>
      <c r="AI129" s="21">
        <v>0</v>
      </c>
      <c r="AJ129" s="21" t="s">
        <v>638</v>
      </c>
      <c r="AK129" s="21">
        <v>0</v>
      </c>
      <c r="AL129" s="21">
        <v>0</v>
      </c>
      <c r="AM129" s="21">
        <v>0</v>
      </c>
      <c r="AN129" s="21">
        <v>0</v>
      </c>
      <c r="AO129" s="21">
        <v>0</v>
      </c>
      <c r="AP129" s="21"/>
      <c r="AQ129" s="21">
        <v>0</v>
      </c>
      <c r="AR129" s="21">
        <v>0</v>
      </c>
      <c r="AS129" s="21">
        <v>619500</v>
      </c>
      <c r="AT129" s="21" t="s">
        <v>169</v>
      </c>
      <c r="AU129" s="21" t="s">
        <v>314</v>
      </c>
      <c r="AV129" s="21" t="s">
        <v>314</v>
      </c>
      <c r="AW129" s="21" t="s">
        <v>639</v>
      </c>
      <c r="AX129" s="21" t="s">
        <v>640</v>
      </c>
      <c r="AY129" s="21">
        <v>0</v>
      </c>
      <c r="AZ129" s="21">
        <v>525000</v>
      </c>
      <c r="BA129" s="21">
        <v>436</v>
      </c>
      <c r="BB129" s="21" t="s">
        <v>888</v>
      </c>
      <c r="BC129" s="21" t="s">
        <v>176</v>
      </c>
      <c r="BD129" s="21" t="s">
        <v>641</v>
      </c>
      <c r="BE129" s="21" t="s">
        <v>641</v>
      </c>
      <c r="BF129" s="21">
        <v>9</v>
      </c>
      <c r="BG129" s="21">
        <v>47250</v>
      </c>
      <c r="BH129" s="21">
        <v>9</v>
      </c>
      <c r="BI129" s="21">
        <v>47250</v>
      </c>
      <c r="BJ129" s="21">
        <v>0</v>
      </c>
      <c r="BK129" s="21">
        <v>0</v>
      </c>
      <c r="BL129" s="21">
        <v>619500</v>
      </c>
      <c r="BM129" s="21">
        <v>672163226164</v>
      </c>
      <c r="BN129" s="23">
        <v>46248</v>
      </c>
      <c r="BO129" s="21">
        <v>5000</v>
      </c>
    </row>
    <row r="130" spans="1:67" hidden="1" x14ac:dyDescent="0.25">
      <c r="A130" s="22"/>
      <c r="B130" s="21" t="s">
        <v>167</v>
      </c>
      <c r="C130" s="21" t="s">
        <v>888</v>
      </c>
      <c r="D130" s="21" t="s">
        <v>893</v>
      </c>
      <c r="E130" s="21" t="s">
        <v>182</v>
      </c>
      <c r="F130" s="21" t="s">
        <v>183</v>
      </c>
      <c r="G130" s="21" t="s">
        <v>894</v>
      </c>
      <c r="H130" s="21">
        <v>5921</v>
      </c>
      <c r="I130" s="21">
        <v>5921</v>
      </c>
      <c r="J130" s="21" t="s">
        <v>168</v>
      </c>
      <c r="K130" s="21">
        <v>5921</v>
      </c>
      <c r="L130" s="21">
        <v>0</v>
      </c>
      <c r="M130" s="21">
        <v>5921</v>
      </c>
      <c r="N130" s="21" t="s">
        <v>747</v>
      </c>
      <c r="O130" s="21" t="s">
        <v>663</v>
      </c>
      <c r="P130" s="21" t="s">
        <v>663</v>
      </c>
      <c r="Q130" s="21" t="s">
        <v>895</v>
      </c>
      <c r="R130" s="21" t="s">
        <v>867</v>
      </c>
      <c r="S130" s="21" t="s">
        <v>635</v>
      </c>
      <c r="T130" s="21" t="s">
        <v>636</v>
      </c>
      <c r="U130" s="21" t="s">
        <v>896</v>
      </c>
      <c r="V130" s="21">
        <v>156.49</v>
      </c>
      <c r="W130" s="21">
        <v>156.49</v>
      </c>
      <c r="X130" s="21" t="s">
        <v>895</v>
      </c>
      <c r="Y130" s="21" t="s">
        <v>867</v>
      </c>
      <c r="Z130" s="21"/>
      <c r="AA130" s="21">
        <v>0</v>
      </c>
      <c r="AB130" s="21"/>
      <c r="AC130" s="21" t="s">
        <v>659</v>
      </c>
      <c r="AD130" s="21">
        <v>2717</v>
      </c>
      <c r="AE130" s="21">
        <v>0</v>
      </c>
      <c r="AF130" s="21">
        <v>0</v>
      </c>
      <c r="AG130" s="21">
        <v>0</v>
      </c>
      <c r="AH130" s="21">
        <v>0</v>
      </c>
      <c r="AI130" s="21">
        <v>0</v>
      </c>
      <c r="AJ130" s="21" t="s">
        <v>638</v>
      </c>
      <c r="AK130" s="21">
        <v>0</v>
      </c>
      <c r="AL130" s="21">
        <v>0</v>
      </c>
      <c r="AM130" s="21">
        <v>0</v>
      </c>
      <c r="AN130" s="21">
        <v>0</v>
      </c>
      <c r="AO130" s="21">
        <v>0</v>
      </c>
      <c r="AP130" s="21"/>
      <c r="AQ130" s="21">
        <v>0</v>
      </c>
      <c r="AR130" s="21">
        <v>0</v>
      </c>
      <c r="AS130" s="21">
        <v>1093361.21</v>
      </c>
      <c r="AT130" s="21" t="s">
        <v>169</v>
      </c>
      <c r="AU130" s="21" t="s">
        <v>179</v>
      </c>
      <c r="AV130" s="21" t="s">
        <v>155</v>
      </c>
      <c r="AW130" s="21" t="s">
        <v>639</v>
      </c>
      <c r="AX130" s="21" t="s">
        <v>640</v>
      </c>
      <c r="AY130" s="21">
        <v>0</v>
      </c>
      <c r="AZ130" s="21">
        <v>926577.29</v>
      </c>
      <c r="BA130" s="21">
        <v>434</v>
      </c>
      <c r="BB130" s="21" t="s">
        <v>888</v>
      </c>
      <c r="BC130" s="21" t="s">
        <v>185</v>
      </c>
      <c r="BD130" s="21" t="s">
        <v>641</v>
      </c>
      <c r="BE130" s="21" t="s">
        <v>641</v>
      </c>
      <c r="BF130" s="21">
        <v>9</v>
      </c>
      <c r="BG130" s="21">
        <v>83391.960000000006</v>
      </c>
      <c r="BH130" s="21">
        <v>9</v>
      </c>
      <c r="BI130" s="21">
        <v>83391.960000000006</v>
      </c>
      <c r="BJ130" s="21">
        <v>0</v>
      </c>
      <c r="BK130" s="21">
        <v>0</v>
      </c>
      <c r="BL130" s="21">
        <v>1093361.21</v>
      </c>
      <c r="BM130" s="21">
        <v>632162705237</v>
      </c>
      <c r="BN130" s="23">
        <v>46247</v>
      </c>
      <c r="BO130" s="21">
        <v>5921</v>
      </c>
    </row>
    <row r="131" spans="1:67" hidden="1" x14ac:dyDescent="0.25">
      <c r="A131" s="22"/>
      <c r="B131" s="21" t="s">
        <v>167</v>
      </c>
      <c r="C131" s="21" t="s">
        <v>888</v>
      </c>
      <c r="D131" s="21" t="s">
        <v>897</v>
      </c>
      <c r="E131" s="21" t="s">
        <v>318</v>
      </c>
      <c r="F131" s="21" t="s">
        <v>312</v>
      </c>
      <c r="G131" s="21" t="s">
        <v>898</v>
      </c>
      <c r="H131" s="21">
        <v>1775</v>
      </c>
      <c r="I131" s="21">
        <v>1775</v>
      </c>
      <c r="J131" s="21" t="s">
        <v>168</v>
      </c>
      <c r="K131" s="21">
        <v>1775</v>
      </c>
      <c r="L131" s="21">
        <v>0</v>
      </c>
      <c r="M131" s="21">
        <v>1775</v>
      </c>
      <c r="N131" s="21" t="s">
        <v>899</v>
      </c>
      <c r="O131" s="21" t="s">
        <v>677</v>
      </c>
      <c r="P131" s="21" t="s">
        <v>677</v>
      </c>
      <c r="Q131" s="21" t="s">
        <v>900</v>
      </c>
      <c r="R131" s="21" t="s">
        <v>867</v>
      </c>
      <c r="S131" s="21" t="s">
        <v>635</v>
      </c>
      <c r="T131" s="21" t="s">
        <v>636</v>
      </c>
      <c r="U131" s="21" t="s">
        <v>901</v>
      </c>
      <c r="V131" s="21">
        <v>156.4</v>
      </c>
      <c r="W131" s="21">
        <v>156.4</v>
      </c>
      <c r="X131" s="21" t="s">
        <v>900</v>
      </c>
      <c r="Y131" s="21" t="s">
        <v>867</v>
      </c>
      <c r="Z131" s="21"/>
      <c r="AA131" s="21">
        <v>0</v>
      </c>
      <c r="AB131" s="21"/>
      <c r="AC131" s="21" t="s">
        <v>902</v>
      </c>
      <c r="AD131" s="21">
        <v>2969</v>
      </c>
      <c r="AE131" s="21">
        <v>0</v>
      </c>
      <c r="AF131" s="21">
        <v>0</v>
      </c>
      <c r="AG131" s="21">
        <v>0</v>
      </c>
      <c r="AH131" s="21">
        <v>0</v>
      </c>
      <c r="AI131" s="21">
        <v>0</v>
      </c>
      <c r="AJ131" s="21" t="s">
        <v>638</v>
      </c>
      <c r="AK131" s="21">
        <v>0</v>
      </c>
      <c r="AL131" s="21">
        <v>0</v>
      </c>
      <c r="AM131" s="21">
        <v>0</v>
      </c>
      <c r="AN131" s="21">
        <v>0</v>
      </c>
      <c r="AO131" s="21">
        <v>0</v>
      </c>
      <c r="AP131" s="21"/>
      <c r="AQ131" s="21">
        <v>0</v>
      </c>
      <c r="AR131" s="21">
        <v>0</v>
      </c>
      <c r="AS131" s="21">
        <v>291490.5</v>
      </c>
      <c r="AT131" s="21" t="s">
        <v>169</v>
      </c>
      <c r="AU131" s="21" t="s">
        <v>170</v>
      </c>
      <c r="AV131" s="21" t="s">
        <v>157</v>
      </c>
      <c r="AW131" s="21" t="s">
        <v>639</v>
      </c>
      <c r="AX131" s="21" t="s">
        <v>640</v>
      </c>
      <c r="AY131" s="21">
        <v>0</v>
      </c>
      <c r="AZ131" s="21">
        <v>277610</v>
      </c>
      <c r="BA131" s="21">
        <v>432</v>
      </c>
      <c r="BB131" s="21" t="s">
        <v>888</v>
      </c>
      <c r="BC131" s="21" t="s">
        <v>171</v>
      </c>
      <c r="BD131" s="21" t="s">
        <v>641</v>
      </c>
      <c r="BE131" s="21" t="s">
        <v>641</v>
      </c>
      <c r="BF131" s="21">
        <v>2.5</v>
      </c>
      <c r="BG131" s="21">
        <v>6940.25</v>
      </c>
      <c r="BH131" s="21">
        <v>2.5</v>
      </c>
      <c r="BI131" s="21">
        <v>6940.25</v>
      </c>
      <c r="BJ131" s="21">
        <v>0</v>
      </c>
      <c r="BK131" s="21">
        <v>0</v>
      </c>
      <c r="BL131" s="21">
        <v>291490.5</v>
      </c>
      <c r="BM131" s="21">
        <v>662162845938</v>
      </c>
      <c r="BN131" s="23">
        <v>46247</v>
      </c>
      <c r="BO131" s="21">
        <v>1775</v>
      </c>
    </row>
    <row r="132" spans="1:67" hidden="1" x14ac:dyDescent="0.25">
      <c r="A132" s="22"/>
      <c r="B132" s="21" t="s">
        <v>167</v>
      </c>
      <c r="C132" s="21" t="s">
        <v>888</v>
      </c>
      <c r="D132" s="21" t="s">
        <v>903</v>
      </c>
      <c r="E132" s="21" t="s">
        <v>186</v>
      </c>
      <c r="F132" s="21" t="s">
        <v>187</v>
      </c>
      <c r="G132" s="21" t="s">
        <v>904</v>
      </c>
      <c r="H132" s="21">
        <v>1569</v>
      </c>
      <c r="I132" s="21">
        <v>1569</v>
      </c>
      <c r="J132" s="21" t="s">
        <v>168</v>
      </c>
      <c r="K132" s="21">
        <v>1569</v>
      </c>
      <c r="L132" s="21">
        <v>0</v>
      </c>
      <c r="M132" s="21">
        <v>1569</v>
      </c>
      <c r="N132" s="21" t="s">
        <v>899</v>
      </c>
      <c r="O132" s="21" t="s">
        <v>677</v>
      </c>
      <c r="P132" s="21" t="s">
        <v>677</v>
      </c>
      <c r="Q132" s="21" t="s">
        <v>905</v>
      </c>
      <c r="R132" s="21" t="s">
        <v>867</v>
      </c>
      <c r="S132" s="21" t="s">
        <v>635</v>
      </c>
      <c r="T132" s="21" t="s">
        <v>636</v>
      </c>
      <c r="U132" s="21" t="s">
        <v>906</v>
      </c>
      <c r="V132" s="21">
        <v>256.13</v>
      </c>
      <c r="W132" s="21">
        <v>256.13000118391398</v>
      </c>
      <c r="X132" s="21" t="s">
        <v>905</v>
      </c>
      <c r="Y132" s="21" t="s">
        <v>867</v>
      </c>
      <c r="Z132" s="21"/>
      <c r="AA132" s="21">
        <v>0</v>
      </c>
      <c r="AB132" s="21"/>
      <c r="AC132" s="21" t="s">
        <v>902</v>
      </c>
      <c r="AD132" s="21">
        <v>2969</v>
      </c>
      <c r="AE132" s="21">
        <v>0</v>
      </c>
      <c r="AF132" s="21">
        <v>0</v>
      </c>
      <c r="AG132" s="21">
        <v>0</v>
      </c>
      <c r="AH132" s="21">
        <v>0</v>
      </c>
      <c r="AI132" s="21">
        <v>0</v>
      </c>
      <c r="AJ132" s="21" t="s">
        <v>638</v>
      </c>
      <c r="AK132" s="21">
        <v>0</v>
      </c>
      <c r="AL132" s="21">
        <v>0</v>
      </c>
      <c r="AM132" s="21">
        <v>0</v>
      </c>
      <c r="AN132" s="21">
        <v>0</v>
      </c>
      <c r="AO132" s="21">
        <v>0</v>
      </c>
      <c r="AP132" s="21"/>
      <c r="AQ132" s="21">
        <v>0</v>
      </c>
      <c r="AR132" s="21">
        <v>0</v>
      </c>
      <c r="AS132" s="21">
        <v>865367.05</v>
      </c>
      <c r="AT132" s="21" t="s">
        <v>188</v>
      </c>
      <c r="AU132" s="21" t="s">
        <v>152</v>
      </c>
      <c r="AV132" s="21" t="s">
        <v>152</v>
      </c>
      <c r="AW132" s="21" t="s">
        <v>639</v>
      </c>
      <c r="AX132" s="21" t="s">
        <v>640</v>
      </c>
      <c r="AY132" s="21">
        <v>0</v>
      </c>
      <c r="AZ132" s="21">
        <v>401867.97</v>
      </c>
      <c r="BA132" s="21">
        <v>433</v>
      </c>
      <c r="BB132" s="21" t="s">
        <v>888</v>
      </c>
      <c r="BC132" s="21" t="s">
        <v>171</v>
      </c>
      <c r="BD132" s="21" t="s">
        <v>641</v>
      </c>
      <c r="BE132" s="21" t="s">
        <v>641</v>
      </c>
      <c r="BF132" s="21">
        <v>9</v>
      </c>
      <c r="BG132" s="21">
        <v>36168.120000000003</v>
      </c>
      <c r="BH132" s="21">
        <v>9</v>
      </c>
      <c r="BI132" s="21">
        <v>36168.120000000003</v>
      </c>
      <c r="BJ132" s="21">
        <v>0</v>
      </c>
      <c r="BK132" s="21">
        <v>0</v>
      </c>
      <c r="BL132" s="21">
        <v>865367.05</v>
      </c>
      <c r="BM132" s="21">
        <v>622162847284</v>
      </c>
      <c r="BN132" s="23">
        <v>46247</v>
      </c>
      <c r="BO132" s="21">
        <v>1569</v>
      </c>
    </row>
    <row r="133" spans="1:67" hidden="1" x14ac:dyDescent="0.25">
      <c r="A133" s="22"/>
      <c r="B133" s="21" t="s">
        <v>167</v>
      </c>
      <c r="C133" s="21" t="s">
        <v>888</v>
      </c>
      <c r="D133" s="21" t="s">
        <v>903</v>
      </c>
      <c r="E133" s="21" t="s">
        <v>186</v>
      </c>
      <c r="F133" s="21" t="s">
        <v>187</v>
      </c>
      <c r="G133" s="21" t="s">
        <v>904</v>
      </c>
      <c r="H133" s="21">
        <v>1393.3</v>
      </c>
      <c r="I133" s="21">
        <v>1393.3</v>
      </c>
      <c r="J133" s="21" t="s">
        <v>168</v>
      </c>
      <c r="K133" s="21">
        <v>1393.3</v>
      </c>
      <c r="L133" s="21">
        <v>0</v>
      </c>
      <c r="M133" s="21">
        <v>1393.3</v>
      </c>
      <c r="N133" s="21" t="s">
        <v>899</v>
      </c>
      <c r="O133" s="21" t="s">
        <v>677</v>
      </c>
      <c r="P133" s="21" t="s">
        <v>677</v>
      </c>
      <c r="Q133" s="21" t="s">
        <v>905</v>
      </c>
      <c r="R133" s="21" t="s">
        <v>867</v>
      </c>
      <c r="S133" s="21" t="s">
        <v>635</v>
      </c>
      <c r="T133" s="21" t="s">
        <v>636</v>
      </c>
      <c r="U133" s="21" t="s">
        <v>906</v>
      </c>
      <c r="V133" s="21">
        <v>237.92</v>
      </c>
      <c r="W133" s="21">
        <v>237.920001099741</v>
      </c>
      <c r="X133" s="21" t="s">
        <v>905</v>
      </c>
      <c r="Y133" s="21" t="s">
        <v>867</v>
      </c>
      <c r="Z133" s="21"/>
      <c r="AA133" s="21">
        <v>0</v>
      </c>
      <c r="AB133" s="21"/>
      <c r="AC133" s="21" t="s">
        <v>902</v>
      </c>
      <c r="AD133" s="21">
        <v>2969</v>
      </c>
      <c r="AE133" s="21">
        <v>0</v>
      </c>
      <c r="AF133" s="21">
        <v>0</v>
      </c>
      <c r="AG133" s="21">
        <v>0</v>
      </c>
      <c r="AH133" s="21">
        <v>0</v>
      </c>
      <c r="AI133" s="21">
        <v>0</v>
      </c>
      <c r="AJ133" s="21" t="s">
        <v>638</v>
      </c>
      <c r="AK133" s="21">
        <v>0</v>
      </c>
      <c r="AL133" s="21">
        <v>0</v>
      </c>
      <c r="AM133" s="21">
        <v>0</v>
      </c>
      <c r="AN133" s="21">
        <v>0</v>
      </c>
      <c r="AO133" s="21">
        <v>0</v>
      </c>
      <c r="AP133" s="21"/>
      <c r="AQ133" s="21">
        <v>0</v>
      </c>
      <c r="AR133" s="21">
        <v>0</v>
      </c>
      <c r="AS133" s="21">
        <v>865367.05</v>
      </c>
      <c r="AT133" s="21" t="s">
        <v>188</v>
      </c>
      <c r="AU133" s="21" t="s">
        <v>152</v>
      </c>
      <c r="AV133" s="21" t="s">
        <v>152</v>
      </c>
      <c r="AW133" s="21" t="s">
        <v>639</v>
      </c>
      <c r="AX133" s="21" t="s">
        <v>640</v>
      </c>
      <c r="AY133" s="21">
        <v>0</v>
      </c>
      <c r="AZ133" s="21">
        <v>331493.94</v>
      </c>
      <c r="BA133" s="21">
        <v>433</v>
      </c>
      <c r="BB133" s="21" t="s">
        <v>888</v>
      </c>
      <c r="BC133" s="21" t="s">
        <v>171</v>
      </c>
      <c r="BD133" s="21" t="s">
        <v>641</v>
      </c>
      <c r="BE133" s="21" t="s">
        <v>641</v>
      </c>
      <c r="BF133" s="21">
        <v>9</v>
      </c>
      <c r="BG133" s="21">
        <v>29834.45</v>
      </c>
      <c r="BH133" s="21">
        <v>9</v>
      </c>
      <c r="BI133" s="21">
        <v>29834.45</v>
      </c>
      <c r="BJ133" s="21">
        <v>0</v>
      </c>
      <c r="BK133" s="21">
        <v>0</v>
      </c>
      <c r="BL133" s="21">
        <v>0</v>
      </c>
      <c r="BM133" s="21">
        <v>622162847284</v>
      </c>
      <c r="BN133" s="23">
        <v>46247</v>
      </c>
      <c r="BO133" s="21">
        <v>1393.3</v>
      </c>
    </row>
    <row r="134" spans="1:67" hidden="1" x14ac:dyDescent="0.25">
      <c r="A134" s="22"/>
      <c r="B134" s="21" t="s">
        <v>167</v>
      </c>
      <c r="C134" s="21" t="s">
        <v>888</v>
      </c>
      <c r="D134" s="21" t="s">
        <v>907</v>
      </c>
      <c r="E134" s="21" t="s">
        <v>186</v>
      </c>
      <c r="F134" s="21" t="s">
        <v>187</v>
      </c>
      <c r="G134" s="21" t="s">
        <v>908</v>
      </c>
      <c r="H134" s="21">
        <v>2029</v>
      </c>
      <c r="I134" s="21">
        <v>2029</v>
      </c>
      <c r="J134" s="21" t="s">
        <v>168</v>
      </c>
      <c r="K134" s="21">
        <v>2029</v>
      </c>
      <c r="L134" s="21">
        <v>0</v>
      </c>
      <c r="M134" s="21">
        <v>2029</v>
      </c>
      <c r="N134" s="21" t="s">
        <v>909</v>
      </c>
      <c r="O134" s="21" t="s">
        <v>656</v>
      </c>
      <c r="P134" s="21" t="s">
        <v>656</v>
      </c>
      <c r="Q134" s="21" t="s">
        <v>910</v>
      </c>
      <c r="R134" s="21" t="s">
        <v>867</v>
      </c>
      <c r="S134" s="21" t="s">
        <v>635</v>
      </c>
      <c r="T134" s="21" t="s">
        <v>636</v>
      </c>
      <c r="U134" s="21" t="s">
        <v>911</v>
      </c>
      <c r="V134" s="21">
        <v>228.13</v>
      </c>
      <c r="W134" s="21">
        <v>228.13</v>
      </c>
      <c r="X134" s="21" t="s">
        <v>910</v>
      </c>
      <c r="Y134" s="21" t="s">
        <v>867</v>
      </c>
      <c r="Z134" s="21"/>
      <c r="AA134" s="21">
        <v>0</v>
      </c>
      <c r="AB134" s="21"/>
      <c r="AC134" s="21" t="s">
        <v>659</v>
      </c>
      <c r="AD134" s="21">
        <v>2566</v>
      </c>
      <c r="AE134" s="21">
        <v>0</v>
      </c>
      <c r="AF134" s="21">
        <v>0</v>
      </c>
      <c r="AG134" s="21">
        <v>0</v>
      </c>
      <c r="AH134" s="21">
        <v>0</v>
      </c>
      <c r="AI134" s="21">
        <v>0</v>
      </c>
      <c r="AJ134" s="21" t="s">
        <v>638</v>
      </c>
      <c r="AK134" s="21">
        <v>0</v>
      </c>
      <c r="AL134" s="21">
        <v>0</v>
      </c>
      <c r="AM134" s="21">
        <v>0</v>
      </c>
      <c r="AN134" s="21">
        <v>0</v>
      </c>
      <c r="AO134" s="21">
        <v>0</v>
      </c>
      <c r="AP134" s="21"/>
      <c r="AQ134" s="21">
        <v>0</v>
      </c>
      <c r="AR134" s="21">
        <v>0</v>
      </c>
      <c r="AS134" s="21">
        <v>1826414.02</v>
      </c>
      <c r="AT134" s="21" t="s">
        <v>188</v>
      </c>
      <c r="AU134" s="21" t="s">
        <v>152</v>
      </c>
      <c r="AV134" s="21" t="s">
        <v>152</v>
      </c>
      <c r="AW134" s="21" t="s">
        <v>639</v>
      </c>
      <c r="AX134" s="21" t="s">
        <v>640</v>
      </c>
      <c r="AY134" s="21">
        <v>0</v>
      </c>
      <c r="AZ134" s="21">
        <v>462875.77</v>
      </c>
      <c r="BA134" s="21">
        <v>435</v>
      </c>
      <c r="BB134" s="21" t="s">
        <v>888</v>
      </c>
      <c r="BC134" s="21" t="s">
        <v>176</v>
      </c>
      <c r="BD134" s="21" t="s">
        <v>641</v>
      </c>
      <c r="BE134" s="21" t="s">
        <v>641</v>
      </c>
      <c r="BF134" s="21">
        <v>9</v>
      </c>
      <c r="BG134" s="21">
        <v>41658.82</v>
      </c>
      <c r="BH134" s="21">
        <v>9</v>
      </c>
      <c r="BI134" s="21">
        <v>41658.82</v>
      </c>
      <c r="BJ134" s="21">
        <v>0</v>
      </c>
      <c r="BK134" s="21">
        <v>0</v>
      </c>
      <c r="BL134" s="21">
        <v>1826414.02</v>
      </c>
      <c r="BM134" s="21">
        <v>602162877694</v>
      </c>
      <c r="BN134" s="23">
        <v>46247</v>
      </c>
      <c r="BO134" s="21">
        <v>2029</v>
      </c>
    </row>
    <row r="135" spans="1:67" hidden="1" x14ac:dyDescent="0.25">
      <c r="A135" s="22"/>
      <c r="B135" s="21" t="s">
        <v>167</v>
      </c>
      <c r="C135" s="21" t="s">
        <v>888</v>
      </c>
      <c r="D135" s="21" t="s">
        <v>907</v>
      </c>
      <c r="E135" s="21" t="s">
        <v>190</v>
      </c>
      <c r="F135" s="21" t="s">
        <v>191</v>
      </c>
      <c r="G135" s="21" t="s">
        <v>908</v>
      </c>
      <c r="H135" s="21">
        <v>1981</v>
      </c>
      <c r="I135" s="21">
        <v>1981</v>
      </c>
      <c r="J135" s="21" t="s">
        <v>168</v>
      </c>
      <c r="K135" s="21">
        <v>1981</v>
      </c>
      <c r="L135" s="21">
        <v>0</v>
      </c>
      <c r="M135" s="21">
        <v>1981</v>
      </c>
      <c r="N135" s="21" t="s">
        <v>909</v>
      </c>
      <c r="O135" s="21" t="s">
        <v>656</v>
      </c>
      <c r="P135" s="21" t="s">
        <v>656</v>
      </c>
      <c r="Q135" s="21" t="s">
        <v>910</v>
      </c>
      <c r="R135" s="21" t="s">
        <v>867</v>
      </c>
      <c r="S135" s="21" t="s">
        <v>635</v>
      </c>
      <c r="T135" s="21" t="s">
        <v>636</v>
      </c>
      <c r="U135" s="21" t="s">
        <v>911</v>
      </c>
      <c r="V135" s="21">
        <v>221.57</v>
      </c>
      <c r="W135" s="21">
        <v>221.57</v>
      </c>
      <c r="X135" s="21" t="s">
        <v>910</v>
      </c>
      <c r="Y135" s="21" t="s">
        <v>867</v>
      </c>
      <c r="Z135" s="21"/>
      <c r="AA135" s="21">
        <v>0</v>
      </c>
      <c r="AB135" s="21"/>
      <c r="AC135" s="21" t="s">
        <v>659</v>
      </c>
      <c r="AD135" s="21">
        <v>2566</v>
      </c>
      <c r="AE135" s="21">
        <v>0</v>
      </c>
      <c r="AF135" s="21">
        <v>0</v>
      </c>
      <c r="AG135" s="21">
        <v>0</v>
      </c>
      <c r="AH135" s="21">
        <v>0</v>
      </c>
      <c r="AI135" s="21">
        <v>0</v>
      </c>
      <c r="AJ135" s="21" t="s">
        <v>638</v>
      </c>
      <c r="AK135" s="21">
        <v>0</v>
      </c>
      <c r="AL135" s="21">
        <v>0</v>
      </c>
      <c r="AM135" s="21">
        <v>0</v>
      </c>
      <c r="AN135" s="21">
        <v>0</v>
      </c>
      <c r="AO135" s="21">
        <v>0</v>
      </c>
      <c r="AP135" s="21"/>
      <c r="AQ135" s="21">
        <v>0</v>
      </c>
      <c r="AR135" s="21">
        <v>0</v>
      </c>
      <c r="AS135" s="21">
        <v>1826414.02</v>
      </c>
      <c r="AT135" s="21" t="s">
        <v>188</v>
      </c>
      <c r="AU135" s="21" t="s">
        <v>152</v>
      </c>
      <c r="AV135" s="21" t="s">
        <v>152</v>
      </c>
      <c r="AW135" s="21" t="s">
        <v>639</v>
      </c>
      <c r="AX135" s="21" t="s">
        <v>640</v>
      </c>
      <c r="AY135" s="21">
        <v>0</v>
      </c>
      <c r="AZ135" s="21">
        <v>438930.17</v>
      </c>
      <c r="BA135" s="21">
        <v>435</v>
      </c>
      <c r="BB135" s="21" t="s">
        <v>888</v>
      </c>
      <c r="BC135" s="21" t="s">
        <v>176</v>
      </c>
      <c r="BD135" s="21" t="s">
        <v>641</v>
      </c>
      <c r="BE135" s="21" t="s">
        <v>641</v>
      </c>
      <c r="BF135" s="21">
        <v>9</v>
      </c>
      <c r="BG135" s="21">
        <v>39503.72</v>
      </c>
      <c r="BH135" s="21">
        <v>9</v>
      </c>
      <c r="BI135" s="21">
        <v>39503.72</v>
      </c>
      <c r="BJ135" s="21">
        <v>0</v>
      </c>
      <c r="BK135" s="21">
        <v>0</v>
      </c>
      <c r="BL135" s="21">
        <v>0</v>
      </c>
      <c r="BM135" s="21">
        <v>602162877694</v>
      </c>
      <c r="BN135" s="23">
        <v>46247</v>
      </c>
      <c r="BO135" s="21">
        <v>1981</v>
      </c>
    </row>
    <row r="136" spans="1:67" hidden="1" x14ac:dyDescent="0.25">
      <c r="A136" s="22"/>
      <c r="B136" s="21" t="s">
        <v>167</v>
      </c>
      <c r="C136" s="21" t="s">
        <v>888</v>
      </c>
      <c r="D136" s="21" t="s">
        <v>907</v>
      </c>
      <c r="E136" s="21" t="s">
        <v>190</v>
      </c>
      <c r="F136" s="21" t="s">
        <v>191</v>
      </c>
      <c r="G136" s="21" t="s">
        <v>908</v>
      </c>
      <c r="H136" s="21">
        <v>1987</v>
      </c>
      <c r="I136" s="21">
        <v>1987</v>
      </c>
      <c r="J136" s="21" t="s">
        <v>168</v>
      </c>
      <c r="K136" s="21">
        <v>1987</v>
      </c>
      <c r="L136" s="21">
        <v>0</v>
      </c>
      <c r="M136" s="21">
        <v>1987</v>
      </c>
      <c r="N136" s="21" t="s">
        <v>909</v>
      </c>
      <c r="O136" s="21" t="s">
        <v>656</v>
      </c>
      <c r="P136" s="21" t="s">
        <v>656</v>
      </c>
      <c r="Q136" s="21" t="s">
        <v>910</v>
      </c>
      <c r="R136" s="21" t="s">
        <v>867</v>
      </c>
      <c r="S136" s="21" t="s">
        <v>635</v>
      </c>
      <c r="T136" s="21" t="s">
        <v>636</v>
      </c>
      <c r="U136" s="21" t="s">
        <v>911</v>
      </c>
      <c r="V136" s="21">
        <v>224.42</v>
      </c>
      <c r="W136" s="21">
        <v>224.42</v>
      </c>
      <c r="X136" s="21" t="s">
        <v>910</v>
      </c>
      <c r="Y136" s="21" t="s">
        <v>867</v>
      </c>
      <c r="Z136" s="21"/>
      <c r="AA136" s="21">
        <v>0</v>
      </c>
      <c r="AB136" s="21"/>
      <c r="AC136" s="21" t="s">
        <v>659</v>
      </c>
      <c r="AD136" s="21">
        <v>2566</v>
      </c>
      <c r="AE136" s="21">
        <v>0</v>
      </c>
      <c r="AF136" s="21">
        <v>0</v>
      </c>
      <c r="AG136" s="21">
        <v>0</v>
      </c>
      <c r="AH136" s="21">
        <v>0</v>
      </c>
      <c r="AI136" s="21">
        <v>0</v>
      </c>
      <c r="AJ136" s="21" t="s">
        <v>638</v>
      </c>
      <c r="AK136" s="21">
        <v>0</v>
      </c>
      <c r="AL136" s="21">
        <v>0</v>
      </c>
      <c r="AM136" s="21">
        <v>0</v>
      </c>
      <c r="AN136" s="21">
        <v>0</v>
      </c>
      <c r="AO136" s="21">
        <v>0</v>
      </c>
      <c r="AP136" s="21"/>
      <c r="AQ136" s="21">
        <v>0</v>
      </c>
      <c r="AR136" s="21">
        <v>0</v>
      </c>
      <c r="AS136" s="21">
        <v>1826414.02</v>
      </c>
      <c r="AT136" s="21" t="s">
        <v>188</v>
      </c>
      <c r="AU136" s="21" t="s">
        <v>152</v>
      </c>
      <c r="AV136" s="21" t="s">
        <v>152</v>
      </c>
      <c r="AW136" s="21" t="s">
        <v>639</v>
      </c>
      <c r="AX136" s="21" t="s">
        <v>640</v>
      </c>
      <c r="AY136" s="21">
        <v>0</v>
      </c>
      <c r="AZ136" s="21">
        <v>445922.54</v>
      </c>
      <c r="BA136" s="21">
        <v>435</v>
      </c>
      <c r="BB136" s="21" t="s">
        <v>888</v>
      </c>
      <c r="BC136" s="21" t="s">
        <v>176</v>
      </c>
      <c r="BD136" s="21" t="s">
        <v>641</v>
      </c>
      <c r="BE136" s="21" t="s">
        <v>641</v>
      </c>
      <c r="BF136" s="21">
        <v>9</v>
      </c>
      <c r="BG136" s="21">
        <v>40133.03</v>
      </c>
      <c r="BH136" s="21">
        <v>9</v>
      </c>
      <c r="BI136" s="21">
        <v>40133.03</v>
      </c>
      <c r="BJ136" s="21">
        <v>0</v>
      </c>
      <c r="BK136" s="21">
        <v>0</v>
      </c>
      <c r="BL136" s="21">
        <v>0</v>
      </c>
      <c r="BM136" s="21">
        <v>602162877694</v>
      </c>
      <c r="BN136" s="23">
        <v>46247</v>
      </c>
      <c r="BO136" s="21">
        <v>1987</v>
      </c>
    </row>
    <row r="137" spans="1:67" hidden="1" x14ac:dyDescent="0.25">
      <c r="A137" s="22"/>
      <c r="B137" s="21" t="s">
        <v>167</v>
      </c>
      <c r="C137" s="21" t="s">
        <v>888</v>
      </c>
      <c r="D137" s="21" t="s">
        <v>907</v>
      </c>
      <c r="E137" s="21" t="s">
        <v>182</v>
      </c>
      <c r="F137" s="21" t="s">
        <v>183</v>
      </c>
      <c r="G137" s="21" t="s">
        <v>908</v>
      </c>
      <c r="H137" s="21">
        <v>1640</v>
      </c>
      <c r="I137" s="21">
        <v>1640</v>
      </c>
      <c r="J137" s="21" t="s">
        <v>168</v>
      </c>
      <c r="K137" s="21">
        <v>1640</v>
      </c>
      <c r="L137" s="21">
        <v>0</v>
      </c>
      <c r="M137" s="21">
        <v>1640</v>
      </c>
      <c r="N137" s="21" t="s">
        <v>909</v>
      </c>
      <c r="O137" s="21" t="s">
        <v>656</v>
      </c>
      <c r="P137" s="21" t="s">
        <v>656</v>
      </c>
      <c r="Q137" s="21" t="s">
        <v>910</v>
      </c>
      <c r="R137" s="21" t="s">
        <v>867</v>
      </c>
      <c r="S137" s="21" t="s">
        <v>635</v>
      </c>
      <c r="T137" s="21" t="s">
        <v>636</v>
      </c>
      <c r="U137" s="21" t="s">
        <v>911</v>
      </c>
      <c r="V137" s="21">
        <v>122</v>
      </c>
      <c r="W137" s="21">
        <v>122</v>
      </c>
      <c r="X137" s="21" t="s">
        <v>910</v>
      </c>
      <c r="Y137" s="21" t="s">
        <v>867</v>
      </c>
      <c r="Z137" s="21"/>
      <c r="AA137" s="21">
        <v>0</v>
      </c>
      <c r="AB137" s="21"/>
      <c r="AC137" s="21" t="s">
        <v>659</v>
      </c>
      <c r="AD137" s="21">
        <v>2566</v>
      </c>
      <c r="AE137" s="21">
        <v>0</v>
      </c>
      <c r="AF137" s="21">
        <v>0</v>
      </c>
      <c r="AG137" s="21">
        <v>0</v>
      </c>
      <c r="AH137" s="21">
        <v>0</v>
      </c>
      <c r="AI137" s="21">
        <v>0</v>
      </c>
      <c r="AJ137" s="21" t="s">
        <v>638</v>
      </c>
      <c r="AK137" s="21">
        <v>0</v>
      </c>
      <c r="AL137" s="21">
        <v>0</v>
      </c>
      <c r="AM137" s="21">
        <v>0</v>
      </c>
      <c r="AN137" s="21">
        <v>0</v>
      </c>
      <c r="AO137" s="21">
        <v>0</v>
      </c>
      <c r="AP137" s="21"/>
      <c r="AQ137" s="21">
        <v>0</v>
      </c>
      <c r="AR137" s="21">
        <v>0</v>
      </c>
      <c r="AS137" s="21">
        <v>1826414.02</v>
      </c>
      <c r="AT137" s="21" t="s">
        <v>169</v>
      </c>
      <c r="AU137" s="21" t="s">
        <v>179</v>
      </c>
      <c r="AV137" s="21" t="s">
        <v>155</v>
      </c>
      <c r="AW137" s="21" t="s">
        <v>639</v>
      </c>
      <c r="AX137" s="21" t="s">
        <v>640</v>
      </c>
      <c r="AY137" s="21">
        <v>0</v>
      </c>
      <c r="AZ137" s="21">
        <v>200080</v>
      </c>
      <c r="BA137" s="21">
        <v>435</v>
      </c>
      <c r="BB137" s="21" t="s">
        <v>888</v>
      </c>
      <c r="BC137" s="21" t="s">
        <v>176</v>
      </c>
      <c r="BD137" s="21" t="s">
        <v>641</v>
      </c>
      <c r="BE137" s="21" t="s">
        <v>641</v>
      </c>
      <c r="BF137" s="21">
        <v>9</v>
      </c>
      <c r="BG137" s="21">
        <v>18007.2</v>
      </c>
      <c r="BH137" s="21">
        <v>9</v>
      </c>
      <c r="BI137" s="21">
        <v>18007.2</v>
      </c>
      <c r="BJ137" s="21">
        <v>0</v>
      </c>
      <c r="BK137" s="21">
        <v>0</v>
      </c>
      <c r="BL137" s="21">
        <v>0</v>
      </c>
      <c r="BM137" s="21">
        <v>602162877694</v>
      </c>
      <c r="BN137" s="23">
        <v>46247</v>
      </c>
      <c r="BO137" s="21">
        <v>1640</v>
      </c>
    </row>
    <row r="138" spans="1:67" hidden="1" x14ac:dyDescent="0.25">
      <c r="A138" s="22"/>
      <c r="B138" s="21" t="s">
        <v>167</v>
      </c>
      <c r="C138" s="21" t="s">
        <v>888</v>
      </c>
      <c r="D138" s="21" t="s">
        <v>912</v>
      </c>
      <c r="E138" s="21" t="s">
        <v>182</v>
      </c>
      <c r="F138" s="21" t="s">
        <v>183</v>
      </c>
      <c r="G138" s="21" t="s">
        <v>913</v>
      </c>
      <c r="H138" s="21">
        <v>4404</v>
      </c>
      <c r="I138" s="21">
        <v>4404</v>
      </c>
      <c r="J138" s="21" t="s">
        <v>168</v>
      </c>
      <c r="K138" s="21">
        <v>4404</v>
      </c>
      <c r="L138" s="21">
        <v>0</v>
      </c>
      <c r="M138" s="21">
        <v>4404</v>
      </c>
      <c r="N138" s="21" t="s">
        <v>174</v>
      </c>
      <c r="O138" s="21" t="s">
        <v>633</v>
      </c>
      <c r="P138" s="21" t="s">
        <v>633</v>
      </c>
      <c r="Q138" s="21" t="s">
        <v>914</v>
      </c>
      <c r="R138" s="21" t="s">
        <v>888</v>
      </c>
      <c r="S138" s="21" t="s">
        <v>635</v>
      </c>
      <c r="T138" s="21" t="s">
        <v>636</v>
      </c>
      <c r="U138" s="21" t="s">
        <v>915</v>
      </c>
      <c r="V138" s="21">
        <v>147.32</v>
      </c>
      <c r="W138" s="21">
        <v>147.32000054824601</v>
      </c>
      <c r="X138" s="21" t="s">
        <v>914</v>
      </c>
      <c r="Y138" s="21" t="s">
        <v>888</v>
      </c>
      <c r="Z138" s="21"/>
      <c r="AA138" s="21">
        <v>0</v>
      </c>
      <c r="AB138" s="21"/>
      <c r="AC138" s="21">
        <v>0</v>
      </c>
      <c r="AD138" s="21">
        <v>0</v>
      </c>
      <c r="AE138" s="21">
        <v>0</v>
      </c>
      <c r="AF138" s="21">
        <v>0</v>
      </c>
      <c r="AG138" s="21">
        <v>0</v>
      </c>
      <c r="AH138" s="21">
        <v>0</v>
      </c>
      <c r="AI138" s="21">
        <v>0</v>
      </c>
      <c r="AJ138" s="21" t="s">
        <v>638</v>
      </c>
      <c r="AK138" s="21">
        <v>0</v>
      </c>
      <c r="AL138" s="21">
        <v>0</v>
      </c>
      <c r="AM138" s="21">
        <v>0</v>
      </c>
      <c r="AN138" s="21">
        <v>0</v>
      </c>
      <c r="AO138" s="21">
        <v>0</v>
      </c>
      <c r="AP138" s="21"/>
      <c r="AQ138" s="21">
        <v>0</v>
      </c>
      <c r="AR138" s="21">
        <v>0</v>
      </c>
      <c r="AS138" s="21">
        <v>859877.47</v>
      </c>
      <c r="AT138" s="21" t="s">
        <v>169</v>
      </c>
      <c r="AU138" s="21" t="s">
        <v>179</v>
      </c>
      <c r="AV138" s="21" t="s">
        <v>155</v>
      </c>
      <c r="AW138" s="21" t="s">
        <v>639</v>
      </c>
      <c r="AX138" s="21" t="s">
        <v>640</v>
      </c>
      <c r="AY138" s="21">
        <v>0</v>
      </c>
      <c r="AZ138" s="21">
        <v>648797.28</v>
      </c>
      <c r="BA138" s="21">
        <v>437</v>
      </c>
      <c r="BB138" s="21" t="s">
        <v>888</v>
      </c>
      <c r="BC138" s="21" t="s">
        <v>176</v>
      </c>
      <c r="BD138" s="21" t="s">
        <v>641</v>
      </c>
      <c r="BE138" s="21" t="s">
        <v>641</v>
      </c>
      <c r="BF138" s="21">
        <v>9</v>
      </c>
      <c r="BG138" s="21">
        <v>58391.76</v>
      </c>
      <c r="BH138" s="21">
        <v>9</v>
      </c>
      <c r="BI138" s="21">
        <v>58391.76</v>
      </c>
      <c r="BJ138" s="21">
        <v>0</v>
      </c>
      <c r="BK138" s="21">
        <v>0</v>
      </c>
      <c r="BL138" s="21">
        <v>859877.47</v>
      </c>
      <c r="BM138" s="21">
        <v>632163428924</v>
      </c>
      <c r="BN138" s="23">
        <v>46248</v>
      </c>
      <c r="BO138" s="21">
        <v>4404</v>
      </c>
    </row>
    <row r="139" spans="1:67" hidden="1" x14ac:dyDescent="0.25">
      <c r="A139" s="22"/>
      <c r="B139" s="21" t="s">
        <v>167</v>
      </c>
      <c r="C139" s="21" t="s">
        <v>888</v>
      </c>
      <c r="D139" s="21" t="s">
        <v>912</v>
      </c>
      <c r="E139" s="21" t="s">
        <v>180</v>
      </c>
      <c r="F139" s="21" t="s">
        <v>181</v>
      </c>
      <c r="G139" s="21" t="s">
        <v>913</v>
      </c>
      <c r="H139" s="21">
        <v>211</v>
      </c>
      <c r="I139" s="21">
        <v>211</v>
      </c>
      <c r="J139" s="21" t="s">
        <v>168</v>
      </c>
      <c r="K139" s="21">
        <v>211</v>
      </c>
      <c r="L139" s="21">
        <v>0</v>
      </c>
      <c r="M139" s="21">
        <v>211</v>
      </c>
      <c r="N139" s="21" t="s">
        <v>174</v>
      </c>
      <c r="O139" s="21" t="s">
        <v>633</v>
      </c>
      <c r="P139" s="21" t="s">
        <v>633</v>
      </c>
      <c r="Q139" s="21" t="s">
        <v>914</v>
      </c>
      <c r="R139" s="21" t="s">
        <v>888</v>
      </c>
      <c r="S139" s="21" t="s">
        <v>635</v>
      </c>
      <c r="T139" s="21" t="s">
        <v>636</v>
      </c>
      <c r="U139" s="21" t="s">
        <v>915</v>
      </c>
      <c r="V139" s="21">
        <v>144.32</v>
      </c>
      <c r="W139" s="21">
        <v>144.320000537081</v>
      </c>
      <c r="X139" s="21" t="s">
        <v>914</v>
      </c>
      <c r="Y139" s="21" t="s">
        <v>888</v>
      </c>
      <c r="Z139" s="21"/>
      <c r="AA139" s="21">
        <v>0</v>
      </c>
      <c r="AB139" s="21"/>
      <c r="AC139" s="21">
        <v>0</v>
      </c>
      <c r="AD139" s="21">
        <v>0</v>
      </c>
      <c r="AE139" s="21">
        <v>0</v>
      </c>
      <c r="AF139" s="21">
        <v>0</v>
      </c>
      <c r="AG139" s="21">
        <v>0</v>
      </c>
      <c r="AH139" s="21">
        <v>0</v>
      </c>
      <c r="AI139" s="21">
        <v>0</v>
      </c>
      <c r="AJ139" s="21" t="s">
        <v>638</v>
      </c>
      <c r="AK139" s="21">
        <v>0</v>
      </c>
      <c r="AL139" s="21">
        <v>0</v>
      </c>
      <c r="AM139" s="21">
        <v>0</v>
      </c>
      <c r="AN139" s="21">
        <v>0</v>
      </c>
      <c r="AO139" s="21">
        <v>0</v>
      </c>
      <c r="AP139" s="21"/>
      <c r="AQ139" s="21">
        <v>0</v>
      </c>
      <c r="AR139" s="21">
        <v>0</v>
      </c>
      <c r="AS139" s="21">
        <v>859877.47</v>
      </c>
      <c r="AT139" s="21" t="s">
        <v>169</v>
      </c>
      <c r="AU139" s="21" t="s">
        <v>181</v>
      </c>
      <c r="AV139" s="21" t="s">
        <v>154</v>
      </c>
      <c r="AW139" s="21" t="s">
        <v>639</v>
      </c>
      <c r="AX139" s="21" t="s">
        <v>640</v>
      </c>
      <c r="AY139" s="21">
        <v>0</v>
      </c>
      <c r="AZ139" s="21">
        <v>30451.52</v>
      </c>
      <c r="BA139" s="21">
        <v>437</v>
      </c>
      <c r="BB139" s="21" t="s">
        <v>888</v>
      </c>
      <c r="BC139" s="21" t="s">
        <v>176</v>
      </c>
      <c r="BD139" s="21" t="s">
        <v>641</v>
      </c>
      <c r="BE139" s="21" t="s">
        <v>641</v>
      </c>
      <c r="BF139" s="21">
        <v>9</v>
      </c>
      <c r="BG139" s="21">
        <v>2740.64</v>
      </c>
      <c r="BH139" s="21">
        <v>9</v>
      </c>
      <c r="BI139" s="21">
        <v>2740.64</v>
      </c>
      <c r="BJ139" s="21">
        <v>0</v>
      </c>
      <c r="BK139" s="21">
        <v>0</v>
      </c>
      <c r="BL139" s="21">
        <v>0</v>
      </c>
      <c r="BM139" s="21">
        <v>632163428924</v>
      </c>
      <c r="BN139" s="23">
        <v>46248</v>
      </c>
      <c r="BO139" s="21">
        <v>211</v>
      </c>
    </row>
    <row r="140" spans="1:67" hidden="1" x14ac:dyDescent="0.25">
      <c r="A140" s="22"/>
      <c r="B140" s="21" t="s">
        <v>167</v>
      </c>
      <c r="C140" s="21" t="s">
        <v>888</v>
      </c>
      <c r="D140" s="21" t="s">
        <v>912</v>
      </c>
      <c r="E140" s="21" t="s">
        <v>180</v>
      </c>
      <c r="F140" s="21" t="s">
        <v>181</v>
      </c>
      <c r="G140" s="21" t="s">
        <v>913</v>
      </c>
      <c r="H140" s="21">
        <v>300.33999999999997</v>
      </c>
      <c r="I140" s="21">
        <v>300.33999999999997</v>
      </c>
      <c r="J140" s="21" t="s">
        <v>168</v>
      </c>
      <c r="K140" s="21">
        <v>300.33999999999997</v>
      </c>
      <c r="L140" s="21">
        <v>0</v>
      </c>
      <c r="M140" s="21">
        <v>300.33999999999997</v>
      </c>
      <c r="N140" s="21" t="s">
        <v>174</v>
      </c>
      <c r="O140" s="21" t="s">
        <v>633</v>
      </c>
      <c r="P140" s="21" t="s">
        <v>633</v>
      </c>
      <c r="Q140" s="21" t="s">
        <v>914</v>
      </c>
      <c r="R140" s="21" t="s">
        <v>888</v>
      </c>
      <c r="S140" s="21" t="s">
        <v>635</v>
      </c>
      <c r="T140" s="21" t="s">
        <v>636</v>
      </c>
      <c r="U140" s="21" t="s">
        <v>915</v>
      </c>
      <c r="V140" s="21">
        <v>147.32</v>
      </c>
      <c r="W140" s="21">
        <v>147.32000054824601</v>
      </c>
      <c r="X140" s="21" t="s">
        <v>914</v>
      </c>
      <c r="Y140" s="21" t="s">
        <v>888</v>
      </c>
      <c r="Z140" s="21"/>
      <c r="AA140" s="21">
        <v>0</v>
      </c>
      <c r="AB140" s="21"/>
      <c r="AC140" s="21">
        <v>0</v>
      </c>
      <c r="AD140" s="21">
        <v>0</v>
      </c>
      <c r="AE140" s="21">
        <v>0</v>
      </c>
      <c r="AF140" s="21">
        <v>0</v>
      </c>
      <c r="AG140" s="21">
        <v>0</v>
      </c>
      <c r="AH140" s="21">
        <v>0</v>
      </c>
      <c r="AI140" s="21">
        <v>0</v>
      </c>
      <c r="AJ140" s="21" t="s">
        <v>638</v>
      </c>
      <c r="AK140" s="21">
        <v>0</v>
      </c>
      <c r="AL140" s="21">
        <v>0</v>
      </c>
      <c r="AM140" s="21">
        <v>0</v>
      </c>
      <c r="AN140" s="21">
        <v>0</v>
      </c>
      <c r="AO140" s="21">
        <v>0</v>
      </c>
      <c r="AP140" s="21"/>
      <c r="AQ140" s="21">
        <v>0</v>
      </c>
      <c r="AR140" s="21">
        <v>0</v>
      </c>
      <c r="AS140" s="21">
        <v>859877.47</v>
      </c>
      <c r="AT140" s="21" t="s">
        <v>169</v>
      </c>
      <c r="AU140" s="21" t="s">
        <v>181</v>
      </c>
      <c r="AV140" s="21" t="s">
        <v>154</v>
      </c>
      <c r="AW140" s="21" t="s">
        <v>639</v>
      </c>
      <c r="AX140" s="21" t="s">
        <v>640</v>
      </c>
      <c r="AY140" s="21">
        <v>0</v>
      </c>
      <c r="AZ140" s="21">
        <v>44246.09</v>
      </c>
      <c r="BA140" s="21">
        <v>437</v>
      </c>
      <c r="BB140" s="21" t="s">
        <v>888</v>
      </c>
      <c r="BC140" s="21" t="s">
        <v>176</v>
      </c>
      <c r="BD140" s="21" t="s">
        <v>641</v>
      </c>
      <c r="BE140" s="21" t="s">
        <v>641</v>
      </c>
      <c r="BF140" s="21">
        <v>9</v>
      </c>
      <c r="BG140" s="21">
        <v>3982.15</v>
      </c>
      <c r="BH140" s="21">
        <v>9</v>
      </c>
      <c r="BI140" s="21">
        <v>3982.15</v>
      </c>
      <c r="BJ140" s="21">
        <v>0</v>
      </c>
      <c r="BK140" s="21">
        <v>0</v>
      </c>
      <c r="BL140" s="21">
        <v>0</v>
      </c>
      <c r="BM140" s="21">
        <v>632163428924</v>
      </c>
      <c r="BN140" s="23">
        <v>46248</v>
      </c>
      <c r="BO140" s="21">
        <v>300.33999999999997</v>
      </c>
    </row>
    <row r="141" spans="1:67" hidden="1" x14ac:dyDescent="0.25">
      <c r="A141" s="22"/>
      <c r="B141" s="21" t="s">
        <v>167</v>
      </c>
      <c r="C141" s="21" t="s">
        <v>888</v>
      </c>
      <c r="D141" s="21" t="s">
        <v>912</v>
      </c>
      <c r="E141" s="21" t="s">
        <v>726</v>
      </c>
      <c r="F141" s="21" t="s">
        <v>727</v>
      </c>
      <c r="G141" s="21" t="s">
        <v>913</v>
      </c>
      <c r="H141" s="21">
        <v>36.9</v>
      </c>
      <c r="I141" s="21">
        <v>36.9</v>
      </c>
      <c r="J141" s="21" t="s">
        <v>168</v>
      </c>
      <c r="K141" s="21">
        <v>36.9</v>
      </c>
      <c r="L141" s="21">
        <v>0</v>
      </c>
      <c r="M141" s="21">
        <v>36.9</v>
      </c>
      <c r="N141" s="21" t="s">
        <v>174</v>
      </c>
      <c r="O141" s="21" t="s">
        <v>633</v>
      </c>
      <c r="P141" s="21" t="s">
        <v>633</v>
      </c>
      <c r="Q141" s="21" t="s">
        <v>914</v>
      </c>
      <c r="R141" s="21" t="s">
        <v>888</v>
      </c>
      <c r="S141" s="21" t="s">
        <v>635</v>
      </c>
      <c r="T141" s="21" t="s">
        <v>636</v>
      </c>
      <c r="U141" s="21" t="s">
        <v>915</v>
      </c>
      <c r="V141" s="21">
        <v>158.82</v>
      </c>
      <c r="W141" s="21">
        <v>158.820000591042</v>
      </c>
      <c r="X141" s="21" t="s">
        <v>914</v>
      </c>
      <c r="Y141" s="21" t="s">
        <v>888</v>
      </c>
      <c r="Z141" s="21"/>
      <c r="AA141" s="21">
        <v>0</v>
      </c>
      <c r="AB141" s="21"/>
      <c r="AC141" s="21">
        <v>0</v>
      </c>
      <c r="AD141" s="21">
        <v>0</v>
      </c>
      <c r="AE141" s="21">
        <v>0</v>
      </c>
      <c r="AF141" s="21">
        <v>0</v>
      </c>
      <c r="AG141" s="21">
        <v>0</v>
      </c>
      <c r="AH141" s="21">
        <v>0</v>
      </c>
      <c r="AI141" s="21">
        <v>0</v>
      </c>
      <c r="AJ141" s="21" t="s">
        <v>638</v>
      </c>
      <c r="AK141" s="21">
        <v>0</v>
      </c>
      <c r="AL141" s="21">
        <v>0</v>
      </c>
      <c r="AM141" s="21">
        <v>0</v>
      </c>
      <c r="AN141" s="21">
        <v>0</v>
      </c>
      <c r="AO141" s="21">
        <v>0</v>
      </c>
      <c r="AP141" s="21"/>
      <c r="AQ141" s="21">
        <v>0</v>
      </c>
      <c r="AR141" s="21">
        <v>0</v>
      </c>
      <c r="AS141" s="21">
        <v>859877.47</v>
      </c>
      <c r="AT141" s="21" t="s">
        <v>169</v>
      </c>
      <c r="AU141" s="21" t="s">
        <v>170</v>
      </c>
      <c r="AV141" s="21" t="s">
        <v>157</v>
      </c>
      <c r="AW141" s="21" t="s">
        <v>639</v>
      </c>
      <c r="AX141" s="21" t="s">
        <v>640</v>
      </c>
      <c r="AY141" s="21">
        <v>0</v>
      </c>
      <c r="AZ141" s="21">
        <v>5860.46</v>
      </c>
      <c r="BA141" s="21">
        <v>437</v>
      </c>
      <c r="BB141" s="21" t="s">
        <v>888</v>
      </c>
      <c r="BC141" s="21" t="s">
        <v>176</v>
      </c>
      <c r="BD141" s="21" t="s">
        <v>641</v>
      </c>
      <c r="BE141" s="21" t="s">
        <v>641</v>
      </c>
      <c r="BF141" s="21">
        <v>2.5</v>
      </c>
      <c r="BG141" s="21">
        <v>146.51</v>
      </c>
      <c r="BH141" s="21">
        <v>2.5</v>
      </c>
      <c r="BI141" s="21">
        <v>146.51</v>
      </c>
      <c r="BJ141" s="21">
        <v>0</v>
      </c>
      <c r="BK141" s="21">
        <v>0</v>
      </c>
      <c r="BL141" s="21">
        <v>0</v>
      </c>
      <c r="BM141" s="21">
        <v>632163428924</v>
      </c>
      <c r="BN141" s="23">
        <v>46248</v>
      </c>
      <c r="BO141" s="21">
        <v>36.9</v>
      </c>
    </row>
    <row r="142" spans="1:67" hidden="1" x14ac:dyDescent="0.25">
      <c r="A142" s="22"/>
      <c r="B142" s="21" t="s">
        <v>167</v>
      </c>
      <c r="C142" s="21" t="s">
        <v>916</v>
      </c>
      <c r="D142" s="21" t="s">
        <v>917</v>
      </c>
      <c r="E142" s="21" t="s">
        <v>918</v>
      </c>
      <c r="F142" s="21" t="s">
        <v>919</v>
      </c>
      <c r="G142" s="21" t="s">
        <v>920</v>
      </c>
      <c r="H142" s="21">
        <v>307.8</v>
      </c>
      <c r="I142" s="21">
        <v>307.8</v>
      </c>
      <c r="J142" s="21" t="s">
        <v>184</v>
      </c>
      <c r="K142" s="21">
        <v>307.8</v>
      </c>
      <c r="L142" s="21">
        <v>0</v>
      </c>
      <c r="M142" s="21">
        <v>307.8</v>
      </c>
      <c r="N142" s="21" t="s">
        <v>174</v>
      </c>
      <c r="O142" s="21" t="s">
        <v>633</v>
      </c>
      <c r="P142" s="21" t="s">
        <v>633</v>
      </c>
      <c r="Q142" s="21" t="s">
        <v>921</v>
      </c>
      <c r="R142" s="21" t="s">
        <v>888</v>
      </c>
      <c r="S142" s="21" t="s">
        <v>635</v>
      </c>
      <c r="T142" s="21" t="s">
        <v>636</v>
      </c>
      <c r="U142" s="21" t="s">
        <v>922</v>
      </c>
      <c r="V142" s="21">
        <v>157.32</v>
      </c>
      <c r="W142" s="21">
        <v>157.32000192913301</v>
      </c>
      <c r="X142" s="21" t="s">
        <v>921</v>
      </c>
      <c r="Y142" s="21" t="s">
        <v>888</v>
      </c>
      <c r="Z142" s="21" t="s">
        <v>189</v>
      </c>
      <c r="AA142" s="21" t="s">
        <v>189</v>
      </c>
      <c r="AB142" s="21"/>
      <c r="AC142" s="21" t="s">
        <v>189</v>
      </c>
      <c r="AD142" s="21" t="s">
        <v>189</v>
      </c>
      <c r="AE142" s="21">
        <v>0</v>
      </c>
      <c r="AF142" s="21">
        <v>0</v>
      </c>
      <c r="AG142" s="21">
        <v>0</v>
      </c>
      <c r="AH142" s="21">
        <v>0</v>
      </c>
      <c r="AI142" s="21">
        <v>0</v>
      </c>
      <c r="AJ142" s="21" t="s">
        <v>638</v>
      </c>
      <c r="AK142" s="21">
        <v>0</v>
      </c>
      <c r="AL142" s="21">
        <v>0</v>
      </c>
      <c r="AM142" s="21">
        <v>0</v>
      </c>
      <c r="AN142" s="21">
        <v>0</v>
      </c>
      <c r="AO142" s="21">
        <v>0</v>
      </c>
      <c r="AP142" s="21"/>
      <c r="AQ142" s="21">
        <v>0</v>
      </c>
      <c r="AR142" s="21">
        <v>0</v>
      </c>
      <c r="AS142" s="21">
        <v>978594.99</v>
      </c>
      <c r="AT142" s="21" t="s">
        <v>169</v>
      </c>
      <c r="AU142" s="21" t="s">
        <v>170</v>
      </c>
      <c r="AV142" s="21" t="s">
        <v>157</v>
      </c>
      <c r="AW142" s="21" t="s">
        <v>639</v>
      </c>
      <c r="AX142" s="21"/>
      <c r="AY142" s="21">
        <v>0</v>
      </c>
      <c r="AZ142" s="21">
        <v>48423.1</v>
      </c>
      <c r="BA142" s="21">
        <v>439</v>
      </c>
      <c r="BB142" s="21" t="s">
        <v>916</v>
      </c>
      <c r="BC142" s="21" t="s">
        <v>176</v>
      </c>
      <c r="BD142" s="21" t="s">
        <v>641</v>
      </c>
      <c r="BE142" s="21" t="s">
        <v>641</v>
      </c>
      <c r="BF142" s="21">
        <v>2.5</v>
      </c>
      <c r="BG142" s="21">
        <v>1210.58</v>
      </c>
      <c r="BH142" s="21">
        <v>2.5</v>
      </c>
      <c r="BI142" s="21">
        <v>1210.58</v>
      </c>
      <c r="BJ142" s="21">
        <v>0</v>
      </c>
      <c r="BK142" s="21">
        <v>0</v>
      </c>
      <c r="BL142" s="21">
        <v>978594.99</v>
      </c>
      <c r="BM142" s="21">
        <v>692163832376</v>
      </c>
      <c r="BN142" s="23">
        <v>46249</v>
      </c>
      <c r="BO142" s="21">
        <v>307.8</v>
      </c>
    </row>
    <row r="143" spans="1:67" hidden="1" x14ac:dyDescent="0.25">
      <c r="A143" s="22"/>
      <c r="B143" s="21" t="s">
        <v>167</v>
      </c>
      <c r="C143" s="21" t="s">
        <v>916</v>
      </c>
      <c r="D143" s="21" t="s">
        <v>917</v>
      </c>
      <c r="E143" s="21" t="s">
        <v>706</v>
      </c>
      <c r="F143" s="21" t="s">
        <v>707</v>
      </c>
      <c r="G143" s="21" t="s">
        <v>920</v>
      </c>
      <c r="H143" s="21">
        <v>411.9</v>
      </c>
      <c r="I143" s="21">
        <v>411.9</v>
      </c>
      <c r="J143" s="21" t="s">
        <v>184</v>
      </c>
      <c r="K143" s="21">
        <v>411.9</v>
      </c>
      <c r="L143" s="21">
        <v>0</v>
      </c>
      <c r="M143" s="21">
        <v>411.9</v>
      </c>
      <c r="N143" s="21" t="s">
        <v>174</v>
      </c>
      <c r="O143" s="21" t="s">
        <v>633</v>
      </c>
      <c r="P143" s="21" t="s">
        <v>633</v>
      </c>
      <c r="Q143" s="21" t="s">
        <v>921</v>
      </c>
      <c r="R143" s="21" t="s">
        <v>888</v>
      </c>
      <c r="S143" s="21" t="s">
        <v>635</v>
      </c>
      <c r="T143" s="21" t="s">
        <v>636</v>
      </c>
      <c r="U143" s="21" t="s">
        <v>922</v>
      </c>
      <c r="V143" s="21">
        <v>154.32</v>
      </c>
      <c r="W143" s="21">
        <v>154.320001892346</v>
      </c>
      <c r="X143" s="21" t="s">
        <v>921</v>
      </c>
      <c r="Y143" s="21" t="s">
        <v>888</v>
      </c>
      <c r="Z143" s="21" t="s">
        <v>189</v>
      </c>
      <c r="AA143" s="21" t="s">
        <v>189</v>
      </c>
      <c r="AB143" s="21"/>
      <c r="AC143" s="21" t="s">
        <v>189</v>
      </c>
      <c r="AD143" s="21" t="s">
        <v>189</v>
      </c>
      <c r="AE143" s="21">
        <v>0</v>
      </c>
      <c r="AF143" s="21">
        <v>0</v>
      </c>
      <c r="AG143" s="21">
        <v>0</v>
      </c>
      <c r="AH143" s="21">
        <v>0</v>
      </c>
      <c r="AI143" s="21">
        <v>0</v>
      </c>
      <c r="AJ143" s="21" t="s">
        <v>638</v>
      </c>
      <c r="AK143" s="21">
        <v>0</v>
      </c>
      <c r="AL143" s="21">
        <v>0</v>
      </c>
      <c r="AM143" s="21">
        <v>0</v>
      </c>
      <c r="AN143" s="21">
        <v>0</v>
      </c>
      <c r="AO143" s="21">
        <v>0</v>
      </c>
      <c r="AP143" s="21"/>
      <c r="AQ143" s="21">
        <v>0</v>
      </c>
      <c r="AR143" s="21">
        <v>0</v>
      </c>
      <c r="AS143" s="21">
        <v>978594.99</v>
      </c>
      <c r="AT143" s="21" t="s">
        <v>169</v>
      </c>
      <c r="AU143" s="21" t="s">
        <v>170</v>
      </c>
      <c r="AV143" s="21" t="s">
        <v>157</v>
      </c>
      <c r="AW143" s="21" t="s">
        <v>639</v>
      </c>
      <c r="AX143" s="21"/>
      <c r="AY143" s="21">
        <v>0</v>
      </c>
      <c r="AZ143" s="21">
        <v>63564.41</v>
      </c>
      <c r="BA143" s="21">
        <v>439</v>
      </c>
      <c r="BB143" s="21" t="s">
        <v>916</v>
      </c>
      <c r="BC143" s="21" t="s">
        <v>176</v>
      </c>
      <c r="BD143" s="21" t="s">
        <v>641</v>
      </c>
      <c r="BE143" s="21" t="s">
        <v>641</v>
      </c>
      <c r="BF143" s="21">
        <v>2.5</v>
      </c>
      <c r="BG143" s="21">
        <v>1589.11</v>
      </c>
      <c r="BH143" s="21">
        <v>2.5</v>
      </c>
      <c r="BI143" s="21">
        <v>1589.11</v>
      </c>
      <c r="BJ143" s="21">
        <v>0</v>
      </c>
      <c r="BK143" s="21">
        <v>0</v>
      </c>
      <c r="BL143" s="21">
        <v>0</v>
      </c>
      <c r="BM143" s="21">
        <v>692163832376</v>
      </c>
      <c r="BN143" s="23">
        <v>46249</v>
      </c>
      <c r="BO143" s="21">
        <v>411.9</v>
      </c>
    </row>
    <row r="144" spans="1:67" hidden="1" x14ac:dyDescent="0.25">
      <c r="A144" s="22"/>
      <c r="B144" s="21" t="s">
        <v>167</v>
      </c>
      <c r="C144" s="21" t="s">
        <v>916</v>
      </c>
      <c r="D144" s="21" t="s">
        <v>917</v>
      </c>
      <c r="E144" s="21" t="s">
        <v>704</v>
      </c>
      <c r="F144" s="21" t="s">
        <v>705</v>
      </c>
      <c r="G144" s="21" t="s">
        <v>920</v>
      </c>
      <c r="H144" s="21">
        <v>479.9</v>
      </c>
      <c r="I144" s="21">
        <v>479.9</v>
      </c>
      <c r="J144" s="21" t="s">
        <v>184</v>
      </c>
      <c r="K144" s="21">
        <v>479.9</v>
      </c>
      <c r="L144" s="21">
        <v>0</v>
      </c>
      <c r="M144" s="21">
        <v>479.9</v>
      </c>
      <c r="N144" s="21" t="s">
        <v>174</v>
      </c>
      <c r="O144" s="21" t="s">
        <v>633</v>
      </c>
      <c r="P144" s="21" t="s">
        <v>633</v>
      </c>
      <c r="Q144" s="21" t="s">
        <v>921</v>
      </c>
      <c r="R144" s="21" t="s">
        <v>888</v>
      </c>
      <c r="S144" s="21" t="s">
        <v>635</v>
      </c>
      <c r="T144" s="21" t="s">
        <v>636</v>
      </c>
      <c r="U144" s="21" t="s">
        <v>922</v>
      </c>
      <c r="V144" s="21">
        <v>154.32</v>
      </c>
      <c r="W144" s="21">
        <v>154.320001892346</v>
      </c>
      <c r="X144" s="21" t="s">
        <v>921</v>
      </c>
      <c r="Y144" s="21" t="s">
        <v>888</v>
      </c>
      <c r="Z144" s="21" t="s">
        <v>189</v>
      </c>
      <c r="AA144" s="21" t="s">
        <v>189</v>
      </c>
      <c r="AB144" s="21"/>
      <c r="AC144" s="21" t="s">
        <v>189</v>
      </c>
      <c r="AD144" s="21" t="s">
        <v>189</v>
      </c>
      <c r="AE144" s="21">
        <v>0</v>
      </c>
      <c r="AF144" s="21">
        <v>0</v>
      </c>
      <c r="AG144" s="21">
        <v>0</v>
      </c>
      <c r="AH144" s="21">
        <v>0</v>
      </c>
      <c r="AI144" s="21">
        <v>0</v>
      </c>
      <c r="AJ144" s="21" t="s">
        <v>638</v>
      </c>
      <c r="AK144" s="21">
        <v>0</v>
      </c>
      <c r="AL144" s="21">
        <v>0</v>
      </c>
      <c r="AM144" s="21">
        <v>0</v>
      </c>
      <c r="AN144" s="21">
        <v>0</v>
      </c>
      <c r="AO144" s="21">
        <v>0</v>
      </c>
      <c r="AP144" s="21"/>
      <c r="AQ144" s="21">
        <v>0</v>
      </c>
      <c r="AR144" s="21">
        <v>0</v>
      </c>
      <c r="AS144" s="21">
        <v>978594.99</v>
      </c>
      <c r="AT144" s="21" t="s">
        <v>169</v>
      </c>
      <c r="AU144" s="21" t="s">
        <v>170</v>
      </c>
      <c r="AV144" s="21" t="s">
        <v>157</v>
      </c>
      <c r="AW144" s="21" t="s">
        <v>639</v>
      </c>
      <c r="AX144" s="21"/>
      <c r="AY144" s="21">
        <v>0</v>
      </c>
      <c r="AZ144" s="21">
        <v>74058.17</v>
      </c>
      <c r="BA144" s="21">
        <v>439</v>
      </c>
      <c r="BB144" s="21" t="s">
        <v>916</v>
      </c>
      <c r="BC144" s="21" t="s">
        <v>176</v>
      </c>
      <c r="BD144" s="21" t="s">
        <v>641</v>
      </c>
      <c r="BE144" s="21" t="s">
        <v>641</v>
      </c>
      <c r="BF144" s="21">
        <v>2.5</v>
      </c>
      <c r="BG144" s="21">
        <v>1851.45</v>
      </c>
      <c r="BH144" s="21">
        <v>2.5</v>
      </c>
      <c r="BI144" s="21">
        <v>1851.45</v>
      </c>
      <c r="BJ144" s="21">
        <v>0</v>
      </c>
      <c r="BK144" s="21">
        <v>0</v>
      </c>
      <c r="BL144" s="21">
        <v>0</v>
      </c>
      <c r="BM144" s="21">
        <v>692163832376</v>
      </c>
      <c r="BN144" s="23">
        <v>46249</v>
      </c>
      <c r="BO144" s="21">
        <v>479.9</v>
      </c>
    </row>
    <row r="145" spans="1:67" hidden="1" x14ac:dyDescent="0.25">
      <c r="A145" s="22"/>
      <c r="B145" s="21" t="s">
        <v>167</v>
      </c>
      <c r="C145" s="21" t="s">
        <v>916</v>
      </c>
      <c r="D145" s="21" t="s">
        <v>917</v>
      </c>
      <c r="E145" s="21" t="s">
        <v>180</v>
      </c>
      <c r="F145" s="21" t="s">
        <v>181</v>
      </c>
      <c r="G145" s="21" t="s">
        <v>920</v>
      </c>
      <c r="H145" s="21">
        <v>253.9</v>
      </c>
      <c r="I145" s="21">
        <v>253.9</v>
      </c>
      <c r="J145" s="21" t="s">
        <v>168</v>
      </c>
      <c r="K145" s="21">
        <v>253.9</v>
      </c>
      <c r="L145" s="21">
        <v>0</v>
      </c>
      <c r="M145" s="21">
        <v>253.9</v>
      </c>
      <c r="N145" s="21" t="s">
        <v>174</v>
      </c>
      <c r="O145" s="21" t="s">
        <v>633</v>
      </c>
      <c r="P145" s="21" t="s">
        <v>633</v>
      </c>
      <c r="Q145" s="21" t="s">
        <v>921</v>
      </c>
      <c r="R145" s="21" t="s">
        <v>888</v>
      </c>
      <c r="S145" s="21" t="s">
        <v>635</v>
      </c>
      <c r="T145" s="21" t="s">
        <v>636</v>
      </c>
      <c r="U145" s="21" t="s">
        <v>922</v>
      </c>
      <c r="V145" s="21">
        <v>147.32</v>
      </c>
      <c r="W145" s="21">
        <v>147.320001806508</v>
      </c>
      <c r="X145" s="21" t="s">
        <v>921</v>
      </c>
      <c r="Y145" s="21" t="s">
        <v>888</v>
      </c>
      <c r="Z145" s="21" t="s">
        <v>189</v>
      </c>
      <c r="AA145" s="21" t="s">
        <v>189</v>
      </c>
      <c r="AB145" s="21"/>
      <c r="AC145" s="21" t="s">
        <v>189</v>
      </c>
      <c r="AD145" s="21" t="s">
        <v>189</v>
      </c>
      <c r="AE145" s="21">
        <v>0</v>
      </c>
      <c r="AF145" s="21">
        <v>0</v>
      </c>
      <c r="AG145" s="21">
        <v>0</v>
      </c>
      <c r="AH145" s="21">
        <v>0</v>
      </c>
      <c r="AI145" s="21">
        <v>0</v>
      </c>
      <c r="AJ145" s="21" t="s">
        <v>638</v>
      </c>
      <c r="AK145" s="21">
        <v>0</v>
      </c>
      <c r="AL145" s="21">
        <v>0</v>
      </c>
      <c r="AM145" s="21">
        <v>0</v>
      </c>
      <c r="AN145" s="21">
        <v>0</v>
      </c>
      <c r="AO145" s="21">
        <v>0</v>
      </c>
      <c r="AP145" s="21"/>
      <c r="AQ145" s="21">
        <v>0</v>
      </c>
      <c r="AR145" s="21">
        <v>0</v>
      </c>
      <c r="AS145" s="21">
        <v>978594.99</v>
      </c>
      <c r="AT145" s="21" t="s">
        <v>169</v>
      </c>
      <c r="AU145" s="21" t="s">
        <v>181</v>
      </c>
      <c r="AV145" s="21" t="s">
        <v>154</v>
      </c>
      <c r="AW145" s="21" t="s">
        <v>639</v>
      </c>
      <c r="AX145" s="21" t="s">
        <v>640</v>
      </c>
      <c r="AY145" s="21">
        <v>0</v>
      </c>
      <c r="AZ145" s="21">
        <v>37404.550000000003</v>
      </c>
      <c r="BA145" s="21">
        <v>439</v>
      </c>
      <c r="BB145" s="21" t="s">
        <v>916</v>
      </c>
      <c r="BC145" s="21" t="s">
        <v>176</v>
      </c>
      <c r="BD145" s="21" t="s">
        <v>641</v>
      </c>
      <c r="BE145" s="21" t="s">
        <v>641</v>
      </c>
      <c r="BF145" s="21">
        <v>9</v>
      </c>
      <c r="BG145" s="21">
        <v>3366.41</v>
      </c>
      <c r="BH145" s="21">
        <v>9</v>
      </c>
      <c r="BI145" s="21">
        <v>3366.41</v>
      </c>
      <c r="BJ145" s="21">
        <v>0</v>
      </c>
      <c r="BK145" s="21">
        <v>0</v>
      </c>
      <c r="BL145" s="21">
        <v>0</v>
      </c>
      <c r="BM145" s="21">
        <v>692163832376</v>
      </c>
      <c r="BN145" s="23">
        <v>46249</v>
      </c>
      <c r="BO145" s="21">
        <v>253.9</v>
      </c>
    </row>
    <row r="146" spans="1:67" hidden="1" x14ac:dyDescent="0.25">
      <c r="A146" s="22"/>
      <c r="B146" s="21" t="s">
        <v>167</v>
      </c>
      <c r="C146" s="21" t="s">
        <v>916</v>
      </c>
      <c r="D146" s="21" t="s">
        <v>917</v>
      </c>
      <c r="E146" s="21" t="s">
        <v>180</v>
      </c>
      <c r="F146" s="21" t="s">
        <v>181</v>
      </c>
      <c r="G146" s="21" t="s">
        <v>920</v>
      </c>
      <c r="H146" s="21">
        <v>95.9</v>
      </c>
      <c r="I146" s="21">
        <v>95.9</v>
      </c>
      <c r="J146" s="21" t="s">
        <v>168</v>
      </c>
      <c r="K146" s="21">
        <v>95.9</v>
      </c>
      <c r="L146" s="21">
        <v>0</v>
      </c>
      <c r="M146" s="21">
        <v>95.9</v>
      </c>
      <c r="N146" s="21" t="s">
        <v>174</v>
      </c>
      <c r="O146" s="21" t="s">
        <v>633</v>
      </c>
      <c r="P146" s="21" t="s">
        <v>633</v>
      </c>
      <c r="Q146" s="21" t="s">
        <v>921</v>
      </c>
      <c r="R146" s="21" t="s">
        <v>888</v>
      </c>
      <c r="S146" s="21" t="s">
        <v>635</v>
      </c>
      <c r="T146" s="21" t="s">
        <v>636</v>
      </c>
      <c r="U146" s="21" t="s">
        <v>922</v>
      </c>
      <c r="V146" s="21">
        <v>144.32</v>
      </c>
      <c r="W146" s="21">
        <v>144.32000176972099</v>
      </c>
      <c r="X146" s="21" t="s">
        <v>921</v>
      </c>
      <c r="Y146" s="21" t="s">
        <v>888</v>
      </c>
      <c r="Z146" s="21" t="s">
        <v>189</v>
      </c>
      <c r="AA146" s="21" t="s">
        <v>189</v>
      </c>
      <c r="AB146" s="21"/>
      <c r="AC146" s="21" t="s">
        <v>189</v>
      </c>
      <c r="AD146" s="21" t="s">
        <v>189</v>
      </c>
      <c r="AE146" s="21">
        <v>0</v>
      </c>
      <c r="AF146" s="21">
        <v>0</v>
      </c>
      <c r="AG146" s="21">
        <v>0</v>
      </c>
      <c r="AH146" s="21">
        <v>0</v>
      </c>
      <c r="AI146" s="21">
        <v>0</v>
      </c>
      <c r="AJ146" s="21" t="s">
        <v>638</v>
      </c>
      <c r="AK146" s="21">
        <v>0</v>
      </c>
      <c r="AL146" s="21">
        <v>0</v>
      </c>
      <c r="AM146" s="21">
        <v>0</v>
      </c>
      <c r="AN146" s="21">
        <v>0</v>
      </c>
      <c r="AO146" s="21">
        <v>0</v>
      </c>
      <c r="AP146" s="21"/>
      <c r="AQ146" s="21">
        <v>0</v>
      </c>
      <c r="AR146" s="21">
        <v>0</v>
      </c>
      <c r="AS146" s="21">
        <v>978594.99</v>
      </c>
      <c r="AT146" s="21" t="s">
        <v>169</v>
      </c>
      <c r="AU146" s="21" t="s">
        <v>181</v>
      </c>
      <c r="AV146" s="21" t="s">
        <v>154</v>
      </c>
      <c r="AW146" s="21" t="s">
        <v>639</v>
      </c>
      <c r="AX146" s="21" t="s">
        <v>640</v>
      </c>
      <c r="AY146" s="21">
        <v>0</v>
      </c>
      <c r="AZ146" s="21">
        <v>13840.29</v>
      </c>
      <c r="BA146" s="21">
        <v>439</v>
      </c>
      <c r="BB146" s="21" t="s">
        <v>916</v>
      </c>
      <c r="BC146" s="21" t="s">
        <v>176</v>
      </c>
      <c r="BD146" s="21" t="s">
        <v>641</v>
      </c>
      <c r="BE146" s="21" t="s">
        <v>641</v>
      </c>
      <c r="BF146" s="21">
        <v>9</v>
      </c>
      <c r="BG146" s="21">
        <v>1245.6300000000001</v>
      </c>
      <c r="BH146" s="21">
        <v>9</v>
      </c>
      <c r="BI146" s="21">
        <v>1245.6300000000001</v>
      </c>
      <c r="BJ146" s="21">
        <v>0</v>
      </c>
      <c r="BK146" s="21">
        <v>0</v>
      </c>
      <c r="BL146" s="21">
        <v>0</v>
      </c>
      <c r="BM146" s="21">
        <v>692163832376</v>
      </c>
      <c r="BN146" s="23">
        <v>46249</v>
      </c>
      <c r="BO146" s="21">
        <v>95.9</v>
      </c>
    </row>
    <row r="147" spans="1:67" hidden="1" x14ac:dyDescent="0.25">
      <c r="A147" s="22"/>
      <c r="B147" s="21" t="s">
        <v>167</v>
      </c>
      <c r="C147" s="21" t="s">
        <v>916</v>
      </c>
      <c r="D147" s="21" t="s">
        <v>917</v>
      </c>
      <c r="E147" s="21" t="s">
        <v>180</v>
      </c>
      <c r="F147" s="21" t="s">
        <v>181</v>
      </c>
      <c r="G147" s="21" t="s">
        <v>920</v>
      </c>
      <c r="H147" s="21">
        <v>71.599999999999994</v>
      </c>
      <c r="I147" s="21">
        <v>71.599999999999994</v>
      </c>
      <c r="J147" s="21" t="s">
        <v>168</v>
      </c>
      <c r="K147" s="21">
        <v>71.599999999999994</v>
      </c>
      <c r="L147" s="21">
        <v>0</v>
      </c>
      <c r="M147" s="21">
        <v>71.599999999999994</v>
      </c>
      <c r="N147" s="21" t="s">
        <v>174</v>
      </c>
      <c r="O147" s="21" t="s">
        <v>633</v>
      </c>
      <c r="P147" s="21" t="s">
        <v>633</v>
      </c>
      <c r="Q147" s="21" t="s">
        <v>921</v>
      </c>
      <c r="R147" s="21" t="s">
        <v>888</v>
      </c>
      <c r="S147" s="21" t="s">
        <v>635</v>
      </c>
      <c r="T147" s="21" t="s">
        <v>636</v>
      </c>
      <c r="U147" s="21" t="s">
        <v>922</v>
      </c>
      <c r="V147" s="21">
        <v>165.32</v>
      </c>
      <c r="W147" s="21">
        <v>165.32000202723299</v>
      </c>
      <c r="X147" s="21" t="s">
        <v>921</v>
      </c>
      <c r="Y147" s="21" t="s">
        <v>888</v>
      </c>
      <c r="Z147" s="21" t="s">
        <v>189</v>
      </c>
      <c r="AA147" s="21" t="s">
        <v>189</v>
      </c>
      <c r="AB147" s="21"/>
      <c r="AC147" s="21" t="s">
        <v>189</v>
      </c>
      <c r="AD147" s="21" t="s">
        <v>189</v>
      </c>
      <c r="AE147" s="21">
        <v>0</v>
      </c>
      <c r="AF147" s="21">
        <v>0</v>
      </c>
      <c r="AG147" s="21">
        <v>0</v>
      </c>
      <c r="AH147" s="21">
        <v>0</v>
      </c>
      <c r="AI147" s="21">
        <v>0</v>
      </c>
      <c r="AJ147" s="21" t="s">
        <v>638</v>
      </c>
      <c r="AK147" s="21">
        <v>0</v>
      </c>
      <c r="AL147" s="21">
        <v>0</v>
      </c>
      <c r="AM147" s="21">
        <v>0</v>
      </c>
      <c r="AN147" s="21">
        <v>0</v>
      </c>
      <c r="AO147" s="21">
        <v>0</v>
      </c>
      <c r="AP147" s="21"/>
      <c r="AQ147" s="21">
        <v>0</v>
      </c>
      <c r="AR147" s="21">
        <v>0</v>
      </c>
      <c r="AS147" s="21">
        <v>978594.99</v>
      </c>
      <c r="AT147" s="21" t="s">
        <v>169</v>
      </c>
      <c r="AU147" s="21" t="s">
        <v>181</v>
      </c>
      <c r="AV147" s="21" t="s">
        <v>154</v>
      </c>
      <c r="AW147" s="21" t="s">
        <v>639</v>
      </c>
      <c r="AX147" s="21" t="s">
        <v>640</v>
      </c>
      <c r="AY147" s="21">
        <v>0</v>
      </c>
      <c r="AZ147" s="21">
        <v>11836.91</v>
      </c>
      <c r="BA147" s="21">
        <v>439</v>
      </c>
      <c r="BB147" s="21" t="s">
        <v>916</v>
      </c>
      <c r="BC147" s="21" t="s">
        <v>176</v>
      </c>
      <c r="BD147" s="21" t="s">
        <v>641</v>
      </c>
      <c r="BE147" s="21" t="s">
        <v>641</v>
      </c>
      <c r="BF147" s="21">
        <v>9</v>
      </c>
      <c r="BG147" s="21">
        <v>1065.32</v>
      </c>
      <c r="BH147" s="21">
        <v>9</v>
      </c>
      <c r="BI147" s="21">
        <v>1065.32</v>
      </c>
      <c r="BJ147" s="21">
        <v>0</v>
      </c>
      <c r="BK147" s="21">
        <v>0</v>
      </c>
      <c r="BL147" s="21">
        <v>0</v>
      </c>
      <c r="BM147" s="21">
        <v>692163832376</v>
      </c>
      <c r="BN147" s="23">
        <v>46249</v>
      </c>
      <c r="BO147" s="21">
        <v>71.599999999999994</v>
      </c>
    </row>
    <row r="148" spans="1:67" hidden="1" x14ac:dyDescent="0.25">
      <c r="A148" s="22"/>
      <c r="B148" s="21" t="s">
        <v>167</v>
      </c>
      <c r="C148" s="21" t="s">
        <v>916</v>
      </c>
      <c r="D148" s="21" t="s">
        <v>917</v>
      </c>
      <c r="E148" s="21" t="s">
        <v>182</v>
      </c>
      <c r="F148" s="21" t="s">
        <v>183</v>
      </c>
      <c r="G148" s="21" t="s">
        <v>920</v>
      </c>
      <c r="H148" s="21">
        <v>517</v>
      </c>
      <c r="I148" s="21">
        <v>517</v>
      </c>
      <c r="J148" s="21" t="s">
        <v>168</v>
      </c>
      <c r="K148" s="21">
        <v>517</v>
      </c>
      <c r="L148" s="21">
        <v>0</v>
      </c>
      <c r="M148" s="21">
        <v>517</v>
      </c>
      <c r="N148" s="21" t="s">
        <v>174</v>
      </c>
      <c r="O148" s="21" t="s">
        <v>633</v>
      </c>
      <c r="P148" s="21" t="s">
        <v>633</v>
      </c>
      <c r="Q148" s="21" t="s">
        <v>921</v>
      </c>
      <c r="R148" s="21" t="s">
        <v>888</v>
      </c>
      <c r="S148" s="21" t="s">
        <v>635</v>
      </c>
      <c r="T148" s="21" t="s">
        <v>636</v>
      </c>
      <c r="U148" s="21" t="s">
        <v>922</v>
      </c>
      <c r="V148" s="21">
        <v>142.32</v>
      </c>
      <c r="W148" s="21">
        <v>142.32000174519601</v>
      </c>
      <c r="X148" s="21" t="s">
        <v>921</v>
      </c>
      <c r="Y148" s="21" t="s">
        <v>888</v>
      </c>
      <c r="Z148" s="21" t="s">
        <v>189</v>
      </c>
      <c r="AA148" s="21" t="s">
        <v>189</v>
      </c>
      <c r="AB148" s="21"/>
      <c r="AC148" s="21" t="s">
        <v>189</v>
      </c>
      <c r="AD148" s="21" t="s">
        <v>189</v>
      </c>
      <c r="AE148" s="21">
        <v>0</v>
      </c>
      <c r="AF148" s="21">
        <v>0</v>
      </c>
      <c r="AG148" s="21">
        <v>0</v>
      </c>
      <c r="AH148" s="21">
        <v>0</v>
      </c>
      <c r="AI148" s="21">
        <v>0</v>
      </c>
      <c r="AJ148" s="21" t="s">
        <v>638</v>
      </c>
      <c r="AK148" s="21">
        <v>0</v>
      </c>
      <c r="AL148" s="21">
        <v>0</v>
      </c>
      <c r="AM148" s="21">
        <v>0</v>
      </c>
      <c r="AN148" s="21">
        <v>0</v>
      </c>
      <c r="AO148" s="21">
        <v>0</v>
      </c>
      <c r="AP148" s="21"/>
      <c r="AQ148" s="21">
        <v>0</v>
      </c>
      <c r="AR148" s="21">
        <v>0</v>
      </c>
      <c r="AS148" s="21">
        <v>978594.99</v>
      </c>
      <c r="AT148" s="21" t="s">
        <v>169</v>
      </c>
      <c r="AU148" s="21" t="s">
        <v>179</v>
      </c>
      <c r="AV148" s="21" t="s">
        <v>155</v>
      </c>
      <c r="AW148" s="21" t="s">
        <v>639</v>
      </c>
      <c r="AX148" s="21" t="s">
        <v>640</v>
      </c>
      <c r="AY148" s="21">
        <v>0</v>
      </c>
      <c r="AZ148" s="21">
        <v>73579.44</v>
      </c>
      <c r="BA148" s="21">
        <v>439</v>
      </c>
      <c r="BB148" s="21" t="s">
        <v>916</v>
      </c>
      <c r="BC148" s="21" t="s">
        <v>176</v>
      </c>
      <c r="BD148" s="21" t="s">
        <v>641</v>
      </c>
      <c r="BE148" s="21" t="s">
        <v>641</v>
      </c>
      <c r="BF148" s="21">
        <v>9</v>
      </c>
      <c r="BG148" s="21">
        <v>6622.15</v>
      </c>
      <c r="BH148" s="21">
        <v>9</v>
      </c>
      <c r="BI148" s="21">
        <v>6622.15</v>
      </c>
      <c r="BJ148" s="21">
        <v>0</v>
      </c>
      <c r="BK148" s="21">
        <v>0</v>
      </c>
      <c r="BL148" s="21">
        <v>0</v>
      </c>
      <c r="BM148" s="21">
        <v>692163832376</v>
      </c>
      <c r="BN148" s="23">
        <v>46249</v>
      </c>
      <c r="BO148" s="21">
        <v>517</v>
      </c>
    </row>
    <row r="149" spans="1:67" hidden="1" x14ac:dyDescent="0.25">
      <c r="A149" s="22"/>
      <c r="B149" s="21" t="s">
        <v>167</v>
      </c>
      <c r="C149" s="21" t="s">
        <v>916</v>
      </c>
      <c r="D149" s="21" t="s">
        <v>917</v>
      </c>
      <c r="E149" s="21" t="s">
        <v>177</v>
      </c>
      <c r="F149" s="21" t="s">
        <v>178</v>
      </c>
      <c r="G149" s="21" t="s">
        <v>920</v>
      </c>
      <c r="H149" s="21">
        <v>2876</v>
      </c>
      <c r="I149" s="21">
        <v>2876</v>
      </c>
      <c r="J149" s="21" t="s">
        <v>168</v>
      </c>
      <c r="K149" s="21">
        <v>2876</v>
      </c>
      <c r="L149" s="21">
        <v>0</v>
      </c>
      <c r="M149" s="21">
        <v>2876</v>
      </c>
      <c r="N149" s="21" t="s">
        <v>174</v>
      </c>
      <c r="O149" s="21" t="s">
        <v>633</v>
      </c>
      <c r="P149" s="21" t="s">
        <v>633</v>
      </c>
      <c r="Q149" s="21" t="s">
        <v>921</v>
      </c>
      <c r="R149" s="21" t="s">
        <v>888</v>
      </c>
      <c r="S149" s="21" t="s">
        <v>635</v>
      </c>
      <c r="T149" s="21" t="s">
        <v>636</v>
      </c>
      <c r="U149" s="21" t="s">
        <v>922</v>
      </c>
      <c r="V149" s="21">
        <v>149.32</v>
      </c>
      <c r="W149" s="21">
        <v>149.32000183103301</v>
      </c>
      <c r="X149" s="21" t="s">
        <v>921</v>
      </c>
      <c r="Y149" s="21" t="s">
        <v>888</v>
      </c>
      <c r="Z149" s="21" t="s">
        <v>189</v>
      </c>
      <c r="AA149" s="21" t="s">
        <v>189</v>
      </c>
      <c r="AB149" s="21"/>
      <c r="AC149" s="21" t="s">
        <v>189</v>
      </c>
      <c r="AD149" s="21" t="s">
        <v>189</v>
      </c>
      <c r="AE149" s="21">
        <v>0</v>
      </c>
      <c r="AF149" s="21">
        <v>0</v>
      </c>
      <c r="AG149" s="21">
        <v>0</v>
      </c>
      <c r="AH149" s="21">
        <v>0</v>
      </c>
      <c r="AI149" s="21">
        <v>0</v>
      </c>
      <c r="AJ149" s="21" t="s">
        <v>638</v>
      </c>
      <c r="AK149" s="21">
        <v>0</v>
      </c>
      <c r="AL149" s="21">
        <v>0</v>
      </c>
      <c r="AM149" s="21">
        <v>0</v>
      </c>
      <c r="AN149" s="21">
        <v>0</v>
      </c>
      <c r="AO149" s="21">
        <v>0</v>
      </c>
      <c r="AP149" s="21"/>
      <c r="AQ149" s="21">
        <v>0</v>
      </c>
      <c r="AR149" s="21">
        <v>0</v>
      </c>
      <c r="AS149" s="21">
        <v>978594.99</v>
      </c>
      <c r="AT149" s="21" t="s">
        <v>169</v>
      </c>
      <c r="AU149" s="21" t="s">
        <v>179</v>
      </c>
      <c r="AV149" s="21" t="s">
        <v>156</v>
      </c>
      <c r="AW149" s="21" t="s">
        <v>639</v>
      </c>
      <c r="AX149" s="21" t="s">
        <v>640</v>
      </c>
      <c r="AY149" s="21">
        <v>0</v>
      </c>
      <c r="AZ149" s="21">
        <v>429444.33</v>
      </c>
      <c r="BA149" s="21">
        <v>439</v>
      </c>
      <c r="BB149" s="21" t="s">
        <v>916</v>
      </c>
      <c r="BC149" s="21" t="s">
        <v>176</v>
      </c>
      <c r="BD149" s="21" t="s">
        <v>641</v>
      </c>
      <c r="BE149" s="21" t="s">
        <v>641</v>
      </c>
      <c r="BF149" s="21">
        <v>9</v>
      </c>
      <c r="BG149" s="21">
        <v>38649.99</v>
      </c>
      <c r="BH149" s="21">
        <v>9</v>
      </c>
      <c r="BI149" s="21">
        <v>38649.99</v>
      </c>
      <c r="BJ149" s="21">
        <v>0</v>
      </c>
      <c r="BK149" s="21">
        <v>0</v>
      </c>
      <c r="BL149" s="21">
        <v>0</v>
      </c>
      <c r="BM149" s="21">
        <v>692163832376</v>
      </c>
      <c r="BN149" s="23">
        <v>46249</v>
      </c>
      <c r="BO149" s="21">
        <v>2876</v>
      </c>
    </row>
    <row r="150" spans="1:67" hidden="1" x14ac:dyDescent="0.25">
      <c r="A150" s="22"/>
      <c r="B150" s="21" t="s">
        <v>167</v>
      </c>
      <c r="C150" s="21" t="s">
        <v>916</v>
      </c>
      <c r="D150" s="21" t="s">
        <v>917</v>
      </c>
      <c r="E150" s="21" t="s">
        <v>195</v>
      </c>
      <c r="F150" s="21" t="s">
        <v>196</v>
      </c>
      <c r="G150" s="21" t="s">
        <v>920</v>
      </c>
      <c r="H150" s="21">
        <v>585.29999999999995</v>
      </c>
      <c r="I150" s="21">
        <v>585.29999999999995</v>
      </c>
      <c r="J150" s="21" t="s">
        <v>168</v>
      </c>
      <c r="K150" s="21">
        <v>585.29999999999995</v>
      </c>
      <c r="L150" s="21">
        <v>0</v>
      </c>
      <c r="M150" s="21">
        <v>585.29999999999995</v>
      </c>
      <c r="N150" s="21" t="s">
        <v>174</v>
      </c>
      <c r="O150" s="21" t="s">
        <v>633</v>
      </c>
      <c r="P150" s="21" t="s">
        <v>633</v>
      </c>
      <c r="Q150" s="21" t="s">
        <v>921</v>
      </c>
      <c r="R150" s="21" t="s">
        <v>888</v>
      </c>
      <c r="S150" s="21" t="s">
        <v>635</v>
      </c>
      <c r="T150" s="21" t="s">
        <v>636</v>
      </c>
      <c r="U150" s="21" t="s">
        <v>922</v>
      </c>
      <c r="V150" s="21">
        <v>166.86</v>
      </c>
      <c r="W150" s="21">
        <v>166.86000204611699</v>
      </c>
      <c r="X150" s="21" t="s">
        <v>921</v>
      </c>
      <c r="Y150" s="21" t="s">
        <v>888</v>
      </c>
      <c r="Z150" s="21" t="s">
        <v>189</v>
      </c>
      <c r="AA150" s="21" t="s">
        <v>189</v>
      </c>
      <c r="AB150" s="21"/>
      <c r="AC150" s="21" t="s">
        <v>189</v>
      </c>
      <c r="AD150" s="21" t="s">
        <v>189</v>
      </c>
      <c r="AE150" s="21">
        <v>0</v>
      </c>
      <c r="AF150" s="21">
        <v>0</v>
      </c>
      <c r="AG150" s="21">
        <v>0</v>
      </c>
      <c r="AH150" s="21">
        <v>0</v>
      </c>
      <c r="AI150" s="21">
        <v>0</v>
      </c>
      <c r="AJ150" s="21" t="s">
        <v>638</v>
      </c>
      <c r="AK150" s="21">
        <v>0</v>
      </c>
      <c r="AL150" s="21">
        <v>0</v>
      </c>
      <c r="AM150" s="21">
        <v>0</v>
      </c>
      <c r="AN150" s="21">
        <v>0</v>
      </c>
      <c r="AO150" s="21">
        <v>0</v>
      </c>
      <c r="AP150" s="21"/>
      <c r="AQ150" s="21">
        <v>0</v>
      </c>
      <c r="AR150" s="21">
        <v>0</v>
      </c>
      <c r="AS150" s="21">
        <v>978594.99</v>
      </c>
      <c r="AT150" s="21" t="s">
        <v>169</v>
      </c>
      <c r="AU150" s="21" t="s">
        <v>197</v>
      </c>
      <c r="AV150" s="21" t="s">
        <v>158</v>
      </c>
      <c r="AW150" s="21" t="s">
        <v>639</v>
      </c>
      <c r="AX150" s="21" t="s">
        <v>640</v>
      </c>
      <c r="AY150" s="21">
        <v>0</v>
      </c>
      <c r="AZ150" s="21">
        <v>97663.16</v>
      </c>
      <c r="BA150" s="21">
        <v>439</v>
      </c>
      <c r="BB150" s="21" t="s">
        <v>916</v>
      </c>
      <c r="BC150" s="21" t="s">
        <v>176</v>
      </c>
      <c r="BD150" s="21" t="s">
        <v>641</v>
      </c>
      <c r="BE150" s="21" t="s">
        <v>641</v>
      </c>
      <c r="BF150" s="21">
        <v>9</v>
      </c>
      <c r="BG150" s="21">
        <v>8789.68</v>
      </c>
      <c r="BH150" s="21">
        <v>9</v>
      </c>
      <c r="BI150" s="21">
        <v>8789.68</v>
      </c>
      <c r="BJ150" s="21">
        <v>0</v>
      </c>
      <c r="BK150" s="21">
        <v>0</v>
      </c>
      <c r="BL150" s="21">
        <v>0</v>
      </c>
      <c r="BM150" s="21">
        <v>692163832376</v>
      </c>
      <c r="BN150" s="23">
        <v>46249</v>
      </c>
      <c r="BO150" s="21">
        <v>585.29999999999995</v>
      </c>
    </row>
    <row r="151" spans="1:67" hidden="1" x14ac:dyDescent="0.25">
      <c r="A151" s="22"/>
      <c r="B151" s="21" t="s">
        <v>167</v>
      </c>
      <c r="C151" s="21" t="s">
        <v>916</v>
      </c>
      <c r="D151" s="21" t="s">
        <v>923</v>
      </c>
      <c r="E151" s="21" t="s">
        <v>182</v>
      </c>
      <c r="F151" s="21" t="s">
        <v>183</v>
      </c>
      <c r="G151" s="21" t="s">
        <v>924</v>
      </c>
      <c r="H151" s="21">
        <v>4359</v>
      </c>
      <c r="I151" s="21">
        <v>4359</v>
      </c>
      <c r="J151" s="21" t="s">
        <v>168</v>
      </c>
      <c r="K151" s="21">
        <v>4359</v>
      </c>
      <c r="L151" s="21">
        <v>0</v>
      </c>
      <c r="M151" s="21">
        <v>4359</v>
      </c>
      <c r="N151" s="21" t="s">
        <v>925</v>
      </c>
      <c r="O151" s="21" t="s">
        <v>656</v>
      </c>
      <c r="P151" s="21" t="s">
        <v>656</v>
      </c>
      <c r="Q151" s="21" t="s">
        <v>926</v>
      </c>
      <c r="R151" s="21" t="s">
        <v>888</v>
      </c>
      <c r="S151" s="21" t="s">
        <v>635</v>
      </c>
      <c r="T151" s="21" t="s">
        <v>636</v>
      </c>
      <c r="U151" s="21" t="s">
        <v>927</v>
      </c>
      <c r="V151" s="21">
        <v>122</v>
      </c>
      <c r="W151" s="21">
        <v>122</v>
      </c>
      <c r="X151" s="21" t="s">
        <v>926</v>
      </c>
      <c r="Y151" s="21" t="s">
        <v>888</v>
      </c>
      <c r="Z151" s="21" t="s">
        <v>189</v>
      </c>
      <c r="AA151" s="21" t="s">
        <v>189</v>
      </c>
      <c r="AB151" s="21"/>
      <c r="AC151" s="21" t="s">
        <v>659</v>
      </c>
      <c r="AD151" s="21">
        <v>2567</v>
      </c>
      <c r="AE151" s="21">
        <v>0</v>
      </c>
      <c r="AF151" s="21">
        <v>0</v>
      </c>
      <c r="AG151" s="21">
        <v>0</v>
      </c>
      <c r="AH151" s="21">
        <v>0</v>
      </c>
      <c r="AI151" s="21">
        <v>0</v>
      </c>
      <c r="AJ151" s="21" t="s">
        <v>638</v>
      </c>
      <c r="AK151" s="21">
        <v>0</v>
      </c>
      <c r="AL151" s="21">
        <v>0</v>
      </c>
      <c r="AM151" s="21">
        <v>0</v>
      </c>
      <c r="AN151" s="21">
        <v>0</v>
      </c>
      <c r="AO151" s="21">
        <v>0</v>
      </c>
      <c r="AP151" s="21"/>
      <c r="AQ151" s="21">
        <v>0</v>
      </c>
      <c r="AR151" s="21">
        <v>0</v>
      </c>
      <c r="AS151" s="21">
        <v>627521.64</v>
      </c>
      <c r="AT151" s="21" t="s">
        <v>169</v>
      </c>
      <c r="AU151" s="21" t="s">
        <v>179</v>
      </c>
      <c r="AV151" s="21" t="s">
        <v>155</v>
      </c>
      <c r="AW151" s="21" t="s">
        <v>639</v>
      </c>
      <c r="AX151" s="21" t="s">
        <v>640</v>
      </c>
      <c r="AY151" s="21">
        <v>0</v>
      </c>
      <c r="AZ151" s="21">
        <v>531798</v>
      </c>
      <c r="BA151" s="21">
        <v>438</v>
      </c>
      <c r="BB151" s="21" t="s">
        <v>916</v>
      </c>
      <c r="BC151" s="21" t="s">
        <v>176</v>
      </c>
      <c r="BD151" s="21" t="s">
        <v>641</v>
      </c>
      <c r="BE151" s="21" t="s">
        <v>641</v>
      </c>
      <c r="BF151" s="21">
        <v>9</v>
      </c>
      <c r="BG151" s="21">
        <v>47861.82</v>
      </c>
      <c r="BH151" s="21">
        <v>9</v>
      </c>
      <c r="BI151" s="21">
        <v>47861.82</v>
      </c>
      <c r="BJ151" s="21">
        <v>0</v>
      </c>
      <c r="BK151" s="21">
        <v>0</v>
      </c>
      <c r="BL151" s="21">
        <v>627521.64</v>
      </c>
      <c r="BM151" s="21">
        <v>632163523146</v>
      </c>
      <c r="BN151" s="23">
        <v>46248</v>
      </c>
      <c r="BO151" s="21">
        <v>4359</v>
      </c>
    </row>
    <row r="152" spans="1:67" hidden="1" x14ac:dyDescent="0.25">
      <c r="A152" s="22"/>
      <c r="B152" s="21" t="s">
        <v>167</v>
      </c>
      <c r="C152" s="21" t="s">
        <v>928</v>
      </c>
      <c r="D152" s="21" t="s">
        <v>929</v>
      </c>
      <c r="E152" s="21" t="s">
        <v>190</v>
      </c>
      <c r="F152" s="21" t="s">
        <v>191</v>
      </c>
      <c r="G152" s="21" t="s">
        <v>930</v>
      </c>
      <c r="H152" s="21">
        <v>16414.900000000001</v>
      </c>
      <c r="I152" s="21">
        <v>16414.900000000001</v>
      </c>
      <c r="J152" s="21" t="s">
        <v>168</v>
      </c>
      <c r="K152" s="21">
        <v>16414.900000000001</v>
      </c>
      <c r="L152" s="21">
        <v>0</v>
      </c>
      <c r="M152" s="21">
        <v>16414.900000000001</v>
      </c>
      <c r="N152" s="21" t="s">
        <v>615</v>
      </c>
      <c r="O152" s="21" t="s">
        <v>677</v>
      </c>
      <c r="P152" s="21" t="s">
        <v>677</v>
      </c>
      <c r="Q152" s="21" t="s">
        <v>931</v>
      </c>
      <c r="R152" s="21" t="s">
        <v>888</v>
      </c>
      <c r="S152" s="21" t="s">
        <v>635</v>
      </c>
      <c r="T152" s="21" t="s">
        <v>636</v>
      </c>
      <c r="U152" s="21" t="s">
        <v>932</v>
      </c>
      <c r="V152" s="21">
        <v>224.12</v>
      </c>
      <c r="W152" s="21">
        <v>224.120000961438</v>
      </c>
      <c r="X152" s="21" t="s">
        <v>931</v>
      </c>
      <c r="Y152" s="21" t="s">
        <v>888</v>
      </c>
      <c r="Z152" s="21" t="s">
        <v>189</v>
      </c>
      <c r="AA152" s="21" t="s">
        <v>189</v>
      </c>
      <c r="AB152" s="21"/>
      <c r="AC152" s="21" t="s">
        <v>189</v>
      </c>
      <c r="AD152" s="21" t="s">
        <v>189</v>
      </c>
      <c r="AE152" s="21">
        <v>0</v>
      </c>
      <c r="AF152" s="21">
        <v>0</v>
      </c>
      <c r="AG152" s="21">
        <v>0</v>
      </c>
      <c r="AH152" s="21">
        <v>0</v>
      </c>
      <c r="AI152" s="21">
        <v>0</v>
      </c>
      <c r="AJ152" s="21" t="s">
        <v>638</v>
      </c>
      <c r="AK152" s="21">
        <v>0</v>
      </c>
      <c r="AL152" s="21">
        <v>0</v>
      </c>
      <c r="AM152" s="21">
        <v>0</v>
      </c>
      <c r="AN152" s="21">
        <v>0</v>
      </c>
      <c r="AO152" s="21">
        <v>0</v>
      </c>
      <c r="AP152" s="21"/>
      <c r="AQ152" s="21">
        <v>0</v>
      </c>
      <c r="AR152" s="21">
        <v>0</v>
      </c>
      <c r="AS152" s="21">
        <v>5128402.79</v>
      </c>
      <c r="AT152" s="21" t="s">
        <v>188</v>
      </c>
      <c r="AU152" s="21" t="s">
        <v>152</v>
      </c>
      <c r="AV152" s="21" t="s">
        <v>152</v>
      </c>
      <c r="AW152" s="21" t="s">
        <v>639</v>
      </c>
      <c r="AX152" s="21" t="s">
        <v>640</v>
      </c>
      <c r="AY152" s="21">
        <v>0</v>
      </c>
      <c r="AZ152" s="21">
        <v>3678907.4</v>
      </c>
      <c r="BA152" s="21">
        <v>440</v>
      </c>
      <c r="BB152" s="21" t="s">
        <v>928</v>
      </c>
      <c r="BC152" s="21" t="s">
        <v>171</v>
      </c>
      <c r="BD152" s="21" t="s">
        <v>641</v>
      </c>
      <c r="BE152" s="21" t="s">
        <v>641</v>
      </c>
      <c r="BF152" s="21">
        <v>9</v>
      </c>
      <c r="BG152" s="21">
        <v>331101.65999999997</v>
      </c>
      <c r="BH152" s="21">
        <v>9</v>
      </c>
      <c r="BI152" s="21">
        <v>331101.65999999997</v>
      </c>
      <c r="BJ152" s="21">
        <v>0</v>
      </c>
      <c r="BK152" s="21">
        <v>0</v>
      </c>
      <c r="BL152" s="21">
        <v>5128402.79</v>
      </c>
      <c r="BM152" s="21">
        <v>682163683346</v>
      </c>
      <c r="BN152" s="23">
        <v>46248</v>
      </c>
      <c r="BO152" s="21">
        <v>16414.900000000001</v>
      </c>
    </row>
    <row r="153" spans="1:67" hidden="1" x14ac:dyDescent="0.25">
      <c r="A153" s="22"/>
      <c r="B153" s="21" t="s">
        <v>167</v>
      </c>
      <c r="C153" s="21" t="s">
        <v>928</v>
      </c>
      <c r="D153" s="21" t="s">
        <v>929</v>
      </c>
      <c r="E153" s="21" t="s">
        <v>190</v>
      </c>
      <c r="F153" s="21" t="s">
        <v>191</v>
      </c>
      <c r="G153" s="21" t="s">
        <v>930</v>
      </c>
      <c r="H153" s="21">
        <v>386</v>
      </c>
      <c r="I153" s="21">
        <v>386</v>
      </c>
      <c r="J153" s="21" t="s">
        <v>168</v>
      </c>
      <c r="K153" s="21">
        <v>386</v>
      </c>
      <c r="L153" s="21">
        <v>0</v>
      </c>
      <c r="M153" s="21">
        <v>386</v>
      </c>
      <c r="N153" s="21" t="s">
        <v>615</v>
      </c>
      <c r="O153" s="21" t="s">
        <v>677</v>
      </c>
      <c r="P153" s="21" t="s">
        <v>677</v>
      </c>
      <c r="Q153" s="21" t="s">
        <v>931</v>
      </c>
      <c r="R153" s="21" t="s">
        <v>888</v>
      </c>
      <c r="S153" s="21" t="s">
        <v>635</v>
      </c>
      <c r="T153" s="21" t="s">
        <v>636</v>
      </c>
      <c r="U153" s="21" t="s">
        <v>932</v>
      </c>
      <c r="V153" s="21">
        <v>223.61</v>
      </c>
      <c r="W153" s="21">
        <v>223.61000095924999</v>
      </c>
      <c r="X153" s="21" t="s">
        <v>931</v>
      </c>
      <c r="Y153" s="21" t="s">
        <v>888</v>
      </c>
      <c r="Z153" s="21" t="s">
        <v>189</v>
      </c>
      <c r="AA153" s="21" t="s">
        <v>189</v>
      </c>
      <c r="AB153" s="21"/>
      <c r="AC153" s="21" t="s">
        <v>189</v>
      </c>
      <c r="AD153" s="21" t="s">
        <v>189</v>
      </c>
      <c r="AE153" s="21">
        <v>0</v>
      </c>
      <c r="AF153" s="21">
        <v>0</v>
      </c>
      <c r="AG153" s="21">
        <v>0</v>
      </c>
      <c r="AH153" s="21">
        <v>0</v>
      </c>
      <c r="AI153" s="21">
        <v>0</v>
      </c>
      <c r="AJ153" s="21" t="s">
        <v>638</v>
      </c>
      <c r="AK153" s="21">
        <v>0</v>
      </c>
      <c r="AL153" s="21">
        <v>0</v>
      </c>
      <c r="AM153" s="21">
        <v>0</v>
      </c>
      <c r="AN153" s="21">
        <v>0</v>
      </c>
      <c r="AO153" s="21">
        <v>0</v>
      </c>
      <c r="AP153" s="21"/>
      <c r="AQ153" s="21">
        <v>0</v>
      </c>
      <c r="AR153" s="21">
        <v>0</v>
      </c>
      <c r="AS153" s="21">
        <v>5128402.79</v>
      </c>
      <c r="AT153" s="21" t="s">
        <v>188</v>
      </c>
      <c r="AU153" s="21" t="s">
        <v>152</v>
      </c>
      <c r="AV153" s="21" t="s">
        <v>152</v>
      </c>
      <c r="AW153" s="21" t="s">
        <v>639</v>
      </c>
      <c r="AX153" s="21" t="s">
        <v>640</v>
      </c>
      <c r="AY153" s="21">
        <v>0</v>
      </c>
      <c r="AZ153" s="21">
        <v>86313.46</v>
      </c>
      <c r="BA153" s="21">
        <v>440</v>
      </c>
      <c r="BB153" s="21" t="s">
        <v>928</v>
      </c>
      <c r="BC153" s="21" t="s">
        <v>171</v>
      </c>
      <c r="BD153" s="21" t="s">
        <v>641</v>
      </c>
      <c r="BE153" s="21" t="s">
        <v>641</v>
      </c>
      <c r="BF153" s="21">
        <v>9</v>
      </c>
      <c r="BG153" s="21">
        <v>7768.21</v>
      </c>
      <c r="BH153" s="21">
        <v>9</v>
      </c>
      <c r="BI153" s="21">
        <v>7768.21</v>
      </c>
      <c r="BJ153" s="21">
        <v>0</v>
      </c>
      <c r="BK153" s="21">
        <v>0</v>
      </c>
      <c r="BL153" s="21">
        <v>0</v>
      </c>
      <c r="BM153" s="21">
        <v>682163683346</v>
      </c>
      <c r="BN153" s="23">
        <v>46248</v>
      </c>
      <c r="BO153" s="21">
        <v>386</v>
      </c>
    </row>
    <row r="154" spans="1:67" hidden="1" x14ac:dyDescent="0.25">
      <c r="A154" s="22"/>
      <c r="B154" s="21" t="s">
        <v>167</v>
      </c>
      <c r="C154" s="21" t="s">
        <v>928</v>
      </c>
      <c r="D154" s="21" t="s">
        <v>929</v>
      </c>
      <c r="E154" s="21" t="s">
        <v>186</v>
      </c>
      <c r="F154" s="21" t="s">
        <v>187</v>
      </c>
      <c r="G154" s="21" t="s">
        <v>930</v>
      </c>
      <c r="H154" s="21">
        <v>2584</v>
      </c>
      <c r="I154" s="21">
        <v>2584</v>
      </c>
      <c r="J154" s="21" t="s">
        <v>168</v>
      </c>
      <c r="K154" s="21">
        <v>2584</v>
      </c>
      <c r="L154" s="21">
        <v>0</v>
      </c>
      <c r="M154" s="21">
        <v>2584</v>
      </c>
      <c r="N154" s="21" t="s">
        <v>615</v>
      </c>
      <c r="O154" s="21" t="s">
        <v>677</v>
      </c>
      <c r="P154" s="21" t="s">
        <v>677</v>
      </c>
      <c r="Q154" s="21" t="s">
        <v>931</v>
      </c>
      <c r="R154" s="21" t="s">
        <v>888</v>
      </c>
      <c r="S154" s="21" t="s">
        <v>635</v>
      </c>
      <c r="T154" s="21" t="s">
        <v>636</v>
      </c>
      <c r="U154" s="21" t="s">
        <v>932</v>
      </c>
      <c r="V154" s="21">
        <v>224.8</v>
      </c>
      <c r="W154" s="21">
        <v>224.80000096435501</v>
      </c>
      <c r="X154" s="21" t="s">
        <v>931</v>
      </c>
      <c r="Y154" s="21" t="s">
        <v>888</v>
      </c>
      <c r="Z154" s="21" t="s">
        <v>189</v>
      </c>
      <c r="AA154" s="21" t="s">
        <v>189</v>
      </c>
      <c r="AB154" s="21"/>
      <c r="AC154" s="21" t="s">
        <v>189</v>
      </c>
      <c r="AD154" s="21" t="s">
        <v>189</v>
      </c>
      <c r="AE154" s="21">
        <v>0</v>
      </c>
      <c r="AF154" s="21">
        <v>0</v>
      </c>
      <c r="AG154" s="21">
        <v>0</v>
      </c>
      <c r="AH154" s="21">
        <v>0</v>
      </c>
      <c r="AI154" s="21">
        <v>0</v>
      </c>
      <c r="AJ154" s="21" t="s">
        <v>638</v>
      </c>
      <c r="AK154" s="21">
        <v>0</v>
      </c>
      <c r="AL154" s="21">
        <v>0</v>
      </c>
      <c r="AM154" s="21">
        <v>0</v>
      </c>
      <c r="AN154" s="21">
        <v>0</v>
      </c>
      <c r="AO154" s="21">
        <v>0</v>
      </c>
      <c r="AP154" s="21"/>
      <c r="AQ154" s="21">
        <v>0</v>
      </c>
      <c r="AR154" s="21">
        <v>0</v>
      </c>
      <c r="AS154" s="21">
        <v>5128402.79</v>
      </c>
      <c r="AT154" s="21" t="s">
        <v>188</v>
      </c>
      <c r="AU154" s="21" t="s">
        <v>152</v>
      </c>
      <c r="AV154" s="21" t="s">
        <v>152</v>
      </c>
      <c r="AW154" s="21" t="s">
        <v>639</v>
      </c>
      <c r="AX154" s="21" t="s">
        <v>640</v>
      </c>
      <c r="AY154" s="21">
        <v>0</v>
      </c>
      <c r="AZ154" s="21">
        <v>580883.19999999995</v>
      </c>
      <c r="BA154" s="21">
        <v>440</v>
      </c>
      <c r="BB154" s="21" t="s">
        <v>928</v>
      </c>
      <c r="BC154" s="21" t="s">
        <v>171</v>
      </c>
      <c r="BD154" s="21" t="s">
        <v>641</v>
      </c>
      <c r="BE154" s="21" t="s">
        <v>641</v>
      </c>
      <c r="BF154" s="21">
        <v>9</v>
      </c>
      <c r="BG154" s="21">
        <v>52279.49</v>
      </c>
      <c r="BH154" s="21">
        <v>9</v>
      </c>
      <c r="BI154" s="21">
        <v>52279.49</v>
      </c>
      <c r="BJ154" s="21">
        <v>0</v>
      </c>
      <c r="BK154" s="21">
        <v>0</v>
      </c>
      <c r="BL154" s="21">
        <v>0</v>
      </c>
      <c r="BM154" s="21">
        <v>682163683346</v>
      </c>
      <c r="BN154" s="23">
        <v>46248</v>
      </c>
      <c r="BO154" s="21">
        <v>2584</v>
      </c>
    </row>
    <row r="155" spans="1:67" hidden="1" x14ac:dyDescent="0.25">
      <c r="A155" s="22"/>
      <c r="B155" s="21" t="s">
        <v>167</v>
      </c>
      <c r="C155" s="21" t="s">
        <v>928</v>
      </c>
      <c r="D155" s="21" t="s">
        <v>933</v>
      </c>
      <c r="E155" s="21" t="s">
        <v>271</v>
      </c>
      <c r="F155" s="21" t="s">
        <v>272</v>
      </c>
      <c r="G155" s="21" t="s">
        <v>934</v>
      </c>
      <c r="H155" s="21">
        <v>1091.8699999999999</v>
      </c>
      <c r="I155" s="21">
        <v>1091.8699999999999</v>
      </c>
      <c r="J155" s="21" t="s">
        <v>168</v>
      </c>
      <c r="K155" s="21">
        <v>1091.8699999999999</v>
      </c>
      <c r="L155" s="21">
        <v>0</v>
      </c>
      <c r="M155" s="21">
        <v>1091.8699999999999</v>
      </c>
      <c r="N155" s="21" t="s">
        <v>935</v>
      </c>
      <c r="O155" s="21" t="s">
        <v>656</v>
      </c>
      <c r="P155" s="21" t="s">
        <v>656</v>
      </c>
      <c r="Q155" s="21" t="s">
        <v>936</v>
      </c>
      <c r="R155" s="21" t="s">
        <v>916</v>
      </c>
      <c r="S155" s="21" t="s">
        <v>635</v>
      </c>
      <c r="T155" s="21" t="s">
        <v>636</v>
      </c>
      <c r="U155" s="21" t="s">
        <v>937</v>
      </c>
      <c r="V155" s="21">
        <v>176.12</v>
      </c>
      <c r="W155" s="21">
        <v>176.11999896788299</v>
      </c>
      <c r="X155" s="21" t="s">
        <v>936</v>
      </c>
      <c r="Y155" s="21" t="s">
        <v>916</v>
      </c>
      <c r="Z155" s="21" t="s">
        <v>189</v>
      </c>
      <c r="AA155" s="21" t="s">
        <v>189</v>
      </c>
      <c r="AB155" s="21"/>
      <c r="AC155" s="21" t="s">
        <v>189</v>
      </c>
      <c r="AD155" s="21" t="s">
        <v>189</v>
      </c>
      <c r="AE155" s="21">
        <v>0</v>
      </c>
      <c r="AF155" s="21">
        <v>0</v>
      </c>
      <c r="AG155" s="21">
        <v>0</v>
      </c>
      <c r="AH155" s="21">
        <v>0</v>
      </c>
      <c r="AI155" s="21">
        <v>0</v>
      </c>
      <c r="AJ155" s="21" t="s">
        <v>638</v>
      </c>
      <c r="AK155" s="21">
        <v>0</v>
      </c>
      <c r="AL155" s="21">
        <v>0</v>
      </c>
      <c r="AM155" s="21">
        <v>0</v>
      </c>
      <c r="AN155" s="21">
        <v>0</v>
      </c>
      <c r="AO155" s="21">
        <v>0</v>
      </c>
      <c r="AP155" s="21"/>
      <c r="AQ155" s="21">
        <v>0</v>
      </c>
      <c r="AR155" s="21">
        <v>0</v>
      </c>
      <c r="AS155" s="21">
        <v>1262732.99</v>
      </c>
      <c r="AT155" s="21" t="s">
        <v>169</v>
      </c>
      <c r="AU155" s="21" t="s">
        <v>170</v>
      </c>
      <c r="AV155" s="21" t="s">
        <v>157</v>
      </c>
      <c r="AW155" s="21" t="s">
        <v>639</v>
      </c>
      <c r="AX155" s="21" t="s">
        <v>640</v>
      </c>
      <c r="AY155" s="21">
        <v>0</v>
      </c>
      <c r="AZ155" s="21">
        <v>192300.14</v>
      </c>
      <c r="BA155" s="21">
        <v>442</v>
      </c>
      <c r="BB155" s="21" t="s">
        <v>928</v>
      </c>
      <c r="BC155" s="21" t="s">
        <v>176</v>
      </c>
      <c r="BD155" s="21" t="s">
        <v>641</v>
      </c>
      <c r="BE155" s="21" t="s">
        <v>641</v>
      </c>
      <c r="BF155" s="21">
        <v>2.5</v>
      </c>
      <c r="BG155" s="21">
        <v>4807.5</v>
      </c>
      <c r="BH155" s="21">
        <v>2.5</v>
      </c>
      <c r="BI155" s="21">
        <v>4807.5</v>
      </c>
      <c r="BJ155" s="21">
        <v>0</v>
      </c>
      <c r="BK155" s="21">
        <v>0</v>
      </c>
      <c r="BL155" s="21">
        <v>1262732.99</v>
      </c>
      <c r="BM155" s="21" t="s">
        <v>938</v>
      </c>
      <c r="BN155" s="23">
        <v>46247</v>
      </c>
      <c r="BO155" s="21">
        <v>1091.8699999999999</v>
      </c>
    </row>
    <row r="156" spans="1:67" hidden="1" x14ac:dyDescent="0.25">
      <c r="A156" s="22"/>
      <c r="B156" s="21" t="s">
        <v>167</v>
      </c>
      <c r="C156" s="21" t="s">
        <v>928</v>
      </c>
      <c r="D156" s="21" t="s">
        <v>933</v>
      </c>
      <c r="E156" s="21" t="s">
        <v>273</v>
      </c>
      <c r="F156" s="21" t="s">
        <v>274</v>
      </c>
      <c r="G156" s="21" t="s">
        <v>934</v>
      </c>
      <c r="H156" s="21">
        <v>5877.27</v>
      </c>
      <c r="I156" s="21">
        <v>5877.27</v>
      </c>
      <c r="J156" s="21" t="s">
        <v>168</v>
      </c>
      <c r="K156" s="21">
        <v>5877.27</v>
      </c>
      <c r="L156" s="21">
        <v>0</v>
      </c>
      <c r="M156" s="21">
        <v>5877.27</v>
      </c>
      <c r="N156" s="21" t="s">
        <v>935</v>
      </c>
      <c r="O156" s="21" t="s">
        <v>656</v>
      </c>
      <c r="P156" s="21" t="s">
        <v>656</v>
      </c>
      <c r="Q156" s="21" t="s">
        <v>936</v>
      </c>
      <c r="R156" s="21" t="s">
        <v>916</v>
      </c>
      <c r="S156" s="21" t="s">
        <v>635</v>
      </c>
      <c r="T156" s="21" t="s">
        <v>636</v>
      </c>
      <c r="U156" s="21" t="s">
        <v>937</v>
      </c>
      <c r="V156" s="21">
        <v>171.9</v>
      </c>
      <c r="W156" s="21">
        <v>171.899998992614</v>
      </c>
      <c r="X156" s="21" t="s">
        <v>936</v>
      </c>
      <c r="Y156" s="21" t="s">
        <v>916</v>
      </c>
      <c r="Z156" s="21" t="s">
        <v>189</v>
      </c>
      <c r="AA156" s="21" t="s">
        <v>189</v>
      </c>
      <c r="AB156" s="21"/>
      <c r="AC156" s="21" t="s">
        <v>189</v>
      </c>
      <c r="AD156" s="21" t="s">
        <v>189</v>
      </c>
      <c r="AE156" s="21">
        <v>0</v>
      </c>
      <c r="AF156" s="21">
        <v>0</v>
      </c>
      <c r="AG156" s="21">
        <v>0</v>
      </c>
      <c r="AH156" s="21">
        <v>0</v>
      </c>
      <c r="AI156" s="21">
        <v>0</v>
      </c>
      <c r="AJ156" s="21" t="s">
        <v>638</v>
      </c>
      <c r="AK156" s="21">
        <v>0</v>
      </c>
      <c r="AL156" s="21">
        <v>0</v>
      </c>
      <c r="AM156" s="21">
        <v>0</v>
      </c>
      <c r="AN156" s="21">
        <v>0</v>
      </c>
      <c r="AO156" s="21">
        <v>0</v>
      </c>
      <c r="AP156" s="21"/>
      <c r="AQ156" s="21">
        <v>0</v>
      </c>
      <c r="AR156" s="21">
        <v>0</v>
      </c>
      <c r="AS156" s="21">
        <v>1262732.99</v>
      </c>
      <c r="AT156" s="21" t="s">
        <v>169</v>
      </c>
      <c r="AU156" s="21" t="s">
        <v>170</v>
      </c>
      <c r="AV156" s="21" t="s">
        <v>157</v>
      </c>
      <c r="AW156" s="21" t="s">
        <v>639</v>
      </c>
      <c r="AX156" s="21" t="s">
        <v>640</v>
      </c>
      <c r="AY156" s="21">
        <v>0</v>
      </c>
      <c r="AZ156" s="21">
        <v>1010302.71</v>
      </c>
      <c r="BA156" s="21">
        <v>442</v>
      </c>
      <c r="BB156" s="21" t="s">
        <v>928</v>
      </c>
      <c r="BC156" s="21" t="s">
        <v>176</v>
      </c>
      <c r="BD156" s="21" t="s">
        <v>641</v>
      </c>
      <c r="BE156" s="21" t="s">
        <v>641</v>
      </c>
      <c r="BF156" s="21">
        <v>2.5</v>
      </c>
      <c r="BG156" s="21">
        <v>25257.57</v>
      </c>
      <c r="BH156" s="21">
        <v>2.5</v>
      </c>
      <c r="BI156" s="21">
        <v>25257.57</v>
      </c>
      <c r="BJ156" s="21">
        <v>0</v>
      </c>
      <c r="BK156" s="21">
        <v>0</v>
      </c>
      <c r="BL156" s="21">
        <v>0</v>
      </c>
      <c r="BM156" s="21" t="s">
        <v>938</v>
      </c>
      <c r="BN156" s="23">
        <v>46247</v>
      </c>
      <c r="BO156" s="21">
        <v>5877.27</v>
      </c>
    </row>
    <row r="157" spans="1:67" hidden="1" x14ac:dyDescent="0.25">
      <c r="A157" s="22"/>
      <c r="B157" s="21" t="s">
        <v>167</v>
      </c>
      <c r="C157" s="21" t="s">
        <v>928</v>
      </c>
      <c r="D157" s="21" t="s">
        <v>939</v>
      </c>
      <c r="E157" s="21" t="s">
        <v>186</v>
      </c>
      <c r="F157" s="21" t="s">
        <v>187</v>
      </c>
      <c r="G157" s="21" t="s">
        <v>940</v>
      </c>
      <c r="H157" s="21">
        <v>1242</v>
      </c>
      <c r="I157" s="21">
        <v>1242</v>
      </c>
      <c r="J157" s="21" t="s">
        <v>168</v>
      </c>
      <c r="K157" s="21">
        <v>1242</v>
      </c>
      <c r="L157" s="21">
        <v>0</v>
      </c>
      <c r="M157" s="21">
        <v>1242</v>
      </c>
      <c r="N157" s="21" t="s">
        <v>941</v>
      </c>
      <c r="O157" s="21" t="s">
        <v>656</v>
      </c>
      <c r="P157" s="21" t="s">
        <v>656</v>
      </c>
      <c r="Q157" s="21" t="s">
        <v>942</v>
      </c>
      <c r="R157" s="21" t="s">
        <v>916</v>
      </c>
      <c r="S157" s="21" t="s">
        <v>635</v>
      </c>
      <c r="T157" s="21" t="s">
        <v>636</v>
      </c>
      <c r="U157" s="21" t="s">
        <v>943</v>
      </c>
      <c r="V157" s="21">
        <v>210.48</v>
      </c>
      <c r="W157" s="21">
        <v>210.48</v>
      </c>
      <c r="X157" s="21" t="s">
        <v>942</v>
      </c>
      <c r="Y157" s="21" t="s">
        <v>916</v>
      </c>
      <c r="Z157" s="21" t="s">
        <v>189</v>
      </c>
      <c r="AA157" s="21" t="s">
        <v>189</v>
      </c>
      <c r="AB157" s="21"/>
      <c r="AC157" s="21" t="s">
        <v>659</v>
      </c>
      <c r="AD157" s="21">
        <v>2569</v>
      </c>
      <c r="AE157" s="21">
        <v>0</v>
      </c>
      <c r="AF157" s="21">
        <v>0</v>
      </c>
      <c r="AG157" s="21">
        <v>0</v>
      </c>
      <c r="AH157" s="21">
        <v>0</v>
      </c>
      <c r="AI157" s="21">
        <v>0</v>
      </c>
      <c r="AJ157" s="21" t="s">
        <v>638</v>
      </c>
      <c r="AK157" s="21">
        <v>0</v>
      </c>
      <c r="AL157" s="21">
        <v>0</v>
      </c>
      <c r="AM157" s="21">
        <v>0</v>
      </c>
      <c r="AN157" s="21">
        <v>0</v>
      </c>
      <c r="AO157" s="21">
        <v>0</v>
      </c>
      <c r="AP157" s="21"/>
      <c r="AQ157" s="21">
        <v>0</v>
      </c>
      <c r="AR157" s="21">
        <v>0</v>
      </c>
      <c r="AS157" s="21">
        <v>1469549.38</v>
      </c>
      <c r="AT157" s="21" t="s">
        <v>188</v>
      </c>
      <c r="AU157" s="21" t="s">
        <v>152</v>
      </c>
      <c r="AV157" s="21" t="s">
        <v>152</v>
      </c>
      <c r="AW157" s="21" t="s">
        <v>639</v>
      </c>
      <c r="AX157" s="21" t="s">
        <v>640</v>
      </c>
      <c r="AY157" s="21">
        <v>0</v>
      </c>
      <c r="AZ157" s="21">
        <v>261416.16</v>
      </c>
      <c r="BA157" s="21">
        <v>441</v>
      </c>
      <c r="BB157" s="21" t="s">
        <v>928</v>
      </c>
      <c r="BC157" s="21" t="s">
        <v>176</v>
      </c>
      <c r="BD157" s="21" t="s">
        <v>641</v>
      </c>
      <c r="BE157" s="21" t="s">
        <v>641</v>
      </c>
      <c r="BF157" s="21">
        <v>9</v>
      </c>
      <c r="BG157" s="21">
        <v>23527.45</v>
      </c>
      <c r="BH157" s="21">
        <v>9</v>
      </c>
      <c r="BI157" s="21">
        <v>23527.45</v>
      </c>
      <c r="BJ157" s="21">
        <v>0</v>
      </c>
      <c r="BK157" s="21">
        <v>0</v>
      </c>
      <c r="BL157" s="21">
        <v>1469549.38</v>
      </c>
      <c r="BM157" s="21">
        <v>632163889796</v>
      </c>
      <c r="BN157" s="23">
        <v>46249</v>
      </c>
      <c r="BO157" s="21">
        <v>1242</v>
      </c>
    </row>
    <row r="158" spans="1:67" hidden="1" x14ac:dyDescent="0.25">
      <c r="A158" s="22"/>
      <c r="B158" s="21" t="s">
        <v>167</v>
      </c>
      <c r="C158" s="21" t="s">
        <v>928</v>
      </c>
      <c r="D158" s="21" t="s">
        <v>939</v>
      </c>
      <c r="E158" s="21" t="s">
        <v>186</v>
      </c>
      <c r="F158" s="21" t="s">
        <v>187</v>
      </c>
      <c r="G158" s="21" t="s">
        <v>940</v>
      </c>
      <c r="H158" s="21">
        <v>1670</v>
      </c>
      <c r="I158" s="21">
        <v>1670</v>
      </c>
      <c r="J158" s="21" t="s">
        <v>168</v>
      </c>
      <c r="K158" s="21">
        <v>1670</v>
      </c>
      <c r="L158" s="21">
        <v>0</v>
      </c>
      <c r="M158" s="21">
        <v>1670</v>
      </c>
      <c r="N158" s="21" t="s">
        <v>941</v>
      </c>
      <c r="O158" s="21" t="s">
        <v>656</v>
      </c>
      <c r="P158" s="21" t="s">
        <v>656</v>
      </c>
      <c r="Q158" s="21" t="s">
        <v>942</v>
      </c>
      <c r="R158" s="21" t="s">
        <v>916</v>
      </c>
      <c r="S158" s="21" t="s">
        <v>635</v>
      </c>
      <c r="T158" s="21" t="s">
        <v>636</v>
      </c>
      <c r="U158" s="21" t="s">
        <v>943</v>
      </c>
      <c r="V158" s="21">
        <v>208.41</v>
      </c>
      <c r="W158" s="21">
        <v>208.41</v>
      </c>
      <c r="X158" s="21" t="s">
        <v>942</v>
      </c>
      <c r="Y158" s="21" t="s">
        <v>916</v>
      </c>
      <c r="Z158" s="21" t="s">
        <v>189</v>
      </c>
      <c r="AA158" s="21" t="s">
        <v>189</v>
      </c>
      <c r="AB158" s="21"/>
      <c r="AC158" s="21" t="s">
        <v>659</v>
      </c>
      <c r="AD158" s="21">
        <v>2569</v>
      </c>
      <c r="AE158" s="21">
        <v>0</v>
      </c>
      <c r="AF158" s="21">
        <v>0</v>
      </c>
      <c r="AG158" s="21">
        <v>0</v>
      </c>
      <c r="AH158" s="21">
        <v>0</v>
      </c>
      <c r="AI158" s="21">
        <v>0</v>
      </c>
      <c r="AJ158" s="21" t="s">
        <v>638</v>
      </c>
      <c r="AK158" s="21">
        <v>0</v>
      </c>
      <c r="AL158" s="21">
        <v>0</v>
      </c>
      <c r="AM158" s="21">
        <v>0</v>
      </c>
      <c r="AN158" s="21">
        <v>0</v>
      </c>
      <c r="AO158" s="21">
        <v>0</v>
      </c>
      <c r="AP158" s="21"/>
      <c r="AQ158" s="21">
        <v>0</v>
      </c>
      <c r="AR158" s="21">
        <v>0</v>
      </c>
      <c r="AS158" s="21">
        <v>1469549.38</v>
      </c>
      <c r="AT158" s="21" t="s">
        <v>188</v>
      </c>
      <c r="AU158" s="21" t="s">
        <v>152</v>
      </c>
      <c r="AV158" s="21" t="s">
        <v>152</v>
      </c>
      <c r="AW158" s="21" t="s">
        <v>639</v>
      </c>
      <c r="AX158" s="21" t="s">
        <v>640</v>
      </c>
      <c r="AY158" s="21">
        <v>0</v>
      </c>
      <c r="AZ158" s="21">
        <v>348044.7</v>
      </c>
      <c r="BA158" s="21">
        <v>441</v>
      </c>
      <c r="BB158" s="21" t="s">
        <v>928</v>
      </c>
      <c r="BC158" s="21" t="s">
        <v>176</v>
      </c>
      <c r="BD158" s="21" t="s">
        <v>641</v>
      </c>
      <c r="BE158" s="21" t="s">
        <v>641</v>
      </c>
      <c r="BF158" s="21">
        <v>9</v>
      </c>
      <c r="BG158" s="21">
        <v>31324.02</v>
      </c>
      <c r="BH158" s="21">
        <v>9</v>
      </c>
      <c r="BI158" s="21">
        <v>31324.02</v>
      </c>
      <c r="BJ158" s="21">
        <v>0</v>
      </c>
      <c r="BK158" s="21">
        <v>0</v>
      </c>
      <c r="BL158" s="21">
        <v>0</v>
      </c>
      <c r="BM158" s="21">
        <v>632163889796</v>
      </c>
      <c r="BN158" s="23">
        <v>46249</v>
      </c>
      <c r="BO158" s="21">
        <v>1670</v>
      </c>
    </row>
    <row r="159" spans="1:67" hidden="1" x14ac:dyDescent="0.25">
      <c r="A159" s="22"/>
      <c r="B159" s="21" t="s">
        <v>167</v>
      </c>
      <c r="C159" s="21" t="s">
        <v>928</v>
      </c>
      <c r="D159" s="21" t="s">
        <v>939</v>
      </c>
      <c r="E159" s="21" t="s">
        <v>186</v>
      </c>
      <c r="F159" s="21" t="s">
        <v>187</v>
      </c>
      <c r="G159" s="21" t="s">
        <v>940</v>
      </c>
      <c r="H159" s="21">
        <v>2906</v>
      </c>
      <c r="I159" s="21">
        <v>2906</v>
      </c>
      <c r="J159" s="21" t="s">
        <v>168</v>
      </c>
      <c r="K159" s="21">
        <v>2906</v>
      </c>
      <c r="L159" s="21">
        <v>0</v>
      </c>
      <c r="M159" s="21">
        <v>2906</v>
      </c>
      <c r="N159" s="21" t="s">
        <v>941</v>
      </c>
      <c r="O159" s="21" t="s">
        <v>656</v>
      </c>
      <c r="P159" s="21" t="s">
        <v>656</v>
      </c>
      <c r="Q159" s="21" t="s">
        <v>942</v>
      </c>
      <c r="R159" s="21" t="s">
        <v>916</v>
      </c>
      <c r="S159" s="21" t="s">
        <v>635</v>
      </c>
      <c r="T159" s="21" t="s">
        <v>636</v>
      </c>
      <c r="U159" s="21" t="s">
        <v>943</v>
      </c>
      <c r="V159" s="21">
        <v>218.83</v>
      </c>
      <c r="W159" s="21">
        <v>218.83</v>
      </c>
      <c r="X159" s="21" t="s">
        <v>942</v>
      </c>
      <c r="Y159" s="21" t="s">
        <v>916</v>
      </c>
      <c r="Z159" s="21" t="s">
        <v>189</v>
      </c>
      <c r="AA159" s="21" t="s">
        <v>189</v>
      </c>
      <c r="AB159" s="21"/>
      <c r="AC159" s="21" t="s">
        <v>659</v>
      </c>
      <c r="AD159" s="21">
        <v>2569</v>
      </c>
      <c r="AE159" s="21">
        <v>0</v>
      </c>
      <c r="AF159" s="21">
        <v>0</v>
      </c>
      <c r="AG159" s="21">
        <v>0</v>
      </c>
      <c r="AH159" s="21">
        <v>0</v>
      </c>
      <c r="AI159" s="21">
        <v>0</v>
      </c>
      <c r="AJ159" s="21" t="s">
        <v>638</v>
      </c>
      <c r="AK159" s="21">
        <v>0</v>
      </c>
      <c r="AL159" s="21">
        <v>0</v>
      </c>
      <c r="AM159" s="21">
        <v>0</v>
      </c>
      <c r="AN159" s="21">
        <v>0</v>
      </c>
      <c r="AO159" s="21">
        <v>0</v>
      </c>
      <c r="AP159" s="21"/>
      <c r="AQ159" s="21">
        <v>0</v>
      </c>
      <c r="AR159" s="21">
        <v>0</v>
      </c>
      <c r="AS159" s="21">
        <v>1469549.38</v>
      </c>
      <c r="AT159" s="21" t="s">
        <v>188</v>
      </c>
      <c r="AU159" s="21" t="s">
        <v>152</v>
      </c>
      <c r="AV159" s="21" t="s">
        <v>152</v>
      </c>
      <c r="AW159" s="21" t="s">
        <v>639</v>
      </c>
      <c r="AX159" s="21" t="s">
        <v>640</v>
      </c>
      <c r="AY159" s="21">
        <v>0</v>
      </c>
      <c r="AZ159" s="21">
        <v>635919.98</v>
      </c>
      <c r="BA159" s="21">
        <v>441</v>
      </c>
      <c r="BB159" s="21" t="s">
        <v>928</v>
      </c>
      <c r="BC159" s="21" t="s">
        <v>176</v>
      </c>
      <c r="BD159" s="21" t="s">
        <v>641</v>
      </c>
      <c r="BE159" s="21" t="s">
        <v>641</v>
      </c>
      <c r="BF159" s="21">
        <v>9</v>
      </c>
      <c r="BG159" s="21">
        <v>57232.800000000003</v>
      </c>
      <c r="BH159" s="21">
        <v>9</v>
      </c>
      <c r="BI159" s="21">
        <v>57232.800000000003</v>
      </c>
      <c r="BJ159" s="21">
        <v>0</v>
      </c>
      <c r="BK159" s="21">
        <v>0</v>
      </c>
      <c r="BL159" s="21">
        <v>0</v>
      </c>
      <c r="BM159" s="21">
        <v>632163889796</v>
      </c>
      <c r="BN159" s="23">
        <v>46249</v>
      </c>
      <c r="BO159" s="21">
        <v>2906</v>
      </c>
    </row>
    <row r="160" spans="1:67" hidden="1" x14ac:dyDescent="0.25">
      <c r="A160" s="22"/>
      <c r="B160" s="21" t="s">
        <v>167</v>
      </c>
      <c r="C160" s="21" t="s">
        <v>928</v>
      </c>
      <c r="D160" s="21" t="s">
        <v>944</v>
      </c>
      <c r="E160" s="21" t="s">
        <v>182</v>
      </c>
      <c r="F160" s="21" t="s">
        <v>183</v>
      </c>
      <c r="G160" s="21" t="s">
        <v>945</v>
      </c>
      <c r="H160" s="21">
        <v>8962</v>
      </c>
      <c r="I160" s="21">
        <v>8962</v>
      </c>
      <c r="J160" s="21" t="s">
        <v>168</v>
      </c>
      <c r="K160" s="21">
        <v>8962</v>
      </c>
      <c r="L160" s="21">
        <v>0</v>
      </c>
      <c r="M160" s="21">
        <v>8962</v>
      </c>
      <c r="N160" s="21" t="s">
        <v>194</v>
      </c>
      <c r="O160" s="21" t="s">
        <v>633</v>
      </c>
      <c r="P160" s="21" t="s">
        <v>633</v>
      </c>
      <c r="Q160" s="21" t="s">
        <v>946</v>
      </c>
      <c r="R160" s="21" t="s">
        <v>928</v>
      </c>
      <c r="S160" s="21" t="s">
        <v>635</v>
      </c>
      <c r="T160" s="21" t="s">
        <v>636</v>
      </c>
      <c r="U160" s="21" t="s">
        <v>947</v>
      </c>
      <c r="V160" s="21">
        <v>147.32</v>
      </c>
      <c r="W160" s="21">
        <v>147.31999949557101</v>
      </c>
      <c r="X160" s="21" t="s">
        <v>946</v>
      </c>
      <c r="Y160" s="21" t="s">
        <v>928</v>
      </c>
      <c r="Z160" s="21" t="s">
        <v>189</v>
      </c>
      <c r="AA160" s="21" t="s">
        <v>189</v>
      </c>
      <c r="AB160" s="21"/>
      <c r="AC160" s="21" t="s">
        <v>948</v>
      </c>
      <c r="AD160" s="21">
        <v>265</v>
      </c>
      <c r="AE160" s="21">
        <v>0</v>
      </c>
      <c r="AF160" s="21">
        <v>0</v>
      </c>
      <c r="AG160" s="21">
        <v>0</v>
      </c>
      <c r="AH160" s="21">
        <v>0</v>
      </c>
      <c r="AI160" s="21">
        <v>0</v>
      </c>
      <c r="AJ160" s="21" t="s">
        <v>638</v>
      </c>
      <c r="AK160" s="21">
        <v>0</v>
      </c>
      <c r="AL160" s="21">
        <v>0</v>
      </c>
      <c r="AM160" s="21">
        <v>0</v>
      </c>
      <c r="AN160" s="21">
        <v>0</v>
      </c>
      <c r="AO160" s="21">
        <v>0</v>
      </c>
      <c r="AP160" s="21"/>
      <c r="AQ160" s="21">
        <v>0</v>
      </c>
      <c r="AR160" s="21">
        <v>0</v>
      </c>
      <c r="AS160" s="21">
        <v>1752318.29</v>
      </c>
      <c r="AT160" s="21" t="s">
        <v>169</v>
      </c>
      <c r="AU160" s="21" t="s">
        <v>179</v>
      </c>
      <c r="AV160" s="21" t="s">
        <v>155</v>
      </c>
      <c r="AW160" s="21" t="s">
        <v>639</v>
      </c>
      <c r="AX160" s="21" t="s">
        <v>640</v>
      </c>
      <c r="AY160" s="21">
        <v>0</v>
      </c>
      <c r="AZ160" s="21">
        <v>1320281.8400000001</v>
      </c>
      <c r="BA160" s="21">
        <v>443</v>
      </c>
      <c r="BB160" s="21" t="s">
        <v>928</v>
      </c>
      <c r="BC160" s="21" t="s">
        <v>176</v>
      </c>
      <c r="BD160" s="21" t="s">
        <v>641</v>
      </c>
      <c r="BE160" s="21" t="s">
        <v>641</v>
      </c>
      <c r="BF160" s="21">
        <v>9</v>
      </c>
      <c r="BG160" s="21">
        <v>118825.37</v>
      </c>
      <c r="BH160" s="21">
        <v>9</v>
      </c>
      <c r="BI160" s="21">
        <v>118825.37</v>
      </c>
      <c r="BJ160" s="21">
        <v>0</v>
      </c>
      <c r="BK160" s="21">
        <v>0</v>
      </c>
      <c r="BL160" s="21">
        <v>1752318.29</v>
      </c>
      <c r="BM160" s="21">
        <v>632164150774</v>
      </c>
      <c r="BN160" s="23">
        <v>46250</v>
      </c>
      <c r="BO160" s="21">
        <v>8962</v>
      </c>
    </row>
    <row r="161" spans="1:67" hidden="1" x14ac:dyDescent="0.25">
      <c r="A161" s="22"/>
      <c r="B161" s="21" t="s">
        <v>167</v>
      </c>
      <c r="C161" s="21" t="s">
        <v>928</v>
      </c>
      <c r="D161" s="21" t="s">
        <v>944</v>
      </c>
      <c r="E161" s="21" t="s">
        <v>177</v>
      </c>
      <c r="F161" s="21" t="s">
        <v>178</v>
      </c>
      <c r="G161" s="21" t="s">
        <v>945</v>
      </c>
      <c r="H161" s="21">
        <v>622</v>
      </c>
      <c r="I161" s="21">
        <v>622</v>
      </c>
      <c r="J161" s="21" t="s">
        <v>168</v>
      </c>
      <c r="K161" s="21">
        <v>622</v>
      </c>
      <c r="L161" s="21">
        <v>0</v>
      </c>
      <c r="M161" s="21">
        <v>622</v>
      </c>
      <c r="N161" s="21" t="s">
        <v>194</v>
      </c>
      <c r="O161" s="21" t="s">
        <v>633</v>
      </c>
      <c r="P161" s="21" t="s">
        <v>633</v>
      </c>
      <c r="Q161" s="21" t="s">
        <v>946</v>
      </c>
      <c r="R161" s="21" t="s">
        <v>928</v>
      </c>
      <c r="S161" s="21" t="s">
        <v>635</v>
      </c>
      <c r="T161" s="21" t="s">
        <v>636</v>
      </c>
      <c r="U161" s="21" t="s">
        <v>947</v>
      </c>
      <c r="V161" s="21">
        <v>149.32</v>
      </c>
      <c r="W161" s="21">
        <v>149.319999488723</v>
      </c>
      <c r="X161" s="21" t="s">
        <v>946</v>
      </c>
      <c r="Y161" s="21" t="s">
        <v>928</v>
      </c>
      <c r="Z161" s="21" t="s">
        <v>189</v>
      </c>
      <c r="AA161" s="21" t="s">
        <v>189</v>
      </c>
      <c r="AB161" s="21"/>
      <c r="AC161" s="21" t="s">
        <v>948</v>
      </c>
      <c r="AD161" s="21">
        <v>265</v>
      </c>
      <c r="AE161" s="21">
        <v>0</v>
      </c>
      <c r="AF161" s="21">
        <v>0</v>
      </c>
      <c r="AG161" s="21">
        <v>0</v>
      </c>
      <c r="AH161" s="21">
        <v>0</v>
      </c>
      <c r="AI161" s="21">
        <v>0</v>
      </c>
      <c r="AJ161" s="21" t="s">
        <v>638</v>
      </c>
      <c r="AK161" s="21">
        <v>0</v>
      </c>
      <c r="AL161" s="21">
        <v>0</v>
      </c>
      <c r="AM161" s="21">
        <v>0</v>
      </c>
      <c r="AN161" s="21">
        <v>0</v>
      </c>
      <c r="AO161" s="21">
        <v>0</v>
      </c>
      <c r="AP161" s="21"/>
      <c r="AQ161" s="21">
        <v>0</v>
      </c>
      <c r="AR161" s="21">
        <v>0</v>
      </c>
      <c r="AS161" s="21">
        <v>1752318.29</v>
      </c>
      <c r="AT161" s="21" t="s">
        <v>169</v>
      </c>
      <c r="AU161" s="21" t="s">
        <v>179</v>
      </c>
      <c r="AV161" s="21" t="s">
        <v>156</v>
      </c>
      <c r="AW161" s="21" t="s">
        <v>639</v>
      </c>
      <c r="AX161" s="21" t="s">
        <v>640</v>
      </c>
      <c r="AY161" s="21">
        <v>0</v>
      </c>
      <c r="AZ161" s="21">
        <v>92877.04</v>
      </c>
      <c r="BA161" s="21">
        <v>443</v>
      </c>
      <c r="BB161" s="21" t="s">
        <v>928</v>
      </c>
      <c r="BC161" s="21" t="s">
        <v>176</v>
      </c>
      <c r="BD161" s="21" t="s">
        <v>641</v>
      </c>
      <c r="BE161" s="21" t="s">
        <v>641</v>
      </c>
      <c r="BF161" s="21">
        <v>9</v>
      </c>
      <c r="BG161" s="21">
        <v>8358.93</v>
      </c>
      <c r="BH161" s="21">
        <v>9</v>
      </c>
      <c r="BI161" s="21">
        <v>8358.93</v>
      </c>
      <c r="BJ161" s="21">
        <v>0</v>
      </c>
      <c r="BK161" s="21">
        <v>0</v>
      </c>
      <c r="BL161" s="21">
        <v>0</v>
      </c>
      <c r="BM161" s="21">
        <v>632164150774</v>
      </c>
      <c r="BN161" s="23">
        <v>46250</v>
      </c>
      <c r="BO161" s="21">
        <v>622</v>
      </c>
    </row>
    <row r="162" spans="1:67" hidden="1" x14ac:dyDescent="0.25">
      <c r="A162" s="22"/>
      <c r="B162" s="21" t="s">
        <v>167</v>
      </c>
      <c r="C162" s="21" t="s">
        <v>928</v>
      </c>
      <c r="D162" s="21" t="s">
        <v>944</v>
      </c>
      <c r="E162" s="21" t="s">
        <v>180</v>
      </c>
      <c r="F162" s="21" t="s">
        <v>181</v>
      </c>
      <c r="G162" s="21" t="s">
        <v>945</v>
      </c>
      <c r="H162" s="21">
        <v>217.7</v>
      </c>
      <c r="I162" s="21">
        <v>217.7</v>
      </c>
      <c r="J162" s="21" t="s">
        <v>168</v>
      </c>
      <c r="K162" s="21">
        <v>217.7</v>
      </c>
      <c r="L162" s="21">
        <v>0</v>
      </c>
      <c r="M162" s="21">
        <v>217.7</v>
      </c>
      <c r="N162" s="21" t="s">
        <v>194</v>
      </c>
      <c r="O162" s="21" t="s">
        <v>633</v>
      </c>
      <c r="P162" s="21" t="s">
        <v>633</v>
      </c>
      <c r="Q162" s="21" t="s">
        <v>946</v>
      </c>
      <c r="R162" s="21" t="s">
        <v>928</v>
      </c>
      <c r="S162" s="21" t="s">
        <v>635</v>
      </c>
      <c r="T162" s="21" t="s">
        <v>636</v>
      </c>
      <c r="U162" s="21" t="s">
        <v>947</v>
      </c>
      <c r="V162" s="21">
        <v>165.32</v>
      </c>
      <c r="W162" s="21">
        <v>165.31999943393799</v>
      </c>
      <c r="X162" s="21" t="s">
        <v>946</v>
      </c>
      <c r="Y162" s="21" t="s">
        <v>928</v>
      </c>
      <c r="Z162" s="21" t="s">
        <v>189</v>
      </c>
      <c r="AA162" s="21" t="s">
        <v>189</v>
      </c>
      <c r="AB162" s="21"/>
      <c r="AC162" s="21" t="s">
        <v>948</v>
      </c>
      <c r="AD162" s="21">
        <v>265</v>
      </c>
      <c r="AE162" s="21">
        <v>0</v>
      </c>
      <c r="AF162" s="21">
        <v>0</v>
      </c>
      <c r="AG162" s="21">
        <v>0</v>
      </c>
      <c r="AH162" s="21">
        <v>0</v>
      </c>
      <c r="AI162" s="21">
        <v>0</v>
      </c>
      <c r="AJ162" s="21" t="s">
        <v>638</v>
      </c>
      <c r="AK162" s="21">
        <v>0</v>
      </c>
      <c r="AL162" s="21">
        <v>0</v>
      </c>
      <c r="AM162" s="21">
        <v>0</v>
      </c>
      <c r="AN162" s="21">
        <v>0</v>
      </c>
      <c r="AO162" s="21">
        <v>0</v>
      </c>
      <c r="AP162" s="21"/>
      <c r="AQ162" s="21">
        <v>0</v>
      </c>
      <c r="AR162" s="21">
        <v>0</v>
      </c>
      <c r="AS162" s="21">
        <v>1752318.29</v>
      </c>
      <c r="AT162" s="21" t="s">
        <v>169</v>
      </c>
      <c r="AU162" s="21" t="s">
        <v>181</v>
      </c>
      <c r="AV162" s="21" t="s">
        <v>154</v>
      </c>
      <c r="AW162" s="21" t="s">
        <v>639</v>
      </c>
      <c r="AX162" s="21" t="s">
        <v>640</v>
      </c>
      <c r="AY162" s="21">
        <v>0</v>
      </c>
      <c r="AZ162" s="21">
        <v>35990.160000000003</v>
      </c>
      <c r="BA162" s="21">
        <v>443</v>
      </c>
      <c r="BB162" s="21" t="s">
        <v>928</v>
      </c>
      <c r="BC162" s="21" t="s">
        <v>176</v>
      </c>
      <c r="BD162" s="21" t="s">
        <v>641</v>
      </c>
      <c r="BE162" s="21" t="s">
        <v>641</v>
      </c>
      <c r="BF162" s="21">
        <v>9</v>
      </c>
      <c r="BG162" s="21">
        <v>3239.11</v>
      </c>
      <c r="BH162" s="21">
        <v>9</v>
      </c>
      <c r="BI162" s="21">
        <v>3239.11</v>
      </c>
      <c r="BJ162" s="21">
        <v>0</v>
      </c>
      <c r="BK162" s="21">
        <v>0</v>
      </c>
      <c r="BL162" s="21">
        <v>0</v>
      </c>
      <c r="BM162" s="21">
        <v>632164150774</v>
      </c>
      <c r="BN162" s="23">
        <v>46250</v>
      </c>
      <c r="BO162" s="21">
        <v>217.7</v>
      </c>
    </row>
    <row r="163" spans="1:67" hidden="1" x14ac:dyDescent="0.25">
      <c r="A163" s="22"/>
      <c r="B163" s="21" t="s">
        <v>167</v>
      </c>
      <c r="C163" s="21" t="s">
        <v>928</v>
      </c>
      <c r="D163" s="21" t="s">
        <v>944</v>
      </c>
      <c r="E163" s="21" t="s">
        <v>180</v>
      </c>
      <c r="F163" s="21" t="s">
        <v>181</v>
      </c>
      <c r="G163" s="21" t="s">
        <v>945</v>
      </c>
      <c r="H163" s="21">
        <v>188.6</v>
      </c>
      <c r="I163" s="21">
        <v>188.6</v>
      </c>
      <c r="J163" s="21" t="s">
        <v>168</v>
      </c>
      <c r="K163" s="21">
        <v>188.6</v>
      </c>
      <c r="L163" s="21">
        <v>0</v>
      </c>
      <c r="M163" s="21">
        <v>188.6</v>
      </c>
      <c r="N163" s="21" t="s">
        <v>194</v>
      </c>
      <c r="O163" s="21" t="s">
        <v>633</v>
      </c>
      <c r="P163" s="21" t="s">
        <v>633</v>
      </c>
      <c r="Q163" s="21" t="s">
        <v>946</v>
      </c>
      <c r="R163" s="21" t="s">
        <v>928</v>
      </c>
      <c r="S163" s="21" t="s">
        <v>635</v>
      </c>
      <c r="T163" s="21" t="s">
        <v>636</v>
      </c>
      <c r="U163" s="21" t="s">
        <v>947</v>
      </c>
      <c r="V163" s="21">
        <v>147.32</v>
      </c>
      <c r="W163" s="21">
        <v>147.31999949557101</v>
      </c>
      <c r="X163" s="21" t="s">
        <v>946</v>
      </c>
      <c r="Y163" s="21" t="s">
        <v>928</v>
      </c>
      <c r="Z163" s="21" t="s">
        <v>189</v>
      </c>
      <c r="AA163" s="21" t="s">
        <v>189</v>
      </c>
      <c r="AB163" s="21"/>
      <c r="AC163" s="21" t="s">
        <v>948</v>
      </c>
      <c r="AD163" s="21">
        <v>265</v>
      </c>
      <c r="AE163" s="21">
        <v>0</v>
      </c>
      <c r="AF163" s="21">
        <v>0</v>
      </c>
      <c r="AG163" s="21">
        <v>0</v>
      </c>
      <c r="AH163" s="21">
        <v>0</v>
      </c>
      <c r="AI163" s="21">
        <v>0</v>
      </c>
      <c r="AJ163" s="21" t="s">
        <v>638</v>
      </c>
      <c r="AK163" s="21">
        <v>0</v>
      </c>
      <c r="AL163" s="21">
        <v>0</v>
      </c>
      <c r="AM163" s="21">
        <v>0</v>
      </c>
      <c r="AN163" s="21">
        <v>0</v>
      </c>
      <c r="AO163" s="21">
        <v>0</v>
      </c>
      <c r="AP163" s="21"/>
      <c r="AQ163" s="21">
        <v>0</v>
      </c>
      <c r="AR163" s="21">
        <v>0</v>
      </c>
      <c r="AS163" s="21">
        <v>1752318.29</v>
      </c>
      <c r="AT163" s="21" t="s">
        <v>169</v>
      </c>
      <c r="AU163" s="21" t="s">
        <v>181</v>
      </c>
      <c r="AV163" s="21" t="s">
        <v>154</v>
      </c>
      <c r="AW163" s="21" t="s">
        <v>639</v>
      </c>
      <c r="AX163" s="21" t="s">
        <v>640</v>
      </c>
      <c r="AY163" s="21">
        <v>0</v>
      </c>
      <c r="AZ163" s="21">
        <v>27784.55</v>
      </c>
      <c r="BA163" s="21">
        <v>443</v>
      </c>
      <c r="BB163" s="21" t="s">
        <v>928</v>
      </c>
      <c r="BC163" s="21" t="s">
        <v>176</v>
      </c>
      <c r="BD163" s="21" t="s">
        <v>641</v>
      </c>
      <c r="BE163" s="21" t="s">
        <v>641</v>
      </c>
      <c r="BF163" s="21">
        <v>9</v>
      </c>
      <c r="BG163" s="21">
        <v>2500.61</v>
      </c>
      <c r="BH163" s="21">
        <v>9</v>
      </c>
      <c r="BI163" s="21">
        <v>2500.61</v>
      </c>
      <c r="BJ163" s="21">
        <v>0</v>
      </c>
      <c r="BK163" s="21">
        <v>0</v>
      </c>
      <c r="BL163" s="21">
        <v>0</v>
      </c>
      <c r="BM163" s="21">
        <v>632164150774</v>
      </c>
      <c r="BN163" s="23">
        <v>46250</v>
      </c>
      <c r="BO163" s="21">
        <v>188.6</v>
      </c>
    </row>
    <row r="164" spans="1:67" hidden="1" x14ac:dyDescent="0.25">
      <c r="A164" s="22"/>
      <c r="B164" s="21" t="s">
        <v>167</v>
      </c>
      <c r="C164" s="21" t="s">
        <v>928</v>
      </c>
      <c r="D164" s="21" t="s">
        <v>944</v>
      </c>
      <c r="E164" s="21" t="s">
        <v>180</v>
      </c>
      <c r="F164" s="21" t="s">
        <v>181</v>
      </c>
      <c r="G164" s="21" t="s">
        <v>945</v>
      </c>
      <c r="H164" s="21">
        <v>56</v>
      </c>
      <c r="I164" s="21">
        <v>56</v>
      </c>
      <c r="J164" s="21" t="s">
        <v>168</v>
      </c>
      <c r="K164" s="21">
        <v>56</v>
      </c>
      <c r="L164" s="21">
        <v>0</v>
      </c>
      <c r="M164" s="21">
        <v>56</v>
      </c>
      <c r="N164" s="21" t="s">
        <v>194</v>
      </c>
      <c r="O164" s="21" t="s">
        <v>633</v>
      </c>
      <c r="P164" s="21" t="s">
        <v>633</v>
      </c>
      <c r="Q164" s="21" t="s">
        <v>946</v>
      </c>
      <c r="R164" s="21" t="s">
        <v>928</v>
      </c>
      <c r="S164" s="21" t="s">
        <v>635</v>
      </c>
      <c r="T164" s="21" t="s">
        <v>636</v>
      </c>
      <c r="U164" s="21" t="s">
        <v>947</v>
      </c>
      <c r="V164" s="21">
        <v>144.32</v>
      </c>
      <c r="W164" s="21">
        <v>144.31999950584299</v>
      </c>
      <c r="X164" s="21" t="s">
        <v>946</v>
      </c>
      <c r="Y164" s="21" t="s">
        <v>928</v>
      </c>
      <c r="Z164" s="21" t="s">
        <v>189</v>
      </c>
      <c r="AA164" s="21" t="s">
        <v>189</v>
      </c>
      <c r="AB164" s="21"/>
      <c r="AC164" s="21" t="s">
        <v>948</v>
      </c>
      <c r="AD164" s="21">
        <v>265</v>
      </c>
      <c r="AE164" s="21">
        <v>0</v>
      </c>
      <c r="AF164" s="21">
        <v>0</v>
      </c>
      <c r="AG164" s="21">
        <v>0</v>
      </c>
      <c r="AH164" s="21">
        <v>0</v>
      </c>
      <c r="AI164" s="21">
        <v>0</v>
      </c>
      <c r="AJ164" s="21" t="s">
        <v>638</v>
      </c>
      <c r="AK164" s="21">
        <v>0</v>
      </c>
      <c r="AL164" s="21">
        <v>0</v>
      </c>
      <c r="AM164" s="21">
        <v>0</v>
      </c>
      <c r="AN164" s="21">
        <v>0</v>
      </c>
      <c r="AO164" s="21">
        <v>0</v>
      </c>
      <c r="AP164" s="21"/>
      <c r="AQ164" s="21">
        <v>0</v>
      </c>
      <c r="AR164" s="21">
        <v>0</v>
      </c>
      <c r="AS164" s="21">
        <v>1752318.29</v>
      </c>
      <c r="AT164" s="21" t="s">
        <v>169</v>
      </c>
      <c r="AU164" s="21" t="s">
        <v>181</v>
      </c>
      <c r="AV164" s="21" t="s">
        <v>154</v>
      </c>
      <c r="AW164" s="21" t="s">
        <v>639</v>
      </c>
      <c r="AX164" s="21" t="s">
        <v>640</v>
      </c>
      <c r="AY164" s="21">
        <v>0</v>
      </c>
      <c r="AZ164" s="21">
        <v>8081.92</v>
      </c>
      <c r="BA164" s="21">
        <v>443</v>
      </c>
      <c r="BB164" s="21" t="s">
        <v>928</v>
      </c>
      <c r="BC164" s="21" t="s">
        <v>176</v>
      </c>
      <c r="BD164" s="21" t="s">
        <v>641</v>
      </c>
      <c r="BE164" s="21" t="s">
        <v>641</v>
      </c>
      <c r="BF164" s="21">
        <v>9</v>
      </c>
      <c r="BG164" s="21">
        <v>727.37</v>
      </c>
      <c r="BH164" s="21">
        <v>9</v>
      </c>
      <c r="BI164" s="21">
        <v>727.37</v>
      </c>
      <c r="BJ164" s="21">
        <v>0</v>
      </c>
      <c r="BK164" s="21">
        <v>0</v>
      </c>
      <c r="BL164" s="21">
        <v>0</v>
      </c>
      <c r="BM164" s="21">
        <v>632164150774</v>
      </c>
      <c r="BN164" s="23">
        <v>46250</v>
      </c>
      <c r="BO164" s="21">
        <v>56</v>
      </c>
    </row>
    <row r="165" spans="1:67" hidden="1" x14ac:dyDescent="0.25">
      <c r="A165" s="22"/>
      <c r="B165" s="21" t="s">
        <v>167</v>
      </c>
      <c r="C165" s="21" t="s">
        <v>949</v>
      </c>
      <c r="D165" s="21" t="s">
        <v>950</v>
      </c>
      <c r="E165" s="21" t="s">
        <v>177</v>
      </c>
      <c r="F165" s="21" t="s">
        <v>178</v>
      </c>
      <c r="G165" s="21" t="s">
        <v>951</v>
      </c>
      <c r="H165" s="21">
        <v>763</v>
      </c>
      <c r="I165" s="21">
        <v>763</v>
      </c>
      <c r="J165" s="21" t="s">
        <v>168</v>
      </c>
      <c r="K165" s="21">
        <v>763</v>
      </c>
      <c r="L165" s="21">
        <v>0</v>
      </c>
      <c r="M165" s="21">
        <v>763</v>
      </c>
      <c r="N165" s="21" t="s">
        <v>174</v>
      </c>
      <c r="O165" s="21" t="s">
        <v>633</v>
      </c>
      <c r="P165" s="21" t="s">
        <v>633</v>
      </c>
      <c r="Q165" s="21" t="s">
        <v>952</v>
      </c>
      <c r="R165" s="21" t="s">
        <v>949</v>
      </c>
      <c r="S165" s="21" t="s">
        <v>635</v>
      </c>
      <c r="T165" s="21" t="s">
        <v>636</v>
      </c>
      <c r="U165" s="21" t="s">
        <v>953</v>
      </c>
      <c r="V165" s="21">
        <v>149.32</v>
      </c>
      <c r="W165" s="21">
        <v>149.32</v>
      </c>
      <c r="X165" s="21" t="s">
        <v>952</v>
      </c>
      <c r="Y165" s="21" t="s">
        <v>949</v>
      </c>
      <c r="Z165" s="21" t="s">
        <v>189</v>
      </c>
      <c r="AA165" s="21" t="s">
        <v>189</v>
      </c>
      <c r="AB165" s="21"/>
      <c r="AC165" s="21" t="s">
        <v>189</v>
      </c>
      <c r="AD165" s="21" t="s">
        <v>189</v>
      </c>
      <c r="AE165" s="21">
        <v>0</v>
      </c>
      <c r="AF165" s="21">
        <v>0</v>
      </c>
      <c r="AG165" s="21">
        <v>0</v>
      </c>
      <c r="AH165" s="21">
        <v>0</v>
      </c>
      <c r="AI165" s="21">
        <v>0</v>
      </c>
      <c r="AJ165" s="21" t="s">
        <v>638</v>
      </c>
      <c r="AK165" s="21">
        <v>0</v>
      </c>
      <c r="AL165" s="21">
        <v>0</v>
      </c>
      <c r="AM165" s="21">
        <v>0</v>
      </c>
      <c r="AN165" s="21">
        <v>0</v>
      </c>
      <c r="AO165" s="21">
        <v>0</v>
      </c>
      <c r="AP165" s="21"/>
      <c r="AQ165" s="21">
        <v>0</v>
      </c>
      <c r="AR165" s="21">
        <v>0</v>
      </c>
      <c r="AS165" s="21">
        <v>454116.8</v>
      </c>
      <c r="AT165" s="21" t="s">
        <v>169</v>
      </c>
      <c r="AU165" s="21" t="s">
        <v>179</v>
      </c>
      <c r="AV165" s="21" t="s">
        <v>156</v>
      </c>
      <c r="AW165" s="21" t="s">
        <v>639</v>
      </c>
      <c r="AX165" s="21" t="s">
        <v>640</v>
      </c>
      <c r="AY165" s="21">
        <v>0</v>
      </c>
      <c r="AZ165" s="21">
        <v>113931.16</v>
      </c>
      <c r="BA165" s="21">
        <v>444</v>
      </c>
      <c r="BB165" s="21" t="s">
        <v>949</v>
      </c>
      <c r="BC165" s="21" t="s">
        <v>176</v>
      </c>
      <c r="BD165" s="21" t="s">
        <v>641</v>
      </c>
      <c r="BE165" s="21" t="s">
        <v>641</v>
      </c>
      <c r="BF165" s="21">
        <v>9</v>
      </c>
      <c r="BG165" s="21">
        <v>10253.799999999999</v>
      </c>
      <c r="BH165" s="21">
        <v>9</v>
      </c>
      <c r="BI165" s="21">
        <v>10253.799999999999</v>
      </c>
      <c r="BJ165" s="21">
        <v>0</v>
      </c>
      <c r="BK165" s="21">
        <v>0</v>
      </c>
      <c r="BL165" s="21">
        <v>454116.8</v>
      </c>
      <c r="BM165" s="21">
        <v>622164387085</v>
      </c>
      <c r="BN165" s="23">
        <v>46251</v>
      </c>
      <c r="BO165" s="21">
        <v>763</v>
      </c>
    </row>
    <row r="166" spans="1:67" hidden="1" x14ac:dyDescent="0.25">
      <c r="A166" s="22"/>
      <c r="B166" s="21" t="s">
        <v>167</v>
      </c>
      <c r="C166" s="21" t="s">
        <v>949</v>
      </c>
      <c r="D166" s="21" t="s">
        <v>950</v>
      </c>
      <c r="E166" s="21" t="s">
        <v>182</v>
      </c>
      <c r="F166" s="21" t="s">
        <v>183</v>
      </c>
      <c r="G166" s="21" t="s">
        <v>951</v>
      </c>
      <c r="H166" s="21">
        <v>473</v>
      </c>
      <c r="I166" s="21">
        <v>473</v>
      </c>
      <c r="J166" s="21" t="s">
        <v>168</v>
      </c>
      <c r="K166" s="21">
        <v>473</v>
      </c>
      <c r="L166" s="21">
        <v>0</v>
      </c>
      <c r="M166" s="21">
        <v>473</v>
      </c>
      <c r="N166" s="21" t="s">
        <v>174</v>
      </c>
      <c r="O166" s="21" t="s">
        <v>633</v>
      </c>
      <c r="P166" s="21" t="s">
        <v>633</v>
      </c>
      <c r="Q166" s="21" t="s">
        <v>952</v>
      </c>
      <c r="R166" s="21" t="s">
        <v>949</v>
      </c>
      <c r="S166" s="21" t="s">
        <v>635</v>
      </c>
      <c r="T166" s="21" t="s">
        <v>636</v>
      </c>
      <c r="U166" s="21" t="s">
        <v>953</v>
      </c>
      <c r="V166" s="21">
        <v>142.32</v>
      </c>
      <c r="W166" s="21">
        <v>142.32</v>
      </c>
      <c r="X166" s="21" t="s">
        <v>952</v>
      </c>
      <c r="Y166" s="21" t="s">
        <v>949</v>
      </c>
      <c r="Z166" s="21" t="s">
        <v>189</v>
      </c>
      <c r="AA166" s="21" t="s">
        <v>189</v>
      </c>
      <c r="AB166" s="21"/>
      <c r="AC166" s="21" t="s">
        <v>189</v>
      </c>
      <c r="AD166" s="21" t="s">
        <v>189</v>
      </c>
      <c r="AE166" s="21">
        <v>0</v>
      </c>
      <c r="AF166" s="21">
        <v>0</v>
      </c>
      <c r="AG166" s="21">
        <v>0</v>
      </c>
      <c r="AH166" s="21">
        <v>0</v>
      </c>
      <c r="AI166" s="21">
        <v>0</v>
      </c>
      <c r="AJ166" s="21" t="s">
        <v>638</v>
      </c>
      <c r="AK166" s="21">
        <v>0</v>
      </c>
      <c r="AL166" s="21">
        <v>0</v>
      </c>
      <c r="AM166" s="21">
        <v>0</v>
      </c>
      <c r="AN166" s="21">
        <v>0</v>
      </c>
      <c r="AO166" s="21">
        <v>0</v>
      </c>
      <c r="AP166" s="21"/>
      <c r="AQ166" s="21">
        <v>0</v>
      </c>
      <c r="AR166" s="21">
        <v>0</v>
      </c>
      <c r="AS166" s="21">
        <v>454116.8</v>
      </c>
      <c r="AT166" s="21" t="s">
        <v>169</v>
      </c>
      <c r="AU166" s="21" t="s">
        <v>179</v>
      </c>
      <c r="AV166" s="21" t="s">
        <v>155</v>
      </c>
      <c r="AW166" s="21" t="s">
        <v>639</v>
      </c>
      <c r="AX166" s="21" t="s">
        <v>640</v>
      </c>
      <c r="AY166" s="21">
        <v>0</v>
      </c>
      <c r="AZ166" s="21">
        <v>67317.36</v>
      </c>
      <c r="BA166" s="21">
        <v>444</v>
      </c>
      <c r="BB166" s="21" t="s">
        <v>949</v>
      </c>
      <c r="BC166" s="21" t="s">
        <v>176</v>
      </c>
      <c r="BD166" s="21" t="s">
        <v>641</v>
      </c>
      <c r="BE166" s="21" t="s">
        <v>641</v>
      </c>
      <c r="BF166" s="21">
        <v>9</v>
      </c>
      <c r="BG166" s="21">
        <v>6058.56</v>
      </c>
      <c r="BH166" s="21">
        <v>9</v>
      </c>
      <c r="BI166" s="21">
        <v>6058.56</v>
      </c>
      <c r="BJ166" s="21">
        <v>0</v>
      </c>
      <c r="BK166" s="21">
        <v>0</v>
      </c>
      <c r="BL166" s="21">
        <v>0</v>
      </c>
      <c r="BM166" s="21">
        <v>622164387085</v>
      </c>
      <c r="BN166" s="23">
        <v>46251</v>
      </c>
      <c r="BO166" s="21">
        <v>473</v>
      </c>
    </row>
    <row r="167" spans="1:67" hidden="1" x14ac:dyDescent="0.25">
      <c r="A167" s="22"/>
      <c r="B167" s="21" t="s">
        <v>167</v>
      </c>
      <c r="C167" s="21" t="s">
        <v>949</v>
      </c>
      <c r="D167" s="21" t="s">
        <v>950</v>
      </c>
      <c r="E167" s="21" t="s">
        <v>182</v>
      </c>
      <c r="F167" s="21" t="s">
        <v>183</v>
      </c>
      <c r="G167" s="21" t="s">
        <v>951</v>
      </c>
      <c r="H167" s="21">
        <v>1382</v>
      </c>
      <c r="I167" s="21">
        <v>1382</v>
      </c>
      <c r="J167" s="21" t="s">
        <v>168</v>
      </c>
      <c r="K167" s="21">
        <v>1382</v>
      </c>
      <c r="L167" s="21">
        <v>0</v>
      </c>
      <c r="M167" s="21">
        <v>1382</v>
      </c>
      <c r="N167" s="21" t="s">
        <v>174</v>
      </c>
      <c r="O167" s="21" t="s">
        <v>633</v>
      </c>
      <c r="P167" s="21" t="s">
        <v>633</v>
      </c>
      <c r="Q167" s="21" t="s">
        <v>952</v>
      </c>
      <c r="R167" s="21" t="s">
        <v>949</v>
      </c>
      <c r="S167" s="21" t="s">
        <v>635</v>
      </c>
      <c r="T167" s="21" t="s">
        <v>636</v>
      </c>
      <c r="U167" s="21" t="s">
        <v>953</v>
      </c>
      <c r="V167" s="21">
        <v>147.32</v>
      </c>
      <c r="W167" s="21">
        <v>147.32</v>
      </c>
      <c r="X167" s="21" t="s">
        <v>952</v>
      </c>
      <c r="Y167" s="21" t="s">
        <v>949</v>
      </c>
      <c r="Z167" s="21" t="s">
        <v>189</v>
      </c>
      <c r="AA167" s="21" t="s">
        <v>189</v>
      </c>
      <c r="AB167" s="21"/>
      <c r="AC167" s="21" t="s">
        <v>189</v>
      </c>
      <c r="AD167" s="21" t="s">
        <v>189</v>
      </c>
      <c r="AE167" s="21">
        <v>0</v>
      </c>
      <c r="AF167" s="21">
        <v>0</v>
      </c>
      <c r="AG167" s="21">
        <v>0</v>
      </c>
      <c r="AH167" s="21">
        <v>0</v>
      </c>
      <c r="AI167" s="21">
        <v>0</v>
      </c>
      <c r="AJ167" s="21" t="s">
        <v>638</v>
      </c>
      <c r="AK167" s="21">
        <v>0</v>
      </c>
      <c r="AL167" s="21">
        <v>0</v>
      </c>
      <c r="AM167" s="21">
        <v>0</v>
      </c>
      <c r="AN167" s="21">
        <v>0</v>
      </c>
      <c r="AO167" s="21">
        <v>0</v>
      </c>
      <c r="AP167" s="21"/>
      <c r="AQ167" s="21">
        <v>0</v>
      </c>
      <c r="AR167" s="21">
        <v>0</v>
      </c>
      <c r="AS167" s="21">
        <v>454116.8</v>
      </c>
      <c r="AT167" s="21" t="s">
        <v>169</v>
      </c>
      <c r="AU167" s="21" t="s">
        <v>179</v>
      </c>
      <c r="AV167" s="21" t="s">
        <v>155</v>
      </c>
      <c r="AW167" s="21" t="s">
        <v>639</v>
      </c>
      <c r="AX167" s="21" t="s">
        <v>640</v>
      </c>
      <c r="AY167" s="21">
        <v>0</v>
      </c>
      <c r="AZ167" s="21">
        <v>203596.24</v>
      </c>
      <c r="BA167" s="21">
        <v>444</v>
      </c>
      <c r="BB167" s="21" t="s">
        <v>949</v>
      </c>
      <c r="BC167" s="21" t="s">
        <v>176</v>
      </c>
      <c r="BD167" s="21" t="s">
        <v>641</v>
      </c>
      <c r="BE167" s="21" t="s">
        <v>641</v>
      </c>
      <c r="BF167" s="21">
        <v>9</v>
      </c>
      <c r="BG167" s="21">
        <v>18323.66</v>
      </c>
      <c r="BH167" s="21">
        <v>9</v>
      </c>
      <c r="BI167" s="21">
        <v>18323.66</v>
      </c>
      <c r="BJ167" s="21">
        <v>0</v>
      </c>
      <c r="BK167" s="21">
        <v>0</v>
      </c>
      <c r="BL167" s="21">
        <v>0</v>
      </c>
      <c r="BM167" s="21">
        <v>622164387085</v>
      </c>
      <c r="BN167" s="23">
        <v>46251</v>
      </c>
      <c r="BO167" s="21">
        <v>1382</v>
      </c>
    </row>
    <row r="168" spans="1:67" x14ac:dyDescent="0.25">
      <c r="A168" s="22"/>
      <c r="B168" s="21" t="s">
        <v>167</v>
      </c>
      <c r="C168" s="21" t="s">
        <v>949</v>
      </c>
      <c r="D168" s="21" t="s">
        <v>954</v>
      </c>
      <c r="E168" s="21" t="s">
        <v>955</v>
      </c>
      <c r="F168" s="21" t="s">
        <v>956</v>
      </c>
      <c r="G168" s="21" t="s">
        <v>957</v>
      </c>
      <c r="H168" s="21">
        <v>100</v>
      </c>
      <c r="I168" s="21">
        <v>100</v>
      </c>
      <c r="J168" s="21" t="s">
        <v>168</v>
      </c>
      <c r="K168" s="21">
        <v>100</v>
      </c>
      <c r="L168" s="21">
        <v>0</v>
      </c>
      <c r="M168" s="21">
        <v>100</v>
      </c>
      <c r="N168" s="21" t="s">
        <v>317</v>
      </c>
      <c r="O168" s="21" t="s">
        <v>633</v>
      </c>
      <c r="P168" s="21" t="s">
        <v>633</v>
      </c>
      <c r="Q168" s="21" t="s">
        <v>958</v>
      </c>
      <c r="R168" s="21" t="s">
        <v>949</v>
      </c>
      <c r="S168" s="21" t="s">
        <v>635</v>
      </c>
      <c r="T168" s="21" t="s">
        <v>636</v>
      </c>
      <c r="U168" s="21" t="s">
        <v>959</v>
      </c>
      <c r="V168" s="21">
        <v>272</v>
      </c>
      <c r="W168" s="21">
        <v>272</v>
      </c>
      <c r="X168" s="21" t="s">
        <v>958</v>
      </c>
      <c r="Y168" s="21" t="s">
        <v>949</v>
      </c>
      <c r="Z168" s="21"/>
      <c r="AA168" s="21">
        <v>0</v>
      </c>
      <c r="AB168" s="21"/>
      <c r="AC168" s="21">
        <v>0</v>
      </c>
      <c r="AD168" s="21">
        <v>0</v>
      </c>
      <c r="AE168" s="21">
        <v>0</v>
      </c>
      <c r="AF168" s="21">
        <v>0</v>
      </c>
      <c r="AG168" s="21">
        <v>0</v>
      </c>
      <c r="AH168" s="21">
        <v>0</v>
      </c>
      <c r="AI168" s="21">
        <v>0</v>
      </c>
      <c r="AJ168" s="21" t="s">
        <v>638</v>
      </c>
      <c r="AK168" s="21">
        <v>0</v>
      </c>
      <c r="AL168" s="21">
        <v>0</v>
      </c>
      <c r="AM168" s="21">
        <v>0</v>
      </c>
      <c r="AN168" s="21">
        <v>0</v>
      </c>
      <c r="AO168" s="21">
        <v>0</v>
      </c>
      <c r="AP168" s="21"/>
      <c r="AQ168" s="21">
        <v>0</v>
      </c>
      <c r="AR168" s="21">
        <v>0</v>
      </c>
      <c r="AS168" s="21">
        <v>51094</v>
      </c>
      <c r="AT168" s="21" t="s">
        <v>639</v>
      </c>
      <c r="AU168" s="21" t="s">
        <v>648</v>
      </c>
      <c r="AV168" s="21" t="s">
        <v>313</v>
      </c>
      <c r="AW168" s="21" t="s">
        <v>639</v>
      </c>
      <c r="AX168" s="21" t="s">
        <v>640</v>
      </c>
      <c r="AY168" s="21">
        <v>0</v>
      </c>
      <c r="AZ168" s="21">
        <v>27200</v>
      </c>
      <c r="BA168" s="21">
        <v>446</v>
      </c>
      <c r="BB168" s="21" t="s">
        <v>949</v>
      </c>
      <c r="BC168" s="21" t="s">
        <v>176</v>
      </c>
      <c r="BD168" s="21" t="s">
        <v>641</v>
      </c>
      <c r="BE168" s="21" t="s">
        <v>641</v>
      </c>
      <c r="BF168" s="21">
        <v>9</v>
      </c>
      <c r="BG168" s="21">
        <v>2448</v>
      </c>
      <c r="BH168" s="21">
        <v>9</v>
      </c>
      <c r="BI168" s="21">
        <v>2448</v>
      </c>
      <c r="BJ168" s="21">
        <v>0</v>
      </c>
      <c r="BK168" s="21">
        <v>0</v>
      </c>
      <c r="BL168" s="21">
        <v>51094</v>
      </c>
      <c r="BM168" s="21">
        <v>652164692566</v>
      </c>
      <c r="BN168" s="23">
        <v>46251</v>
      </c>
      <c r="BO168" s="21">
        <v>100</v>
      </c>
    </row>
    <row r="169" spans="1:67" x14ac:dyDescent="0.25">
      <c r="A169" s="22"/>
      <c r="B169" s="21" t="s">
        <v>167</v>
      </c>
      <c r="C169" s="21" t="s">
        <v>949</v>
      </c>
      <c r="D169" s="21" t="s">
        <v>954</v>
      </c>
      <c r="E169" s="21" t="s">
        <v>960</v>
      </c>
      <c r="F169" s="21" t="s">
        <v>961</v>
      </c>
      <c r="G169" s="21" t="s">
        <v>957</v>
      </c>
      <c r="H169" s="21">
        <v>25</v>
      </c>
      <c r="I169" s="21">
        <v>25</v>
      </c>
      <c r="J169" s="21" t="s">
        <v>168</v>
      </c>
      <c r="K169" s="21">
        <v>25</v>
      </c>
      <c r="L169" s="21">
        <v>0</v>
      </c>
      <c r="M169" s="21">
        <v>25</v>
      </c>
      <c r="N169" s="21" t="s">
        <v>317</v>
      </c>
      <c r="O169" s="21" t="s">
        <v>633</v>
      </c>
      <c r="P169" s="21" t="s">
        <v>633</v>
      </c>
      <c r="Q169" s="21" t="s">
        <v>958</v>
      </c>
      <c r="R169" s="21" t="s">
        <v>949</v>
      </c>
      <c r="S169" s="21" t="s">
        <v>635</v>
      </c>
      <c r="T169" s="21" t="s">
        <v>636</v>
      </c>
      <c r="U169" s="21" t="s">
        <v>959</v>
      </c>
      <c r="V169" s="21">
        <v>179</v>
      </c>
      <c r="W169" s="21">
        <v>179</v>
      </c>
      <c r="X169" s="21" t="s">
        <v>958</v>
      </c>
      <c r="Y169" s="21" t="s">
        <v>949</v>
      </c>
      <c r="Z169" s="21"/>
      <c r="AA169" s="21">
        <v>0</v>
      </c>
      <c r="AB169" s="21"/>
      <c r="AC169" s="21">
        <v>0</v>
      </c>
      <c r="AD169" s="21">
        <v>0</v>
      </c>
      <c r="AE169" s="21">
        <v>0</v>
      </c>
      <c r="AF169" s="21">
        <v>0</v>
      </c>
      <c r="AG169" s="21">
        <v>0</v>
      </c>
      <c r="AH169" s="21">
        <v>0</v>
      </c>
      <c r="AI169" s="21">
        <v>0</v>
      </c>
      <c r="AJ169" s="21" t="s">
        <v>638</v>
      </c>
      <c r="AK169" s="21">
        <v>0</v>
      </c>
      <c r="AL169" s="21">
        <v>0</v>
      </c>
      <c r="AM169" s="21">
        <v>0</v>
      </c>
      <c r="AN169" s="21">
        <v>0</v>
      </c>
      <c r="AO169" s="21">
        <v>0</v>
      </c>
      <c r="AP169" s="21"/>
      <c r="AQ169" s="21">
        <v>0</v>
      </c>
      <c r="AR169" s="21">
        <v>0</v>
      </c>
      <c r="AS169" s="21">
        <v>51094</v>
      </c>
      <c r="AT169" s="21" t="s">
        <v>639</v>
      </c>
      <c r="AU169" s="21" t="s">
        <v>648</v>
      </c>
      <c r="AV169" s="21" t="s">
        <v>313</v>
      </c>
      <c r="AW169" s="21" t="s">
        <v>639</v>
      </c>
      <c r="AX169" s="21" t="s">
        <v>640</v>
      </c>
      <c r="AY169" s="21">
        <v>0</v>
      </c>
      <c r="AZ169" s="21">
        <v>4475</v>
      </c>
      <c r="BA169" s="21">
        <v>446</v>
      </c>
      <c r="BB169" s="21" t="s">
        <v>949</v>
      </c>
      <c r="BC169" s="21" t="s">
        <v>176</v>
      </c>
      <c r="BD169" s="21" t="s">
        <v>641</v>
      </c>
      <c r="BE169" s="21" t="s">
        <v>641</v>
      </c>
      <c r="BF169" s="21">
        <v>9</v>
      </c>
      <c r="BG169" s="21">
        <v>402.75</v>
      </c>
      <c r="BH169" s="21">
        <v>9</v>
      </c>
      <c r="BI169" s="21">
        <v>402.75</v>
      </c>
      <c r="BJ169" s="21">
        <v>0</v>
      </c>
      <c r="BK169" s="21">
        <v>0</v>
      </c>
      <c r="BL169" s="21">
        <v>0</v>
      </c>
      <c r="BM169" s="21">
        <v>652164692566</v>
      </c>
      <c r="BN169" s="23">
        <v>46251</v>
      </c>
      <c r="BO169" s="21">
        <v>25</v>
      </c>
    </row>
    <row r="170" spans="1:67" x14ac:dyDescent="0.25">
      <c r="A170" s="22"/>
      <c r="B170" s="21" t="s">
        <v>167</v>
      </c>
      <c r="C170" s="21" t="s">
        <v>949</v>
      </c>
      <c r="D170" s="21" t="s">
        <v>954</v>
      </c>
      <c r="E170" s="21" t="s">
        <v>962</v>
      </c>
      <c r="F170" s="21" t="s">
        <v>963</v>
      </c>
      <c r="G170" s="21" t="s">
        <v>957</v>
      </c>
      <c r="H170" s="21">
        <v>75</v>
      </c>
      <c r="I170" s="21">
        <v>75</v>
      </c>
      <c r="J170" s="21" t="s">
        <v>168</v>
      </c>
      <c r="K170" s="21">
        <v>75</v>
      </c>
      <c r="L170" s="21">
        <v>0</v>
      </c>
      <c r="M170" s="21">
        <v>75</v>
      </c>
      <c r="N170" s="21" t="s">
        <v>317</v>
      </c>
      <c r="O170" s="21" t="s">
        <v>633</v>
      </c>
      <c r="P170" s="21" t="s">
        <v>633</v>
      </c>
      <c r="Q170" s="21" t="s">
        <v>958</v>
      </c>
      <c r="R170" s="21" t="s">
        <v>949</v>
      </c>
      <c r="S170" s="21" t="s">
        <v>635</v>
      </c>
      <c r="T170" s="21" t="s">
        <v>636</v>
      </c>
      <c r="U170" s="21" t="s">
        <v>959</v>
      </c>
      <c r="V170" s="21">
        <v>155</v>
      </c>
      <c r="W170" s="21">
        <v>155</v>
      </c>
      <c r="X170" s="21" t="s">
        <v>958</v>
      </c>
      <c r="Y170" s="21" t="s">
        <v>949</v>
      </c>
      <c r="Z170" s="21"/>
      <c r="AA170" s="21">
        <v>0</v>
      </c>
      <c r="AB170" s="21"/>
      <c r="AC170" s="21">
        <v>0</v>
      </c>
      <c r="AD170" s="21">
        <v>0</v>
      </c>
      <c r="AE170" s="21">
        <v>0</v>
      </c>
      <c r="AF170" s="21">
        <v>0</v>
      </c>
      <c r="AG170" s="21">
        <v>0</v>
      </c>
      <c r="AH170" s="21">
        <v>0</v>
      </c>
      <c r="AI170" s="21">
        <v>0</v>
      </c>
      <c r="AJ170" s="21" t="s">
        <v>638</v>
      </c>
      <c r="AK170" s="21">
        <v>0</v>
      </c>
      <c r="AL170" s="21">
        <v>0</v>
      </c>
      <c r="AM170" s="21">
        <v>0</v>
      </c>
      <c r="AN170" s="21">
        <v>0</v>
      </c>
      <c r="AO170" s="21">
        <v>0</v>
      </c>
      <c r="AP170" s="21"/>
      <c r="AQ170" s="21">
        <v>0</v>
      </c>
      <c r="AR170" s="21">
        <v>0</v>
      </c>
      <c r="AS170" s="21">
        <v>51094</v>
      </c>
      <c r="AT170" s="21" t="s">
        <v>639</v>
      </c>
      <c r="AU170" s="21" t="s">
        <v>648</v>
      </c>
      <c r="AV170" s="21" t="s">
        <v>313</v>
      </c>
      <c r="AW170" s="21" t="s">
        <v>639</v>
      </c>
      <c r="AX170" s="21"/>
      <c r="AY170" s="21">
        <v>0</v>
      </c>
      <c r="AZ170" s="21">
        <v>11625</v>
      </c>
      <c r="BA170" s="21">
        <v>446</v>
      </c>
      <c r="BB170" s="21" t="s">
        <v>949</v>
      </c>
      <c r="BC170" s="21" t="s">
        <v>176</v>
      </c>
      <c r="BD170" s="21" t="s">
        <v>641</v>
      </c>
      <c r="BE170" s="21" t="s">
        <v>641</v>
      </c>
      <c r="BF170" s="21">
        <v>9</v>
      </c>
      <c r="BG170" s="21">
        <v>1046.25</v>
      </c>
      <c r="BH170" s="21">
        <v>9</v>
      </c>
      <c r="BI170" s="21">
        <v>1046.25</v>
      </c>
      <c r="BJ170" s="21">
        <v>0</v>
      </c>
      <c r="BK170" s="21">
        <v>0</v>
      </c>
      <c r="BL170" s="21">
        <v>0</v>
      </c>
      <c r="BM170" s="21">
        <v>652164692566</v>
      </c>
      <c r="BN170" s="23">
        <v>46251</v>
      </c>
      <c r="BO170" s="21">
        <v>75</v>
      </c>
    </row>
    <row r="171" spans="1:67" hidden="1" x14ac:dyDescent="0.25">
      <c r="A171" s="22"/>
      <c r="B171" s="21" t="s">
        <v>167</v>
      </c>
      <c r="C171" s="21" t="s">
        <v>949</v>
      </c>
      <c r="D171" s="21" t="s">
        <v>964</v>
      </c>
      <c r="E171" s="21" t="s">
        <v>180</v>
      </c>
      <c r="F171" s="21" t="s">
        <v>181</v>
      </c>
      <c r="G171" s="21" t="s">
        <v>965</v>
      </c>
      <c r="H171" s="21">
        <v>217.6</v>
      </c>
      <c r="I171" s="21">
        <v>217.6</v>
      </c>
      <c r="J171" s="21" t="s">
        <v>168</v>
      </c>
      <c r="K171" s="21">
        <v>217.6</v>
      </c>
      <c r="L171" s="21">
        <v>0</v>
      </c>
      <c r="M171" s="21">
        <v>217.6</v>
      </c>
      <c r="N171" s="21" t="s">
        <v>174</v>
      </c>
      <c r="O171" s="21" t="s">
        <v>633</v>
      </c>
      <c r="P171" s="21" t="s">
        <v>633</v>
      </c>
      <c r="Q171" s="21" t="s">
        <v>966</v>
      </c>
      <c r="R171" s="21" t="s">
        <v>949</v>
      </c>
      <c r="S171" s="21" t="s">
        <v>635</v>
      </c>
      <c r="T171" s="21" t="s">
        <v>636</v>
      </c>
      <c r="U171" s="21" t="s">
        <v>967</v>
      </c>
      <c r="V171" s="21">
        <v>165.32</v>
      </c>
      <c r="W171" s="21">
        <v>165.319999068893</v>
      </c>
      <c r="X171" s="21" t="s">
        <v>966</v>
      </c>
      <c r="Y171" s="21" t="s">
        <v>949</v>
      </c>
      <c r="Z171" s="21" t="s">
        <v>189</v>
      </c>
      <c r="AA171" s="21" t="s">
        <v>189</v>
      </c>
      <c r="AB171" s="21"/>
      <c r="AC171" s="21" t="s">
        <v>189</v>
      </c>
      <c r="AD171" s="21" t="s">
        <v>189</v>
      </c>
      <c r="AE171" s="21">
        <v>0</v>
      </c>
      <c r="AF171" s="21">
        <v>0</v>
      </c>
      <c r="AG171" s="21">
        <v>0</v>
      </c>
      <c r="AH171" s="21">
        <v>0</v>
      </c>
      <c r="AI171" s="21">
        <v>0</v>
      </c>
      <c r="AJ171" s="21" t="s">
        <v>638</v>
      </c>
      <c r="AK171" s="21">
        <v>0</v>
      </c>
      <c r="AL171" s="21">
        <v>0</v>
      </c>
      <c r="AM171" s="21">
        <v>0</v>
      </c>
      <c r="AN171" s="21">
        <v>0</v>
      </c>
      <c r="AO171" s="21">
        <v>0</v>
      </c>
      <c r="AP171" s="21"/>
      <c r="AQ171" s="21">
        <v>0</v>
      </c>
      <c r="AR171" s="21">
        <v>0</v>
      </c>
      <c r="AS171" s="21">
        <v>355104.15</v>
      </c>
      <c r="AT171" s="21" t="s">
        <v>169</v>
      </c>
      <c r="AU171" s="21" t="s">
        <v>181</v>
      </c>
      <c r="AV171" s="21" t="s">
        <v>154</v>
      </c>
      <c r="AW171" s="21" t="s">
        <v>639</v>
      </c>
      <c r="AX171" s="21" t="s">
        <v>640</v>
      </c>
      <c r="AY171" s="21">
        <v>0</v>
      </c>
      <c r="AZ171" s="21">
        <v>35973.629999999997</v>
      </c>
      <c r="BA171" s="21">
        <v>445</v>
      </c>
      <c r="BB171" s="21" t="s">
        <v>949</v>
      </c>
      <c r="BC171" s="21" t="s">
        <v>176</v>
      </c>
      <c r="BD171" s="21" t="s">
        <v>641</v>
      </c>
      <c r="BE171" s="21" t="s">
        <v>641</v>
      </c>
      <c r="BF171" s="21">
        <v>9</v>
      </c>
      <c r="BG171" s="21">
        <v>3237.63</v>
      </c>
      <c r="BH171" s="21">
        <v>9</v>
      </c>
      <c r="BI171" s="21">
        <v>3237.63</v>
      </c>
      <c r="BJ171" s="21">
        <v>0</v>
      </c>
      <c r="BK171" s="21">
        <v>0</v>
      </c>
      <c r="BL171" s="21">
        <v>355104.15</v>
      </c>
      <c r="BM171" s="21">
        <v>642164579381</v>
      </c>
      <c r="BN171" s="23">
        <v>46251</v>
      </c>
      <c r="BO171" s="21">
        <v>217.6</v>
      </c>
    </row>
    <row r="172" spans="1:67" hidden="1" x14ac:dyDescent="0.25">
      <c r="A172" s="22"/>
      <c r="B172" s="21" t="s">
        <v>167</v>
      </c>
      <c r="C172" s="21" t="s">
        <v>949</v>
      </c>
      <c r="D172" s="21" t="s">
        <v>964</v>
      </c>
      <c r="E172" s="21" t="s">
        <v>180</v>
      </c>
      <c r="F172" s="21" t="s">
        <v>181</v>
      </c>
      <c r="G172" s="21" t="s">
        <v>965</v>
      </c>
      <c r="H172" s="21">
        <v>597.79999999999995</v>
      </c>
      <c r="I172" s="21">
        <v>597.79999999999995</v>
      </c>
      <c r="J172" s="21" t="s">
        <v>168</v>
      </c>
      <c r="K172" s="21">
        <v>597.79999999999995</v>
      </c>
      <c r="L172" s="21">
        <v>0</v>
      </c>
      <c r="M172" s="21">
        <v>597.79999999999995</v>
      </c>
      <c r="N172" s="21" t="s">
        <v>174</v>
      </c>
      <c r="O172" s="21" t="s">
        <v>633</v>
      </c>
      <c r="P172" s="21" t="s">
        <v>633</v>
      </c>
      <c r="Q172" s="21" t="s">
        <v>966</v>
      </c>
      <c r="R172" s="21" t="s">
        <v>949</v>
      </c>
      <c r="S172" s="21" t="s">
        <v>635</v>
      </c>
      <c r="T172" s="21" t="s">
        <v>636</v>
      </c>
      <c r="U172" s="21" t="s">
        <v>967</v>
      </c>
      <c r="V172" s="21">
        <v>147.32</v>
      </c>
      <c r="W172" s="21">
        <v>147.31999917027201</v>
      </c>
      <c r="X172" s="21" t="s">
        <v>966</v>
      </c>
      <c r="Y172" s="21" t="s">
        <v>949</v>
      </c>
      <c r="Z172" s="21" t="s">
        <v>189</v>
      </c>
      <c r="AA172" s="21" t="s">
        <v>189</v>
      </c>
      <c r="AB172" s="21"/>
      <c r="AC172" s="21" t="s">
        <v>189</v>
      </c>
      <c r="AD172" s="21" t="s">
        <v>189</v>
      </c>
      <c r="AE172" s="21">
        <v>0</v>
      </c>
      <c r="AF172" s="21">
        <v>0</v>
      </c>
      <c r="AG172" s="21">
        <v>0</v>
      </c>
      <c r="AH172" s="21">
        <v>0</v>
      </c>
      <c r="AI172" s="21">
        <v>0</v>
      </c>
      <c r="AJ172" s="21" t="s">
        <v>638</v>
      </c>
      <c r="AK172" s="21">
        <v>0</v>
      </c>
      <c r="AL172" s="21">
        <v>0</v>
      </c>
      <c r="AM172" s="21">
        <v>0</v>
      </c>
      <c r="AN172" s="21">
        <v>0</v>
      </c>
      <c r="AO172" s="21">
        <v>0</v>
      </c>
      <c r="AP172" s="21"/>
      <c r="AQ172" s="21">
        <v>0</v>
      </c>
      <c r="AR172" s="21">
        <v>0</v>
      </c>
      <c r="AS172" s="21">
        <v>355104.15</v>
      </c>
      <c r="AT172" s="21" t="s">
        <v>169</v>
      </c>
      <c r="AU172" s="21" t="s">
        <v>181</v>
      </c>
      <c r="AV172" s="21" t="s">
        <v>154</v>
      </c>
      <c r="AW172" s="21" t="s">
        <v>639</v>
      </c>
      <c r="AX172" s="21" t="s">
        <v>640</v>
      </c>
      <c r="AY172" s="21">
        <v>0</v>
      </c>
      <c r="AZ172" s="21">
        <v>88067.9</v>
      </c>
      <c r="BA172" s="21">
        <v>445</v>
      </c>
      <c r="BB172" s="21" t="s">
        <v>949</v>
      </c>
      <c r="BC172" s="21" t="s">
        <v>176</v>
      </c>
      <c r="BD172" s="21" t="s">
        <v>641</v>
      </c>
      <c r="BE172" s="21" t="s">
        <v>641</v>
      </c>
      <c r="BF172" s="21">
        <v>9</v>
      </c>
      <c r="BG172" s="21">
        <v>7926.11</v>
      </c>
      <c r="BH172" s="21">
        <v>9</v>
      </c>
      <c r="BI172" s="21">
        <v>7926.11</v>
      </c>
      <c r="BJ172" s="21">
        <v>0</v>
      </c>
      <c r="BK172" s="21">
        <v>0</v>
      </c>
      <c r="BL172" s="21">
        <v>0</v>
      </c>
      <c r="BM172" s="21">
        <v>642164579381</v>
      </c>
      <c r="BN172" s="23">
        <v>46251</v>
      </c>
      <c r="BO172" s="21">
        <v>597.79999999999995</v>
      </c>
    </row>
    <row r="173" spans="1:67" hidden="1" x14ac:dyDescent="0.25">
      <c r="A173" s="22"/>
      <c r="B173" s="21" t="s">
        <v>167</v>
      </c>
      <c r="C173" s="21" t="s">
        <v>949</v>
      </c>
      <c r="D173" s="21" t="s">
        <v>964</v>
      </c>
      <c r="E173" s="21" t="s">
        <v>180</v>
      </c>
      <c r="F173" s="21" t="s">
        <v>181</v>
      </c>
      <c r="G173" s="21" t="s">
        <v>965</v>
      </c>
      <c r="H173" s="21">
        <v>382.5</v>
      </c>
      <c r="I173" s="21">
        <v>382.5</v>
      </c>
      <c r="J173" s="21" t="s">
        <v>168</v>
      </c>
      <c r="K173" s="21">
        <v>382.5</v>
      </c>
      <c r="L173" s="21">
        <v>0</v>
      </c>
      <c r="M173" s="21">
        <v>382.5</v>
      </c>
      <c r="N173" s="21" t="s">
        <v>174</v>
      </c>
      <c r="O173" s="21" t="s">
        <v>633</v>
      </c>
      <c r="P173" s="21" t="s">
        <v>633</v>
      </c>
      <c r="Q173" s="21" t="s">
        <v>966</v>
      </c>
      <c r="R173" s="21" t="s">
        <v>949</v>
      </c>
      <c r="S173" s="21" t="s">
        <v>635</v>
      </c>
      <c r="T173" s="21" t="s">
        <v>636</v>
      </c>
      <c r="U173" s="21" t="s">
        <v>967</v>
      </c>
      <c r="V173" s="21">
        <v>144.32</v>
      </c>
      <c r="W173" s="21">
        <v>144.31999918716801</v>
      </c>
      <c r="X173" s="21" t="s">
        <v>966</v>
      </c>
      <c r="Y173" s="21" t="s">
        <v>949</v>
      </c>
      <c r="Z173" s="21" t="s">
        <v>189</v>
      </c>
      <c r="AA173" s="21" t="s">
        <v>189</v>
      </c>
      <c r="AB173" s="21"/>
      <c r="AC173" s="21" t="s">
        <v>189</v>
      </c>
      <c r="AD173" s="21" t="s">
        <v>189</v>
      </c>
      <c r="AE173" s="21">
        <v>0</v>
      </c>
      <c r="AF173" s="21">
        <v>0</v>
      </c>
      <c r="AG173" s="21">
        <v>0</v>
      </c>
      <c r="AH173" s="21">
        <v>0</v>
      </c>
      <c r="AI173" s="21">
        <v>0</v>
      </c>
      <c r="AJ173" s="21" t="s">
        <v>638</v>
      </c>
      <c r="AK173" s="21">
        <v>0</v>
      </c>
      <c r="AL173" s="21">
        <v>0</v>
      </c>
      <c r="AM173" s="21">
        <v>0</v>
      </c>
      <c r="AN173" s="21">
        <v>0</v>
      </c>
      <c r="AO173" s="21">
        <v>0</v>
      </c>
      <c r="AP173" s="21"/>
      <c r="AQ173" s="21">
        <v>0</v>
      </c>
      <c r="AR173" s="21">
        <v>0</v>
      </c>
      <c r="AS173" s="21">
        <v>355104.15</v>
      </c>
      <c r="AT173" s="21" t="s">
        <v>169</v>
      </c>
      <c r="AU173" s="21" t="s">
        <v>181</v>
      </c>
      <c r="AV173" s="21" t="s">
        <v>154</v>
      </c>
      <c r="AW173" s="21" t="s">
        <v>639</v>
      </c>
      <c r="AX173" s="21" t="s">
        <v>640</v>
      </c>
      <c r="AY173" s="21">
        <v>0</v>
      </c>
      <c r="AZ173" s="21">
        <v>55202.400000000001</v>
      </c>
      <c r="BA173" s="21">
        <v>445</v>
      </c>
      <c r="BB173" s="21" t="s">
        <v>949</v>
      </c>
      <c r="BC173" s="21" t="s">
        <v>176</v>
      </c>
      <c r="BD173" s="21" t="s">
        <v>641</v>
      </c>
      <c r="BE173" s="21" t="s">
        <v>641</v>
      </c>
      <c r="BF173" s="21">
        <v>9</v>
      </c>
      <c r="BG173" s="21">
        <v>4968.22</v>
      </c>
      <c r="BH173" s="21">
        <v>9</v>
      </c>
      <c r="BI173" s="21">
        <v>4968.22</v>
      </c>
      <c r="BJ173" s="21">
        <v>0</v>
      </c>
      <c r="BK173" s="21">
        <v>0</v>
      </c>
      <c r="BL173" s="21">
        <v>0</v>
      </c>
      <c r="BM173" s="21">
        <v>642164579381</v>
      </c>
      <c r="BN173" s="23">
        <v>46251</v>
      </c>
      <c r="BO173" s="21">
        <v>382.5</v>
      </c>
    </row>
    <row r="174" spans="1:67" hidden="1" x14ac:dyDescent="0.25">
      <c r="A174" s="22"/>
      <c r="B174" s="21" t="s">
        <v>167</v>
      </c>
      <c r="C174" s="21" t="s">
        <v>949</v>
      </c>
      <c r="D174" s="21" t="s">
        <v>964</v>
      </c>
      <c r="E174" s="21" t="s">
        <v>706</v>
      </c>
      <c r="F174" s="21" t="s">
        <v>707</v>
      </c>
      <c r="G174" s="21" t="s">
        <v>965</v>
      </c>
      <c r="H174" s="21">
        <v>886.2</v>
      </c>
      <c r="I174" s="21">
        <v>886.2</v>
      </c>
      <c r="J174" s="21" t="s">
        <v>184</v>
      </c>
      <c r="K174" s="21">
        <v>886.2</v>
      </c>
      <c r="L174" s="21">
        <v>0</v>
      </c>
      <c r="M174" s="21">
        <v>886.2</v>
      </c>
      <c r="N174" s="21" t="s">
        <v>174</v>
      </c>
      <c r="O174" s="21" t="s">
        <v>633</v>
      </c>
      <c r="P174" s="21" t="s">
        <v>633</v>
      </c>
      <c r="Q174" s="21" t="s">
        <v>966</v>
      </c>
      <c r="R174" s="21" t="s">
        <v>949</v>
      </c>
      <c r="S174" s="21" t="s">
        <v>635</v>
      </c>
      <c r="T174" s="21" t="s">
        <v>636</v>
      </c>
      <c r="U174" s="21" t="s">
        <v>967</v>
      </c>
      <c r="V174" s="21">
        <v>154.32</v>
      </c>
      <c r="W174" s="21">
        <v>154.31999913084701</v>
      </c>
      <c r="X174" s="21" t="s">
        <v>966</v>
      </c>
      <c r="Y174" s="21" t="s">
        <v>949</v>
      </c>
      <c r="Z174" s="21" t="s">
        <v>189</v>
      </c>
      <c r="AA174" s="21" t="s">
        <v>189</v>
      </c>
      <c r="AB174" s="21"/>
      <c r="AC174" s="21" t="s">
        <v>189</v>
      </c>
      <c r="AD174" s="21" t="s">
        <v>189</v>
      </c>
      <c r="AE174" s="21">
        <v>0</v>
      </c>
      <c r="AF174" s="21">
        <v>0</v>
      </c>
      <c r="AG174" s="21">
        <v>0</v>
      </c>
      <c r="AH174" s="21">
        <v>0</v>
      </c>
      <c r="AI174" s="21">
        <v>0</v>
      </c>
      <c r="AJ174" s="21" t="s">
        <v>638</v>
      </c>
      <c r="AK174" s="21">
        <v>0</v>
      </c>
      <c r="AL174" s="21">
        <v>0</v>
      </c>
      <c r="AM174" s="21">
        <v>0</v>
      </c>
      <c r="AN174" s="21">
        <v>0</v>
      </c>
      <c r="AO174" s="21">
        <v>0</v>
      </c>
      <c r="AP174" s="21"/>
      <c r="AQ174" s="21">
        <v>0</v>
      </c>
      <c r="AR174" s="21">
        <v>0</v>
      </c>
      <c r="AS174" s="21">
        <v>355104.15</v>
      </c>
      <c r="AT174" s="21" t="s">
        <v>169</v>
      </c>
      <c r="AU174" s="21" t="s">
        <v>170</v>
      </c>
      <c r="AV174" s="21" t="s">
        <v>157</v>
      </c>
      <c r="AW174" s="21" t="s">
        <v>639</v>
      </c>
      <c r="AX174" s="21"/>
      <c r="AY174" s="21">
        <v>0</v>
      </c>
      <c r="AZ174" s="21">
        <v>136758.38</v>
      </c>
      <c r="BA174" s="21">
        <v>445</v>
      </c>
      <c r="BB174" s="21" t="s">
        <v>949</v>
      </c>
      <c r="BC174" s="21" t="s">
        <v>176</v>
      </c>
      <c r="BD174" s="21" t="s">
        <v>641</v>
      </c>
      <c r="BE174" s="21" t="s">
        <v>641</v>
      </c>
      <c r="BF174" s="21">
        <v>2.5</v>
      </c>
      <c r="BG174" s="21">
        <v>3418.96</v>
      </c>
      <c r="BH174" s="21">
        <v>2.5</v>
      </c>
      <c r="BI174" s="21">
        <v>3418.96</v>
      </c>
      <c r="BJ174" s="21">
        <v>0</v>
      </c>
      <c r="BK174" s="21">
        <v>0</v>
      </c>
      <c r="BL174" s="21">
        <v>0</v>
      </c>
      <c r="BM174" s="21">
        <v>642164579381</v>
      </c>
      <c r="BN174" s="23">
        <v>46251</v>
      </c>
      <c r="BO174" s="21">
        <v>886.2</v>
      </c>
    </row>
    <row r="175" spans="1:67" hidden="1" x14ac:dyDescent="0.25">
      <c r="A175" s="22"/>
      <c r="B175" s="21" t="s">
        <v>167</v>
      </c>
      <c r="C175" s="21" t="s">
        <v>968</v>
      </c>
      <c r="D175" s="21" t="s">
        <v>969</v>
      </c>
      <c r="E175" s="21" t="s">
        <v>186</v>
      </c>
      <c r="F175" s="21" t="s">
        <v>187</v>
      </c>
      <c r="G175" s="21" t="s">
        <v>970</v>
      </c>
      <c r="H175" s="21">
        <v>410</v>
      </c>
      <c r="I175" s="21">
        <v>410</v>
      </c>
      <c r="J175" s="21" t="s">
        <v>168</v>
      </c>
      <c r="K175" s="21">
        <v>410</v>
      </c>
      <c r="L175" s="21">
        <v>0</v>
      </c>
      <c r="M175" s="21">
        <v>410</v>
      </c>
      <c r="N175" s="21" t="s">
        <v>676</v>
      </c>
      <c r="O175" s="21" t="s">
        <v>677</v>
      </c>
      <c r="P175" s="21" t="s">
        <v>677</v>
      </c>
      <c r="Q175" s="21" t="s">
        <v>971</v>
      </c>
      <c r="R175" s="21" t="s">
        <v>949</v>
      </c>
      <c r="S175" s="21" t="s">
        <v>635</v>
      </c>
      <c r="T175" s="21" t="s">
        <v>636</v>
      </c>
      <c r="U175" s="21" t="s">
        <v>972</v>
      </c>
      <c r="V175" s="21">
        <v>243.56</v>
      </c>
      <c r="W175" s="21">
        <v>243.56</v>
      </c>
      <c r="X175" s="21" t="s">
        <v>971</v>
      </c>
      <c r="Y175" s="21" t="s">
        <v>949</v>
      </c>
      <c r="Z175" s="21"/>
      <c r="AA175" s="21">
        <v>0</v>
      </c>
      <c r="AB175" s="21"/>
      <c r="AC175" s="21" t="s">
        <v>680</v>
      </c>
      <c r="AD175" s="21">
        <v>1936</v>
      </c>
      <c r="AE175" s="21">
        <v>0</v>
      </c>
      <c r="AF175" s="21">
        <v>0</v>
      </c>
      <c r="AG175" s="21">
        <v>0</v>
      </c>
      <c r="AH175" s="21">
        <v>0</v>
      </c>
      <c r="AI175" s="21">
        <v>0</v>
      </c>
      <c r="AJ175" s="21" t="s">
        <v>638</v>
      </c>
      <c r="AK175" s="21">
        <v>0</v>
      </c>
      <c r="AL175" s="21">
        <v>0</v>
      </c>
      <c r="AM175" s="21">
        <v>0</v>
      </c>
      <c r="AN175" s="21">
        <v>0</v>
      </c>
      <c r="AO175" s="21">
        <v>0</v>
      </c>
      <c r="AP175" s="21"/>
      <c r="AQ175" s="21">
        <v>0</v>
      </c>
      <c r="AR175" s="21">
        <v>0</v>
      </c>
      <c r="AS175" s="21">
        <v>246640.11</v>
      </c>
      <c r="AT175" s="21" t="s">
        <v>188</v>
      </c>
      <c r="AU175" s="21" t="s">
        <v>152</v>
      </c>
      <c r="AV175" s="21" t="s">
        <v>152</v>
      </c>
      <c r="AW175" s="21" t="s">
        <v>639</v>
      </c>
      <c r="AX175" s="21" t="s">
        <v>640</v>
      </c>
      <c r="AY175" s="21">
        <v>0</v>
      </c>
      <c r="AZ175" s="21">
        <v>99859.6</v>
      </c>
      <c r="BA175" s="21">
        <v>447</v>
      </c>
      <c r="BB175" s="21" t="s">
        <v>949</v>
      </c>
      <c r="BC175" s="21" t="s">
        <v>171</v>
      </c>
      <c r="BD175" s="21" t="s">
        <v>641</v>
      </c>
      <c r="BE175" s="21" t="s">
        <v>641</v>
      </c>
      <c r="BF175" s="21">
        <v>9</v>
      </c>
      <c r="BG175" s="21">
        <v>8987.36</v>
      </c>
      <c r="BH175" s="21">
        <v>9</v>
      </c>
      <c r="BI175" s="21">
        <v>8987.36</v>
      </c>
      <c r="BJ175" s="21">
        <v>0</v>
      </c>
      <c r="BK175" s="21">
        <v>0</v>
      </c>
      <c r="BL175" s="21">
        <v>246640.11</v>
      </c>
      <c r="BM175" s="21">
        <v>652164466929</v>
      </c>
      <c r="BN175" s="23">
        <v>46251</v>
      </c>
      <c r="BO175" s="21">
        <v>410</v>
      </c>
    </row>
    <row r="176" spans="1:67" hidden="1" x14ac:dyDescent="0.25">
      <c r="A176" s="22"/>
      <c r="B176" s="21" t="s">
        <v>167</v>
      </c>
      <c r="C176" s="21" t="s">
        <v>968</v>
      </c>
      <c r="D176" s="21" t="s">
        <v>969</v>
      </c>
      <c r="E176" s="21" t="s">
        <v>190</v>
      </c>
      <c r="F176" s="21" t="s">
        <v>191</v>
      </c>
      <c r="G176" s="21" t="s">
        <v>970</v>
      </c>
      <c r="H176" s="21">
        <v>415</v>
      </c>
      <c r="I176" s="21">
        <v>415</v>
      </c>
      <c r="J176" s="21" t="s">
        <v>168</v>
      </c>
      <c r="K176" s="21">
        <v>415</v>
      </c>
      <c r="L176" s="21">
        <v>0</v>
      </c>
      <c r="M176" s="21">
        <v>415</v>
      </c>
      <c r="N176" s="21" t="s">
        <v>676</v>
      </c>
      <c r="O176" s="21" t="s">
        <v>677</v>
      </c>
      <c r="P176" s="21" t="s">
        <v>677</v>
      </c>
      <c r="Q176" s="21" t="s">
        <v>971</v>
      </c>
      <c r="R176" s="21" t="s">
        <v>949</v>
      </c>
      <c r="S176" s="21" t="s">
        <v>635</v>
      </c>
      <c r="T176" s="21" t="s">
        <v>636</v>
      </c>
      <c r="U176" s="21" t="s">
        <v>972</v>
      </c>
      <c r="V176" s="21">
        <v>263.02999999999997</v>
      </c>
      <c r="W176" s="21">
        <v>263.02999999999997</v>
      </c>
      <c r="X176" s="21" t="s">
        <v>971</v>
      </c>
      <c r="Y176" s="21" t="s">
        <v>949</v>
      </c>
      <c r="Z176" s="21"/>
      <c r="AA176" s="21">
        <v>0</v>
      </c>
      <c r="AB176" s="21"/>
      <c r="AC176" s="21" t="s">
        <v>680</v>
      </c>
      <c r="AD176" s="21">
        <v>1936</v>
      </c>
      <c r="AE176" s="21">
        <v>0</v>
      </c>
      <c r="AF176" s="21">
        <v>0</v>
      </c>
      <c r="AG176" s="21">
        <v>0</v>
      </c>
      <c r="AH176" s="21">
        <v>0</v>
      </c>
      <c r="AI176" s="21">
        <v>0</v>
      </c>
      <c r="AJ176" s="21" t="s">
        <v>638</v>
      </c>
      <c r="AK176" s="21">
        <v>0</v>
      </c>
      <c r="AL176" s="21">
        <v>0</v>
      </c>
      <c r="AM176" s="21">
        <v>0</v>
      </c>
      <c r="AN176" s="21">
        <v>0</v>
      </c>
      <c r="AO176" s="21">
        <v>0</v>
      </c>
      <c r="AP176" s="21"/>
      <c r="AQ176" s="21">
        <v>0</v>
      </c>
      <c r="AR176" s="21">
        <v>0</v>
      </c>
      <c r="AS176" s="21">
        <v>246640.11</v>
      </c>
      <c r="AT176" s="21" t="s">
        <v>188</v>
      </c>
      <c r="AU176" s="21" t="s">
        <v>152</v>
      </c>
      <c r="AV176" s="21" t="s">
        <v>152</v>
      </c>
      <c r="AW176" s="21" t="s">
        <v>639</v>
      </c>
      <c r="AX176" s="21" t="s">
        <v>640</v>
      </c>
      <c r="AY176" s="21">
        <v>0</v>
      </c>
      <c r="AZ176" s="21">
        <v>109157.45</v>
      </c>
      <c r="BA176" s="21">
        <v>447</v>
      </c>
      <c r="BB176" s="21" t="s">
        <v>949</v>
      </c>
      <c r="BC176" s="21" t="s">
        <v>171</v>
      </c>
      <c r="BD176" s="21" t="s">
        <v>641</v>
      </c>
      <c r="BE176" s="21" t="s">
        <v>641</v>
      </c>
      <c r="BF176" s="21">
        <v>9</v>
      </c>
      <c r="BG176" s="21">
        <v>9824.17</v>
      </c>
      <c r="BH176" s="21">
        <v>9</v>
      </c>
      <c r="BI176" s="21">
        <v>9824.17</v>
      </c>
      <c r="BJ176" s="21">
        <v>0</v>
      </c>
      <c r="BK176" s="21">
        <v>0</v>
      </c>
      <c r="BL176" s="21">
        <v>0</v>
      </c>
      <c r="BM176" s="21">
        <v>652164466929</v>
      </c>
      <c r="BN176" s="23">
        <v>46251</v>
      </c>
      <c r="BO176" s="21">
        <v>415</v>
      </c>
    </row>
    <row r="177" spans="1:67" hidden="1" x14ac:dyDescent="0.25">
      <c r="A177" s="22"/>
      <c r="B177" s="21" t="s">
        <v>167</v>
      </c>
      <c r="C177" s="21" t="s">
        <v>968</v>
      </c>
      <c r="D177" s="21" t="s">
        <v>973</v>
      </c>
      <c r="E177" s="21" t="s">
        <v>172</v>
      </c>
      <c r="F177" s="21" t="s">
        <v>173</v>
      </c>
      <c r="G177" s="21" t="s">
        <v>974</v>
      </c>
      <c r="H177" s="21">
        <v>477</v>
      </c>
      <c r="I177" s="21">
        <v>477</v>
      </c>
      <c r="J177" s="21" t="s">
        <v>168</v>
      </c>
      <c r="K177" s="21">
        <v>477</v>
      </c>
      <c r="L177" s="21">
        <v>0</v>
      </c>
      <c r="M177" s="21">
        <v>477</v>
      </c>
      <c r="N177" s="21" t="s">
        <v>975</v>
      </c>
      <c r="O177" s="21" t="s">
        <v>663</v>
      </c>
      <c r="P177" s="21" t="s">
        <v>663</v>
      </c>
      <c r="Q177" s="21" t="s">
        <v>976</v>
      </c>
      <c r="R177" s="21" t="s">
        <v>949</v>
      </c>
      <c r="S177" s="21" t="s">
        <v>635</v>
      </c>
      <c r="T177" s="21" t="s">
        <v>636</v>
      </c>
      <c r="U177" s="21" t="s">
        <v>977</v>
      </c>
      <c r="V177" s="21">
        <v>170.95</v>
      </c>
      <c r="W177" s="21">
        <v>170.95</v>
      </c>
      <c r="X177" s="21" t="s">
        <v>976</v>
      </c>
      <c r="Y177" s="21" t="s">
        <v>949</v>
      </c>
      <c r="Z177" s="21" t="s">
        <v>189</v>
      </c>
      <c r="AA177" s="21" t="s">
        <v>189</v>
      </c>
      <c r="AB177" s="21"/>
      <c r="AC177" s="21" t="s">
        <v>659</v>
      </c>
      <c r="AD177" s="21">
        <v>2721</v>
      </c>
      <c r="AE177" s="21">
        <v>0</v>
      </c>
      <c r="AF177" s="21">
        <v>0</v>
      </c>
      <c r="AG177" s="21">
        <v>0</v>
      </c>
      <c r="AH177" s="21">
        <v>0</v>
      </c>
      <c r="AI177" s="21">
        <v>0</v>
      </c>
      <c r="AJ177" s="21" t="s">
        <v>638</v>
      </c>
      <c r="AK177" s="21">
        <v>0</v>
      </c>
      <c r="AL177" s="21">
        <v>0</v>
      </c>
      <c r="AM177" s="21">
        <v>0</v>
      </c>
      <c r="AN177" s="21">
        <v>0</v>
      </c>
      <c r="AO177" s="21">
        <v>0</v>
      </c>
      <c r="AP177" s="21"/>
      <c r="AQ177" s="21">
        <v>0</v>
      </c>
      <c r="AR177" s="21">
        <v>0</v>
      </c>
      <c r="AS177" s="21">
        <v>1224267.22</v>
      </c>
      <c r="AT177" s="21" t="s">
        <v>169</v>
      </c>
      <c r="AU177" s="21" t="s">
        <v>175</v>
      </c>
      <c r="AV177" s="21" t="s">
        <v>159</v>
      </c>
      <c r="AW177" s="21" t="s">
        <v>639</v>
      </c>
      <c r="AX177" s="21" t="s">
        <v>640</v>
      </c>
      <c r="AY177" s="21">
        <v>0</v>
      </c>
      <c r="AZ177" s="21">
        <v>81543.149999999994</v>
      </c>
      <c r="BA177" s="21">
        <v>448</v>
      </c>
      <c r="BB177" s="21" t="s">
        <v>968</v>
      </c>
      <c r="BC177" s="21" t="s">
        <v>185</v>
      </c>
      <c r="BD177" s="21" t="s">
        <v>641</v>
      </c>
      <c r="BE177" s="21" t="s">
        <v>641</v>
      </c>
      <c r="BF177" s="21">
        <v>9</v>
      </c>
      <c r="BG177" s="21">
        <v>7338.88</v>
      </c>
      <c r="BH177" s="21">
        <v>9</v>
      </c>
      <c r="BI177" s="21">
        <v>7338.88</v>
      </c>
      <c r="BJ177" s="21">
        <v>0</v>
      </c>
      <c r="BK177" s="21">
        <v>0</v>
      </c>
      <c r="BL177" s="21">
        <v>1224267.22</v>
      </c>
      <c r="BM177" s="21">
        <v>612164515878</v>
      </c>
      <c r="BN177" s="23">
        <v>46251</v>
      </c>
      <c r="BO177" s="21">
        <v>477</v>
      </c>
    </row>
    <row r="178" spans="1:67" hidden="1" x14ac:dyDescent="0.25">
      <c r="A178" s="22"/>
      <c r="B178" s="21" t="s">
        <v>167</v>
      </c>
      <c r="C178" s="21" t="s">
        <v>968</v>
      </c>
      <c r="D178" s="21" t="s">
        <v>973</v>
      </c>
      <c r="E178" s="21" t="s">
        <v>182</v>
      </c>
      <c r="F178" s="21" t="s">
        <v>183</v>
      </c>
      <c r="G178" s="21" t="s">
        <v>974</v>
      </c>
      <c r="H178" s="21">
        <v>200</v>
      </c>
      <c r="I178" s="21">
        <v>200</v>
      </c>
      <c r="J178" s="21" t="s">
        <v>168</v>
      </c>
      <c r="K178" s="21">
        <v>200</v>
      </c>
      <c r="L178" s="21">
        <v>0</v>
      </c>
      <c r="M178" s="21">
        <v>200</v>
      </c>
      <c r="N178" s="21" t="s">
        <v>975</v>
      </c>
      <c r="O178" s="21" t="s">
        <v>663</v>
      </c>
      <c r="P178" s="21" t="s">
        <v>663</v>
      </c>
      <c r="Q178" s="21" t="s">
        <v>976</v>
      </c>
      <c r="R178" s="21" t="s">
        <v>949</v>
      </c>
      <c r="S178" s="21" t="s">
        <v>635</v>
      </c>
      <c r="T178" s="21" t="s">
        <v>636</v>
      </c>
      <c r="U178" s="21" t="s">
        <v>977</v>
      </c>
      <c r="V178" s="21">
        <v>159.49</v>
      </c>
      <c r="W178" s="21">
        <v>159.49</v>
      </c>
      <c r="X178" s="21" t="s">
        <v>976</v>
      </c>
      <c r="Y178" s="21" t="s">
        <v>949</v>
      </c>
      <c r="Z178" s="21" t="s">
        <v>189</v>
      </c>
      <c r="AA178" s="21" t="s">
        <v>189</v>
      </c>
      <c r="AB178" s="21"/>
      <c r="AC178" s="21" t="s">
        <v>659</v>
      </c>
      <c r="AD178" s="21">
        <v>2721</v>
      </c>
      <c r="AE178" s="21">
        <v>0</v>
      </c>
      <c r="AF178" s="21">
        <v>0</v>
      </c>
      <c r="AG178" s="21">
        <v>0</v>
      </c>
      <c r="AH178" s="21">
        <v>0</v>
      </c>
      <c r="AI178" s="21">
        <v>0</v>
      </c>
      <c r="AJ178" s="21" t="s">
        <v>638</v>
      </c>
      <c r="AK178" s="21">
        <v>0</v>
      </c>
      <c r="AL178" s="21">
        <v>0</v>
      </c>
      <c r="AM178" s="21">
        <v>0</v>
      </c>
      <c r="AN178" s="21">
        <v>0</v>
      </c>
      <c r="AO178" s="21">
        <v>0</v>
      </c>
      <c r="AP178" s="21"/>
      <c r="AQ178" s="21">
        <v>0</v>
      </c>
      <c r="AR178" s="21">
        <v>0</v>
      </c>
      <c r="AS178" s="21">
        <v>1224267.22</v>
      </c>
      <c r="AT178" s="21" t="s">
        <v>169</v>
      </c>
      <c r="AU178" s="21" t="s">
        <v>179</v>
      </c>
      <c r="AV178" s="21" t="s">
        <v>155</v>
      </c>
      <c r="AW178" s="21" t="s">
        <v>639</v>
      </c>
      <c r="AX178" s="21" t="s">
        <v>640</v>
      </c>
      <c r="AY178" s="21">
        <v>0</v>
      </c>
      <c r="AZ178" s="21">
        <v>31898</v>
      </c>
      <c r="BA178" s="21">
        <v>448</v>
      </c>
      <c r="BB178" s="21" t="s">
        <v>968</v>
      </c>
      <c r="BC178" s="21" t="s">
        <v>185</v>
      </c>
      <c r="BD178" s="21" t="s">
        <v>641</v>
      </c>
      <c r="BE178" s="21" t="s">
        <v>641</v>
      </c>
      <c r="BF178" s="21">
        <v>9</v>
      </c>
      <c r="BG178" s="21">
        <v>2870.82</v>
      </c>
      <c r="BH178" s="21">
        <v>9</v>
      </c>
      <c r="BI178" s="21">
        <v>2870.82</v>
      </c>
      <c r="BJ178" s="21">
        <v>0</v>
      </c>
      <c r="BK178" s="21">
        <v>0</v>
      </c>
      <c r="BL178" s="21">
        <v>0</v>
      </c>
      <c r="BM178" s="21">
        <v>612164515878</v>
      </c>
      <c r="BN178" s="23">
        <v>46251</v>
      </c>
      <c r="BO178" s="21">
        <v>200</v>
      </c>
    </row>
    <row r="179" spans="1:67" hidden="1" x14ac:dyDescent="0.25">
      <c r="A179" s="22"/>
      <c r="B179" s="21" t="s">
        <v>167</v>
      </c>
      <c r="C179" s="21" t="s">
        <v>968</v>
      </c>
      <c r="D179" s="21" t="s">
        <v>973</v>
      </c>
      <c r="E179" s="21" t="s">
        <v>182</v>
      </c>
      <c r="F179" s="21" t="s">
        <v>183</v>
      </c>
      <c r="G179" s="21" t="s">
        <v>974</v>
      </c>
      <c r="H179" s="21">
        <v>5905</v>
      </c>
      <c r="I179" s="21">
        <v>5905</v>
      </c>
      <c r="J179" s="21" t="s">
        <v>168</v>
      </c>
      <c r="K179" s="21">
        <v>5905</v>
      </c>
      <c r="L179" s="21">
        <v>0</v>
      </c>
      <c r="M179" s="21">
        <v>5905</v>
      </c>
      <c r="N179" s="21" t="s">
        <v>975</v>
      </c>
      <c r="O179" s="21" t="s">
        <v>663</v>
      </c>
      <c r="P179" s="21" t="s">
        <v>663</v>
      </c>
      <c r="Q179" s="21" t="s">
        <v>976</v>
      </c>
      <c r="R179" s="21" t="s">
        <v>949</v>
      </c>
      <c r="S179" s="21" t="s">
        <v>635</v>
      </c>
      <c r="T179" s="21" t="s">
        <v>636</v>
      </c>
      <c r="U179" s="21" t="s">
        <v>977</v>
      </c>
      <c r="V179" s="21">
        <v>156.49</v>
      </c>
      <c r="W179" s="21">
        <v>156.49</v>
      </c>
      <c r="X179" s="21" t="s">
        <v>976</v>
      </c>
      <c r="Y179" s="21" t="s">
        <v>949</v>
      </c>
      <c r="Z179" s="21" t="s">
        <v>189</v>
      </c>
      <c r="AA179" s="21" t="s">
        <v>189</v>
      </c>
      <c r="AB179" s="21"/>
      <c r="AC179" s="21" t="s">
        <v>659</v>
      </c>
      <c r="AD179" s="21">
        <v>2721</v>
      </c>
      <c r="AE179" s="21">
        <v>0</v>
      </c>
      <c r="AF179" s="21">
        <v>0</v>
      </c>
      <c r="AG179" s="21">
        <v>0</v>
      </c>
      <c r="AH179" s="21">
        <v>0</v>
      </c>
      <c r="AI179" s="21">
        <v>0</v>
      </c>
      <c r="AJ179" s="21" t="s">
        <v>638</v>
      </c>
      <c r="AK179" s="21">
        <v>0</v>
      </c>
      <c r="AL179" s="21">
        <v>0</v>
      </c>
      <c r="AM179" s="21">
        <v>0</v>
      </c>
      <c r="AN179" s="21">
        <v>0</v>
      </c>
      <c r="AO179" s="21">
        <v>0</v>
      </c>
      <c r="AP179" s="21"/>
      <c r="AQ179" s="21">
        <v>0</v>
      </c>
      <c r="AR179" s="21">
        <v>0</v>
      </c>
      <c r="AS179" s="21">
        <v>1224267.22</v>
      </c>
      <c r="AT179" s="21" t="s">
        <v>169</v>
      </c>
      <c r="AU179" s="21" t="s">
        <v>179</v>
      </c>
      <c r="AV179" s="21" t="s">
        <v>155</v>
      </c>
      <c r="AW179" s="21" t="s">
        <v>639</v>
      </c>
      <c r="AX179" s="21" t="s">
        <v>640</v>
      </c>
      <c r="AY179" s="21">
        <v>0</v>
      </c>
      <c r="AZ179" s="21">
        <v>924073.45</v>
      </c>
      <c r="BA179" s="21">
        <v>448</v>
      </c>
      <c r="BB179" s="21" t="s">
        <v>968</v>
      </c>
      <c r="BC179" s="21" t="s">
        <v>185</v>
      </c>
      <c r="BD179" s="21" t="s">
        <v>641</v>
      </c>
      <c r="BE179" s="21" t="s">
        <v>641</v>
      </c>
      <c r="BF179" s="21">
        <v>9</v>
      </c>
      <c r="BG179" s="21">
        <v>83166.61</v>
      </c>
      <c r="BH179" s="21">
        <v>9</v>
      </c>
      <c r="BI179" s="21">
        <v>83166.61</v>
      </c>
      <c r="BJ179" s="21">
        <v>0</v>
      </c>
      <c r="BK179" s="21">
        <v>0</v>
      </c>
      <c r="BL179" s="21">
        <v>0</v>
      </c>
      <c r="BM179" s="21">
        <v>612164515878</v>
      </c>
      <c r="BN179" s="23">
        <v>46251</v>
      </c>
      <c r="BO179" s="21">
        <v>5905</v>
      </c>
    </row>
    <row r="180" spans="1:67" hidden="1" x14ac:dyDescent="0.25">
      <c r="A180" s="22"/>
      <c r="B180" s="21" t="s">
        <v>167</v>
      </c>
      <c r="C180" s="21" t="s">
        <v>968</v>
      </c>
      <c r="D180" s="21" t="s">
        <v>978</v>
      </c>
      <c r="E180" s="21" t="s">
        <v>182</v>
      </c>
      <c r="F180" s="21" t="s">
        <v>183</v>
      </c>
      <c r="G180" s="21" t="s">
        <v>979</v>
      </c>
      <c r="H180" s="21">
        <v>1342</v>
      </c>
      <c r="I180" s="21">
        <v>1342</v>
      </c>
      <c r="J180" s="21" t="s">
        <v>168</v>
      </c>
      <c r="K180" s="21">
        <v>1342</v>
      </c>
      <c r="L180" s="21">
        <v>0</v>
      </c>
      <c r="M180" s="21">
        <v>1342</v>
      </c>
      <c r="N180" s="21" t="s">
        <v>174</v>
      </c>
      <c r="O180" s="21" t="s">
        <v>633</v>
      </c>
      <c r="P180" s="21" t="s">
        <v>633</v>
      </c>
      <c r="Q180" s="21" t="s">
        <v>980</v>
      </c>
      <c r="R180" s="21" t="s">
        <v>968</v>
      </c>
      <c r="S180" s="21" t="s">
        <v>635</v>
      </c>
      <c r="T180" s="21" t="s">
        <v>636</v>
      </c>
      <c r="U180" s="21" t="s">
        <v>981</v>
      </c>
      <c r="V180" s="21">
        <v>147.32</v>
      </c>
      <c r="W180" s="21">
        <v>147.32</v>
      </c>
      <c r="X180" s="21" t="s">
        <v>980</v>
      </c>
      <c r="Y180" s="21" t="s">
        <v>968</v>
      </c>
      <c r="Z180" s="21" t="s">
        <v>189</v>
      </c>
      <c r="AA180" s="21" t="s">
        <v>189</v>
      </c>
      <c r="AB180" s="21"/>
      <c r="AC180" s="21" t="s">
        <v>189</v>
      </c>
      <c r="AD180" s="21" t="s">
        <v>189</v>
      </c>
      <c r="AE180" s="21">
        <v>0</v>
      </c>
      <c r="AF180" s="21">
        <v>0</v>
      </c>
      <c r="AG180" s="21">
        <v>0</v>
      </c>
      <c r="AH180" s="21">
        <v>0</v>
      </c>
      <c r="AI180" s="21">
        <v>0</v>
      </c>
      <c r="AJ180" s="21" t="s">
        <v>638</v>
      </c>
      <c r="AK180" s="21">
        <v>0</v>
      </c>
      <c r="AL180" s="21">
        <v>0</v>
      </c>
      <c r="AM180" s="21">
        <v>0</v>
      </c>
      <c r="AN180" s="21">
        <v>0</v>
      </c>
      <c r="AO180" s="21">
        <v>0</v>
      </c>
      <c r="AP180" s="21"/>
      <c r="AQ180" s="21">
        <v>0</v>
      </c>
      <c r="AR180" s="21">
        <v>0</v>
      </c>
      <c r="AS180" s="21">
        <v>858016.28</v>
      </c>
      <c r="AT180" s="21" t="s">
        <v>169</v>
      </c>
      <c r="AU180" s="21" t="s">
        <v>179</v>
      </c>
      <c r="AV180" s="21" t="s">
        <v>155</v>
      </c>
      <c r="AW180" s="21" t="s">
        <v>639</v>
      </c>
      <c r="AX180" s="21" t="s">
        <v>640</v>
      </c>
      <c r="AY180" s="21">
        <v>0</v>
      </c>
      <c r="AZ180" s="21">
        <v>197703.44</v>
      </c>
      <c r="BA180" s="21">
        <v>449</v>
      </c>
      <c r="BB180" s="21" t="s">
        <v>968</v>
      </c>
      <c r="BC180" s="21" t="s">
        <v>176</v>
      </c>
      <c r="BD180" s="21" t="s">
        <v>641</v>
      </c>
      <c r="BE180" s="21" t="s">
        <v>641</v>
      </c>
      <c r="BF180" s="21">
        <v>9</v>
      </c>
      <c r="BG180" s="21">
        <v>17793.310000000001</v>
      </c>
      <c r="BH180" s="21">
        <v>9</v>
      </c>
      <c r="BI180" s="21">
        <v>17793.310000000001</v>
      </c>
      <c r="BJ180" s="21">
        <v>0</v>
      </c>
      <c r="BK180" s="21">
        <v>0</v>
      </c>
      <c r="BL180" s="21">
        <v>858016.28</v>
      </c>
      <c r="BM180" s="21">
        <v>662165585297</v>
      </c>
      <c r="BN180" s="23">
        <v>46252</v>
      </c>
      <c r="BO180" s="21">
        <v>1342</v>
      </c>
    </row>
    <row r="181" spans="1:67" hidden="1" x14ac:dyDescent="0.25">
      <c r="A181" s="22"/>
      <c r="B181" s="21" t="s">
        <v>167</v>
      </c>
      <c r="C181" s="21" t="s">
        <v>968</v>
      </c>
      <c r="D181" s="21" t="s">
        <v>978</v>
      </c>
      <c r="E181" s="21" t="s">
        <v>182</v>
      </c>
      <c r="F181" s="21" t="s">
        <v>183</v>
      </c>
      <c r="G181" s="21" t="s">
        <v>979</v>
      </c>
      <c r="H181" s="21">
        <v>441</v>
      </c>
      <c r="I181" s="21">
        <v>441</v>
      </c>
      <c r="J181" s="21" t="s">
        <v>168</v>
      </c>
      <c r="K181" s="21">
        <v>441</v>
      </c>
      <c r="L181" s="21">
        <v>0</v>
      </c>
      <c r="M181" s="21">
        <v>441</v>
      </c>
      <c r="N181" s="21" t="s">
        <v>174</v>
      </c>
      <c r="O181" s="21" t="s">
        <v>633</v>
      </c>
      <c r="P181" s="21" t="s">
        <v>633</v>
      </c>
      <c r="Q181" s="21" t="s">
        <v>980</v>
      </c>
      <c r="R181" s="21" t="s">
        <v>968</v>
      </c>
      <c r="S181" s="21" t="s">
        <v>635</v>
      </c>
      <c r="T181" s="21" t="s">
        <v>636</v>
      </c>
      <c r="U181" s="21" t="s">
        <v>981</v>
      </c>
      <c r="V181" s="21">
        <v>142.32</v>
      </c>
      <c r="W181" s="21">
        <v>142.32</v>
      </c>
      <c r="X181" s="21" t="s">
        <v>980</v>
      </c>
      <c r="Y181" s="21" t="s">
        <v>968</v>
      </c>
      <c r="Z181" s="21" t="s">
        <v>189</v>
      </c>
      <c r="AA181" s="21" t="s">
        <v>189</v>
      </c>
      <c r="AB181" s="21"/>
      <c r="AC181" s="21" t="s">
        <v>189</v>
      </c>
      <c r="AD181" s="21" t="s">
        <v>189</v>
      </c>
      <c r="AE181" s="21">
        <v>0</v>
      </c>
      <c r="AF181" s="21">
        <v>0</v>
      </c>
      <c r="AG181" s="21">
        <v>0</v>
      </c>
      <c r="AH181" s="21">
        <v>0</v>
      </c>
      <c r="AI181" s="21">
        <v>0</v>
      </c>
      <c r="AJ181" s="21" t="s">
        <v>638</v>
      </c>
      <c r="AK181" s="21">
        <v>0</v>
      </c>
      <c r="AL181" s="21">
        <v>0</v>
      </c>
      <c r="AM181" s="21">
        <v>0</v>
      </c>
      <c r="AN181" s="21">
        <v>0</v>
      </c>
      <c r="AO181" s="21">
        <v>0</v>
      </c>
      <c r="AP181" s="21"/>
      <c r="AQ181" s="21">
        <v>0</v>
      </c>
      <c r="AR181" s="21">
        <v>0</v>
      </c>
      <c r="AS181" s="21">
        <v>858016.28</v>
      </c>
      <c r="AT181" s="21" t="s">
        <v>169</v>
      </c>
      <c r="AU181" s="21" t="s">
        <v>179</v>
      </c>
      <c r="AV181" s="21" t="s">
        <v>155</v>
      </c>
      <c r="AW181" s="21" t="s">
        <v>639</v>
      </c>
      <c r="AX181" s="21" t="s">
        <v>640</v>
      </c>
      <c r="AY181" s="21">
        <v>0</v>
      </c>
      <c r="AZ181" s="21">
        <v>62763.12</v>
      </c>
      <c r="BA181" s="21">
        <v>449</v>
      </c>
      <c r="BB181" s="21" t="s">
        <v>968</v>
      </c>
      <c r="BC181" s="21" t="s">
        <v>176</v>
      </c>
      <c r="BD181" s="21" t="s">
        <v>641</v>
      </c>
      <c r="BE181" s="21" t="s">
        <v>641</v>
      </c>
      <c r="BF181" s="21">
        <v>9</v>
      </c>
      <c r="BG181" s="21">
        <v>5648.68</v>
      </c>
      <c r="BH181" s="21">
        <v>9</v>
      </c>
      <c r="BI181" s="21">
        <v>5648.68</v>
      </c>
      <c r="BJ181" s="21">
        <v>0</v>
      </c>
      <c r="BK181" s="21">
        <v>0</v>
      </c>
      <c r="BL181" s="21">
        <v>0</v>
      </c>
      <c r="BM181" s="21">
        <v>662165585297</v>
      </c>
      <c r="BN181" s="23">
        <v>46252</v>
      </c>
      <c r="BO181" s="21">
        <v>441</v>
      </c>
    </row>
    <row r="182" spans="1:67" hidden="1" x14ac:dyDescent="0.25">
      <c r="A182" s="22"/>
      <c r="B182" s="21" t="s">
        <v>167</v>
      </c>
      <c r="C182" s="21" t="s">
        <v>968</v>
      </c>
      <c r="D182" s="21" t="s">
        <v>978</v>
      </c>
      <c r="E182" s="21" t="s">
        <v>177</v>
      </c>
      <c r="F182" s="21" t="s">
        <v>178</v>
      </c>
      <c r="G182" s="21" t="s">
        <v>979</v>
      </c>
      <c r="H182" s="21">
        <v>1865</v>
      </c>
      <c r="I182" s="21">
        <v>1865</v>
      </c>
      <c r="J182" s="21" t="s">
        <v>168</v>
      </c>
      <c r="K182" s="21">
        <v>1865</v>
      </c>
      <c r="L182" s="21">
        <v>0</v>
      </c>
      <c r="M182" s="21">
        <v>1865</v>
      </c>
      <c r="N182" s="21" t="s">
        <v>174</v>
      </c>
      <c r="O182" s="21" t="s">
        <v>633</v>
      </c>
      <c r="P182" s="21" t="s">
        <v>633</v>
      </c>
      <c r="Q182" s="21" t="s">
        <v>980</v>
      </c>
      <c r="R182" s="21" t="s">
        <v>968</v>
      </c>
      <c r="S182" s="21" t="s">
        <v>635</v>
      </c>
      <c r="T182" s="21" t="s">
        <v>636</v>
      </c>
      <c r="U182" s="21" t="s">
        <v>981</v>
      </c>
      <c r="V182" s="21">
        <v>149.32</v>
      </c>
      <c r="W182" s="21">
        <v>149.32</v>
      </c>
      <c r="X182" s="21" t="s">
        <v>980</v>
      </c>
      <c r="Y182" s="21" t="s">
        <v>968</v>
      </c>
      <c r="Z182" s="21" t="s">
        <v>189</v>
      </c>
      <c r="AA182" s="21" t="s">
        <v>189</v>
      </c>
      <c r="AB182" s="21"/>
      <c r="AC182" s="21" t="s">
        <v>189</v>
      </c>
      <c r="AD182" s="21" t="s">
        <v>189</v>
      </c>
      <c r="AE182" s="21">
        <v>0</v>
      </c>
      <c r="AF182" s="21">
        <v>0</v>
      </c>
      <c r="AG182" s="21">
        <v>0</v>
      </c>
      <c r="AH182" s="21">
        <v>0</v>
      </c>
      <c r="AI182" s="21">
        <v>0</v>
      </c>
      <c r="AJ182" s="21" t="s">
        <v>638</v>
      </c>
      <c r="AK182" s="21">
        <v>0</v>
      </c>
      <c r="AL182" s="21">
        <v>0</v>
      </c>
      <c r="AM182" s="21">
        <v>0</v>
      </c>
      <c r="AN182" s="21">
        <v>0</v>
      </c>
      <c r="AO182" s="21">
        <v>0</v>
      </c>
      <c r="AP182" s="21"/>
      <c r="AQ182" s="21">
        <v>0</v>
      </c>
      <c r="AR182" s="21">
        <v>0</v>
      </c>
      <c r="AS182" s="21">
        <v>858016.28</v>
      </c>
      <c r="AT182" s="21" t="s">
        <v>169</v>
      </c>
      <c r="AU182" s="21" t="s">
        <v>179</v>
      </c>
      <c r="AV182" s="21" t="s">
        <v>156</v>
      </c>
      <c r="AW182" s="21" t="s">
        <v>639</v>
      </c>
      <c r="AX182" s="21" t="s">
        <v>640</v>
      </c>
      <c r="AY182" s="21">
        <v>0</v>
      </c>
      <c r="AZ182" s="21">
        <v>278481.8</v>
      </c>
      <c r="BA182" s="21">
        <v>449</v>
      </c>
      <c r="BB182" s="21" t="s">
        <v>968</v>
      </c>
      <c r="BC182" s="21" t="s">
        <v>176</v>
      </c>
      <c r="BD182" s="21" t="s">
        <v>641</v>
      </c>
      <c r="BE182" s="21" t="s">
        <v>641</v>
      </c>
      <c r="BF182" s="21">
        <v>9</v>
      </c>
      <c r="BG182" s="21">
        <v>25063.360000000001</v>
      </c>
      <c r="BH182" s="21">
        <v>9</v>
      </c>
      <c r="BI182" s="21">
        <v>25063.360000000001</v>
      </c>
      <c r="BJ182" s="21">
        <v>0</v>
      </c>
      <c r="BK182" s="21">
        <v>0</v>
      </c>
      <c r="BL182" s="21">
        <v>0</v>
      </c>
      <c r="BM182" s="21">
        <v>662165585297</v>
      </c>
      <c r="BN182" s="23">
        <v>46252</v>
      </c>
      <c r="BO182" s="21">
        <v>1865</v>
      </c>
    </row>
    <row r="183" spans="1:67" hidden="1" x14ac:dyDescent="0.25">
      <c r="A183" s="22"/>
      <c r="B183" s="21" t="s">
        <v>167</v>
      </c>
      <c r="C183" s="21" t="s">
        <v>968</v>
      </c>
      <c r="D183" s="21" t="s">
        <v>978</v>
      </c>
      <c r="E183" s="21" t="s">
        <v>180</v>
      </c>
      <c r="F183" s="21" t="s">
        <v>181</v>
      </c>
      <c r="G183" s="21" t="s">
        <v>979</v>
      </c>
      <c r="H183" s="21">
        <v>443.4</v>
      </c>
      <c r="I183" s="21">
        <v>443.4</v>
      </c>
      <c r="J183" s="21" t="s">
        <v>168</v>
      </c>
      <c r="K183" s="21">
        <v>443.4</v>
      </c>
      <c r="L183" s="21">
        <v>0</v>
      </c>
      <c r="M183" s="21">
        <v>443.4</v>
      </c>
      <c r="N183" s="21" t="s">
        <v>174</v>
      </c>
      <c r="O183" s="21" t="s">
        <v>633</v>
      </c>
      <c r="P183" s="21" t="s">
        <v>633</v>
      </c>
      <c r="Q183" s="21" t="s">
        <v>980</v>
      </c>
      <c r="R183" s="21" t="s">
        <v>968</v>
      </c>
      <c r="S183" s="21" t="s">
        <v>635</v>
      </c>
      <c r="T183" s="21" t="s">
        <v>636</v>
      </c>
      <c r="U183" s="21" t="s">
        <v>981</v>
      </c>
      <c r="V183" s="21">
        <v>144.32</v>
      </c>
      <c r="W183" s="21">
        <v>144.32</v>
      </c>
      <c r="X183" s="21" t="s">
        <v>980</v>
      </c>
      <c r="Y183" s="21" t="s">
        <v>968</v>
      </c>
      <c r="Z183" s="21" t="s">
        <v>189</v>
      </c>
      <c r="AA183" s="21" t="s">
        <v>189</v>
      </c>
      <c r="AB183" s="21"/>
      <c r="AC183" s="21" t="s">
        <v>189</v>
      </c>
      <c r="AD183" s="21" t="s">
        <v>189</v>
      </c>
      <c r="AE183" s="21">
        <v>0</v>
      </c>
      <c r="AF183" s="21">
        <v>0</v>
      </c>
      <c r="AG183" s="21">
        <v>0</v>
      </c>
      <c r="AH183" s="21">
        <v>0</v>
      </c>
      <c r="AI183" s="21">
        <v>0</v>
      </c>
      <c r="AJ183" s="21" t="s">
        <v>638</v>
      </c>
      <c r="AK183" s="21">
        <v>0</v>
      </c>
      <c r="AL183" s="21">
        <v>0</v>
      </c>
      <c r="AM183" s="21">
        <v>0</v>
      </c>
      <c r="AN183" s="21">
        <v>0</v>
      </c>
      <c r="AO183" s="21">
        <v>0</v>
      </c>
      <c r="AP183" s="21"/>
      <c r="AQ183" s="21">
        <v>0</v>
      </c>
      <c r="AR183" s="21">
        <v>0</v>
      </c>
      <c r="AS183" s="21">
        <v>858016.28</v>
      </c>
      <c r="AT183" s="21" t="s">
        <v>169</v>
      </c>
      <c r="AU183" s="21" t="s">
        <v>181</v>
      </c>
      <c r="AV183" s="21" t="s">
        <v>154</v>
      </c>
      <c r="AW183" s="21" t="s">
        <v>639</v>
      </c>
      <c r="AX183" s="21" t="s">
        <v>640</v>
      </c>
      <c r="AY183" s="21">
        <v>0</v>
      </c>
      <c r="AZ183" s="21">
        <v>63991.49</v>
      </c>
      <c r="BA183" s="21">
        <v>449</v>
      </c>
      <c r="BB183" s="21" t="s">
        <v>968</v>
      </c>
      <c r="BC183" s="21" t="s">
        <v>176</v>
      </c>
      <c r="BD183" s="21" t="s">
        <v>641</v>
      </c>
      <c r="BE183" s="21" t="s">
        <v>641</v>
      </c>
      <c r="BF183" s="21">
        <v>9</v>
      </c>
      <c r="BG183" s="21">
        <v>5759.23</v>
      </c>
      <c r="BH183" s="21">
        <v>9</v>
      </c>
      <c r="BI183" s="21">
        <v>5759.23</v>
      </c>
      <c r="BJ183" s="21">
        <v>0</v>
      </c>
      <c r="BK183" s="21">
        <v>0</v>
      </c>
      <c r="BL183" s="21">
        <v>0</v>
      </c>
      <c r="BM183" s="21">
        <v>662165585297</v>
      </c>
      <c r="BN183" s="23">
        <v>46252</v>
      </c>
      <c r="BO183" s="21">
        <v>443.4</v>
      </c>
    </row>
    <row r="184" spans="1:67" hidden="1" x14ac:dyDescent="0.25">
      <c r="A184" s="22"/>
      <c r="B184" s="21" t="s">
        <v>167</v>
      </c>
      <c r="C184" s="21" t="s">
        <v>968</v>
      </c>
      <c r="D184" s="21" t="s">
        <v>978</v>
      </c>
      <c r="E184" s="21" t="s">
        <v>180</v>
      </c>
      <c r="F184" s="21" t="s">
        <v>181</v>
      </c>
      <c r="G184" s="21" t="s">
        <v>979</v>
      </c>
      <c r="H184" s="21">
        <v>197.6</v>
      </c>
      <c r="I184" s="21">
        <v>197.6</v>
      </c>
      <c r="J184" s="21" t="s">
        <v>168</v>
      </c>
      <c r="K184" s="21">
        <v>197.6</v>
      </c>
      <c r="L184" s="21">
        <v>0</v>
      </c>
      <c r="M184" s="21">
        <v>197.6</v>
      </c>
      <c r="N184" s="21" t="s">
        <v>174</v>
      </c>
      <c r="O184" s="21" t="s">
        <v>633</v>
      </c>
      <c r="P184" s="21" t="s">
        <v>633</v>
      </c>
      <c r="Q184" s="21" t="s">
        <v>980</v>
      </c>
      <c r="R184" s="21" t="s">
        <v>968</v>
      </c>
      <c r="S184" s="21" t="s">
        <v>635</v>
      </c>
      <c r="T184" s="21" t="s">
        <v>636</v>
      </c>
      <c r="U184" s="21" t="s">
        <v>981</v>
      </c>
      <c r="V184" s="21">
        <v>165.32</v>
      </c>
      <c r="W184" s="21">
        <v>165.32</v>
      </c>
      <c r="X184" s="21" t="s">
        <v>980</v>
      </c>
      <c r="Y184" s="21" t="s">
        <v>968</v>
      </c>
      <c r="Z184" s="21" t="s">
        <v>189</v>
      </c>
      <c r="AA184" s="21" t="s">
        <v>189</v>
      </c>
      <c r="AB184" s="21"/>
      <c r="AC184" s="21" t="s">
        <v>189</v>
      </c>
      <c r="AD184" s="21" t="s">
        <v>189</v>
      </c>
      <c r="AE184" s="21">
        <v>0</v>
      </c>
      <c r="AF184" s="21">
        <v>0</v>
      </c>
      <c r="AG184" s="21">
        <v>0</v>
      </c>
      <c r="AH184" s="21">
        <v>0</v>
      </c>
      <c r="AI184" s="21">
        <v>0</v>
      </c>
      <c r="AJ184" s="21" t="s">
        <v>638</v>
      </c>
      <c r="AK184" s="21">
        <v>0</v>
      </c>
      <c r="AL184" s="21">
        <v>0</v>
      </c>
      <c r="AM184" s="21">
        <v>0</v>
      </c>
      <c r="AN184" s="21">
        <v>0</v>
      </c>
      <c r="AO184" s="21">
        <v>0</v>
      </c>
      <c r="AP184" s="21"/>
      <c r="AQ184" s="21">
        <v>0</v>
      </c>
      <c r="AR184" s="21">
        <v>0</v>
      </c>
      <c r="AS184" s="21">
        <v>858016.28</v>
      </c>
      <c r="AT184" s="21" t="s">
        <v>169</v>
      </c>
      <c r="AU184" s="21" t="s">
        <v>181</v>
      </c>
      <c r="AV184" s="21" t="s">
        <v>154</v>
      </c>
      <c r="AW184" s="21" t="s">
        <v>639</v>
      </c>
      <c r="AX184" s="21" t="s">
        <v>640</v>
      </c>
      <c r="AY184" s="21">
        <v>0</v>
      </c>
      <c r="AZ184" s="21">
        <v>32667.23</v>
      </c>
      <c r="BA184" s="21">
        <v>449</v>
      </c>
      <c r="BB184" s="21" t="s">
        <v>968</v>
      </c>
      <c r="BC184" s="21" t="s">
        <v>176</v>
      </c>
      <c r="BD184" s="21" t="s">
        <v>641</v>
      </c>
      <c r="BE184" s="21" t="s">
        <v>641</v>
      </c>
      <c r="BF184" s="21">
        <v>9</v>
      </c>
      <c r="BG184" s="21">
        <v>2940.05</v>
      </c>
      <c r="BH184" s="21">
        <v>9</v>
      </c>
      <c r="BI184" s="21">
        <v>2940.05</v>
      </c>
      <c r="BJ184" s="21">
        <v>0</v>
      </c>
      <c r="BK184" s="21">
        <v>0</v>
      </c>
      <c r="BL184" s="21">
        <v>0</v>
      </c>
      <c r="BM184" s="21">
        <v>662165585297</v>
      </c>
      <c r="BN184" s="23">
        <v>46252</v>
      </c>
      <c r="BO184" s="21">
        <v>197.6</v>
      </c>
    </row>
    <row r="185" spans="1:67" hidden="1" x14ac:dyDescent="0.25">
      <c r="A185" s="22"/>
      <c r="B185" s="21" t="s">
        <v>167</v>
      </c>
      <c r="C185" s="21" t="s">
        <v>968</v>
      </c>
      <c r="D185" s="21" t="s">
        <v>978</v>
      </c>
      <c r="E185" s="21" t="s">
        <v>180</v>
      </c>
      <c r="F185" s="21" t="s">
        <v>181</v>
      </c>
      <c r="G185" s="21" t="s">
        <v>979</v>
      </c>
      <c r="H185" s="21">
        <v>378.5</v>
      </c>
      <c r="I185" s="21">
        <v>378.5</v>
      </c>
      <c r="J185" s="21" t="s">
        <v>168</v>
      </c>
      <c r="K185" s="21">
        <v>378.5</v>
      </c>
      <c r="L185" s="21">
        <v>0</v>
      </c>
      <c r="M185" s="21">
        <v>378.5</v>
      </c>
      <c r="N185" s="21" t="s">
        <v>174</v>
      </c>
      <c r="O185" s="21" t="s">
        <v>633</v>
      </c>
      <c r="P185" s="21" t="s">
        <v>633</v>
      </c>
      <c r="Q185" s="21" t="s">
        <v>980</v>
      </c>
      <c r="R185" s="21" t="s">
        <v>968</v>
      </c>
      <c r="S185" s="21" t="s">
        <v>635</v>
      </c>
      <c r="T185" s="21" t="s">
        <v>636</v>
      </c>
      <c r="U185" s="21" t="s">
        <v>981</v>
      </c>
      <c r="V185" s="21">
        <v>147.32</v>
      </c>
      <c r="W185" s="21">
        <v>147.32</v>
      </c>
      <c r="X185" s="21" t="s">
        <v>980</v>
      </c>
      <c r="Y185" s="21" t="s">
        <v>968</v>
      </c>
      <c r="Z185" s="21" t="s">
        <v>189</v>
      </c>
      <c r="AA185" s="21" t="s">
        <v>189</v>
      </c>
      <c r="AB185" s="21"/>
      <c r="AC185" s="21" t="s">
        <v>189</v>
      </c>
      <c r="AD185" s="21" t="s">
        <v>189</v>
      </c>
      <c r="AE185" s="21">
        <v>0</v>
      </c>
      <c r="AF185" s="21">
        <v>0</v>
      </c>
      <c r="AG185" s="21">
        <v>0</v>
      </c>
      <c r="AH185" s="21">
        <v>0</v>
      </c>
      <c r="AI185" s="21">
        <v>0</v>
      </c>
      <c r="AJ185" s="21" t="s">
        <v>638</v>
      </c>
      <c r="AK185" s="21">
        <v>0</v>
      </c>
      <c r="AL185" s="21">
        <v>0</v>
      </c>
      <c r="AM185" s="21">
        <v>0</v>
      </c>
      <c r="AN185" s="21">
        <v>0</v>
      </c>
      <c r="AO185" s="21">
        <v>0</v>
      </c>
      <c r="AP185" s="21"/>
      <c r="AQ185" s="21">
        <v>0</v>
      </c>
      <c r="AR185" s="21">
        <v>0</v>
      </c>
      <c r="AS185" s="21">
        <v>858016.28</v>
      </c>
      <c r="AT185" s="21" t="s">
        <v>169</v>
      </c>
      <c r="AU185" s="21" t="s">
        <v>181</v>
      </c>
      <c r="AV185" s="21" t="s">
        <v>154</v>
      </c>
      <c r="AW185" s="21" t="s">
        <v>639</v>
      </c>
      <c r="AX185" s="21" t="s">
        <v>640</v>
      </c>
      <c r="AY185" s="21">
        <v>0</v>
      </c>
      <c r="AZ185" s="21">
        <v>55760.62</v>
      </c>
      <c r="BA185" s="21">
        <v>449</v>
      </c>
      <c r="BB185" s="21" t="s">
        <v>968</v>
      </c>
      <c r="BC185" s="21" t="s">
        <v>176</v>
      </c>
      <c r="BD185" s="21" t="s">
        <v>641</v>
      </c>
      <c r="BE185" s="21" t="s">
        <v>641</v>
      </c>
      <c r="BF185" s="21">
        <v>9</v>
      </c>
      <c r="BG185" s="21">
        <v>5018.46</v>
      </c>
      <c r="BH185" s="21">
        <v>9</v>
      </c>
      <c r="BI185" s="21">
        <v>5018.46</v>
      </c>
      <c r="BJ185" s="21">
        <v>0</v>
      </c>
      <c r="BK185" s="21">
        <v>0</v>
      </c>
      <c r="BL185" s="21">
        <v>0</v>
      </c>
      <c r="BM185" s="21">
        <v>662165585297</v>
      </c>
      <c r="BN185" s="23">
        <v>46252</v>
      </c>
      <c r="BO185" s="21">
        <v>378.5</v>
      </c>
    </row>
    <row r="186" spans="1:67" hidden="1" x14ac:dyDescent="0.25">
      <c r="A186" s="22"/>
      <c r="B186" s="21" t="s">
        <v>167</v>
      </c>
      <c r="C186" s="21" t="s">
        <v>968</v>
      </c>
      <c r="D186" s="21" t="s">
        <v>978</v>
      </c>
      <c r="E186" s="21" t="s">
        <v>172</v>
      </c>
      <c r="F186" s="21" t="s">
        <v>173</v>
      </c>
      <c r="G186" s="21" t="s">
        <v>979</v>
      </c>
      <c r="H186" s="21">
        <v>162</v>
      </c>
      <c r="I186" s="21">
        <v>162</v>
      </c>
      <c r="J186" s="21" t="s">
        <v>168</v>
      </c>
      <c r="K186" s="21">
        <v>162</v>
      </c>
      <c r="L186" s="21">
        <v>0</v>
      </c>
      <c r="M186" s="21">
        <v>162</v>
      </c>
      <c r="N186" s="21" t="s">
        <v>174</v>
      </c>
      <c r="O186" s="21" t="s">
        <v>633</v>
      </c>
      <c r="P186" s="21" t="s">
        <v>633</v>
      </c>
      <c r="Q186" s="21" t="s">
        <v>980</v>
      </c>
      <c r="R186" s="21" t="s">
        <v>968</v>
      </c>
      <c r="S186" s="21" t="s">
        <v>635</v>
      </c>
      <c r="T186" s="21" t="s">
        <v>636</v>
      </c>
      <c r="U186" s="21" t="s">
        <v>981</v>
      </c>
      <c r="V186" s="21">
        <v>220.77</v>
      </c>
      <c r="W186" s="21">
        <v>220.77</v>
      </c>
      <c r="X186" s="21" t="s">
        <v>980</v>
      </c>
      <c r="Y186" s="21" t="s">
        <v>968</v>
      </c>
      <c r="Z186" s="21" t="s">
        <v>189</v>
      </c>
      <c r="AA186" s="21" t="s">
        <v>189</v>
      </c>
      <c r="AB186" s="21"/>
      <c r="AC186" s="21" t="s">
        <v>189</v>
      </c>
      <c r="AD186" s="21" t="s">
        <v>189</v>
      </c>
      <c r="AE186" s="21">
        <v>0</v>
      </c>
      <c r="AF186" s="21">
        <v>0</v>
      </c>
      <c r="AG186" s="21">
        <v>0</v>
      </c>
      <c r="AH186" s="21">
        <v>0</v>
      </c>
      <c r="AI186" s="21">
        <v>0</v>
      </c>
      <c r="AJ186" s="21" t="s">
        <v>638</v>
      </c>
      <c r="AK186" s="21">
        <v>0</v>
      </c>
      <c r="AL186" s="21">
        <v>0</v>
      </c>
      <c r="AM186" s="21">
        <v>0</v>
      </c>
      <c r="AN186" s="21">
        <v>0</v>
      </c>
      <c r="AO186" s="21">
        <v>0</v>
      </c>
      <c r="AP186" s="21"/>
      <c r="AQ186" s="21">
        <v>0</v>
      </c>
      <c r="AR186" s="21">
        <v>0</v>
      </c>
      <c r="AS186" s="21">
        <v>858016.28</v>
      </c>
      <c r="AT186" s="21" t="s">
        <v>169</v>
      </c>
      <c r="AU186" s="21" t="s">
        <v>175</v>
      </c>
      <c r="AV186" s="21" t="s">
        <v>159</v>
      </c>
      <c r="AW186" s="21" t="s">
        <v>639</v>
      </c>
      <c r="AX186" s="21" t="s">
        <v>640</v>
      </c>
      <c r="AY186" s="21">
        <v>0</v>
      </c>
      <c r="AZ186" s="21">
        <v>35764.74</v>
      </c>
      <c r="BA186" s="21">
        <v>449</v>
      </c>
      <c r="BB186" s="21" t="s">
        <v>968</v>
      </c>
      <c r="BC186" s="21" t="s">
        <v>176</v>
      </c>
      <c r="BD186" s="21" t="s">
        <v>641</v>
      </c>
      <c r="BE186" s="21" t="s">
        <v>641</v>
      </c>
      <c r="BF186" s="21">
        <v>9</v>
      </c>
      <c r="BG186" s="21">
        <v>3218.83</v>
      </c>
      <c r="BH186" s="21">
        <v>9</v>
      </c>
      <c r="BI186" s="21">
        <v>3218.83</v>
      </c>
      <c r="BJ186" s="21">
        <v>0</v>
      </c>
      <c r="BK186" s="21">
        <v>0</v>
      </c>
      <c r="BL186" s="21">
        <v>0</v>
      </c>
      <c r="BM186" s="21">
        <v>662165585297</v>
      </c>
      <c r="BN186" s="23">
        <v>46252</v>
      </c>
      <c r="BO186" s="21">
        <v>162</v>
      </c>
    </row>
    <row r="187" spans="1:67" hidden="1" x14ac:dyDescent="0.25">
      <c r="A187" s="22"/>
      <c r="B187" s="21" t="s">
        <v>167</v>
      </c>
      <c r="C187" s="21" t="s">
        <v>982</v>
      </c>
      <c r="D187" s="21" t="s">
        <v>983</v>
      </c>
      <c r="E187" s="21" t="s">
        <v>180</v>
      </c>
      <c r="F187" s="21" t="s">
        <v>181</v>
      </c>
      <c r="G187" s="21" t="s">
        <v>984</v>
      </c>
      <c r="H187" s="21">
        <v>114</v>
      </c>
      <c r="I187" s="21">
        <v>114</v>
      </c>
      <c r="J187" s="21" t="s">
        <v>168</v>
      </c>
      <c r="K187" s="21">
        <v>114</v>
      </c>
      <c r="L187" s="21">
        <v>0</v>
      </c>
      <c r="M187" s="21">
        <v>114</v>
      </c>
      <c r="N187" s="21" t="s">
        <v>317</v>
      </c>
      <c r="O187" s="21" t="s">
        <v>633</v>
      </c>
      <c r="P187" s="21" t="s">
        <v>633</v>
      </c>
      <c r="Q187" s="21" t="s">
        <v>985</v>
      </c>
      <c r="R187" s="21" t="s">
        <v>982</v>
      </c>
      <c r="S187" s="21" t="s">
        <v>635</v>
      </c>
      <c r="T187" s="21" t="s">
        <v>636</v>
      </c>
      <c r="U187" s="21" t="s">
        <v>986</v>
      </c>
      <c r="V187" s="21">
        <v>147.32</v>
      </c>
      <c r="W187" s="21">
        <v>147.32</v>
      </c>
      <c r="X187" s="21" t="s">
        <v>985</v>
      </c>
      <c r="Y187" s="21" t="s">
        <v>982</v>
      </c>
      <c r="Z187" s="21" t="s">
        <v>189</v>
      </c>
      <c r="AA187" s="21" t="s">
        <v>189</v>
      </c>
      <c r="AB187" s="21"/>
      <c r="AC187" s="21" t="s">
        <v>189</v>
      </c>
      <c r="AD187" s="21" t="s">
        <v>189</v>
      </c>
      <c r="AE187" s="21">
        <v>0</v>
      </c>
      <c r="AF187" s="21">
        <v>0</v>
      </c>
      <c r="AG187" s="21">
        <v>0</v>
      </c>
      <c r="AH187" s="21">
        <v>0</v>
      </c>
      <c r="AI187" s="21">
        <v>0</v>
      </c>
      <c r="AJ187" s="21" t="s">
        <v>638</v>
      </c>
      <c r="AK187" s="21">
        <v>0</v>
      </c>
      <c r="AL187" s="21">
        <v>0</v>
      </c>
      <c r="AM187" s="21">
        <v>0</v>
      </c>
      <c r="AN187" s="21">
        <v>0</v>
      </c>
      <c r="AO187" s="21">
        <v>0</v>
      </c>
      <c r="AP187" s="21"/>
      <c r="AQ187" s="21">
        <v>0</v>
      </c>
      <c r="AR187" s="21">
        <v>0</v>
      </c>
      <c r="AS187" s="21">
        <v>19817.48</v>
      </c>
      <c r="AT187" s="21" t="s">
        <v>169</v>
      </c>
      <c r="AU187" s="21" t="s">
        <v>181</v>
      </c>
      <c r="AV187" s="21" t="s">
        <v>154</v>
      </c>
      <c r="AW187" s="21" t="s">
        <v>639</v>
      </c>
      <c r="AX187" s="21" t="s">
        <v>640</v>
      </c>
      <c r="AY187" s="21">
        <v>0</v>
      </c>
      <c r="AZ187" s="21">
        <v>16794.48</v>
      </c>
      <c r="BA187" s="21">
        <v>450</v>
      </c>
      <c r="BB187" s="21" t="s">
        <v>982</v>
      </c>
      <c r="BC187" s="21" t="s">
        <v>176</v>
      </c>
      <c r="BD187" s="21" t="s">
        <v>641</v>
      </c>
      <c r="BE187" s="21" t="s">
        <v>641</v>
      </c>
      <c r="BF187" s="21">
        <v>9</v>
      </c>
      <c r="BG187" s="21">
        <v>1511.5</v>
      </c>
      <c r="BH187" s="21">
        <v>9</v>
      </c>
      <c r="BI187" s="21">
        <v>1511.5</v>
      </c>
      <c r="BJ187" s="21">
        <v>0</v>
      </c>
      <c r="BK187" s="21">
        <v>0</v>
      </c>
      <c r="BL187" s="21">
        <v>19817.48</v>
      </c>
      <c r="BM187" s="21">
        <v>692165840658</v>
      </c>
      <c r="BN187" s="23">
        <v>46253</v>
      </c>
      <c r="BO187" s="21">
        <v>114</v>
      </c>
    </row>
    <row r="188" spans="1:67" hidden="1" x14ac:dyDescent="0.25">
      <c r="A188" s="22"/>
      <c r="B188" s="21" t="s">
        <v>167</v>
      </c>
      <c r="C188" s="21" t="s">
        <v>982</v>
      </c>
      <c r="D188" s="21" t="s">
        <v>987</v>
      </c>
      <c r="E188" s="21" t="s">
        <v>319</v>
      </c>
      <c r="F188" s="21" t="s">
        <v>314</v>
      </c>
      <c r="G188" s="21" t="s">
        <v>988</v>
      </c>
      <c r="H188" s="21">
        <v>3000</v>
      </c>
      <c r="I188" s="21">
        <v>3000</v>
      </c>
      <c r="J188" s="21" t="s">
        <v>168</v>
      </c>
      <c r="K188" s="21">
        <v>3000</v>
      </c>
      <c r="L188" s="21">
        <v>0</v>
      </c>
      <c r="M188" s="21">
        <v>3000</v>
      </c>
      <c r="N188" s="21" t="s">
        <v>174</v>
      </c>
      <c r="O188" s="21" t="s">
        <v>633</v>
      </c>
      <c r="P188" s="21" t="s">
        <v>633</v>
      </c>
      <c r="Q188" s="21" t="s">
        <v>989</v>
      </c>
      <c r="R188" s="21" t="s">
        <v>982</v>
      </c>
      <c r="S188" s="21" t="s">
        <v>635</v>
      </c>
      <c r="T188" s="21" t="s">
        <v>636</v>
      </c>
      <c r="U188" s="34" t="s">
        <v>990</v>
      </c>
      <c r="V188" s="21">
        <v>105</v>
      </c>
      <c r="W188" s="21">
        <v>105</v>
      </c>
      <c r="X188" s="21" t="s">
        <v>989</v>
      </c>
      <c r="Y188" s="21" t="s">
        <v>982</v>
      </c>
      <c r="Z188" s="21"/>
      <c r="AA188" s="21">
        <v>0</v>
      </c>
      <c r="AB188" s="21"/>
      <c r="AC188" s="21">
        <v>0</v>
      </c>
      <c r="AD188" s="21">
        <v>0</v>
      </c>
      <c r="AE188" s="21">
        <v>0</v>
      </c>
      <c r="AF188" s="21">
        <v>0</v>
      </c>
      <c r="AG188" s="21">
        <v>0</v>
      </c>
      <c r="AH188" s="21">
        <v>0</v>
      </c>
      <c r="AI188" s="21">
        <v>0</v>
      </c>
      <c r="AJ188" s="21" t="s">
        <v>638</v>
      </c>
      <c r="AK188" s="21">
        <v>0</v>
      </c>
      <c r="AL188" s="21">
        <v>0</v>
      </c>
      <c r="AM188" s="21">
        <v>0</v>
      </c>
      <c r="AN188" s="21">
        <v>0</v>
      </c>
      <c r="AO188" s="21">
        <v>0</v>
      </c>
      <c r="AP188" s="21"/>
      <c r="AQ188" s="21">
        <v>0</v>
      </c>
      <c r="AR188" s="21">
        <v>0</v>
      </c>
      <c r="AS188" s="21">
        <v>371700</v>
      </c>
      <c r="AT188" s="21" t="s">
        <v>169</v>
      </c>
      <c r="AU188" s="21" t="s">
        <v>314</v>
      </c>
      <c r="AV188" s="21" t="s">
        <v>314</v>
      </c>
      <c r="AW188" s="21" t="s">
        <v>169</v>
      </c>
      <c r="AX188" s="21" t="s">
        <v>640</v>
      </c>
      <c r="AY188" s="21">
        <v>0</v>
      </c>
      <c r="AZ188" s="21">
        <v>315000</v>
      </c>
      <c r="BA188" s="21">
        <v>451</v>
      </c>
      <c r="BB188" s="21" t="s">
        <v>982</v>
      </c>
      <c r="BC188" s="21" t="s">
        <v>176</v>
      </c>
      <c r="BD188" s="21" t="s">
        <v>641</v>
      </c>
      <c r="BE188" s="21" t="s">
        <v>641</v>
      </c>
      <c r="BF188" s="21">
        <v>9</v>
      </c>
      <c r="BG188" s="21">
        <v>28350</v>
      </c>
      <c r="BH188" s="21">
        <v>9</v>
      </c>
      <c r="BI188" s="21">
        <v>28350</v>
      </c>
      <c r="BJ188" s="21">
        <v>0</v>
      </c>
      <c r="BK188" s="21">
        <v>0</v>
      </c>
      <c r="BL188" s="21">
        <v>371700</v>
      </c>
      <c r="BM188" s="21">
        <v>612165949951</v>
      </c>
      <c r="BN188" s="23">
        <v>46253</v>
      </c>
      <c r="BO188" s="35">
        <v>3000</v>
      </c>
    </row>
    <row r="189" spans="1:67" hidden="1" x14ac:dyDescent="0.25">
      <c r="A189" s="22"/>
      <c r="B189" s="21" t="s">
        <v>167</v>
      </c>
      <c r="C189" s="21" t="s">
        <v>982</v>
      </c>
      <c r="D189" s="21" t="s">
        <v>991</v>
      </c>
      <c r="E189" s="21" t="s">
        <v>180</v>
      </c>
      <c r="F189" s="21" t="s">
        <v>181</v>
      </c>
      <c r="G189" s="21" t="s">
        <v>992</v>
      </c>
      <c r="H189" s="21">
        <v>219.6</v>
      </c>
      <c r="I189" s="21">
        <v>219.6</v>
      </c>
      <c r="J189" s="21" t="s">
        <v>168</v>
      </c>
      <c r="K189" s="21">
        <v>219.6</v>
      </c>
      <c r="L189" s="21">
        <v>0</v>
      </c>
      <c r="M189" s="21">
        <v>219.6</v>
      </c>
      <c r="N189" s="21" t="s">
        <v>174</v>
      </c>
      <c r="O189" s="21" t="s">
        <v>633</v>
      </c>
      <c r="P189" s="21" t="s">
        <v>633</v>
      </c>
      <c r="Q189" s="21" t="s">
        <v>993</v>
      </c>
      <c r="R189" s="21" t="s">
        <v>982</v>
      </c>
      <c r="S189" s="21" t="s">
        <v>635</v>
      </c>
      <c r="T189" s="21" t="s">
        <v>636</v>
      </c>
      <c r="U189" s="21" t="s">
        <v>994</v>
      </c>
      <c r="V189" s="21">
        <v>165.32</v>
      </c>
      <c r="W189" s="21">
        <v>165.31999934829</v>
      </c>
      <c r="X189" s="21" t="s">
        <v>993</v>
      </c>
      <c r="Y189" s="21" t="s">
        <v>982</v>
      </c>
      <c r="Z189" s="21" t="s">
        <v>189</v>
      </c>
      <c r="AA189" s="21" t="s">
        <v>189</v>
      </c>
      <c r="AB189" s="21"/>
      <c r="AC189" s="21" t="s">
        <v>189</v>
      </c>
      <c r="AD189" s="21" t="s">
        <v>189</v>
      </c>
      <c r="AE189" s="21">
        <v>0</v>
      </c>
      <c r="AF189" s="21">
        <v>0</v>
      </c>
      <c r="AG189" s="21">
        <v>0</v>
      </c>
      <c r="AH189" s="21">
        <v>0</v>
      </c>
      <c r="AI189" s="21">
        <v>0</v>
      </c>
      <c r="AJ189" s="21" t="s">
        <v>638</v>
      </c>
      <c r="AK189" s="21">
        <v>0</v>
      </c>
      <c r="AL189" s="21">
        <v>0</v>
      </c>
      <c r="AM189" s="21">
        <v>0</v>
      </c>
      <c r="AN189" s="21">
        <v>0</v>
      </c>
      <c r="AO189" s="21">
        <v>0</v>
      </c>
      <c r="AP189" s="21"/>
      <c r="AQ189" s="21">
        <v>0</v>
      </c>
      <c r="AR189" s="21">
        <v>0</v>
      </c>
      <c r="AS189" s="21">
        <v>1522025.67</v>
      </c>
      <c r="AT189" s="21" t="s">
        <v>169</v>
      </c>
      <c r="AU189" s="21" t="s">
        <v>181</v>
      </c>
      <c r="AV189" s="21" t="s">
        <v>154</v>
      </c>
      <c r="AW189" s="21" t="s">
        <v>639</v>
      </c>
      <c r="AX189" s="21" t="s">
        <v>640</v>
      </c>
      <c r="AY189" s="21">
        <v>0</v>
      </c>
      <c r="AZ189" s="21">
        <v>36304.269999999997</v>
      </c>
      <c r="BA189" s="21">
        <v>452</v>
      </c>
      <c r="BB189" s="21" t="s">
        <v>982</v>
      </c>
      <c r="BC189" s="21" t="s">
        <v>176</v>
      </c>
      <c r="BD189" s="21" t="s">
        <v>641</v>
      </c>
      <c r="BE189" s="21" t="s">
        <v>641</v>
      </c>
      <c r="BF189" s="21">
        <v>9</v>
      </c>
      <c r="BG189" s="21">
        <v>3267.38</v>
      </c>
      <c r="BH189" s="21">
        <v>9</v>
      </c>
      <c r="BI189" s="21">
        <v>3267.38</v>
      </c>
      <c r="BJ189" s="21">
        <v>0</v>
      </c>
      <c r="BK189" s="21">
        <v>0</v>
      </c>
      <c r="BL189" s="21">
        <v>1522025.67</v>
      </c>
      <c r="BM189" s="21">
        <v>682166264304</v>
      </c>
      <c r="BN189" s="23">
        <v>46253</v>
      </c>
      <c r="BO189" s="21">
        <v>219.6</v>
      </c>
    </row>
    <row r="190" spans="1:67" hidden="1" x14ac:dyDescent="0.25">
      <c r="A190" s="22"/>
      <c r="B190" s="21" t="s">
        <v>167</v>
      </c>
      <c r="C190" s="21" t="s">
        <v>982</v>
      </c>
      <c r="D190" s="21" t="s">
        <v>991</v>
      </c>
      <c r="E190" s="21" t="s">
        <v>180</v>
      </c>
      <c r="F190" s="21" t="s">
        <v>181</v>
      </c>
      <c r="G190" s="21" t="s">
        <v>992</v>
      </c>
      <c r="H190" s="21">
        <v>1616.1</v>
      </c>
      <c r="I190" s="21">
        <v>1616.1</v>
      </c>
      <c r="J190" s="21" t="s">
        <v>168</v>
      </c>
      <c r="K190" s="21">
        <v>1616.1</v>
      </c>
      <c r="L190" s="21">
        <v>0</v>
      </c>
      <c r="M190" s="21">
        <v>1616.1</v>
      </c>
      <c r="N190" s="21" t="s">
        <v>174</v>
      </c>
      <c r="O190" s="21" t="s">
        <v>633</v>
      </c>
      <c r="P190" s="21" t="s">
        <v>633</v>
      </c>
      <c r="Q190" s="21" t="s">
        <v>993</v>
      </c>
      <c r="R190" s="21" t="s">
        <v>982</v>
      </c>
      <c r="S190" s="21" t="s">
        <v>635</v>
      </c>
      <c r="T190" s="21" t="s">
        <v>636</v>
      </c>
      <c r="U190" s="21" t="s">
        <v>994</v>
      </c>
      <c r="V190" s="21">
        <v>144.32</v>
      </c>
      <c r="W190" s="21">
        <v>144.319999431074</v>
      </c>
      <c r="X190" s="21" t="s">
        <v>993</v>
      </c>
      <c r="Y190" s="21" t="s">
        <v>982</v>
      </c>
      <c r="Z190" s="21" t="s">
        <v>189</v>
      </c>
      <c r="AA190" s="21" t="s">
        <v>189</v>
      </c>
      <c r="AB190" s="21"/>
      <c r="AC190" s="21" t="s">
        <v>189</v>
      </c>
      <c r="AD190" s="21" t="s">
        <v>189</v>
      </c>
      <c r="AE190" s="21">
        <v>0</v>
      </c>
      <c r="AF190" s="21">
        <v>0</v>
      </c>
      <c r="AG190" s="21">
        <v>0</v>
      </c>
      <c r="AH190" s="21">
        <v>0</v>
      </c>
      <c r="AI190" s="21">
        <v>0</v>
      </c>
      <c r="AJ190" s="21" t="s">
        <v>638</v>
      </c>
      <c r="AK190" s="21">
        <v>0</v>
      </c>
      <c r="AL190" s="21">
        <v>0</v>
      </c>
      <c r="AM190" s="21">
        <v>0</v>
      </c>
      <c r="AN190" s="21">
        <v>0</v>
      </c>
      <c r="AO190" s="21">
        <v>0</v>
      </c>
      <c r="AP190" s="21"/>
      <c r="AQ190" s="21">
        <v>0</v>
      </c>
      <c r="AR190" s="21">
        <v>0</v>
      </c>
      <c r="AS190" s="21">
        <v>1522025.67</v>
      </c>
      <c r="AT190" s="21" t="s">
        <v>169</v>
      </c>
      <c r="AU190" s="21" t="s">
        <v>181</v>
      </c>
      <c r="AV190" s="21" t="s">
        <v>154</v>
      </c>
      <c r="AW190" s="21" t="s">
        <v>639</v>
      </c>
      <c r="AX190" s="21" t="s">
        <v>640</v>
      </c>
      <c r="AY190" s="21">
        <v>0</v>
      </c>
      <c r="AZ190" s="21">
        <v>233235.55</v>
      </c>
      <c r="BA190" s="21">
        <v>452</v>
      </c>
      <c r="BB190" s="21" t="s">
        <v>982</v>
      </c>
      <c r="BC190" s="21" t="s">
        <v>176</v>
      </c>
      <c r="BD190" s="21" t="s">
        <v>641</v>
      </c>
      <c r="BE190" s="21" t="s">
        <v>641</v>
      </c>
      <c r="BF190" s="21">
        <v>9</v>
      </c>
      <c r="BG190" s="21">
        <v>20991.200000000001</v>
      </c>
      <c r="BH190" s="21">
        <v>9</v>
      </c>
      <c r="BI190" s="21">
        <v>20991.200000000001</v>
      </c>
      <c r="BJ190" s="21">
        <v>0</v>
      </c>
      <c r="BK190" s="21">
        <v>0</v>
      </c>
      <c r="BL190" s="21">
        <v>0</v>
      </c>
      <c r="BM190" s="21">
        <v>682166264304</v>
      </c>
      <c r="BN190" s="23">
        <v>46253</v>
      </c>
      <c r="BO190" s="21">
        <v>1616.1</v>
      </c>
    </row>
    <row r="191" spans="1:67" hidden="1" x14ac:dyDescent="0.25">
      <c r="A191" s="22"/>
      <c r="B191" s="21" t="s">
        <v>167</v>
      </c>
      <c r="C191" s="21" t="s">
        <v>982</v>
      </c>
      <c r="D191" s="21" t="s">
        <v>991</v>
      </c>
      <c r="E191" s="21" t="s">
        <v>180</v>
      </c>
      <c r="F191" s="21" t="s">
        <v>181</v>
      </c>
      <c r="G191" s="21" t="s">
        <v>992</v>
      </c>
      <c r="H191" s="21">
        <v>390.6</v>
      </c>
      <c r="I191" s="21">
        <v>390.6</v>
      </c>
      <c r="J191" s="21" t="s">
        <v>168</v>
      </c>
      <c r="K191" s="21">
        <v>390.6</v>
      </c>
      <c r="L191" s="21">
        <v>0</v>
      </c>
      <c r="M191" s="21">
        <v>390.6</v>
      </c>
      <c r="N191" s="21" t="s">
        <v>174</v>
      </c>
      <c r="O191" s="21" t="s">
        <v>633</v>
      </c>
      <c r="P191" s="21" t="s">
        <v>633</v>
      </c>
      <c r="Q191" s="21" t="s">
        <v>993</v>
      </c>
      <c r="R191" s="21" t="s">
        <v>982</v>
      </c>
      <c r="S191" s="21" t="s">
        <v>635</v>
      </c>
      <c r="T191" s="21" t="s">
        <v>636</v>
      </c>
      <c r="U191" s="21" t="s">
        <v>994</v>
      </c>
      <c r="V191" s="21">
        <v>147.32</v>
      </c>
      <c r="W191" s="21">
        <v>147.31999941924801</v>
      </c>
      <c r="X191" s="21" t="s">
        <v>993</v>
      </c>
      <c r="Y191" s="21" t="s">
        <v>982</v>
      </c>
      <c r="Z191" s="21" t="s">
        <v>189</v>
      </c>
      <c r="AA191" s="21" t="s">
        <v>189</v>
      </c>
      <c r="AB191" s="21"/>
      <c r="AC191" s="21" t="s">
        <v>189</v>
      </c>
      <c r="AD191" s="21" t="s">
        <v>189</v>
      </c>
      <c r="AE191" s="21">
        <v>0</v>
      </c>
      <c r="AF191" s="21">
        <v>0</v>
      </c>
      <c r="AG191" s="21">
        <v>0</v>
      </c>
      <c r="AH191" s="21">
        <v>0</v>
      </c>
      <c r="AI191" s="21">
        <v>0</v>
      </c>
      <c r="AJ191" s="21" t="s">
        <v>638</v>
      </c>
      <c r="AK191" s="21">
        <v>0</v>
      </c>
      <c r="AL191" s="21">
        <v>0</v>
      </c>
      <c r="AM191" s="21">
        <v>0</v>
      </c>
      <c r="AN191" s="21">
        <v>0</v>
      </c>
      <c r="AO191" s="21">
        <v>0</v>
      </c>
      <c r="AP191" s="21"/>
      <c r="AQ191" s="21">
        <v>0</v>
      </c>
      <c r="AR191" s="21">
        <v>0</v>
      </c>
      <c r="AS191" s="21">
        <v>1522025.67</v>
      </c>
      <c r="AT191" s="21" t="s">
        <v>169</v>
      </c>
      <c r="AU191" s="21" t="s">
        <v>181</v>
      </c>
      <c r="AV191" s="21" t="s">
        <v>154</v>
      </c>
      <c r="AW191" s="21" t="s">
        <v>639</v>
      </c>
      <c r="AX191" s="21" t="s">
        <v>640</v>
      </c>
      <c r="AY191" s="21">
        <v>0</v>
      </c>
      <c r="AZ191" s="21">
        <v>57543.19</v>
      </c>
      <c r="BA191" s="21">
        <v>452</v>
      </c>
      <c r="BB191" s="21" t="s">
        <v>982</v>
      </c>
      <c r="BC191" s="21" t="s">
        <v>176</v>
      </c>
      <c r="BD191" s="21" t="s">
        <v>641</v>
      </c>
      <c r="BE191" s="21" t="s">
        <v>641</v>
      </c>
      <c r="BF191" s="21">
        <v>9</v>
      </c>
      <c r="BG191" s="21">
        <v>5178.8900000000003</v>
      </c>
      <c r="BH191" s="21">
        <v>9</v>
      </c>
      <c r="BI191" s="21">
        <v>5178.8900000000003</v>
      </c>
      <c r="BJ191" s="21">
        <v>0</v>
      </c>
      <c r="BK191" s="21">
        <v>0</v>
      </c>
      <c r="BL191" s="21">
        <v>0</v>
      </c>
      <c r="BM191" s="21">
        <v>682166264304</v>
      </c>
      <c r="BN191" s="23">
        <v>46253</v>
      </c>
      <c r="BO191" s="21">
        <v>390.6</v>
      </c>
    </row>
    <row r="192" spans="1:67" hidden="1" x14ac:dyDescent="0.25">
      <c r="A192" s="22"/>
      <c r="B192" s="21" t="s">
        <v>167</v>
      </c>
      <c r="C192" s="21" t="s">
        <v>982</v>
      </c>
      <c r="D192" s="21" t="s">
        <v>991</v>
      </c>
      <c r="E192" s="21" t="s">
        <v>177</v>
      </c>
      <c r="F192" s="21" t="s">
        <v>178</v>
      </c>
      <c r="G192" s="21" t="s">
        <v>992</v>
      </c>
      <c r="H192" s="21">
        <v>5762</v>
      </c>
      <c r="I192" s="21">
        <v>5762</v>
      </c>
      <c r="J192" s="21" t="s">
        <v>168</v>
      </c>
      <c r="K192" s="21">
        <v>5762</v>
      </c>
      <c r="L192" s="21">
        <v>0</v>
      </c>
      <c r="M192" s="21">
        <v>5762</v>
      </c>
      <c r="N192" s="21" t="s">
        <v>174</v>
      </c>
      <c r="O192" s="21" t="s">
        <v>633</v>
      </c>
      <c r="P192" s="21" t="s">
        <v>633</v>
      </c>
      <c r="Q192" s="21" t="s">
        <v>993</v>
      </c>
      <c r="R192" s="21" t="s">
        <v>982</v>
      </c>
      <c r="S192" s="21" t="s">
        <v>635</v>
      </c>
      <c r="T192" s="21" t="s">
        <v>636</v>
      </c>
      <c r="U192" s="21" t="s">
        <v>994</v>
      </c>
      <c r="V192" s="21">
        <v>149.32</v>
      </c>
      <c r="W192" s="21">
        <v>149.319999411363</v>
      </c>
      <c r="X192" s="21" t="s">
        <v>993</v>
      </c>
      <c r="Y192" s="21" t="s">
        <v>982</v>
      </c>
      <c r="Z192" s="21" t="s">
        <v>189</v>
      </c>
      <c r="AA192" s="21" t="s">
        <v>189</v>
      </c>
      <c r="AB192" s="21"/>
      <c r="AC192" s="21" t="s">
        <v>189</v>
      </c>
      <c r="AD192" s="21" t="s">
        <v>189</v>
      </c>
      <c r="AE192" s="21">
        <v>0</v>
      </c>
      <c r="AF192" s="21">
        <v>0</v>
      </c>
      <c r="AG192" s="21">
        <v>0</v>
      </c>
      <c r="AH192" s="21">
        <v>0</v>
      </c>
      <c r="AI192" s="21">
        <v>0</v>
      </c>
      <c r="AJ192" s="21" t="s">
        <v>638</v>
      </c>
      <c r="AK192" s="21">
        <v>0</v>
      </c>
      <c r="AL192" s="21">
        <v>0</v>
      </c>
      <c r="AM192" s="21">
        <v>0</v>
      </c>
      <c r="AN192" s="21">
        <v>0</v>
      </c>
      <c r="AO192" s="21">
        <v>0</v>
      </c>
      <c r="AP192" s="21"/>
      <c r="AQ192" s="21">
        <v>0</v>
      </c>
      <c r="AR192" s="21">
        <v>0</v>
      </c>
      <c r="AS192" s="21">
        <v>1522025.67</v>
      </c>
      <c r="AT192" s="21" t="s">
        <v>169</v>
      </c>
      <c r="AU192" s="21" t="s">
        <v>179</v>
      </c>
      <c r="AV192" s="21" t="s">
        <v>156</v>
      </c>
      <c r="AW192" s="21" t="s">
        <v>639</v>
      </c>
      <c r="AX192" s="21" t="s">
        <v>640</v>
      </c>
      <c r="AY192" s="21">
        <v>0</v>
      </c>
      <c r="AZ192" s="21">
        <v>860381.84</v>
      </c>
      <c r="BA192" s="21">
        <v>452</v>
      </c>
      <c r="BB192" s="21" t="s">
        <v>982</v>
      </c>
      <c r="BC192" s="21" t="s">
        <v>176</v>
      </c>
      <c r="BD192" s="21" t="s">
        <v>641</v>
      </c>
      <c r="BE192" s="21" t="s">
        <v>641</v>
      </c>
      <c r="BF192" s="21">
        <v>9</v>
      </c>
      <c r="BG192" s="21">
        <v>77434.37</v>
      </c>
      <c r="BH192" s="21">
        <v>9</v>
      </c>
      <c r="BI192" s="21">
        <v>77434.37</v>
      </c>
      <c r="BJ192" s="21">
        <v>0</v>
      </c>
      <c r="BK192" s="21">
        <v>0</v>
      </c>
      <c r="BL192" s="21">
        <v>0</v>
      </c>
      <c r="BM192" s="21">
        <v>682166264304</v>
      </c>
      <c r="BN192" s="23">
        <v>46253</v>
      </c>
      <c r="BO192" s="21">
        <v>5762</v>
      </c>
    </row>
    <row r="193" spans="1:67" hidden="1" x14ac:dyDescent="0.25">
      <c r="A193" s="22"/>
      <c r="B193" s="21" t="s">
        <v>167</v>
      </c>
      <c r="C193" s="21" t="s">
        <v>982</v>
      </c>
      <c r="D193" s="21" t="s">
        <v>991</v>
      </c>
      <c r="E193" s="21" t="s">
        <v>182</v>
      </c>
      <c r="F193" s="21" t="s">
        <v>183</v>
      </c>
      <c r="G193" s="21" t="s">
        <v>992</v>
      </c>
      <c r="H193" s="21">
        <v>695</v>
      </c>
      <c r="I193" s="21">
        <v>695</v>
      </c>
      <c r="J193" s="21" t="s">
        <v>168</v>
      </c>
      <c r="K193" s="21">
        <v>695</v>
      </c>
      <c r="L193" s="21">
        <v>0</v>
      </c>
      <c r="M193" s="21">
        <v>695</v>
      </c>
      <c r="N193" s="21" t="s">
        <v>174</v>
      </c>
      <c r="O193" s="21" t="s">
        <v>633</v>
      </c>
      <c r="P193" s="21" t="s">
        <v>633</v>
      </c>
      <c r="Q193" s="21" t="s">
        <v>993</v>
      </c>
      <c r="R193" s="21" t="s">
        <v>982</v>
      </c>
      <c r="S193" s="21" t="s">
        <v>635</v>
      </c>
      <c r="T193" s="21" t="s">
        <v>636</v>
      </c>
      <c r="U193" s="21" t="s">
        <v>994</v>
      </c>
      <c r="V193" s="21">
        <v>147.32</v>
      </c>
      <c r="W193" s="21">
        <v>147.31999941924801</v>
      </c>
      <c r="X193" s="21" t="s">
        <v>993</v>
      </c>
      <c r="Y193" s="21" t="s">
        <v>982</v>
      </c>
      <c r="Z193" s="21" t="s">
        <v>189</v>
      </c>
      <c r="AA193" s="21" t="s">
        <v>189</v>
      </c>
      <c r="AB193" s="21"/>
      <c r="AC193" s="21" t="s">
        <v>189</v>
      </c>
      <c r="AD193" s="21" t="s">
        <v>189</v>
      </c>
      <c r="AE193" s="21">
        <v>0</v>
      </c>
      <c r="AF193" s="21">
        <v>0</v>
      </c>
      <c r="AG193" s="21">
        <v>0</v>
      </c>
      <c r="AH193" s="21">
        <v>0</v>
      </c>
      <c r="AI193" s="21">
        <v>0</v>
      </c>
      <c r="AJ193" s="21" t="s">
        <v>638</v>
      </c>
      <c r="AK193" s="21">
        <v>0</v>
      </c>
      <c r="AL193" s="21">
        <v>0</v>
      </c>
      <c r="AM193" s="21">
        <v>0</v>
      </c>
      <c r="AN193" s="21">
        <v>0</v>
      </c>
      <c r="AO193" s="21">
        <v>0</v>
      </c>
      <c r="AP193" s="21"/>
      <c r="AQ193" s="21">
        <v>0</v>
      </c>
      <c r="AR193" s="21">
        <v>0</v>
      </c>
      <c r="AS193" s="21">
        <v>1522025.67</v>
      </c>
      <c r="AT193" s="21" t="s">
        <v>169</v>
      </c>
      <c r="AU193" s="21" t="s">
        <v>179</v>
      </c>
      <c r="AV193" s="21" t="s">
        <v>155</v>
      </c>
      <c r="AW193" s="21" t="s">
        <v>639</v>
      </c>
      <c r="AX193" s="21" t="s">
        <v>640</v>
      </c>
      <c r="AY193" s="21">
        <v>0</v>
      </c>
      <c r="AZ193" s="21">
        <v>102387.4</v>
      </c>
      <c r="BA193" s="21">
        <v>452</v>
      </c>
      <c r="BB193" s="21" t="s">
        <v>982</v>
      </c>
      <c r="BC193" s="21" t="s">
        <v>176</v>
      </c>
      <c r="BD193" s="21" t="s">
        <v>641</v>
      </c>
      <c r="BE193" s="21" t="s">
        <v>641</v>
      </c>
      <c r="BF193" s="21">
        <v>9</v>
      </c>
      <c r="BG193" s="21">
        <v>9214.8700000000008</v>
      </c>
      <c r="BH193" s="21">
        <v>9</v>
      </c>
      <c r="BI193" s="21">
        <v>9214.8700000000008</v>
      </c>
      <c r="BJ193" s="21">
        <v>0</v>
      </c>
      <c r="BK193" s="21">
        <v>0</v>
      </c>
      <c r="BL193" s="21">
        <v>0</v>
      </c>
      <c r="BM193" s="21">
        <v>682166264304</v>
      </c>
      <c r="BN193" s="23">
        <v>46253</v>
      </c>
      <c r="BO193" s="21">
        <v>695</v>
      </c>
    </row>
    <row r="194" spans="1:67" hidden="1" x14ac:dyDescent="0.25">
      <c r="A194" s="22"/>
      <c r="B194" s="21" t="s">
        <v>167</v>
      </c>
      <c r="C194" s="21" t="s">
        <v>995</v>
      </c>
      <c r="D194" s="21" t="s">
        <v>996</v>
      </c>
      <c r="E194" s="21" t="s">
        <v>182</v>
      </c>
      <c r="F194" s="21" t="s">
        <v>183</v>
      </c>
      <c r="G194" s="21" t="s">
        <v>997</v>
      </c>
      <c r="H194" s="21">
        <v>1237.5</v>
      </c>
      <c r="I194" s="21">
        <v>1237.5</v>
      </c>
      <c r="J194" s="21" t="s">
        <v>168</v>
      </c>
      <c r="K194" s="21">
        <v>1237.5</v>
      </c>
      <c r="L194" s="21">
        <v>0</v>
      </c>
      <c r="M194" s="21">
        <v>1237.5</v>
      </c>
      <c r="N194" s="21" t="s">
        <v>998</v>
      </c>
      <c r="O194" s="21" t="s">
        <v>677</v>
      </c>
      <c r="P194" s="21" t="s">
        <v>677</v>
      </c>
      <c r="Q194" s="21" t="s">
        <v>999</v>
      </c>
      <c r="R194" s="21" t="s">
        <v>982</v>
      </c>
      <c r="S194" s="21" t="s">
        <v>635</v>
      </c>
      <c r="T194" s="21" t="s">
        <v>636</v>
      </c>
      <c r="U194" s="21" t="s">
        <v>1000</v>
      </c>
      <c r="V194" s="21">
        <v>166.4</v>
      </c>
      <c r="W194" s="21">
        <v>166.4</v>
      </c>
      <c r="X194" s="21" t="s">
        <v>999</v>
      </c>
      <c r="Y194" s="21" t="s">
        <v>982</v>
      </c>
      <c r="Z194" s="21"/>
      <c r="AA194" s="21">
        <v>0</v>
      </c>
      <c r="AB194" s="21"/>
      <c r="AC194" s="21">
        <v>0</v>
      </c>
      <c r="AD194" s="21">
        <v>0</v>
      </c>
      <c r="AE194" s="21">
        <v>0</v>
      </c>
      <c r="AF194" s="21">
        <v>0</v>
      </c>
      <c r="AG194" s="21">
        <v>0</v>
      </c>
      <c r="AH194" s="21">
        <v>0</v>
      </c>
      <c r="AI194" s="21">
        <v>0</v>
      </c>
      <c r="AJ194" s="21" t="s">
        <v>638</v>
      </c>
      <c r="AK194" s="21">
        <v>0</v>
      </c>
      <c r="AL194" s="21">
        <v>0</v>
      </c>
      <c r="AM194" s="21">
        <v>0</v>
      </c>
      <c r="AN194" s="21">
        <v>0</v>
      </c>
      <c r="AO194" s="21">
        <v>0</v>
      </c>
      <c r="AP194" s="21"/>
      <c r="AQ194" s="21">
        <v>0</v>
      </c>
      <c r="AR194" s="21">
        <v>0</v>
      </c>
      <c r="AS194" s="21">
        <v>242985.60000000001</v>
      </c>
      <c r="AT194" s="21" t="s">
        <v>169</v>
      </c>
      <c r="AU194" s="21" t="s">
        <v>179</v>
      </c>
      <c r="AV194" s="21" t="s">
        <v>155</v>
      </c>
      <c r="AW194" s="21" t="s">
        <v>639</v>
      </c>
      <c r="AX194" s="21" t="s">
        <v>640</v>
      </c>
      <c r="AY194" s="21">
        <v>0</v>
      </c>
      <c r="AZ194" s="21">
        <v>205920</v>
      </c>
      <c r="BA194" s="21">
        <v>453</v>
      </c>
      <c r="BB194" s="21" t="s">
        <v>995</v>
      </c>
      <c r="BC194" s="21" t="s">
        <v>171</v>
      </c>
      <c r="BD194" s="21" t="s">
        <v>641</v>
      </c>
      <c r="BE194" s="21" t="s">
        <v>641</v>
      </c>
      <c r="BF194" s="21">
        <v>9</v>
      </c>
      <c r="BG194" s="21">
        <v>18532.8</v>
      </c>
      <c r="BH194" s="21">
        <v>9</v>
      </c>
      <c r="BI194" s="21">
        <v>18532.8</v>
      </c>
      <c r="BJ194" s="21">
        <v>0</v>
      </c>
      <c r="BK194" s="21">
        <v>0</v>
      </c>
      <c r="BL194" s="21">
        <v>242985.60000000001</v>
      </c>
      <c r="BM194" s="21">
        <v>602166165412</v>
      </c>
      <c r="BN194" s="23">
        <v>46253</v>
      </c>
      <c r="BO194" s="21">
        <v>1237.5</v>
      </c>
    </row>
    <row r="195" spans="1:67" hidden="1" x14ac:dyDescent="0.25">
      <c r="A195" s="22"/>
      <c r="B195" s="21" t="s">
        <v>167</v>
      </c>
      <c r="C195" s="21" t="s">
        <v>995</v>
      </c>
      <c r="D195" s="21" t="s">
        <v>1001</v>
      </c>
      <c r="E195" s="21" t="s">
        <v>192</v>
      </c>
      <c r="F195" s="21" t="s">
        <v>161</v>
      </c>
      <c r="G195" s="21" t="s">
        <v>1002</v>
      </c>
      <c r="H195" s="21">
        <v>1733</v>
      </c>
      <c r="I195" s="21">
        <v>1733</v>
      </c>
      <c r="J195" s="21" t="s">
        <v>168</v>
      </c>
      <c r="K195" s="21">
        <v>1733</v>
      </c>
      <c r="L195" s="21">
        <v>0</v>
      </c>
      <c r="M195" s="21">
        <v>1733</v>
      </c>
      <c r="N195" s="21" t="s">
        <v>174</v>
      </c>
      <c r="O195" s="21" t="s">
        <v>633</v>
      </c>
      <c r="P195" s="21" t="s">
        <v>633</v>
      </c>
      <c r="Q195" s="21" t="s">
        <v>1003</v>
      </c>
      <c r="R195" s="21" t="s">
        <v>995</v>
      </c>
      <c r="S195" s="21" t="s">
        <v>635</v>
      </c>
      <c r="T195" s="21" t="s">
        <v>636</v>
      </c>
      <c r="U195" s="34" t="s">
        <v>1004</v>
      </c>
      <c r="V195" s="21">
        <v>132.32</v>
      </c>
      <c r="W195" s="21">
        <v>132.32</v>
      </c>
      <c r="X195" s="21" t="s">
        <v>1003</v>
      </c>
      <c r="Y195" s="21" t="s">
        <v>995</v>
      </c>
      <c r="Z195" s="21" t="s">
        <v>1005</v>
      </c>
      <c r="AA195" s="21">
        <v>0</v>
      </c>
      <c r="AB195" s="21"/>
      <c r="AC195" s="21">
        <v>0</v>
      </c>
      <c r="AD195" s="21">
        <v>0</v>
      </c>
      <c r="AE195" s="21">
        <v>0</v>
      </c>
      <c r="AF195" s="21">
        <v>0</v>
      </c>
      <c r="AG195" s="21">
        <v>0</v>
      </c>
      <c r="AH195" s="21">
        <v>0</v>
      </c>
      <c r="AI195" s="21">
        <v>0</v>
      </c>
      <c r="AJ195" s="21" t="s">
        <v>638</v>
      </c>
      <c r="AK195" s="21">
        <v>0</v>
      </c>
      <c r="AL195" s="21">
        <v>0</v>
      </c>
      <c r="AM195" s="21">
        <v>0</v>
      </c>
      <c r="AN195" s="21">
        <v>0</v>
      </c>
      <c r="AO195" s="21">
        <v>0</v>
      </c>
      <c r="AP195" s="21"/>
      <c r="AQ195" s="21">
        <v>0</v>
      </c>
      <c r="AR195" s="21">
        <v>0</v>
      </c>
      <c r="AS195" s="21">
        <v>270586.46000000002</v>
      </c>
      <c r="AT195" s="21" t="s">
        <v>169</v>
      </c>
      <c r="AU195" s="21" t="s">
        <v>193</v>
      </c>
      <c r="AV195" s="21" t="s">
        <v>161</v>
      </c>
      <c r="AW195" s="21" t="s">
        <v>639</v>
      </c>
      <c r="AX195" s="21" t="s">
        <v>640</v>
      </c>
      <c r="AY195" s="21">
        <v>0</v>
      </c>
      <c r="AZ195" s="21">
        <v>229310.56</v>
      </c>
      <c r="BA195" s="21">
        <v>454</v>
      </c>
      <c r="BB195" s="21" t="s">
        <v>995</v>
      </c>
      <c r="BC195" s="21" t="s">
        <v>176</v>
      </c>
      <c r="BD195" s="21" t="s">
        <v>641</v>
      </c>
      <c r="BE195" s="21" t="s">
        <v>641</v>
      </c>
      <c r="BF195" s="21">
        <v>9</v>
      </c>
      <c r="BG195" s="21">
        <v>20637.95</v>
      </c>
      <c r="BH195" s="21">
        <v>9</v>
      </c>
      <c r="BI195" s="21">
        <v>20637.95</v>
      </c>
      <c r="BJ195" s="21">
        <v>0</v>
      </c>
      <c r="BK195" s="21">
        <v>0</v>
      </c>
      <c r="BL195" s="21">
        <v>270586.46000000002</v>
      </c>
      <c r="BM195" s="21">
        <v>682166653151</v>
      </c>
      <c r="BN195" s="23">
        <v>46254</v>
      </c>
      <c r="BO195" s="35">
        <v>1733</v>
      </c>
    </row>
    <row r="196" spans="1:67" hidden="1" x14ac:dyDescent="0.25">
      <c r="A196" s="22"/>
      <c r="B196" s="21" t="s">
        <v>167</v>
      </c>
      <c r="C196" s="21" t="s">
        <v>995</v>
      </c>
      <c r="D196" s="21" t="s">
        <v>1006</v>
      </c>
      <c r="E196" s="21" t="s">
        <v>172</v>
      </c>
      <c r="F196" s="21" t="s">
        <v>173</v>
      </c>
      <c r="G196" s="21" t="s">
        <v>1007</v>
      </c>
      <c r="H196" s="21">
        <v>117.6</v>
      </c>
      <c r="I196" s="21">
        <v>117.6</v>
      </c>
      <c r="J196" s="21" t="s">
        <v>168</v>
      </c>
      <c r="K196" s="21">
        <v>117.6</v>
      </c>
      <c r="L196" s="21">
        <v>0</v>
      </c>
      <c r="M196" s="21">
        <v>117.6</v>
      </c>
      <c r="N196" s="21" t="s">
        <v>174</v>
      </c>
      <c r="O196" s="21" t="s">
        <v>633</v>
      </c>
      <c r="P196" s="21" t="s">
        <v>633</v>
      </c>
      <c r="Q196" s="21" t="s">
        <v>1008</v>
      </c>
      <c r="R196" s="21" t="s">
        <v>995</v>
      </c>
      <c r="S196" s="21" t="s">
        <v>635</v>
      </c>
      <c r="T196" s="21" t="s">
        <v>636</v>
      </c>
      <c r="U196" s="21" t="s">
        <v>1009</v>
      </c>
      <c r="V196" s="21">
        <v>200.86</v>
      </c>
      <c r="W196" s="21">
        <v>200.86000149927</v>
      </c>
      <c r="X196" s="21" t="s">
        <v>1008</v>
      </c>
      <c r="Y196" s="21" t="s">
        <v>995</v>
      </c>
      <c r="Z196" s="21"/>
      <c r="AA196" s="21">
        <v>0</v>
      </c>
      <c r="AB196" s="21"/>
      <c r="AC196" s="21">
        <v>0</v>
      </c>
      <c r="AD196" s="21">
        <v>0</v>
      </c>
      <c r="AE196" s="21">
        <v>0</v>
      </c>
      <c r="AF196" s="21">
        <v>0</v>
      </c>
      <c r="AG196" s="21">
        <v>0</v>
      </c>
      <c r="AH196" s="21">
        <v>0</v>
      </c>
      <c r="AI196" s="21">
        <v>0</v>
      </c>
      <c r="AJ196" s="21" t="s">
        <v>638</v>
      </c>
      <c r="AK196" s="21">
        <v>0</v>
      </c>
      <c r="AL196" s="21">
        <v>0</v>
      </c>
      <c r="AM196" s="21">
        <v>0</v>
      </c>
      <c r="AN196" s="21">
        <v>0</v>
      </c>
      <c r="AO196" s="21">
        <v>0</v>
      </c>
      <c r="AP196" s="21"/>
      <c r="AQ196" s="21">
        <v>0</v>
      </c>
      <c r="AR196" s="21">
        <v>0</v>
      </c>
      <c r="AS196" s="21">
        <v>535887.6</v>
      </c>
      <c r="AT196" s="21" t="s">
        <v>169</v>
      </c>
      <c r="AU196" s="21" t="s">
        <v>175</v>
      </c>
      <c r="AV196" s="21" t="s">
        <v>159</v>
      </c>
      <c r="AW196" s="21" t="s">
        <v>639</v>
      </c>
      <c r="AX196" s="21" t="s">
        <v>640</v>
      </c>
      <c r="AY196" s="21">
        <v>0</v>
      </c>
      <c r="AZ196" s="21">
        <v>23621.14</v>
      </c>
      <c r="BA196" s="21">
        <v>455</v>
      </c>
      <c r="BB196" s="21" t="s">
        <v>995</v>
      </c>
      <c r="BC196" s="21" t="s">
        <v>176</v>
      </c>
      <c r="BD196" s="21" t="s">
        <v>641</v>
      </c>
      <c r="BE196" s="21" t="s">
        <v>641</v>
      </c>
      <c r="BF196" s="21">
        <v>9</v>
      </c>
      <c r="BG196" s="21">
        <v>2125.9</v>
      </c>
      <c r="BH196" s="21">
        <v>9</v>
      </c>
      <c r="BI196" s="21">
        <v>2125.9</v>
      </c>
      <c r="BJ196" s="21">
        <v>0</v>
      </c>
      <c r="BK196" s="21">
        <v>0</v>
      </c>
      <c r="BL196" s="21">
        <v>535887.6</v>
      </c>
      <c r="BM196" s="21">
        <v>632166675639</v>
      </c>
      <c r="BN196" s="23">
        <v>46254</v>
      </c>
      <c r="BO196" s="21">
        <v>117.6</v>
      </c>
    </row>
    <row r="197" spans="1:67" hidden="1" x14ac:dyDescent="0.25">
      <c r="A197" s="22"/>
      <c r="B197" s="21" t="s">
        <v>167</v>
      </c>
      <c r="C197" s="21" t="s">
        <v>995</v>
      </c>
      <c r="D197" s="21" t="s">
        <v>1006</v>
      </c>
      <c r="E197" s="21" t="s">
        <v>182</v>
      </c>
      <c r="F197" s="21" t="s">
        <v>183</v>
      </c>
      <c r="G197" s="21" t="s">
        <v>1007</v>
      </c>
      <c r="H197" s="21">
        <v>729</v>
      </c>
      <c r="I197" s="21">
        <v>729</v>
      </c>
      <c r="J197" s="21" t="s">
        <v>168</v>
      </c>
      <c r="K197" s="21">
        <v>729</v>
      </c>
      <c r="L197" s="21">
        <v>0</v>
      </c>
      <c r="M197" s="21">
        <v>729</v>
      </c>
      <c r="N197" s="21" t="s">
        <v>174</v>
      </c>
      <c r="O197" s="21" t="s">
        <v>633</v>
      </c>
      <c r="P197" s="21" t="s">
        <v>633</v>
      </c>
      <c r="Q197" s="21" t="s">
        <v>1008</v>
      </c>
      <c r="R197" s="21" t="s">
        <v>995</v>
      </c>
      <c r="S197" s="21" t="s">
        <v>635</v>
      </c>
      <c r="T197" s="21" t="s">
        <v>636</v>
      </c>
      <c r="U197" s="21" t="s">
        <v>1009</v>
      </c>
      <c r="V197" s="21">
        <v>147.32</v>
      </c>
      <c r="W197" s="21">
        <v>147.320001099634</v>
      </c>
      <c r="X197" s="21" t="s">
        <v>1008</v>
      </c>
      <c r="Y197" s="21" t="s">
        <v>995</v>
      </c>
      <c r="Z197" s="21"/>
      <c r="AA197" s="21">
        <v>0</v>
      </c>
      <c r="AB197" s="21"/>
      <c r="AC197" s="21">
        <v>0</v>
      </c>
      <c r="AD197" s="21">
        <v>0</v>
      </c>
      <c r="AE197" s="21">
        <v>0</v>
      </c>
      <c r="AF197" s="21">
        <v>0</v>
      </c>
      <c r="AG197" s="21">
        <v>0</v>
      </c>
      <c r="AH197" s="21">
        <v>0</v>
      </c>
      <c r="AI197" s="21">
        <v>0</v>
      </c>
      <c r="AJ197" s="21" t="s">
        <v>638</v>
      </c>
      <c r="AK197" s="21">
        <v>0</v>
      </c>
      <c r="AL197" s="21">
        <v>0</v>
      </c>
      <c r="AM197" s="21">
        <v>0</v>
      </c>
      <c r="AN197" s="21">
        <v>0</v>
      </c>
      <c r="AO197" s="21">
        <v>0</v>
      </c>
      <c r="AP197" s="21"/>
      <c r="AQ197" s="21">
        <v>0</v>
      </c>
      <c r="AR197" s="21">
        <v>0</v>
      </c>
      <c r="AS197" s="21">
        <v>535887.6</v>
      </c>
      <c r="AT197" s="21" t="s">
        <v>169</v>
      </c>
      <c r="AU197" s="21" t="s">
        <v>179</v>
      </c>
      <c r="AV197" s="21" t="s">
        <v>155</v>
      </c>
      <c r="AW197" s="21" t="s">
        <v>639</v>
      </c>
      <c r="AX197" s="21" t="s">
        <v>640</v>
      </c>
      <c r="AY197" s="21">
        <v>0</v>
      </c>
      <c r="AZ197" s="21">
        <v>107396.28</v>
      </c>
      <c r="BA197" s="21">
        <v>455</v>
      </c>
      <c r="BB197" s="21" t="s">
        <v>995</v>
      </c>
      <c r="BC197" s="21" t="s">
        <v>176</v>
      </c>
      <c r="BD197" s="21" t="s">
        <v>641</v>
      </c>
      <c r="BE197" s="21" t="s">
        <v>641</v>
      </c>
      <c r="BF197" s="21">
        <v>9</v>
      </c>
      <c r="BG197" s="21">
        <v>9665.67</v>
      </c>
      <c r="BH197" s="21">
        <v>9</v>
      </c>
      <c r="BI197" s="21">
        <v>9665.67</v>
      </c>
      <c r="BJ197" s="21">
        <v>0</v>
      </c>
      <c r="BK197" s="21">
        <v>0</v>
      </c>
      <c r="BL197" s="21">
        <v>0</v>
      </c>
      <c r="BM197" s="21">
        <v>632166675639</v>
      </c>
      <c r="BN197" s="23">
        <v>46254</v>
      </c>
      <c r="BO197" s="21">
        <v>729</v>
      </c>
    </row>
    <row r="198" spans="1:67" hidden="1" x14ac:dyDescent="0.25">
      <c r="A198" s="22"/>
      <c r="B198" s="21" t="s">
        <v>167</v>
      </c>
      <c r="C198" s="21" t="s">
        <v>995</v>
      </c>
      <c r="D198" s="21" t="s">
        <v>1006</v>
      </c>
      <c r="E198" s="21" t="s">
        <v>182</v>
      </c>
      <c r="F198" s="21" t="s">
        <v>183</v>
      </c>
      <c r="G198" s="21" t="s">
        <v>1007</v>
      </c>
      <c r="H198" s="21">
        <v>442</v>
      </c>
      <c r="I198" s="21">
        <v>442</v>
      </c>
      <c r="J198" s="21" t="s">
        <v>168</v>
      </c>
      <c r="K198" s="21">
        <v>442</v>
      </c>
      <c r="L198" s="21">
        <v>0</v>
      </c>
      <c r="M198" s="21">
        <v>442</v>
      </c>
      <c r="N198" s="21" t="s">
        <v>174</v>
      </c>
      <c r="O198" s="21" t="s">
        <v>633</v>
      </c>
      <c r="P198" s="21" t="s">
        <v>633</v>
      </c>
      <c r="Q198" s="21" t="s">
        <v>1008</v>
      </c>
      <c r="R198" s="21" t="s">
        <v>995</v>
      </c>
      <c r="S198" s="21" t="s">
        <v>635</v>
      </c>
      <c r="T198" s="21" t="s">
        <v>636</v>
      </c>
      <c r="U198" s="21" t="s">
        <v>1009</v>
      </c>
      <c r="V198" s="21">
        <v>142.32</v>
      </c>
      <c r="W198" s="21">
        <v>142.320001062312</v>
      </c>
      <c r="X198" s="21" t="s">
        <v>1008</v>
      </c>
      <c r="Y198" s="21" t="s">
        <v>995</v>
      </c>
      <c r="Z198" s="21"/>
      <c r="AA198" s="21">
        <v>0</v>
      </c>
      <c r="AB198" s="21"/>
      <c r="AC198" s="21">
        <v>0</v>
      </c>
      <c r="AD198" s="21">
        <v>0</v>
      </c>
      <c r="AE198" s="21">
        <v>0</v>
      </c>
      <c r="AF198" s="21">
        <v>0</v>
      </c>
      <c r="AG198" s="21">
        <v>0</v>
      </c>
      <c r="AH198" s="21">
        <v>0</v>
      </c>
      <c r="AI198" s="21">
        <v>0</v>
      </c>
      <c r="AJ198" s="21" t="s">
        <v>638</v>
      </c>
      <c r="AK198" s="21">
        <v>0</v>
      </c>
      <c r="AL198" s="21">
        <v>0</v>
      </c>
      <c r="AM198" s="21">
        <v>0</v>
      </c>
      <c r="AN198" s="21">
        <v>0</v>
      </c>
      <c r="AO198" s="21">
        <v>0</v>
      </c>
      <c r="AP198" s="21"/>
      <c r="AQ198" s="21">
        <v>0</v>
      </c>
      <c r="AR198" s="21">
        <v>0</v>
      </c>
      <c r="AS198" s="21">
        <v>535887.6</v>
      </c>
      <c r="AT198" s="21" t="s">
        <v>169</v>
      </c>
      <c r="AU198" s="21" t="s">
        <v>179</v>
      </c>
      <c r="AV198" s="21" t="s">
        <v>155</v>
      </c>
      <c r="AW198" s="21" t="s">
        <v>639</v>
      </c>
      <c r="AX198" s="21" t="s">
        <v>640</v>
      </c>
      <c r="AY198" s="21">
        <v>0</v>
      </c>
      <c r="AZ198" s="21">
        <v>62905.440000000002</v>
      </c>
      <c r="BA198" s="21">
        <v>455</v>
      </c>
      <c r="BB198" s="21" t="s">
        <v>995</v>
      </c>
      <c r="BC198" s="21" t="s">
        <v>176</v>
      </c>
      <c r="BD198" s="21" t="s">
        <v>641</v>
      </c>
      <c r="BE198" s="21" t="s">
        <v>641</v>
      </c>
      <c r="BF198" s="21">
        <v>9</v>
      </c>
      <c r="BG198" s="21">
        <v>5661.49</v>
      </c>
      <c r="BH198" s="21">
        <v>9</v>
      </c>
      <c r="BI198" s="21">
        <v>5661.49</v>
      </c>
      <c r="BJ198" s="21">
        <v>0</v>
      </c>
      <c r="BK198" s="21">
        <v>0</v>
      </c>
      <c r="BL198" s="21">
        <v>0</v>
      </c>
      <c r="BM198" s="21">
        <v>632166675639</v>
      </c>
      <c r="BN198" s="23">
        <v>46254</v>
      </c>
      <c r="BO198" s="21">
        <v>442</v>
      </c>
    </row>
    <row r="199" spans="1:67" hidden="1" x14ac:dyDescent="0.25">
      <c r="A199" s="22"/>
      <c r="B199" s="21" t="s">
        <v>167</v>
      </c>
      <c r="C199" s="21" t="s">
        <v>995</v>
      </c>
      <c r="D199" s="21" t="s">
        <v>1006</v>
      </c>
      <c r="E199" s="21" t="s">
        <v>180</v>
      </c>
      <c r="F199" s="21" t="s">
        <v>181</v>
      </c>
      <c r="G199" s="21" t="s">
        <v>1007</v>
      </c>
      <c r="H199" s="21">
        <v>256</v>
      </c>
      <c r="I199" s="21">
        <v>256</v>
      </c>
      <c r="J199" s="21" t="s">
        <v>168</v>
      </c>
      <c r="K199" s="21">
        <v>256</v>
      </c>
      <c r="L199" s="21">
        <v>0</v>
      </c>
      <c r="M199" s="21">
        <v>256</v>
      </c>
      <c r="N199" s="21" t="s">
        <v>174</v>
      </c>
      <c r="O199" s="21" t="s">
        <v>633</v>
      </c>
      <c r="P199" s="21" t="s">
        <v>633</v>
      </c>
      <c r="Q199" s="21" t="s">
        <v>1008</v>
      </c>
      <c r="R199" s="21" t="s">
        <v>995</v>
      </c>
      <c r="S199" s="21" t="s">
        <v>635</v>
      </c>
      <c r="T199" s="21" t="s">
        <v>636</v>
      </c>
      <c r="U199" s="21" t="s">
        <v>1009</v>
      </c>
      <c r="V199" s="21">
        <v>165.32</v>
      </c>
      <c r="W199" s="21">
        <v>165.32000123399001</v>
      </c>
      <c r="X199" s="21" t="s">
        <v>1008</v>
      </c>
      <c r="Y199" s="21" t="s">
        <v>995</v>
      </c>
      <c r="Z199" s="21"/>
      <c r="AA199" s="21">
        <v>0</v>
      </c>
      <c r="AB199" s="21"/>
      <c r="AC199" s="21">
        <v>0</v>
      </c>
      <c r="AD199" s="21">
        <v>0</v>
      </c>
      <c r="AE199" s="21">
        <v>0</v>
      </c>
      <c r="AF199" s="21">
        <v>0</v>
      </c>
      <c r="AG199" s="21">
        <v>0</v>
      </c>
      <c r="AH199" s="21">
        <v>0</v>
      </c>
      <c r="AI199" s="21">
        <v>0</v>
      </c>
      <c r="AJ199" s="21" t="s">
        <v>638</v>
      </c>
      <c r="AK199" s="21">
        <v>0</v>
      </c>
      <c r="AL199" s="21">
        <v>0</v>
      </c>
      <c r="AM199" s="21">
        <v>0</v>
      </c>
      <c r="AN199" s="21">
        <v>0</v>
      </c>
      <c r="AO199" s="21">
        <v>0</v>
      </c>
      <c r="AP199" s="21"/>
      <c r="AQ199" s="21">
        <v>0</v>
      </c>
      <c r="AR199" s="21">
        <v>0</v>
      </c>
      <c r="AS199" s="21">
        <v>535887.6</v>
      </c>
      <c r="AT199" s="21" t="s">
        <v>169</v>
      </c>
      <c r="AU199" s="21" t="s">
        <v>181</v>
      </c>
      <c r="AV199" s="21" t="s">
        <v>154</v>
      </c>
      <c r="AW199" s="21" t="s">
        <v>639</v>
      </c>
      <c r="AX199" s="21" t="s">
        <v>640</v>
      </c>
      <c r="AY199" s="21">
        <v>0</v>
      </c>
      <c r="AZ199" s="21">
        <v>42321.919999999998</v>
      </c>
      <c r="BA199" s="21">
        <v>455</v>
      </c>
      <c r="BB199" s="21" t="s">
        <v>995</v>
      </c>
      <c r="BC199" s="21" t="s">
        <v>176</v>
      </c>
      <c r="BD199" s="21" t="s">
        <v>641</v>
      </c>
      <c r="BE199" s="21" t="s">
        <v>641</v>
      </c>
      <c r="BF199" s="21">
        <v>9</v>
      </c>
      <c r="BG199" s="21">
        <v>3808.97</v>
      </c>
      <c r="BH199" s="21">
        <v>9</v>
      </c>
      <c r="BI199" s="21">
        <v>3808.97</v>
      </c>
      <c r="BJ199" s="21">
        <v>0</v>
      </c>
      <c r="BK199" s="21">
        <v>0</v>
      </c>
      <c r="BL199" s="21">
        <v>0</v>
      </c>
      <c r="BM199" s="21">
        <v>632166675639</v>
      </c>
      <c r="BN199" s="23">
        <v>46254</v>
      </c>
      <c r="BO199" s="21">
        <v>256</v>
      </c>
    </row>
    <row r="200" spans="1:67" hidden="1" x14ac:dyDescent="0.25">
      <c r="A200" s="22"/>
      <c r="B200" s="21" t="s">
        <v>167</v>
      </c>
      <c r="C200" s="21" t="s">
        <v>995</v>
      </c>
      <c r="D200" s="21" t="s">
        <v>1006</v>
      </c>
      <c r="E200" s="21" t="s">
        <v>180</v>
      </c>
      <c r="F200" s="21" t="s">
        <v>181</v>
      </c>
      <c r="G200" s="21" t="s">
        <v>1007</v>
      </c>
      <c r="H200" s="21">
        <v>452.5</v>
      </c>
      <c r="I200" s="21">
        <v>452.5</v>
      </c>
      <c r="J200" s="21" t="s">
        <v>168</v>
      </c>
      <c r="K200" s="21">
        <v>452.5</v>
      </c>
      <c r="L200" s="21">
        <v>0</v>
      </c>
      <c r="M200" s="21">
        <v>452.5</v>
      </c>
      <c r="N200" s="21" t="s">
        <v>174</v>
      </c>
      <c r="O200" s="21" t="s">
        <v>633</v>
      </c>
      <c r="P200" s="21" t="s">
        <v>633</v>
      </c>
      <c r="Q200" s="21" t="s">
        <v>1008</v>
      </c>
      <c r="R200" s="21" t="s">
        <v>995</v>
      </c>
      <c r="S200" s="21" t="s">
        <v>635</v>
      </c>
      <c r="T200" s="21" t="s">
        <v>636</v>
      </c>
      <c r="U200" s="21" t="s">
        <v>1009</v>
      </c>
      <c r="V200" s="21">
        <v>147.32</v>
      </c>
      <c r="W200" s="21">
        <v>147.320001099634</v>
      </c>
      <c r="X200" s="21" t="s">
        <v>1008</v>
      </c>
      <c r="Y200" s="21" t="s">
        <v>995</v>
      </c>
      <c r="Z200" s="21"/>
      <c r="AA200" s="21">
        <v>0</v>
      </c>
      <c r="AB200" s="21"/>
      <c r="AC200" s="21">
        <v>0</v>
      </c>
      <c r="AD200" s="21">
        <v>0</v>
      </c>
      <c r="AE200" s="21">
        <v>0</v>
      </c>
      <c r="AF200" s="21">
        <v>0</v>
      </c>
      <c r="AG200" s="21">
        <v>0</v>
      </c>
      <c r="AH200" s="21">
        <v>0</v>
      </c>
      <c r="AI200" s="21">
        <v>0</v>
      </c>
      <c r="AJ200" s="21" t="s">
        <v>638</v>
      </c>
      <c r="AK200" s="21">
        <v>0</v>
      </c>
      <c r="AL200" s="21">
        <v>0</v>
      </c>
      <c r="AM200" s="21">
        <v>0</v>
      </c>
      <c r="AN200" s="21">
        <v>0</v>
      </c>
      <c r="AO200" s="21">
        <v>0</v>
      </c>
      <c r="AP200" s="21"/>
      <c r="AQ200" s="21">
        <v>0</v>
      </c>
      <c r="AR200" s="21">
        <v>0</v>
      </c>
      <c r="AS200" s="21">
        <v>535887.6</v>
      </c>
      <c r="AT200" s="21" t="s">
        <v>169</v>
      </c>
      <c r="AU200" s="21" t="s">
        <v>181</v>
      </c>
      <c r="AV200" s="21" t="s">
        <v>154</v>
      </c>
      <c r="AW200" s="21" t="s">
        <v>639</v>
      </c>
      <c r="AX200" s="21" t="s">
        <v>640</v>
      </c>
      <c r="AY200" s="21">
        <v>0</v>
      </c>
      <c r="AZ200" s="21">
        <v>66662.3</v>
      </c>
      <c r="BA200" s="21">
        <v>455</v>
      </c>
      <c r="BB200" s="21" t="s">
        <v>995</v>
      </c>
      <c r="BC200" s="21" t="s">
        <v>176</v>
      </c>
      <c r="BD200" s="21" t="s">
        <v>641</v>
      </c>
      <c r="BE200" s="21" t="s">
        <v>641</v>
      </c>
      <c r="BF200" s="21">
        <v>9</v>
      </c>
      <c r="BG200" s="21">
        <v>5999.61</v>
      </c>
      <c r="BH200" s="21">
        <v>9</v>
      </c>
      <c r="BI200" s="21">
        <v>5999.61</v>
      </c>
      <c r="BJ200" s="21">
        <v>0</v>
      </c>
      <c r="BK200" s="21">
        <v>0</v>
      </c>
      <c r="BL200" s="21">
        <v>0</v>
      </c>
      <c r="BM200" s="21">
        <v>632166675639</v>
      </c>
      <c r="BN200" s="23">
        <v>46254</v>
      </c>
      <c r="BO200" s="21">
        <v>452.5</v>
      </c>
    </row>
    <row r="201" spans="1:67" hidden="1" x14ac:dyDescent="0.25">
      <c r="A201" s="22"/>
      <c r="B201" s="21" t="s">
        <v>167</v>
      </c>
      <c r="C201" s="21" t="s">
        <v>995</v>
      </c>
      <c r="D201" s="21" t="s">
        <v>1006</v>
      </c>
      <c r="E201" s="21" t="s">
        <v>180</v>
      </c>
      <c r="F201" s="21" t="s">
        <v>181</v>
      </c>
      <c r="G201" s="21" t="s">
        <v>1007</v>
      </c>
      <c r="H201" s="21">
        <v>555.9</v>
      </c>
      <c r="I201" s="21">
        <v>555.9</v>
      </c>
      <c r="J201" s="21" t="s">
        <v>168</v>
      </c>
      <c r="K201" s="21">
        <v>555.9</v>
      </c>
      <c r="L201" s="21">
        <v>0</v>
      </c>
      <c r="M201" s="21">
        <v>555.9</v>
      </c>
      <c r="N201" s="21" t="s">
        <v>174</v>
      </c>
      <c r="O201" s="21" t="s">
        <v>633</v>
      </c>
      <c r="P201" s="21" t="s">
        <v>633</v>
      </c>
      <c r="Q201" s="21" t="s">
        <v>1008</v>
      </c>
      <c r="R201" s="21" t="s">
        <v>995</v>
      </c>
      <c r="S201" s="21" t="s">
        <v>635</v>
      </c>
      <c r="T201" s="21" t="s">
        <v>636</v>
      </c>
      <c r="U201" s="21" t="s">
        <v>1009</v>
      </c>
      <c r="V201" s="21">
        <v>144.32</v>
      </c>
      <c r="W201" s="21">
        <v>144.32000107724099</v>
      </c>
      <c r="X201" s="21" t="s">
        <v>1008</v>
      </c>
      <c r="Y201" s="21" t="s">
        <v>995</v>
      </c>
      <c r="Z201" s="21"/>
      <c r="AA201" s="21">
        <v>0</v>
      </c>
      <c r="AB201" s="21"/>
      <c r="AC201" s="21">
        <v>0</v>
      </c>
      <c r="AD201" s="21">
        <v>0</v>
      </c>
      <c r="AE201" s="21">
        <v>0</v>
      </c>
      <c r="AF201" s="21">
        <v>0</v>
      </c>
      <c r="AG201" s="21">
        <v>0</v>
      </c>
      <c r="AH201" s="21">
        <v>0</v>
      </c>
      <c r="AI201" s="21">
        <v>0</v>
      </c>
      <c r="AJ201" s="21" t="s">
        <v>638</v>
      </c>
      <c r="AK201" s="21">
        <v>0</v>
      </c>
      <c r="AL201" s="21">
        <v>0</v>
      </c>
      <c r="AM201" s="21">
        <v>0</v>
      </c>
      <c r="AN201" s="21">
        <v>0</v>
      </c>
      <c r="AO201" s="21">
        <v>0</v>
      </c>
      <c r="AP201" s="21"/>
      <c r="AQ201" s="21">
        <v>0</v>
      </c>
      <c r="AR201" s="21">
        <v>0</v>
      </c>
      <c r="AS201" s="21">
        <v>535887.6</v>
      </c>
      <c r="AT201" s="21" t="s">
        <v>169</v>
      </c>
      <c r="AU201" s="21" t="s">
        <v>181</v>
      </c>
      <c r="AV201" s="21" t="s">
        <v>154</v>
      </c>
      <c r="AW201" s="21" t="s">
        <v>639</v>
      </c>
      <c r="AX201" s="21" t="s">
        <v>640</v>
      </c>
      <c r="AY201" s="21">
        <v>0</v>
      </c>
      <c r="AZ201" s="21">
        <v>80227.490000000005</v>
      </c>
      <c r="BA201" s="21">
        <v>455</v>
      </c>
      <c r="BB201" s="21" t="s">
        <v>995</v>
      </c>
      <c r="BC201" s="21" t="s">
        <v>176</v>
      </c>
      <c r="BD201" s="21" t="s">
        <v>641</v>
      </c>
      <c r="BE201" s="21" t="s">
        <v>641</v>
      </c>
      <c r="BF201" s="21">
        <v>9</v>
      </c>
      <c r="BG201" s="21">
        <v>7220.47</v>
      </c>
      <c r="BH201" s="21">
        <v>9</v>
      </c>
      <c r="BI201" s="21">
        <v>7220.47</v>
      </c>
      <c r="BJ201" s="21">
        <v>0</v>
      </c>
      <c r="BK201" s="21">
        <v>0</v>
      </c>
      <c r="BL201" s="21">
        <v>0</v>
      </c>
      <c r="BM201" s="21">
        <v>632166675639</v>
      </c>
      <c r="BN201" s="23">
        <v>46254</v>
      </c>
      <c r="BO201" s="21">
        <v>555.9</v>
      </c>
    </row>
    <row r="202" spans="1:67" hidden="1" x14ac:dyDescent="0.25">
      <c r="A202" s="22"/>
      <c r="B202" s="21" t="s">
        <v>167</v>
      </c>
      <c r="C202" s="21" t="s">
        <v>995</v>
      </c>
      <c r="D202" s="21" t="s">
        <v>1006</v>
      </c>
      <c r="E202" s="21" t="s">
        <v>704</v>
      </c>
      <c r="F202" s="21" t="s">
        <v>705</v>
      </c>
      <c r="G202" s="21" t="s">
        <v>1007</v>
      </c>
      <c r="H202" s="21">
        <v>517.1</v>
      </c>
      <c r="I202" s="21">
        <v>517.1</v>
      </c>
      <c r="J202" s="21" t="s">
        <v>184</v>
      </c>
      <c r="K202" s="21">
        <v>517.1</v>
      </c>
      <c r="L202" s="21">
        <v>0</v>
      </c>
      <c r="M202" s="21">
        <v>517.1</v>
      </c>
      <c r="N202" s="21" t="s">
        <v>174</v>
      </c>
      <c r="O202" s="21" t="s">
        <v>633</v>
      </c>
      <c r="P202" s="21" t="s">
        <v>633</v>
      </c>
      <c r="Q202" s="21" t="s">
        <v>1008</v>
      </c>
      <c r="R202" s="21" t="s">
        <v>995</v>
      </c>
      <c r="S202" s="21" t="s">
        <v>635</v>
      </c>
      <c r="T202" s="21" t="s">
        <v>636</v>
      </c>
      <c r="U202" s="21" t="s">
        <v>1009</v>
      </c>
      <c r="V202" s="21">
        <v>154.32</v>
      </c>
      <c r="W202" s="21">
        <v>154.32000115188299</v>
      </c>
      <c r="X202" s="21" t="s">
        <v>1008</v>
      </c>
      <c r="Y202" s="21" t="s">
        <v>995</v>
      </c>
      <c r="Z202" s="21"/>
      <c r="AA202" s="21">
        <v>0</v>
      </c>
      <c r="AB202" s="21"/>
      <c r="AC202" s="21">
        <v>0</v>
      </c>
      <c r="AD202" s="21">
        <v>0</v>
      </c>
      <c r="AE202" s="21">
        <v>0</v>
      </c>
      <c r="AF202" s="21">
        <v>0</v>
      </c>
      <c r="AG202" s="21">
        <v>0</v>
      </c>
      <c r="AH202" s="21">
        <v>0</v>
      </c>
      <c r="AI202" s="21">
        <v>0</v>
      </c>
      <c r="AJ202" s="21" t="s">
        <v>638</v>
      </c>
      <c r="AK202" s="21">
        <v>0</v>
      </c>
      <c r="AL202" s="21">
        <v>0</v>
      </c>
      <c r="AM202" s="21">
        <v>0</v>
      </c>
      <c r="AN202" s="21">
        <v>0</v>
      </c>
      <c r="AO202" s="21">
        <v>0</v>
      </c>
      <c r="AP202" s="21"/>
      <c r="AQ202" s="21">
        <v>0</v>
      </c>
      <c r="AR202" s="21">
        <v>0</v>
      </c>
      <c r="AS202" s="21">
        <v>535887.6</v>
      </c>
      <c r="AT202" s="21" t="s">
        <v>169</v>
      </c>
      <c r="AU202" s="21" t="s">
        <v>170</v>
      </c>
      <c r="AV202" s="21" t="s">
        <v>157</v>
      </c>
      <c r="AW202" s="21" t="s">
        <v>639</v>
      </c>
      <c r="AX202" s="21"/>
      <c r="AY202" s="21">
        <v>0</v>
      </c>
      <c r="AZ202" s="21">
        <v>79798.87</v>
      </c>
      <c r="BA202" s="21">
        <v>455</v>
      </c>
      <c r="BB202" s="21" t="s">
        <v>995</v>
      </c>
      <c r="BC202" s="21" t="s">
        <v>176</v>
      </c>
      <c r="BD202" s="21" t="s">
        <v>641</v>
      </c>
      <c r="BE202" s="21" t="s">
        <v>641</v>
      </c>
      <c r="BF202" s="21">
        <v>2.5</v>
      </c>
      <c r="BG202" s="21">
        <v>1994.97</v>
      </c>
      <c r="BH202" s="21">
        <v>2.5</v>
      </c>
      <c r="BI202" s="21">
        <v>1994.97</v>
      </c>
      <c r="BJ202" s="21">
        <v>0</v>
      </c>
      <c r="BK202" s="21">
        <v>0</v>
      </c>
      <c r="BL202" s="21">
        <v>0</v>
      </c>
      <c r="BM202" s="21">
        <v>632166675639</v>
      </c>
      <c r="BN202" s="23">
        <v>46254</v>
      </c>
      <c r="BO202" s="21">
        <v>517.1</v>
      </c>
    </row>
    <row r="203" spans="1:67" hidden="1" x14ac:dyDescent="0.25">
      <c r="A203" s="22"/>
      <c r="B203" s="21" t="s">
        <v>167</v>
      </c>
      <c r="C203" s="21" t="s">
        <v>1010</v>
      </c>
      <c r="D203" s="21" t="s">
        <v>1011</v>
      </c>
      <c r="E203" s="21" t="s">
        <v>180</v>
      </c>
      <c r="F203" s="21" t="s">
        <v>181</v>
      </c>
      <c r="G203" s="21" t="s">
        <v>1012</v>
      </c>
      <c r="H203" s="21">
        <v>103.9</v>
      </c>
      <c r="I203" s="21">
        <v>103.9</v>
      </c>
      <c r="J203" s="21" t="s">
        <v>168</v>
      </c>
      <c r="K203" s="21">
        <v>103.9</v>
      </c>
      <c r="L203" s="21">
        <v>0</v>
      </c>
      <c r="M203" s="21">
        <v>103.9</v>
      </c>
      <c r="N203" s="21" t="s">
        <v>317</v>
      </c>
      <c r="O203" s="21" t="s">
        <v>633</v>
      </c>
      <c r="P203" s="21" t="s">
        <v>633</v>
      </c>
      <c r="Q203" s="21" t="s">
        <v>1013</v>
      </c>
      <c r="R203" s="21" t="s">
        <v>1010</v>
      </c>
      <c r="S203" s="21" t="s">
        <v>635</v>
      </c>
      <c r="T203" s="21" t="s">
        <v>636</v>
      </c>
      <c r="U203" s="21" t="s">
        <v>1014</v>
      </c>
      <c r="V203" s="21">
        <v>147.32</v>
      </c>
      <c r="W203" s="21">
        <v>147.320016312946</v>
      </c>
      <c r="X203" s="21" t="s">
        <v>1013</v>
      </c>
      <c r="Y203" s="21" t="s">
        <v>1010</v>
      </c>
      <c r="Z203" s="21" t="s">
        <v>189</v>
      </c>
      <c r="AA203" s="21" t="s">
        <v>189</v>
      </c>
      <c r="AB203" s="21"/>
      <c r="AC203" s="21" t="s">
        <v>189</v>
      </c>
      <c r="AD203" s="21" t="s">
        <v>189</v>
      </c>
      <c r="AE203" s="21">
        <v>0</v>
      </c>
      <c r="AF203" s="21">
        <v>0</v>
      </c>
      <c r="AG203" s="21">
        <v>0</v>
      </c>
      <c r="AH203" s="21">
        <v>0</v>
      </c>
      <c r="AI203" s="21">
        <v>0</v>
      </c>
      <c r="AJ203" s="21" t="s">
        <v>638</v>
      </c>
      <c r="AK203" s="21">
        <v>0</v>
      </c>
      <c r="AL203" s="21">
        <v>0</v>
      </c>
      <c r="AM203" s="21">
        <v>0</v>
      </c>
      <c r="AN203" s="21">
        <v>0</v>
      </c>
      <c r="AO203" s="21">
        <v>0</v>
      </c>
      <c r="AP203" s="21"/>
      <c r="AQ203" s="21">
        <v>0</v>
      </c>
      <c r="AR203" s="21">
        <v>0</v>
      </c>
      <c r="AS203" s="21">
        <v>18061.73</v>
      </c>
      <c r="AT203" s="21" t="s">
        <v>169</v>
      </c>
      <c r="AU203" s="21" t="s">
        <v>181</v>
      </c>
      <c r="AV203" s="21" t="s">
        <v>154</v>
      </c>
      <c r="AW203" s="21" t="s">
        <v>639</v>
      </c>
      <c r="AX203" s="21" t="s">
        <v>640</v>
      </c>
      <c r="AY203" s="21">
        <v>0</v>
      </c>
      <c r="AZ203" s="21">
        <v>15306.55</v>
      </c>
      <c r="BA203" s="21">
        <v>457</v>
      </c>
      <c r="BB203" s="21" t="s">
        <v>1010</v>
      </c>
      <c r="BC203" s="21" t="s">
        <v>176</v>
      </c>
      <c r="BD203" s="21" t="s">
        <v>641</v>
      </c>
      <c r="BE203" s="21" t="s">
        <v>641</v>
      </c>
      <c r="BF203" s="21">
        <v>9</v>
      </c>
      <c r="BG203" s="21">
        <v>1377.59</v>
      </c>
      <c r="BH203" s="21">
        <v>9</v>
      </c>
      <c r="BI203" s="21">
        <v>1377.59</v>
      </c>
      <c r="BJ203" s="21">
        <v>0</v>
      </c>
      <c r="BK203" s="21">
        <v>0</v>
      </c>
      <c r="BL203" s="21">
        <v>18061.73</v>
      </c>
      <c r="BM203" s="21">
        <v>692167226041</v>
      </c>
      <c r="BN203" s="23">
        <v>46255</v>
      </c>
      <c r="BO203" s="21">
        <v>103.9</v>
      </c>
    </row>
    <row r="204" spans="1:67" hidden="1" x14ac:dyDescent="0.25">
      <c r="A204" s="22"/>
      <c r="B204" s="21" t="s">
        <v>167</v>
      </c>
      <c r="C204" s="21" t="s">
        <v>1010</v>
      </c>
      <c r="D204" s="21" t="s">
        <v>1015</v>
      </c>
      <c r="E204" s="21" t="s">
        <v>319</v>
      </c>
      <c r="F204" s="21" t="s">
        <v>314</v>
      </c>
      <c r="G204" s="21" t="s">
        <v>1016</v>
      </c>
      <c r="H204" s="21">
        <v>3425</v>
      </c>
      <c r="I204" s="21">
        <v>3425</v>
      </c>
      <c r="J204" s="21" t="s">
        <v>168</v>
      </c>
      <c r="K204" s="21">
        <v>3425</v>
      </c>
      <c r="L204" s="21">
        <v>0</v>
      </c>
      <c r="M204" s="21">
        <v>3425</v>
      </c>
      <c r="N204" s="21" t="s">
        <v>174</v>
      </c>
      <c r="O204" s="21" t="s">
        <v>633</v>
      </c>
      <c r="P204" s="21" t="s">
        <v>633</v>
      </c>
      <c r="Q204" s="21" t="s">
        <v>1017</v>
      </c>
      <c r="R204" s="21" t="s">
        <v>1010</v>
      </c>
      <c r="S204" s="21" t="s">
        <v>635</v>
      </c>
      <c r="T204" s="21" t="s">
        <v>636</v>
      </c>
      <c r="U204" s="21" t="s">
        <v>1018</v>
      </c>
      <c r="V204" s="21">
        <v>105</v>
      </c>
      <c r="W204" s="21">
        <v>105</v>
      </c>
      <c r="X204" s="21" t="s">
        <v>1017</v>
      </c>
      <c r="Y204" s="21" t="s">
        <v>1010</v>
      </c>
      <c r="Z204" s="21" t="s">
        <v>189</v>
      </c>
      <c r="AA204" s="21" t="s">
        <v>189</v>
      </c>
      <c r="AB204" s="21"/>
      <c r="AC204" s="21" t="s">
        <v>189</v>
      </c>
      <c r="AD204" s="21" t="s">
        <v>189</v>
      </c>
      <c r="AE204" s="21">
        <v>0</v>
      </c>
      <c r="AF204" s="21">
        <v>0</v>
      </c>
      <c r="AG204" s="21">
        <v>0</v>
      </c>
      <c r="AH204" s="21">
        <v>0</v>
      </c>
      <c r="AI204" s="21">
        <v>0</v>
      </c>
      <c r="AJ204" s="21" t="s">
        <v>638</v>
      </c>
      <c r="AK204" s="21">
        <v>0</v>
      </c>
      <c r="AL204" s="21">
        <v>0</v>
      </c>
      <c r="AM204" s="21">
        <v>0</v>
      </c>
      <c r="AN204" s="21">
        <v>0</v>
      </c>
      <c r="AO204" s="21">
        <v>0</v>
      </c>
      <c r="AP204" s="21"/>
      <c r="AQ204" s="21">
        <v>0</v>
      </c>
      <c r="AR204" s="21">
        <v>0</v>
      </c>
      <c r="AS204" s="21">
        <v>424357.5</v>
      </c>
      <c r="AT204" s="21" t="s">
        <v>169</v>
      </c>
      <c r="AU204" s="21" t="s">
        <v>314</v>
      </c>
      <c r="AV204" s="21" t="s">
        <v>314</v>
      </c>
      <c r="AW204" s="21" t="s">
        <v>639</v>
      </c>
      <c r="AX204" s="21" t="s">
        <v>640</v>
      </c>
      <c r="AY204" s="21">
        <v>0</v>
      </c>
      <c r="AZ204" s="21">
        <v>359625</v>
      </c>
      <c r="BA204" s="21">
        <v>458</v>
      </c>
      <c r="BB204" s="21" t="s">
        <v>1010</v>
      </c>
      <c r="BC204" s="21" t="s">
        <v>176</v>
      </c>
      <c r="BD204" s="21" t="s">
        <v>641</v>
      </c>
      <c r="BE204" s="21" t="s">
        <v>641</v>
      </c>
      <c r="BF204" s="21">
        <v>9</v>
      </c>
      <c r="BG204" s="21">
        <v>32366.25</v>
      </c>
      <c r="BH204" s="21">
        <v>9</v>
      </c>
      <c r="BI204" s="21">
        <v>32366.25</v>
      </c>
      <c r="BJ204" s="21">
        <v>0</v>
      </c>
      <c r="BK204" s="21">
        <v>0</v>
      </c>
      <c r="BL204" s="21">
        <v>424357.5</v>
      </c>
      <c r="BM204" s="21">
        <v>662167596693</v>
      </c>
      <c r="BN204" s="23">
        <v>46255</v>
      </c>
      <c r="BO204" s="21">
        <v>3425</v>
      </c>
    </row>
    <row r="205" spans="1:67" hidden="1" x14ac:dyDescent="0.25">
      <c r="A205" s="22"/>
      <c r="B205" s="21" t="s">
        <v>167</v>
      </c>
      <c r="C205" s="21" t="s">
        <v>1010</v>
      </c>
      <c r="D205" s="21" t="s">
        <v>1019</v>
      </c>
      <c r="E205" s="21" t="s">
        <v>182</v>
      </c>
      <c r="F205" s="21" t="s">
        <v>183</v>
      </c>
      <c r="G205" s="21" t="s">
        <v>1020</v>
      </c>
      <c r="H205" s="21">
        <v>402</v>
      </c>
      <c r="I205" s="21">
        <v>402</v>
      </c>
      <c r="J205" s="21" t="s">
        <v>168</v>
      </c>
      <c r="K205" s="21">
        <v>402</v>
      </c>
      <c r="L205" s="21">
        <v>0</v>
      </c>
      <c r="M205" s="21">
        <v>402</v>
      </c>
      <c r="N205" s="21" t="s">
        <v>174</v>
      </c>
      <c r="O205" s="21" t="s">
        <v>633</v>
      </c>
      <c r="P205" s="21" t="s">
        <v>633</v>
      </c>
      <c r="Q205" s="21" t="s">
        <v>1021</v>
      </c>
      <c r="R205" s="21" t="s">
        <v>1010</v>
      </c>
      <c r="S205" s="21" t="s">
        <v>635</v>
      </c>
      <c r="T205" s="21" t="s">
        <v>636</v>
      </c>
      <c r="U205" s="21" t="s">
        <v>1022</v>
      </c>
      <c r="V205" s="21">
        <v>142.32</v>
      </c>
      <c r="W205" s="21">
        <v>142.32000024244201</v>
      </c>
      <c r="X205" s="21" t="s">
        <v>1021</v>
      </c>
      <c r="Y205" s="21" t="s">
        <v>1010</v>
      </c>
      <c r="Z205" s="21" t="s">
        <v>189</v>
      </c>
      <c r="AA205" s="21" t="s">
        <v>189</v>
      </c>
      <c r="AB205" s="21"/>
      <c r="AC205" s="21" t="s">
        <v>189</v>
      </c>
      <c r="AD205" s="21" t="s">
        <v>189</v>
      </c>
      <c r="AE205" s="21">
        <v>0</v>
      </c>
      <c r="AF205" s="21">
        <v>0</v>
      </c>
      <c r="AG205" s="21">
        <v>0</v>
      </c>
      <c r="AH205" s="21">
        <v>0</v>
      </c>
      <c r="AI205" s="21">
        <v>0</v>
      </c>
      <c r="AJ205" s="21" t="s">
        <v>638</v>
      </c>
      <c r="AK205" s="21">
        <v>0</v>
      </c>
      <c r="AL205" s="21">
        <v>0</v>
      </c>
      <c r="AM205" s="21">
        <v>0</v>
      </c>
      <c r="AN205" s="21">
        <v>0</v>
      </c>
      <c r="AO205" s="21">
        <v>0</v>
      </c>
      <c r="AP205" s="21"/>
      <c r="AQ205" s="21">
        <v>0</v>
      </c>
      <c r="AR205" s="21">
        <v>0</v>
      </c>
      <c r="AS205" s="21">
        <v>1174053.31</v>
      </c>
      <c r="AT205" s="21" t="s">
        <v>169</v>
      </c>
      <c r="AU205" s="21" t="s">
        <v>179</v>
      </c>
      <c r="AV205" s="21" t="s">
        <v>155</v>
      </c>
      <c r="AW205" s="21" t="s">
        <v>639</v>
      </c>
      <c r="AX205" s="21" t="s">
        <v>640</v>
      </c>
      <c r="AY205" s="21">
        <v>0</v>
      </c>
      <c r="AZ205" s="21">
        <v>57212.639999999999</v>
      </c>
      <c r="BA205" s="21">
        <v>459</v>
      </c>
      <c r="BB205" s="21" t="s">
        <v>1010</v>
      </c>
      <c r="BC205" s="21" t="s">
        <v>176</v>
      </c>
      <c r="BD205" s="21" t="s">
        <v>641</v>
      </c>
      <c r="BE205" s="21" t="s">
        <v>641</v>
      </c>
      <c r="BF205" s="21">
        <v>9</v>
      </c>
      <c r="BG205" s="21">
        <v>5149.1400000000003</v>
      </c>
      <c r="BH205" s="21">
        <v>9</v>
      </c>
      <c r="BI205" s="21">
        <v>5149.1400000000003</v>
      </c>
      <c r="BJ205" s="21">
        <v>0</v>
      </c>
      <c r="BK205" s="21">
        <v>0</v>
      </c>
      <c r="BL205" s="21">
        <v>1174053.31</v>
      </c>
      <c r="BM205" s="21">
        <v>602167773128</v>
      </c>
      <c r="BN205" s="23">
        <v>46255</v>
      </c>
      <c r="BO205" s="21">
        <v>402</v>
      </c>
    </row>
    <row r="206" spans="1:67" hidden="1" x14ac:dyDescent="0.25">
      <c r="A206" s="22"/>
      <c r="B206" s="21" t="s">
        <v>167</v>
      </c>
      <c r="C206" s="21" t="s">
        <v>1010</v>
      </c>
      <c r="D206" s="21" t="s">
        <v>1019</v>
      </c>
      <c r="E206" s="21" t="s">
        <v>182</v>
      </c>
      <c r="F206" s="21" t="s">
        <v>183</v>
      </c>
      <c r="G206" s="21" t="s">
        <v>1020</v>
      </c>
      <c r="H206" s="21">
        <v>1414</v>
      </c>
      <c r="I206" s="21">
        <v>1414</v>
      </c>
      <c r="J206" s="21" t="s">
        <v>168</v>
      </c>
      <c r="K206" s="21">
        <v>1414</v>
      </c>
      <c r="L206" s="21">
        <v>0</v>
      </c>
      <c r="M206" s="21">
        <v>1414</v>
      </c>
      <c r="N206" s="21" t="s">
        <v>174</v>
      </c>
      <c r="O206" s="21" t="s">
        <v>633</v>
      </c>
      <c r="P206" s="21" t="s">
        <v>633</v>
      </c>
      <c r="Q206" s="21" t="s">
        <v>1021</v>
      </c>
      <c r="R206" s="21" t="s">
        <v>1010</v>
      </c>
      <c r="S206" s="21" t="s">
        <v>635</v>
      </c>
      <c r="T206" s="21" t="s">
        <v>636</v>
      </c>
      <c r="U206" s="21" t="s">
        <v>1022</v>
      </c>
      <c r="V206" s="21">
        <v>144.32</v>
      </c>
      <c r="W206" s="21">
        <v>144.320000245849</v>
      </c>
      <c r="X206" s="21" t="s">
        <v>1021</v>
      </c>
      <c r="Y206" s="21" t="s">
        <v>1010</v>
      </c>
      <c r="Z206" s="21" t="s">
        <v>189</v>
      </c>
      <c r="AA206" s="21" t="s">
        <v>189</v>
      </c>
      <c r="AB206" s="21"/>
      <c r="AC206" s="21" t="s">
        <v>189</v>
      </c>
      <c r="AD206" s="21" t="s">
        <v>189</v>
      </c>
      <c r="AE206" s="21">
        <v>0</v>
      </c>
      <c r="AF206" s="21">
        <v>0</v>
      </c>
      <c r="AG206" s="21">
        <v>0</v>
      </c>
      <c r="AH206" s="21">
        <v>0</v>
      </c>
      <c r="AI206" s="21">
        <v>0</v>
      </c>
      <c r="AJ206" s="21" t="s">
        <v>638</v>
      </c>
      <c r="AK206" s="21">
        <v>0</v>
      </c>
      <c r="AL206" s="21">
        <v>0</v>
      </c>
      <c r="AM206" s="21">
        <v>0</v>
      </c>
      <c r="AN206" s="21">
        <v>0</v>
      </c>
      <c r="AO206" s="21">
        <v>0</v>
      </c>
      <c r="AP206" s="21"/>
      <c r="AQ206" s="21">
        <v>0</v>
      </c>
      <c r="AR206" s="21">
        <v>0</v>
      </c>
      <c r="AS206" s="21">
        <v>1174053.31</v>
      </c>
      <c r="AT206" s="21" t="s">
        <v>169</v>
      </c>
      <c r="AU206" s="21" t="s">
        <v>179</v>
      </c>
      <c r="AV206" s="21" t="s">
        <v>155</v>
      </c>
      <c r="AW206" s="21" t="s">
        <v>639</v>
      </c>
      <c r="AX206" s="21" t="s">
        <v>640</v>
      </c>
      <c r="AY206" s="21">
        <v>0</v>
      </c>
      <c r="AZ206" s="21">
        <v>204068.48000000001</v>
      </c>
      <c r="BA206" s="21">
        <v>459</v>
      </c>
      <c r="BB206" s="21" t="s">
        <v>1010</v>
      </c>
      <c r="BC206" s="21" t="s">
        <v>176</v>
      </c>
      <c r="BD206" s="21" t="s">
        <v>641</v>
      </c>
      <c r="BE206" s="21" t="s">
        <v>641</v>
      </c>
      <c r="BF206" s="21">
        <v>9</v>
      </c>
      <c r="BG206" s="21">
        <v>18366.16</v>
      </c>
      <c r="BH206" s="21">
        <v>9</v>
      </c>
      <c r="BI206" s="21">
        <v>18366.16</v>
      </c>
      <c r="BJ206" s="21">
        <v>0</v>
      </c>
      <c r="BK206" s="21">
        <v>0</v>
      </c>
      <c r="BL206" s="21">
        <v>0</v>
      </c>
      <c r="BM206" s="21">
        <v>602167773128</v>
      </c>
      <c r="BN206" s="23">
        <v>46255</v>
      </c>
      <c r="BO206" s="21">
        <v>1414</v>
      </c>
    </row>
    <row r="207" spans="1:67" hidden="1" x14ac:dyDescent="0.25">
      <c r="A207" s="22"/>
      <c r="B207" s="21" t="s">
        <v>167</v>
      </c>
      <c r="C207" s="21" t="s">
        <v>1010</v>
      </c>
      <c r="D207" s="21" t="s">
        <v>1019</v>
      </c>
      <c r="E207" s="21" t="s">
        <v>180</v>
      </c>
      <c r="F207" s="21" t="s">
        <v>181</v>
      </c>
      <c r="G207" s="21" t="s">
        <v>1020</v>
      </c>
      <c r="H207" s="21">
        <v>212.8</v>
      </c>
      <c r="I207" s="21">
        <v>212.8</v>
      </c>
      <c r="J207" s="21" t="s">
        <v>168</v>
      </c>
      <c r="K207" s="21">
        <v>212.8</v>
      </c>
      <c r="L207" s="21">
        <v>0</v>
      </c>
      <c r="M207" s="21">
        <v>212.8</v>
      </c>
      <c r="N207" s="21" t="s">
        <v>174</v>
      </c>
      <c r="O207" s="21" t="s">
        <v>633</v>
      </c>
      <c r="P207" s="21" t="s">
        <v>633</v>
      </c>
      <c r="Q207" s="21" t="s">
        <v>1021</v>
      </c>
      <c r="R207" s="21" t="s">
        <v>1010</v>
      </c>
      <c r="S207" s="21" t="s">
        <v>635</v>
      </c>
      <c r="T207" s="21" t="s">
        <v>636</v>
      </c>
      <c r="U207" s="21" t="s">
        <v>1022</v>
      </c>
      <c r="V207" s="21">
        <v>165.32</v>
      </c>
      <c r="W207" s="21">
        <v>165.32000028162301</v>
      </c>
      <c r="X207" s="21" t="s">
        <v>1021</v>
      </c>
      <c r="Y207" s="21" t="s">
        <v>1010</v>
      </c>
      <c r="Z207" s="21" t="s">
        <v>189</v>
      </c>
      <c r="AA207" s="21" t="s">
        <v>189</v>
      </c>
      <c r="AB207" s="21"/>
      <c r="AC207" s="21" t="s">
        <v>189</v>
      </c>
      <c r="AD207" s="21" t="s">
        <v>189</v>
      </c>
      <c r="AE207" s="21">
        <v>0</v>
      </c>
      <c r="AF207" s="21">
        <v>0</v>
      </c>
      <c r="AG207" s="21">
        <v>0</v>
      </c>
      <c r="AH207" s="21">
        <v>0</v>
      </c>
      <c r="AI207" s="21">
        <v>0</v>
      </c>
      <c r="AJ207" s="21" t="s">
        <v>638</v>
      </c>
      <c r="AK207" s="21">
        <v>0</v>
      </c>
      <c r="AL207" s="21">
        <v>0</v>
      </c>
      <c r="AM207" s="21">
        <v>0</v>
      </c>
      <c r="AN207" s="21">
        <v>0</v>
      </c>
      <c r="AO207" s="21">
        <v>0</v>
      </c>
      <c r="AP207" s="21"/>
      <c r="AQ207" s="21">
        <v>0</v>
      </c>
      <c r="AR207" s="21">
        <v>0</v>
      </c>
      <c r="AS207" s="21">
        <v>1174053.31</v>
      </c>
      <c r="AT207" s="21" t="s">
        <v>169</v>
      </c>
      <c r="AU207" s="21" t="s">
        <v>181</v>
      </c>
      <c r="AV207" s="21" t="s">
        <v>154</v>
      </c>
      <c r="AW207" s="21" t="s">
        <v>639</v>
      </c>
      <c r="AX207" s="21" t="s">
        <v>640</v>
      </c>
      <c r="AY207" s="21">
        <v>0</v>
      </c>
      <c r="AZ207" s="21">
        <v>35180.1</v>
      </c>
      <c r="BA207" s="21">
        <v>459</v>
      </c>
      <c r="BB207" s="21" t="s">
        <v>1010</v>
      </c>
      <c r="BC207" s="21" t="s">
        <v>176</v>
      </c>
      <c r="BD207" s="21" t="s">
        <v>641</v>
      </c>
      <c r="BE207" s="21" t="s">
        <v>641</v>
      </c>
      <c r="BF207" s="21">
        <v>9</v>
      </c>
      <c r="BG207" s="21">
        <v>3166.21</v>
      </c>
      <c r="BH207" s="21">
        <v>9</v>
      </c>
      <c r="BI207" s="21">
        <v>3166.21</v>
      </c>
      <c r="BJ207" s="21">
        <v>0</v>
      </c>
      <c r="BK207" s="21">
        <v>0</v>
      </c>
      <c r="BL207" s="21">
        <v>0</v>
      </c>
      <c r="BM207" s="21">
        <v>602167773128</v>
      </c>
      <c r="BN207" s="23">
        <v>46255</v>
      </c>
      <c r="BO207" s="21">
        <v>212.8</v>
      </c>
    </row>
    <row r="208" spans="1:67" hidden="1" x14ac:dyDescent="0.25">
      <c r="A208" s="22"/>
      <c r="B208" s="21" t="s">
        <v>167</v>
      </c>
      <c r="C208" s="21" t="s">
        <v>1010</v>
      </c>
      <c r="D208" s="21" t="s">
        <v>1019</v>
      </c>
      <c r="E208" s="21" t="s">
        <v>180</v>
      </c>
      <c r="F208" s="21" t="s">
        <v>181</v>
      </c>
      <c r="G208" s="21" t="s">
        <v>1020</v>
      </c>
      <c r="H208" s="21">
        <v>1776.5</v>
      </c>
      <c r="I208" s="21">
        <v>1776.5</v>
      </c>
      <c r="J208" s="21" t="s">
        <v>168</v>
      </c>
      <c r="K208" s="21">
        <v>1776.5</v>
      </c>
      <c r="L208" s="21">
        <v>0</v>
      </c>
      <c r="M208" s="21">
        <v>1776.5</v>
      </c>
      <c r="N208" s="21" t="s">
        <v>174</v>
      </c>
      <c r="O208" s="21" t="s">
        <v>633</v>
      </c>
      <c r="P208" s="21" t="s">
        <v>633</v>
      </c>
      <c r="Q208" s="21" t="s">
        <v>1021</v>
      </c>
      <c r="R208" s="21" t="s">
        <v>1010</v>
      </c>
      <c r="S208" s="21" t="s">
        <v>635</v>
      </c>
      <c r="T208" s="21" t="s">
        <v>636</v>
      </c>
      <c r="U208" s="21" t="s">
        <v>1022</v>
      </c>
      <c r="V208" s="21">
        <v>147.32</v>
      </c>
      <c r="W208" s="21">
        <v>147.32000025095999</v>
      </c>
      <c r="X208" s="21" t="s">
        <v>1021</v>
      </c>
      <c r="Y208" s="21" t="s">
        <v>1010</v>
      </c>
      <c r="Z208" s="21" t="s">
        <v>189</v>
      </c>
      <c r="AA208" s="21" t="s">
        <v>189</v>
      </c>
      <c r="AB208" s="21"/>
      <c r="AC208" s="21" t="s">
        <v>189</v>
      </c>
      <c r="AD208" s="21" t="s">
        <v>189</v>
      </c>
      <c r="AE208" s="21">
        <v>0</v>
      </c>
      <c r="AF208" s="21">
        <v>0</v>
      </c>
      <c r="AG208" s="21">
        <v>0</v>
      </c>
      <c r="AH208" s="21">
        <v>0</v>
      </c>
      <c r="AI208" s="21">
        <v>0</v>
      </c>
      <c r="AJ208" s="21" t="s">
        <v>638</v>
      </c>
      <c r="AK208" s="21">
        <v>0</v>
      </c>
      <c r="AL208" s="21">
        <v>0</v>
      </c>
      <c r="AM208" s="21">
        <v>0</v>
      </c>
      <c r="AN208" s="21">
        <v>0</v>
      </c>
      <c r="AO208" s="21">
        <v>0</v>
      </c>
      <c r="AP208" s="21"/>
      <c r="AQ208" s="21">
        <v>0</v>
      </c>
      <c r="AR208" s="21">
        <v>0</v>
      </c>
      <c r="AS208" s="21">
        <v>1174053.31</v>
      </c>
      <c r="AT208" s="21" t="s">
        <v>169</v>
      </c>
      <c r="AU208" s="21" t="s">
        <v>181</v>
      </c>
      <c r="AV208" s="21" t="s">
        <v>154</v>
      </c>
      <c r="AW208" s="21" t="s">
        <v>639</v>
      </c>
      <c r="AX208" s="21" t="s">
        <v>640</v>
      </c>
      <c r="AY208" s="21">
        <v>0</v>
      </c>
      <c r="AZ208" s="21">
        <v>261713.98</v>
      </c>
      <c r="BA208" s="21">
        <v>459</v>
      </c>
      <c r="BB208" s="21" t="s">
        <v>1010</v>
      </c>
      <c r="BC208" s="21" t="s">
        <v>176</v>
      </c>
      <c r="BD208" s="21" t="s">
        <v>641</v>
      </c>
      <c r="BE208" s="21" t="s">
        <v>641</v>
      </c>
      <c r="BF208" s="21">
        <v>9</v>
      </c>
      <c r="BG208" s="21">
        <v>23554.26</v>
      </c>
      <c r="BH208" s="21">
        <v>9</v>
      </c>
      <c r="BI208" s="21">
        <v>23554.26</v>
      </c>
      <c r="BJ208" s="21">
        <v>0</v>
      </c>
      <c r="BK208" s="21">
        <v>0</v>
      </c>
      <c r="BL208" s="21">
        <v>0</v>
      </c>
      <c r="BM208" s="21">
        <v>602167773128</v>
      </c>
      <c r="BN208" s="23">
        <v>46255</v>
      </c>
      <c r="BO208" s="21">
        <v>1776.5</v>
      </c>
    </row>
    <row r="209" spans="1:67" hidden="1" x14ac:dyDescent="0.25">
      <c r="A209" s="22"/>
      <c r="B209" s="21" t="s">
        <v>167</v>
      </c>
      <c r="C209" s="21" t="s">
        <v>1010</v>
      </c>
      <c r="D209" s="21" t="s">
        <v>1019</v>
      </c>
      <c r="E209" s="21" t="s">
        <v>180</v>
      </c>
      <c r="F209" s="21" t="s">
        <v>181</v>
      </c>
      <c r="G209" s="21" t="s">
        <v>1020</v>
      </c>
      <c r="H209" s="21">
        <v>446.1</v>
      </c>
      <c r="I209" s="21">
        <v>446.1</v>
      </c>
      <c r="J209" s="21" t="s">
        <v>168</v>
      </c>
      <c r="K209" s="21">
        <v>446.1</v>
      </c>
      <c r="L209" s="21">
        <v>0</v>
      </c>
      <c r="M209" s="21">
        <v>446.1</v>
      </c>
      <c r="N209" s="21" t="s">
        <v>174</v>
      </c>
      <c r="O209" s="21" t="s">
        <v>633</v>
      </c>
      <c r="P209" s="21" t="s">
        <v>633</v>
      </c>
      <c r="Q209" s="21" t="s">
        <v>1021</v>
      </c>
      <c r="R209" s="21" t="s">
        <v>1010</v>
      </c>
      <c r="S209" s="21" t="s">
        <v>635</v>
      </c>
      <c r="T209" s="21" t="s">
        <v>636</v>
      </c>
      <c r="U209" s="21" t="s">
        <v>1022</v>
      </c>
      <c r="V209" s="21">
        <v>144.32</v>
      </c>
      <c r="W209" s="21">
        <v>144.320000245849</v>
      </c>
      <c r="X209" s="21" t="s">
        <v>1021</v>
      </c>
      <c r="Y209" s="21" t="s">
        <v>1010</v>
      </c>
      <c r="Z209" s="21" t="s">
        <v>189</v>
      </c>
      <c r="AA209" s="21" t="s">
        <v>189</v>
      </c>
      <c r="AB209" s="21"/>
      <c r="AC209" s="21" t="s">
        <v>189</v>
      </c>
      <c r="AD209" s="21" t="s">
        <v>189</v>
      </c>
      <c r="AE209" s="21">
        <v>0</v>
      </c>
      <c r="AF209" s="21">
        <v>0</v>
      </c>
      <c r="AG209" s="21">
        <v>0</v>
      </c>
      <c r="AH209" s="21">
        <v>0</v>
      </c>
      <c r="AI209" s="21">
        <v>0</v>
      </c>
      <c r="AJ209" s="21" t="s">
        <v>638</v>
      </c>
      <c r="AK209" s="21">
        <v>0</v>
      </c>
      <c r="AL209" s="21">
        <v>0</v>
      </c>
      <c r="AM209" s="21">
        <v>0</v>
      </c>
      <c r="AN209" s="21">
        <v>0</v>
      </c>
      <c r="AO209" s="21">
        <v>0</v>
      </c>
      <c r="AP209" s="21"/>
      <c r="AQ209" s="21">
        <v>0</v>
      </c>
      <c r="AR209" s="21">
        <v>0</v>
      </c>
      <c r="AS209" s="21">
        <v>1174053.31</v>
      </c>
      <c r="AT209" s="21" t="s">
        <v>169</v>
      </c>
      <c r="AU209" s="21" t="s">
        <v>181</v>
      </c>
      <c r="AV209" s="21" t="s">
        <v>154</v>
      </c>
      <c r="AW209" s="21" t="s">
        <v>639</v>
      </c>
      <c r="AX209" s="21" t="s">
        <v>640</v>
      </c>
      <c r="AY209" s="21">
        <v>0</v>
      </c>
      <c r="AZ209" s="21">
        <v>64381.15</v>
      </c>
      <c r="BA209" s="21">
        <v>459</v>
      </c>
      <c r="BB209" s="21" t="s">
        <v>1010</v>
      </c>
      <c r="BC209" s="21" t="s">
        <v>176</v>
      </c>
      <c r="BD209" s="21" t="s">
        <v>641</v>
      </c>
      <c r="BE209" s="21" t="s">
        <v>641</v>
      </c>
      <c r="BF209" s="21">
        <v>9</v>
      </c>
      <c r="BG209" s="21">
        <v>5794.3</v>
      </c>
      <c r="BH209" s="21">
        <v>9</v>
      </c>
      <c r="BI209" s="21">
        <v>5794.3</v>
      </c>
      <c r="BJ209" s="21">
        <v>0</v>
      </c>
      <c r="BK209" s="21">
        <v>0</v>
      </c>
      <c r="BL209" s="21">
        <v>0</v>
      </c>
      <c r="BM209" s="21">
        <v>602167773128</v>
      </c>
      <c r="BN209" s="23">
        <v>46255</v>
      </c>
      <c r="BO209" s="21">
        <v>446.1</v>
      </c>
    </row>
    <row r="210" spans="1:67" hidden="1" x14ac:dyDescent="0.25">
      <c r="A210" s="22"/>
      <c r="B210" s="21" t="s">
        <v>167</v>
      </c>
      <c r="C210" s="21" t="s">
        <v>1010</v>
      </c>
      <c r="D210" s="21" t="s">
        <v>1019</v>
      </c>
      <c r="E210" s="21" t="s">
        <v>177</v>
      </c>
      <c r="F210" s="21" t="s">
        <v>178</v>
      </c>
      <c r="G210" s="21" t="s">
        <v>1020</v>
      </c>
      <c r="H210" s="21">
        <v>2494</v>
      </c>
      <c r="I210" s="21">
        <v>2494</v>
      </c>
      <c r="J210" s="21" t="s">
        <v>168</v>
      </c>
      <c r="K210" s="21">
        <v>2494</v>
      </c>
      <c r="L210" s="21">
        <v>0</v>
      </c>
      <c r="M210" s="21">
        <v>2494</v>
      </c>
      <c r="N210" s="21" t="s">
        <v>174</v>
      </c>
      <c r="O210" s="21" t="s">
        <v>633</v>
      </c>
      <c r="P210" s="21" t="s">
        <v>633</v>
      </c>
      <c r="Q210" s="21" t="s">
        <v>1021</v>
      </c>
      <c r="R210" s="21" t="s">
        <v>1010</v>
      </c>
      <c r="S210" s="21" t="s">
        <v>635</v>
      </c>
      <c r="T210" s="21" t="s">
        <v>636</v>
      </c>
      <c r="U210" s="21" t="s">
        <v>1022</v>
      </c>
      <c r="V210" s="21">
        <v>149.32</v>
      </c>
      <c r="W210" s="21">
        <v>149.32000025436699</v>
      </c>
      <c r="X210" s="21" t="s">
        <v>1021</v>
      </c>
      <c r="Y210" s="21" t="s">
        <v>1010</v>
      </c>
      <c r="Z210" s="21" t="s">
        <v>189</v>
      </c>
      <c r="AA210" s="21" t="s">
        <v>189</v>
      </c>
      <c r="AB210" s="21"/>
      <c r="AC210" s="21" t="s">
        <v>189</v>
      </c>
      <c r="AD210" s="21" t="s">
        <v>189</v>
      </c>
      <c r="AE210" s="21">
        <v>0</v>
      </c>
      <c r="AF210" s="21">
        <v>0</v>
      </c>
      <c r="AG210" s="21">
        <v>0</v>
      </c>
      <c r="AH210" s="21">
        <v>0</v>
      </c>
      <c r="AI210" s="21">
        <v>0</v>
      </c>
      <c r="AJ210" s="21" t="s">
        <v>638</v>
      </c>
      <c r="AK210" s="21">
        <v>0</v>
      </c>
      <c r="AL210" s="21">
        <v>0</v>
      </c>
      <c r="AM210" s="21">
        <v>0</v>
      </c>
      <c r="AN210" s="21">
        <v>0</v>
      </c>
      <c r="AO210" s="21">
        <v>0</v>
      </c>
      <c r="AP210" s="21"/>
      <c r="AQ210" s="21">
        <v>0</v>
      </c>
      <c r="AR210" s="21">
        <v>0</v>
      </c>
      <c r="AS210" s="21">
        <v>1174053.31</v>
      </c>
      <c r="AT210" s="21" t="s">
        <v>169</v>
      </c>
      <c r="AU210" s="21" t="s">
        <v>179</v>
      </c>
      <c r="AV210" s="21" t="s">
        <v>156</v>
      </c>
      <c r="AW210" s="21" t="s">
        <v>639</v>
      </c>
      <c r="AX210" s="21" t="s">
        <v>640</v>
      </c>
      <c r="AY210" s="21">
        <v>0</v>
      </c>
      <c r="AZ210" s="21">
        <v>372404.08</v>
      </c>
      <c r="BA210" s="21">
        <v>459</v>
      </c>
      <c r="BB210" s="21" t="s">
        <v>1010</v>
      </c>
      <c r="BC210" s="21" t="s">
        <v>176</v>
      </c>
      <c r="BD210" s="21" t="s">
        <v>641</v>
      </c>
      <c r="BE210" s="21" t="s">
        <v>641</v>
      </c>
      <c r="BF210" s="21">
        <v>9</v>
      </c>
      <c r="BG210" s="21">
        <v>33516.370000000003</v>
      </c>
      <c r="BH210" s="21">
        <v>9</v>
      </c>
      <c r="BI210" s="21">
        <v>33516.370000000003</v>
      </c>
      <c r="BJ210" s="21">
        <v>0</v>
      </c>
      <c r="BK210" s="21">
        <v>0</v>
      </c>
      <c r="BL210" s="21">
        <v>0</v>
      </c>
      <c r="BM210" s="21">
        <v>602167773128</v>
      </c>
      <c r="BN210" s="23">
        <v>46255</v>
      </c>
      <c r="BO210" s="21">
        <v>2494</v>
      </c>
    </row>
    <row r="211" spans="1:67" hidden="1" x14ac:dyDescent="0.25">
      <c r="A211" s="22"/>
      <c r="B211" s="21" t="s">
        <v>167</v>
      </c>
      <c r="C211" s="21" t="s">
        <v>1010</v>
      </c>
      <c r="D211" s="21" t="s">
        <v>1023</v>
      </c>
      <c r="E211" s="21" t="s">
        <v>1024</v>
      </c>
      <c r="F211" s="21" t="s">
        <v>1025</v>
      </c>
      <c r="G211" s="21" t="s">
        <v>1026</v>
      </c>
      <c r="H211" s="21">
        <v>200</v>
      </c>
      <c r="I211" s="21">
        <v>200</v>
      </c>
      <c r="J211" s="21" t="s">
        <v>168</v>
      </c>
      <c r="K211" s="21">
        <v>200</v>
      </c>
      <c r="L211" s="21">
        <v>0</v>
      </c>
      <c r="M211" s="21">
        <v>200</v>
      </c>
      <c r="N211" s="21" t="s">
        <v>1027</v>
      </c>
      <c r="O211" s="21" t="s">
        <v>1028</v>
      </c>
      <c r="P211" s="21" t="s">
        <v>1028</v>
      </c>
      <c r="Q211" s="21" t="s">
        <v>1029</v>
      </c>
      <c r="R211" s="23">
        <v>46334</v>
      </c>
      <c r="S211" s="21" t="s">
        <v>635</v>
      </c>
      <c r="T211" s="21" t="s">
        <v>636</v>
      </c>
      <c r="U211" s="21" t="s">
        <v>1030</v>
      </c>
      <c r="V211" s="21">
        <v>232</v>
      </c>
      <c r="W211" s="21">
        <v>246.684900547084</v>
      </c>
      <c r="X211" s="21" t="s">
        <v>1029</v>
      </c>
      <c r="Y211" s="23">
        <v>46334</v>
      </c>
      <c r="Z211" s="21"/>
      <c r="AA211" s="21">
        <v>0</v>
      </c>
      <c r="AB211" s="21"/>
      <c r="AC211" s="21" t="s">
        <v>1031</v>
      </c>
      <c r="AD211" s="21">
        <v>4102516761</v>
      </c>
      <c r="AE211" s="21">
        <v>0</v>
      </c>
      <c r="AF211" s="21">
        <v>0</v>
      </c>
      <c r="AG211" s="21">
        <v>0</v>
      </c>
      <c r="AH211" s="21">
        <v>0</v>
      </c>
      <c r="AI211" s="21">
        <v>0</v>
      </c>
      <c r="AJ211" s="21" t="s">
        <v>638</v>
      </c>
      <c r="AK211" s="21">
        <v>0</v>
      </c>
      <c r="AL211" s="21">
        <v>0</v>
      </c>
      <c r="AM211" s="21">
        <v>0</v>
      </c>
      <c r="AN211" s="21">
        <v>0</v>
      </c>
      <c r="AO211" s="21">
        <v>0</v>
      </c>
      <c r="AP211" s="21"/>
      <c r="AQ211" s="21">
        <v>0</v>
      </c>
      <c r="AR211" s="21">
        <v>0</v>
      </c>
      <c r="AS211" s="21">
        <v>628551</v>
      </c>
      <c r="AT211" s="21" t="s">
        <v>1032</v>
      </c>
      <c r="AU211" s="21" t="s">
        <v>160</v>
      </c>
      <c r="AV211" s="21" t="s">
        <v>160</v>
      </c>
      <c r="AW211" s="21" t="s">
        <v>1032</v>
      </c>
      <c r="AX211" s="21"/>
      <c r="AY211" s="21">
        <v>0</v>
      </c>
      <c r="AZ211" s="21">
        <v>49336.98</v>
      </c>
      <c r="BA211" s="21">
        <v>456</v>
      </c>
      <c r="BB211" s="21" t="s">
        <v>995</v>
      </c>
      <c r="BC211" s="21" t="s">
        <v>1033</v>
      </c>
      <c r="BD211" s="21" t="s">
        <v>641</v>
      </c>
      <c r="BE211" s="21" t="s">
        <v>1034</v>
      </c>
      <c r="BF211" s="21">
        <v>0</v>
      </c>
      <c r="BG211" s="21">
        <v>0</v>
      </c>
      <c r="BH211" s="21">
        <v>0</v>
      </c>
      <c r="BI211" s="21">
        <v>0</v>
      </c>
      <c r="BJ211" s="21">
        <v>18</v>
      </c>
      <c r="BK211" s="21">
        <v>8352</v>
      </c>
      <c r="BL211" s="21">
        <v>628551</v>
      </c>
      <c r="BM211" s="21">
        <v>292263182290</v>
      </c>
      <c r="BN211" s="23">
        <v>46245</v>
      </c>
      <c r="BO211" s="21">
        <v>200</v>
      </c>
    </row>
    <row r="212" spans="1:67" hidden="1" x14ac:dyDescent="0.25">
      <c r="A212" s="22"/>
      <c r="B212" s="21" t="s">
        <v>167</v>
      </c>
      <c r="C212" s="21" t="s">
        <v>1010</v>
      </c>
      <c r="D212" s="21" t="s">
        <v>1023</v>
      </c>
      <c r="E212" s="21" t="s">
        <v>1035</v>
      </c>
      <c r="F212" s="21" t="s">
        <v>1036</v>
      </c>
      <c r="G212" s="21" t="s">
        <v>1026</v>
      </c>
      <c r="H212" s="21">
        <v>200</v>
      </c>
      <c r="I212" s="21">
        <v>200</v>
      </c>
      <c r="J212" s="21" t="s">
        <v>168</v>
      </c>
      <c r="K212" s="21">
        <v>200</v>
      </c>
      <c r="L212" s="21">
        <v>0</v>
      </c>
      <c r="M212" s="21">
        <v>200</v>
      </c>
      <c r="N212" s="21" t="s">
        <v>1027</v>
      </c>
      <c r="O212" s="21" t="s">
        <v>1028</v>
      </c>
      <c r="P212" s="21" t="s">
        <v>1028</v>
      </c>
      <c r="Q212" s="21" t="s">
        <v>1029</v>
      </c>
      <c r="R212" s="23">
        <v>46334</v>
      </c>
      <c r="S212" s="21" t="s">
        <v>635</v>
      </c>
      <c r="T212" s="21" t="s">
        <v>636</v>
      </c>
      <c r="U212" s="21" t="s">
        <v>1030</v>
      </c>
      <c r="V212" s="21">
        <v>292</v>
      </c>
      <c r="W212" s="21">
        <v>302.73926769967699</v>
      </c>
      <c r="X212" s="21" t="s">
        <v>1029</v>
      </c>
      <c r="Y212" s="23">
        <v>46334</v>
      </c>
      <c r="Z212" s="21"/>
      <c r="AA212" s="21">
        <v>0</v>
      </c>
      <c r="AB212" s="21"/>
      <c r="AC212" s="21" t="s">
        <v>1031</v>
      </c>
      <c r="AD212" s="21">
        <v>4102516761</v>
      </c>
      <c r="AE212" s="21">
        <v>0</v>
      </c>
      <c r="AF212" s="21">
        <v>0</v>
      </c>
      <c r="AG212" s="21">
        <v>0</v>
      </c>
      <c r="AH212" s="21">
        <v>0</v>
      </c>
      <c r="AI212" s="21">
        <v>0</v>
      </c>
      <c r="AJ212" s="21" t="s">
        <v>638</v>
      </c>
      <c r="AK212" s="21">
        <v>0</v>
      </c>
      <c r="AL212" s="21">
        <v>0</v>
      </c>
      <c r="AM212" s="21">
        <v>0</v>
      </c>
      <c r="AN212" s="21">
        <v>0</v>
      </c>
      <c r="AO212" s="21">
        <v>0</v>
      </c>
      <c r="AP212" s="21"/>
      <c r="AQ212" s="21">
        <v>0</v>
      </c>
      <c r="AR212" s="21">
        <v>0</v>
      </c>
      <c r="AS212" s="21">
        <v>628551</v>
      </c>
      <c r="AT212" s="21" t="s">
        <v>1032</v>
      </c>
      <c r="AU212" s="21" t="s">
        <v>160</v>
      </c>
      <c r="AV212" s="21" t="s">
        <v>160</v>
      </c>
      <c r="AW212" s="21" t="s">
        <v>1032</v>
      </c>
      <c r="AX212" s="21"/>
      <c r="AY212" s="21">
        <v>0</v>
      </c>
      <c r="AZ212" s="21">
        <v>60547.85</v>
      </c>
      <c r="BA212" s="21">
        <v>456</v>
      </c>
      <c r="BB212" s="21" t="s">
        <v>995</v>
      </c>
      <c r="BC212" s="21" t="s">
        <v>1033</v>
      </c>
      <c r="BD212" s="21" t="s">
        <v>641</v>
      </c>
      <c r="BE212" s="21" t="s">
        <v>1034</v>
      </c>
      <c r="BF212" s="21">
        <v>0</v>
      </c>
      <c r="BG212" s="21">
        <v>0</v>
      </c>
      <c r="BH212" s="21">
        <v>0</v>
      </c>
      <c r="BI212" s="21">
        <v>0</v>
      </c>
      <c r="BJ212" s="21">
        <v>18</v>
      </c>
      <c r="BK212" s="21">
        <v>10512</v>
      </c>
      <c r="BL212" s="21">
        <v>0</v>
      </c>
      <c r="BM212" s="21">
        <v>292263182290</v>
      </c>
      <c r="BN212" s="23">
        <v>46245</v>
      </c>
      <c r="BO212" s="21">
        <v>200</v>
      </c>
    </row>
    <row r="213" spans="1:67" hidden="1" x14ac:dyDescent="0.25">
      <c r="A213" s="22"/>
      <c r="B213" s="21" t="s">
        <v>167</v>
      </c>
      <c r="C213" s="21" t="s">
        <v>1010</v>
      </c>
      <c r="D213" s="21" t="s">
        <v>1023</v>
      </c>
      <c r="E213" s="21" t="s">
        <v>1037</v>
      </c>
      <c r="F213" s="21" t="s">
        <v>1038</v>
      </c>
      <c r="G213" s="21" t="s">
        <v>1026</v>
      </c>
      <c r="H213" s="21">
        <v>150</v>
      </c>
      <c r="I213" s="21">
        <v>150</v>
      </c>
      <c r="J213" s="21" t="s">
        <v>168</v>
      </c>
      <c r="K213" s="21">
        <v>150</v>
      </c>
      <c r="L213" s="21">
        <v>0</v>
      </c>
      <c r="M213" s="21">
        <v>150</v>
      </c>
      <c r="N213" s="21" t="s">
        <v>1027</v>
      </c>
      <c r="O213" s="21" t="s">
        <v>1028</v>
      </c>
      <c r="P213" s="21" t="s">
        <v>1028</v>
      </c>
      <c r="Q213" s="21" t="s">
        <v>1029</v>
      </c>
      <c r="R213" s="23">
        <v>46334</v>
      </c>
      <c r="S213" s="21" t="s">
        <v>635</v>
      </c>
      <c r="T213" s="21" t="s">
        <v>636</v>
      </c>
      <c r="U213" s="21" t="s">
        <v>1030</v>
      </c>
      <c r="V213" s="21">
        <v>326</v>
      </c>
      <c r="W213" s="21">
        <v>344.79748066580999</v>
      </c>
      <c r="X213" s="21" t="s">
        <v>1029</v>
      </c>
      <c r="Y213" s="23">
        <v>46334</v>
      </c>
      <c r="Z213" s="21"/>
      <c r="AA213" s="21">
        <v>0</v>
      </c>
      <c r="AB213" s="21"/>
      <c r="AC213" s="21" t="s">
        <v>1031</v>
      </c>
      <c r="AD213" s="21">
        <v>4102516761</v>
      </c>
      <c r="AE213" s="21">
        <v>0</v>
      </c>
      <c r="AF213" s="21">
        <v>0</v>
      </c>
      <c r="AG213" s="21">
        <v>0</v>
      </c>
      <c r="AH213" s="21">
        <v>0</v>
      </c>
      <c r="AI213" s="21">
        <v>0</v>
      </c>
      <c r="AJ213" s="21" t="s">
        <v>638</v>
      </c>
      <c r="AK213" s="21">
        <v>0</v>
      </c>
      <c r="AL213" s="21">
        <v>0</v>
      </c>
      <c r="AM213" s="21">
        <v>0</v>
      </c>
      <c r="AN213" s="21">
        <v>0</v>
      </c>
      <c r="AO213" s="21">
        <v>0</v>
      </c>
      <c r="AP213" s="21"/>
      <c r="AQ213" s="21">
        <v>0</v>
      </c>
      <c r="AR213" s="21">
        <v>0</v>
      </c>
      <c r="AS213" s="21">
        <v>628551</v>
      </c>
      <c r="AT213" s="21" t="s">
        <v>1032</v>
      </c>
      <c r="AU213" s="21" t="s">
        <v>160</v>
      </c>
      <c r="AV213" s="21" t="s">
        <v>160</v>
      </c>
      <c r="AW213" s="21" t="s">
        <v>1032</v>
      </c>
      <c r="AX213" s="21" t="s">
        <v>640</v>
      </c>
      <c r="AY213" s="21">
        <v>0</v>
      </c>
      <c r="AZ213" s="21">
        <v>51719.62</v>
      </c>
      <c r="BA213" s="21">
        <v>456</v>
      </c>
      <c r="BB213" s="21" t="s">
        <v>995</v>
      </c>
      <c r="BC213" s="21" t="s">
        <v>1033</v>
      </c>
      <c r="BD213" s="21" t="s">
        <v>641</v>
      </c>
      <c r="BE213" s="21" t="s">
        <v>1034</v>
      </c>
      <c r="BF213" s="21">
        <v>0</v>
      </c>
      <c r="BG213" s="21">
        <v>0</v>
      </c>
      <c r="BH213" s="21">
        <v>0</v>
      </c>
      <c r="BI213" s="21">
        <v>0</v>
      </c>
      <c r="BJ213" s="21">
        <v>18</v>
      </c>
      <c r="BK213" s="21">
        <v>8802</v>
      </c>
      <c r="BL213" s="21">
        <v>0</v>
      </c>
      <c r="BM213" s="21">
        <v>292263182290</v>
      </c>
      <c r="BN213" s="23">
        <v>46245</v>
      </c>
      <c r="BO213" s="21">
        <v>150</v>
      </c>
    </row>
    <row r="214" spans="1:67" hidden="1" x14ac:dyDescent="0.25">
      <c r="A214" s="22"/>
      <c r="B214" s="21" t="s">
        <v>167</v>
      </c>
      <c r="C214" s="21" t="s">
        <v>1010</v>
      </c>
      <c r="D214" s="21" t="s">
        <v>1023</v>
      </c>
      <c r="E214" s="21" t="s">
        <v>1039</v>
      </c>
      <c r="F214" s="21" t="s">
        <v>1040</v>
      </c>
      <c r="G214" s="21" t="s">
        <v>1026</v>
      </c>
      <c r="H214" s="21">
        <v>100</v>
      </c>
      <c r="I214" s="21">
        <v>100</v>
      </c>
      <c r="J214" s="21" t="s">
        <v>168</v>
      </c>
      <c r="K214" s="21">
        <v>100</v>
      </c>
      <c r="L214" s="21">
        <v>0</v>
      </c>
      <c r="M214" s="21">
        <v>100</v>
      </c>
      <c r="N214" s="21" t="s">
        <v>1027</v>
      </c>
      <c r="O214" s="21" t="s">
        <v>1028</v>
      </c>
      <c r="P214" s="21" t="s">
        <v>1028</v>
      </c>
      <c r="Q214" s="21" t="s">
        <v>1029</v>
      </c>
      <c r="R214" s="23">
        <v>46334</v>
      </c>
      <c r="S214" s="21" t="s">
        <v>635</v>
      </c>
      <c r="T214" s="21" t="s">
        <v>636</v>
      </c>
      <c r="U214" s="21" t="s">
        <v>1030</v>
      </c>
      <c r="V214" s="21">
        <v>300</v>
      </c>
      <c r="W214" s="21">
        <v>330.54376216102497</v>
      </c>
      <c r="X214" s="21" t="s">
        <v>1029</v>
      </c>
      <c r="Y214" s="23">
        <v>46334</v>
      </c>
      <c r="Z214" s="21"/>
      <c r="AA214" s="21">
        <v>0</v>
      </c>
      <c r="AB214" s="21"/>
      <c r="AC214" s="21" t="s">
        <v>1031</v>
      </c>
      <c r="AD214" s="21">
        <v>4102516761</v>
      </c>
      <c r="AE214" s="21">
        <v>0</v>
      </c>
      <c r="AF214" s="21">
        <v>0</v>
      </c>
      <c r="AG214" s="21">
        <v>0</v>
      </c>
      <c r="AH214" s="21">
        <v>0</v>
      </c>
      <c r="AI214" s="21">
        <v>0</v>
      </c>
      <c r="AJ214" s="21" t="s">
        <v>638</v>
      </c>
      <c r="AK214" s="21">
        <v>0</v>
      </c>
      <c r="AL214" s="21">
        <v>0</v>
      </c>
      <c r="AM214" s="21">
        <v>0</v>
      </c>
      <c r="AN214" s="21">
        <v>0</v>
      </c>
      <c r="AO214" s="21">
        <v>0</v>
      </c>
      <c r="AP214" s="21"/>
      <c r="AQ214" s="21">
        <v>0</v>
      </c>
      <c r="AR214" s="21">
        <v>0</v>
      </c>
      <c r="AS214" s="21">
        <v>628551</v>
      </c>
      <c r="AT214" s="21" t="s">
        <v>1032</v>
      </c>
      <c r="AU214" s="21" t="s">
        <v>160</v>
      </c>
      <c r="AV214" s="21" t="s">
        <v>160</v>
      </c>
      <c r="AW214" s="21" t="s">
        <v>1032</v>
      </c>
      <c r="AX214" s="21" t="s">
        <v>640</v>
      </c>
      <c r="AY214" s="21">
        <v>0</v>
      </c>
      <c r="AZ214" s="21">
        <v>33054.379999999997</v>
      </c>
      <c r="BA214" s="21">
        <v>456</v>
      </c>
      <c r="BB214" s="21" t="s">
        <v>995</v>
      </c>
      <c r="BC214" s="21" t="s">
        <v>1033</v>
      </c>
      <c r="BD214" s="21" t="s">
        <v>641</v>
      </c>
      <c r="BE214" s="21" t="s">
        <v>1034</v>
      </c>
      <c r="BF214" s="21">
        <v>0</v>
      </c>
      <c r="BG214" s="21">
        <v>0</v>
      </c>
      <c r="BH214" s="21">
        <v>0</v>
      </c>
      <c r="BI214" s="21">
        <v>0</v>
      </c>
      <c r="BJ214" s="21">
        <v>18</v>
      </c>
      <c r="BK214" s="21">
        <v>5400</v>
      </c>
      <c r="BL214" s="21">
        <v>0</v>
      </c>
      <c r="BM214" s="21">
        <v>292263182290</v>
      </c>
      <c r="BN214" s="23">
        <v>46245</v>
      </c>
      <c r="BO214" s="21">
        <v>100</v>
      </c>
    </row>
    <row r="215" spans="1:67" hidden="1" x14ac:dyDescent="0.25">
      <c r="A215" s="22"/>
      <c r="B215" s="21" t="s">
        <v>167</v>
      </c>
      <c r="C215" s="21" t="s">
        <v>1010</v>
      </c>
      <c r="D215" s="21" t="s">
        <v>1023</v>
      </c>
      <c r="E215" s="21" t="s">
        <v>1041</v>
      </c>
      <c r="F215" s="21" t="s">
        <v>1042</v>
      </c>
      <c r="G215" s="21" t="s">
        <v>1026</v>
      </c>
      <c r="H215" s="21">
        <v>100</v>
      </c>
      <c r="I215" s="21">
        <v>100</v>
      </c>
      <c r="J215" s="21" t="s">
        <v>168</v>
      </c>
      <c r="K215" s="21">
        <v>100</v>
      </c>
      <c r="L215" s="21">
        <v>0</v>
      </c>
      <c r="M215" s="21">
        <v>100</v>
      </c>
      <c r="N215" s="21" t="s">
        <v>1027</v>
      </c>
      <c r="O215" s="21" t="s">
        <v>1028</v>
      </c>
      <c r="P215" s="21" t="s">
        <v>1028</v>
      </c>
      <c r="Q215" s="21" t="s">
        <v>1029</v>
      </c>
      <c r="R215" s="23">
        <v>46334</v>
      </c>
      <c r="S215" s="21" t="s">
        <v>635</v>
      </c>
      <c r="T215" s="21" t="s">
        <v>636</v>
      </c>
      <c r="U215" s="21" t="s">
        <v>1030</v>
      </c>
      <c r="V215" s="21">
        <v>340</v>
      </c>
      <c r="W215" s="21">
        <v>371.33558061545398</v>
      </c>
      <c r="X215" s="21" t="s">
        <v>1029</v>
      </c>
      <c r="Y215" s="23">
        <v>46334</v>
      </c>
      <c r="Z215" s="21"/>
      <c r="AA215" s="21">
        <v>0</v>
      </c>
      <c r="AB215" s="21"/>
      <c r="AC215" s="21" t="s">
        <v>1031</v>
      </c>
      <c r="AD215" s="21">
        <v>4102516761</v>
      </c>
      <c r="AE215" s="21">
        <v>0</v>
      </c>
      <c r="AF215" s="21">
        <v>0</v>
      </c>
      <c r="AG215" s="21">
        <v>0</v>
      </c>
      <c r="AH215" s="21">
        <v>0</v>
      </c>
      <c r="AI215" s="21">
        <v>0</v>
      </c>
      <c r="AJ215" s="21" t="s">
        <v>638</v>
      </c>
      <c r="AK215" s="21">
        <v>0</v>
      </c>
      <c r="AL215" s="21">
        <v>0</v>
      </c>
      <c r="AM215" s="21">
        <v>0</v>
      </c>
      <c r="AN215" s="21">
        <v>0</v>
      </c>
      <c r="AO215" s="21">
        <v>0</v>
      </c>
      <c r="AP215" s="21"/>
      <c r="AQ215" s="21">
        <v>0</v>
      </c>
      <c r="AR215" s="21">
        <v>0</v>
      </c>
      <c r="AS215" s="21">
        <v>628551</v>
      </c>
      <c r="AT215" s="21" t="s">
        <v>1032</v>
      </c>
      <c r="AU215" s="21" t="s">
        <v>160</v>
      </c>
      <c r="AV215" s="21" t="s">
        <v>160</v>
      </c>
      <c r="AW215" s="21" t="s">
        <v>1032</v>
      </c>
      <c r="AX215" s="21" t="s">
        <v>640</v>
      </c>
      <c r="AY215" s="21">
        <v>0</v>
      </c>
      <c r="AZ215" s="21">
        <v>37133.56</v>
      </c>
      <c r="BA215" s="21">
        <v>456</v>
      </c>
      <c r="BB215" s="21" t="s">
        <v>995</v>
      </c>
      <c r="BC215" s="21" t="s">
        <v>1033</v>
      </c>
      <c r="BD215" s="21" t="s">
        <v>641</v>
      </c>
      <c r="BE215" s="21" t="s">
        <v>1034</v>
      </c>
      <c r="BF215" s="21">
        <v>0</v>
      </c>
      <c r="BG215" s="21">
        <v>0</v>
      </c>
      <c r="BH215" s="21">
        <v>0</v>
      </c>
      <c r="BI215" s="21">
        <v>0</v>
      </c>
      <c r="BJ215" s="21">
        <v>18</v>
      </c>
      <c r="BK215" s="21">
        <v>6120</v>
      </c>
      <c r="BL215" s="21">
        <v>0</v>
      </c>
      <c r="BM215" s="21">
        <v>292263182290</v>
      </c>
      <c r="BN215" s="23">
        <v>46245</v>
      </c>
      <c r="BO215" s="21">
        <v>100</v>
      </c>
    </row>
    <row r="216" spans="1:67" hidden="1" x14ac:dyDescent="0.25">
      <c r="A216" s="22"/>
      <c r="B216" s="21" t="s">
        <v>167</v>
      </c>
      <c r="C216" s="21" t="s">
        <v>1010</v>
      </c>
      <c r="D216" s="21" t="s">
        <v>1023</v>
      </c>
      <c r="E216" s="21" t="s">
        <v>1043</v>
      </c>
      <c r="F216" s="21" t="s">
        <v>1044</v>
      </c>
      <c r="G216" s="21" t="s">
        <v>1026</v>
      </c>
      <c r="H216" s="21">
        <v>2040</v>
      </c>
      <c r="I216" s="21">
        <v>2040</v>
      </c>
      <c r="J216" s="21" t="s">
        <v>168</v>
      </c>
      <c r="K216" s="21">
        <v>2040</v>
      </c>
      <c r="L216" s="21">
        <v>0</v>
      </c>
      <c r="M216" s="21">
        <v>2040</v>
      </c>
      <c r="N216" s="21" t="s">
        <v>1027</v>
      </c>
      <c r="O216" s="21" t="s">
        <v>1028</v>
      </c>
      <c r="P216" s="21" t="s">
        <v>1028</v>
      </c>
      <c r="Q216" s="21" t="s">
        <v>1029</v>
      </c>
      <c r="R216" s="23">
        <v>46334</v>
      </c>
      <c r="S216" s="21" t="s">
        <v>635</v>
      </c>
      <c r="T216" s="21" t="s">
        <v>636</v>
      </c>
      <c r="U216" s="21" t="s">
        <v>1030</v>
      </c>
      <c r="V216" s="21">
        <v>118</v>
      </c>
      <c r="W216" s="21">
        <v>88.721340725560495</v>
      </c>
      <c r="X216" s="21" t="s">
        <v>1029</v>
      </c>
      <c r="Y216" s="23">
        <v>46334</v>
      </c>
      <c r="Z216" s="21"/>
      <c r="AA216" s="21">
        <v>0</v>
      </c>
      <c r="AB216" s="21"/>
      <c r="AC216" s="21" t="s">
        <v>1031</v>
      </c>
      <c r="AD216" s="21">
        <v>4102516761</v>
      </c>
      <c r="AE216" s="21">
        <v>0</v>
      </c>
      <c r="AF216" s="21">
        <v>0</v>
      </c>
      <c r="AG216" s="21">
        <v>0</v>
      </c>
      <c r="AH216" s="21">
        <v>0</v>
      </c>
      <c r="AI216" s="21">
        <v>0</v>
      </c>
      <c r="AJ216" s="21" t="s">
        <v>638</v>
      </c>
      <c r="AK216" s="21">
        <v>0</v>
      </c>
      <c r="AL216" s="21">
        <v>0</v>
      </c>
      <c r="AM216" s="21">
        <v>0</v>
      </c>
      <c r="AN216" s="21">
        <v>0</v>
      </c>
      <c r="AO216" s="21">
        <v>0</v>
      </c>
      <c r="AP216" s="21"/>
      <c r="AQ216" s="21">
        <v>0</v>
      </c>
      <c r="AR216" s="21">
        <v>0</v>
      </c>
      <c r="AS216" s="21">
        <v>628551</v>
      </c>
      <c r="AT216" s="21" t="s">
        <v>1032</v>
      </c>
      <c r="AU216" s="21" t="s">
        <v>160</v>
      </c>
      <c r="AV216" s="21" t="s">
        <v>165</v>
      </c>
      <c r="AW216" s="21" t="s">
        <v>1032</v>
      </c>
      <c r="AX216" s="21" t="s">
        <v>640</v>
      </c>
      <c r="AY216" s="21">
        <v>0</v>
      </c>
      <c r="AZ216" s="21">
        <v>180991.54</v>
      </c>
      <c r="BA216" s="21">
        <v>456</v>
      </c>
      <c r="BB216" s="21" t="s">
        <v>995</v>
      </c>
      <c r="BC216" s="21" t="s">
        <v>1033</v>
      </c>
      <c r="BD216" s="21" t="s">
        <v>641</v>
      </c>
      <c r="BE216" s="21" t="s">
        <v>1034</v>
      </c>
      <c r="BF216" s="21">
        <v>0</v>
      </c>
      <c r="BG216" s="21">
        <v>0</v>
      </c>
      <c r="BH216" s="21">
        <v>0</v>
      </c>
      <c r="BI216" s="21">
        <v>0</v>
      </c>
      <c r="BJ216" s="21">
        <v>18</v>
      </c>
      <c r="BK216" s="21">
        <v>43329.599999999999</v>
      </c>
      <c r="BL216" s="21">
        <v>0</v>
      </c>
      <c r="BM216" s="21">
        <v>292263182290</v>
      </c>
      <c r="BN216" s="23">
        <v>46245</v>
      </c>
      <c r="BO216" s="21">
        <v>2040</v>
      </c>
    </row>
    <row r="217" spans="1:67" hidden="1" x14ac:dyDescent="0.25">
      <c r="A217" s="22"/>
      <c r="B217" s="21" t="s">
        <v>167</v>
      </c>
      <c r="C217" s="21" t="s">
        <v>1010</v>
      </c>
      <c r="D217" s="21" t="s">
        <v>1023</v>
      </c>
      <c r="E217" s="21" t="s">
        <v>1045</v>
      </c>
      <c r="F217" s="21" t="s">
        <v>1046</v>
      </c>
      <c r="G217" s="21" t="s">
        <v>1026</v>
      </c>
      <c r="H217" s="21">
        <v>250</v>
      </c>
      <c r="I217" s="21">
        <v>250</v>
      </c>
      <c r="J217" s="21" t="s">
        <v>168</v>
      </c>
      <c r="K217" s="21">
        <v>250</v>
      </c>
      <c r="L217" s="21">
        <v>0</v>
      </c>
      <c r="M217" s="21">
        <v>250</v>
      </c>
      <c r="N217" s="21" t="s">
        <v>1027</v>
      </c>
      <c r="O217" s="21" t="s">
        <v>1028</v>
      </c>
      <c r="P217" s="21" t="s">
        <v>1028</v>
      </c>
      <c r="Q217" s="21" t="s">
        <v>1029</v>
      </c>
      <c r="R217" s="23">
        <v>46334</v>
      </c>
      <c r="S217" s="21" t="s">
        <v>635</v>
      </c>
      <c r="T217" s="21" t="s">
        <v>636</v>
      </c>
      <c r="U217" s="21" t="s">
        <v>1030</v>
      </c>
      <c r="V217" s="21">
        <v>297</v>
      </c>
      <c r="W217" s="21">
        <v>298.10315302008098</v>
      </c>
      <c r="X217" s="21" t="s">
        <v>1029</v>
      </c>
      <c r="Y217" s="23">
        <v>46334</v>
      </c>
      <c r="Z217" s="21"/>
      <c r="AA217" s="21">
        <v>0</v>
      </c>
      <c r="AB217" s="21"/>
      <c r="AC217" s="21" t="s">
        <v>1031</v>
      </c>
      <c r="AD217" s="21">
        <v>4102516761</v>
      </c>
      <c r="AE217" s="21">
        <v>0</v>
      </c>
      <c r="AF217" s="21">
        <v>0</v>
      </c>
      <c r="AG217" s="21">
        <v>0</v>
      </c>
      <c r="AH217" s="21">
        <v>0</v>
      </c>
      <c r="AI217" s="21">
        <v>0</v>
      </c>
      <c r="AJ217" s="21" t="s">
        <v>638</v>
      </c>
      <c r="AK217" s="21">
        <v>0</v>
      </c>
      <c r="AL217" s="21">
        <v>0</v>
      </c>
      <c r="AM217" s="21">
        <v>0</v>
      </c>
      <c r="AN217" s="21">
        <v>0</v>
      </c>
      <c r="AO217" s="21">
        <v>0</v>
      </c>
      <c r="AP217" s="21"/>
      <c r="AQ217" s="21">
        <v>0</v>
      </c>
      <c r="AR217" s="21">
        <v>0</v>
      </c>
      <c r="AS217" s="21">
        <v>628551</v>
      </c>
      <c r="AT217" s="21" t="s">
        <v>1032</v>
      </c>
      <c r="AU217" s="21" t="s">
        <v>160</v>
      </c>
      <c r="AV217" s="21" t="s">
        <v>160</v>
      </c>
      <c r="AW217" s="21" t="s">
        <v>1032</v>
      </c>
      <c r="AX217" s="21" t="s">
        <v>640</v>
      </c>
      <c r="AY217" s="21">
        <v>0</v>
      </c>
      <c r="AZ217" s="21">
        <v>74525.789999999994</v>
      </c>
      <c r="BA217" s="21">
        <v>456</v>
      </c>
      <c r="BB217" s="21" t="s">
        <v>995</v>
      </c>
      <c r="BC217" s="21" t="s">
        <v>1033</v>
      </c>
      <c r="BD217" s="21" t="s">
        <v>641</v>
      </c>
      <c r="BE217" s="21" t="s">
        <v>1034</v>
      </c>
      <c r="BF217" s="21">
        <v>0</v>
      </c>
      <c r="BG217" s="21">
        <v>0</v>
      </c>
      <c r="BH217" s="21">
        <v>0</v>
      </c>
      <c r="BI217" s="21">
        <v>0</v>
      </c>
      <c r="BJ217" s="21">
        <v>18</v>
      </c>
      <c r="BK217" s="21">
        <v>13365</v>
      </c>
      <c r="BL217" s="21">
        <v>0</v>
      </c>
      <c r="BM217" s="21">
        <v>292263182290</v>
      </c>
      <c r="BN217" s="23">
        <v>46245</v>
      </c>
      <c r="BO217" s="21">
        <v>250</v>
      </c>
    </row>
    <row r="218" spans="1:67" hidden="1" x14ac:dyDescent="0.25">
      <c r="A218" s="22"/>
      <c r="B218" s="21" t="s">
        <v>167</v>
      </c>
      <c r="C218" s="21" t="s">
        <v>1047</v>
      </c>
      <c r="D218" s="21" t="s">
        <v>1048</v>
      </c>
      <c r="E218" s="21" t="s">
        <v>182</v>
      </c>
      <c r="F218" s="21" t="s">
        <v>183</v>
      </c>
      <c r="G218" s="21" t="s">
        <v>1049</v>
      </c>
      <c r="H218" s="21">
        <v>1927</v>
      </c>
      <c r="I218" s="21">
        <v>1927</v>
      </c>
      <c r="J218" s="21" t="s">
        <v>168</v>
      </c>
      <c r="K218" s="21">
        <v>1927</v>
      </c>
      <c r="L218" s="21">
        <v>0</v>
      </c>
      <c r="M218" s="21">
        <v>1927</v>
      </c>
      <c r="N218" s="21" t="s">
        <v>662</v>
      </c>
      <c r="O218" s="21" t="s">
        <v>663</v>
      </c>
      <c r="P218" s="21" t="s">
        <v>663</v>
      </c>
      <c r="Q218" s="21" t="s">
        <v>1050</v>
      </c>
      <c r="R218" s="21" t="s">
        <v>1010</v>
      </c>
      <c r="S218" s="21" t="s">
        <v>635</v>
      </c>
      <c r="T218" s="21" t="s">
        <v>636</v>
      </c>
      <c r="U218" s="21" t="s">
        <v>1051</v>
      </c>
      <c r="V218" s="21">
        <v>156.49</v>
      </c>
      <c r="W218" s="21">
        <v>156.49</v>
      </c>
      <c r="X218" s="21" t="s">
        <v>1050</v>
      </c>
      <c r="Y218" s="21" t="s">
        <v>1010</v>
      </c>
      <c r="Z218" s="21"/>
      <c r="AA218" s="21">
        <v>0</v>
      </c>
      <c r="AB218" s="21"/>
      <c r="AC218" s="21">
        <v>0</v>
      </c>
      <c r="AD218" s="21">
        <v>0</v>
      </c>
      <c r="AE218" s="21">
        <v>0</v>
      </c>
      <c r="AF218" s="21">
        <v>0</v>
      </c>
      <c r="AG218" s="21">
        <v>0</v>
      </c>
      <c r="AH218" s="21">
        <v>0</v>
      </c>
      <c r="AI218" s="21">
        <v>0</v>
      </c>
      <c r="AJ218" s="21" t="s">
        <v>638</v>
      </c>
      <c r="AK218" s="21">
        <v>0</v>
      </c>
      <c r="AL218" s="21">
        <v>0</v>
      </c>
      <c r="AM218" s="21">
        <v>0</v>
      </c>
      <c r="AN218" s="21">
        <v>0</v>
      </c>
      <c r="AO218" s="21">
        <v>0</v>
      </c>
      <c r="AP218" s="21"/>
      <c r="AQ218" s="21">
        <v>0</v>
      </c>
      <c r="AR218" s="21">
        <v>0</v>
      </c>
      <c r="AS218" s="21">
        <v>355836.35</v>
      </c>
      <c r="AT218" s="21" t="s">
        <v>169</v>
      </c>
      <c r="AU218" s="21" t="s">
        <v>179</v>
      </c>
      <c r="AV218" s="21" t="s">
        <v>155</v>
      </c>
      <c r="AW218" s="21" t="s">
        <v>639</v>
      </c>
      <c r="AX218" s="21" t="s">
        <v>640</v>
      </c>
      <c r="AY218" s="21">
        <v>0</v>
      </c>
      <c r="AZ218" s="21">
        <v>301556.23</v>
      </c>
      <c r="BA218" s="21">
        <v>460</v>
      </c>
      <c r="BB218" s="21" t="s">
        <v>1047</v>
      </c>
      <c r="BC218" s="21" t="s">
        <v>185</v>
      </c>
      <c r="BD218" s="21" t="s">
        <v>641</v>
      </c>
      <c r="BE218" s="21" t="s">
        <v>641</v>
      </c>
      <c r="BF218" s="21">
        <v>9</v>
      </c>
      <c r="BG218" s="21">
        <v>27140.06</v>
      </c>
      <c r="BH218" s="21">
        <v>9</v>
      </c>
      <c r="BI218" s="21">
        <v>27140.06</v>
      </c>
      <c r="BJ218" s="21">
        <v>0</v>
      </c>
      <c r="BK218" s="21">
        <v>0</v>
      </c>
      <c r="BL218" s="21">
        <v>355836.35</v>
      </c>
      <c r="BM218" s="21">
        <v>632167582060</v>
      </c>
      <c r="BN218" s="23">
        <v>46255</v>
      </c>
      <c r="BO218" s="21">
        <v>1927</v>
      </c>
    </row>
    <row r="219" spans="1:67" hidden="1" x14ac:dyDescent="0.25">
      <c r="A219" s="22"/>
      <c r="B219" s="21" t="s">
        <v>167</v>
      </c>
      <c r="C219" s="21" t="s">
        <v>1047</v>
      </c>
      <c r="D219" s="21" t="s">
        <v>1052</v>
      </c>
      <c r="E219" s="21" t="s">
        <v>182</v>
      </c>
      <c r="F219" s="21" t="s">
        <v>183</v>
      </c>
      <c r="G219" s="21" t="s">
        <v>1053</v>
      </c>
      <c r="H219" s="21">
        <v>2704</v>
      </c>
      <c r="I219" s="21">
        <v>2704</v>
      </c>
      <c r="J219" s="21" t="s">
        <v>168</v>
      </c>
      <c r="K219" s="21">
        <v>2704</v>
      </c>
      <c r="L219" s="21">
        <v>0</v>
      </c>
      <c r="M219" s="21">
        <v>2704</v>
      </c>
      <c r="N219" s="21" t="s">
        <v>683</v>
      </c>
      <c r="O219" s="21" t="s">
        <v>656</v>
      </c>
      <c r="P219" s="21" t="s">
        <v>656</v>
      </c>
      <c r="Q219" s="21" t="s">
        <v>1054</v>
      </c>
      <c r="R219" s="21" t="s">
        <v>1010</v>
      </c>
      <c r="S219" s="21" t="s">
        <v>635</v>
      </c>
      <c r="T219" s="21" t="s">
        <v>636</v>
      </c>
      <c r="U219" s="21" t="s">
        <v>1055</v>
      </c>
      <c r="V219" s="21">
        <v>122</v>
      </c>
      <c r="W219" s="21">
        <v>122</v>
      </c>
      <c r="X219" s="21" t="s">
        <v>1054</v>
      </c>
      <c r="Y219" s="21" t="s">
        <v>1010</v>
      </c>
      <c r="Z219" s="21" t="s">
        <v>189</v>
      </c>
      <c r="AA219" s="21" t="s">
        <v>189</v>
      </c>
      <c r="AB219" s="21"/>
      <c r="AC219" s="21" t="s">
        <v>659</v>
      </c>
      <c r="AD219" s="21">
        <v>2575</v>
      </c>
      <c r="AE219" s="21">
        <v>0</v>
      </c>
      <c r="AF219" s="21">
        <v>0</v>
      </c>
      <c r="AG219" s="21">
        <v>0</v>
      </c>
      <c r="AH219" s="21">
        <v>0</v>
      </c>
      <c r="AI219" s="21">
        <v>0</v>
      </c>
      <c r="AJ219" s="21" t="s">
        <v>638</v>
      </c>
      <c r="AK219" s="21">
        <v>0</v>
      </c>
      <c r="AL219" s="21">
        <v>0</v>
      </c>
      <c r="AM219" s="21">
        <v>0</v>
      </c>
      <c r="AN219" s="21">
        <v>0</v>
      </c>
      <c r="AO219" s="21">
        <v>0</v>
      </c>
      <c r="AP219" s="21"/>
      <c r="AQ219" s="21">
        <v>0</v>
      </c>
      <c r="AR219" s="21">
        <v>0</v>
      </c>
      <c r="AS219" s="21">
        <v>561825.84</v>
      </c>
      <c r="AT219" s="21" t="s">
        <v>169</v>
      </c>
      <c r="AU219" s="21" t="s">
        <v>179</v>
      </c>
      <c r="AV219" s="21" t="s">
        <v>155</v>
      </c>
      <c r="AW219" s="21" t="s">
        <v>639</v>
      </c>
      <c r="AX219" s="21" t="s">
        <v>640</v>
      </c>
      <c r="AY219" s="21">
        <v>0</v>
      </c>
      <c r="AZ219" s="21">
        <v>329888</v>
      </c>
      <c r="BA219" s="21">
        <v>461</v>
      </c>
      <c r="BB219" s="21" t="s">
        <v>1047</v>
      </c>
      <c r="BC219" s="21" t="s">
        <v>176</v>
      </c>
      <c r="BD219" s="21" t="s">
        <v>641</v>
      </c>
      <c r="BE219" s="21" t="s">
        <v>641</v>
      </c>
      <c r="BF219" s="21">
        <v>9</v>
      </c>
      <c r="BG219" s="21">
        <v>29689.919999999998</v>
      </c>
      <c r="BH219" s="21">
        <v>9</v>
      </c>
      <c r="BI219" s="21">
        <v>29689.919999999998</v>
      </c>
      <c r="BJ219" s="21">
        <v>0</v>
      </c>
      <c r="BK219" s="21">
        <v>0</v>
      </c>
      <c r="BL219" s="21">
        <v>561825.84</v>
      </c>
      <c r="BM219" s="21">
        <v>692167749353</v>
      </c>
      <c r="BN219" s="23">
        <v>46255</v>
      </c>
      <c r="BO219" s="21">
        <v>2704</v>
      </c>
    </row>
    <row r="220" spans="1:67" hidden="1" x14ac:dyDescent="0.25">
      <c r="A220" s="22"/>
      <c r="B220" s="21" t="s">
        <v>167</v>
      </c>
      <c r="C220" s="21" t="s">
        <v>1047</v>
      </c>
      <c r="D220" s="21" t="s">
        <v>1052</v>
      </c>
      <c r="E220" s="21" t="s">
        <v>1056</v>
      </c>
      <c r="F220" s="21" t="s">
        <v>1057</v>
      </c>
      <c r="G220" s="21" t="s">
        <v>1053</v>
      </c>
      <c r="H220" s="21">
        <v>331.6</v>
      </c>
      <c r="I220" s="21">
        <v>331.6</v>
      </c>
      <c r="J220" s="21" t="s">
        <v>184</v>
      </c>
      <c r="K220" s="21">
        <v>331.6</v>
      </c>
      <c r="L220" s="21">
        <v>0</v>
      </c>
      <c r="M220" s="21">
        <v>331.6</v>
      </c>
      <c r="N220" s="21" t="s">
        <v>683</v>
      </c>
      <c r="O220" s="21" t="s">
        <v>656</v>
      </c>
      <c r="P220" s="21" t="s">
        <v>656</v>
      </c>
      <c r="Q220" s="21" t="s">
        <v>1054</v>
      </c>
      <c r="R220" s="21" t="s">
        <v>1010</v>
      </c>
      <c r="S220" s="21" t="s">
        <v>635</v>
      </c>
      <c r="T220" s="21" t="s">
        <v>636</v>
      </c>
      <c r="U220" s="21" t="s">
        <v>1055</v>
      </c>
      <c r="V220" s="21">
        <v>441</v>
      </c>
      <c r="W220" s="21">
        <v>441</v>
      </c>
      <c r="X220" s="21" t="s">
        <v>1054</v>
      </c>
      <c r="Y220" s="21" t="s">
        <v>1010</v>
      </c>
      <c r="Z220" s="21" t="s">
        <v>189</v>
      </c>
      <c r="AA220" s="21" t="s">
        <v>189</v>
      </c>
      <c r="AB220" s="21"/>
      <c r="AC220" s="21" t="s">
        <v>659</v>
      </c>
      <c r="AD220" s="21">
        <v>2575</v>
      </c>
      <c r="AE220" s="21">
        <v>0</v>
      </c>
      <c r="AF220" s="21">
        <v>0</v>
      </c>
      <c r="AG220" s="21">
        <v>0</v>
      </c>
      <c r="AH220" s="21">
        <v>0</v>
      </c>
      <c r="AI220" s="21">
        <v>0</v>
      </c>
      <c r="AJ220" s="21" t="s">
        <v>638</v>
      </c>
      <c r="AK220" s="21">
        <v>0</v>
      </c>
      <c r="AL220" s="21">
        <v>0</v>
      </c>
      <c r="AM220" s="21">
        <v>0</v>
      </c>
      <c r="AN220" s="21">
        <v>0</v>
      </c>
      <c r="AO220" s="21">
        <v>0</v>
      </c>
      <c r="AP220" s="21"/>
      <c r="AQ220" s="21">
        <v>0</v>
      </c>
      <c r="AR220" s="21">
        <v>0</v>
      </c>
      <c r="AS220" s="21">
        <v>561825.84</v>
      </c>
      <c r="AT220" s="21" t="s">
        <v>169</v>
      </c>
      <c r="AU220" s="21" t="s">
        <v>170</v>
      </c>
      <c r="AV220" s="21" t="s">
        <v>157</v>
      </c>
      <c r="AW220" s="21" t="s">
        <v>639</v>
      </c>
      <c r="AX220" s="21" t="s">
        <v>640</v>
      </c>
      <c r="AY220" s="21">
        <v>0</v>
      </c>
      <c r="AZ220" s="21">
        <v>146235.6</v>
      </c>
      <c r="BA220" s="21">
        <v>461</v>
      </c>
      <c r="BB220" s="21" t="s">
        <v>1047</v>
      </c>
      <c r="BC220" s="21" t="s">
        <v>176</v>
      </c>
      <c r="BD220" s="21" t="s">
        <v>641</v>
      </c>
      <c r="BE220" s="21" t="s">
        <v>641</v>
      </c>
      <c r="BF220" s="21">
        <v>9</v>
      </c>
      <c r="BG220" s="21">
        <v>13161.2</v>
      </c>
      <c r="BH220" s="21">
        <v>9</v>
      </c>
      <c r="BI220" s="21">
        <v>13161.2</v>
      </c>
      <c r="BJ220" s="21">
        <v>0</v>
      </c>
      <c r="BK220" s="21">
        <v>0</v>
      </c>
      <c r="BL220" s="21">
        <v>0</v>
      </c>
      <c r="BM220" s="21">
        <v>692167749353</v>
      </c>
      <c r="BN220" s="23">
        <v>46255</v>
      </c>
      <c r="BO220" s="21">
        <v>331.6</v>
      </c>
    </row>
    <row r="221" spans="1:67" hidden="1" x14ac:dyDescent="0.25">
      <c r="A221" s="22"/>
      <c r="B221" s="21" t="s">
        <v>167</v>
      </c>
      <c r="C221" s="21" t="s">
        <v>1047</v>
      </c>
      <c r="D221" s="21" t="s">
        <v>1058</v>
      </c>
      <c r="E221" s="21" t="s">
        <v>796</v>
      </c>
      <c r="F221" s="21" t="s">
        <v>797</v>
      </c>
      <c r="G221" s="21" t="s">
        <v>1059</v>
      </c>
      <c r="H221" s="21">
        <v>1500</v>
      </c>
      <c r="I221" s="21">
        <v>1500</v>
      </c>
      <c r="J221" s="21" t="s">
        <v>168</v>
      </c>
      <c r="K221" s="21">
        <v>1500</v>
      </c>
      <c r="L221" s="21">
        <v>0</v>
      </c>
      <c r="M221" s="21">
        <v>1500</v>
      </c>
      <c r="N221" s="21" t="s">
        <v>174</v>
      </c>
      <c r="O221" s="21" t="s">
        <v>633</v>
      </c>
      <c r="P221" s="21" t="s">
        <v>633</v>
      </c>
      <c r="Q221" s="21" t="s">
        <v>1060</v>
      </c>
      <c r="R221" s="21" t="s">
        <v>1047</v>
      </c>
      <c r="S221" s="21" t="s">
        <v>635</v>
      </c>
      <c r="T221" s="21" t="s">
        <v>636</v>
      </c>
      <c r="U221" s="21" t="s">
        <v>1061</v>
      </c>
      <c r="V221" s="21">
        <v>40.5</v>
      </c>
      <c r="W221" s="21">
        <v>40.5</v>
      </c>
      <c r="X221" s="21" t="s">
        <v>1060</v>
      </c>
      <c r="Y221" s="21" t="s">
        <v>1047</v>
      </c>
      <c r="Z221" s="21"/>
      <c r="AA221" s="21">
        <v>0</v>
      </c>
      <c r="AB221" s="21"/>
      <c r="AC221" s="21">
        <v>0</v>
      </c>
      <c r="AD221" s="21">
        <v>0</v>
      </c>
      <c r="AE221" s="21">
        <v>0</v>
      </c>
      <c r="AF221" s="21">
        <v>0</v>
      </c>
      <c r="AG221" s="21">
        <v>0</v>
      </c>
      <c r="AH221" s="21">
        <v>0</v>
      </c>
      <c r="AI221" s="21">
        <v>0</v>
      </c>
      <c r="AJ221" s="21" t="s">
        <v>638</v>
      </c>
      <c r="AK221" s="21">
        <v>0</v>
      </c>
      <c r="AL221" s="21">
        <v>0</v>
      </c>
      <c r="AM221" s="21">
        <v>0</v>
      </c>
      <c r="AN221" s="21">
        <v>0</v>
      </c>
      <c r="AO221" s="21">
        <v>0</v>
      </c>
      <c r="AP221" s="21"/>
      <c r="AQ221" s="21">
        <v>0</v>
      </c>
      <c r="AR221" s="21">
        <v>0</v>
      </c>
      <c r="AS221" s="21">
        <v>1176475.6399999999</v>
      </c>
      <c r="AT221" s="21" t="s">
        <v>639</v>
      </c>
      <c r="AU221" s="21" t="s">
        <v>648</v>
      </c>
      <c r="AV221" s="21" t="s">
        <v>164</v>
      </c>
      <c r="AW221" s="21" t="s">
        <v>639</v>
      </c>
      <c r="AX221" s="21" t="s">
        <v>802</v>
      </c>
      <c r="AY221" s="21">
        <v>0</v>
      </c>
      <c r="AZ221" s="21">
        <v>60750</v>
      </c>
      <c r="BA221" s="21">
        <v>463</v>
      </c>
      <c r="BB221" s="21" t="s">
        <v>1047</v>
      </c>
      <c r="BC221" s="21" t="s">
        <v>176</v>
      </c>
      <c r="BD221" s="21" t="s">
        <v>641</v>
      </c>
      <c r="BE221" s="21" t="s">
        <v>641</v>
      </c>
      <c r="BF221" s="21">
        <v>9</v>
      </c>
      <c r="BG221" s="21">
        <v>5467.5</v>
      </c>
      <c r="BH221" s="21">
        <v>9</v>
      </c>
      <c r="BI221" s="21">
        <v>5467.5</v>
      </c>
      <c r="BJ221" s="21">
        <v>0</v>
      </c>
      <c r="BK221" s="21">
        <v>0</v>
      </c>
      <c r="BL221" s="21">
        <v>1176475.6399999999</v>
      </c>
      <c r="BM221" s="21">
        <v>692168135944</v>
      </c>
      <c r="BN221" s="23">
        <v>46256</v>
      </c>
      <c r="BO221" s="21">
        <v>1500</v>
      </c>
    </row>
    <row r="222" spans="1:67" hidden="1" x14ac:dyDescent="0.25">
      <c r="A222" s="22"/>
      <c r="B222" s="21" t="s">
        <v>167</v>
      </c>
      <c r="C222" s="21" t="s">
        <v>1047</v>
      </c>
      <c r="D222" s="21" t="s">
        <v>1058</v>
      </c>
      <c r="E222" s="21" t="s">
        <v>177</v>
      </c>
      <c r="F222" s="21" t="s">
        <v>178</v>
      </c>
      <c r="G222" s="21" t="s">
        <v>1059</v>
      </c>
      <c r="H222" s="21">
        <v>4991</v>
      </c>
      <c r="I222" s="21">
        <v>4991</v>
      </c>
      <c r="J222" s="21" t="s">
        <v>168</v>
      </c>
      <c r="K222" s="21">
        <v>4991</v>
      </c>
      <c r="L222" s="21">
        <v>0</v>
      </c>
      <c r="M222" s="21">
        <v>4991</v>
      </c>
      <c r="N222" s="21" t="s">
        <v>174</v>
      </c>
      <c r="O222" s="21" t="s">
        <v>633</v>
      </c>
      <c r="P222" s="21" t="s">
        <v>633</v>
      </c>
      <c r="Q222" s="21" t="s">
        <v>1060</v>
      </c>
      <c r="R222" s="21" t="s">
        <v>1047</v>
      </c>
      <c r="S222" s="21" t="s">
        <v>635</v>
      </c>
      <c r="T222" s="21" t="s">
        <v>636</v>
      </c>
      <c r="U222" s="21" t="s">
        <v>1061</v>
      </c>
      <c r="V222" s="21">
        <v>149.32</v>
      </c>
      <c r="W222" s="21">
        <v>149.32</v>
      </c>
      <c r="X222" s="21" t="s">
        <v>1060</v>
      </c>
      <c r="Y222" s="21" t="s">
        <v>1047</v>
      </c>
      <c r="Z222" s="21"/>
      <c r="AA222" s="21">
        <v>0</v>
      </c>
      <c r="AB222" s="21"/>
      <c r="AC222" s="21">
        <v>0</v>
      </c>
      <c r="AD222" s="21">
        <v>0</v>
      </c>
      <c r="AE222" s="21">
        <v>0</v>
      </c>
      <c r="AF222" s="21">
        <v>0</v>
      </c>
      <c r="AG222" s="21">
        <v>0</v>
      </c>
      <c r="AH222" s="21">
        <v>0</v>
      </c>
      <c r="AI222" s="21">
        <v>0</v>
      </c>
      <c r="AJ222" s="21" t="s">
        <v>638</v>
      </c>
      <c r="AK222" s="21">
        <v>0</v>
      </c>
      <c r="AL222" s="21">
        <v>0</v>
      </c>
      <c r="AM222" s="21">
        <v>0</v>
      </c>
      <c r="AN222" s="21">
        <v>0</v>
      </c>
      <c r="AO222" s="21">
        <v>0</v>
      </c>
      <c r="AP222" s="21"/>
      <c r="AQ222" s="21">
        <v>0</v>
      </c>
      <c r="AR222" s="21">
        <v>0</v>
      </c>
      <c r="AS222" s="21">
        <v>1176475.6399999999</v>
      </c>
      <c r="AT222" s="21" t="s">
        <v>169</v>
      </c>
      <c r="AU222" s="21" t="s">
        <v>179</v>
      </c>
      <c r="AV222" s="21" t="s">
        <v>156</v>
      </c>
      <c r="AW222" s="21" t="s">
        <v>639</v>
      </c>
      <c r="AX222" s="21" t="s">
        <v>640</v>
      </c>
      <c r="AY222" s="21">
        <v>0</v>
      </c>
      <c r="AZ222" s="21">
        <v>745256.12</v>
      </c>
      <c r="BA222" s="21">
        <v>463</v>
      </c>
      <c r="BB222" s="21" t="s">
        <v>1047</v>
      </c>
      <c r="BC222" s="21" t="s">
        <v>176</v>
      </c>
      <c r="BD222" s="21" t="s">
        <v>641</v>
      </c>
      <c r="BE222" s="21" t="s">
        <v>641</v>
      </c>
      <c r="BF222" s="21">
        <v>9</v>
      </c>
      <c r="BG222" s="21">
        <v>67073.05</v>
      </c>
      <c r="BH222" s="21">
        <v>9</v>
      </c>
      <c r="BI222" s="21">
        <v>67073.05</v>
      </c>
      <c r="BJ222" s="21">
        <v>0</v>
      </c>
      <c r="BK222" s="21">
        <v>0</v>
      </c>
      <c r="BL222" s="21">
        <v>0</v>
      </c>
      <c r="BM222" s="21">
        <v>692168135944</v>
      </c>
      <c r="BN222" s="23">
        <v>46256</v>
      </c>
      <c r="BO222" s="21">
        <v>4991</v>
      </c>
    </row>
    <row r="223" spans="1:67" hidden="1" x14ac:dyDescent="0.25">
      <c r="A223" s="22"/>
      <c r="B223" s="21" t="s">
        <v>167</v>
      </c>
      <c r="C223" s="21" t="s">
        <v>1047</v>
      </c>
      <c r="D223" s="21" t="s">
        <v>1058</v>
      </c>
      <c r="E223" s="21" t="s">
        <v>180</v>
      </c>
      <c r="F223" s="21" t="s">
        <v>181</v>
      </c>
      <c r="G223" s="21" t="s">
        <v>1059</v>
      </c>
      <c r="H223" s="21">
        <v>231.8</v>
      </c>
      <c r="I223" s="21">
        <v>231.8</v>
      </c>
      <c r="J223" s="21" t="s">
        <v>168</v>
      </c>
      <c r="K223" s="21">
        <v>231.8</v>
      </c>
      <c r="L223" s="21">
        <v>0</v>
      </c>
      <c r="M223" s="21">
        <v>231.8</v>
      </c>
      <c r="N223" s="21" t="s">
        <v>174</v>
      </c>
      <c r="O223" s="21" t="s">
        <v>633</v>
      </c>
      <c r="P223" s="21" t="s">
        <v>633</v>
      </c>
      <c r="Q223" s="21" t="s">
        <v>1060</v>
      </c>
      <c r="R223" s="21" t="s">
        <v>1047</v>
      </c>
      <c r="S223" s="21" t="s">
        <v>635</v>
      </c>
      <c r="T223" s="21" t="s">
        <v>636</v>
      </c>
      <c r="U223" s="21" t="s">
        <v>1061</v>
      </c>
      <c r="V223" s="21">
        <v>165.32</v>
      </c>
      <c r="W223" s="21">
        <v>165.32</v>
      </c>
      <c r="X223" s="21" t="s">
        <v>1060</v>
      </c>
      <c r="Y223" s="21" t="s">
        <v>1047</v>
      </c>
      <c r="Z223" s="21"/>
      <c r="AA223" s="21">
        <v>0</v>
      </c>
      <c r="AB223" s="21"/>
      <c r="AC223" s="21">
        <v>0</v>
      </c>
      <c r="AD223" s="21">
        <v>0</v>
      </c>
      <c r="AE223" s="21">
        <v>0</v>
      </c>
      <c r="AF223" s="21">
        <v>0</v>
      </c>
      <c r="AG223" s="21">
        <v>0</v>
      </c>
      <c r="AH223" s="21">
        <v>0</v>
      </c>
      <c r="AI223" s="21">
        <v>0</v>
      </c>
      <c r="AJ223" s="21" t="s">
        <v>638</v>
      </c>
      <c r="AK223" s="21">
        <v>0</v>
      </c>
      <c r="AL223" s="21">
        <v>0</v>
      </c>
      <c r="AM223" s="21">
        <v>0</v>
      </c>
      <c r="AN223" s="21">
        <v>0</v>
      </c>
      <c r="AO223" s="21">
        <v>0</v>
      </c>
      <c r="AP223" s="21"/>
      <c r="AQ223" s="21">
        <v>0</v>
      </c>
      <c r="AR223" s="21">
        <v>0</v>
      </c>
      <c r="AS223" s="21">
        <v>1176475.6399999999</v>
      </c>
      <c r="AT223" s="21" t="s">
        <v>169</v>
      </c>
      <c r="AU223" s="21" t="s">
        <v>181</v>
      </c>
      <c r="AV223" s="21" t="s">
        <v>154</v>
      </c>
      <c r="AW223" s="21" t="s">
        <v>639</v>
      </c>
      <c r="AX223" s="21" t="s">
        <v>640</v>
      </c>
      <c r="AY223" s="21">
        <v>0</v>
      </c>
      <c r="AZ223" s="21">
        <v>38321.18</v>
      </c>
      <c r="BA223" s="21">
        <v>463</v>
      </c>
      <c r="BB223" s="21" t="s">
        <v>1047</v>
      </c>
      <c r="BC223" s="21" t="s">
        <v>176</v>
      </c>
      <c r="BD223" s="21" t="s">
        <v>641</v>
      </c>
      <c r="BE223" s="21" t="s">
        <v>641</v>
      </c>
      <c r="BF223" s="21">
        <v>9</v>
      </c>
      <c r="BG223" s="21">
        <v>3448.91</v>
      </c>
      <c r="BH223" s="21">
        <v>9</v>
      </c>
      <c r="BI223" s="21">
        <v>3448.91</v>
      </c>
      <c r="BJ223" s="21">
        <v>0</v>
      </c>
      <c r="BK223" s="21">
        <v>0</v>
      </c>
      <c r="BL223" s="21">
        <v>0</v>
      </c>
      <c r="BM223" s="21">
        <v>692168135944</v>
      </c>
      <c r="BN223" s="23">
        <v>46256</v>
      </c>
      <c r="BO223" s="21">
        <v>231.8</v>
      </c>
    </row>
    <row r="224" spans="1:67" hidden="1" x14ac:dyDescent="0.25">
      <c r="A224" s="22"/>
      <c r="B224" s="21" t="s">
        <v>167</v>
      </c>
      <c r="C224" s="21" t="s">
        <v>1047</v>
      </c>
      <c r="D224" s="21" t="s">
        <v>1058</v>
      </c>
      <c r="E224" s="21" t="s">
        <v>180</v>
      </c>
      <c r="F224" s="21" t="s">
        <v>181</v>
      </c>
      <c r="G224" s="21" t="s">
        <v>1059</v>
      </c>
      <c r="H224" s="21">
        <v>676.5</v>
      </c>
      <c r="I224" s="21">
        <v>676.5</v>
      </c>
      <c r="J224" s="21" t="s">
        <v>168</v>
      </c>
      <c r="K224" s="21">
        <v>676.5</v>
      </c>
      <c r="L224" s="21">
        <v>0</v>
      </c>
      <c r="M224" s="21">
        <v>676.5</v>
      </c>
      <c r="N224" s="21" t="s">
        <v>174</v>
      </c>
      <c r="O224" s="21" t="s">
        <v>633</v>
      </c>
      <c r="P224" s="21" t="s">
        <v>633</v>
      </c>
      <c r="Q224" s="21" t="s">
        <v>1060</v>
      </c>
      <c r="R224" s="21" t="s">
        <v>1047</v>
      </c>
      <c r="S224" s="21" t="s">
        <v>635</v>
      </c>
      <c r="T224" s="21" t="s">
        <v>636</v>
      </c>
      <c r="U224" s="21" t="s">
        <v>1061</v>
      </c>
      <c r="V224" s="21">
        <v>144.32</v>
      </c>
      <c r="W224" s="21">
        <v>144.32</v>
      </c>
      <c r="X224" s="21" t="s">
        <v>1060</v>
      </c>
      <c r="Y224" s="21" t="s">
        <v>1047</v>
      </c>
      <c r="Z224" s="21"/>
      <c r="AA224" s="21">
        <v>0</v>
      </c>
      <c r="AB224" s="21"/>
      <c r="AC224" s="21">
        <v>0</v>
      </c>
      <c r="AD224" s="21">
        <v>0</v>
      </c>
      <c r="AE224" s="21">
        <v>0</v>
      </c>
      <c r="AF224" s="21">
        <v>0</v>
      </c>
      <c r="AG224" s="21">
        <v>0</v>
      </c>
      <c r="AH224" s="21">
        <v>0</v>
      </c>
      <c r="AI224" s="21">
        <v>0</v>
      </c>
      <c r="AJ224" s="21" t="s">
        <v>638</v>
      </c>
      <c r="AK224" s="21">
        <v>0</v>
      </c>
      <c r="AL224" s="21">
        <v>0</v>
      </c>
      <c r="AM224" s="21">
        <v>0</v>
      </c>
      <c r="AN224" s="21">
        <v>0</v>
      </c>
      <c r="AO224" s="21">
        <v>0</v>
      </c>
      <c r="AP224" s="21"/>
      <c r="AQ224" s="21">
        <v>0</v>
      </c>
      <c r="AR224" s="21">
        <v>0</v>
      </c>
      <c r="AS224" s="21">
        <v>1176475.6399999999</v>
      </c>
      <c r="AT224" s="21" t="s">
        <v>169</v>
      </c>
      <c r="AU224" s="21" t="s">
        <v>181</v>
      </c>
      <c r="AV224" s="21" t="s">
        <v>154</v>
      </c>
      <c r="AW224" s="21" t="s">
        <v>639</v>
      </c>
      <c r="AX224" s="21" t="s">
        <v>640</v>
      </c>
      <c r="AY224" s="21">
        <v>0</v>
      </c>
      <c r="AZ224" s="21">
        <v>97632.48</v>
      </c>
      <c r="BA224" s="21">
        <v>463</v>
      </c>
      <c r="BB224" s="21" t="s">
        <v>1047</v>
      </c>
      <c r="BC224" s="21" t="s">
        <v>176</v>
      </c>
      <c r="BD224" s="21" t="s">
        <v>641</v>
      </c>
      <c r="BE224" s="21" t="s">
        <v>641</v>
      </c>
      <c r="BF224" s="21">
        <v>9</v>
      </c>
      <c r="BG224" s="21">
        <v>8786.92</v>
      </c>
      <c r="BH224" s="21">
        <v>9</v>
      </c>
      <c r="BI224" s="21">
        <v>8786.92</v>
      </c>
      <c r="BJ224" s="21">
        <v>0</v>
      </c>
      <c r="BK224" s="21">
        <v>0</v>
      </c>
      <c r="BL224" s="21">
        <v>0</v>
      </c>
      <c r="BM224" s="21">
        <v>692168135944</v>
      </c>
      <c r="BN224" s="23">
        <v>46256</v>
      </c>
      <c r="BO224" s="21">
        <v>676.5</v>
      </c>
    </row>
    <row r="225" spans="1:67" hidden="1" x14ac:dyDescent="0.25">
      <c r="A225" s="22"/>
      <c r="B225" s="21" t="s">
        <v>167</v>
      </c>
      <c r="C225" s="21" t="s">
        <v>1047</v>
      </c>
      <c r="D225" s="21" t="s">
        <v>1058</v>
      </c>
      <c r="E225" s="21" t="s">
        <v>180</v>
      </c>
      <c r="F225" s="21" t="s">
        <v>181</v>
      </c>
      <c r="G225" s="21" t="s">
        <v>1059</v>
      </c>
      <c r="H225" s="21">
        <v>373.7</v>
      </c>
      <c r="I225" s="21">
        <v>373.7</v>
      </c>
      <c r="J225" s="21" t="s">
        <v>168</v>
      </c>
      <c r="K225" s="21">
        <v>373.7</v>
      </c>
      <c r="L225" s="21">
        <v>0</v>
      </c>
      <c r="M225" s="21">
        <v>373.7</v>
      </c>
      <c r="N225" s="21" t="s">
        <v>174</v>
      </c>
      <c r="O225" s="21" t="s">
        <v>633</v>
      </c>
      <c r="P225" s="21" t="s">
        <v>633</v>
      </c>
      <c r="Q225" s="21" t="s">
        <v>1060</v>
      </c>
      <c r="R225" s="21" t="s">
        <v>1047</v>
      </c>
      <c r="S225" s="21" t="s">
        <v>635</v>
      </c>
      <c r="T225" s="21" t="s">
        <v>636</v>
      </c>
      <c r="U225" s="21" t="s">
        <v>1061</v>
      </c>
      <c r="V225" s="21">
        <v>147.32</v>
      </c>
      <c r="W225" s="21">
        <v>147.32</v>
      </c>
      <c r="X225" s="21" t="s">
        <v>1060</v>
      </c>
      <c r="Y225" s="21" t="s">
        <v>1047</v>
      </c>
      <c r="Z225" s="21"/>
      <c r="AA225" s="21">
        <v>0</v>
      </c>
      <c r="AB225" s="21"/>
      <c r="AC225" s="21">
        <v>0</v>
      </c>
      <c r="AD225" s="21">
        <v>0</v>
      </c>
      <c r="AE225" s="21">
        <v>0</v>
      </c>
      <c r="AF225" s="21">
        <v>0</v>
      </c>
      <c r="AG225" s="21">
        <v>0</v>
      </c>
      <c r="AH225" s="21">
        <v>0</v>
      </c>
      <c r="AI225" s="21">
        <v>0</v>
      </c>
      <c r="AJ225" s="21" t="s">
        <v>638</v>
      </c>
      <c r="AK225" s="21">
        <v>0</v>
      </c>
      <c r="AL225" s="21">
        <v>0</v>
      </c>
      <c r="AM225" s="21">
        <v>0</v>
      </c>
      <c r="AN225" s="21">
        <v>0</v>
      </c>
      <c r="AO225" s="21">
        <v>0</v>
      </c>
      <c r="AP225" s="21"/>
      <c r="AQ225" s="21">
        <v>0</v>
      </c>
      <c r="AR225" s="21">
        <v>0</v>
      </c>
      <c r="AS225" s="21">
        <v>1176475.6399999999</v>
      </c>
      <c r="AT225" s="21" t="s">
        <v>169</v>
      </c>
      <c r="AU225" s="21" t="s">
        <v>181</v>
      </c>
      <c r="AV225" s="21" t="s">
        <v>154</v>
      </c>
      <c r="AW225" s="21" t="s">
        <v>639</v>
      </c>
      <c r="AX225" s="21" t="s">
        <v>640</v>
      </c>
      <c r="AY225" s="21">
        <v>0</v>
      </c>
      <c r="AZ225" s="21">
        <v>55053.48</v>
      </c>
      <c r="BA225" s="21">
        <v>463</v>
      </c>
      <c r="BB225" s="21" t="s">
        <v>1047</v>
      </c>
      <c r="BC225" s="21" t="s">
        <v>176</v>
      </c>
      <c r="BD225" s="21" t="s">
        <v>641</v>
      </c>
      <c r="BE225" s="21" t="s">
        <v>641</v>
      </c>
      <c r="BF225" s="21">
        <v>9</v>
      </c>
      <c r="BG225" s="21">
        <v>4954.8100000000004</v>
      </c>
      <c r="BH225" s="21">
        <v>9</v>
      </c>
      <c r="BI225" s="21">
        <v>4954.8100000000004</v>
      </c>
      <c r="BJ225" s="21">
        <v>0</v>
      </c>
      <c r="BK225" s="21">
        <v>0</v>
      </c>
      <c r="BL225" s="21">
        <v>0</v>
      </c>
      <c r="BM225" s="21">
        <v>692168135944</v>
      </c>
      <c r="BN225" s="23">
        <v>46256</v>
      </c>
      <c r="BO225" s="21">
        <v>373.7</v>
      </c>
    </row>
    <row r="226" spans="1:67" hidden="1" x14ac:dyDescent="0.25">
      <c r="A226" s="22"/>
      <c r="B226" s="21" t="s">
        <v>167</v>
      </c>
      <c r="C226" s="21" t="s">
        <v>1047</v>
      </c>
      <c r="D226" s="21" t="s">
        <v>1062</v>
      </c>
      <c r="E226" s="21" t="s">
        <v>271</v>
      </c>
      <c r="F226" s="21" t="s">
        <v>272</v>
      </c>
      <c r="G226" s="21" t="s">
        <v>1063</v>
      </c>
      <c r="H226" s="21">
        <v>1161.1300000000001</v>
      </c>
      <c r="I226" s="21">
        <v>1161.1300000000001</v>
      </c>
      <c r="J226" s="21" t="s">
        <v>168</v>
      </c>
      <c r="K226" s="21">
        <v>1161.1300000000001</v>
      </c>
      <c r="L226" s="21">
        <v>0</v>
      </c>
      <c r="M226" s="21">
        <v>1161.1300000000001</v>
      </c>
      <c r="N226" s="21" t="s">
        <v>1064</v>
      </c>
      <c r="O226" s="21" t="s">
        <v>656</v>
      </c>
      <c r="P226" s="21" t="s">
        <v>656</v>
      </c>
      <c r="Q226" s="21" t="s">
        <v>1065</v>
      </c>
      <c r="R226" s="21" t="s">
        <v>1047</v>
      </c>
      <c r="S226" s="21" t="s">
        <v>635</v>
      </c>
      <c r="T226" s="21" t="s">
        <v>636</v>
      </c>
      <c r="U226" s="21" t="s">
        <v>1066</v>
      </c>
      <c r="V226" s="21">
        <v>153.4</v>
      </c>
      <c r="W226" s="21">
        <v>153.39999956211</v>
      </c>
      <c r="X226" s="21" t="s">
        <v>1065</v>
      </c>
      <c r="Y226" s="21" t="s">
        <v>1047</v>
      </c>
      <c r="Z226" s="21"/>
      <c r="AA226" s="21">
        <v>0</v>
      </c>
      <c r="AB226" s="21"/>
      <c r="AC226" s="21">
        <v>0</v>
      </c>
      <c r="AD226" s="21">
        <v>0</v>
      </c>
      <c r="AE226" s="21">
        <v>0</v>
      </c>
      <c r="AF226" s="21">
        <v>0</v>
      </c>
      <c r="AG226" s="21">
        <v>0</v>
      </c>
      <c r="AH226" s="21">
        <v>0</v>
      </c>
      <c r="AI226" s="21">
        <v>0</v>
      </c>
      <c r="AJ226" s="21" t="s">
        <v>638</v>
      </c>
      <c r="AK226" s="21">
        <v>0</v>
      </c>
      <c r="AL226" s="21">
        <v>0</v>
      </c>
      <c r="AM226" s="21">
        <v>0</v>
      </c>
      <c r="AN226" s="21">
        <v>0</v>
      </c>
      <c r="AO226" s="21">
        <v>0</v>
      </c>
      <c r="AP226" s="21"/>
      <c r="AQ226" s="21">
        <v>0</v>
      </c>
      <c r="AR226" s="21">
        <v>0</v>
      </c>
      <c r="AS226" s="21">
        <v>1401263.61</v>
      </c>
      <c r="AT226" s="21" t="s">
        <v>169</v>
      </c>
      <c r="AU226" s="21" t="s">
        <v>170</v>
      </c>
      <c r="AV226" s="21" t="s">
        <v>157</v>
      </c>
      <c r="AW226" s="21" t="s">
        <v>639</v>
      </c>
      <c r="AX226" s="21" t="s">
        <v>640</v>
      </c>
      <c r="AY226" s="21">
        <v>0</v>
      </c>
      <c r="AZ226" s="21">
        <v>178117.34</v>
      </c>
      <c r="BA226" s="21">
        <v>462</v>
      </c>
      <c r="BB226" s="21" t="s">
        <v>1047</v>
      </c>
      <c r="BC226" s="21" t="s">
        <v>176</v>
      </c>
      <c r="BD226" s="21" t="s">
        <v>641</v>
      </c>
      <c r="BE226" s="21" t="s">
        <v>641</v>
      </c>
      <c r="BF226" s="21">
        <v>2.5</v>
      </c>
      <c r="BG226" s="21">
        <v>4452.93</v>
      </c>
      <c r="BH226" s="21">
        <v>2.5</v>
      </c>
      <c r="BI226" s="21">
        <v>4452.93</v>
      </c>
      <c r="BJ226" s="21">
        <v>0</v>
      </c>
      <c r="BK226" s="21">
        <v>0</v>
      </c>
      <c r="BL226" s="21">
        <v>1401263.61</v>
      </c>
      <c r="BM226" s="21">
        <v>642167598114</v>
      </c>
      <c r="BN226" s="23">
        <v>46255</v>
      </c>
      <c r="BO226" s="21">
        <v>1161.1300000000001</v>
      </c>
    </row>
    <row r="227" spans="1:67" hidden="1" x14ac:dyDescent="0.25">
      <c r="A227" s="22"/>
      <c r="B227" s="21" t="s">
        <v>167</v>
      </c>
      <c r="C227" s="21" t="s">
        <v>1047</v>
      </c>
      <c r="D227" s="21" t="s">
        <v>1062</v>
      </c>
      <c r="E227" s="21" t="s">
        <v>273</v>
      </c>
      <c r="F227" s="21" t="s">
        <v>274</v>
      </c>
      <c r="G227" s="21" t="s">
        <v>1063</v>
      </c>
      <c r="H227" s="21">
        <v>6727.28</v>
      </c>
      <c r="I227" s="21">
        <v>6727.28</v>
      </c>
      <c r="J227" s="21" t="s">
        <v>168</v>
      </c>
      <c r="K227" s="21">
        <v>6727.28</v>
      </c>
      <c r="L227" s="21">
        <v>0</v>
      </c>
      <c r="M227" s="21">
        <v>6727.28</v>
      </c>
      <c r="N227" s="21" t="s">
        <v>1064</v>
      </c>
      <c r="O227" s="21" t="s">
        <v>656</v>
      </c>
      <c r="P227" s="21" t="s">
        <v>656</v>
      </c>
      <c r="Q227" s="21" t="s">
        <v>1065</v>
      </c>
      <c r="R227" s="21" t="s">
        <v>1047</v>
      </c>
      <c r="S227" s="21" t="s">
        <v>635</v>
      </c>
      <c r="T227" s="21" t="s">
        <v>636</v>
      </c>
      <c r="U227" s="21" t="s">
        <v>1066</v>
      </c>
      <c r="V227" s="21">
        <v>171.9</v>
      </c>
      <c r="W227" s="21">
        <v>171.89999950929999</v>
      </c>
      <c r="X227" s="21" t="s">
        <v>1065</v>
      </c>
      <c r="Y227" s="21" t="s">
        <v>1047</v>
      </c>
      <c r="Z227" s="21"/>
      <c r="AA227" s="21">
        <v>0</v>
      </c>
      <c r="AB227" s="21"/>
      <c r="AC227" s="21">
        <v>0</v>
      </c>
      <c r="AD227" s="21">
        <v>0</v>
      </c>
      <c r="AE227" s="21">
        <v>0</v>
      </c>
      <c r="AF227" s="21">
        <v>0</v>
      </c>
      <c r="AG227" s="21">
        <v>0</v>
      </c>
      <c r="AH227" s="21">
        <v>0</v>
      </c>
      <c r="AI227" s="21">
        <v>0</v>
      </c>
      <c r="AJ227" s="21" t="s">
        <v>638</v>
      </c>
      <c r="AK227" s="21">
        <v>0</v>
      </c>
      <c r="AL227" s="21">
        <v>0</v>
      </c>
      <c r="AM227" s="21">
        <v>0</v>
      </c>
      <c r="AN227" s="21">
        <v>0</v>
      </c>
      <c r="AO227" s="21">
        <v>0</v>
      </c>
      <c r="AP227" s="21"/>
      <c r="AQ227" s="21">
        <v>0</v>
      </c>
      <c r="AR227" s="21">
        <v>0</v>
      </c>
      <c r="AS227" s="21">
        <v>1401263.61</v>
      </c>
      <c r="AT227" s="21" t="s">
        <v>169</v>
      </c>
      <c r="AU227" s="21" t="s">
        <v>170</v>
      </c>
      <c r="AV227" s="21" t="s">
        <v>157</v>
      </c>
      <c r="AW227" s="21" t="s">
        <v>639</v>
      </c>
      <c r="AX227" s="21" t="s">
        <v>640</v>
      </c>
      <c r="AY227" s="21">
        <v>0</v>
      </c>
      <c r="AZ227" s="21">
        <v>1156419.43</v>
      </c>
      <c r="BA227" s="21">
        <v>462</v>
      </c>
      <c r="BB227" s="21" t="s">
        <v>1047</v>
      </c>
      <c r="BC227" s="21" t="s">
        <v>176</v>
      </c>
      <c r="BD227" s="21" t="s">
        <v>641</v>
      </c>
      <c r="BE227" s="21" t="s">
        <v>641</v>
      </c>
      <c r="BF227" s="21">
        <v>2.5</v>
      </c>
      <c r="BG227" s="21">
        <v>28910.49</v>
      </c>
      <c r="BH227" s="21">
        <v>2.5</v>
      </c>
      <c r="BI227" s="21">
        <v>28910.49</v>
      </c>
      <c r="BJ227" s="21">
        <v>0</v>
      </c>
      <c r="BK227" s="21">
        <v>0</v>
      </c>
      <c r="BL227" s="21">
        <v>0</v>
      </c>
      <c r="BM227" s="21">
        <v>642167598114</v>
      </c>
      <c r="BN227" s="23">
        <v>46255</v>
      </c>
      <c r="BO227" s="21">
        <v>6727.28</v>
      </c>
    </row>
    <row r="228" spans="1:67" hidden="1" x14ac:dyDescent="0.25">
      <c r="A228" s="22"/>
      <c r="B228" s="21" t="s">
        <v>167</v>
      </c>
      <c r="C228" s="21" t="s">
        <v>1067</v>
      </c>
      <c r="D228" s="21" t="s">
        <v>1068</v>
      </c>
      <c r="E228" s="21" t="s">
        <v>180</v>
      </c>
      <c r="F228" s="21" t="s">
        <v>181</v>
      </c>
      <c r="G228" s="21" t="s">
        <v>1069</v>
      </c>
      <c r="H228" s="21">
        <v>1568.3</v>
      </c>
      <c r="I228" s="21">
        <v>1568.3</v>
      </c>
      <c r="J228" s="21" t="s">
        <v>168</v>
      </c>
      <c r="K228" s="21">
        <v>1568.3</v>
      </c>
      <c r="L228" s="21">
        <v>0</v>
      </c>
      <c r="M228" s="21">
        <v>1568.3</v>
      </c>
      <c r="N228" s="21" t="s">
        <v>1070</v>
      </c>
      <c r="O228" s="21" t="s">
        <v>656</v>
      </c>
      <c r="P228" s="21" t="s">
        <v>656</v>
      </c>
      <c r="Q228" s="21" t="s">
        <v>1071</v>
      </c>
      <c r="R228" s="21" t="s">
        <v>1047</v>
      </c>
      <c r="S228" s="21" t="s">
        <v>635</v>
      </c>
      <c r="T228" s="21" t="s">
        <v>636</v>
      </c>
      <c r="U228" s="21" t="s">
        <v>1072</v>
      </c>
      <c r="V228" s="21">
        <v>160.4</v>
      </c>
      <c r="W228" s="21">
        <v>160.4</v>
      </c>
      <c r="X228" s="21" t="s">
        <v>1071</v>
      </c>
      <c r="Y228" s="21" t="s">
        <v>1047</v>
      </c>
      <c r="Z228" s="21" t="s">
        <v>189</v>
      </c>
      <c r="AA228" s="21" t="s">
        <v>189</v>
      </c>
      <c r="AB228" s="21"/>
      <c r="AC228" s="21" t="s">
        <v>659</v>
      </c>
      <c r="AD228" s="21">
        <v>2577</v>
      </c>
      <c r="AE228" s="21">
        <v>0</v>
      </c>
      <c r="AF228" s="21">
        <v>0</v>
      </c>
      <c r="AG228" s="21">
        <v>0</v>
      </c>
      <c r="AH228" s="21">
        <v>0</v>
      </c>
      <c r="AI228" s="21">
        <v>0</v>
      </c>
      <c r="AJ228" s="21" t="s">
        <v>638</v>
      </c>
      <c r="AK228" s="21">
        <v>0</v>
      </c>
      <c r="AL228" s="21">
        <v>0</v>
      </c>
      <c r="AM228" s="21">
        <v>0</v>
      </c>
      <c r="AN228" s="21">
        <v>0</v>
      </c>
      <c r="AO228" s="21">
        <v>0</v>
      </c>
      <c r="AP228" s="21"/>
      <c r="AQ228" s="21">
        <v>0</v>
      </c>
      <c r="AR228" s="21">
        <v>0</v>
      </c>
      <c r="AS228" s="21">
        <v>373863.67999999999</v>
      </c>
      <c r="AT228" s="21" t="s">
        <v>169</v>
      </c>
      <c r="AU228" s="21" t="s">
        <v>181</v>
      </c>
      <c r="AV228" s="21" t="s">
        <v>154</v>
      </c>
      <c r="AW228" s="21" t="s">
        <v>639</v>
      </c>
      <c r="AX228" s="21" t="s">
        <v>640</v>
      </c>
      <c r="AY228" s="21">
        <v>0</v>
      </c>
      <c r="AZ228" s="21">
        <v>251555.32</v>
      </c>
      <c r="BA228" s="21">
        <v>464</v>
      </c>
      <c r="BB228" s="21" t="s">
        <v>1067</v>
      </c>
      <c r="BC228" s="21" t="s">
        <v>176</v>
      </c>
      <c r="BD228" s="21" t="s">
        <v>641</v>
      </c>
      <c r="BE228" s="21" t="s">
        <v>641</v>
      </c>
      <c r="BF228" s="21">
        <v>9</v>
      </c>
      <c r="BG228" s="21">
        <v>22639.98</v>
      </c>
      <c r="BH228" s="21">
        <v>9</v>
      </c>
      <c r="BI228" s="21">
        <v>22639.98</v>
      </c>
      <c r="BJ228" s="21">
        <v>0</v>
      </c>
      <c r="BK228" s="21">
        <v>0</v>
      </c>
      <c r="BL228" s="21">
        <v>373863.67999999999</v>
      </c>
      <c r="BM228" s="21">
        <v>662168328756</v>
      </c>
      <c r="BN228" s="23">
        <v>46256</v>
      </c>
      <c r="BO228" s="21">
        <v>1568.3</v>
      </c>
    </row>
    <row r="229" spans="1:67" hidden="1" x14ac:dyDescent="0.25">
      <c r="A229" s="22"/>
      <c r="B229" s="21" t="s">
        <v>167</v>
      </c>
      <c r="C229" s="21" t="s">
        <v>1067</v>
      </c>
      <c r="D229" s="21" t="s">
        <v>1068</v>
      </c>
      <c r="E229" s="21" t="s">
        <v>180</v>
      </c>
      <c r="F229" s="21" t="s">
        <v>181</v>
      </c>
      <c r="G229" s="21" t="s">
        <v>1069</v>
      </c>
      <c r="H229" s="21">
        <v>399.5</v>
      </c>
      <c r="I229" s="21">
        <v>399.5</v>
      </c>
      <c r="J229" s="21" t="s">
        <v>168</v>
      </c>
      <c r="K229" s="21">
        <v>399.5</v>
      </c>
      <c r="L229" s="21">
        <v>0</v>
      </c>
      <c r="M229" s="21">
        <v>399.5</v>
      </c>
      <c r="N229" s="21" t="s">
        <v>1070</v>
      </c>
      <c r="O229" s="21" t="s">
        <v>656</v>
      </c>
      <c r="P229" s="21" t="s">
        <v>656</v>
      </c>
      <c r="Q229" s="21" t="s">
        <v>1071</v>
      </c>
      <c r="R229" s="21" t="s">
        <v>1047</v>
      </c>
      <c r="S229" s="21" t="s">
        <v>635</v>
      </c>
      <c r="T229" s="21" t="s">
        <v>636</v>
      </c>
      <c r="U229" s="21" t="s">
        <v>1072</v>
      </c>
      <c r="V229" s="21">
        <v>163.4</v>
      </c>
      <c r="W229" s="21">
        <v>163.4</v>
      </c>
      <c r="X229" s="21" t="s">
        <v>1071</v>
      </c>
      <c r="Y229" s="21" t="s">
        <v>1047</v>
      </c>
      <c r="Z229" s="21" t="s">
        <v>189</v>
      </c>
      <c r="AA229" s="21" t="s">
        <v>189</v>
      </c>
      <c r="AB229" s="21"/>
      <c r="AC229" s="21" t="s">
        <v>659</v>
      </c>
      <c r="AD229" s="21">
        <v>2577</v>
      </c>
      <c r="AE229" s="21">
        <v>0</v>
      </c>
      <c r="AF229" s="21">
        <v>0</v>
      </c>
      <c r="AG229" s="21">
        <v>0</v>
      </c>
      <c r="AH229" s="21">
        <v>0</v>
      </c>
      <c r="AI229" s="21">
        <v>0</v>
      </c>
      <c r="AJ229" s="21" t="s">
        <v>638</v>
      </c>
      <c r="AK229" s="21">
        <v>0</v>
      </c>
      <c r="AL229" s="21">
        <v>0</v>
      </c>
      <c r="AM229" s="21">
        <v>0</v>
      </c>
      <c r="AN229" s="21">
        <v>0</v>
      </c>
      <c r="AO229" s="21">
        <v>0</v>
      </c>
      <c r="AP229" s="21"/>
      <c r="AQ229" s="21">
        <v>0</v>
      </c>
      <c r="AR229" s="21">
        <v>0</v>
      </c>
      <c r="AS229" s="21">
        <v>373863.67999999999</v>
      </c>
      <c r="AT229" s="21" t="s">
        <v>169</v>
      </c>
      <c r="AU229" s="21" t="s">
        <v>181</v>
      </c>
      <c r="AV229" s="21" t="s">
        <v>154</v>
      </c>
      <c r="AW229" s="21" t="s">
        <v>639</v>
      </c>
      <c r="AX229" s="21" t="s">
        <v>640</v>
      </c>
      <c r="AY229" s="21">
        <v>0</v>
      </c>
      <c r="AZ229" s="21">
        <v>65278.3</v>
      </c>
      <c r="BA229" s="21">
        <v>464</v>
      </c>
      <c r="BB229" s="21" t="s">
        <v>1067</v>
      </c>
      <c r="BC229" s="21" t="s">
        <v>176</v>
      </c>
      <c r="BD229" s="21" t="s">
        <v>641</v>
      </c>
      <c r="BE229" s="21" t="s">
        <v>641</v>
      </c>
      <c r="BF229" s="21">
        <v>9</v>
      </c>
      <c r="BG229" s="21">
        <v>5875.05</v>
      </c>
      <c r="BH229" s="21">
        <v>9</v>
      </c>
      <c r="BI229" s="21">
        <v>5875.05</v>
      </c>
      <c r="BJ229" s="21">
        <v>0</v>
      </c>
      <c r="BK229" s="21">
        <v>0</v>
      </c>
      <c r="BL229" s="21">
        <v>0</v>
      </c>
      <c r="BM229" s="21">
        <v>662168328756</v>
      </c>
      <c r="BN229" s="23">
        <v>46256</v>
      </c>
      <c r="BO229" s="21">
        <v>399.5</v>
      </c>
    </row>
    <row r="230" spans="1:67" hidden="1" x14ac:dyDescent="0.25">
      <c r="A230" s="22"/>
      <c r="B230" s="21" t="s">
        <v>167</v>
      </c>
      <c r="C230" s="21" t="s">
        <v>1067</v>
      </c>
      <c r="D230" s="21" t="s">
        <v>1073</v>
      </c>
      <c r="E230" s="21" t="s">
        <v>704</v>
      </c>
      <c r="F230" s="21" t="s">
        <v>705</v>
      </c>
      <c r="G230" s="21" t="s">
        <v>1074</v>
      </c>
      <c r="H230" s="21">
        <v>832.6</v>
      </c>
      <c r="I230" s="21">
        <v>832.6</v>
      </c>
      <c r="J230" s="21" t="s">
        <v>184</v>
      </c>
      <c r="K230" s="21">
        <v>832.6</v>
      </c>
      <c r="L230" s="21">
        <v>0</v>
      </c>
      <c r="M230" s="21">
        <v>832.6</v>
      </c>
      <c r="N230" s="21" t="s">
        <v>174</v>
      </c>
      <c r="O230" s="21" t="s">
        <v>633</v>
      </c>
      <c r="P230" s="21" t="s">
        <v>633</v>
      </c>
      <c r="Q230" s="21" t="s">
        <v>1075</v>
      </c>
      <c r="R230" s="21" t="s">
        <v>1067</v>
      </c>
      <c r="S230" s="21" t="s">
        <v>635</v>
      </c>
      <c r="T230" s="21" t="s">
        <v>636</v>
      </c>
      <c r="U230" s="21" t="s">
        <v>1076</v>
      </c>
      <c r="V230" s="21">
        <v>154.32</v>
      </c>
      <c r="W230" s="21">
        <v>154.319997712272</v>
      </c>
      <c r="X230" s="21" t="s">
        <v>1075</v>
      </c>
      <c r="Y230" s="21" t="s">
        <v>1067</v>
      </c>
      <c r="Z230" s="21" t="s">
        <v>189</v>
      </c>
      <c r="AA230" s="21" t="s">
        <v>189</v>
      </c>
      <c r="AB230" s="21"/>
      <c r="AC230" s="21" t="s">
        <v>189</v>
      </c>
      <c r="AD230" s="21" t="s">
        <v>189</v>
      </c>
      <c r="AE230" s="21">
        <v>0</v>
      </c>
      <c r="AF230" s="21">
        <v>0</v>
      </c>
      <c r="AG230" s="21">
        <v>0</v>
      </c>
      <c r="AH230" s="21">
        <v>0</v>
      </c>
      <c r="AI230" s="21">
        <v>0</v>
      </c>
      <c r="AJ230" s="21" t="s">
        <v>638</v>
      </c>
      <c r="AK230" s="21">
        <v>0</v>
      </c>
      <c r="AL230" s="21">
        <v>0</v>
      </c>
      <c r="AM230" s="21">
        <v>0</v>
      </c>
      <c r="AN230" s="21">
        <v>0</v>
      </c>
      <c r="AO230" s="21">
        <v>0</v>
      </c>
      <c r="AP230" s="21"/>
      <c r="AQ230" s="21">
        <v>0</v>
      </c>
      <c r="AR230" s="21">
        <v>0</v>
      </c>
      <c r="AS230" s="21">
        <v>134911.17000000001</v>
      </c>
      <c r="AT230" s="21" t="s">
        <v>169</v>
      </c>
      <c r="AU230" s="21" t="s">
        <v>170</v>
      </c>
      <c r="AV230" s="21" t="s">
        <v>157</v>
      </c>
      <c r="AW230" s="21" t="s">
        <v>639</v>
      </c>
      <c r="AX230" s="21"/>
      <c r="AY230" s="21">
        <v>0</v>
      </c>
      <c r="AZ230" s="21">
        <v>128486.83</v>
      </c>
      <c r="BA230" s="21">
        <v>465</v>
      </c>
      <c r="BB230" s="21" t="s">
        <v>1067</v>
      </c>
      <c r="BC230" s="21" t="s">
        <v>176</v>
      </c>
      <c r="BD230" s="21" t="s">
        <v>641</v>
      </c>
      <c r="BE230" s="21" t="s">
        <v>641</v>
      </c>
      <c r="BF230" s="21">
        <v>2.5</v>
      </c>
      <c r="BG230" s="21">
        <v>3212.17</v>
      </c>
      <c r="BH230" s="21">
        <v>2.5</v>
      </c>
      <c r="BI230" s="21">
        <v>3212.17</v>
      </c>
      <c r="BJ230" s="21">
        <v>0</v>
      </c>
      <c r="BK230" s="21">
        <v>0</v>
      </c>
      <c r="BL230" s="21">
        <v>134911.17000000001</v>
      </c>
      <c r="BM230" s="21">
        <v>622168652442</v>
      </c>
      <c r="BN230" s="23">
        <v>46257</v>
      </c>
      <c r="BO230" s="21">
        <v>832.6</v>
      </c>
    </row>
    <row r="231" spans="1:67" hidden="1" x14ac:dyDescent="0.25">
      <c r="A231" s="22"/>
      <c r="B231" s="21" t="s">
        <v>167</v>
      </c>
      <c r="C231" s="21" t="s">
        <v>1067</v>
      </c>
      <c r="D231" s="21" t="s">
        <v>1077</v>
      </c>
      <c r="E231" s="21" t="s">
        <v>180</v>
      </c>
      <c r="F231" s="21" t="s">
        <v>181</v>
      </c>
      <c r="G231" s="21" t="s">
        <v>1078</v>
      </c>
      <c r="H231" s="21">
        <v>66.2</v>
      </c>
      <c r="I231" s="21">
        <v>66.2</v>
      </c>
      <c r="J231" s="21" t="s">
        <v>168</v>
      </c>
      <c r="K231" s="21">
        <v>66.2</v>
      </c>
      <c r="L231" s="21">
        <v>0</v>
      </c>
      <c r="M231" s="21">
        <v>66.2</v>
      </c>
      <c r="N231" s="21" t="s">
        <v>317</v>
      </c>
      <c r="O231" s="21" t="s">
        <v>633</v>
      </c>
      <c r="P231" s="21" t="s">
        <v>633</v>
      </c>
      <c r="Q231" s="21" t="s">
        <v>1079</v>
      </c>
      <c r="R231" s="21" t="s">
        <v>1067</v>
      </c>
      <c r="S231" s="21" t="s">
        <v>635</v>
      </c>
      <c r="T231" s="21" t="s">
        <v>636</v>
      </c>
      <c r="U231" s="21" t="s">
        <v>1080</v>
      </c>
      <c r="V231" s="21">
        <v>147.32</v>
      </c>
      <c r="W231" s="21">
        <v>147.31994879407799</v>
      </c>
      <c r="X231" s="21" t="s">
        <v>1079</v>
      </c>
      <c r="Y231" s="21" t="s">
        <v>1067</v>
      </c>
      <c r="Z231" s="21" t="s">
        <v>189</v>
      </c>
      <c r="AA231" s="21" t="s">
        <v>189</v>
      </c>
      <c r="AB231" s="21"/>
      <c r="AC231" s="21" t="s">
        <v>189</v>
      </c>
      <c r="AD231" s="21" t="s">
        <v>189</v>
      </c>
      <c r="AE231" s="21">
        <v>0</v>
      </c>
      <c r="AF231" s="21">
        <v>0</v>
      </c>
      <c r="AG231" s="21">
        <v>0</v>
      </c>
      <c r="AH231" s="21">
        <v>0</v>
      </c>
      <c r="AI231" s="21">
        <v>0</v>
      </c>
      <c r="AJ231" s="21" t="s">
        <v>638</v>
      </c>
      <c r="AK231" s="21">
        <v>0</v>
      </c>
      <c r="AL231" s="21">
        <v>0</v>
      </c>
      <c r="AM231" s="21">
        <v>0</v>
      </c>
      <c r="AN231" s="21">
        <v>0</v>
      </c>
      <c r="AO231" s="21">
        <v>0</v>
      </c>
      <c r="AP231" s="21"/>
      <c r="AQ231" s="21">
        <v>0</v>
      </c>
      <c r="AR231" s="21">
        <v>0</v>
      </c>
      <c r="AS231" s="21">
        <v>11508.04</v>
      </c>
      <c r="AT231" s="21" t="s">
        <v>169</v>
      </c>
      <c r="AU231" s="21" t="s">
        <v>181</v>
      </c>
      <c r="AV231" s="21" t="s">
        <v>154</v>
      </c>
      <c r="AW231" s="21" t="s">
        <v>639</v>
      </c>
      <c r="AX231" s="21" t="s">
        <v>640</v>
      </c>
      <c r="AY231" s="21">
        <v>0</v>
      </c>
      <c r="AZ231" s="21">
        <v>9752.58</v>
      </c>
      <c r="BA231" s="21">
        <v>467</v>
      </c>
      <c r="BB231" s="21" t="s">
        <v>1067</v>
      </c>
      <c r="BC231" s="21" t="s">
        <v>176</v>
      </c>
      <c r="BD231" s="21" t="s">
        <v>641</v>
      </c>
      <c r="BE231" s="21" t="s">
        <v>641</v>
      </c>
      <c r="BF231" s="21">
        <v>9</v>
      </c>
      <c r="BG231" s="21">
        <v>877.73</v>
      </c>
      <c r="BH231" s="21">
        <v>9</v>
      </c>
      <c r="BI231" s="21">
        <v>877.73</v>
      </c>
      <c r="BJ231" s="21">
        <v>0</v>
      </c>
      <c r="BK231" s="21">
        <v>0</v>
      </c>
      <c r="BL231" s="21">
        <v>11508.04</v>
      </c>
      <c r="BM231" s="21">
        <v>692168741192</v>
      </c>
      <c r="BN231" s="23">
        <v>46257</v>
      </c>
      <c r="BO231" s="21">
        <v>66.2</v>
      </c>
    </row>
    <row r="232" spans="1:67" hidden="1" x14ac:dyDescent="0.25">
      <c r="A232" s="22"/>
      <c r="B232" s="21" t="s">
        <v>167</v>
      </c>
      <c r="C232" s="21" t="s">
        <v>1067</v>
      </c>
      <c r="D232" s="21" t="s">
        <v>1081</v>
      </c>
      <c r="E232" s="21" t="s">
        <v>182</v>
      </c>
      <c r="F232" s="21" t="s">
        <v>183</v>
      </c>
      <c r="G232" s="21" t="s">
        <v>1082</v>
      </c>
      <c r="H232" s="21">
        <v>473</v>
      </c>
      <c r="I232" s="21">
        <v>473</v>
      </c>
      <c r="J232" s="21" t="s">
        <v>168</v>
      </c>
      <c r="K232" s="21">
        <v>473</v>
      </c>
      <c r="L232" s="21">
        <v>0</v>
      </c>
      <c r="M232" s="21">
        <v>473</v>
      </c>
      <c r="N232" s="21" t="s">
        <v>1083</v>
      </c>
      <c r="O232" s="21" t="s">
        <v>663</v>
      </c>
      <c r="P232" s="21" t="s">
        <v>663</v>
      </c>
      <c r="Q232" s="21" t="s">
        <v>1084</v>
      </c>
      <c r="R232" s="21" t="s">
        <v>1047</v>
      </c>
      <c r="S232" s="21" t="s">
        <v>635</v>
      </c>
      <c r="T232" s="21" t="s">
        <v>636</v>
      </c>
      <c r="U232" s="21" t="s">
        <v>1085</v>
      </c>
      <c r="V232" s="21">
        <v>159.49</v>
      </c>
      <c r="W232" s="21">
        <v>159.49</v>
      </c>
      <c r="X232" s="21" t="s">
        <v>1084</v>
      </c>
      <c r="Y232" s="21" t="s">
        <v>1047</v>
      </c>
      <c r="Z232" s="21" t="s">
        <v>189</v>
      </c>
      <c r="AA232" s="21" t="s">
        <v>189</v>
      </c>
      <c r="AB232" s="21"/>
      <c r="AC232" s="21" t="s">
        <v>189</v>
      </c>
      <c r="AD232" s="21" t="s">
        <v>189</v>
      </c>
      <c r="AE232" s="21">
        <v>0</v>
      </c>
      <c r="AF232" s="21">
        <v>0</v>
      </c>
      <c r="AG232" s="21">
        <v>0</v>
      </c>
      <c r="AH232" s="21">
        <v>0</v>
      </c>
      <c r="AI232" s="21">
        <v>0</v>
      </c>
      <c r="AJ232" s="21" t="s">
        <v>638</v>
      </c>
      <c r="AK232" s="21">
        <v>0</v>
      </c>
      <c r="AL232" s="21">
        <v>0</v>
      </c>
      <c r="AM232" s="21">
        <v>0</v>
      </c>
      <c r="AN232" s="21">
        <v>0</v>
      </c>
      <c r="AO232" s="21">
        <v>0</v>
      </c>
      <c r="AP232" s="21"/>
      <c r="AQ232" s="21">
        <v>0</v>
      </c>
      <c r="AR232" s="21">
        <v>0</v>
      </c>
      <c r="AS232" s="21">
        <v>461104.02</v>
      </c>
      <c r="AT232" s="21" t="s">
        <v>169</v>
      </c>
      <c r="AU232" s="21" t="s">
        <v>179</v>
      </c>
      <c r="AV232" s="21" t="s">
        <v>155</v>
      </c>
      <c r="AW232" s="21" t="s">
        <v>639</v>
      </c>
      <c r="AX232" s="21" t="s">
        <v>640</v>
      </c>
      <c r="AY232" s="21">
        <v>0</v>
      </c>
      <c r="AZ232" s="21">
        <v>75438.77</v>
      </c>
      <c r="BA232" s="21">
        <v>466</v>
      </c>
      <c r="BB232" s="21" t="s">
        <v>1067</v>
      </c>
      <c r="BC232" s="21" t="s">
        <v>185</v>
      </c>
      <c r="BD232" s="21" t="s">
        <v>641</v>
      </c>
      <c r="BE232" s="21" t="s">
        <v>641</v>
      </c>
      <c r="BF232" s="21">
        <v>9</v>
      </c>
      <c r="BG232" s="21">
        <v>6789.49</v>
      </c>
      <c r="BH232" s="21">
        <v>9</v>
      </c>
      <c r="BI232" s="21">
        <v>6789.49</v>
      </c>
      <c r="BJ232" s="21">
        <v>0</v>
      </c>
      <c r="BK232" s="21">
        <v>0</v>
      </c>
      <c r="BL232" s="21">
        <v>461104.02</v>
      </c>
      <c r="BM232" s="21">
        <v>642168408643</v>
      </c>
      <c r="BN232" s="23">
        <v>46256</v>
      </c>
      <c r="BO232" s="21">
        <v>473</v>
      </c>
    </row>
    <row r="233" spans="1:67" hidden="1" x14ac:dyDescent="0.25">
      <c r="A233" s="22"/>
      <c r="B233" s="21" t="s">
        <v>167</v>
      </c>
      <c r="C233" s="21" t="s">
        <v>1067</v>
      </c>
      <c r="D233" s="21" t="s">
        <v>1081</v>
      </c>
      <c r="E233" s="21" t="s">
        <v>182</v>
      </c>
      <c r="F233" s="21" t="s">
        <v>183</v>
      </c>
      <c r="G233" s="21" t="s">
        <v>1082</v>
      </c>
      <c r="H233" s="21">
        <v>2015</v>
      </c>
      <c r="I233" s="21">
        <v>2015</v>
      </c>
      <c r="J233" s="21" t="s">
        <v>168</v>
      </c>
      <c r="K233" s="21">
        <v>2015</v>
      </c>
      <c r="L233" s="21">
        <v>0</v>
      </c>
      <c r="M233" s="21">
        <v>2015</v>
      </c>
      <c r="N233" s="21" t="s">
        <v>1083</v>
      </c>
      <c r="O233" s="21" t="s">
        <v>663</v>
      </c>
      <c r="P233" s="21" t="s">
        <v>663</v>
      </c>
      <c r="Q233" s="21" t="s">
        <v>1084</v>
      </c>
      <c r="R233" s="21" t="s">
        <v>1047</v>
      </c>
      <c r="S233" s="21" t="s">
        <v>635</v>
      </c>
      <c r="T233" s="21" t="s">
        <v>636</v>
      </c>
      <c r="U233" s="21" t="s">
        <v>1085</v>
      </c>
      <c r="V233" s="21">
        <v>156.49</v>
      </c>
      <c r="W233" s="21">
        <v>156.49</v>
      </c>
      <c r="X233" s="21" t="s">
        <v>1084</v>
      </c>
      <c r="Y233" s="21" t="s">
        <v>1047</v>
      </c>
      <c r="Z233" s="21" t="s">
        <v>189</v>
      </c>
      <c r="AA233" s="21" t="s">
        <v>189</v>
      </c>
      <c r="AB233" s="21"/>
      <c r="AC233" s="21" t="s">
        <v>189</v>
      </c>
      <c r="AD233" s="21" t="s">
        <v>189</v>
      </c>
      <c r="AE233" s="21">
        <v>0</v>
      </c>
      <c r="AF233" s="21">
        <v>0</v>
      </c>
      <c r="AG233" s="21">
        <v>0</v>
      </c>
      <c r="AH233" s="21">
        <v>0</v>
      </c>
      <c r="AI233" s="21">
        <v>0</v>
      </c>
      <c r="AJ233" s="21" t="s">
        <v>638</v>
      </c>
      <c r="AK233" s="21">
        <v>0</v>
      </c>
      <c r="AL233" s="21">
        <v>0</v>
      </c>
      <c r="AM233" s="21">
        <v>0</v>
      </c>
      <c r="AN233" s="21">
        <v>0</v>
      </c>
      <c r="AO233" s="21">
        <v>0</v>
      </c>
      <c r="AP233" s="21"/>
      <c r="AQ233" s="21">
        <v>0</v>
      </c>
      <c r="AR233" s="21">
        <v>0</v>
      </c>
      <c r="AS233" s="21">
        <v>461104.02</v>
      </c>
      <c r="AT233" s="21" t="s">
        <v>169</v>
      </c>
      <c r="AU233" s="21" t="s">
        <v>179</v>
      </c>
      <c r="AV233" s="21" t="s">
        <v>155</v>
      </c>
      <c r="AW233" s="21" t="s">
        <v>639</v>
      </c>
      <c r="AX233" s="21" t="s">
        <v>640</v>
      </c>
      <c r="AY233" s="21">
        <v>0</v>
      </c>
      <c r="AZ233" s="21">
        <v>315327.34999999998</v>
      </c>
      <c r="BA233" s="21">
        <v>466</v>
      </c>
      <c r="BB233" s="21" t="s">
        <v>1067</v>
      </c>
      <c r="BC233" s="21" t="s">
        <v>185</v>
      </c>
      <c r="BD233" s="21" t="s">
        <v>641</v>
      </c>
      <c r="BE233" s="21" t="s">
        <v>641</v>
      </c>
      <c r="BF233" s="21">
        <v>9</v>
      </c>
      <c r="BG233" s="21">
        <v>28379.46</v>
      </c>
      <c r="BH233" s="21">
        <v>9</v>
      </c>
      <c r="BI233" s="21">
        <v>28379.46</v>
      </c>
      <c r="BJ233" s="21">
        <v>0</v>
      </c>
      <c r="BK233" s="21">
        <v>0</v>
      </c>
      <c r="BL233" s="21">
        <v>0</v>
      </c>
      <c r="BM233" s="21">
        <v>642168408643</v>
      </c>
      <c r="BN233" s="23">
        <v>46256</v>
      </c>
      <c r="BO233" s="21">
        <v>2015</v>
      </c>
    </row>
    <row r="234" spans="1:67" hidden="1" x14ac:dyDescent="0.25">
      <c r="A234" s="22"/>
      <c r="B234" s="21" t="s">
        <v>167</v>
      </c>
      <c r="C234" s="21" t="s">
        <v>1067</v>
      </c>
      <c r="D234" s="21" t="s">
        <v>1086</v>
      </c>
      <c r="E234" s="21" t="s">
        <v>182</v>
      </c>
      <c r="F234" s="21" t="s">
        <v>183</v>
      </c>
      <c r="G234" s="21" t="s">
        <v>1087</v>
      </c>
      <c r="H234" s="21">
        <v>489</v>
      </c>
      <c r="I234" s="21">
        <v>489</v>
      </c>
      <c r="J234" s="21" t="s">
        <v>168</v>
      </c>
      <c r="K234" s="21">
        <v>489</v>
      </c>
      <c r="L234" s="21">
        <v>0</v>
      </c>
      <c r="M234" s="21">
        <v>489</v>
      </c>
      <c r="N234" s="21" t="s">
        <v>174</v>
      </c>
      <c r="O234" s="21" t="s">
        <v>633</v>
      </c>
      <c r="P234" s="21" t="s">
        <v>633</v>
      </c>
      <c r="Q234" s="21" t="s">
        <v>1088</v>
      </c>
      <c r="R234" s="21" t="s">
        <v>1067</v>
      </c>
      <c r="S234" s="21" t="s">
        <v>635</v>
      </c>
      <c r="T234" s="21" t="s">
        <v>636</v>
      </c>
      <c r="U234" s="21" t="s">
        <v>1089</v>
      </c>
      <c r="V234" s="21">
        <v>147.32</v>
      </c>
      <c r="W234" s="21">
        <v>147.31999924286399</v>
      </c>
      <c r="X234" s="21" t="s">
        <v>1088</v>
      </c>
      <c r="Y234" s="21" t="s">
        <v>1067</v>
      </c>
      <c r="Z234" s="21" t="s">
        <v>189</v>
      </c>
      <c r="AA234" s="21" t="s">
        <v>189</v>
      </c>
      <c r="AB234" s="21"/>
      <c r="AC234" s="21" t="s">
        <v>189</v>
      </c>
      <c r="AD234" s="21" t="s">
        <v>189</v>
      </c>
      <c r="AE234" s="21">
        <v>0</v>
      </c>
      <c r="AF234" s="21">
        <v>0</v>
      </c>
      <c r="AG234" s="21">
        <v>0</v>
      </c>
      <c r="AH234" s="21">
        <v>0</v>
      </c>
      <c r="AI234" s="21">
        <v>0</v>
      </c>
      <c r="AJ234" s="21" t="s">
        <v>638</v>
      </c>
      <c r="AK234" s="21">
        <v>0</v>
      </c>
      <c r="AL234" s="21">
        <v>0</v>
      </c>
      <c r="AM234" s="21">
        <v>0</v>
      </c>
      <c r="AN234" s="21">
        <v>0</v>
      </c>
      <c r="AO234" s="21">
        <v>0</v>
      </c>
      <c r="AP234" s="21"/>
      <c r="AQ234" s="21">
        <v>0</v>
      </c>
      <c r="AR234" s="21">
        <v>0</v>
      </c>
      <c r="AS234" s="21">
        <v>389150.49</v>
      </c>
      <c r="AT234" s="21" t="s">
        <v>169</v>
      </c>
      <c r="AU234" s="21" t="s">
        <v>179</v>
      </c>
      <c r="AV234" s="21" t="s">
        <v>155</v>
      </c>
      <c r="AW234" s="21" t="s">
        <v>639</v>
      </c>
      <c r="AX234" s="21" t="s">
        <v>640</v>
      </c>
      <c r="AY234" s="21">
        <v>0</v>
      </c>
      <c r="AZ234" s="21">
        <v>72039.48</v>
      </c>
      <c r="BA234" s="21">
        <v>468</v>
      </c>
      <c r="BB234" s="21" t="s">
        <v>1067</v>
      </c>
      <c r="BC234" s="21" t="s">
        <v>176</v>
      </c>
      <c r="BD234" s="21" t="s">
        <v>641</v>
      </c>
      <c r="BE234" s="21" t="s">
        <v>641</v>
      </c>
      <c r="BF234" s="21">
        <v>9</v>
      </c>
      <c r="BG234" s="21">
        <v>6483.55</v>
      </c>
      <c r="BH234" s="21">
        <v>9</v>
      </c>
      <c r="BI234" s="21">
        <v>6483.55</v>
      </c>
      <c r="BJ234" s="21">
        <v>0</v>
      </c>
      <c r="BK234" s="21">
        <v>0</v>
      </c>
      <c r="BL234" s="21">
        <v>389150.49</v>
      </c>
      <c r="BM234" s="21">
        <v>652168818212</v>
      </c>
      <c r="BN234" s="23">
        <v>46257</v>
      </c>
      <c r="BO234" s="21">
        <v>489</v>
      </c>
    </row>
    <row r="235" spans="1:67" hidden="1" x14ac:dyDescent="0.25">
      <c r="A235" s="22"/>
      <c r="B235" s="21" t="s">
        <v>167</v>
      </c>
      <c r="C235" s="21" t="s">
        <v>1067</v>
      </c>
      <c r="D235" s="21" t="s">
        <v>1086</v>
      </c>
      <c r="E235" s="21" t="s">
        <v>180</v>
      </c>
      <c r="F235" s="21" t="s">
        <v>181</v>
      </c>
      <c r="G235" s="21" t="s">
        <v>1087</v>
      </c>
      <c r="H235" s="21">
        <v>247.6</v>
      </c>
      <c r="I235" s="21">
        <v>247.6</v>
      </c>
      <c r="J235" s="21" t="s">
        <v>168</v>
      </c>
      <c r="K235" s="21">
        <v>247.6</v>
      </c>
      <c r="L235" s="21">
        <v>0</v>
      </c>
      <c r="M235" s="21">
        <v>247.6</v>
      </c>
      <c r="N235" s="21" t="s">
        <v>174</v>
      </c>
      <c r="O235" s="21" t="s">
        <v>633</v>
      </c>
      <c r="P235" s="21" t="s">
        <v>633</v>
      </c>
      <c r="Q235" s="21" t="s">
        <v>1088</v>
      </c>
      <c r="R235" s="21" t="s">
        <v>1067</v>
      </c>
      <c r="S235" s="21" t="s">
        <v>635</v>
      </c>
      <c r="T235" s="21" t="s">
        <v>636</v>
      </c>
      <c r="U235" s="21" t="s">
        <v>1089</v>
      </c>
      <c r="V235" s="21">
        <v>165.32</v>
      </c>
      <c r="W235" s="21">
        <v>165.31999915035399</v>
      </c>
      <c r="X235" s="21" t="s">
        <v>1088</v>
      </c>
      <c r="Y235" s="21" t="s">
        <v>1067</v>
      </c>
      <c r="Z235" s="21" t="s">
        <v>189</v>
      </c>
      <c r="AA235" s="21" t="s">
        <v>189</v>
      </c>
      <c r="AB235" s="21"/>
      <c r="AC235" s="21" t="s">
        <v>189</v>
      </c>
      <c r="AD235" s="21" t="s">
        <v>189</v>
      </c>
      <c r="AE235" s="21">
        <v>0</v>
      </c>
      <c r="AF235" s="21">
        <v>0</v>
      </c>
      <c r="AG235" s="21">
        <v>0</v>
      </c>
      <c r="AH235" s="21">
        <v>0</v>
      </c>
      <c r="AI235" s="21">
        <v>0</v>
      </c>
      <c r="AJ235" s="21" t="s">
        <v>638</v>
      </c>
      <c r="AK235" s="21">
        <v>0</v>
      </c>
      <c r="AL235" s="21">
        <v>0</v>
      </c>
      <c r="AM235" s="21">
        <v>0</v>
      </c>
      <c r="AN235" s="21">
        <v>0</v>
      </c>
      <c r="AO235" s="21">
        <v>0</v>
      </c>
      <c r="AP235" s="21"/>
      <c r="AQ235" s="21">
        <v>0</v>
      </c>
      <c r="AR235" s="21">
        <v>0</v>
      </c>
      <c r="AS235" s="21">
        <v>389150.49</v>
      </c>
      <c r="AT235" s="21" t="s">
        <v>169</v>
      </c>
      <c r="AU235" s="21" t="s">
        <v>181</v>
      </c>
      <c r="AV235" s="21" t="s">
        <v>154</v>
      </c>
      <c r="AW235" s="21" t="s">
        <v>639</v>
      </c>
      <c r="AX235" s="21" t="s">
        <v>640</v>
      </c>
      <c r="AY235" s="21">
        <v>0</v>
      </c>
      <c r="AZ235" s="21">
        <v>40933.230000000003</v>
      </c>
      <c r="BA235" s="21">
        <v>468</v>
      </c>
      <c r="BB235" s="21" t="s">
        <v>1067</v>
      </c>
      <c r="BC235" s="21" t="s">
        <v>176</v>
      </c>
      <c r="BD235" s="21" t="s">
        <v>641</v>
      </c>
      <c r="BE235" s="21" t="s">
        <v>641</v>
      </c>
      <c r="BF235" s="21">
        <v>9</v>
      </c>
      <c r="BG235" s="21">
        <v>3683.99</v>
      </c>
      <c r="BH235" s="21">
        <v>9</v>
      </c>
      <c r="BI235" s="21">
        <v>3683.99</v>
      </c>
      <c r="BJ235" s="21">
        <v>0</v>
      </c>
      <c r="BK235" s="21">
        <v>0</v>
      </c>
      <c r="BL235" s="21">
        <v>0</v>
      </c>
      <c r="BM235" s="21">
        <v>652168818212</v>
      </c>
      <c r="BN235" s="23">
        <v>46257</v>
      </c>
      <c r="BO235" s="21">
        <v>247.6</v>
      </c>
    </row>
    <row r="236" spans="1:67" hidden="1" x14ac:dyDescent="0.25">
      <c r="A236" s="22"/>
      <c r="B236" s="21" t="s">
        <v>167</v>
      </c>
      <c r="C236" s="21" t="s">
        <v>1067</v>
      </c>
      <c r="D236" s="21" t="s">
        <v>1086</v>
      </c>
      <c r="E236" s="21" t="s">
        <v>180</v>
      </c>
      <c r="F236" s="21" t="s">
        <v>181</v>
      </c>
      <c r="G236" s="21" t="s">
        <v>1087</v>
      </c>
      <c r="H236" s="21">
        <v>361.5</v>
      </c>
      <c r="I236" s="21">
        <v>361.5</v>
      </c>
      <c r="J236" s="21" t="s">
        <v>168</v>
      </c>
      <c r="K236" s="21">
        <v>361.5</v>
      </c>
      <c r="L236" s="21">
        <v>0</v>
      </c>
      <c r="M236" s="21">
        <v>361.5</v>
      </c>
      <c r="N236" s="21" t="s">
        <v>174</v>
      </c>
      <c r="O236" s="21" t="s">
        <v>633</v>
      </c>
      <c r="P236" s="21" t="s">
        <v>633</v>
      </c>
      <c r="Q236" s="21" t="s">
        <v>1088</v>
      </c>
      <c r="R236" s="21" t="s">
        <v>1067</v>
      </c>
      <c r="S236" s="21" t="s">
        <v>635</v>
      </c>
      <c r="T236" s="21" t="s">
        <v>636</v>
      </c>
      <c r="U236" s="21" t="s">
        <v>1089</v>
      </c>
      <c r="V236" s="21">
        <v>147.32</v>
      </c>
      <c r="W236" s="21">
        <v>147.31999924286399</v>
      </c>
      <c r="X236" s="21" t="s">
        <v>1088</v>
      </c>
      <c r="Y236" s="21" t="s">
        <v>1067</v>
      </c>
      <c r="Z236" s="21" t="s">
        <v>189</v>
      </c>
      <c r="AA236" s="21" t="s">
        <v>189</v>
      </c>
      <c r="AB236" s="21"/>
      <c r="AC236" s="21" t="s">
        <v>189</v>
      </c>
      <c r="AD236" s="21" t="s">
        <v>189</v>
      </c>
      <c r="AE236" s="21">
        <v>0</v>
      </c>
      <c r="AF236" s="21">
        <v>0</v>
      </c>
      <c r="AG236" s="21">
        <v>0</v>
      </c>
      <c r="AH236" s="21">
        <v>0</v>
      </c>
      <c r="AI236" s="21">
        <v>0</v>
      </c>
      <c r="AJ236" s="21" t="s">
        <v>638</v>
      </c>
      <c r="AK236" s="21">
        <v>0</v>
      </c>
      <c r="AL236" s="21">
        <v>0</v>
      </c>
      <c r="AM236" s="21">
        <v>0</v>
      </c>
      <c r="AN236" s="21">
        <v>0</v>
      </c>
      <c r="AO236" s="21">
        <v>0</v>
      </c>
      <c r="AP236" s="21"/>
      <c r="AQ236" s="21">
        <v>0</v>
      </c>
      <c r="AR236" s="21">
        <v>0</v>
      </c>
      <c r="AS236" s="21">
        <v>389150.49</v>
      </c>
      <c r="AT236" s="21" t="s">
        <v>169</v>
      </c>
      <c r="AU236" s="21" t="s">
        <v>181</v>
      </c>
      <c r="AV236" s="21" t="s">
        <v>154</v>
      </c>
      <c r="AW236" s="21" t="s">
        <v>639</v>
      </c>
      <c r="AX236" s="21" t="s">
        <v>640</v>
      </c>
      <c r="AY236" s="21">
        <v>0</v>
      </c>
      <c r="AZ236" s="21">
        <v>53256.18</v>
      </c>
      <c r="BA236" s="21">
        <v>468</v>
      </c>
      <c r="BB236" s="21" t="s">
        <v>1067</v>
      </c>
      <c r="BC236" s="21" t="s">
        <v>176</v>
      </c>
      <c r="BD236" s="21" t="s">
        <v>641</v>
      </c>
      <c r="BE236" s="21" t="s">
        <v>641</v>
      </c>
      <c r="BF236" s="21">
        <v>9</v>
      </c>
      <c r="BG236" s="21">
        <v>4793.0600000000004</v>
      </c>
      <c r="BH236" s="21">
        <v>9</v>
      </c>
      <c r="BI236" s="21">
        <v>4793.0600000000004</v>
      </c>
      <c r="BJ236" s="21">
        <v>0</v>
      </c>
      <c r="BK236" s="21">
        <v>0</v>
      </c>
      <c r="BL236" s="21">
        <v>0</v>
      </c>
      <c r="BM236" s="21">
        <v>652168818212</v>
      </c>
      <c r="BN236" s="23">
        <v>46257</v>
      </c>
      <c r="BO236" s="21">
        <v>361.5</v>
      </c>
    </row>
    <row r="237" spans="1:67" hidden="1" x14ac:dyDescent="0.25">
      <c r="A237" s="22"/>
      <c r="B237" s="21" t="s">
        <v>167</v>
      </c>
      <c r="C237" s="21" t="s">
        <v>1067</v>
      </c>
      <c r="D237" s="21" t="s">
        <v>1086</v>
      </c>
      <c r="E237" s="21" t="s">
        <v>180</v>
      </c>
      <c r="F237" s="21" t="s">
        <v>181</v>
      </c>
      <c r="G237" s="21" t="s">
        <v>1087</v>
      </c>
      <c r="H237" s="21">
        <v>629.5</v>
      </c>
      <c r="I237" s="21">
        <v>629.5</v>
      </c>
      <c r="J237" s="21" t="s">
        <v>168</v>
      </c>
      <c r="K237" s="21">
        <v>629.5</v>
      </c>
      <c r="L237" s="21">
        <v>0</v>
      </c>
      <c r="M237" s="21">
        <v>629.5</v>
      </c>
      <c r="N237" s="21" t="s">
        <v>174</v>
      </c>
      <c r="O237" s="21" t="s">
        <v>633</v>
      </c>
      <c r="P237" s="21" t="s">
        <v>633</v>
      </c>
      <c r="Q237" s="21" t="s">
        <v>1088</v>
      </c>
      <c r="R237" s="21" t="s">
        <v>1067</v>
      </c>
      <c r="S237" s="21" t="s">
        <v>635</v>
      </c>
      <c r="T237" s="21" t="s">
        <v>636</v>
      </c>
      <c r="U237" s="21" t="s">
        <v>1089</v>
      </c>
      <c r="V237" s="21">
        <v>144.32</v>
      </c>
      <c r="W237" s="21">
        <v>144.319999258282</v>
      </c>
      <c r="X237" s="21" t="s">
        <v>1088</v>
      </c>
      <c r="Y237" s="21" t="s">
        <v>1067</v>
      </c>
      <c r="Z237" s="21" t="s">
        <v>189</v>
      </c>
      <c r="AA237" s="21" t="s">
        <v>189</v>
      </c>
      <c r="AB237" s="21"/>
      <c r="AC237" s="21" t="s">
        <v>189</v>
      </c>
      <c r="AD237" s="21" t="s">
        <v>189</v>
      </c>
      <c r="AE237" s="21">
        <v>0</v>
      </c>
      <c r="AF237" s="21">
        <v>0</v>
      </c>
      <c r="AG237" s="21">
        <v>0</v>
      </c>
      <c r="AH237" s="21">
        <v>0</v>
      </c>
      <c r="AI237" s="21">
        <v>0</v>
      </c>
      <c r="AJ237" s="21" t="s">
        <v>638</v>
      </c>
      <c r="AK237" s="21">
        <v>0</v>
      </c>
      <c r="AL237" s="21">
        <v>0</v>
      </c>
      <c r="AM237" s="21">
        <v>0</v>
      </c>
      <c r="AN237" s="21">
        <v>0</v>
      </c>
      <c r="AO237" s="21">
        <v>0</v>
      </c>
      <c r="AP237" s="21"/>
      <c r="AQ237" s="21">
        <v>0</v>
      </c>
      <c r="AR237" s="21">
        <v>0</v>
      </c>
      <c r="AS237" s="21">
        <v>389150.49</v>
      </c>
      <c r="AT237" s="21" t="s">
        <v>169</v>
      </c>
      <c r="AU237" s="21" t="s">
        <v>181</v>
      </c>
      <c r="AV237" s="21" t="s">
        <v>154</v>
      </c>
      <c r="AW237" s="21" t="s">
        <v>639</v>
      </c>
      <c r="AX237" s="21" t="s">
        <v>640</v>
      </c>
      <c r="AY237" s="21">
        <v>0</v>
      </c>
      <c r="AZ237" s="21">
        <v>90849.44</v>
      </c>
      <c r="BA237" s="21">
        <v>468</v>
      </c>
      <c r="BB237" s="21" t="s">
        <v>1067</v>
      </c>
      <c r="BC237" s="21" t="s">
        <v>176</v>
      </c>
      <c r="BD237" s="21" t="s">
        <v>641</v>
      </c>
      <c r="BE237" s="21" t="s">
        <v>641</v>
      </c>
      <c r="BF237" s="21">
        <v>9</v>
      </c>
      <c r="BG237" s="21">
        <v>8176.45</v>
      </c>
      <c r="BH237" s="21">
        <v>9</v>
      </c>
      <c r="BI237" s="21">
        <v>8176.45</v>
      </c>
      <c r="BJ237" s="21">
        <v>0</v>
      </c>
      <c r="BK237" s="21">
        <v>0</v>
      </c>
      <c r="BL237" s="21">
        <v>0</v>
      </c>
      <c r="BM237" s="21">
        <v>652168818212</v>
      </c>
      <c r="BN237" s="23">
        <v>46257</v>
      </c>
      <c r="BO237" s="21">
        <v>629.5</v>
      </c>
    </row>
    <row r="238" spans="1:67" hidden="1" x14ac:dyDescent="0.25">
      <c r="A238" s="22"/>
      <c r="B238" s="21" t="s">
        <v>167</v>
      </c>
      <c r="C238" s="21" t="s">
        <v>1067</v>
      </c>
      <c r="D238" s="21" t="s">
        <v>1086</v>
      </c>
      <c r="E238" s="21" t="s">
        <v>1090</v>
      </c>
      <c r="F238" s="21" t="s">
        <v>1091</v>
      </c>
      <c r="G238" s="21" t="s">
        <v>1087</v>
      </c>
      <c r="H238" s="21">
        <v>529.5</v>
      </c>
      <c r="I238" s="21">
        <v>529.5</v>
      </c>
      <c r="J238" s="21" t="s">
        <v>184</v>
      </c>
      <c r="K238" s="21">
        <v>529.5</v>
      </c>
      <c r="L238" s="21">
        <v>0</v>
      </c>
      <c r="M238" s="21">
        <v>529.5</v>
      </c>
      <c r="N238" s="21" t="s">
        <v>174</v>
      </c>
      <c r="O238" s="21" t="s">
        <v>633</v>
      </c>
      <c r="P238" s="21" t="s">
        <v>633</v>
      </c>
      <c r="Q238" s="21" t="s">
        <v>1088</v>
      </c>
      <c r="R238" s="21" t="s">
        <v>1067</v>
      </c>
      <c r="S238" s="21" t="s">
        <v>635</v>
      </c>
      <c r="T238" s="21" t="s">
        <v>636</v>
      </c>
      <c r="U238" s="21" t="s">
        <v>1089</v>
      </c>
      <c r="V238" s="21">
        <v>154.32</v>
      </c>
      <c r="W238" s="21">
        <v>154.31999920688801</v>
      </c>
      <c r="X238" s="21" t="s">
        <v>1088</v>
      </c>
      <c r="Y238" s="21" t="s">
        <v>1067</v>
      </c>
      <c r="Z238" s="21" t="s">
        <v>189</v>
      </c>
      <c r="AA238" s="21" t="s">
        <v>189</v>
      </c>
      <c r="AB238" s="21"/>
      <c r="AC238" s="21" t="s">
        <v>189</v>
      </c>
      <c r="AD238" s="21" t="s">
        <v>189</v>
      </c>
      <c r="AE238" s="21">
        <v>0</v>
      </c>
      <c r="AF238" s="21">
        <v>0</v>
      </c>
      <c r="AG238" s="21">
        <v>0</v>
      </c>
      <c r="AH238" s="21">
        <v>0</v>
      </c>
      <c r="AI238" s="21">
        <v>0</v>
      </c>
      <c r="AJ238" s="21" t="s">
        <v>638</v>
      </c>
      <c r="AK238" s="21">
        <v>0</v>
      </c>
      <c r="AL238" s="21">
        <v>0</v>
      </c>
      <c r="AM238" s="21">
        <v>0</v>
      </c>
      <c r="AN238" s="21">
        <v>0</v>
      </c>
      <c r="AO238" s="21">
        <v>0</v>
      </c>
      <c r="AP238" s="21"/>
      <c r="AQ238" s="21">
        <v>0</v>
      </c>
      <c r="AR238" s="21">
        <v>0</v>
      </c>
      <c r="AS238" s="21">
        <v>389150.49</v>
      </c>
      <c r="AT238" s="21" t="s">
        <v>169</v>
      </c>
      <c r="AU238" s="21" t="s">
        <v>170</v>
      </c>
      <c r="AV238" s="21" t="s">
        <v>157</v>
      </c>
      <c r="AW238" s="21" t="s">
        <v>639</v>
      </c>
      <c r="AX238" s="21"/>
      <c r="AY238" s="21">
        <v>0</v>
      </c>
      <c r="AZ238" s="21">
        <v>81712.44</v>
      </c>
      <c r="BA238" s="21">
        <v>468</v>
      </c>
      <c r="BB238" s="21" t="s">
        <v>1067</v>
      </c>
      <c r="BC238" s="21" t="s">
        <v>176</v>
      </c>
      <c r="BD238" s="21" t="s">
        <v>641</v>
      </c>
      <c r="BE238" s="21" t="s">
        <v>641</v>
      </c>
      <c r="BF238" s="21">
        <v>2.5</v>
      </c>
      <c r="BG238" s="21">
        <v>2042.81</v>
      </c>
      <c r="BH238" s="21">
        <v>2.5</v>
      </c>
      <c r="BI238" s="21">
        <v>2042.81</v>
      </c>
      <c r="BJ238" s="21">
        <v>0</v>
      </c>
      <c r="BK238" s="21">
        <v>0</v>
      </c>
      <c r="BL238" s="21">
        <v>0</v>
      </c>
      <c r="BM238" s="21">
        <v>652168818212</v>
      </c>
      <c r="BN238" s="23">
        <v>46257</v>
      </c>
      <c r="BO238" s="21">
        <v>529.5</v>
      </c>
    </row>
    <row r="239" spans="1:67" hidden="1" x14ac:dyDescent="0.25">
      <c r="A239" s="22"/>
      <c r="B239" s="21" t="s">
        <v>167</v>
      </c>
      <c r="C239" s="21" t="s">
        <v>1092</v>
      </c>
      <c r="D239" s="21" t="s">
        <v>1093</v>
      </c>
      <c r="E239" s="21" t="s">
        <v>234</v>
      </c>
      <c r="F239" s="21" t="s">
        <v>153</v>
      </c>
      <c r="G239" s="21" t="s">
        <v>1094</v>
      </c>
      <c r="H239" s="21">
        <v>2</v>
      </c>
      <c r="I239" s="21">
        <v>2</v>
      </c>
      <c r="J239" s="21" t="s">
        <v>168</v>
      </c>
      <c r="K239" s="21">
        <v>2</v>
      </c>
      <c r="L239" s="21">
        <v>0</v>
      </c>
      <c r="M239" s="21">
        <v>2</v>
      </c>
      <c r="N239" s="21" t="s">
        <v>611</v>
      </c>
      <c r="O239" s="21" t="s">
        <v>656</v>
      </c>
      <c r="P239" s="21" t="s">
        <v>656</v>
      </c>
      <c r="Q239" s="21" t="s">
        <v>1095</v>
      </c>
      <c r="R239" s="21" t="s">
        <v>1067</v>
      </c>
      <c r="S239" s="21" t="s">
        <v>635</v>
      </c>
      <c r="T239" s="21" t="s">
        <v>636</v>
      </c>
      <c r="U239" s="21" t="s">
        <v>1096</v>
      </c>
      <c r="V239" s="21">
        <v>163.4</v>
      </c>
      <c r="W239" s="21">
        <v>163.4</v>
      </c>
      <c r="X239" s="21" t="s">
        <v>1095</v>
      </c>
      <c r="Y239" s="21" t="s">
        <v>1067</v>
      </c>
      <c r="Z239" s="21" t="s">
        <v>1097</v>
      </c>
      <c r="AA239" s="21" t="s">
        <v>189</v>
      </c>
      <c r="AB239" s="21"/>
      <c r="AC239" s="21" t="s">
        <v>189</v>
      </c>
      <c r="AD239" s="21" t="s">
        <v>189</v>
      </c>
      <c r="AE239" s="21">
        <v>0</v>
      </c>
      <c r="AF239" s="21">
        <v>0</v>
      </c>
      <c r="AG239" s="21">
        <v>0</v>
      </c>
      <c r="AH239" s="21">
        <v>0</v>
      </c>
      <c r="AI239" s="21">
        <v>0</v>
      </c>
      <c r="AJ239" s="21" t="s">
        <v>638</v>
      </c>
      <c r="AK239" s="21">
        <v>0</v>
      </c>
      <c r="AL239" s="21">
        <v>0</v>
      </c>
      <c r="AM239" s="21">
        <v>0</v>
      </c>
      <c r="AN239" s="21">
        <v>0</v>
      </c>
      <c r="AO239" s="21">
        <v>0</v>
      </c>
      <c r="AP239" s="21"/>
      <c r="AQ239" s="21">
        <v>0</v>
      </c>
      <c r="AR239" s="21">
        <v>0</v>
      </c>
      <c r="AS239" s="21">
        <v>385.62</v>
      </c>
      <c r="AT239" s="21" t="s">
        <v>188</v>
      </c>
      <c r="AU239" s="21" t="s">
        <v>153</v>
      </c>
      <c r="AV239" s="21" t="s">
        <v>153</v>
      </c>
      <c r="AW239" s="21" t="s">
        <v>639</v>
      </c>
      <c r="AX239" s="21" t="s">
        <v>640</v>
      </c>
      <c r="AY239" s="21">
        <v>0</v>
      </c>
      <c r="AZ239" s="21">
        <v>326.8</v>
      </c>
      <c r="BA239" s="21">
        <v>470</v>
      </c>
      <c r="BB239" s="21" t="s">
        <v>1092</v>
      </c>
      <c r="BC239" s="21" t="s">
        <v>176</v>
      </c>
      <c r="BD239" s="21" t="s">
        <v>641</v>
      </c>
      <c r="BE239" s="21" t="s">
        <v>641</v>
      </c>
      <c r="BF239" s="21">
        <v>9</v>
      </c>
      <c r="BG239" s="21">
        <v>29.41</v>
      </c>
      <c r="BH239" s="21">
        <v>9</v>
      </c>
      <c r="BI239" s="21">
        <v>29.41</v>
      </c>
      <c r="BJ239" s="21">
        <v>0</v>
      </c>
      <c r="BK239" s="21">
        <v>0</v>
      </c>
      <c r="BL239" s="21">
        <v>385.62</v>
      </c>
      <c r="BM239" s="21">
        <v>622168706468</v>
      </c>
      <c r="BN239" s="23">
        <v>46257</v>
      </c>
      <c r="BO239" s="21">
        <v>2</v>
      </c>
    </row>
    <row r="240" spans="1:67" hidden="1" x14ac:dyDescent="0.25">
      <c r="A240" s="22"/>
      <c r="B240" s="21" t="s">
        <v>167</v>
      </c>
      <c r="C240" s="21" t="s">
        <v>1092</v>
      </c>
      <c r="D240" s="21" t="s">
        <v>1098</v>
      </c>
      <c r="E240" s="21" t="s">
        <v>190</v>
      </c>
      <c r="F240" s="21" t="s">
        <v>191</v>
      </c>
      <c r="G240" s="21" t="s">
        <v>1099</v>
      </c>
      <c r="H240" s="21">
        <v>2971</v>
      </c>
      <c r="I240" s="21">
        <v>2971</v>
      </c>
      <c r="J240" s="21" t="s">
        <v>168</v>
      </c>
      <c r="K240" s="21">
        <v>2971</v>
      </c>
      <c r="L240" s="21">
        <v>0</v>
      </c>
      <c r="M240" s="21">
        <v>2971</v>
      </c>
      <c r="N240" s="21" t="s">
        <v>611</v>
      </c>
      <c r="O240" s="21" t="s">
        <v>656</v>
      </c>
      <c r="P240" s="21" t="s">
        <v>656</v>
      </c>
      <c r="Q240" s="21" t="s">
        <v>1100</v>
      </c>
      <c r="R240" s="21" t="s">
        <v>1047</v>
      </c>
      <c r="S240" s="21" t="s">
        <v>635</v>
      </c>
      <c r="T240" s="21" t="s">
        <v>636</v>
      </c>
      <c r="U240" s="21" t="s">
        <v>1101</v>
      </c>
      <c r="V240" s="21">
        <v>276.48</v>
      </c>
      <c r="W240" s="21">
        <v>276.48</v>
      </c>
      <c r="X240" s="21" t="s">
        <v>1100</v>
      </c>
      <c r="Y240" s="21" t="s">
        <v>1047</v>
      </c>
      <c r="Z240" s="21" t="s">
        <v>189</v>
      </c>
      <c r="AA240" s="21" t="s">
        <v>189</v>
      </c>
      <c r="AB240" s="21"/>
      <c r="AC240" s="21" t="s">
        <v>189</v>
      </c>
      <c r="AD240" s="21" t="s">
        <v>189</v>
      </c>
      <c r="AE240" s="21">
        <v>0</v>
      </c>
      <c r="AF240" s="21">
        <v>0</v>
      </c>
      <c r="AG240" s="21">
        <v>0</v>
      </c>
      <c r="AH240" s="21">
        <v>0</v>
      </c>
      <c r="AI240" s="21">
        <v>0</v>
      </c>
      <c r="AJ240" s="21" t="s">
        <v>638</v>
      </c>
      <c r="AK240" s="21">
        <v>0</v>
      </c>
      <c r="AL240" s="21">
        <v>0</v>
      </c>
      <c r="AM240" s="21">
        <v>0</v>
      </c>
      <c r="AN240" s="21">
        <v>0</v>
      </c>
      <c r="AO240" s="21">
        <v>0</v>
      </c>
      <c r="AP240" s="21"/>
      <c r="AQ240" s="21">
        <v>0</v>
      </c>
      <c r="AR240" s="21">
        <v>0</v>
      </c>
      <c r="AS240" s="21">
        <v>4769640.37</v>
      </c>
      <c r="AT240" s="21" t="s">
        <v>188</v>
      </c>
      <c r="AU240" s="21" t="s">
        <v>152</v>
      </c>
      <c r="AV240" s="21" t="s">
        <v>152</v>
      </c>
      <c r="AW240" s="21" t="s">
        <v>639</v>
      </c>
      <c r="AX240" s="21" t="s">
        <v>640</v>
      </c>
      <c r="AY240" s="21">
        <v>0</v>
      </c>
      <c r="AZ240" s="21">
        <v>821422.07999999996</v>
      </c>
      <c r="BA240" s="21">
        <v>469</v>
      </c>
      <c r="BB240" s="21" t="s">
        <v>1092</v>
      </c>
      <c r="BC240" s="21" t="s">
        <v>176</v>
      </c>
      <c r="BD240" s="21" t="s">
        <v>641</v>
      </c>
      <c r="BE240" s="21" t="s">
        <v>641</v>
      </c>
      <c r="BF240" s="21">
        <v>9</v>
      </c>
      <c r="BG240" s="21">
        <v>73927.990000000005</v>
      </c>
      <c r="BH240" s="21">
        <v>9</v>
      </c>
      <c r="BI240" s="21">
        <v>73927.990000000005</v>
      </c>
      <c r="BJ240" s="21">
        <v>0</v>
      </c>
      <c r="BK240" s="21">
        <v>0</v>
      </c>
      <c r="BL240" s="21">
        <v>4769640.37</v>
      </c>
      <c r="BM240" s="21">
        <v>622168373006</v>
      </c>
      <c r="BN240" s="23">
        <v>46256</v>
      </c>
      <c r="BO240" s="21">
        <v>2971</v>
      </c>
    </row>
    <row r="241" spans="1:67" hidden="1" x14ac:dyDescent="0.25">
      <c r="A241" s="22"/>
      <c r="B241" s="21" t="s">
        <v>167</v>
      </c>
      <c r="C241" s="21" t="s">
        <v>1092</v>
      </c>
      <c r="D241" s="21" t="s">
        <v>1098</v>
      </c>
      <c r="E241" s="21" t="s">
        <v>186</v>
      </c>
      <c r="F241" s="21" t="s">
        <v>187</v>
      </c>
      <c r="G241" s="21" t="s">
        <v>1099</v>
      </c>
      <c r="H241" s="21">
        <v>6617</v>
      </c>
      <c r="I241" s="21">
        <v>6617</v>
      </c>
      <c r="J241" s="21" t="s">
        <v>168</v>
      </c>
      <c r="K241" s="21">
        <v>6617</v>
      </c>
      <c r="L241" s="21">
        <v>0</v>
      </c>
      <c r="M241" s="21">
        <v>6617</v>
      </c>
      <c r="N241" s="21" t="s">
        <v>611</v>
      </c>
      <c r="O241" s="21" t="s">
        <v>656</v>
      </c>
      <c r="P241" s="21" t="s">
        <v>656</v>
      </c>
      <c r="Q241" s="21" t="s">
        <v>1100</v>
      </c>
      <c r="R241" s="21" t="s">
        <v>1047</v>
      </c>
      <c r="S241" s="21" t="s">
        <v>635</v>
      </c>
      <c r="T241" s="21" t="s">
        <v>636</v>
      </c>
      <c r="U241" s="21" t="s">
        <v>1101</v>
      </c>
      <c r="V241" s="21">
        <v>213.33</v>
      </c>
      <c r="W241" s="21">
        <v>213.33</v>
      </c>
      <c r="X241" s="21" t="s">
        <v>1100</v>
      </c>
      <c r="Y241" s="21" t="s">
        <v>1047</v>
      </c>
      <c r="Z241" s="21" t="s">
        <v>189</v>
      </c>
      <c r="AA241" s="21" t="s">
        <v>189</v>
      </c>
      <c r="AB241" s="21"/>
      <c r="AC241" s="21" t="s">
        <v>189</v>
      </c>
      <c r="AD241" s="21" t="s">
        <v>189</v>
      </c>
      <c r="AE241" s="21">
        <v>0</v>
      </c>
      <c r="AF241" s="21">
        <v>0</v>
      </c>
      <c r="AG241" s="21">
        <v>0</v>
      </c>
      <c r="AH241" s="21">
        <v>0</v>
      </c>
      <c r="AI241" s="21">
        <v>0</v>
      </c>
      <c r="AJ241" s="21" t="s">
        <v>638</v>
      </c>
      <c r="AK241" s="21">
        <v>0</v>
      </c>
      <c r="AL241" s="21">
        <v>0</v>
      </c>
      <c r="AM241" s="21">
        <v>0</v>
      </c>
      <c r="AN241" s="21">
        <v>0</v>
      </c>
      <c r="AO241" s="21">
        <v>0</v>
      </c>
      <c r="AP241" s="21"/>
      <c r="AQ241" s="21">
        <v>0</v>
      </c>
      <c r="AR241" s="21">
        <v>0</v>
      </c>
      <c r="AS241" s="21">
        <v>4769640.37</v>
      </c>
      <c r="AT241" s="21" t="s">
        <v>188</v>
      </c>
      <c r="AU241" s="21" t="s">
        <v>152</v>
      </c>
      <c r="AV241" s="21" t="s">
        <v>152</v>
      </c>
      <c r="AW241" s="21" t="s">
        <v>639</v>
      </c>
      <c r="AX241" s="21" t="s">
        <v>640</v>
      </c>
      <c r="AY241" s="21">
        <v>0</v>
      </c>
      <c r="AZ241" s="21">
        <v>1411604.61</v>
      </c>
      <c r="BA241" s="21">
        <v>469</v>
      </c>
      <c r="BB241" s="21" t="s">
        <v>1092</v>
      </c>
      <c r="BC241" s="21" t="s">
        <v>176</v>
      </c>
      <c r="BD241" s="21" t="s">
        <v>641</v>
      </c>
      <c r="BE241" s="21" t="s">
        <v>641</v>
      </c>
      <c r="BF241" s="21">
        <v>9</v>
      </c>
      <c r="BG241" s="21">
        <v>127044.41</v>
      </c>
      <c r="BH241" s="21">
        <v>9</v>
      </c>
      <c r="BI241" s="21">
        <v>127044.41</v>
      </c>
      <c r="BJ241" s="21">
        <v>0</v>
      </c>
      <c r="BK241" s="21">
        <v>0</v>
      </c>
      <c r="BL241" s="21">
        <v>0</v>
      </c>
      <c r="BM241" s="21">
        <v>622168373006</v>
      </c>
      <c r="BN241" s="23">
        <v>46256</v>
      </c>
      <c r="BO241" s="21">
        <v>6617</v>
      </c>
    </row>
    <row r="242" spans="1:67" hidden="1" x14ac:dyDescent="0.25">
      <c r="A242" s="22"/>
      <c r="B242" s="21" t="s">
        <v>167</v>
      </c>
      <c r="C242" s="21" t="s">
        <v>1092</v>
      </c>
      <c r="D242" s="21" t="s">
        <v>1098</v>
      </c>
      <c r="E242" s="21" t="s">
        <v>186</v>
      </c>
      <c r="F242" s="21" t="s">
        <v>187</v>
      </c>
      <c r="G242" s="21" t="s">
        <v>1099</v>
      </c>
      <c r="H242" s="21">
        <v>1705</v>
      </c>
      <c r="I242" s="21">
        <v>1705</v>
      </c>
      <c r="J242" s="21" t="s">
        <v>168</v>
      </c>
      <c r="K242" s="21">
        <v>1705</v>
      </c>
      <c r="L242" s="21">
        <v>0</v>
      </c>
      <c r="M242" s="21">
        <v>1705</v>
      </c>
      <c r="N242" s="21" t="s">
        <v>611</v>
      </c>
      <c r="O242" s="21" t="s">
        <v>656</v>
      </c>
      <c r="P242" s="21" t="s">
        <v>656</v>
      </c>
      <c r="Q242" s="21" t="s">
        <v>1100</v>
      </c>
      <c r="R242" s="21" t="s">
        <v>1047</v>
      </c>
      <c r="S242" s="21" t="s">
        <v>635</v>
      </c>
      <c r="T242" s="21" t="s">
        <v>636</v>
      </c>
      <c r="U242" s="21" t="s">
        <v>1101</v>
      </c>
      <c r="V242" s="21">
        <v>218.3</v>
      </c>
      <c r="W242" s="21">
        <v>218.3</v>
      </c>
      <c r="X242" s="21" t="s">
        <v>1100</v>
      </c>
      <c r="Y242" s="21" t="s">
        <v>1047</v>
      </c>
      <c r="Z242" s="21" t="s">
        <v>189</v>
      </c>
      <c r="AA242" s="21" t="s">
        <v>189</v>
      </c>
      <c r="AB242" s="21"/>
      <c r="AC242" s="21" t="s">
        <v>189</v>
      </c>
      <c r="AD242" s="21" t="s">
        <v>189</v>
      </c>
      <c r="AE242" s="21">
        <v>0</v>
      </c>
      <c r="AF242" s="21">
        <v>0</v>
      </c>
      <c r="AG242" s="21">
        <v>0</v>
      </c>
      <c r="AH242" s="21">
        <v>0</v>
      </c>
      <c r="AI242" s="21">
        <v>0</v>
      </c>
      <c r="AJ242" s="21" t="s">
        <v>638</v>
      </c>
      <c r="AK242" s="21">
        <v>0</v>
      </c>
      <c r="AL242" s="21">
        <v>0</v>
      </c>
      <c r="AM242" s="21">
        <v>0</v>
      </c>
      <c r="AN242" s="21">
        <v>0</v>
      </c>
      <c r="AO242" s="21">
        <v>0</v>
      </c>
      <c r="AP242" s="21"/>
      <c r="AQ242" s="21">
        <v>0</v>
      </c>
      <c r="AR242" s="21">
        <v>0</v>
      </c>
      <c r="AS242" s="21">
        <v>4769640.37</v>
      </c>
      <c r="AT242" s="21" t="s">
        <v>188</v>
      </c>
      <c r="AU242" s="21" t="s">
        <v>152</v>
      </c>
      <c r="AV242" s="21" t="s">
        <v>152</v>
      </c>
      <c r="AW242" s="21" t="s">
        <v>639</v>
      </c>
      <c r="AX242" s="21" t="s">
        <v>640</v>
      </c>
      <c r="AY242" s="21">
        <v>0</v>
      </c>
      <c r="AZ242" s="21">
        <v>372201.5</v>
      </c>
      <c r="BA242" s="21">
        <v>469</v>
      </c>
      <c r="BB242" s="21" t="s">
        <v>1092</v>
      </c>
      <c r="BC242" s="21" t="s">
        <v>176</v>
      </c>
      <c r="BD242" s="21" t="s">
        <v>641</v>
      </c>
      <c r="BE242" s="21" t="s">
        <v>641</v>
      </c>
      <c r="BF242" s="21">
        <v>9</v>
      </c>
      <c r="BG242" s="21">
        <v>33498.14</v>
      </c>
      <c r="BH242" s="21">
        <v>9</v>
      </c>
      <c r="BI242" s="21">
        <v>33498.14</v>
      </c>
      <c r="BJ242" s="21">
        <v>0</v>
      </c>
      <c r="BK242" s="21">
        <v>0</v>
      </c>
      <c r="BL242" s="21">
        <v>0</v>
      </c>
      <c r="BM242" s="21">
        <v>622168373006</v>
      </c>
      <c r="BN242" s="23">
        <v>46256</v>
      </c>
      <c r="BO242" s="21">
        <v>1705</v>
      </c>
    </row>
    <row r="243" spans="1:67" hidden="1" x14ac:dyDescent="0.25">
      <c r="A243" s="22"/>
      <c r="B243" s="21" t="s">
        <v>167</v>
      </c>
      <c r="C243" s="21" t="s">
        <v>1092</v>
      </c>
      <c r="D243" s="21" t="s">
        <v>1098</v>
      </c>
      <c r="E243" s="21" t="s">
        <v>186</v>
      </c>
      <c r="F243" s="21" t="s">
        <v>187</v>
      </c>
      <c r="G243" s="21" t="s">
        <v>1099</v>
      </c>
      <c r="H243" s="21">
        <v>1326</v>
      </c>
      <c r="I243" s="21">
        <v>1326</v>
      </c>
      <c r="J243" s="21" t="s">
        <v>168</v>
      </c>
      <c r="K243" s="21">
        <v>1326</v>
      </c>
      <c r="L243" s="21">
        <v>0</v>
      </c>
      <c r="M243" s="21">
        <v>1326</v>
      </c>
      <c r="N243" s="21" t="s">
        <v>611</v>
      </c>
      <c r="O243" s="21" t="s">
        <v>656</v>
      </c>
      <c r="P243" s="21" t="s">
        <v>656</v>
      </c>
      <c r="Q243" s="21" t="s">
        <v>1100</v>
      </c>
      <c r="R243" s="21" t="s">
        <v>1047</v>
      </c>
      <c r="S243" s="21" t="s">
        <v>635</v>
      </c>
      <c r="T243" s="21" t="s">
        <v>636</v>
      </c>
      <c r="U243" s="21" t="s">
        <v>1101</v>
      </c>
      <c r="V243" s="21">
        <v>212.49</v>
      </c>
      <c r="W243" s="21">
        <v>212.49</v>
      </c>
      <c r="X243" s="21" t="s">
        <v>1100</v>
      </c>
      <c r="Y243" s="21" t="s">
        <v>1047</v>
      </c>
      <c r="Z243" s="21" t="s">
        <v>189</v>
      </c>
      <c r="AA243" s="21" t="s">
        <v>189</v>
      </c>
      <c r="AB243" s="21"/>
      <c r="AC243" s="21" t="s">
        <v>189</v>
      </c>
      <c r="AD243" s="21" t="s">
        <v>189</v>
      </c>
      <c r="AE243" s="21">
        <v>0</v>
      </c>
      <c r="AF243" s="21">
        <v>0</v>
      </c>
      <c r="AG243" s="21">
        <v>0</v>
      </c>
      <c r="AH243" s="21">
        <v>0</v>
      </c>
      <c r="AI243" s="21">
        <v>0</v>
      </c>
      <c r="AJ243" s="21" t="s">
        <v>638</v>
      </c>
      <c r="AK243" s="21">
        <v>0</v>
      </c>
      <c r="AL243" s="21">
        <v>0</v>
      </c>
      <c r="AM243" s="21">
        <v>0</v>
      </c>
      <c r="AN243" s="21">
        <v>0</v>
      </c>
      <c r="AO243" s="21">
        <v>0</v>
      </c>
      <c r="AP243" s="21"/>
      <c r="AQ243" s="21">
        <v>0</v>
      </c>
      <c r="AR243" s="21">
        <v>0</v>
      </c>
      <c r="AS243" s="21">
        <v>4769640.37</v>
      </c>
      <c r="AT243" s="21" t="s">
        <v>188</v>
      </c>
      <c r="AU243" s="21" t="s">
        <v>152</v>
      </c>
      <c r="AV243" s="21" t="s">
        <v>152</v>
      </c>
      <c r="AW243" s="21" t="s">
        <v>639</v>
      </c>
      <c r="AX243" s="21" t="s">
        <v>640</v>
      </c>
      <c r="AY243" s="21">
        <v>0</v>
      </c>
      <c r="AZ243" s="21">
        <v>281761.74</v>
      </c>
      <c r="BA243" s="21">
        <v>469</v>
      </c>
      <c r="BB243" s="21" t="s">
        <v>1092</v>
      </c>
      <c r="BC243" s="21" t="s">
        <v>176</v>
      </c>
      <c r="BD243" s="21" t="s">
        <v>641</v>
      </c>
      <c r="BE243" s="21" t="s">
        <v>641</v>
      </c>
      <c r="BF243" s="21">
        <v>9</v>
      </c>
      <c r="BG243" s="21">
        <v>25358.560000000001</v>
      </c>
      <c r="BH243" s="21">
        <v>9</v>
      </c>
      <c r="BI243" s="21">
        <v>25358.560000000001</v>
      </c>
      <c r="BJ243" s="21">
        <v>0</v>
      </c>
      <c r="BK243" s="21">
        <v>0</v>
      </c>
      <c r="BL243" s="21">
        <v>0</v>
      </c>
      <c r="BM243" s="21">
        <v>622168373006</v>
      </c>
      <c r="BN243" s="23">
        <v>46256</v>
      </c>
      <c r="BO243" s="21">
        <v>1326</v>
      </c>
    </row>
    <row r="244" spans="1:67" hidden="1" x14ac:dyDescent="0.25">
      <c r="A244" s="22"/>
      <c r="B244" s="21" t="s">
        <v>167</v>
      </c>
      <c r="C244" s="21" t="s">
        <v>1092</v>
      </c>
      <c r="D244" s="21" t="s">
        <v>1098</v>
      </c>
      <c r="E244" s="21" t="s">
        <v>186</v>
      </c>
      <c r="F244" s="21" t="s">
        <v>187</v>
      </c>
      <c r="G244" s="21" t="s">
        <v>1099</v>
      </c>
      <c r="H244" s="21">
        <v>3692</v>
      </c>
      <c r="I244" s="21">
        <v>3692</v>
      </c>
      <c r="J244" s="21" t="s">
        <v>168</v>
      </c>
      <c r="K244" s="21">
        <v>3692</v>
      </c>
      <c r="L244" s="21">
        <v>0</v>
      </c>
      <c r="M244" s="21">
        <v>3692</v>
      </c>
      <c r="N244" s="21" t="s">
        <v>611</v>
      </c>
      <c r="O244" s="21" t="s">
        <v>656</v>
      </c>
      <c r="P244" s="21" t="s">
        <v>656</v>
      </c>
      <c r="Q244" s="21" t="s">
        <v>1100</v>
      </c>
      <c r="R244" s="21" t="s">
        <v>1047</v>
      </c>
      <c r="S244" s="21" t="s">
        <v>635</v>
      </c>
      <c r="T244" s="21" t="s">
        <v>636</v>
      </c>
      <c r="U244" s="21" t="s">
        <v>1101</v>
      </c>
      <c r="V244" s="21">
        <v>210.38</v>
      </c>
      <c r="W244" s="21">
        <v>210.38</v>
      </c>
      <c r="X244" s="21" t="s">
        <v>1100</v>
      </c>
      <c r="Y244" s="21" t="s">
        <v>1047</v>
      </c>
      <c r="Z244" s="21" t="s">
        <v>189</v>
      </c>
      <c r="AA244" s="21" t="s">
        <v>189</v>
      </c>
      <c r="AB244" s="21"/>
      <c r="AC244" s="21" t="s">
        <v>189</v>
      </c>
      <c r="AD244" s="21" t="s">
        <v>189</v>
      </c>
      <c r="AE244" s="21">
        <v>0</v>
      </c>
      <c r="AF244" s="21">
        <v>0</v>
      </c>
      <c r="AG244" s="21">
        <v>0</v>
      </c>
      <c r="AH244" s="21">
        <v>0</v>
      </c>
      <c r="AI244" s="21">
        <v>0</v>
      </c>
      <c r="AJ244" s="21" t="s">
        <v>638</v>
      </c>
      <c r="AK244" s="21">
        <v>0</v>
      </c>
      <c r="AL244" s="21">
        <v>0</v>
      </c>
      <c r="AM244" s="21">
        <v>0</v>
      </c>
      <c r="AN244" s="21">
        <v>0</v>
      </c>
      <c r="AO244" s="21">
        <v>0</v>
      </c>
      <c r="AP244" s="21"/>
      <c r="AQ244" s="21">
        <v>0</v>
      </c>
      <c r="AR244" s="21">
        <v>0</v>
      </c>
      <c r="AS244" s="21">
        <v>4769640.37</v>
      </c>
      <c r="AT244" s="21" t="s">
        <v>188</v>
      </c>
      <c r="AU244" s="21" t="s">
        <v>152</v>
      </c>
      <c r="AV244" s="21" t="s">
        <v>152</v>
      </c>
      <c r="AW244" s="21" t="s">
        <v>639</v>
      </c>
      <c r="AX244" s="21" t="s">
        <v>640</v>
      </c>
      <c r="AY244" s="21">
        <v>0</v>
      </c>
      <c r="AZ244" s="21">
        <v>776722.96</v>
      </c>
      <c r="BA244" s="21">
        <v>469</v>
      </c>
      <c r="BB244" s="21" t="s">
        <v>1092</v>
      </c>
      <c r="BC244" s="21" t="s">
        <v>176</v>
      </c>
      <c r="BD244" s="21" t="s">
        <v>641</v>
      </c>
      <c r="BE244" s="21" t="s">
        <v>641</v>
      </c>
      <c r="BF244" s="21">
        <v>9</v>
      </c>
      <c r="BG244" s="21">
        <v>69905.070000000007</v>
      </c>
      <c r="BH244" s="21">
        <v>9</v>
      </c>
      <c r="BI244" s="21">
        <v>69905.070000000007</v>
      </c>
      <c r="BJ244" s="21">
        <v>0</v>
      </c>
      <c r="BK244" s="21">
        <v>0</v>
      </c>
      <c r="BL244" s="21">
        <v>0</v>
      </c>
      <c r="BM244" s="21">
        <v>622168373006</v>
      </c>
      <c r="BN244" s="23">
        <v>46256</v>
      </c>
      <c r="BO244" s="21">
        <v>3692</v>
      </c>
    </row>
    <row r="245" spans="1:67" hidden="1" x14ac:dyDescent="0.25">
      <c r="A245" s="22"/>
      <c r="B245" s="21" t="s">
        <v>167</v>
      </c>
      <c r="C245" s="21" t="s">
        <v>1092</v>
      </c>
      <c r="D245" s="21" t="s">
        <v>1098</v>
      </c>
      <c r="E245" s="21" t="s">
        <v>186</v>
      </c>
      <c r="F245" s="21" t="s">
        <v>187</v>
      </c>
      <c r="G245" s="21" t="s">
        <v>1099</v>
      </c>
      <c r="H245" s="21">
        <v>1770</v>
      </c>
      <c r="I245" s="21">
        <v>1770</v>
      </c>
      <c r="J245" s="21" t="s">
        <v>168</v>
      </c>
      <c r="K245" s="21">
        <v>1770</v>
      </c>
      <c r="L245" s="21">
        <v>0</v>
      </c>
      <c r="M245" s="21">
        <v>1770</v>
      </c>
      <c r="N245" s="21" t="s">
        <v>611</v>
      </c>
      <c r="O245" s="21" t="s">
        <v>656</v>
      </c>
      <c r="P245" s="21" t="s">
        <v>656</v>
      </c>
      <c r="Q245" s="21" t="s">
        <v>1100</v>
      </c>
      <c r="R245" s="21" t="s">
        <v>1047</v>
      </c>
      <c r="S245" s="21" t="s">
        <v>635</v>
      </c>
      <c r="T245" s="21" t="s">
        <v>636</v>
      </c>
      <c r="U245" s="21" t="s">
        <v>1101</v>
      </c>
      <c r="V245" s="21">
        <v>213.76</v>
      </c>
      <c r="W245" s="21">
        <v>213.76</v>
      </c>
      <c r="X245" s="21" t="s">
        <v>1100</v>
      </c>
      <c r="Y245" s="21" t="s">
        <v>1047</v>
      </c>
      <c r="Z245" s="21" t="s">
        <v>189</v>
      </c>
      <c r="AA245" s="21" t="s">
        <v>189</v>
      </c>
      <c r="AB245" s="21"/>
      <c r="AC245" s="21" t="s">
        <v>189</v>
      </c>
      <c r="AD245" s="21" t="s">
        <v>189</v>
      </c>
      <c r="AE245" s="21">
        <v>0</v>
      </c>
      <c r="AF245" s="21">
        <v>0</v>
      </c>
      <c r="AG245" s="21">
        <v>0</v>
      </c>
      <c r="AH245" s="21">
        <v>0</v>
      </c>
      <c r="AI245" s="21">
        <v>0</v>
      </c>
      <c r="AJ245" s="21" t="s">
        <v>638</v>
      </c>
      <c r="AK245" s="21">
        <v>0</v>
      </c>
      <c r="AL245" s="21">
        <v>0</v>
      </c>
      <c r="AM245" s="21">
        <v>0</v>
      </c>
      <c r="AN245" s="21">
        <v>0</v>
      </c>
      <c r="AO245" s="21">
        <v>0</v>
      </c>
      <c r="AP245" s="21"/>
      <c r="AQ245" s="21">
        <v>0</v>
      </c>
      <c r="AR245" s="21">
        <v>0</v>
      </c>
      <c r="AS245" s="21">
        <v>4769640.37</v>
      </c>
      <c r="AT245" s="21" t="s">
        <v>188</v>
      </c>
      <c r="AU245" s="21" t="s">
        <v>152</v>
      </c>
      <c r="AV245" s="21" t="s">
        <v>152</v>
      </c>
      <c r="AW245" s="21" t="s">
        <v>639</v>
      </c>
      <c r="AX245" s="21" t="s">
        <v>640</v>
      </c>
      <c r="AY245" s="21">
        <v>0</v>
      </c>
      <c r="AZ245" s="21">
        <v>378355.20000000001</v>
      </c>
      <c r="BA245" s="21">
        <v>469</v>
      </c>
      <c r="BB245" s="21" t="s">
        <v>1092</v>
      </c>
      <c r="BC245" s="21" t="s">
        <v>176</v>
      </c>
      <c r="BD245" s="21" t="s">
        <v>641</v>
      </c>
      <c r="BE245" s="21" t="s">
        <v>641</v>
      </c>
      <c r="BF245" s="21">
        <v>9</v>
      </c>
      <c r="BG245" s="21">
        <v>34051.97</v>
      </c>
      <c r="BH245" s="21">
        <v>9</v>
      </c>
      <c r="BI245" s="21">
        <v>34051.97</v>
      </c>
      <c r="BJ245" s="21">
        <v>0</v>
      </c>
      <c r="BK245" s="21">
        <v>0</v>
      </c>
      <c r="BL245" s="21">
        <v>0</v>
      </c>
      <c r="BM245" s="21">
        <v>622168373006</v>
      </c>
      <c r="BN245" s="23">
        <v>46256</v>
      </c>
      <c r="BO245" s="21">
        <v>1770</v>
      </c>
    </row>
    <row r="246" spans="1:67" hidden="1" x14ac:dyDescent="0.25">
      <c r="A246" s="22"/>
      <c r="B246" s="21" t="s">
        <v>167</v>
      </c>
      <c r="C246" s="21" t="s">
        <v>1092</v>
      </c>
      <c r="D246" s="21" t="s">
        <v>1102</v>
      </c>
      <c r="E246" s="21" t="s">
        <v>182</v>
      </c>
      <c r="F246" s="21" t="s">
        <v>183</v>
      </c>
      <c r="G246" s="21" t="s">
        <v>1103</v>
      </c>
      <c r="H246" s="21">
        <v>481.8</v>
      </c>
      <c r="I246" s="21">
        <v>481.8</v>
      </c>
      <c r="J246" s="21" t="s">
        <v>168</v>
      </c>
      <c r="K246" s="21">
        <v>481.8</v>
      </c>
      <c r="L246" s="21">
        <v>0</v>
      </c>
      <c r="M246" s="21">
        <v>481.8</v>
      </c>
      <c r="N246" s="21" t="s">
        <v>1104</v>
      </c>
      <c r="O246" s="21" t="s">
        <v>677</v>
      </c>
      <c r="P246" s="21" t="s">
        <v>677</v>
      </c>
      <c r="Q246" s="21" t="s">
        <v>1105</v>
      </c>
      <c r="R246" s="21" t="s">
        <v>1067</v>
      </c>
      <c r="S246" s="21" t="s">
        <v>635</v>
      </c>
      <c r="T246" s="21" t="s">
        <v>636</v>
      </c>
      <c r="U246" s="21" t="s">
        <v>1106</v>
      </c>
      <c r="V246" s="21">
        <v>188.4</v>
      </c>
      <c r="W246" s="21">
        <v>188.4</v>
      </c>
      <c r="X246" s="21" t="s">
        <v>1105</v>
      </c>
      <c r="Y246" s="21" t="s">
        <v>1067</v>
      </c>
      <c r="Z246" s="21" t="s">
        <v>189</v>
      </c>
      <c r="AA246" s="21" t="s">
        <v>189</v>
      </c>
      <c r="AB246" s="21"/>
      <c r="AC246" s="21" t="s">
        <v>1107</v>
      </c>
      <c r="AD246" s="21">
        <v>605</v>
      </c>
      <c r="AE246" s="21">
        <v>0</v>
      </c>
      <c r="AF246" s="21">
        <v>0</v>
      </c>
      <c r="AG246" s="21">
        <v>0</v>
      </c>
      <c r="AH246" s="21">
        <v>0</v>
      </c>
      <c r="AI246" s="21">
        <v>0</v>
      </c>
      <c r="AJ246" s="21" t="s">
        <v>638</v>
      </c>
      <c r="AK246" s="21">
        <v>0</v>
      </c>
      <c r="AL246" s="21">
        <v>0</v>
      </c>
      <c r="AM246" s="21">
        <v>0</v>
      </c>
      <c r="AN246" s="21">
        <v>0</v>
      </c>
      <c r="AO246" s="21">
        <v>0</v>
      </c>
      <c r="AP246" s="21"/>
      <c r="AQ246" s="21">
        <v>0</v>
      </c>
      <c r="AR246" s="21">
        <v>0</v>
      </c>
      <c r="AS246" s="21">
        <v>320513.59999999998</v>
      </c>
      <c r="AT246" s="21" t="s">
        <v>169</v>
      </c>
      <c r="AU246" s="21" t="s">
        <v>179</v>
      </c>
      <c r="AV246" s="21" t="s">
        <v>155</v>
      </c>
      <c r="AW246" s="21" t="s">
        <v>639</v>
      </c>
      <c r="AX246" s="21" t="s">
        <v>640</v>
      </c>
      <c r="AY246" s="21">
        <v>0</v>
      </c>
      <c r="AZ246" s="21">
        <v>90771.12</v>
      </c>
      <c r="BA246" s="21">
        <v>471</v>
      </c>
      <c r="BB246" s="21" t="s">
        <v>1092</v>
      </c>
      <c r="BC246" s="21" t="s">
        <v>171</v>
      </c>
      <c r="BD246" s="21" t="s">
        <v>641</v>
      </c>
      <c r="BE246" s="21" t="s">
        <v>641</v>
      </c>
      <c r="BF246" s="21">
        <v>9</v>
      </c>
      <c r="BG246" s="21">
        <v>8169.4</v>
      </c>
      <c r="BH246" s="21">
        <v>9</v>
      </c>
      <c r="BI246" s="21">
        <v>8169.4</v>
      </c>
      <c r="BJ246" s="21">
        <v>0</v>
      </c>
      <c r="BK246" s="21">
        <v>0</v>
      </c>
      <c r="BL246" s="21">
        <v>320513.59999999998</v>
      </c>
      <c r="BM246" s="21">
        <v>682168772102</v>
      </c>
      <c r="BN246" s="23">
        <v>46257</v>
      </c>
      <c r="BO246" s="21">
        <v>481.8</v>
      </c>
    </row>
    <row r="247" spans="1:67" hidden="1" x14ac:dyDescent="0.25">
      <c r="A247" s="22"/>
      <c r="B247" s="21" t="s">
        <v>167</v>
      </c>
      <c r="C247" s="21" t="s">
        <v>1092</v>
      </c>
      <c r="D247" s="21" t="s">
        <v>1102</v>
      </c>
      <c r="E247" s="21" t="s">
        <v>744</v>
      </c>
      <c r="F247" s="21" t="s">
        <v>745</v>
      </c>
      <c r="G247" s="21" t="s">
        <v>1103</v>
      </c>
      <c r="H247" s="21">
        <v>808</v>
      </c>
      <c r="I247" s="21">
        <v>808</v>
      </c>
      <c r="J247" s="21" t="s">
        <v>168</v>
      </c>
      <c r="K247" s="21">
        <v>808</v>
      </c>
      <c r="L247" s="21">
        <v>0</v>
      </c>
      <c r="M247" s="21">
        <v>808</v>
      </c>
      <c r="N247" s="21" t="s">
        <v>1104</v>
      </c>
      <c r="O247" s="21" t="s">
        <v>677</v>
      </c>
      <c r="P247" s="21" t="s">
        <v>677</v>
      </c>
      <c r="Q247" s="21" t="s">
        <v>1105</v>
      </c>
      <c r="R247" s="21" t="s">
        <v>1067</v>
      </c>
      <c r="S247" s="21" t="s">
        <v>635</v>
      </c>
      <c r="T247" s="21" t="s">
        <v>636</v>
      </c>
      <c r="U247" s="21" t="s">
        <v>1106</v>
      </c>
      <c r="V247" s="21">
        <v>159.4</v>
      </c>
      <c r="W247" s="21">
        <v>159.4</v>
      </c>
      <c r="X247" s="21" t="s">
        <v>1105</v>
      </c>
      <c r="Y247" s="21" t="s">
        <v>1067</v>
      </c>
      <c r="Z247" s="21" t="s">
        <v>189</v>
      </c>
      <c r="AA247" s="21" t="s">
        <v>189</v>
      </c>
      <c r="AB247" s="21"/>
      <c r="AC247" s="21" t="s">
        <v>1107</v>
      </c>
      <c r="AD247" s="21">
        <v>605</v>
      </c>
      <c r="AE247" s="21">
        <v>0</v>
      </c>
      <c r="AF247" s="21">
        <v>0</v>
      </c>
      <c r="AG247" s="21">
        <v>0</v>
      </c>
      <c r="AH247" s="21">
        <v>0</v>
      </c>
      <c r="AI247" s="21">
        <v>0</v>
      </c>
      <c r="AJ247" s="21" t="s">
        <v>638</v>
      </c>
      <c r="AK247" s="21">
        <v>0</v>
      </c>
      <c r="AL247" s="21">
        <v>0</v>
      </c>
      <c r="AM247" s="21">
        <v>0</v>
      </c>
      <c r="AN247" s="21">
        <v>0</v>
      </c>
      <c r="AO247" s="21">
        <v>0</v>
      </c>
      <c r="AP247" s="21"/>
      <c r="AQ247" s="21">
        <v>0</v>
      </c>
      <c r="AR247" s="21">
        <v>0</v>
      </c>
      <c r="AS247" s="21">
        <v>320513.59999999998</v>
      </c>
      <c r="AT247" s="21" t="s">
        <v>169</v>
      </c>
      <c r="AU247" s="21" t="s">
        <v>170</v>
      </c>
      <c r="AV247" s="21" t="s">
        <v>157</v>
      </c>
      <c r="AW247" s="21" t="s">
        <v>639</v>
      </c>
      <c r="AX247" s="21" t="s">
        <v>640</v>
      </c>
      <c r="AY247" s="21">
        <v>0</v>
      </c>
      <c r="AZ247" s="21">
        <v>128795.2</v>
      </c>
      <c r="BA247" s="21">
        <v>471</v>
      </c>
      <c r="BB247" s="21" t="s">
        <v>1092</v>
      </c>
      <c r="BC247" s="21" t="s">
        <v>171</v>
      </c>
      <c r="BD247" s="21" t="s">
        <v>641</v>
      </c>
      <c r="BE247" s="21" t="s">
        <v>641</v>
      </c>
      <c r="BF247" s="21">
        <v>2.5</v>
      </c>
      <c r="BG247" s="21">
        <v>3219.88</v>
      </c>
      <c r="BH247" s="21">
        <v>2.5</v>
      </c>
      <c r="BI247" s="21">
        <v>3219.88</v>
      </c>
      <c r="BJ247" s="21">
        <v>0</v>
      </c>
      <c r="BK247" s="21">
        <v>0</v>
      </c>
      <c r="BL247" s="21">
        <v>0</v>
      </c>
      <c r="BM247" s="21">
        <v>682168772102</v>
      </c>
      <c r="BN247" s="23">
        <v>46257</v>
      </c>
      <c r="BO247" s="21">
        <v>808</v>
      </c>
    </row>
    <row r="248" spans="1:67" hidden="1" x14ac:dyDescent="0.25">
      <c r="A248" s="22"/>
      <c r="B248" s="21" t="s">
        <v>167</v>
      </c>
      <c r="C248" s="21" t="s">
        <v>1092</v>
      </c>
      <c r="D248" s="21" t="s">
        <v>1102</v>
      </c>
      <c r="E248" s="21" t="s">
        <v>318</v>
      </c>
      <c r="F248" s="21" t="s">
        <v>312</v>
      </c>
      <c r="G248" s="21" t="s">
        <v>1103</v>
      </c>
      <c r="H248" s="21">
        <v>476</v>
      </c>
      <c r="I248" s="21">
        <v>476</v>
      </c>
      <c r="J248" s="21" t="s">
        <v>168</v>
      </c>
      <c r="K248" s="21">
        <v>476</v>
      </c>
      <c r="L248" s="21">
        <v>0</v>
      </c>
      <c r="M248" s="21">
        <v>476</v>
      </c>
      <c r="N248" s="21" t="s">
        <v>1104</v>
      </c>
      <c r="O248" s="21" t="s">
        <v>677</v>
      </c>
      <c r="P248" s="21" t="s">
        <v>677</v>
      </c>
      <c r="Q248" s="21" t="s">
        <v>1105</v>
      </c>
      <c r="R248" s="21" t="s">
        <v>1067</v>
      </c>
      <c r="S248" s="21" t="s">
        <v>635</v>
      </c>
      <c r="T248" s="21" t="s">
        <v>636</v>
      </c>
      <c r="U248" s="21" t="s">
        <v>1106</v>
      </c>
      <c r="V248" s="21">
        <v>156.4</v>
      </c>
      <c r="W248" s="21">
        <v>156.4</v>
      </c>
      <c r="X248" s="21" t="s">
        <v>1105</v>
      </c>
      <c r="Y248" s="21" t="s">
        <v>1067</v>
      </c>
      <c r="Z248" s="21" t="s">
        <v>189</v>
      </c>
      <c r="AA248" s="21" t="s">
        <v>189</v>
      </c>
      <c r="AB248" s="21"/>
      <c r="AC248" s="21" t="s">
        <v>1107</v>
      </c>
      <c r="AD248" s="21">
        <v>605</v>
      </c>
      <c r="AE248" s="21">
        <v>0</v>
      </c>
      <c r="AF248" s="21">
        <v>0</v>
      </c>
      <c r="AG248" s="21">
        <v>0</v>
      </c>
      <c r="AH248" s="21">
        <v>0</v>
      </c>
      <c r="AI248" s="21">
        <v>0</v>
      </c>
      <c r="AJ248" s="21" t="s">
        <v>638</v>
      </c>
      <c r="AK248" s="21">
        <v>0</v>
      </c>
      <c r="AL248" s="21">
        <v>0</v>
      </c>
      <c r="AM248" s="21">
        <v>0</v>
      </c>
      <c r="AN248" s="21">
        <v>0</v>
      </c>
      <c r="AO248" s="21">
        <v>0</v>
      </c>
      <c r="AP248" s="21"/>
      <c r="AQ248" s="21">
        <v>0</v>
      </c>
      <c r="AR248" s="21">
        <v>0</v>
      </c>
      <c r="AS248" s="21">
        <v>320513.59999999998</v>
      </c>
      <c r="AT248" s="21" t="s">
        <v>169</v>
      </c>
      <c r="AU248" s="21" t="s">
        <v>170</v>
      </c>
      <c r="AV248" s="21" t="s">
        <v>157</v>
      </c>
      <c r="AW248" s="21" t="s">
        <v>639</v>
      </c>
      <c r="AX248" s="21" t="s">
        <v>640</v>
      </c>
      <c r="AY248" s="21">
        <v>0</v>
      </c>
      <c r="AZ248" s="21">
        <v>74446.399999999994</v>
      </c>
      <c r="BA248" s="21">
        <v>471</v>
      </c>
      <c r="BB248" s="21" t="s">
        <v>1092</v>
      </c>
      <c r="BC248" s="21" t="s">
        <v>171</v>
      </c>
      <c r="BD248" s="21" t="s">
        <v>641</v>
      </c>
      <c r="BE248" s="21" t="s">
        <v>641</v>
      </c>
      <c r="BF248" s="21">
        <v>2.5</v>
      </c>
      <c r="BG248" s="21">
        <v>1861.16</v>
      </c>
      <c r="BH248" s="21">
        <v>2.5</v>
      </c>
      <c r="BI248" s="21">
        <v>1861.16</v>
      </c>
      <c r="BJ248" s="21">
        <v>0</v>
      </c>
      <c r="BK248" s="21">
        <v>0</v>
      </c>
      <c r="BL248" s="21">
        <v>0</v>
      </c>
      <c r="BM248" s="21">
        <v>682168772102</v>
      </c>
      <c r="BN248" s="23">
        <v>46257</v>
      </c>
      <c r="BO248" s="21">
        <v>476</v>
      </c>
    </row>
    <row r="249" spans="1:67" hidden="1" x14ac:dyDescent="0.25">
      <c r="A249" s="22"/>
      <c r="B249" s="21" t="s">
        <v>167</v>
      </c>
      <c r="C249" s="21" t="s">
        <v>1092</v>
      </c>
      <c r="D249" s="21" t="s">
        <v>1108</v>
      </c>
      <c r="E249" s="21" t="s">
        <v>796</v>
      </c>
      <c r="F249" s="21" t="s">
        <v>797</v>
      </c>
      <c r="G249" s="21" t="s">
        <v>1109</v>
      </c>
      <c r="H249" s="21">
        <v>3000</v>
      </c>
      <c r="I249" s="21">
        <v>3000</v>
      </c>
      <c r="J249" s="21" t="s">
        <v>168</v>
      </c>
      <c r="K249" s="21">
        <v>3000</v>
      </c>
      <c r="L249" s="21">
        <v>0</v>
      </c>
      <c r="M249" s="21">
        <v>3000</v>
      </c>
      <c r="N249" s="21" t="s">
        <v>174</v>
      </c>
      <c r="O249" s="21" t="s">
        <v>633</v>
      </c>
      <c r="P249" s="21" t="s">
        <v>633</v>
      </c>
      <c r="Q249" s="21" t="s">
        <v>1110</v>
      </c>
      <c r="R249" s="21" t="s">
        <v>1092</v>
      </c>
      <c r="S249" s="21" t="s">
        <v>635</v>
      </c>
      <c r="T249" s="21" t="s">
        <v>636</v>
      </c>
      <c r="U249" s="21" t="s">
        <v>1111</v>
      </c>
      <c r="V249" s="21">
        <v>40.5</v>
      </c>
      <c r="W249" s="21">
        <v>40.5</v>
      </c>
      <c r="X249" s="21" t="s">
        <v>1110</v>
      </c>
      <c r="Y249" s="21" t="s">
        <v>1092</v>
      </c>
      <c r="Z249" s="21" t="s">
        <v>189</v>
      </c>
      <c r="AA249" s="21" t="s">
        <v>189</v>
      </c>
      <c r="AB249" s="21"/>
      <c r="AC249" s="21" t="s">
        <v>189</v>
      </c>
      <c r="AD249" s="21" t="s">
        <v>189</v>
      </c>
      <c r="AE249" s="21">
        <v>0</v>
      </c>
      <c r="AF249" s="21">
        <v>0</v>
      </c>
      <c r="AG249" s="21">
        <v>0</v>
      </c>
      <c r="AH249" s="21">
        <v>0</v>
      </c>
      <c r="AI249" s="21">
        <v>0</v>
      </c>
      <c r="AJ249" s="21" t="s">
        <v>638</v>
      </c>
      <c r="AK249" s="21">
        <v>0</v>
      </c>
      <c r="AL249" s="21">
        <v>0</v>
      </c>
      <c r="AM249" s="21">
        <v>0</v>
      </c>
      <c r="AN249" s="21">
        <v>0</v>
      </c>
      <c r="AO249" s="21">
        <v>0</v>
      </c>
      <c r="AP249" s="21"/>
      <c r="AQ249" s="21">
        <v>0</v>
      </c>
      <c r="AR249" s="21">
        <v>0</v>
      </c>
      <c r="AS249" s="21">
        <v>143370</v>
      </c>
      <c r="AT249" s="21" t="s">
        <v>639</v>
      </c>
      <c r="AU249" s="21" t="s">
        <v>648</v>
      </c>
      <c r="AV249" s="21" t="s">
        <v>164</v>
      </c>
      <c r="AW249" s="21" t="s">
        <v>639</v>
      </c>
      <c r="AX249" s="21" t="s">
        <v>802</v>
      </c>
      <c r="AY249" s="21">
        <v>0</v>
      </c>
      <c r="AZ249" s="21">
        <v>121500</v>
      </c>
      <c r="BA249" s="21">
        <v>473</v>
      </c>
      <c r="BB249" s="21" t="s">
        <v>1092</v>
      </c>
      <c r="BC249" s="21" t="s">
        <v>176</v>
      </c>
      <c r="BD249" s="21" t="s">
        <v>641</v>
      </c>
      <c r="BE249" s="21" t="s">
        <v>641</v>
      </c>
      <c r="BF249" s="21">
        <v>9</v>
      </c>
      <c r="BG249" s="21">
        <v>10935</v>
      </c>
      <c r="BH249" s="21">
        <v>9</v>
      </c>
      <c r="BI249" s="21">
        <v>10935</v>
      </c>
      <c r="BJ249" s="21">
        <v>0</v>
      </c>
      <c r="BK249" s="21">
        <v>0</v>
      </c>
      <c r="BL249" s="21">
        <v>143370</v>
      </c>
      <c r="BM249" s="21">
        <v>692169002168</v>
      </c>
      <c r="BN249" s="23">
        <v>46258</v>
      </c>
      <c r="BO249" s="21">
        <v>3000</v>
      </c>
    </row>
    <row r="250" spans="1:67" hidden="1" x14ac:dyDescent="0.25">
      <c r="A250" s="22"/>
      <c r="B250" s="21" t="s">
        <v>167</v>
      </c>
      <c r="C250" s="21" t="s">
        <v>1092</v>
      </c>
      <c r="D250" s="21" t="s">
        <v>1112</v>
      </c>
      <c r="E250" s="21" t="s">
        <v>180</v>
      </c>
      <c r="F250" s="21" t="s">
        <v>181</v>
      </c>
      <c r="G250" s="21" t="s">
        <v>1113</v>
      </c>
      <c r="H250" s="21">
        <v>139.80000000000001</v>
      </c>
      <c r="I250" s="21">
        <v>139.80000000000001</v>
      </c>
      <c r="J250" s="21" t="s">
        <v>168</v>
      </c>
      <c r="K250" s="21">
        <v>139.80000000000001</v>
      </c>
      <c r="L250" s="21">
        <v>0</v>
      </c>
      <c r="M250" s="21">
        <v>139.80000000000001</v>
      </c>
      <c r="N250" s="21" t="s">
        <v>174</v>
      </c>
      <c r="O250" s="21" t="s">
        <v>633</v>
      </c>
      <c r="P250" s="21" t="s">
        <v>633</v>
      </c>
      <c r="Q250" s="21" t="s">
        <v>1114</v>
      </c>
      <c r="R250" s="21" t="s">
        <v>1092</v>
      </c>
      <c r="S250" s="21" t="s">
        <v>635</v>
      </c>
      <c r="T250" s="21" t="s">
        <v>636</v>
      </c>
      <c r="U250" s="21" t="s">
        <v>1115</v>
      </c>
      <c r="V250" s="21">
        <v>165.32</v>
      </c>
      <c r="W250" s="21">
        <v>165.32</v>
      </c>
      <c r="X250" s="21" t="s">
        <v>1114</v>
      </c>
      <c r="Y250" s="21" t="s">
        <v>1092</v>
      </c>
      <c r="Z250" s="21" t="s">
        <v>189</v>
      </c>
      <c r="AA250" s="21" t="s">
        <v>189</v>
      </c>
      <c r="AB250" s="21"/>
      <c r="AC250" s="21" t="s">
        <v>189</v>
      </c>
      <c r="AD250" s="21" t="s">
        <v>189</v>
      </c>
      <c r="AE250" s="21">
        <v>0</v>
      </c>
      <c r="AF250" s="21">
        <v>0</v>
      </c>
      <c r="AG250" s="21">
        <v>0</v>
      </c>
      <c r="AH250" s="21">
        <v>0</v>
      </c>
      <c r="AI250" s="21">
        <v>0</v>
      </c>
      <c r="AJ250" s="21" t="s">
        <v>638</v>
      </c>
      <c r="AK250" s="21">
        <v>0</v>
      </c>
      <c r="AL250" s="21">
        <v>0</v>
      </c>
      <c r="AM250" s="21">
        <v>0</v>
      </c>
      <c r="AN250" s="21">
        <v>0</v>
      </c>
      <c r="AO250" s="21">
        <v>0</v>
      </c>
      <c r="AP250" s="21"/>
      <c r="AQ250" s="21">
        <v>0</v>
      </c>
      <c r="AR250" s="21">
        <v>0</v>
      </c>
      <c r="AS250" s="21">
        <v>281284.84000000003</v>
      </c>
      <c r="AT250" s="21" t="s">
        <v>169</v>
      </c>
      <c r="AU250" s="21" t="s">
        <v>181</v>
      </c>
      <c r="AV250" s="21" t="s">
        <v>154</v>
      </c>
      <c r="AW250" s="21" t="s">
        <v>639</v>
      </c>
      <c r="AX250" s="21" t="s">
        <v>640</v>
      </c>
      <c r="AY250" s="21">
        <v>0</v>
      </c>
      <c r="AZ250" s="21">
        <v>23111.74</v>
      </c>
      <c r="BA250" s="21">
        <v>472</v>
      </c>
      <c r="BB250" s="21" t="s">
        <v>1092</v>
      </c>
      <c r="BC250" s="21" t="s">
        <v>176</v>
      </c>
      <c r="BD250" s="21" t="s">
        <v>641</v>
      </c>
      <c r="BE250" s="21" t="s">
        <v>641</v>
      </c>
      <c r="BF250" s="21">
        <v>9</v>
      </c>
      <c r="BG250" s="21">
        <v>2080.06</v>
      </c>
      <c r="BH250" s="21">
        <v>9</v>
      </c>
      <c r="BI250" s="21">
        <v>2080.06</v>
      </c>
      <c r="BJ250" s="21">
        <v>0</v>
      </c>
      <c r="BK250" s="21">
        <v>0</v>
      </c>
      <c r="BL250" s="21">
        <v>281284.84000000003</v>
      </c>
      <c r="BM250" s="21">
        <v>652169010099</v>
      </c>
      <c r="BN250" s="23">
        <v>46258</v>
      </c>
      <c r="BO250" s="21">
        <v>139.80000000000001</v>
      </c>
    </row>
    <row r="251" spans="1:67" hidden="1" x14ac:dyDescent="0.25">
      <c r="A251" s="22"/>
      <c r="B251" s="21" t="s">
        <v>167</v>
      </c>
      <c r="C251" s="21" t="s">
        <v>1092</v>
      </c>
      <c r="D251" s="21" t="s">
        <v>1112</v>
      </c>
      <c r="E251" s="21" t="s">
        <v>180</v>
      </c>
      <c r="F251" s="21" t="s">
        <v>181</v>
      </c>
      <c r="G251" s="21" t="s">
        <v>1113</v>
      </c>
      <c r="H251" s="21">
        <v>515.20000000000005</v>
      </c>
      <c r="I251" s="21">
        <v>515.20000000000005</v>
      </c>
      <c r="J251" s="21" t="s">
        <v>168</v>
      </c>
      <c r="K251" s="21">
        <v>515.20000000000005</v>
      </c>
      <c r="L251" s="21">
        <v>0</v>
      </c>
      <c r="M251" s="21">
        <v>515.20000000000005</v>
      </c>
      <c r="N251" s="21" t="s">
        <v>174</v>
      </c>
      <c r="O251" s="21" t="s">
        <v>633</v>
      </c>
      <c r="P251" s="21" t="s">
        <v>633</v>
      </c>
      <c r="Q251" s="21" t="s">
        <v>1114</v>
      </c>
      <c r="R251" s="21" t="s">
        <v>1092</v>
      </c>
      <c r="S251" s="21" t="s">
        <v>635</v>
      </c>
      <c r="T251" s="21" t="s">
        <v>636</v>
      </c>
      <c r="U251" s="21" t="s">
        <v>1115</v>
      </c>
      <c r="V251" s="21">
        <v>144.32</v>
      </c>
      <c r="W251" s="21">
        <v>144.32</v>
      </c>
      <c r="X251" s="21" t="s">
        <v>1114</v>
      </c>
      <c r="Y251" s="21" t="s">
        <v>1092</v>
      </c>
      <c r="Z251" s="21" t="s">
        <v>189</v>
      </c>
      <c r="AA251" s="21" t="s">
        <v>189</v>
      </c>
      <c r="AB251" s="21"/>
      <c r="AC251" s="21" t="s">
        <v>189</v>
      </c>
      <c r="AD251" s="21" t="s">
        <v>189</v>
      </c>
      <c r="AE251" s="21">
        <v>0</v>
      </c>
      <c r="AF251" s="21">
        <v>0</v>
      </c>
      <c r="AG251" s="21">
        <v>0</v>
      </c>
      <c r="AH251" s="21">
        <v>0</v>
      </c>
      <c r="AI251" s="21">
        <v>0</v>
      </c>
      <c r="AJ251" s="21" t="s">
        <v>638</v>
      </c>
      <c r="AK251" s="21">
        <v>0</v>
      </c>
      <c r="AL251" s="21">
        <v>0</v>
      </c>
      <c r="AM251" s="21">
        <v>0</v>
      </c>
      <c r="AN251" s="21">
        <v>0</v>
      </c>
      <c r="AO251" s="21">
        <v>0</v>
      </c>
      <c r="AP251" s="21"/>
      <c r="AQ251" s="21">
        <v>0</v>
      </c>
      <c r="AR251" s="21">
        <v>0</v>
      </c>
      <c r="AS251" s="21">
        <v>281284.84000000003</v>
      </c>
      <c r="AT251" s="21" t="s">
        <v>169</v>
      </c>
      <c r="AU251" s="21" t="s">
        <v>181</v>
      </c>
      <c r="AV251" s="21" t="s">
        <v>154</v>
      </c>
      <c r="AW251" s="21" t="s">
        <v>639</v>
      </c>
      <c r="AX251" s="21" t="s">
        <v>640</v>
      </c>
      <c r="AY251" s="21">
        <v>0</v>
      </c>
      <c r="AZ251" s="21">
        <v>74353.66</v>
      </c>
      <c r="BA251" s="21">
        <v>472</v>
      </c>
      <c r="BB251" s="21" t="s">
        <v>1092</v>
      </c>
      <c r="BC251" s="21" t="s">
        <v>176</v>
      </c>
      <c r="BD251" s="21" t="s">
        <v>641</v>
      </c>
      <c r="BE251" s="21" t="s">
        <v>641</v>
      </c>
      <c r="BF251" s="21">
        <v>9</v>
      </c>
      <c r="BG251" s="21">
        <v>6691.83</v>
      </c>
      <c r="BH251" s="21">
        <v>9</v>
      </c>
      <c r="BI251" s="21">
        <v>6691.83</v>
      </c>
      <c r="BJ251" s="21">
        <v>0</v>
      </c>
      <c r="BK251" s="21">
        <v>0</v>
      </c>
      <c r="BL251" s="21">
        <v>0</v>
      </c>
      <c r="BM251" s="21">
        <v>652169010099</v>
      </c>
      <c r="BN251" s="23">
        <v>46258</v>
      </c>
      <c r="BO251" s="21">
        <v>515.20000000000005</v>
      </c>
    </row>
    <row r="252" spans="1:67" hidden="1" x14ac:dyDescent="0.25">
      <c r="A252" s="22"/>
      <c r="B252" s="21" t="s">
        <v>167</v>
      </c>
      <c r="C252" s="21" t="s">
        <v>1092</v>
      </c>
      <c r="D252" s="21" t="s">
        <v>1112</v>
      </c>
      <c r="E252" s="21" t="s">
        <v>180</v>
      </c>
      <c r="F252" s="21" t="s">
        <v>181</v>
      </c>
      <c r="G252" s="21" t="s">
        <v>1113</v>
      </c>
      <c r="H252" s="21">
        <v>956.5</v>
      </c>
      <c r="I252" s="21">
        <v>956.5</v>
      </c>
      <c r="J252" s="21" t="s">
        <v>168</v>
      </c>
      <c r="K252" s="21">
        <v>956.5</v>
      </c>
      <c r="L252" s="21">
        <v>0</v>
      </c>
      <c r="M252" s="21">
        <v>956.5</v>
      </c>
      <c r="N252" s="21" t="s">
        <v>174</v>
      </c>
      <c r="O252" s="21" t="s">
        <v>633</v>
      </c>
      <c r="P252" s="21" t="s">
        <v>633</v>
      </c>
      <c r="Q252" s="21" t="s">
        <v>1114</v>
      </c>
      <c r="R252" s="21" t="s">
        <v>1092</v>
      </c>
      <c r="S252" s="21" t="s">
        <v>635</v>
      </c>
      <c r="T252" s="21" t="s">
        <v>636</v>
      </c>
      <c r="U252" s="21" t="s">
        <v>1115</v>
      </c>
      <c r="V252" s="21">
        <v>147.32</v>
      </c>
      <c r="W252" s="21">
        <v>147.32</v>
      </c>
      <c r="X252" s="21" t="s">
        <v>1114</v>
      </c>
      <c r="Y252" s="21" t="s">
        <v>1092</v>
      </c>
      <c r="Z252" s="21" t="s">
        <v>189</v>
      </c>
      <c r="AA252" s="21" t="s">
        <v>189</v>
      </c>
      <c r="AB252" s="21"/>
      <c r="AC252" s="21" t="s">
        <v>189</v>
      </c>
      <c r="AD252" s="21" t="s">
        <v>189</v>
      </c>
      <c r="AE252" s="21">
        <v>0</v>
      </c>
      <c r="AF252" s="21">
        <v>0</v>
      </c>
      <c r="AG252" s="21">
        <v>0</v>
      </c>
      <c r="AH252" s="21">
        <v>0</v>
      </c>
      <c r="AI252" s="21">
        <v>0</v>
      </c>
      <c r="AJ252" s="21" t="s">
        <v>638</v>
      </c>
      <c r="AK252" s="21">
        <v>0</v>
      </c>
      <c r="AL252" s="21">
        <v>0</v>
      </c>
      <c r="AM252" s="21">
        <v>0</v>
      </c>
      <c r="AN252" s="21">
        <v>0</v>
      </c>
      <c r="AO252" s="21">
        <v>0</v>
      </c>
      <c r="AP252" s="21"/>
      <c r="AQ252" s="21">
        <v>0</v>
      </c>
      <c r="AR252" s="21">
        <v>0</v>
      </c>
      <c r="AS252" s="21">
        <v>281284.84000000003</v>
      </c>
      <c r="AT252" s="21" t="s">
        <v>169</v>
      </c>
      <c r="AU252" s="21" t="s">
        <v>181</v>
      </c>
      <c r="AV252" s="21" t="s">
        <v>154</v>
      </c>
      <c r="AW252" s="21" t="s">
        <v>639</v>
      </c>
      <c r="AX252" s="21" t="s">
        <v>640</v>
      </c>
      <c r="AY252" s="21">
        <v>0</v>
      </c>
      <c r="AZ252" s="21">
        <v>140911.57999999999</v>
      </c>
      <c r="BA252" s="21">
        <v>472</v>
      </c>
      <c r="BB252" s="21" t="s">
        <v>1092</v>
      </c>
      <c r="BC252" s="21" t="s">
        <v>176</v>
      </c>
      <c r="BD252" s="21" t="s">
        <v>641</v>
      </c>
      <c r="BE252" s="21" t="s">
        <v>641</v>
      </c>
      <c r="BF252" s="21">
        <v>9</v>
      </c>
      <c r="BG252" s="21">
        <v>12682.04</v>
      </c>
      <c r="BH252" s="21">
        <v>9</v>
      </c>
      <c r="BI252" s="21">
        <v>12682.04</v>
      </c>
      <c r="BJ252" s="21">
        <v>0</v>
      </c>
      <c r="BK252" s="21">
        <v>0</v>
      </c>
      <c r="BL252" s="21">
        <v>0</v>
      </c>
      <c r="BM252" s="21">
        <v>652169010099</v>
      </c>
      <c r="BN252" s="23">
        <v>46258</v>
      </c>
      <c r="BO252" s="21">
        <v>956.5</v>
      </c>
    </row>
    <row r="253" spans="1:67" hidden="1" x14ac:dyDescent="0.25">
      <c r="A253" s="22"/>
      <c r="B253" s="21" t="s">
        <v>167</v>
      </c>
      <c r="C253" s="21" t="s">
        <v>1092</v>
      </c>
      <c r="D253" s="21" t="s">
        <v>1116</v>
      </c>
      <c r="E253" s="21" t="s">
        <v>1117</v>
      </c>
      <c r="F253" s="21" t="s">
        <v>1118</v>
      </c>
      <c r="G253" s="21" t="s">
        <v>1119</v>
      </c>
      <c r="H253" s="21">
        <v>140000</v>
      </c>
      <c r="I253" s="21">
        <v>140000</v>
      </c>
      <c r="J253" s="21" t="s">
        <v>168</v>
      </c>
      <c r="K253" s="21">
        <v>140000</v>
      </c>
      <c r="L253" s="21">
        <v>0</v>
      </c>
      <c r="M253" s="21">
        <v>140000</v>
      </c>
      <c r="N253" s="21" t="s">
        <v>1120</v>
      </c>
      <c r="O253" s="21" t="s">
        <v>1121</v>
      </c>
      <c r="P253" s="21" t="s">
        <v>1121</v>
      </c>
      <c r="Q253" s="21" t="s">
        <v>1122</v>
      </c>
      <c r="R253" s="23">
        <v>46242</v>
      </c>
      <c r="S253" s="21" t="s">
        <v>635</v>
      </c>
      <c r="T253" s="21" t="s">
        <v>1123</v>
      </c>
      <c r="U253" s="21" t="s">
        <v>1124</v>
      </c>
      <c r="V253" s="21">
        <v>102.35</v>
      </c>
      <c r="W253" s="21">
        <v>102.35</v>
      </c>
      <c r="X253" s="21" t="s">
        <v>1122</v>
      </c>
      <c r="Y253" s="23">
        <v>46242</v>
      </c>
      <c r="Z253" s="21"/>
      <c r="AA253" s="21">
        <v>0</v>
      </c>
      <c r="AB253" s="21"/>
      <c r="AC253" s="21" t="s">
        <v>1125</v>
      </c>
      <c r="AD253" s="21" t="s">
        <v>1126</v>
      </c>
      <c r="AE253" s="21">
        <v>0</v>
      </c>
      <c r="AF253" s="21">
        <v>0</v>
      </c>
      <c r="AG253" s="21">
        <v>0</v>
      </c>
      <c r="AH253" s="21">
        <v>0</v>
      </c>
      <c r="AI253" s="21">
        <v>0</v>
      </c>
      <c r="AJ253" s="21" t="s">
        <v>638</v>
      </c>
      <c r="AK253" s="21">
        <v>0</v>
      </c>
      <c r="AL253" s="21">
        <v>0</v>
      </c>
      <c r="AM253" s="21">
        <v>0</v>
      </c>
      <c r="AN253" s="21">
        <v>0</v>
      </c>
      <c r="AO253" s="21">
        <v>0</v>
      </c>
      <c r="AP253" s="21"/>
      <c r="AQ253" s="21">
        <v>0</v>
      </c>
      <c r="AR253" s="21">
        <v>0</v>
      </c>
      <c r="AS253" s="21">
        <v>14329000</v>
      </c>
      <c r="AT253" s="21" t="s">
        <v>639</v>
      </c>
      <c r="AU253" s="21" t="s">
        <v>648</v>
      </c>
      <c r="AV253" s="21" t="s">
        <v>166</v>
      </c>
      <c r="AW253" s="21" t="s">
        <v>639</v>
      </c>
      <c r="AX253" s="21"/>
      <c r="AY253" s="21">
        <v>0</v>
      </c>
      <c r="AZ253" s="21">
        <v>14329000</v>
      </c>
      <c r="BA253" s="21">
        <v>474</v>
      </c>
      <c r="BB253" s="21" t="s">
        <v>1092</v>
      </c>
      <c r="BC253" s="21" t="s">
        <v>1127</v>
      </c>
      <c r="BD253" s="21" t="s">
        <v>641</v>
      </c>
      <c r="BE253" s="21"/>
      <c r="BF253" s="21">
        <v>0</v>
      </c>
      <c r="BG253" s="21">
        <v>0</v>
      </c>
      <c r="BH253" s="21">
        <v>0</v>
      </c>
      <c r="BI253" s="21">
        <v>0</v>
      </c>
      <c r="BJ253" s="21">
        <v>0</v>
      </c>
      <c r="BK253" s="21">
        <v>0</v>
      </c>
      <c r="BL253" s="21">
        <v>14329000</v>
      </c>
      <c r="BM253" s="21">
        <v>692166228598</v>
      </c>
      <c r="BN253" s="32">
        <v>46257.695983796293</v>
      </c>
      <c r="BO253" s="21">
        <v>140000</v>
      </c>
    </row>
    <row r="254" spans="1:67" hidden="1" x14ac:dyDescent="0.25">
      <c r="A254" s="22"/>
      <c r="B254" s="21" t="s">
        <v>167</v>
      </c>
      <c r="C254" s="21" t="s">
        <v>1092</v>
      </c>
      <c r="D254" s="21" t="s">
        <v>1128</v>
      </c>
      <c r="E254" s="21" t="s">
        <v>192</v>
      </c>
      <c r="F254" s="21" t="s">
        <v>161</v>
      </c>
      <c r="G254" s="21" t="s">
        <v>1129</v>
      </c>
      <c r="H254" s="21">
        <v>1244</v>
      </c>
      <c r="I254" s="21">
        <v>1244</v>
      </c>
      <c r="J254" s="21" t="s">
        <v>168</v>
      </c>
      <c r="K254" s="21">
        <v>1244</v>
      </c>
      <c r="L254" s="21">
        <v>0</v>
      </c>
      <c r="M254" s="21">
        <v>1244</v>
      </c>
      <c r="N254" s="21" t="s">
        <v>174</v>
      </c>
      <c r="O254" s="21" t="s">
        <v>633</v>
      </c>
      <c r="P254" s="21" t="s">
        <v>633</v>
      </c>
      <c r="Q254" s="21" t="s">
        <v>1130</v>
      </c>
      <c r="R254" s="21" t="s">
        <v>1092</v>
      </c>
      <c r="S254" s="21" t="s">
        <v>635</v>
      </c>
      <c r="T254" s="21" t="s">
        <v>636</v>
      </c>
      <c r="U254" s="21" t="s">
        <v>1131</v>
      </c>
      <c r="V254" s="21">
        <v>135.32</v>
      </c>
      <c r="W254" s="21">
        <v>135.32</v>
      </c>
      <c r="X254" s="21" t="s">
        <v>1130</v>
      </c>
      <c r="Y254" s="21" t="s">
        <v>1092</v>
      </c>
      <c r="Z254" s="21" t="s">
        <v>189</v>
      </c>
      <c r="AA254" s="21" t="s">
        <v>189</v>
      </c>
      <c r="AB254" s="21"/>
      <c r="AC254" s="21" t="s">
        <v>189</v>
      </c>
      <c r="AD254" s="21" t="s">
        <v>189</v>
      </c>
      <c r="AE254" s="21">
        <v>0</v>
      </c>
      <c r="AF254" s="21">
        <v>0</v>
      </c>
      <c r="AG254" s="21">
        <v>0</v>
      </c>
      <c r="AH254" s="21">
        <v>0</v>
      </c>
      <c r="AI254" s="21">
        <v>0</v>
      </c>
      <c r="AJ254" s="21" t="s">
        <v>638</v>
      </c>
      <c r="AK254" s="21">
        <v>0</v>
      </c>
      <c r="AL254" s="21">
        <v>0</v>
      </c>
      <c r="AM254" s="21">
        <v>0</v>
      </c>
      <c r="AN254" s="21">
        <v>0</v>
      </c>
      <c r="AO254" s="21">
        <v>0</v>
      </c>
      <c r="AP254" s="21"/>
      <c r="AQ254" s="21">
        <v>0</v>
      </c>
      <c r="AR254" s="21">
        <v>0</v>
      </c>
      <c r="AS254" s="21">
        <v>774723.28</v>
      </c>
      <c r="AT254" s="21" t="s">
        <v>169</v>
      </c>
      <c r="AU254" s="21" t="s">
        <v>193</v>
      </c>
      <c r="AV254" s="21" t="s">
        <v>161</v>
      </c>
      <c r="AW254" s="21" t="s">
        <v>639</v>
      </c>
      <c r="AX254" s="21" t="s">
        <v>640</v>
      </c>
      <c r="AY254" s="21">
        <v>0</v>
      </c>
      <c r="AZ254" s="21">
        <v>168338.08</v>
      </c>
      <c r="BA254" s="21">
        <v>475</v>
      </c>
      <c r="BB254" s="21" t="s">
        <v>1092</v>
      </c>
      <c r="BC254" s="21" t="s">
        <v>176</v>
      </c>
      <c r="BD254" s="21" t="s">
        <v>641</v>
      </c>
      <c r="BE254" s="21" t="s">
        <v>641</v>
      </c>
      <c r="BF254" s="21">
        <v>9</v>
      </c>
      <c r="BG254" s="21">
        <v>15150.43</v>
      </c>
      <c r="BH254" s="21">
        <v>9</v>
      </c>
      <c r="BI254" s="21">
        <v>15150.43</v>
      </c>
      <c r="BJ254" s="21">
        <v>0</v>
      </c>
      <c r="BK254" s="21">
        <v>0</v>
      </c>
      <c r="BL254" s="21">
        <v>774723.28</v>
      </c>
      <c r="BM254" s="21">
        <v>622169360557</v>
      </c>
      <c r="BN254" s="23">
        <v>46258</v>
      </c>
      <c r="BO254" s="21">
        <v>1244</v>
      </c>
    </row>
    <row r="255" spans="1:67" hidden="1" x14ac:dyDescent="0.25">
      <c r="A255" s="22"/>
      <c r="B255" s="21" t="s">
        <v>167</v>
      </c>
      <c r="C255" s="21" t="s">
        <v>1092</v>
      </c>
      <c r="D255" s="21" t="s">
        <v>1128</v>
      </c>
      <c r="E255" s="21" t="s">
        <v>182</v>
      </c>
      <c r="F255" s="21" t="s">
        <v>183</v>
      </c>
      <c r="G255" s="21" t="s">
        <v>1129</v>
      </c>
      <c r="H255" s="21">
        <v>582</v>
      </c>
      <c r="I255" s="21">
        <v>582</v>
      </c>
      <c r="J255" s="21" t="s">
        <v>168</v>
      </c>
      <c r="K255" s="21">
        <v>582</v>
      </c>
      <c r="L255" s="21">
        <v>0</v>
      </c>
      <c r="M255" s="21">
        <v>582</v>
      </c>
      <c r="N255" s="21" t="s">
        <v>174</v>
      </c>
      <c r="O255" s="21" t="s">
        <v>633</v>
      </c>
      <c r="P255" s="21" t="s">
        <v>633</v>
      </c>
      <c r="Q255" s="21" t="s">
        <v>1130</v>
      </c>
      <c r="R255" s="21" t="s">
        <v>1092</v>
      </c>
      <c r="S255" s="21" t="s">
        <v>635</v>
      </c>
      <c r="T255" s="21" t="s">
        <v>636</v>
      </c>
      <c r="U255" s="21" t="s">
        <v>1131</v>
      </c>
      <c r="V255" s="21">
        <v>142.32</v>
      </c>
      <c r="W255" s="21">
        <v>142.32</v>
      </c>
      <c r="X255" s="21" t="s">
        <v>1130</v>
      </c>
      <c r="Y255" s="21" t="s">
        <v>1092</v>
      </c>
      <c r="Z255" s="21" t="s">
        <v>189</v>
      </c>
      <c r="AA255" s="21" t="s">
        <v>189</v>
      </c>
      <c r="AB255" s="21"/>
      <c r="AC255" s="21" t="s">
        <v>189</v>
      </c>
      <c r="AD255" s="21" t="s">
        <v>189</v>
      </c>
      <c r="AE255" s="21">
        <v>0</v>
      </c>
      <c r="AF255" s="21">
        <v>0</v>
      </c>
      <c r="AG255" s="21">
        <v>0</v>
      </c>
      <c r="AH255" s="21">
        <v>0</v>
      </c>
      <c r="AI255" s="21">
        <v>0</v>
      </c>
      <c r="AJ255" s="21" t="s">
        <v>638</v>
      </c>
      <c r="AK255" s="21">
        <v>0</v>
      </c>
      <c r="AL255" s="21">
        <v>0</v>
      </c>
      <c r="AM255" s="21">
        <v>0</v>
      </c>
      <c r="AN255" s="21">
        <v>0</v>
      </c>
      <c r="AO255" s="21">
        <v>0</v>
      </c>
      <c r="AP255" s="21"/>
      <c r="AQ255" s="21">
        <v>0</v>
      </c>
      <c r="AR255" s="21">
        <v>0</v>
      </c>
      <c r="AS255" s="21">
        <v>774723.28</v>
      </c>
      <c r="AT255" s="21" t="s">
        <v>169</v>
      </c>
      <c r="AU255" s="21" t="s">
        <v>179</v>
      </c>
      <c r="AV255" s="21" t="s">
        <v>155</v>
      </c>
      <c r="AW255" s="21" t="s">
        <v>639</v>
      </c>
      <c r="AX255" s="21" t="s">
        <v>640</v>
      </c>
      <c r="AY255" s="21">
        <v>0</v>
      </c>
      <c r="AZ255" s="21">
        <v>82830.240000000005</v>
      </c>
      <c r="BA255" s="21">
        <v>475</v>
      </c>
      <c r="BB255" s="21" t="s">
        <v>1092</v>
      </c>
      <c r="BC255" s="21" t="s">
        <v>176</v>
      </c>
      <c r="BD255" s="21" t="s">
        <v>641</v>
      </c>
      <c r="BE255" s="21" t="s">
        <v>641</v>
      </c>
      <c r="BF255" s="21">
        <v>9</v>
      </c>
      <c r="BG255" s="21">
        <v>7454.72</v>
      </c>
      <c r="BH255" s="21">
        <v>9</v>
      </c>
      <c r="BI255" s="21">
        <v>7454.72</v>
      </c>
      <c r="BJ255" s="21">
        <v>0</v>
      </c>
      <c r="BK255" s="21">
        <v>0</v>
      </c>
      <c r="BL255" s="21">
        <v>0</v>
      </c>
      <c r="BM255" s="21">
        <v>622169360557</v>
      </c>
      <c r="BN255" s="23">
        <v>46258</v>
      </c>
      <c r="BO255" s="21">
        <v>582</v>
      </c>
    </row>
    <row r="256" spans="1:67" hidden="1" x14ac:dyDescent="0.25">
      <c r="A256" s="22"/>
      <c r="B256" s="21" t="s">
        <v>167</v>
      </c>
      <c r="C256" s="21" t="s">
        <v>1092</v>
      </c>
      <c r="D256" s="21" t="s">
        <v>1128</v>
      </c>
      <c r="E256" s="21" t="s">
        <v>177</v>
      </c>
      <c r="F256" s="21" t="s">
        <v>178</v>
      </c>
      <c r="G256" s="21" t="s">
        <v>1129</v>
      </c>
      <c r="H256" s="21">
        <v>2056</v>
      </c>
      <c r="I256" s="21">
        <v>2056</v>
      </c>
      <c r="J256" s="21" t="s">
        <v>168</v>
      </c>
      <c r="K256" s="21">
        <v>2056</v>
      </c>
      <c r="L256" s="21">
        <v>0</v>
      </c>
      <c r="M256" s="21">
        <v>2056</v>
      </c>
      <c r="N256" s="21" t="s">
        <v>174</v>
      </c>
      <c r="O256" s="21" t="s">
        <v>633</v>
      </c>
      <c r="P256" s="21" t="s">
        <v>633</v>
      </c>
      <c r="Q256" s="21" t="s">
        <v>1130</v>
      </c>
      <c r="R256" s="21" t="s">
        <v>1092</v>
      </c>
      <c r="S256" s="21" t="s">
        <v>635</v>
      </c>
      <c r="T256" s="21" t="s">
        <v>636</v>
      </c>
      <c r="U256" s="21" t="s">
        <v>1131</v>
      </c>
      <c r="V256" s="21">
        <v>149.32</v>
      </c>
      <c r="W256" s="21">
        <v>149.32</v>
      </c>
      <c r="X256" s="21" t="s">
        <v>1130</v>
      </c>
      <c r="Y256" s="21" t="s">
        <v>1092</v>
      </c>
      <c r="Z256" s="21" t="s">
        <v>189</v>
      </c>
      <c r="AA256" s="21" t="s">
        <v>189</v>
      </c>
      <c r="AB256" s="21"/>
      <c r="AC256" s="21" t="s">
        <v>189</v>
      </c>
      <c r="AD256" s="21" t="s">
        <v>189</v>
      </c>
      <c r="AE256" s="21">
        <v>0</v>
      </c>
      <c r="AF256" s="21">
        <v>0</v>
      </c>
      <c r="AG256" s="21">
        <v>0</v>
      </c>
      <c r="AH256" s="21">
        <v>0</v>
      </c>
      <c r="AI256" s="21">
        <v>0</v>
      </c>
      <c r="AJ256" s="21" t="s">
        <v>638</v>
      </c>
      <c r="AK256" s="21">
        <v>0</v>
      </c>
      <c r="AL256" s="21">
        <v>0</v>
      </c>
      <c r="AM256" s="21">
        <v>0</v>
      </c>
      <c r="AN256" s="21">
        <v>0</v>
      </c>
      <c r="AO256" s="21">
        <v>0</v>
      </c>
      <c r="AP256" s="21"/>
      <c r="AQ256" s="21">
        <v>0</v>
      </c>
      <c r="AR256" s="21">
        <v>0</v>
      </c>
      <c r="AS256" s="21">
        <v>774723.28</v>
      </c>
      <c r="AT256" s="21" t="s">
        <v>169</v>
      </c>
      <c r="AU256" s="21" t="s">
        <v>179</v>
      </c>
      <c r="AV256" s="21" t="s">
        <v>156</v>
      </c>
      <c r="AW256" s="21" t="s">
        <v>639</v>
      </c>
      <c r="AX256" s="21" t="s">
        <v>640</v>
      </c>
      <c r="AY256" s="21">
        <v>0</v>
      </c>
      <c r="AZ256" s="21">
        <v>307001.92</v>
      </c>
      <c r="BA256" s="21">
        <v>475</v>
      </c>
      <c r="BB256" s="21" t="s">
        <v>1092</v>
      </c>
      <c r="BC256" s="21" t="s">
        <v>176</v>
      </c>
      <c r="BD256" s="21" t="s">
        <v>641</v>
      </c>
      <c r="BE256" s="21" t="s">
        <v>641</v>
      </c>
      <c r="BF256" s="21">
        <v>9</v>
      </c>
      <c r="BG256" s="21">
        <v>27630.17</v>
      </c>
      <c r="BH256" s="21">
        <v>9</v>
      </c>
      <c r="BI256" s="21">
        <v>27630.17</v>
      </c>
      <c r="BJ256" s="21">
        <v>0</v>
      </c>
      <c r="BK256" s="21">
        <v>0</v>
      </c>
      <c r="BL256" s="21">
        <v>0</v>
      </c>
      <c r="BM256" s="21">
        <v>622169360557</v>
      </c>
      <c r="BN256" s="23">
        <v>46258</v>
      </c>
      <c r="BO256" s="21">
        <v>2056</v>
      </c>
    </row>
    <row r="257" spans="1:67" hidden="1" x14ac:dyDescent="0.25">
      <c r="A257" s="22"/>
      <c r="B257" s="21" t="s">
        <v>167</v>
      </c>
      <c r="C257" s="21" t="s">
        <v>1092</v>
      </c>
      <c r="D257" s="21" t="s">
        <v>1128</v>
      </c>
      <c r="E257" s="21" t="s">
        <v>177</v>
      </c>
      <c r="F257" s="21" t="s">
        <v>178</v>
      </c>
      <c r="G257" s="21" t="s">
        <v>1129</v>
      </c>
      <c r="H257" s="21">
        <v>581</v>
      </c>
      <c r="I257" s="21">
        <v>581</v>
      </c>
      <c r="J257" s="21" t="s">
        <v>168</v>
      </c>
      <c r="K257" s="21">
        <v>581</v>
      </c>
      <c r="L257" s="21">
        <v>0</v>
      </c>
      <c r="M257" s="21">
        <v>581</v>
      </c>
      <c r="N257" s="21" t="s">
        <v>174</v>
      </c>
      <c r="O257" s="21" t="s">
        <v>633</v>
      </c>
      <c r="P257" s="21" t="s">
        <v>633</v>
      </c>
      <c r="Q257" s="21" t="s">
        <v>1130</v>
      </c>
      <c r="R257" s="21" t="s">
        <v>1092</v>
      </c>
      <c r="S257" s="21" t="s">
        <v>635</v>
      </c>
      <c r="T257" s="21" t="s">
        <v>636</v>
      </c>
      <c r="U257" s="21" t="s">
        <v>1131</v>
      </c>
      <c r="V257" s="21">
        <v>169.32</v>
      </c>
      <c r="W257" s="21">
        <v>169.32</v>
      </c>
      <c r="X257" s="21" t="s">
        <v>1130</v>
      </c>
      <c r="Y257" s="21" t="s">
        <v>1092</v>
      </c>
      <c r="Z257" s="21" t="s">
        <v>189</v>
      </c>
      <c r="AA257" s="21" t="s">
        <v>189</v>
      </c>
      <c r="AB257" s="21"/>
      <c r="AC257" s="21" t="s">
        <v>189</v>
      </c>
      <c r="AD257" s="21" t="s">
        <v>189</v>
      </c>
      <c r="AE257" s="21">
        <v>0</v>
      </c>
      <c r="AF257" s="21">
        <v>0</v>
      </c>
      <c r="AG257" s="21">
        <v>0</v>
      </c>
      <c r="AH257" s="21">
        <v>0</v>
      </c>
      <c r="AI257" s="21">
        <v>0</v>
      </c>
      <c r="AJ257" s="21" t="s">
        <v>638</v>
      </c>
      <c r="AK257" s="21">
        <v>0</v>
      </c>
      <c r="AL257" s="21">
        <v>0</v>
      </c>
      <c r="AM257" s="21">
        <v>0</v>
      </c>
      <c r="AN257" s="21">
        <v>0</v>
      </c>
      <c r="AO257" s="21">
        <v>0</v>
      </c>
      <c r="AP257" s="21"/>
      <c r="AQ257" s="21">
        <v>0</v>
      </c>
      <c r="AR257" s="21">
        <v>0</v>
      </c>
      <c r="AS257" s="21">
        <v>774723.28</v>
      </c>
      <c r="AT257" s="21" t="s">
        <v>169</v>
      </c>
      <c r="AU257" s="21" t="s">
        <v>179</v>
      </c>
      <c r="AV257" s="21" t="s">
        <v>156</v>
      </c>
      <c r="AW257" s="21" t="s">
        <v>639</v>
      </c>
      <c r="AX257" s="21" t="s">
        <v>640</v>
      </c>
      <c r="AY257" s="21">
        <v>0</v>
      </c>
      <c r="AZ257" s="21">
        <v>98374.92</v>
      </c>
      <c r="BA257" s="21">
        <v>475</v>
      </c>
      <c r="BB257" s="21" t="s">
        <v>1092</v>
      </c>
      <c r="BC257" s="21" t="s">
        <v>176</v>
      </c>
      <c r="BD257" s="21" t="s">
        <v>641</v>
      </c>
      <c r="BE257" s="21" t="s">
        <v>641</v>
      </c>
      <c r="BF257" s="21">
        <v>9</v>
      </c>
      <c r="BG257" s="21">
        <v>8853.74</v>
      </c>
      <c r="BH257" s="21">
        <v>9</v>
      </c>
      <c r="BI257" s="21">
        <v>8853.74</v>
      </c>
      <c r="BJ257" s="21">
        <v>0</v>
      </c>
      <c r="BK257" s="21">
        <v>0</v>
      </c>
      <c r="BL257" s="21">
        <v>0</v>
      </c>
      <c r="BM257" s="21">
        <v>622169360557</v>
      </c>
      <c r="BN257" s="23">
        <v>46258</v>
      </c>
      <c r="BO257" s="21">
        <v>581</v>
      </c>
    </row>
    <row r="258" spans="1:67" hidden="1" x14ac:dyDescent="0.25">
      <c r="A258" s="22"/>
      <c r="B258" s="21" t="s">
        <v>167</v>
      </c>
      <c r="C258" s="21" t="s">
        <v>1132</v>
      </c>
      <c r="D258" s="21" t="s">
        <v>1133</v>
      </c>
      <c r="E258" s="21" t="s">
        <v>180</v>
      </c>
      <c r="F258" s="21" t="s">
        <v>181</v>
      </c>
      <c r="G258" s="21" t="s">
        <v>1134</v>
      </c>
      <c r="H258" s="21">
        <v>290</v>
      </c>
      <c r="I258" s="21">
        <v>290</v>
      </c>
      <c r="J258" s="21" t="s">
        <v>168</v>
      </c>
      <c r="K258" s="21">
        <v>290</v>
      </c>
      <c r="L258" s="21">
        <v>0</v>
      </c>
      <c r="M258" s="21">
        <v>290</v>
      </c>
      <c r="N258" s="21" t="s">
        <v>1135</v>
      </c>
      <c r="O258" s="21" t="s">
        <v>633</v>
      </c>
      <c r="P258" s="21" t="s">
        <v>633</v>
      </c>
      <c r="Q258" s="21" t="s">
        <v>1136</v>
      </c>
      <c r="R258" s="21" t="s">
        <v>1132</v>
      </c>
      <c r="S258" s="21" t="s">
        <v>635</v>
      </c>
      <c r="T258" s="21" t="s">
        <v>636</v>
      </c>
      <c r="U258" s="21" t="s">
        <v>1137</v>
      </c>
      <c r="V258" s="21">
        <v>147.32</v>
      </c>
      <c r="W258" s="21">
        <v>147.32</v>
      </c>
      <c r="X258" s="21" t="s">
        <v>1136</v>
      </c>
      <c r="Y258" s="21" t="s">
        <v>1132</v>
      </c>
      <c r="Z258" s="21" t="s">
        <v>189</v>
      </c>
      <c r="AA258" s="21" t="s">
        <v>189</v>
      </c>
      <c r="AB258" s="21"/>
      <c r="AC258" s="21" t="s">
        <v>189</v>
      </c>
      <c r="AD258" s="21" t="s">
        <v>189</v>
      </c>
      <c r="AE258" s="21">
        <v>0</v>
      </c>
      <c r="AF258" s="21">
        <v>0</v>
      </c>
      <c r="AG258" s="21">
        <v>0</v>
      </c>
      <c r="AH258" s="21">
        <v>0</v>
      </c>
      <c r="AI258" s="21">
        <v>0</v>
      </c>
      <c r="AJ258" s="21" t="s">
        <v>638</v>
      </c>
      <c r="AK258" s="21">
        <v>0</v>
      </c>
      <c r="AL258" s="21">
        <v>0</v>
      </c>
      <c r="AM258" s="21">
        <v>0</v>
      </c>
      <c r="AN258" s="21">
        <v>0</v>
      </c>
      <c r="AO258" s="21">
        <v>0</v>
      </c>
      <c r="AP258" s="21"/>
      <c r="AQ258" s="21">
        <v>0</v>
      </c>
      <c r="AR258" s="21">
        <v>0</v>
      </c>
      <c r="AS258" s="21">
        <v>187282.04</v>
      </c>
      <c r="AT258" s="21" t="s">
        <v>169</v>
      </c>
      <c r="AU258" s="21" t="s">
        <v>181</v>
      </c>
      <c r="AV258" s="21" t="s">
        <v>154</v>
      </c>
      <c r="AW258" s="21" t="s">
        <v>639</v>
      </c>
      <c r="AX258" s="21" t="s">
        <v>640</v>
      </c>
      <c r="AY258" s="21">
        <v>0</v>
      </c>
      <c r="AZ258" s="21">
        <v>42722.8</v>
      </c>
      <c r="BA258" s="21">
        <v>476</v>
      </c>
      <c r="BB258" s="21" t="s">
        <v>1132</v>
      </c>
      <c r="BC258" s="21" t="s">
        <v>176</v>
      </c>
      <c r="BD258" s="21" t="s">
        <v>641</v>
      </c>
      <c r="BE258" s="21" t="s">
        <v>641</v>
      </c>
      <c r="BF258" s="21">
        <v>9</v>
      </c>
      <c r="BG258" s="21">
        <v>3845.05</v>
      </c>
      <c r="BH258" s="21">
        <v>9</v>
      </c>
      <c r="BI258" s="21">
        <v>3845.05</v>
      </c>
      <c r="BJ258" s="21">
        <v>0</v>
      </c>
      <c r="BK258" s="21">
        <v>0</v>
      </c>
      <c r="BL258" s="21">
        <v>187282.04</v>
      </c>
      <c r="BM258" s="21">
        <v>602169712877</v>
      </c>
      <c r="BN258" s="23">
        <v>46259</v>
      </c>
      <c r="BO258" s="21">
        <v>290</v>
      </c>
    </row>
    <row r="259" spans="1:67" hidden="1" x14ac:dyDescent="0.25">
      <c r="A259" s="22"/>
      <c r="B259" s="21" t="s">
        <v>167</v>
      </c>
      <c r="C259" s="21" t="s">
        <v>1132</v>
      </c>
      <c r="D259" s="21" t="s">
        <v>1133</v>
      </c>
      <c r="E259" s="21" t="s">
        <v>182</v>
      </c>
      <c r="F259" s="21" t="s">
        <v>183</v>
      </c>
      <c r="G259" s="21" t="s">
        <v>1134</v>
      </c>
      <c r="H259" s="21">
        <v>815</v>
      </c>
      <c r="I259" s="21">
        <v>815</v>
      </c>
      <c r="J259" s="21" t="s">
        <v>168</v>
      </c>
      <c r="K259" s="21">
        <v>815</v>
      </c>
      <c r="L259" s="21">
        <v>0</v>
      </c>
      <c r="M259" s="21">
        <v>815</v>
      </c>
      <c r="N259" s="21" t="s">
        <v>1135</v>
      </c>
      <c r="O259" s="21" t="s">
        <v>633</v>
      </c>
      <c r="P259" s="21" t="s">
        <v>633</v>
      </c>
      <c r="Q259" s="21" t="s">
        <v>1136</v>
      </c>
      <c r="R259" s="21" t="s">
        <v>1132</v>
      </c>
      <c r="S259" s="21" t="s">
        <v>635</v>
      </c>
      <c r="T259" s="21" t="s">
        <v>636</v>
      </c>
      <c r="U259" s="21" t="s">
        <v>1137</v>
      </c>
      <c r="V259" s="21">
        <v>142.32</v>
      </c>
      <c r="W259" s="21">
        <v>142.32</v>
      </c>
      <c r="X259" s="21" t="s">
        <v>1136</v>
      </c>
      <c r="Y259" s="21" t="s">
        <v>1132</v>
      </c>
      <c r="Z259" s="21" t="s">
        <v>189</v>
      </c>
      <c r="AA259" s="21" t="s">
        <v>189</v>
      </c>
      <c r="AB259" s="21"/>
      <c r="AC259" s="21" t="s">
        <v>189</v>
      </c>
      <c r="AD259" s="21" t="s">
        <v>189</v>
      </c>
      <c r="AE259" s="21">
        <v>0</v>
      </c>
      <c r="AF259" s="21">
        <v>0</v>
      </c>
      <c r="AG259" s="21">
        <v>0</v>
      </c>
      <c r="AH259" s="21">
        <v>0</v>
      </c>
      <c r="AI259" s="21">
        <v>0</v>
      </c>
      <c r="AJ259" s="21" t="s">
        <v>638</v>
      </c>
      <c r="AK259" s="21">
        <v>0</v>
      </c>
      <c r="AL259" s="21">
        <v>0</v>
      </c>
      <c r="AM259" s="21">
        <v>0</v>
      </c>
      <c r="AN259" s="21">
        <v>0</v>
      </c>
      <c r="AO259" s="21">
        <v>0</v>
      </c>
      <c r="AP259" s="21"/>
      <c r="AQ259" s="21">
        <v>0</v>
      </c>
      <c r="AR259" s="21">
        <v>0</v>
      </c>
      <c r="AS259" s="21">
        <v>187282.04</v>
      </c>
      <c r="AT259" s="21" t="s">
        <v>169</v>
      </c>
      <c r="AU259" s="21" t="s">
        <v>179</v>
      </c>
      <c r="AV259" s="21" t="s">
        <v>155</v>
      </c>
      <c r="AW259" s="21" t="s">
        <v>639</v>
      </c>
      <c r="AX259" s="21" t="s">
        <v>640</v>
      </c>
      <c r="AY259" s="21">
        <v>0</v>
      </c>
      <c r="AZ259" s="21">
        <v>115990.8</v>
      </c>
      <c r="BA259" s="21">
        <v>476</v>
      </c>
      <c r="BB259" s="21" t="s">
        <v>1132</v>
      </c>
      <c r="BC259" s="21" t="s">
        <v>176</v>
      </c>
      <c r="BD259" s="21" t="s">
        <v>641</v>
      </c>
      <c r="BE259" s="21" t="s">
        <v>641</v>
      </c>
      <c r="BF259" s="21">
        <v>9</v>
      </c>
      <c r="BG259" s="21">
        <v>10439.17</v>
      </c>
      <c r="BH259" s="21">
        <v>9</v>
      </c>
      <c r="BI259" s="21">
        <v>10439.17</v>
      </c>
      <c r="BJ259" s="21">
        <v>0</v>
      </c>
      <c r="BK259" s="21">
        <v>0</v>
      </c>
      <c r="BL259" s="21">
        <v>0</v>
      </c>
      <c r="BM259" s="21">
        <v>602169712877</v>
      </c>
      <c r="BN259" s="23">
        <v>46259</v>
      </c>
      <c r="BO259" s="21">
        <v>815</v>
      </c>
    </row>
    <row r="260" spans="1:67" hidden="1" x14ac:dyDescent="0.25">
      <c r="A260" s="22"/>
      <c r="B260" s="21" t="s">
        <v>167</v>
      </c>
      <c r="C260" s="21" t="s">
        <v>1132</v>
      </c>
      <c r="D260" s="21" t="s">
        <v>1138</v>
      </c>
      <c r="E260" s="21" t="s">
        <v>182</v>
      </c>
      <c r="F260" s="21" t="s">
        <v>183</v>
      </c>
      <c r="G260" s="21" t="s">
        <v>1139</v>
      </c>
      <c r="H260" s="21">
        <v>659</v>
      </c>
      <c r="I260" s="21">
        <v>659</v>
      </c>
      <c r="J260" s="21" t="s">
        <v>168</v>
      </c>
      <c r="K260" s="21">
        <v>659</v>
      </c>
      <c r="L260" s="21">
        <v>0</v>
      </c>
      <c r="M260" s="21">
        <v>659</v>
      </c>
      <c r="N260" s="21" t="s">
        <v>174</v>
      </c>
      <c r="O260" s="21" t="s">
        <v>633</v>
      </c>
      <c r="P260" s="21" t="s">
        <v>633</v>
      </c>
      <c r="Q260" s="21" t="s">
        <v>1140</v>
      </c>
      <c r="R260" s="21" t="s">
        <v>1132</v>
      </c>
      <c r="S260" s="21" t="s">
        <v>635</v>
      </c>
      <c r="T260" s="21" t="s">
        <v>636</v>
      </c>
      <c r="U260" s="21" t="s">
        <v>1141</v>
      </c>
      <c r="V260" s="21">
        <v>147.32</v>
      </c>
      <c r="W260" s="21">
        <v>147.32000025818499</v>
      </c>
      <c r="X260" s="21" t="s">
        <v>1140</v>
      </c>
      <c r="Y260" s="21" t="s">
        <v>1132</v>
      </c>
      <c r="Z260" s="21" t="s">
        <v>189</v>
      </c>
      <c r="AA260" s="21" t="s">
        <v>189</v>
      </c>
      <c r="AB260" s="21"/>
      <c r="AC260" s="21" t="s">
        <v>189</v>
      </c>
      <c r="AD260" s="21" t="s">
        <v>189</v>
      </c>
      <c r="AE260" s="21">
        <v>0</v>
      </c>
      <c r="AF260" s="21">
        <v>0</v>
      </c>
      <c r="AG260" s="21">
        <v>0</v>
      </c>
      <c r="AH260" s="21">
        <v>0</v>
      </c>
      <c r="AI260" s="21">
        <v>0</v>
      </c>
      <c r="AJ260" s="21" t="s">
        <v>638</v>
      </c>
      <c r="AK260" s="21">
        <v>0</v>
      </c>
      <c r="AL260" s="21">
        <v>0</v>
      </c>
      <c r="AM260" s="21">
        <v>0</v>
      </c>
      <c r="AN260" s="21">
        <v>0</v>
      </c>
      <c r="AO260" s="21">
        <v>0</v>
      </c>
      <c r="AP260" s="21"/>
      <c r="AQ260" s="21">
        <v>0</v>
      </c>
      <c r="AR260" s="21">
        <v>0</v>
      </c>
      <c r="AS260" s="21">
        <v>1141196.8799999999</v>
      </c>
      <c r="AT260" s="21" t="s">
        <v>169</v>
      </c>
      <c r="AU260" s="21" t="s">
        <v>179</v>
      </c>
      <c r="AV260" s="21" t="s">
        <v>155</v>
      </c>
      <c r="AW260" s="21" t="s">
        <v>639</v>
      </c>
      <c r="AX260" s="21" t="s">
        <v>640</v>
      </c>
      <c r="AY260" s="21">
        <v>0</v>
      </c>
      <c r="AZ260" s="21">
        <v>97083.88</v>
      </c>
      <c r="BA260" s="21">
        <v>477</v>
      </c>
      <c r="BB260" s="21" t="s">
        <v>1132</v>
      </c>
      <c r="BC260" s="21" t="s">
        <v>176</v>
      </c>
      <c r="BD260" s="21" t="s">
        <v>641</v>
      </c>
      <c r="BE260" s="21" t="s">
        <v>641</v>
      </c>
      <c r="BF260" s="21">
        <v>9</v>
      </c>
      <c r="BG260" s="21">
        <v>8737.5499999999993</v>
      </c>
      <c r="BH260" s="21">
        <v>9</v>
      </c>
      <c r="BI260" s="21">
        <v>8737.5499999999993</v>
      </c>
      <c r="BJ260" s="21">
        <v>0</v>
      </c>
      <c r="BK260" s="21">
        <v>0</v>
      </c>
      <c r="BL260" s="21">
        <v>1141196.8799999999</v>
      </c>
      <c r="BM260" s="21">
        <v>612170015979</v>
      </c>
      <c r="BN260" s="23">
        <v>46259</v>
      </c>
      <c r="BO260" s="21">
        <v>659</v>
      </c>
    </row>
    <row r="261" spans="1:67" hidden="1" x14ac:dyDescent="0.25">
      <c r="A261" s="22"/>
      <c r="B261" s="21" t="s">
        <v>167</v>
      </c>
      <c r="C261" s="21" t="s">
        <v>1132</v>
      </c>
      <c r="D261" s="21" t="s">
        <v>1138</v>
      </c>
      <c r="E261" s="21" t="s">
        <v>172</v>
      </c>
      <c r="F261" s="21" t="s">
        <v>173</v>
      </c>
      <c r="G261" s="21" t="s">
        <v>1139</v>
      </c>
      <c r="H261" s="21">
        <v>573</v>
      </c>
      <c r="I261" s="21">
        <v>573</v>
      </c>
      <c r="J261" s="21" t="s">
        <v>168</v>
      </c>
      <c r="K261" s="21">
        <v>573</v>
      </c>
      <c r="L261" s="21">
        <v>0</v>
      </c>
      <c r="M261" s="21">
        <v>573</v>
      </c>
      <c r="N261" s="21" t="s">
        <v>174</v>
      </c>
      <c r="O261" s="21" t="s">
        <v>633</v>
      </c>
      <c r="P261" s="21" t="s">
        <v>633</v>
      </c>
      <c r="Q261" s="21" t="s">
        <v>1140</v>
      </c>
      <c r="R261" s="21" t="s">
        <v>1132</v>
      </c>
      <c r="S261" s="21" t="s">
        <v>635</v>
      </c>
      <c r="T261" s="21" t="s">
        <v>636</v>
      </c>
      <c r="U261" s="21" t="s">
        <v>1141</v>
      </c>
      <c r="V261" s="21">
        <v>200.86</v>
      </c>
      <c r="W261" s="21">
        <v>200.86000035201599</v>
      </c>
      <c r="X261" s="21" t="s">
        <v>1140</v>
      </c>
      <c r="Y261" s="21" t="s">
        <v>1132</v>
      </c>
      <c r="Z261" s="21" t="s">
        <v>189</v>
      </c>
      <c r="AA261" s="21" t="s">
        <v>189</v>
      </c>
      <c r="AB261" s="21"/>
      <c r="AC261" s="21" t="s">
        <v>189</v>
      </c>
      <c r="AD261" s="21" t="s">
        <v>189</v>
      </c>
      <c r="AE261" s="21">
        <v>0</v>
      </c>
      <c r="AF261" s="21">
        <v>0</v>
      </c>
      <c r="AG261" s="21">
        <v>0</v>
      </c>
      <c r="AH261" s="21">
        <v>0</v>
      </c>
      <c r="AI261" s="21">
        <v>0</v>
      </c>
      <c r="AJ261" s="21" t="s">
        <v>638</v>
      </c>
      <c r="AK261" s="21">
        <v>0</v>
      </c>
      <c r="AL261" s="21">
        <v>0</v>
      </c>
      <c r="AM261" s="21">
        <v>0</v>
      </c>
      <c r="AN261" s="21">
        <v>0</v>
      </c>
      <c r="AO261" s="21">
        <v>0</v>
      </c>
      <c r="AP261" s="21"/>
      <c r="AQ261" s="21">
        <v>0</v>
      </c>
      <c r="AR261" s="21">
        <v>0</v>
      </c>
      <c r="AS261" s="21">
        <v>1141196.8799999999</v>
      </c>
      <c r="AT261" s="21" t="s">
        <v>169</v>
      </c>
      <c r="AU261" s="21" t="s">
        <v>175</v>
      </c>
      <c r="AV261" s="21" t="s">
        <v>159</v>
      </c>
      <c r="AW261" s="21" t="s">
        <v>639</v>
      </c>
      <c r="AX261" s="21" t="s">
        <v>640</v>
      </c>
      <c r="AY261" s="21">
        <v>0</v>
      </c>
      <c r="AZ261" s="21">
        <v>115092.78</v>
      </c>
      <c r="BA261" s="21">
        <v>477</v>
      </c>
      <c r="BB261" s="21" t="s">
        <v>1132</v>
      </c>
      <c r="BC261" s="21" t="s">
        <v>176</v>
      </c>
      <c r="BD261" s="21" t="s">
        <v>641</v>
      </c>
      <c r="BE261" s="21" t="s">
        <v>641</v>
      </c>
      <c r="BF261" s="21">
        <v>9</v>
      </c>
      <c r="BG261" s="21">
        <v>10358.35</v>
      </c>
      <c r="BH261" s="21">
        <v>9</v>
      </c>
      <c r="BI261" s="21">
        <v>10358.35</v>
      </c>
      <c r="BJ261" s="21">
        <v>0</v>
      </c>
      <c r="BK261" s="21">
        <v>0</v>
      </c>
      <c r="BL261" s="21">
        <v>0</v>
      </c>
      <c r="BM261" s="21">
        <v>612170015979</v>
      </c>
      <c r="BN261" s="23">
        <v>46259</v>
      </c>
      <c r="BO261" s="21">
        <v>573</v>
      </c>
    </row>
    <row r="262" spans="1:67" hidden="1" x14ac:dyDescent="0.25">
      <c r="A262" s="22"/>
      <c r="B262" s="21" t="s">
        <v>167</v>
      </c>
      <c r="C262" s="21" t="s">
        <v>1132</v>
      </c>
      <c r="D262" s="21" t="s">
        <v>1138</v>
      </c>
      <c r="E262" s="21" t="s">
        <v>172</v>
      </c>
      <c r="F262" s="21" t="s">
        <v>173</v>
      </c>
      <c r="G262" s="21" t="s">
        <v>1139</v>
      </c>
      <c r="H262" s="21">
        <v>469</v>
      </c>
      <c r="I262" s="21">
        <v>469</v>
      </c>
      <c r="J262" s="21" t="s">
        <v>168</v>
      </c>
      <c r="K262" s="21">
        <v>469</v>
      </c>
      <c r="L262" s="21">
        <v>0</v>
      </c>
      <c r="M262" s="21">
        <v>469</v>
      </c>
      <c r="N262" s="21" t="s">
        <v>174</v>
      </c>
      <c r="O262" s="21" t="s">
        <v>633</v>
      </c>
      <c r="P262" s="21" t="s">
        <v>633</v>
      </c>
      <c r="Q262" s="21" t="s">
        <v>1140</v>
      </c>
      <c r="R262" s="21" t="s">
        <v>1132</v>
      </c>
      <c r="S262" s="21" t="s">
        <v>635</v>
      </c>
      <c r="T262" s="21" t="s">
        <v>636</v>
      </c>
      <c r="U262" s="21" t="s">
        <v>1141</v>
      </c>
      <c r="V262" s="21">
        <v>180.86</v>
      </c>
      <c r="W262" s="21">
        <v>180.860000316965</v>
      </c>
      <c r="X262" s="21" t="s">
        <v>1140</v>
      </c>
      <c r="Y262" s="21" t="s">
        <v>1132</v>
      </c>
      <c r="Z262" s="21" t="s">
        <v>189</v>
      </c>
      <c r="AA262" s="21" t="s">
        <v>189</v>
      </c>
      <c r="AB262" s="21"/>
      <c r="AC262" s="21" t="s">
        <v>189</v>
      </c>
      <c r="AD262" s="21" t="s">
        <v>189</v>
      </c>
      <c r="AE262" s="21">
        <v>0</v>
      </c>
      <c r="AF262" s="21">
        <v>0</v>
      </c>
      <c r="AG262" s="21">
        <v>0</v>
      </c>
      <c r="AH262" s="21">
        <v>0</v>
      </c>
      <c r="AI262" s="21">
        <v>0</v>
      </c>
      <c r="AJ262" s="21" t="s">
        <v>638</v>
      </c>
      <c r="AK262" s="21">
        <v>0</v>
      </c>
      <c r="AL262" s="21">
        <v>0</v>
      </c>
      <c r="AM262" s="21">
        <v>0</v>
      </c>
      <c r="AN262" s="21">
        <v>0</v>
      </c>
      <c r="AO262" s="21">
        <v>0</v>
      </c>
      <c r="AP262" s="21"/>
      <c r="AQ262" s="21">
        <v>0</v>
      </c>
      <c r="AR262" s="21">
        <v>0</v>
      </c>
      <c r="AS262" s="21">
        <v>1141196.8799999999</v>
      </c>
      <c r="AT262" s="21" t="s">
        <v>169</v>
      </c>
      <c r="AU262" s="21" t="s">
        <v>175</v>
      </c>
      <c r="AV262" s="21" t="s">
        <v>159</v>
      </c>
      <c r="AW262" s="21" t="s">
        <v>639</v>
      </c>
      <c r="AX262" s="21" t="s">
        <v>640</v>
      </c>
      <c r="AY262" s="21">
        <v>0</v>
      </c>
      <c r="AZ262" s="21">
        <v>84823.34</v>
      </c>
      <c r="BA262" s="21">
        <v>477</v>
      </c>
      <c r="BB262" s="21" t="s">
        <v>1132</v>
      </c>
      <c r="BC262" s="21" t="s">
        <v>176</v>
      </c>
      <c r="BD262" s="21" t="s">
        <v>641</v>
      </c>
      <c r="BE262" s="21" t="s">
        <v>641</v>
      </c>
      <c r="BF262" s="21">
        <v>9</v>
      </c>
      <c r="BG262" s="21">
        <v>7634.1</v>
      </c>
      <c r="BH262" s="21">
        <v>9</v>
      </c>
      <c r="BI262" s="21">
        <v>7634.1</v>
      </c>
      <c r="BJ262" s="21">
        <v>0</v>
      </c>
      <c r="BK262" s="21">
        <v>0</v>
      </c>
      <c r="BL262" s="21">
        <v>0</v>
      </c>
      <c r="BM262" s="21">
        <v>612170015979</v>
      </c>
      <c r="BN262" s="23">
        <v>46259</v>
      </c>
      <c r="BO262" s="21">
        <v>469</v>
      </c>
    </row>
    <row r="263" spans="1:67" hidden="1" x14ac:dyDescent="0.25">
      <c r="A263" s="22"/>
      <c r="B263" s="21" t="s">
        <v>167</v>
      </c>
      <c r="C263" s="21" t="s">
        <v>1132</v>
      </c>
      <c r="D263" s="21" t="s">
        <v>1138</v>
      </c>
      <c r="E263" s="21" t="s">
        <v>180</v>
      </c>
      <c r="F263" s="21" t="s">
        <v>181</v>
      </c>
      <c r="G263" s="21" t="s">
        <v>1139</v>
      </c>
      <c r="H263" s="21">
        <v>265</v>
      </c>
      <c r="I263" s="21">
        <v>265</v>
      </c>
      <c r="J263" s="21" t="s">
        <v>168</v>
      </c>
      <c r="K263" s="21">
        <v>265</v>
      </c>
      <c r="L263" s="21">
        <v>0</v>
      </c>
      <c r="M263" s="21">
        <v>265</v>
      </c>
      <c r="N263" s="21" t="s">
        <v>174</v>
      </c>
      <c r="O263" s="21" t="s">
        <v>633</v>
      </c>
      <c r="P263" s="21" t="s">
        <v>633</v>
      </c>
      <c r="Q263" s="21" t="s">
        <v>1140</v>
      </c>
      <c r="R263" s="21" t="s">
        <v>1132</v>
      </c>
      <c r="S263" s="21" t="s">
        <v>635</v>
      </c>
      <c r="T263" s="21" t="s">
        <v>636</v>
      </c>
      <c r="U263" s="21" t="s">
        <v>1141</v>
      </c>
      <c r="V263" s="21">
        <v>165.32</v>
      </c>
      <c r="W263" s="21">
        <v>165.32000028973101</v>
      </c>
      <c r="X263" s="21" t="s">
        <v>1140</v>
      </c>
      <c r="Y263" s="21" t="s">
        <v>1132</v>
      </c>
      <c r="Z263" s="21" t="s">
        <v>189</v>
      </c>
      <c r="AA263" s="21" t="s">
        <v>189</v>
      </c>
      <c r="AB263" s="21"/>
      <c r="AC263" s="21" t="s">
        <v>189</v>
      </c>
      <c r="AD263" s="21" t="s">
        <v>189</v>
      </c>
      <c r="AE263" s="21">
        <v>0</v>
      </c>
      <c r="AF263" s="21">
        <v>0</v>
      </c>
      <c r="AG263" s="21">
        <v>0</v>
      </c>
      <c r="AH263" s="21">
        <v>0</v>
      </c>
      <c r="AI263" s="21">
        <v>0</v>
      </c>
      <c r="AJ263" s="21" t="s">
        <v>638</v>
      </c>
      <c r="AK263" s="21">
        <v>0</v>
      </c>
      <c r="AL263" s="21">
        <v>0</v>
      </c>
      <c r="AM263" s="21">
        <v>0</v>
      </c>
      <c r="AN263" s="21">
        <v>0</v>
      </c>
      <c r="AO263" s="21">
        <v>0</v>
      </c>
      <c r="AP263" s="21"/>
      <c r="AQ263" s="21">
        <v>0</v>
      </c>
      <c r="AR263" s="21">
        <v>0</v>
      </c>
      <c r="AS263" s="21">
        <v>1141196.8799999999</v>
      </c>
      <c r="AT263" s="21" t="s">
        <v>169</v>
      </c>
      <c r="AU263" s="21" t="s">
        <v>181</v>
      </c>
      <c r="AV263" s="21" t="s">
        <v>154</v>
      </c>
      <c r="AW263" s="21" t="s">
        <v>639</v>
      </c>
      <c r="AX263" s="21" t="s">
        <v>640</v>
      </c>
      <c r="AY263" s="21">
        <v>0</v>
      </c>
      <c r="AZ263" s="21">
        <v>43809.8</v>
      </c>
      <c r="BA263" s="21">
        <v>477</v>
      </c>
      <c r="BB263" s="21" t="s">
        <v>1132</v>
      </c>
      <c r="BC263" s="21" t="s">
        <v>176</v>
      </c>
      <c r="BD263" s="21" t="s">
        <v>641</v>
      </c>
      <c r="BE263" s="21" t="s">
        <v>641</v>
      </c>
      <c r="BF263" s="21">
        <v>9</v>
      </c>
      <c r="BG263" s="21">
        <v>3942.88</v>
      </c>
      <c r="BH263" s="21">
        <v>9</v>
      </c>
      <c r="BI263" s="21">
        <v>3942.88</v>
      </c>
      <c r="BJ263" s="21">
        <v>0</v>
      </c>
      <c r="BK263" s="21">
        <v>0</v>
      </c>
      <c r="BL263" s="21">
        <v>0</v>
      </c>
      <c r="BM263" s="21">
        <v>612170015979</v>
      </c>
      <c r="BN263" s="23">
        <v>46259</v>
      </c>
      <c r="BO263" s="21">
        <v>265</v>
      </c>
    </row>
    <row r="264" spans="1:67" hidden="1" x14ac:dyDescent="0.25">
      <c r="A264" s="22"/>
      <c r="B264" s="21" t="s">
        <v>167</v>
      </c>
      <c r="C264" s="21" t="s">
        <v>1132</v>
      </c>
      <c r="D264" s="21" t="s">
        <v>1138</v>
      </c>
      <c r="E264" s="21" t="s">
        <v>180</v>
      </c>
      <c r="F264" s="21" t="s">
        <v>181</v>
      </c>
      <c r="G264" s="21" t="s">
        <v>1139</v>
      </c>
      <c r="H264" s="21">
        <v>404</v>
      </c>
      <c r="I264" s="21">
        <v>404</v>
      </c>
      <c r="J264" s="21" t="s">
        <v>168</v>
      </c>
      <c r="K264" s="21">
        <v>404</v>
      </c>
      <c r="L264" s="21">
        <v>0</v>
      </c>
      <c r="M264" s="21">
        <v>404</v>
      </c>
      <c r="N264" s="21" t="s">
        <v>174</v>
      </c>
      <c r="O264" s="21" t="s">
        <v>633</v>
      </c>
      <c r="P264" s="21" t="s">
        <v>633</v>
      </c>
      <c r="Q264" s="21" t="s">
        <v>1140</v>
      </c>
      <c r="R264" s="21" t="s">
        <v>1132</v>
      </c>
      <c r="S264" s="21" t="s">
        <v>635</v>
      </c>
      <c r="T264" s="21" t="s">
        <v>636</v>
      </c>
      <c r="U264" s="21" t="s">
        <v>1141</v>
      </c>
      <c r="V264" s="21">
        <v>144.32</v>
      </c>
      <c r="W264" s="21">
        <v>144.320000252927</v>
      </c>
      <c r="X264" s="21" t="s">
        <v>1140</v>
      </c>
      <c r="Y264" s="21" t="s">
        <v>1132</v>
      </c>
      <c r="Z264" s="21" t="s">
        <v>189</v>
      </c>
      <c r="AA264" s="21" t="s">
        <v>189</v>
      </c>
      <c r="AB264" s="21"/>
      <c r="AC264" s="21" t="s">
        <v>189</v>
      </c>
      <c r="AD264" s="21" t="s">
        <v>189</v>
      </c>
      <c r="AE264" s="21">
        <v>0</v>
      </c>
      <c r="AF264" s="21">
        <v>0</v>
      </c>
      <c r="AG264" s="21">
        <v>0</v>
      </c>
      <c r="AH264" s="21">
        <v>0</v>
      </c>
      <c r="AI264" s="21">
        <v>0</v>
      </c>
      <c r="AJ264" s="21" t="s">
        <v>638</v>
      </c>
      <c r="AK264" s="21">
        <v>0</v>
      </c>
      <c r="AL264" s="21">
        <v>0</v>
      </c>
      <c r="AM264" s="21">
        <v>0</v>
      </c>
      <c r="AN264" s="21">
        <v>0</v>
      </c>
      <c r="AO264" s="21">
        <v>0</v>
      </c>
      <c r="AP264" s="21"/>
      <c r="AQ264" s="21">
        <v>0</v>
      </c>
      <c r="AR264" s="21">
        <v>0</v>
      </c>
      <c r="AS264" s="21">
        <v>1141196.8799999999</v>
      </c>
      <c r="AT264" s="21" t="s">
        <v>169</v>
      </c>
      <c r="AU264" s="21" t="s">
        <v>181</v>
      </c>
      <c r="AV264" s="21" t="s">
        <v>154</v>
      </c>
      <c r="AW264" s="21" t="s">
        <v>639</v>
      </c>
      <c r="AX264" s="21" t="s">
        <v>640</v>
      </c>
      <c r="AY264" s="21">
        <v>0</v>
      </c>
      <c r="AZ264" s="21">
        <v>58305.279999999999</v>
      </c>
      <c r="BA264" s="21">
        <v>477</v>
      </c>
      <c r="BB264" s="21" t="s">
        <v>1132</v>
      </c>
      <c r="BC264" s="21" t="s">
        <v>176</v>
      </c>
      <c r="BD264" s="21" t="s">
        <v>641</v>
      </c>
      <c r="BE264" s="21" t="s">
        <v>641</v>
      </c>
      <c r="BF264" s="21">
        <v>9</v>
      </c>
      <c r="BG264" s="21">
        <v>5247.48</v>
      </c>
      <c r="BH264" s="21">
        <v>9</v>
      </c>
      <c r="BI264" s="21">
        <v>5247.48</v>
      </c>
      <c r="BJ264" s="21">
        <v>0</v>
      </c>
      <c r="BK264" s="21">
        <v>0</v>
      </c>
      <c r="BL264" s="21">
        <v>0</v>
      </c>
      <c r="BM264" s="21">
        <v>612170015979</v>
      </c>
      <c r="BN264" s="23">
        <v>46259</v>
      </c>
      <c r="BO264" s="21">
        <v>404</v>
      </c>
    </row>
    <row r="265" spans="1:67" hidden="1" x14ac:dyDescent="0.25">
      <c r="A265" s="22"/>
      <c r="B265" s="21" t="s">
        <v>167</v>
      </c>
      <c r="C265" s="21" t="s">
        <v>1132</v>
      </c>
      <c r="D265" s="21" t="s">
        <v>1138</v>
      </c>
      <c r="E265" s="21" t="s">
        <v>180</v>
      </c>
      <c r="F265" s="21" t="s">
        <v>181</v>
      </c>
      <c r="G265" s="21" t="s">
        <v>1139</v>
      </c>
      <c r="H265" s="21">
        <v>1330.2</v>
      </c>
      <c r="I265" s="21">
        <v>1330.2</v>
      </c>
      <c r="J265" s="21" t="s">
        <v>168</v>
      </c>
      <c r="K265" s="21">
        <v>1330.2</v>
      </c>
      <c r="L265" s="21">
        <v>0</v>
      </c>
      <c r="M265" s="21">
        <v>1330.2</v>
      </c>
      <c r="N265" s="21" t="s">
        <v>174</v>
      </c>
      <c r="O265" s="21" t="s">
        <v>633</v>
      </c>
      <c r="P265" s="21" t="s">
        <v>633</v>
      </c>
      <c r="Q265" s="21" t="s">
        <v>1140</v>
      </c>
      <c r="R265" s="21" t="s">
        <v>1132</v>
      </c>
      <c r="S265" s="21" t="s">
        <v>635</v>
      </c>
      <c r="T265" s="21" t="s">
        <v>636</v>
      </c>
      <c r="U265" s="21" t="s">
        <v>1141</v>
      </c>
      <c r="V265" s="21">
        <v>147.32</v>
      </c>
      <c r="W265" s="21">
        <v>147.32000025818499</v>
      </c>
      <c r="X265" s="21" t="s">
        <v>1140</v>
      </c>
      <c r="Y265" s="21" t="s">
        <v>1132</v>
      </c>
      <c r="Z265" s="21" t="s">
        <v>189</v>
      </c>
      <c r="AA265" s="21" t="s">
        <v>189</v>
      </c>
      <c r="AB265" s="21"/>
      <c r="AC265" s="21" t="s">
        <v>189</v>
      </c>
      <c r="AD265" s="21" t="s">
        <v>189</v>
      </c>
      <c r="AE265" s="21">
        <v>0</v>
      </c>
      <c r="AF265" s="21">
        <v>0</v>
      </c>
      <c r="AG265" s="21">
        <v>0</v>
      </c>
      <c r="AH265" s="21">
        <v>0</v>
      </c>
      <c r="AI265" s="21">
        <v>0</v>
      </c>
      <c r="AJ265" s="21" t="s">
        <v>638</v>
      </c>
      <c r="AK265" s="21">
        <v>0</v>
      </c>
      <c r="AL265" s="21">
        <v>0</v>
      </c>
      <c r="AM265" s="21">
        <v>0</v>
      </c>
      <c r="AN265" s="21">
        <v>0</v>
      </c>
      <c r="AO265" s="21">
        <v>0</v>
      </c>
      <c r="AP265" s="21"/>
      <c r="AQ265" s="21">
        <v>0</v>
      </c>
      <c r="AR265" s="21">
        <v>0</v>
      </c>
      <c r="AS265" s="21">
        <v>1141196.8799999999</v>
      </c>
      <c r="AT265" s="21" t="s">
        <v>169</v>
      </c>
      <c r="AU265" s="21" t="s">
        <v>181</v>
      </c>
      <c r="AV265" s="21" t="s">
        <v>154</v>
      </c>
      <c r="AW265" s="21" t="s">
        <v>639</v>
      </c>
      <c r="AX265" s="21" t="s">
        <v>640</v>
      </c>
      <c r="AY265" s="21">
        <v>0</v>
      </c>
      <c r="AZ265" s="21">
        <v>195965.06</v>
      </c>
      <c r="BA265" s="21">
        <v>477</v>
      </c>
      <c r="BB265" s="21" t="s">
        <v>1132</v>
      </c>
      <c r="BC265" s="21" t="s">
        <v>176</v>
      </c>
      <c r="BD265" s="21" t="s">
        <v>641</v>
      </c>
      <c r="BE265" s="21" t="s">
        <v>641</v>
      </c>
      <c r="BF265" s="21">
        <v>9</v>
      </c>
      <c r="BG265" s="21">
        <v>17636.86</v>
      </c>
      <c r="BH265" s="21">
        <v>9</v>
      </c>
      <c r="BI265" s="21">
        <v>17636.86</v>
      </c>
      <c r="BJ265" s="21">
        <v>0</v>
      </c>
      <c r="BK265" s="21">
        <v>0</v>
      </c>
      <c r="BL265" s="21">
        <v>0</v>
      </c>
      <c r="BM265" s="21">
        <v>612170015979</v>
      </c>
      <c r="BN265" s="23">
        <v>46259</v>
      </c>
      <c r="BO265" s="21">
        <v>1330.2</v>
      </c>
    </row>
    <row r="266" spans="1:67" hidden="1" x14ac:dyDescent="0.25">
      <c r="A266" s="22"/>
      <c r="B266" s="21" t="s">
        <v>167</v>
      </c>
      <c r="C266" s="21" t="s">
        <v>1132</v>
      </c>
      <c r="D266" s="21" t="s">
        <v>1138</v>
      </c>
      <c r="E266" s="21" t="s">
        <v>177</v>
      </c>
      <c r="F266" s="21" t="s">
        <v>178</v>
      </c>
      <c r="G266" s="21" t="s">
        <v>1139</v>
      </c>
      <c r="H266" s="21">
        <v>1291</v>
      </c>
      <c r="I266" s="21">
        <v>1291</v>
      </c>
      <c r="J266" s="21" t="s">
        <v>168</v>
      </c>
      <c r="K266" s="21">
        <v>1291</v>
      </c>
      <c r="L266" s="21">
        <v>0</v>
      </c>
      <c r="M266" s="21">
        <v>1291</v>
      </c>
      <c r="N266" s="21" t="s">
        <v>174</v>
      </c>
      <c r="O266" s="21" t="s">
        <v>633</v>
      </c>
      <c r="P266" s="21" t="s">
        <v>633</v>
      </c>
      <c r="Q266" s="21" t="s">
        <v>1140</v>
      </c>
      <c r="R266" s="21" t="s">
        <v>1132</v>
      </c>
      <c r="S266" s="21" t="s">
        <v>635</v>
      </c>
      <c r="T266" s="21" t="s">
        <v>636</v>
      </c>
      <c r="U266" s="21" t="s">
        <v>1141</v>
      </c>
      <c r="V266" s="21">
        <v>149.32</v>
      </c>
      <c r="W266" s="21">
        <v>149.32000026169001</v>
      </c>
      <c r="X266" s="21" t="s">
        <v>1140</v>
      </c>
      <c r="Y266" s="21" t="s">
        <v>1132</v>
      </c>
      <c r="Z266" s="21" t="s">
        <v>189</v>
      </c>
      <c r="AA266" s="21" t="s">
        <v>189</v>
      </c>
      <c r="AB266" s="21"/>
      <c r="AC266" s="21" t="s">
        <v>189</v>
      </c>
      <c r="AD266" s="21" t="s">
        <v>189</v>
      </c>
      <c r="AE266" s="21">
        <v>0</v>
      </c>
      <c r="AF266" s="21">
        <v>0</v>
      </c>
      <c r="AG266" s="21">
        <v>0</v>
      </c>
      <c r="AH266" s="21">
        <v>0</v>
      </c>
      <c r="AI266" s="21">
        <v>0</v>
      </c>
      <c r="AJ266" s="21" t="s">
        <v>638</v>
      </c>
      <c r="AK266" s="21">
        <v>0</v>
      </c>
      <c r="AL266" s="21">
        <v>0</v>
      </c>
      <c r="AM266" s="21">
        <v>0</v>
      </c>
      <c r="AN266" s="21">
        <v>0</v>
      </c>
      <c r="AO266" s="21">
        <v>0</v>
      </c>
      <c r="AP266" s="21"/>
      <c r="AQ266" s="21">
        <v>0</v>
      </c>
      <c r="AR266" s="21">
        <v>0</v>
      </c>
      <c r="AS266" s="21">
        <v>1141196.8799999999</v>
      </c>
      <c r="AT266" s="21" t="s">
        <v>169</v>
      </c>
      <c r="AU266" s="21" t="s">
        <v>179</v>
      </c>
      <c r="AV266" s="21" t="s">
        <v>156</v>
      </c>
      <c r="AW266" s="21" t="s">
        <v>639</v>
      </c>
      <c r="AX266" s="21" t="s">
        <v>640</v>
      </c>
      <c r="AY266" s="21">
        <v>0</v>
      </c>
      <c r="AZ266" s="21">
        <v>192772.12</v>
      </c>
      <c r="BA266" s="21">
        <v>477</v>
      </c>
      <c r="BB266" s="21" t="s">
        <v>1132</v>
      </c>
      <c r="BC266" s="21" t="s">
        <v>176</v>
      </c>
      <c r="BD266" s="21" t="s">
        <v>641</v>
      </c>
      <c r="BE266" s="21" t="s">
        <v>641</v>
      </c>
      <c r="BF266" s="21">
        <v>9</v>
      </c>
      <c r="BG266" s="21">
        <v>17349.490000000002</v>
      </c>
      <c r="BH266" s="21">
        <v>9</v>
      </c>
      <c r="BI266" s="21">
        <v>17349.490000000002</v>
      </c>
      <c r="BJ266" s="21">
        <v>0</v>
      </c>
      <c r="BK266" s="21">
        <v>0</v>
      </c>
      <c r="BL266" s="21">
        <v>0</v>
      </c>
      <c r="BM266" s="21">
        <v>612170015979</v>
      </c>
      <c r="BN266" s="23">
        <v>46259</v>
      </c>
      <c r="BO266" s="21">
        <v>1291</v>
      </c>
    </row>
    <row r="267" spans="1:67" hidden="1" x14ac:dyDescent="0.25">
      <c r="A267" s="22"/>
      <c r="B267" s="21" t="s">
        <v>167</v>
      </c>
      <c r="C267" s="21" t="s">
        <v>1132</v>
      </c>
      <c r="D267" s="21" t="s">
        <v>1138</v>
      </c>
      <c r="E267" s="21" t="s">
        <v>704</v>
      </c>
      <c r="F267" s="21" t="s">
        <v>705</v>
      </c>
      <c r="G267" s="21" t="s">
        <v>1139</v>
      </c>
      <c r="H267" s="21">
        <v>892.9</v>
      </c>
      <c r="I267" s="21">
        <v>892.9</v>
      </c>
      <c r="J267" s="21" t="s">
        <v>184</v>
      </c>
      <c r="K267" s="21">
        <v>892.9</v>
      </c>
      <c r="L267" s="21">
        <v>0</v>
      </c>
      <c r="M267" s="21">
        <v>892.9</v>
      </c>
      <c r="N267" s="21" t="s">
        <v>174</v>
      </c>
      <c r="O267" s="21" t="s">
        <v>633</v>
      </c>
      <c r="P267" s="21" t="s">
        <v>633</v>
      </c>
      <c r="Q267" s="21" t="s">
        <v>1140</v>
      </c>
      <c r="R267" s="21" t="s">
        <v>1132</v>
      </c>
      <c r="S267" s="21" t="s">
        <v>635</v>
      </c>
      <c r="T267" s="21" t="s">
        <v>636</v>
      </c>
      <c r="U267" s="21" t="s">
        <v>1141</v>
      </c>
      <c r="V267" s="21">
        <v>154.32</v>
      </c>
      <c r="W267" s="21">
        <v>154.32000027045299</v>
      </c>
      <c r="X267" s="21" t="s">
        <v>1140</v>
      </c>
      <c r="Y267" s="21" t="s">
        <v>1132</v>
      </c>
      <c r="Z267" s="21" t="s">
        <v>189</v>
      </c>
      <c r="AA267" s="21" t="s">
        <v>189</v>
      </c>
      <c r="AB267" s="21"/>
      <c r="AC267" s="21" t="s">
        <v>189</v>
      </c>
      <c r="AD267" s="21" t="s">
        <v>189</v>
      </c>
      <c r="AE267" s="21">
        <v>0</v>
      </c>
      <c r="AF267" s="21">
        <v>0</v>
      </c>
      <c r="AG267" s="21">
        <v>0</v>
      </c>
      <c r="AH267" s="21">
        <v>0</v>
      </c>
      <c r="AI267" s="21">
        <v>0</v>
      </c>
      <c r="AJ267" s="21" t="s">
        <v>638</v>
      </c>
      <c r="AK267" s="21">
        <v>0</v>
      </c>
      <c r="AL267" s="21">
        <v>0</v>
      </c>
      <c r="AM267" s="21">
        <v>0</v>
      </c>
      <c r="AN267" s="21">
        <v>0</v>
      </c>
      <c r="AO267" s="21">
        <v>0</v>
      </c>
      <c r="AP267" s="21"/>
      <c r="AQ267" s="21">
        <v>0</v>
      </c>
      <c r="AR267" s="21">
        <v>0</v>
      </c>
      <c r="AS267" s="21">
        <v>1141196.8799999999</v>
      </c>
      <c r="AT267" s="21" t="s">
        <v>169</v>
      </c>
      <c r="AU267" s="21" t="s">
        <v>170</v>
      </c>
      <c r="AV267" s="21" t="s">
        <v>157</v>
      </c>
      <c r="AW267" s="21" t="s">
        <v>639</v>
      </c>
      <c r="AX267" s="21"/>
      <c r="AY267" s="21">
        <v>0</v>
      </c>
      <c r="AZ267" s="21">
        <v>137792.32999999999</v>
      </c>
      <c r="BA267" s="21">
        <v>477</v>
      </c>
      <c r="BB267" s="21" t="s">
        <v>1132</v>
      </c>
      <c r="BC267" s="21" t="s">
        <v>176</v>
      </c>
      <c r="BD267" s="21" t="s">
        <v>641</v>
      </c>
      <c r="BE267" s="21" t="s">
        <v>641</v>
      </c>
      <c r="BF267" s="21">
        <v>2.5</v>
      </c>
      <c r="BG267" s="21">
        <v>3444.81</v>
      </c>
      <c r="BH267" s="21">
        <v>2.5</v>
      </c>
      <c r="BI267" s="21">
        <v>3444.81</v>
      </c>
      <c r="BJ267" s="21">
        <v>0</v>
      </c>
      <c r="BK267" s="21">
        <v>0</v>
      </c>
      <c r="BL267" s="21">
        <v>0</v>
      </c>
      <c r="BM267" s="21">
        <v>612170015979</v>
      </c>
      <c r="BN267" s="23">
        <v>46259</v>
      </c>
      <c r="BO267" s="21">
        <v>892.9</v>
      </c>
    </row>
    <row r="268" spans="1:67" hidden="1" x14ac:dyDescent="0.25">
      <c r="A268" s="22"/>
      <c r="B268" s="21" t="s">
        <v>167</v>
      </c>
      <c r="C268" s="21" t="s">
        <v>1132</v>
      </c>
      <c r="D268" s="21" t="s">
        <v>1138</v>
      </c>
      <c r="E268" s="21" t="s">
        <v>918</v>
      </c>
      <c r="F268" s="21" t="s">
        <v>919</v>
      </c>
      <c r="G268" s="21" t="s">
        <v>1139</v>
      </c>
      <c r="H268" s="21">
        <v>204.5</v>
      </c>
      <c r="I268" s="21">
        <v>204.5</v>
      </c>
      <c r="J268" s="21" t="s">
        <v>184</v>
      </c>
      <c r="K268" s="21">
        <v>204.5</v>
      </c>
      <c r="L268" s="21">
        <v>0</v>
      </c>
      <c r="M268" s="21">
        <v>204.5</v>
      </c>
      <c r="N268" s="21" t="s">
        <v>174</v>
      </c>
      <c r="O268" s="21" t="s">
        <v>633</v>
      </c>
      <c r="P268" s="21" t="s">
        <v>633</v>
      </c>
      <c r="Q268" s="21" t="s">
        <v>1140</v>
      </c>
      <c r="R268" s="21" t="s">
        <v>1132</v>
      </c>
      <c r="S268" s="21" t="s">
        <v>635</v>
      </c>
      <c r="T268" s="21" t="s">
        <v>636</v>
      </c>
      <c r="U268" s="21" t="s">
        <v>1141</v>
      </c>
      <c r="V268" s="21">
        <v>157.32</v>
      </c>
      <c r="W268" s="21">
        <v>157.32000027570999</v>
      </c>
      <c r="X268" s="21" t="s">
        <v>1140</v>
      </c>
      <c r="Y268" s="21" t="s">
        <v>1132</v>
      </c>
      <c r="Z268" s="21" t="s">
        <v>189</v>
      </c>
      <c r="AA268" s="21" t="s">
        <v>189</v>
      </c>
      <c r="AB268" s="21"/>
      <c r="AC268" s="21" t="s">
        <v>189</v>
      </c>
      <c r="AD268" s="21" t="s">
        <v>189</v>
      </c>
      <c r="AE268" s="21">
        <v>0</v>
      </c>
      <c r="AF268" s="21">
        <v>0</v>
      </c>
      <c r="AG268" s="21">
        <v>0</v>
      </c>
      <c r="AH268" s="21">
        <v>0</v>
      </c>
      <c r="AI268" s="21">
        <v>0</v>
      </c>
      <c r="AJ268" s="21" t="s">
        <v>638</v>
      </c>
      <c r="AK268" s="21">
        <v>0</v>
      </c>
      <c r="AL268" s="21">
        <v>0</v>
      </c>
      <c r="AM268" s="21">
        <v>0</v>
      </c>
      <c r="AN268" s="21">
        <v>0</v>
      </c>
      <c r="AO268" s="21">
        <v>0</v>
      </c>
      <c r="AP268" s="21"/>
      <c r="AQ268" s="21">
        <v>0</v>
      </c>
      <c r="AR268" s="21">
        <v>0</v>
      </c>
      <c r="AS268" s="21">
        <v>1141196.8799999999</v>
      </c>
      <c r="AT268" s="21" t="s">
        <v>169</v>
      </c>
      <c r="AU268" s="21" t="s">
        <v>170</v>
      </c>
      <c r="AV268" s="21" t="s">
        <v>157</v>
      </c>
      <c r="AW268" s="21" t="s">
        <v>639</v>
      </c>
      <c r="AX268" s="21"/>
      <c r="AY268" s="21">
        <v>0</v>
      </c>
      <c r="AZ268" s="21">
        <v>32171.94</v>
      </c>
      <c r="BA268" s="21">
        <v>477</v>
      </c>
      <c r="BB268" s="21" t="s">
        <v>1132</v>
      </c>
      <c r="BC268" s="21" t="s">
        <v>176</v>
      </c>
      <c r="BD268" s="21" t="s">
        <v>641</v>
      </c>
      <c r="BE268" s="21" t="s">
        <v>641</v>
      </c>
      <c r="BF268" s="21">
        <v>2.5</v>
      </c>
      <c r="BG268" s="21">
        <v>804.3</v>
      </c>
      <c r="BH268" s="21">
        <v>2.5</v>
      </c>
      <c r="BI268" s="21">
        <v>804.3</v>
      </c>
      <c r="BJ268" s="21">
        <v>0</v>
      </c>
      <c r="BK268" s="21">
        <v>0</v>
      </c>
      <c r="BL268" s="21">
        <v>0</v>
      </c>
      <c r="BM268" s="21">
        <v>612170015979</v>
      </c>
      <c r="BN268" s="23">
        <v>46259</v>
      </c>
      <c r="BO268" s="21">
        <v>204.5</v>
      </c>
    </row>
    <row r="269" spans="1:67" hidden="1" x14ac:dyDescent="0.25">
      <c r="A269" s="22"/>
      <c r="B269" s="21" t="s">
        <v>167</v>
      </c>
      <c r="C269" s="21" t="s">
        <v>1132</v>
      </c>
      <c r="D269" s="21" t="s">
        <v>1138</v>
      </c>
      <c r="E269" s="21" t="s">
        <v>726</v>
      </c>
      <c r="F269" s="21" t="s">
        <v>727</v>
      </c>
      <c r="G269" s="21" t="s">
        <v>1139</v>
      </c>
      <c r="H269" s="21">
        <v>198.3</v>
      </c>
      <c r="I269" s="21">
        <v>198.3</v>
      </c>
      <c r="J269" s="21" t="s">
        <v>168</v>
      </c>
      <c r="K269" s="21">
        <v>198.3</v>
      </c>
      <c r="L269" s="21">
        <v>0</v>
      </c>
      <c r="M269" s="21">
        <v>198.3</v>
      </c>
      <c r="N269" s="21" t="s">
        <v>174</v>
      </c>
      <c r="O269" s="21" t="s">
        <v>633</v>
      </c>
      <c r="P269" s="21" t="s">
        <v>633</v>
      </c>
      <c r="Q269" s="21" t="s">
        <v>1140</v>
      </c>
      <c r="R269" s="21" t="s">
        <v>1132</v>
      </c>
      <c r="S269" s="21" t="s">
        <v>635</v>
      </c>
      <c r="T269" s="21" t="s">
        <v>636</v>
      </c>
      <c r="U269" s="21" t="s">
        <v>1141</v>
      </c>
      <c r="V269" s="21">
        <v>158.82</v>
      </c>
      <c r="W269" s="21">
        <v>158.82000027833899</v>
      </c>
      <c r="X269" s="21" t="s">
        <v>1140</v>
      </c>
      <c r="Y269" s="21" t="s">
        <v>1132</v>
      </c>
      <c r="Z269" s="21" t="s">
        <v>189</v>
      </c>
      <c r="AA269" s="21" t="s">
        <v>189</v>
      </c>
      <c r="AB269" s="21"/>
      <c r="AC269" s="21" t="s">
        <v>189</v>
      </c>
      <c r="AD269" s="21" t="s">
        <v>189</v>
      </c>
      <c r="AE269" s="21">
        <v>0</v>
      </c>
      <c r="AF269" s="21">
        <v>0</v>
      </c>
      <c r="AG269" s="21">
        <v>0</v>
      </c>
      <c r="AH269" s="21">
        <v>0</v>
      </c>
      <c r="AI269" s="21">
        <v>0</v>
      </c>
      <c r="AJ269" s="21" t="s">
        <v>638</v>
      </c>
      <c r="AK269" s="21">
        <v>0</v>
      </c>
      <c r="AL269" s="21">
        <v>0</v>
      </c>
      <c r="AM269" s="21">
        <v>0</v>
      </c>
      <c r="AN269" s="21">
        <v>0</v>
      </c>
      <c r="AO269" s="21">
        <v>0</v>
      </c>
      <c r="AP269" s="21"/>
      <c r="AQ269" s="21">
        <v>0</v>
      </c>
      <c r="AR269" s="21">
        <v>0</v>
      </c>
      <c r="AS269" s="21">
        <v>1141196.8799999999</v>
      </c>
      <c r="AT269" s="21" t="s">
        <v>169</v>
      </c>
      <c r="AU269" s="21" t="s">
        <v>170</v>
      </c>
      <c r="AV269" s="21" t="s">
        <v>157</v>
      </c>
      <c r="AW269" s="21" t="s">
        <v>639</v>
      </c>
      <c r="AX269" s="21" t="s">
        <v>640</v>
      </c>
      <c r="AY269" s="21">
        <v>0</v>
      </c>
      <c r="AZ269" s="21">
        <v>31494.01</v>
      </c>
      <c r="BA269" s="21">
        <v>477</v>
      </c>
      <c r="BB269" s="21" t="s">
        <v>1132</v>
      </c>
      <c r="BC269" s="21" t="s">
        <v>176</v>
      </c>
      <c r="BD269" s="21" t="s">
        <v>641</v>
      </c>
      <c r="BE269" s="21" t="s">
        <v>641</v>
      </c>
      <c r="BF269" s="21">
        <v>2.5</v>
      </c>
      <c r="BG269" s="21">
        <v>787.35</v>
      </c>
      <c r="BH269" s="21">
        <v>2.5</v>
      </c>
      <c r="BI269" s="21">
        <v>787.35</v>
      </c>
      <c r="BJ269" s="21">
        <v>0</v>
      </c>
      <c r="BK269" s="21">
        <v>0</v>
      </c>
      <c r="BL269" s="21">
        <v>0</v>
      </c>
      <c r="BM269" s="21">
        <v>612170015979</v>
      </c>
      <c r="BN269" s="23">
        <v>46259</v>
      </c>
      <c r="BO269" s="21">
        <v>198.3</v>
      </c>
    </row>
    <row r="270" spans="1:67" hidden="1" x14ac:dyDescent="0.25">
      <c r="A270" s="22"/>
      <c r="B270" s="21" t="s">
        <v>167</v>
      </c>
      <c r="C270" s="21" t="s">
        <v>1142</v>
      </c>
      <c r="D270" s="21" t="s">
        <v>1143</v>
      </c>
      <c r="E270" s="21" t="s">
        <v>180</v>
      </c>
      <c r="F270" s="21" t="s">
        <v>181</v>
      </c>
      <c r="G270" s="21" t="s">
        <v>1144</v>
      </c>
      <c r="H270" s="21">
        <v>146.9</v>
      </c>
      <c r="I270" s="21">
        <v>146.9</v>
      </c>
      <c r="J270" s="21" t="s">
        <v>168</v>
      </c>
      <c r="K270" s="21">
        <v>146.9</v>
      </c>
      <c r="L270" s="21">
        <v>0</v>
      </c>
      <c r="M270" s="21">
        <v>146.9</v>
      </c>
      <c r="N270" s="21" t="s">
        <v>317</v>
      </c>
      <c r="O270" s="21" t="s">
        <v>633</v>
      </c>
      <c r="P270" s="21" t="s">
        <v>633</v>
      </c>
      <c r="Q270" s="21" t="s">
        <v>1145</v>
      </c>
      <c r="R270" s="21" t="s">
        <v>1142</v>
      </c>
      <c r="S270" s="21" t="s">
        <v>635</v>
      </c>
      <c r="T270" s="21" t="s">
        <v>636</v>
      </c>
      <c r="U270" s="21" t="s">
        <v>1146</v>
      </c>
      <c r="V270" s="21">
        <v>147.32</v>
      </c>
      <c r="W270" s="21">
        <v>147.320011537883</v>
      </c>
      <c r="X270" s="21" t="s">
        <v>1145</v>
      </c>
      <c r="Y270" s="21" t="s">
        <v>1142</v>
      </c>
      <c r="Z270" s="21" t="s">
        <v>189</v>
      </c>
      <c r="AA270" s="21" t="s">
        <v>189</v>
      </c>
      <c r="AB270" s="21"/>
      <c r="AC270" s="21" t="s">
        <v>189</v>
      </c>
      <c r="AD270" s="21" t="s">
        <v>189</v>
      </c>
      <c r="AE270" s="21">
        <v>0</v>
      </c>
      <c r="AF270" s="21">
        <v>0</v>
      </c>
      <c r="AG270" s="21">
        <v>0</v>
      </c>
      <c r="AH270" s="21">
        <v>0</v>
      </c>
      <c r="AI270" s="21">
        <v>0</v>
      </c>
      <c r="AJ270" s="21" t="s">
        <v>638</v>
      </c>
      <c r="AK270" s="21">
        <v>0</v>
      </c>
      <c r="AL270" s="21">
        <v>0</v>
      </c>
      <c r="AM270" s="21">
        <v>0</v>
      </c>
      <c r="AN270" s="21">
        <v>0</v>
      </c>
      <c r="AO270" s="21">
        <v>0</v>
      </c>
      <c r="AP270" s="21"/>
      <c r="AQ270" s="21">
        <v>0</v>
      </c>
      <c r="AR270" s="21">
        <v>0</v>
      </c>
      <c r="AS270" s="21">
        <v>25536.75</v>
      </c>
      <c r="AT270" s="21" t="s">
        <v>169</v>
      </c>
      <c r="AU270" s="21" t="s">
        <v>181</v>
      </c>
      <c r="AV270" s="21" t="s">
        <v>154</v>
      </c>
      <c r="AW270" s="21" t="s">
        <v>639</v>
      </c>
      <c r="AX270" s="21" t="s">
        <v>640</v>
      </c>
      <c r="AY270" s="21">
        <v>0</v>
      </c>
      <c r="AZ270" s="21">
        <v>21641.31</v>
      </c>
      <c r="BA270" s="21">
        <v>478</v>
      </c>
      <c r="BB270" s="21" t="s">
        <v>1142</v>
      </c>
      <c r="BC270" s="21" t="s">
        <v>176</v>
      </c>
      <c r="BD270" s="21" t="s">
        <v>641</v>
      </c>
      <c r="BE270" s="21" t="s">
        <v>641</v>
      </c>
      <c r="BF270" s="21">
        <v>9</v>
      </c>
      <c r="BG270" s="21">
        <v>1947.72</v>
      </c>
      <c r="BH270" s="21">
        <v>9</v>
      </c>
      <c r="BI270" s="21">
        <v>1947.72</v>
      </c>
      <c r="BJ270" s="21">
        <v>0</v>
      </c>
      <c r="BK270" s="21">
        <v>0</v>
      </c>
      <c r="BL270" s="21">
        <v>25536.75</v>
      </c>
      <c r="BM270" s="21">
        <v>682170510491</v>
      </c>
      <c r="BN270" s="23">
        <v>46260</v>
      </c>
      <c r="BO270" s="21">
        <v>146.9</v>
      </c>
    </row>
    <row r="271" spans="1:67" hidden="1" x14ac:dyDescent="0.25">
      <c r="A271" s="22"/>
      <c r="B271" s="21" t="s">
        <v>167</v>
      </c>
      <c r="C271" s="21" t="s">
        <v>1142</v>
      </c>
      <c r="D271" s="21" t="s">
        <v>1147</v>
      </c>
      <c r="E271" s="21" t="s">
        <v>180</v>
      </c>
      <c r="F271" s="21" t="s">
        <v>181</v>
      </c>
      <c r="G271" s="21" t="s">
        <v>1148</v>
      </c>
      <c r="H271" s="21">
        <v>1060</v>
      </c>
      <c r="I271" s="21">
        <v>1060</v>
      </c>
      <c r="J271" s="21" t="s">
        <v>168</v>
      </c>
      <c r="K271" s="21">
        <v>1060</v>
      </c>
      <c r="L271" s="21">
        <v>0</v>
      </c>
      <c r="M271" s="21">
        <v>1060</v>
      </c>
      <c r="N271" s="21" t="s">
        <v>1149</v>
      </c>
      <c r="O271" s="21" t="s">
        <v>677</v>
      </c>
      <c r="P271" s="21" t="s">
        <v>677</v>
      </c>
      <c r="Q271" s="21" t="s">
        <v>1150</v>
      </c>
      <c r="R271" s="21" t="s">
        <v>1132</v>
      </c>
      <c r="S271" s="21" t="s">
        <v>635</v>
      </c>
      <c r="T271" s="21" t="s">
        <v>636</v>
      </c>
      <c r="U271" s="21" t="s">
        <v>1151</v>
      </c>
      <c r="V271" s="21">
        <v>163.4</v>
      </c>
      <c r="W271" s="21">
        <v>163.4</v>
      </c>
      <c r="X271" s="21" t="s">
        <v>1150</v>
      </c>
      <c r="Y271" s="21" t="s">
        <v>1132</v>
      </c>
      <c r="Z271" s="21"/>
      <c r="AA271" s="21">
        <v>0</v>
      </c>
      <c r="AB271" s="21"/>
      <c r="AC271" s="21" t="s">
        <v>1152</v>
      </c>
      <c r="AD271" s="21">
        <v>1942</v>
      </c>
      <c r="AE271" s="21">
        <v>0</v>
      </c>
      <c r="AF271" s="21">
        <v>0</v>
      </c>
      <c r="AG271" s="21">
        <v>0</v>
      </c>
      <c r="AH271" s="21">
        <v>0</v>
      </c>
      <c r="AI271" s="21">
        <v>0</v>
      </c>
      <c r="AJ271" s="21" t="s">
        <v>638</v>
      </c>
      <c r="AK271" s="21">
        <v>0</v>
      </c>
      <c r="AL271" s="21">
        <v>0</v>
      </c>
      <c r="AM271" s="21">
        <v>0</v>
      </c>
      <c r="AN271" s="21">
        <v>0</v>
      </c>
      <c r="AO271" s="21">
        <v>0</v>
      </c>
      <c r="AP271" s="21"/>
      <c r="AQ271" s="21">
        <v>0</v>
      </c>
      <c r="AR271" s="21">
        <v>0</v>
      </c>
      <c r="AS271" s="21">
        <v>596718.24</v>
      </c>
      <c r="AT271" s="21" t="s">
        <v>169</v>
      </c>
      <c r="AU271" s="21" t="s">
        <v>181</v>
      </c>
      <c r="AV271" s="21" t="s">
        <v>154</v>
      </c>
      <c r="AW271" s="21" t="s">
        <v>639</v>
      </c>
      <c r="AX271" s="21" t="s">
        <v>640</v>
      </c>
      <c r="AY271" s="21">
        <v>0</v>
      </c>
      <c r="AZ271" s="21">
        <v>173204</v>
      </c>
      <c r="BA271" s="21">
        <v>479</v>
      </c>
      <c r="BB271" s="21" t="s">
        <v>1142</v>
      </c>
      <c r="BC271" s="21" t="s">
        <v>171</v>
      </c>
      <c r="BD271" s="21" t="s">
        <v>641</v>
      </c>
      <c r="BE271" s="21" t="s">
        <v>641</v>
      </c>
      <c r="BF271" s="21">
        <v>9</v>
      </c>
      <c r="BG271" s="21">
        <v>15588.36</v>
      </c>
      <c r="BH271" s="21">
        <v>9</v>
      </c>
      <c r="BI271" s="21">
        <v>15588.36</v>
      </c>
      <c r="BJ271" s="21">
        <v>0</v>
      </c>
      <c r="BK271" s="21">
        <v>0</v>
      </c>
      <c r="BL271" s="21">
        <v>596718.24</v>
      </c>
      <c r="BM271" s="21">
        <v>642170232902</v>
      </c>
      <c r="BN271" s="23">
        <v>46259</v>
      </c>
      <c r="BO271" s="21">
        <v>1060</v>
      </c>
    </row>
    <row r="272" spans="1:67" hidden="1" x14ac:dyDescent="0.25">
      <c r="A272" s="22"/>
      <c r="B272" s="21" t="s">
        <v>167</v>
      </c>
      <c r="C272" s="21" t="s">
        <v>1142</v>
      </c>
      <c r="D272" s="21" t="s">
        <v>1147</v>
      </c>
      <c r="E272" s="21" t="s">
        <v>180</v>
      </c>
      <c r="F272" s="21" t="s">
        <v>181</v>
      </c>
      <c r="G272" s="21" t="s">
        <v>1148</v>
      </c>
      <c r="H272" s="21">
        <v>290</v>
      </c>
      <c r="I272" s="21">
        <v>290</v>
      </c>
      <c r="J272" s="21" t="s">
        <v>168</v>
      </c>
      <c r="K272" s="21">
        <v>290</v>
      </c>
      <c r="L272" s="21">
        <v>0</v>
      </c>
      <c r="M272" s="21">
        <v>290</v>
      </c>
      <c r="N272" s="21" t="s">
        <v>1149</v>
      </c>
      <c r="O272" s="21" t="s">
        <v>677</v>
      </c>
      <c r="P272" s="21" t="s">
        <v>677</v>
      </c>
      <c r="Q272" s="21" t="s">
        <v>1150</v>
      </c>
      <c r="R272" s="21" t="s">
        <v>1132</v>
      </c>
      <c r="S272" s="21" t="s">
        <v>635</v>
      </c>
      <c r="T272" s="21" t="s">
        <v>636</v>
      </c>
      <c r="U272" s="21" t="s">
        <v>1151</v>
      </c>
      <c r="V272" s="21">
        <v>163.4</v>
      </c>
      <c r="W272" s="21">
        <v>163.4</v>
      </c>
      <c r="X272" s="21" t="s">
        <v>1150</v>
      </c>
      <c r="Y272" s="21" t="s">
        <v>1132</v>
      </c>
      <c r="Z272" s="21"/>
      <c r="AA272" s="21">
        <v>0</v>
      </c>
      <c r="AB272" s="21"/>
      <c r="AC272" s="21" t="s">
        <v>1152</v>
      </c>
      <c r="AD272" s="21">
        <v>1942</v>
      </c>
      <c r="AE272" s="21">
        <v>0</v>
      </c>
      <c r="AF272" s="21">
        <v>0</v>
      </c>
      <c r="AG272" s="21">
        <v>0</v>
      </c>
      <c r="AH272" s="21">
        <v>0</v>
      </c>
      <c r="AI272" s="21">
        <v>0</v>
      </c>
      <c r="AJ272" s="21" t="s">
        <v>638</v>
      </c>
      <c r="AK272" s="21">
        <v>0</v>
      </c>
      <c r="AL272" s="21">
        <v>0</v>
      </c>
      <c r="AM272" s="21">
        <v>0</v>
      </c>
      <c r="AN272" s="21">
        <v>0</v>
      </c>
      <c r="AO272" s="21">
        <v>0</v>
      </c>
      <c r="AP272" s="21"/>
      <c r="AQ272" s="21">
        <v>0</v>
      </c>
      <c r="AR272" s="21">
        <v>0</v>
      </c>
      <c r="AS272" s="21">
        <v>596718.24</v>
      </c>
      <c r="AT272" s="21" t="s">
        <v>169</v>
      </c>
      <c r="AU272" s="21" t="s">
        <v>181</v>
      </c>
      <c r="AV272" s="21" t="s">
        <v>154</v>
      </c>
      <c r="AW272" s="21" t="s">
        <v>639</v>
      </c>
      <c r="AX272" s="21" t="s">
        <v>640</v>
      </c>
      <c r="AY272" s="21">
        <v>0</v>
      </c>
      <c r="AZ272" s="21">
        <v>47386</v>
      </c>
      <c r="BA272" s="21">
        <v>479</v>
      </c>
      <c r="BB272" s="21" t="s">
        <v>1142</v>
      </c>
      <c r="BC272" s="21" t="s">
        <v>171</v>
      </c>
      <c r="BD272" s="21" t="s">
        <v>641</v>
      </c>
      <c r="BE272" s="21" t="s">
        <v>641</v>
      </c>
      <c r="BF272" s="21">
        <v>9</v>
      </c>
      <c r="BG272" s="21">
        <v>4264.74</v>
      </c>
      <c r="BH272" s="21">
        <v>9</v>
      </c>
      <c r="BI272" s="21">
        <v>4264.74</v>
      </c>
      <c r="BJ272" s="21">
        <v>0</v>
      </c>
      <c r="BK272" s="21">
        <v>0</v>
      </c>
      <c r="BL272" s="21">
        <v>0</v>
      </c>
      <c r="BM272" s="21">
        <v>642170232902</v>
      </c>
      <c r="BN272" s="23">
        <v>46259</v>
      </c>
      <c r="BO272" s="21">
        <v>290</v>
      </c>
    </row>
    <row r="273" spans="1:67" hidden="1" x14ac:dyDescent="0.25">
      <c r="A273" s="22"/>
      <c r="B273" s="21" t="s">
        <v>167</v>
      </c>
      <c r="C273" s="21" t="s">
        <v>1142</v>
      </c>
      <c r="D273" s="21" t="s">
        <v>1147</v>
      </c>
      <c r="E273" s="21" t="s">
        <v>180</v>
      </c>
      <c r="F273" s="21" t="s">
        <v>181</v>
      </c>
      <c r="G273" s="21" t="s">
        <v>1148</v>
      </c>
      <c r="H273" s="21">
        <v>470</v>
      </c>
      <c r="I273" s="21">
        <v>470</v>
      </c>
      <c r="J273" s="21" t="s">
        <v>168</v>
      </c>
      <c r="K273" s="21">
        <v>470</v>
      </c>
      <c r="L273" s="21">
        <v>0</v>
      </c>
      <c r="M273" s="21">
        <v>470</v>
      </c>
      <c r="N273" s="21" t="s">
        <v>1149</v>
      </c>
      <c r="O273" s="21" t="s">
        <v>677</v>
      </c>
      <c r="P273" s="21" t="s">
        <v>677</v>
      </c>
      <c r="Q273" s="21" t="s">
        <v>1150</v>
      </c>
      <c r="R273" s="21" t="s">
        <v>1132</v>
      </c>
      <c r="S273" s="21" t="s">
        <v>635</v>
      </c>
      <c r="T273" s="21" t="s">
        <v>636</v>
      </c>
      <c r="U273" s="21" t="s">
        <v>1151</v>
      </c>
      <c r="V273" s="21">
        <v>160.4</v>
      </c>
      <c r="W273" s="21">
        <v>160.4</v>
      </c>
      <c r="X273" s="21" t="s">
        <v>1150</v>
      </c>
      <c r="Y273" s="21" t="s">
        <v>1132</v>
      </c>
      <c r="Z273" s="21"/>
      <c r="AA273" s="21">
        <v>0</v>
      </c>
      <c r="AB273" s="21"/>
      <c r="AC273" s="21" t="s">
        <v>1152</v>
      </c>
      <c r="AD273" s="21">
        <v>1942</v>
      </c>
      <c r="AE273" s="21">
        <v>0</v>
      </c>
      <c r="AF273" s="21">
        <v>0</v>
      </c>
      <c r="AG273" s="21">
        <v>0</v>
      </c>
      <c r="AH273" s="21">
        <v>0</v>
      </c>
      <c r="AI273" s="21">
        <v>0</v>
      </c>
      <c r="AJ273" s="21" t="s">
        <v>638</v>
      </c>
      <c r="AK273" s="21">
        <v>0</v>
      </c>
      <c r="AL273" s="21">
        <v>0</v>
      </c>
      <c r="AM273" s="21">
        <v>0</v>
      </c>
      <c r="AN273" s="21">
        <v>0</v>
      </c>
      <c r="AO273" s="21">
        <v>0</v>
      </c>
      <c r="AP273" s="21"/>
      <c r="AQ273" s="21">
        <v>0</v>
      </c>
      <c r="AR273" s="21">
        <v>0</v>
      </c>
      <c r="AS273" s="21">
        <v>596718.24</v>
      </c>
      <c r="AT273" s="21" t="s">
        <v>169</v>
      </c>
      <c r="AU273" s="21" t="s">
        <v>181</v>
      </c>
      <c r="AV273" s="21" t="s">
        <v>154</v>
      </c>
      <c r="AW273" s="21" t="s">
        <v>639</v>
      </c>
      <c r="AX273" s="21" t="s">
        <v>640</v>
      </c>
      <c r="AY273" s="21">
        <v>0</v>
      </c>
      <c r="AZ273" s="21">
        <v>75388</v>
      </c>
      <c r="BA273" s="21">
        <v>479</v>
      </c>
      <c r="BB273" s="21" t="s">
        <v>1142</v>
      </c>
      <c r="BC273" s="21" t="s">
        <v>171</v>
      </c>
      <c r="BD273" s="21" t="s">
        <v>641</v>
      </c>
      <c r="BE273" s="21" t="s">
        <v>641</v>
      </c>
      <c r="BF273" s="21">
        <v>9</v>
      </c>
      <c r="BG273" s="21">
        <v>6784.92</v>
      </c>
      <c r="BH273" s="21">
        <v>9</v>
      </c>
      <c r="BI273" s="21">
        <v>6784.92</v>
      </c>
      <c r="BJ273" s="21">
        <v>0</v>
      </c>
      <c r="BK273" s="21">
        <v>0</v>
      </c>
      <c r="BL273" s="21">
        <v>0</v>
      </c>
      <c r="BM273" s="21">
        <v>642170232902</v>
      </c>
      <c r="BN273" s="23">
        <v>46259</v>
      </c>
      <c r="BO273" s="21">
        <v>470</v>
      </c>
    </row>
    <row r="274" spans="1:67" hidden="1" x14ac:dyDescent="0.25">
      <c r="A274" s="22"/>
      <c r="B274" s="21" t="s">
        <v>167</v>
      </c>
      <c r="C274" s="21" t="s">
        <v>1142</v>
      </c>
      <c r="D274" s="21" t="s">
        <v>1147</v>
      </c>
      <c r="E274" s="21" t="s">
        <v>318</v>
      </c>
      <c r="F274" s="21" t="s">
        <v>312</v>
      </c>
      <c r="G274" s="21" t="s">
        <v>1148</v>
      </c>
      <c r="H274" s="21">
        <v>768</v>
      </c>
      <c r="I274" s="21">
        <v>768</v>
      </c>
      <c r="J274" s="21" t="s">
        <v>168</v>
      </c>
      <c r="K274" s="21">
        <v>768</v>
      </c>
      <c r="L274" s="21">
        <v>0</v>
      </c>
      <c r="M274" s="21">
        <v>768</v>
      </c>
      <c r="N274" s="21" t="s">
        <v>1149</v>
      </c>
      <c r="O274" s="21" t="s">
        <v>677</v>
      </c>
      <c r="P274" s="21" t="s">
        <v>677</v>
      </c>
      <c r="Q274" s="21" t="s">
        <v>1150</v>
      </c>
      <c r="R274" s="21" t="s">
        <v>1132</v>
      </c>
      <c r="S274" s="21" t="s">
        <v>635</v>
      </c>
      <c r="T274" s="21" t="s">
        <v>636</v>
      </c>
      <c r="U274" s="21" t="s">
        <v>1151</v>
      </c>
      <c r="V274" s="21">
        <v>156.4</v>
      </c>
      <c r="W274" s="21">
        <v>156.4</v>
      </c>
      <c r="X274" s="21" t="s">
        <v>1150</v>
      </c>
      <c r="Y274" s="21" t="s">
        <v>1132</v>
      </c>
      <c r="Z274" s="21"/>
      <c r="AA274" s="21">
        <v>0</v>
      </c>
      <c r="AB274" s="21"/>
      <c r="AC274" s="21" t="s">
        <v>1152</v>
      </c>
      <c r="AD274" s="21">
        <v>1942</v>
      </c>
      <c r="AE274" s="21">
        <v>0</v>
      </c>
      <c r="AF274" s="21">
        <v>0</v>
      </c>
      <c r="AG274" s="21">
        <v>0</v>
      </c>
      <c r="AH274" s="21">
        <v>0</v>
      </c>
      <c r="AI274" s="21">
        <v>0</v>
      </c>
      <c r="AJ274" s="21" t="s">
        <v>638</v>
      </c>
      <c r="AK274" s="21">
        <v>0</v>
      </c>
      <c r="AL274" s="21">
        <v>0</v>
      </c>
      <c r="AM274" s="21">
        <v>0</v>
      </c>
      <c r="AN274" s="21">
        <v>0</v>
      </c>
      <c r="AO274" s="21">
        <v>0</v>
      </c>
      <c r="AP274" s="21"/>
      <c r="AQ274" s="21">
        <v>0</v>
      </c>
      <c r="AR274" s="21">
        <v>0</v>
      </c>
      <c r="AS274" s="21">
        <v>596718.24</v>
      </c>
      <c r="AT274" s="21" t="s">
        <v>169</v>
      </c>
      <c r="AU274" s="21" t="s">
        <v>170</v>
      </c>
      <c r="AV274" s="21" t="s">
        <v>157</v>
      </c>
      <c r="AW274" s="21" t="s">
        <v>639</v>
      </c>
      <c r="AX274" s="21" t="s">
        <v>640</v>
      </c>
      <c r="AY274" s="21">
        <v>0</v>
      </c>
      <c r="AZ274" s="21">
        <v>120115.2</v>
      </c>
      <c r="BA274" s="21">
        <v>479</v>
      </c>
      <c r="BB274" s="21" t="s">
        <v>1142</v>
      </c>
      <c r="BC274" s="21" t="s">
        <v>171</v>
      </c>
      <c r="BD274" s="21" t="s">
        <v>641</v>
      </c>
      <c r="BE274" s="21" t="s">
        <v>641</v>
      </c>
      <c r="BF274" s="21">
        <v>2.5</v>
      </c>
      <c r="BG274" s="21">
        <v>3002.88</v>
      </c>
      <c r="BH274" s="21">
        <v>2.5</v>
      </c>
      <c r="BI274" s="21">
        <v>3002.88</v>
      </c>
      <c r="BJ274" s="21">
        <v>0</v>
      </c>
      <c r="BK274" s="21">
        <v>0</v>
      </c>
      <c r="BL274" s="21">
        <v>0</v>
      </c>
      <c r="BM274" s="21">
        <v>642170232902</v>
      </c>
      <c r="BN274" s="23">
        <v>46259</v>
      </c>
      <c r="BO274" s="21">
        <v>768</v>
      </c>
    </row>
    <row r="275" spans="1:67" hidden="1" x14ac:dyDescent="0.25">
      <c r="A275" s="22"/>
      <c r="B275" s="21" t="s">
        <v>167</v>
      </c>
      <c r="C275" s="21" t="s">
        <v>1142</v>
      </c>
      <c r="D275" s="21" t="s">
        <v>1147</v>
      </c>
      <c r="E275" s="21" t="s">
        <v>744</v>
      </c>
      <c r="F275" s="21" t="s">
        <v>745</v>
      </c>
      <c r="G275" s="21" t="s">
        <v>1148</v>
      </c>
      <c r="H275" s="21">
        <v>725</v>
      </c>
      <c r="I275" s="21">
        <v>725</v>
      </c>
      <c r="J275" s="21" t="s">
        <v>168</v>
      </c>
      <c r="K275" s="21">
        <v>725</v>
      </c>
      <c r="L275" s="21">
        <v>0</v>
      </c>
      <c r="M275" s="21">
        <v>725</v>
      </c>
      <c r="N275" s="21" t="s">
        <v>1149</v>
      </c>
      <c r="O275" s="21" t="s">
        <v>677</v>
      </c>
      <c r="P275" s="21" t="s">
        <v>677</v>
      </c>
      <c r="Q275" s="21" t="s">
        <v>1150</v>
      </c>
      <c r="R275" s="21" t="s">
        <v>1132</v>
      </c>
      <c r="S275" s="21" t="s">
        <v>635</v>
      </c>
      <c r="T275" s="21" t="s">
        <v>636</v>
      </c>
      <c r="U275" s="21" t="s">
        <v>1151</v>
      </c>
      <c r="V275" s="21">
        <v>159.4</v>
      </c>
      <c r="W275" s="21">
        <v>159.4</v>
      </c>
      <c r="X275" s="21" t="s">
        <v>1150</v>
      </c>
      <c r="Y275" s="21" t="s">
        <v>1132</v>
      </c>
      <c r="Z275" s="21"/>
      <c r="AA275" s="21">
        <v>0</v>
      </c>
      <c r="AB275" s="21"/>
      <c r="AC275" s="21" t="s">
        <v>1152</v>
      </c>
      <c r="AD275" s="21">
        <v>1942</v>
      </c>
      <c r="AE275" s="21">
        <v>0</v>
      </c>
      <c r="AF275" s="21">
        <v>0</v>
      </c>
      <c r="AG275" s="21">
        <v>0</v>
      </c>
      <c r="AH275" s="21">
        <v>0</v>
      </c>
      <c r="AI275" s="21">
        <v>0</v>
      </c>
      <c r="AJ275" s="21" t="s">
        <v>638</v>
      </c>
      <c r="AK275" s="21">
        <v>0</v>
      </c>
      <c r="AL275" s="21">
        <v>0</v>
      </c>
      <c r="AM275" s="21">
        <v>0</v>
      </c>
      <c r="AN275" s="21">
        <v>0</v>
      </c>
      <c r="AO275" s="21">
        <v>0</v>
      </c>
      <c r="AP275" s="21"/>
      <c r="AQ275" s="21">
        <v>0</v>
      </c>
      <c r="AR275" s="21">
        <v>0</v>
      </c>
      <c r="AS275" s="21">
        <v>596718.24</v>
      </c>
      <c r="AT275" s="21" t="s">
        <v>169</v>
      </c>
      <c r="AU275" s="21" t="s">
        <v>170</v>
      </c>
      <c r="AV275" s="21" t="s">
        <v>157</v>
      </c>
      <c r="AW275" s="21" t="s">
        <v>639</v>
      </c>
      <c r="AX275" s="21" t="s">
        <v>640</v>
      </c>
      <c r="AY275" s="21">
        <v>0</v>
      </c>
      <c r="AZ275" s="21">
        <v>115565</v>
      </c>
      <c r="BA275" s="21">
        <v>479</v>
      </c>
      <c r="BB275" s="21" t="s">
        <v>1142</v>
      </c>
      <c r="BC275" s="21" t="s">
        <v>171</v>
      </c>
      <c r="BD275" s="21" t="s">
        <v>641</v>
      </c>
      <c r="BE275" s="21" t="s">
        <v>641</v>
      </c>
      <c r="BF275" s="21">
        <v>2.5</v>
      </c>
      <c r="BG275" s="21">
        <v>2889.12</v>
      </c>
      <c r="BH275" s="21">
        <v>2.5</v>
      </c>
      <c r="BI275" s="21">
        <v>2889.12</v>
      </c>
      <c r="BJ275" s="21">
        <v>0</v>
      </c>
      <c r="BK275" s="21">
        <v>0</v>
      </c>
      <c r="BL275" s="21">
        <v>0</v>
      </c>
      <c r="BM275" s="21">
        <v>642170232902</v>
      </c>
      <c r="BN275" s="23">
        <v>46259</v>
      </c>
      <c r="BO275" s="21">
        <v>725</v>
      </c>
    </row>
    <row r="276" spans="1:67" hidden="1" x14ac:dyDescent="0.25">
      <c r="A276" s="22"/>
      <c r="B276" s="21" t="s">
        <v>167</v>
      </c>
      <c r="C276" s="21" t="s">
        <v>1142</v>
      </c>
      <c r="D276" s="21" t="s">
        <v>1153</v>
      </c>
      <c r="E276" s="21" t="s">
        <v>180</v>
      </c>
      <c r="F276" s="21" t="s">
        <v>181</v>
      </c>
      <c r="G276" s="21" t="s">
        <v>1154</v>
      </c>
      <c r="H276" s="21">
        <v>112.8</v>
      </c>
      <c r="I276" s="21">
        <v>112.8</v>
      </c>
      <c r="J276" s="21" t="s">
        <v>168</v>
      </c>
      <c r="K276" s="21">
        <v>112.8</v>
      </c>
      <c r="L276" s="21">
        <v>0</v>
      </c>
      <c r="M276" s="21">
        <v>112.8</v>
      </c>
      <c r="N276" s="21" t="s">
        <v>174</v>
      </c>
      <c r="O276" s="21" t="s">
        <v>633</v>
      </c>
      <c r="P276" s="21" t="s">
        <v>633</v>
      </c>
      <c r="Q276" s="21" t="s">
        <v>1155</v>
      </c>
      <c r="R276" s="21" t="s">
        <v>1142</v>
      </c>
      <c r="S276" s="21" t="s">
        <v>635</v>
      </c>
      <c r="T276" s="21" t="s">
        <v>636</v>
      </c>
      <c r="U276" s="21" t="s">
        <v>1156</v>
      </c>
      <c r="V276" s="21">
        <v>165.32</v>
      </c>
      <c r="W276" s="21">
        <v>165.320001701926</v>
      </c>
      <c r="X276" s="21" t="s">
        <v>1155</v>
      </c>
      <c r="Y276" s="21" t="s">
        <v>1142</v>
      </c>
      <c r="Z276" s="21"/>
      <c r="AA276" s="21">
        <v>0</v>
      </c>
      <c r="AB276" s="21"/>
      <c r="AC276" s="21">
        <v>0</v>
      </c>
      <c r="AD276" s="21">
        <v>0</v>
      </c>
      <c r="AE276" s="21">
        <v>0</v>
      </c>
      <c r="AF276" s="21">
        <v>0</v>
      </c>
      <c r="AG276" s="21">
        <v>0</v>
      </c>
      <c r="AH276" s="21">
        <v>0</v>
      </c>
      <c r="AI276" s="21">
        <v>0</v>
      </c>
      <c r="AJ276" s="21" t="s">
        <v>638</v>
      </c>
      <c r="AK276" s="21">
        <v>0</v>
      </c>
      <c r="AL276" s="21">
        <v>0</v>
      </c>
      <c r="AM276" s="21">
        <v>0</v>
      </c>
      <c r="AN276" s="21">
        <v>0</v>
      </c>
      <c r="AO276" s="21">
        <v>0</v>
      </c>
      <c r="AP276" s="21"/>
      <c r="AQ276" s="21">
        <v>0</v>
      </c>
      <c r="AR276" s="21">
        <v>0</v>
      </c>
      <c r="AS276" s="21">
        <v>582821.93000000005</v>
      </c>
      <c r="AT276" s="21" t="s">
        <v>169</v>
      </c>
      <c r="AU276" s="21" t="s">
        <v>181</v>
      </c>
      <c r="AV276" s="21" t="s">
        <v>154</v>
      </c>
      <c r="AW276" s="21" t="s">
        <v>639</v>
      </c>
      <c r="AX276" s="21" t="s">
        <v>640</v>
      </c>
      <c r="AY276" s="21">
        <v>0</v>
      </c>
      <c r="AZ276" s="21">
        <v>18648.099999999999</v>
      </c>
      <c r="BA276" s="21">
        <v>480</v>
      </c>
      <c r="BB276" s="21" t="s">
        <v>1142</v>
      </c>
      <c r="BC276" s="21" t="s">
        <v>176</v>
      </c>
      <c r="BD276" s="21" t="s">
        <v>641</v>
      </c>
      <c r="BE276" s="21" t="s">
        <v>641</v>
      </c>
      <c r="BF276" s="21">
        <v>9</v>
      </c>
      <c r="BG276" s="21">
        <v>1678.33</v>
      </c>
      <c r="BH276" s="21">
        <v>9</v>
      </c>
      <c r="BI276" s="21">
        <v>1678.33</v>
      </c>
      <c r="BJ276" s="21">
        <v>0</v>
      </c>
      <c r="BK276" s="21">
        <v>0</v>
      </c>
      <c r="BL276" s="21">
        <v>582821.93000000005</v>
      </c>
      <c r="BM276" s="21">
        <v>692170822047</v>
      </c>
      <c r="BN276" s="23">
        <v>46260</v>
      </c>
      <c r="BO276" s="21">
        <v>112.8</v>
      </c>
    </row>
    <row r="277" spans="1:67" hidden="1" x14ac:dyDescent="0.25">
      <c r="A277" s="22"/>
      <c r="B277" s="21" t="s">
        <v>167</v>
      </c>
      <c r="C277" s="21" t="s">
        <v>1142</v>
      </c>
      <c r="D277" s="21" t="s">
        <v>1153</v>
      </c>
      <c r="E277" s="21" t="s">
        <v>180</v>
      </c>
      <c r="F277" s="21" t="s">
        <v>181</v>
      </c>
      <c r="G277" s="21" t="s">
        <v>1154</v>
      </c>
      <c r="H277" s="21">
        <v>405.8</v>
      </c>
      <c r="I277" s="21">
        <v>405.8</v>
      </c>
      <c r="J277" s="21" t="s">
        <v>168</v>
      </c>
      <c r="K277" s="21">
        <v>405.8</v>
      </c>
      <c r="L277" s="21">
        <v>0</v>
      </c>
      <c r="M277" s="21">
        <v>405.8</v>
      </c>
      <c r="N277" s="21" t="s">
        <v>174</v>
      </c>
      <c r="O277" s="21" t="s">
        <v>633</v>
      </c>
      <c r="P277" s="21" t="s">
        <v>633</v>
      </c>
      <c r="Q277" s="21" t="s">
        <v>1155</v>
      </c>
      <c r="R277" s="21" t="s">
        <v>1142</v>
      </c>
      <c r="S277" s="21" t="s">
        <v>635</v>
      </c>
      <c r="T277" s="21" t="s">
        <v>636</v>
      </c>
      <c r="U277" s="21" t="s">
        <v>1156</v>
      </c>
      <c r="V277" s="21">
        <v>147.32</v>
      </c>
      <c r="W277" s="21">
        <v>147.32000151662101</v>
      </c>
      <c r="X277" s="21" t="s">
        <v>1155</v>
      </c>
      <c r="Y277" s="21" t="s">
        <v>1142</v>
      </c>
      <c r="Z277" s="21"/>
      <c r="AA277" s="21">
        <v>0</v>
      </c>
      <c r="AB277" s="21"/>
      <c r="AC277" s="21">
        <v>0</v>
      </c>
      <c r="AD277" s="21">
        <v>0</v>
      </c>
      <c r="AE277" s="21">
        <v>0</v>
      </c>
      <c r="AF277" s="21">
        <v>0</v>
      </c>
      <c r="AG277" s="21">
        <v>0</v>
      </c>
      <c r="AH277" s="21">
        <v>0</v>
      </c>
      <c r="AI277" s="21">
        <v>0</v>
      </c>
      <c r="AJ277" s="21" t="s">
        <v>638</v>
      </c>
      <c r="AK277" s="21">
        <v>0</v>
      </c>
      <c r="AL277" s="21">
        <v>0</v>
      </c>
      <c r="AM277" s="21">
        <v>0</v>
      </c>
      <c r="AN277" s="21">
        <v>0</v>
      </c>
      <c r="AO277" s="21">
        <v>0</v>
      </c>
      <c r="AP277" s="21"/>
      <c r="AQ277" s="21">
        <v>0</v>
      </c>
      <c r="AR277" s="21">
        <v>0</v>
      </c>
      <c r="AS277" s="21">
        <v>582821.93000000005</v>
      </c>
      <c r="AT277" s="21" t="s">
        <v>169</v>
      </c>
      <c r="AU277" s="21" t="s">
        <v>181</v>
      </c>
      <c r="AV277" s="21" t="s">
        <v>154</v>
      </c>
      <c r="AW277" s="21" t="s">
        <v>639</v>
      </c>
      <c r="AX277" s="21" t="s">
        <v>640</v>
      </c>
      <c r="AY277" s="21">
        <v>0</v>
      </c>
      <c r="AZ277" s="21">
        <v>59782.46</v>
      </c>
      <c r="BA277" s="21">
        <v>480</v>
      </c>
      <c r="BB277" s="21" t="s">
        <v>1142</v>
      </c>
      <c r="BC277" s="21" t="s">
        <v>176</v>
      </c>
      <c r="BD277" s="21" t="s">
        <v>641</v>
      </c>
      <c r="BE277" s="21" t="s">
        <v>641</v>
      </c>
      <c r="BF277" s="21">
        <v>9</v>
      </c>
      <c r="BG277" s="21">
        <v>5380.42</v>
      </c>
      <c r="BH277" s="21">
        <v>9</v>
      </c>
      <c r="BI277" s="21">
        <v>5380.42</v>
      </c>
      <c r="BJ277" s="21">
        <v>0</v>
      </c>
      <c r="BK277" s="21">
        <v>0</v>
      </c>
      <c r="BL277" s="21">
        <v>0</v>
      </c>
      <c r="BM277" s="21">
        <v>692170822047</v>
      </c>
      <c r="BN277" s="23">
        <v>46260</v>
      </c>
      <c r="BO277" s="21">
        <v>405.8</v>
      </c>
    </row>
    <row r="278" spans="1:67" hidden="1" x14ac:dyDescent="0.25">
      <c r="A278" s="22"/>
      <c r="B278" s="21" t="s">
        <v>167</v>
      </c>
      <c r="C278" s="21" t="s">
        <v>1142</v>
      </c>
      <c r="D278" s="21" t="s">
        <v>1153</v>
      </c>
      <c r="E278" s="21" t="s">
        <v>180</v>
      </c>
      <c r="F278" s="21" t="s">
        <v>181</v>
      </c>
      <c r="G278" s="21" t="s">
        <v>1154</v>
      </c>
      <c r="H278" s="21">
        <v>467.6</v>
      </c>
      <c r="I278" s="21">
        <v>467.6</v>
      </c>
      <c r="J278" s="21" t="s">
        <v>168</v>
      </c>
      <c r="K278" s="21">
        <v>467.6</v>
      </c>
      <c r="L278" s="21">
        <v>0</v>
      </c>
      <c r="M278" s="21">
        <v>467.6</v>
      </c>
      <c r="N278" s="21" t="s">
        <v>174</v>
      </c>
      <c r="O278" s="21" t="s">
        <v>633</v>
      </c>
      <c r="P278" s="21" t="s">
        <v>633</v>
      </c>
      <c r="Q278" s="21" t="s">
        <v>1155</v>
      </c>
      <c r="R278" s="21" t="s">
        <v>1142</v>
      </c>
      <c r="S278" s="21" t="s">
        <v>635</v>
      </c>
      <c r="T278" s="21" t="s">
        <v>636</v>
      </c>
      <c r="U278" s="21" t="s">
        <v>1156</v>
      </c>
      <c r="V278" s="21">
        <v>144.32</v>
      </c>
      <c r="W278" s="21">
        <v>144.32000148573701</v>
      </c>
      <c r="X278" s="21" t="s">
        <v>1155</v>
      </c>
      <c r="Y278" s="21" t="s">
        <v>1142</v>
      </c>
      <c r="Z278" s="21"/>
      <c r="AA278" s="21">
        <v>0</v>
      </c>
      <c r="AB278" s="21"/>
      <c r="AC278" s="21">
        <v>0</v>
      </c>
      <c r="AD278" s="21">
        <v>0</v>
      </c>
      <c r="AE278" s="21">
        <v>0</v>
      </c>
      <c r="AF278" s="21">
        <v>0</v>
      </c>
      <c r="AG278" s="21">
        <v>0</v>
      </c>
      <c r="AH278" s="21">
        <v>0</v>
      </c>
      <c r="AI278" s="21">
        <v>0</v>
      </c>
      <c r="AJ278" s="21" t="s">
        <v>638</v>
      </c>
      <c r="AK278" s="21">
        <v>0</v>
      </c>
      <c r="AL278" s="21">
        <v>0</v>
      </c>
      <c r="AM278" s="21">
        <v>0</v>
      </c>
      <c r="AN278" s="21">
        <v>0</v>
      </c>
      <c r="AO278" s="21">
        <v>0</v>
      </c>
      <c r="AP278" s="21"/>
      <c r="AQ278" s="21">
        <v>0</v>
      </c>
      <c r="AR278" s="21">
        <v>0</v>
      </c>
      <c r="AS278" s="21">
        <v>582821.93000000005</v>
      </c>
      <c r="AT278" s="21" t="s">
        <v>169</v>
      </c>
      <c r="AU278" s="21" t="s">
        <v>181</v>
      </c>
      <c r="AV278" s="21" t="s">
        <v>154</v>
      </c>
      <c r="AW278" s="21" t="s">
        <v>639</v>
      </c>
      <c r="AX278" s="21" t="s">
        <v>640</v>
      </c>
      <c r="AY278" s="21">
        <v>0</v>
      </c>
      <c r="AZ278" s="21">
        <v>67484.03</v>
      </c>
      <c r="BA278" s="21">
        <v>480</v>
      </c>
      <c r="BB278" s="21" t="s">
        <v>1142</v>
      </c>
      <c r="BC278" s="21" t="s">
        <v>176</v>
      </c>
      <c r="BD278" s="21" t="s">
        <v>641</v>
      </c>
      <c r="BE278" s="21" t="s">
        <v>641</v>
      </c>
      <c r="BF278" s="21">
        <v>9</v>
      </c>
      <c r="BG278" s="21">
        <v>6073.56</v>
      </c>
      <c r="BH278" s="21">
        <v>9</v>
      </c>
      <c r="BI278" s="21">
        <v>6073.56</v>
      </c>
      <c r="BJ278" s="21">
        <v>0</v>
      </c>
      <c r="BK278" s="21">
        <v>0</v>
      </c>
      <c r="BL278" s="21">
        <v>0</v>
      </c>
      <c r="BM278" s="21">
        <v>692170822047</v>
      </c>
      <c r="BN278" s="23">
        <v>46260</v>
      </c>
      <c r="BO278" s="21">
        <v>467.6</v>
      </c>
    </row>
    <row r="279" spans="1:67" hidden="1" x14ac:dyDescent="0.25">
      <c r="A279" s="22"/>
      <c r="B279" s="21" t="s">
        <v>167</v>
      </c>
      <c r="C279" s="21" t="s">
        <v>1142</v>
      </c>
      <c r="D279" s="21" t="s">
        <v>1153</v>
      </c>
      <c r="E279" s="21" t="s">
        <v>177</v>
      </c>
      <c r="F279" s="21" t="s">
        <v>178</v>
      </c>
      <c r="G279" s="21" t="s">
        <v>1154</v>
      </c>
      <c r="H279" s="21">
        <v>1246</v>
      </c>
      <c r="I279" s="21">
        <v>1246</v>
      </c>
      <c r="J279" s="21" t="s">
        <v>168</v>
      </c>
      <c r="K279" s="21">
        <v>1246</v>
      </c>
      <c r="L279" s="21">
        <v>0</v>
      </c>
      <c r="M279" s="21">
        <v>1246</v>
      </c>
      <c r="N279" s="21" t="s">
        <v>174</v>
      </c>
      <c r="O279" s="21" t="s">
        <v>633</v>
      </c>
      <c r="P279" s="21" t="s">
        <v>633</v>
      </c>
      <c r="Q279" s="21" t="s">
        <v>1155</v>
      </c>
      <c r="R279" s="21" t="s">
        <v>1142</v>
      </c>
      <c r="S279" s="21" t="s">
        <v>635</v>
      </c>
      <c r="T279" s="21" t="s">
        <v>636</v>
      </c>
      <c r="U279" s="21" t="s">
        <v>1156</v>
      </c>
      <c r="V279" s="21">
        <v>149.32</v>
      </c>
      <c r="W279" s="21">
        <v>149.320001537211</v>
      </c>
      <c r="X279" s="21" t="s">
        <v>1155</v>
      </c>
      <c r="Y279" s="21" t="s">
        <v>1142</v>
      </c>
      <c r="Z279" s="21"/>
      <c r="AA279" s="21">
        <v>0</v>
      </c>
      <c r="AB279" s="21"/>
      <c r="AC279" s="21">
        <v>0</v>
      </c>
      <c r="AD279" s="21">
        <v>0</v>
      </c>
      <c r="AE279" s="21">
        <v>0</v>
      </c>
      <c r="AF279" s="21">
        <v>0</v>
      </c>
      <c r="AG279" s="21">
        <v>0</v>
      </c>
      <c r="AH279" s="21">
        <v>0</v>
      </c>
      <c r="AI279" s="21">
        <v>0</v>
      </c>
      <c r="AJ279" s="21" t="s">
        <v>638</v>
      </c>
      <c r="AK279" s="21">
        <v>0</v>
      </c>
      <c r="AL279" s="21">
        <v>0</v>
      </c>
      <c r="AM279" s="21">
        <v>0</v>
      </c>
      <c r="AN279" s="21">
        <v>0</v>
      </c>
      <c r="AO279" s="21">
        <v>0</v>
      </c>
      <c r="AP279" s="21"/>
      <c r="AQ279" s="21">
        <v>0</v>
      </c>
      <c r="AR279" s="21">
        <v>0</v>
      </c>
      <c r="AS279" s="21">
        <v>582821.93000000005</v>
      </c>
      <c r="AT279" s="21" t="s">
        <v>169</v>
      </c>
      <c r="AU279" s="21" t="s">
        <v>179</v>
      </c>
      <c r="AV279" s="21" t="s">
        <v>156</v>
      </c>
      <c r="AW279" s="21" t="s">
        <v>639</v>
      </c>
      <c r="AX279" s="21" t="s">
        <v>640</v>
      </c>
      <c r="AY279" s="21">
        <v>0</v>
      </c>
      <c r="AZ279" s="21">
        <v>186052.72</v>
      </c>
      <c r="BA279" s="21">
        <v>480</v>
      </c>
      <c r="BB279" s="21" t="s">
        <v>1142</v>
      </c>
      <c r="BC279" s="21" t="s">
        <v>176</v>
      </c>
      <c r="BD279" s="21" t="s">
        <v>641</v>
      </c>
      <c r="BE279" s="21" t="s">
        <v>641</v>
      </c>
      <c r="BF279" s="21">
        <v>9</v>
      </c>
      <c r="BG279" s="21">
        <v>16744.740000000002</v>
      </c>
      <c r="BH279" s="21">
        <v>9</v>
      </c>
      <c r="BI279" s="21">
        <v>16744.740000000002</v>
      </c>
      <c r="BJ279" s="21">
        <v>0</v>
      </c>
      <c r="BK279" s="21">
        <v>0</v>
      </c>
      <c r="BL279" s="21">
        <v>0</v>
      </c>
      <c r="BM279" s="21">
        <v>692170822047</v>
      </c>
      <c r="BN279" s="23">
        <v>46260</v>
      </c>
      <c r="BO279" s="21">
        <v>1246</v>
      </c>
    </row>
    <row r="280" spans="1:67" hidden="1" x14ac:dyDescent="0.25">
      <c r="A280" s="22"/>
      <c r="B280" s="21" t="s">
        <v>167</v>
      </c>
      <c r="C280" s="21" t="s">
        <v>1142</v>
      </c>
      <c r="D280" s="21" t="s">
        <v>1153</v>
      </c>
      <c r="E280" s="21" t="s">
        <v>177</v>
      </c>
      <c r="F280" s="21" t="s">
        <v>178</v>
      </c>
      <c r="G280" s="21" t="s">
        <v>1154</v>
      </c>
      <c r="H280" s="21">
        <v>480</v>
      </c>
      <c r="I280" s="21">
        <v>480</v>
      </c>
      <c r="J280" s="21" t="s">
        <v>168</v>
      </c>
      <c r="K280" s="21">
        <v>480</v>
      </c>
      <c r="L280" s="21">
        <v>0</v>
      </c>
      <c r="M280" s="21">
        <v>480</v>
      </c>
      <c r="N280" s="21" t="s">
        <v>174</v>
      </c>
      <c r="O280" s="21" t="s">
        <v>633</v>
      </c>
      <c r="P280" s="21" t="s">
        <v>633</v>
      </c>
      <c r="Q280" s="21" t="s">
        <v>1155</v>
      </c>
      <c r="R280" s="21" t="s">
        <v>1142</v>
      </c>
      <c r="S280" s="21" t="s">
        <v>635</v>
      </c>
      <c r="T280" s="21" t="s">
        <v>636</v>
      </c>
      <c r="U280" s="21" t="s">
        <v>1156</v>
      </c>
      <c r="V280" s="21">
        <v>174.32</v>
      </c>
      <c r="W280" s="21">
        <v>174.32000179457901</v>
      </c>
      <c r="X280" s="21" t="s">
        <v>1155</v>
      </c>
      <c r="Y280" s="21" t="s">
        <v>1142</v>
      </c>
      <c r="Z280" s="21"/>
      <c r="AA280" s="21">
        <v>0</v>
      </c>
      <c r="AB280" s="21"/>
      <c r="AC280" s="21">
        <v>0</v>
      </c>
      <c r="AD280" s="21">
        <v>0</v>
      </c>
      <c r="AE280" s="21">
        <v>0</v>
      </c>
      <c r="AF280" s="21">
        <v>0</v>
      </c>
      <c r="AG280" s="21">
        <v>0</v>
      </c>
      <c r="AH280" s="21">
        <v>0</v>
      </c>
      <c r="AI280" s="21">
        <v>0</v>
      </c>
      <c r="AJ280" s="21" t="s">
        <v>638</v>
      </c>
      <c r="AK280" s="21">
        <v>0</v>
      </c>
      <c r="AL280" s="21">
        <v>0</v>
      </c>
      <c r="AM280" s="21">
        <v>0</v>
      </c>
      <c r="AN280" s="21">
        <v>0</v>
      </c>
      <c r="AO280" s="21">
        <v>0</v>
      </c>
      <c r="AP280" s="21"/>
      <c r="AQ280" s="21">
        <v>0</v>
      </c>
      <c r="AR280" s="21">
        <v>0</v>
      </c>
      <c r="AS280" s="21">
        <v>582821.93000000005</v>
      </c>
      <c r="AT280" s="21" t="s">
        <v>169</v>
      </c>
      <c r="AU280" s="21" t="s">
        <v>179</v>
      </c>
      <c r="AV280" s="21" t="s">
        <v>156</v>
      </c>
      <c r="AW280" s="21" t="s">
        <v>639</v>
      </c>
      <c r="AX280" s="21" t="s">
        <v>640</v>
      </c>
      <c r="AY280" s="21">
        <v>0</v>
      </c>
      <c r="AZ280" s="21">
        <v>83673.600000000006</v>
      </c>
      <c r="BA280" s="21">
        <v>480</v>
      </c>
      <c r="BB280" s="21" t="s">
        <v>1142</v>
      </c>
      <c r="BC280" s="21" t="s">
        <v>176</v>
      </c>
      <c r="BD280" s="21" t="s">
        <v>641</v>
      </c>
      <c r="BE280" s="21" t="s">
        <v>641</v>
      </c>
      <c r="BF280" s="21">
        <v>9</v>
      </c>
      <c r="BG280" s="21">
        <v>7530.62</v>
      </c>
      <c r="BH280" s="21">
        <v>9</v>
      </c>
      <c r="BI280" s="21">
        <v>7530.62</v>
      </c>
      <c r="BJ280" s="21">
        <v>0</v>
      </c>
      <c r="BK280" s="21">
        <v>0</v>
      </c>
      <c r="BL280" s="21">
        <v>0</v>
      </c>
      <c r="BM280" s="21">
        <v>692170822047</v>
      </c>
      <c r="BN280" s="23">
        <v>46260</v>
      </c>
      <c r="BO280" s="21">
        <v>480</v>
      </c>
    </row>
    <row r="281" spans="1:67" hidden="1" x14ac:dyDescent="0.25">
      <c r="A281" s="22"/>
      <c r="B281" s="21" t="s">
        <v>167</v>
      </c>
      <c r="C281" s="21" t="s">
        <v>1142</v>
      </c>
      <c r="D281" s="21" t="s">
        <v>1153</v>
      </c>
      <c r="E281" s="21" t="s">
        <v>182</v>
      </c>
      <c r="F281" s="21" t="s">
        <v>183</v>
      </c>
      <c r="G281" s="21" t="s">
        <v>1154</v>
      </c>
      <c r="H281" s="21">
        <v>550</v>
      </c>
      <c r="I281" s="21">
        <v>550</v>
      </c>
      <c r="J281" s="21" t="s">
        <v>168</v>
      </c>
      <c r="K281" s="21">
        <v>550</v>
      </c>
      <c r="L281" s="21">
        <v>0</v>
      </c>
      <c r="M281" s="21">
        <v>550</v>
      </c>
      <c r="N281" s="21" t="s">
        <v>174</v>
      </c>
      <c r="O281" s="21" t="s">
        <v>633</v>
      </c>
      <c r="P281" s="21" t="s">
        <v>633</v>
      </c>
      <c r="Q281" s="21" t="s">
        <v>1155</v>
      </c>
      <c r="R281" s="21" t="s">
        <v>1142</v>
      </c>
      <c r="S281" s="21" t="s">
        <v>635</v>
      </c>
      <c r="T281" s="21" t="s">
        <v>636</v>
      </c>
      <c r="U281" s="21" t="s">
        <v>1156</v>
      </c>
      <c r="V281" s="21">
        <v>142.32</v>
      </c>
      <c r="W281" s="21">
        <v>142.32000146514699</v>
      </c>
      <c r="X281" s="21" t="s">
        <v>1155</v>
      </c>
      <c r="Y281" s="21" t="s">
        <v>1142</v>
      </c>
      <c r="Z281" s="21"/>
      <c r="AA281" s="21">
        <v>0</v>
      </c>
      <c r="AB281" s="21"/>
      <c r="AC281" s="21">
        <v>0</v>
      </c>
      <c r="AD281" s="21">
        <v>0</v>
      </c>
      <c r="AE281" s="21">
        <v>0</v>
      </c>
      <c r="AF281" s="21">
        <v>0</v>
      </c>
      <c r="AG281" s="21">
        <v>0</v>
      </c>
      <c r="AH281" s="21">
        <v>0</v>
      </c>
      <c r="AI281" s="21">
        <v>0</v>
      </c>
      <c r="AJ281" s="21" t="s">
        <v>638</v>
      </c>
      <c r="AK281" s="21">
        <v>0</v>
      </c>
      <c r="AL281" s="21">
        <v>0</v>
      </c>
      <c r="AM281" s="21">
        <v>0</v>
      </c>
      <c r="AN281" s="21">
        <v>0</v>
      </c>
      <c r="AO281" s="21">
        <v>0</v>
      </c>
      <c r="AP281" s="21"/>
      <c r="AQ281" s="21">
        <v>0</v>
      </c>
      <c r="AR281" s="21">
        <v>0</v>
      </c>
      <c r="AS281" s="21">
        <v>582821.93000000005</v>
      </c>
      <c r="AT281" s="21" t="s">
        <v>169</v>
      </c>
      <c r="AU281" s="21" t="s">
        <v>179</v>
      </c>
      <c r="AV281" s="21" t="s">
        <v>155</v>
      </c>
      <c r="AW281" s="21" t="s">
        <v>639</v>
      </c>
      <c r="AX281" s="21" t="s">
        <v>640</v>
      </c>
      <c r="AY281" s="21">
        <v>0</v>
      </c>
      <c r="AZ281" s="21">
        <v>78276</v>
      </c>
      <c r="BA281" s="21">
        <v>480</v>
      </c>
      <c r="BB281" s="21" t="s">
        <v>1142</v>
      </c>
      <c r="BC281" s="21" t="s">
        <v>176</v>
      </c>
      <c r="BD281" s="21" t="s">
        <v>641</v>
      </c>
      <c r="BE281" s="21" t="s">
        <v>641</v>
      </c>
      <c r="BF281" s="21">
        <v>9</v>
      </c>
      <c r="BG281" s="21">
        <v>7044.84</v>
      </c>
      <c r="BH281" s="21">
        <v>9</v>
      </c>
      <c r="BI281" s="21">
        <v>7044.84</v>
      </c>
      <c r="BJ281" s="21">
        <v>0</v>
      </c>
      <c r="BK281" s="21">
        <v>0</v>
      </c>
      <c r="BL281" s="21">
        <v>0</v>
      </c>
      <c r="BM281" s="21">
        <v>692170822047</v>
      </c>
      <c r="BN281" s="23">
        <v>46260</v>
      </c>
      <c r="BO281" s="21">
        <v>550</v>
      </c>
    </row>
    <row r="282" spans="1:67" hidden="1" x14ac:dyDescent="0.25">
      <c r="A282" s="22"/>
      <c r="B282" s="21" t="s">
        <v>167</v>
      </c>
      <c r="C282" s="21" t="s">
        <v>1142</v>
      </c>
      <c r="D282" s="21" t="s">
        <v>1157</v>
      </c>
      <c r="E282" s="21" t="s">
        <v>192</v>
      </c>
      <c r="F282" s="21" t="s">
        <v>161</v>
      </c>
      <c r="G282" s="21" t="s">
        <v>1154</v>
      </c>
      <c r="H282" s="21">
        <v>702</v>
      </c>
      <c r="I282" s="21">
        <v>702</v>
      </c>
      <c r="J282" s="21" t="s">
        <v>168</v>
      </c>
      <c r="K282" s="21">
        <v>702</v>
      </c>
      <c r="L282" s="21">
        <v>0</v>
      </c>
      <c r="M282" s="21">
        <v>702</v>
      </c>
      <c r="N282" s="21" t="s">
        <v>174</v>
      </c>
      <c r="O282" s="21" t="s">
        <v>633</v>
      </c>
      <c r="P282" s="21" t="s">
        <v>633</v>
      </c>
      <c r="Q282" s="21" t="s">
        <v>1158</v>
      </c>
      <c r="R282" s="21" t="s">
        <v>1142</v>
      </c>
      <c r="S282" s="21" t="s">
        <v>635</v>
      </c>
      <c r="T282" s="21" t="s">
        <v>636</v>
      </c>
      <c r="U282" s="21" t="s">
        <v>1159</v>
      </c>
      <c r="V282" s="21">
        <v>132.32</v>
      </c>
      <c r="W282" s="21">
        <v>132.32</v>
      </c>
      <c r="X282" s="21" t="s">
        <v>1158</v>
      </c>
      <c r="Y282" s="21" t="s">
        <v>1142</v>
      </c>
      <c r="Z282" s="21" t="s">
        <v>1160</v>
      </c>
      <c r="AA282" s="21">
        <v>0</v>
      </c>
      <c r="AB282" s="21"/>
      <c r="AC282" s="21">
        <v>0</v>
      </c>
      <c r="AD282" s="21">
        <v>0</v>
      </c>
      <c r="AE282" s="21">
        <v>0</v>
      </c>
      <c r="AF282" s="21">
        <v>0</v>
      </c>
      <c r="AG282" s="21">
        <v>0</v>
      </c>
      <c r="AH282" s="21">
        <v>0</v>
      </c>
      <c r="AI282" s="21">
        <v>0</v>
      </c>
      <c r="AJ282" s="21" t="s">
        <v>638</v>
      </c>
      <c r="AK282" s="21">
        <v>0</v>
      </c>
      <c r="AL282" s="21">
        <v>0</v>
      </c>
      <c r="AM282" s="21">
        <v>0</v>
      </c>
      <c r="AN282" s="21">
        <v>0</v>
      </c>
      <c r="AO282" s="21">
        <v>0</v>
      </c>
      <c r="AP282" s="21"/>
      <c r="AQ282" s="21">
        <v>0</v>
      </c>
      <c r="AR282" s="21">
        <v>0</v>
      </c>
      <c r="AS282" s="21">
        <v>109608.6</v>
      </c>
      <c r="AT282" s="21" t="s">
        <v>169</v>
      </c>
      <c r="AU282" s="21" t="s">
        <v>193</v>
      </c>
      <c r="AV282" s="21" t="s">
        <v>161</v>
      </c>
      <c r="AW282" s="21" t="s">
        <v>639</v>
      </c>
      <c r="AX282" s="21" t="s">
        <v>640</v>
      </c>
      <c r="AY282" s="21">
        <v>0</v>
      </c>
      <c r="AZ282" s="21">
        <v>92888.639999999999</v>
      </c>
      <c r="BA282" s="21">
        <v>481</v>
      </c>
      <c r="BB282" s="21" t="s">
        <v>1142</v>
      </c>
      <c r="BC282" s="21" t="s">
        <v>176</v>
      </c>
      <c r="BD282" s="21" t="s">
        <v>641</v>
      </c>
      <c r="BE282" s="21" t="s">
        <v>641</v>
      </c>
      <c r="BF282" s="21">
        <v>9</v>
      </c>
      <c r="BG282" s="21">
        <v>8359.98</v>
      </c>
      <c r="BH282" s="21">
        <v>9</v>
      </c>
      <c r="BI282" s="21">
        <v>8359.98</v>
      </c>
      <c r="BJ282" s="21">
        <v>0</v>
      </c>
      <c r="BK282" s="21">
        <v>0</v>
      </c>
      <c r="BL282" s="21">
        <v>109608.6</v>
      </c>
      <c r="BM282" s="21">
        <v>682170868473</v>
      </c>
      <c r="BN282" s="23">
        <v>46260</v>
      </c>
      <c r="BO282" s="21">
        <v>702</v>
      </c>
    </row>
    <row r="283" spans="1:67" hidden="1" x14ac:dyDescent="0.25">
      <c r="A283" s="22"/>
      <c r="B283" s="21" t="s">
        <v>167</v>
      </c>
      <c r="C283" s="21" t="s">
        <v>1161</v>
      </c>
      <c r="D283" s="21" t="s">
        <v>1162</v>
      </c>
      <c r="E283" s="21" t="s">
        <v>182</v>
      </c>
      <c r="F283" s="21" t="s">
        <v>183</v>
      </c>
      <c r="G283" s="21" t="s">
        <v>1163</v>
      </c>
      <c r="H283" s="21">
        <v>3922</v>
      </c>
      <c r="I283" s="21">
        <v>3922</v>
      </c>
      <c r="J283" s="21" t="s">
        <v>168</v>
      </c>
      <c r="K283" s="21">
        <v>3922</v>
      </c>
      <c r="L283" s="21">
        <v>0</v>
      </c>
      <c r="M283" s="21">
        <v>3922</v>
      </c>
      <c r="N283" s="21" t="s">
        <v>1164</v>
      </c>
      <c r="O283" s="21" t="s">
        <v>663</v>
      </c>
      <c r="P283" s="21" t="s">
        <v>663</v>
      </c>
      <c r="Q283" s="21" t="s">
        <v>1165</v>
      </c>
      <c r="R283" s="21" t="s">
        <v>1142</v>
      </c>
      <c r="S283" s="21" t="s">
        <v>635</v>
      </c>
      <c r="T283" s="21" t="s">
        <v>636</v>
      </c>
      <c r="U283" s="21" t="s">
        <v>1166</v>
      </c>
      <c r="V283" s="21">
        <v>156.49</v>
      </c>
      <c r="W283" s="21">
        <v>156.49</v>
      </c>
      <c r="X283" s="21" t="s">
        <v>1165</v>
      </c>
      <c r="Y283" s="21" t="s">
        <v>1142</v>
      </c>
      <c r="Z283" s="21" t="s">
        <v>189</v>
      </c>
      <c r="AA283" s="21" t="s">
        <v>189</v>
      </c>
      <c r="AB283" s="21"/>
      <c r="AC283" s="21" t="s">
        <v>189</v>
      </c>
      <c r="AD283" s="21" t="s">
        <v>189</v>
      </c>
      <c r="AE283" s="21">
        <v>0</v>
      </c>
      <c r="AF283" s="21">
        <v>0</v>
      </c>
      <c r="AG283" s="21">
        <v>0</v>
      </c>
      <c r="AH283" s="21">
        <v>0</v>
      </c>
      <c r="AI283" s="21">
        <v>0</v>
      </c>
      <c r="AJ283" s="21" t="s">
        <v>638</v>
      </c>
      <c r="AK283" s="21">
        <v>0</v>
      </c>
      <c r="AL283" s="21">
        <v>0</v>
      </c>
      <c r="AM283" s="21">
        <v>0</v>
      </c>
      <c r="AN283" s="21">
        <v>0</v>
      </c>
      <c r="AO283" s="21">
        <v>0</v>
      </c>
      <c r="AP283" s="21"/>
      <c r="AQ283" s="21">
        <v>0</v>
      </c>
      <c r="AR283" s="21">
        <v>0</v>
      </c>
      <c r="AS283" s="21">
        <v>724229.46</v>
      </c>
      <c r="AT283" s="21" t="s">
        <v>169</v>
      </c>
      <c r="AU283" s="21" t="s">
        <v>179</v>
      </c>
      <c r="AV283" s="21" t="s">
        <v>155</v>
      </c>
      <c r="AW283" s="21" t="s">
        <v>639</v>
      </c>
      <c r="AX283" s="21" t="s">
        <v>640</v>
      </c>
      <c r="AY283" s="21">
        <v>0</v>
      </c>
      <c r="AZ283" s="21">
        <v>613753.78</v>
      </c>
      <c r="BA283" s="21">
        <v>484</v>
      </c>
      <c r="BB283" s="21" t="s">
        <v>1161</v>
      </c>
      <c r="BC283" s="21" t="s">
        <v>185</v>
      </c>
      <c r="BD283" s="21" t="s">
        <v>641</v>
      </c>
      <c r="BE283" s="21" t="s">
        <v>641</v>
      </c>
      <c r="BF283" s="21">
        <v>9</v>
      </c>
      <c r="BG283" s="21">
        <v>55237.84</v>
      </c>
      <c r="BH283" s="21">
        <v>9</v>
      </c>
      <c r="BI283" s="21">
        <v>55237.84</v>
      </c>
      <c r="BJ283" s="21">
        <v>0</v>
      </c>
      <c r="BK283" s="21">
        <v>0</v>
      </c>
      <c r="BL283" s="21">
        <v>724229.46</v>
      </c>
      <c r="BM283" s="21">
        <v>662170517483</v>
      </c>
      <c r="BN283" s="23">
        <v>46260</v>
      </c>
      <c r="BO283" s="21">
        <v>3922</v>
      </c>
    </row>
    <row r="284" spans="1:67" hidden="1" x14ac:dyDescent="0.25">
      <c r="A284" s="22"/>
      <c r="B284" s="21" t="s">
        <v>167</v>
      </c>
      <c r="C284" s="21" t="s">
        <v>1161</v>
      </c>
      <c r="D284" s="21" t="s">
        <v>1167</v>
      </c>
      <c r="E284" s="21" t="s">
        <v>306</v>
      </c>
      <c r="F284" s="21" t="s">
        <v>288</v>
      </c>
      <c r="G284" s="21" t="s">
        <v>1168</v>
      </c>
      <c r="H284" s="21">
        <v>1907</v>
      </c>
      <c r="I284" s="21">
        <v>1907</v>
      </c>
      <c r="J284" s="21" t="s">
        <v>168</v>
      </c>
      <c r="K284" s="21">
        <v>1907</v>
      </c>
      <c r="L284" s="21">
        <v>0</v>
      </c>
      <c r="M284" s="21">
        <v>1907</v>
      </c>
      <c r="N284" s="21" t="s">
        <v>1164</v>
      </c>
      <c r="O284" s="21" t="s">
        <v>663</v>
      </c>
      <c r="P284" s="21" t="s">
        <v>663</v>
      </c>
      <c r="Q284" s="21" t="s">
        <v>1169</v>
      </c>
      <c r="R284" s="21" t="s">
        <v>1142</v>
      </c>
      <c r="S284" s="21" t="s">
        <v>635</v>
      </c>
      <c r="T284" s="21" t="s">
        <v>636</v>
      </c>
      <c r="U284" s="21" t="s">
        <v>1170</v>
      </c>
      <c r="V284" s="21">
        <v>219.61</v>
      </c>
      <c r="W284" s="21">
        <v>219.61</v>
      </c>
      <c r="X284" s="21" t="s">
        <v>1169</v>
      </c>
      <c r="Y284" s="21" t="s">
        <v>1142</v>
      </c>
      <c r="Z284" s="21" t="s">
        <v>189</v>
      </c>
      <c r="AA284" s="21" t="s">
        <v>189</v>
      </c>
      <c r="AB284" s="21"/>
      <c r="AC284" s="21" t="s">
        <v>659</v>
      </c>
      <c r="AD284" s="21">
        <v>2735</v>
      </c>
      <c r="AE284" s="21">
        <v>0</v>
      </c>
      <c r="AF284" s="21">
        <v>0</v>
      </c>
      <c r="AG284" s="21">
        <v>0</v>
      </c>
      <c r="AH284" s="21">
        <v>0</v>
      </c>
      <c r="AI284" s="21">
        <v>0</v>
      </c>
      <c r="AJ284" s="21" t="s">
        <v>638</v>
      </c>
      <c r="AK284" s="21">
        <v>0</v>
      </c>
      <c r="AL284" s="21">
        <v>0</v>
      </c>
      <c r="AM284" s="21">
        <v>0</v>
      </c>
      <c r="AN284" s="21">
        <v>0</v>
      </c>
      <c r="AO284" s="21">
        <v>0</v>
      </c>
      <c r="AP284" s="21"/>
      <c r="AQ284" s="21">
        <v>0</v>
      </c>
      <c r="AR284" s="21">
        <v>0</v>
      </c>
      <c r="AS284" s="21">
        <v>494179.59</v>
      </c>
      <c r="AT284" s="21" t="s">
        <v>188</v>
      </c>
      <c r="AU284" s="21" t="s">
        <v>286</v>
      </c>
      <c r="AV284" s="21" t="s">
        <v>287</v>
      </c>
      <c r="AW284" s="21" t="s">
        <v>639</v>
      </c>
      <c r="AX284" s="21" t="s">
        <v>640</v>
      </c>
      <c r="AY284" s="21">
        <v>0</v>
      </c>
      <c r="AZ284" s="21">
        <v>418796.27</v>
      </c>
      <c r="BA284" s="21">
        <v>483</v>
      </c>
      <c r="BB284" s="21" t="s">
        <v>1161</v>
      </c>
      <c r="BC284" s="21" t="s">
        <v>185</v>
      </c>
      <c r="BD284" s="21" t="s">
        <v>641</v>
      </c>
      <c r="BE284" s="21" t="s">
        <v>641</v>
      </c>
      <c r="BF284" s="21">
        <v>9</v>
      </c>
      <c r="BG284" s="21">
        <v>37691.660000000003</v>
      </c>
      <c r="BH284" s="21">
        <v>9</v>
      </c>
      <c r="BI284" s="21">
        <v>37691.660000000003</v>
      </c>
      <c r="BJ284" s="21">
        <v>0</v>
      </c>
      <c r="BK284" s="21">
        <v>0</v>
      </c>
      <c r="BL284" s="21">
        <v>494179.59</v>
      </c>
      <c r="BM284" s="21">
        <v>622170461683</v>
      </c>
      <c r="BN284" s="23">
        <v>46260</v>
      </c>
      <c r="BO284" s="21">
        <v>1907</v>
      </c>
    </row>
    <row r="285" spans="1:67" hidden="1" x14ac:dyDescent="0.25">
      <c r="A285" s="22"/>
      <c r="B285" s="21" t="s">
        <v>167</v>
      </c>
      <c r="C285" s="21" t="s">
        <v>1161</v>
      </c>
      <c r="D285" s="21" t="s">
        <v>1171</v>
      </c>
      <c r="E285" s="21" t="s">
        <v>186</v>
      </c>
      <c r="F285" s="21" t="s">
        <v>187</v>
      </c>
      <c r="G285" s="21" t="s">
        <v>1172</v>
      </c>
      <c r="H285" s="21">
        <v>5717.3</v>
      </c>
      <c r="I285" s="21">
        <v>5717.3</v>
      </c>
      <c r="J285" s="21" t="s">
        <v>168</v>
      </c>
      <c r="K285" s="21">
        <v>5717.3</v>
      </c>
      <c r="L285" s="21">
        <v>0</v>
      </c>
      <c r="M285" s="21">
        <v>5717.3</v>
      </c>
      <c r="N285" s="21" t="s">
        <v>1104</v>
      </c>
      <c r="O285" s="21" t="s">
        <v>677</v>
      </c>
      <c r="P285" s="21" t="s">
        <v>677</v>
      </c>
      <c r="Q285" s="21" t="s">
        <v>1173</v>
      </c>
      <c r="R285" s="21" t="s">
        <v>1142</v>
      </c>
      <c r="S285" s="21" t="s">
        <v>635</v>
      </c>
      <c r="T285" s="21" t="s">
        <v>636</v>
      </c>
      <c r="U285" s="21" t="s">
        <v>1174</v>
      </c>
      <c r="V285" s="21">
        <v>255.75</v>
      </c>
      <c r="W285" s="21">
        <v>255.75000055452099</v>
      </c>
      <c r="X285" s="21" t="s">
        <v>1173</v>
      </c>
      <c r="Y285" s="21" t="s">
        <v>1142</v>
      </c>
      <c r="Z285" s="21" t="s">
        <v>189</v>
      </c>
      <c r="AA285" s="21" t="s">
        <v>189</v>
      </c>
      <c r="AB285" s="21"/>
      <c r="AC285" s="21" t="s">
        <v>659</v>
      </c>
      <c r="AD285" s="21">
        <v>2679</v>
      </c>
      <c r="AE285" s="21">
        <v>0</v>
      </c>
      <c r="AF285" s="21">
        <v>0</v>
      </c>
      <c r="AG285" s="21">
        <v>0</v>
      </c>
      <c r="AH285" s="21">
        <v>0</v>
      </c>
      <c r="AI285" s="21">
        <v>0</v>
      </c>
      <c r="AJ285" s="21" t="s">
        <v>638</v>
      </c>
      <c r="AK285" s="21">
        <v>0</v>
      </c>
      <c r="AL285" s="21">
        <v>0</v>
      </c>
      <c r="AM285" s="21">
        <v>0</v>
      </c>
      <c r="AN285" s="21">
        <v>0</v>
      </c>
      <c r="AO285" s="21">
        <v>0</v>
      </c>
      <c r="AP285" s="21"/>
      <c r="AQ285" s="21">
        <v>0</v>
      </c>
      <c r="AR285" s="21">
        <v>0</v>
      </c>
      <c r="AS285" s="21">
        <v>2306044.94</v>
      </c>
      <c r="AT285" s="21" t="s">
        <v>188</v>
      </c>
      <c r="AU285" s="21" t="s">
        <v>152</v>
      </c>
      <c r="AV285" s="21" t="s">
        <v>152</v>
      </c>
      <c r="AW285" s="21" t="s">
        <v>639</v>
      </c>
      <c r="AX285" s="21" t="s">
        <v>640</v>
      </c>
      <c r="AY285" s="21">
        <v>0</v>
      </c>
      <c r="AZ285" s="21">
        <v>1462199.48</v>
      </c>
      <c r="BA285" s="21">
        <v>482</v>
      </c>
      <c r="BB285" s="21" t="s">
        <v>1161</v>
      </c>
      <c r="BC285" s="21" t="s">
        <v>171</v>
      </c>
      <c r="BD285" s="21" t="s">
        <v>641</v>
      </c>
      <c r="BE285" s="21" t="s">
        <v>641</v>
      </c>
      <c r="BF285" s="21">
        <v>9</v>
      </c>
      <c r="BG285" s="21">
        <v>131597.95000000001</v>
      </c>
      <c r="BH285" s="21">
        <v>9</v>
      </c>
      <c r="BI285" s="21">
        <v>131597.95000000001</v>
      </c>
      <c r="BJ285" s="21">
        <v>0</v>
      </c>
      <c r="BK285" s="21">
        <v>0</v>
      </c>
      <c r="BL285" s="21">
        <v>2306044.94</v>
      </c>
      <c r="BM285" s="21">
        <v>612170781885</v>
      </c>
      <c r="BN285" s="23">
        <v>46260</v>
      </c>
      <c r="BO285" s="21">
        <v>5717.3</v>
      </c>
    </row>
    <row r="286" spans="1:67" hidden="1" x14ac:dyDescent="0.25">
      <c r="A286" s="22"/>
      <c r="B286" s="21" t="s">
        <v>167</v>
      </c>
      <c r="C286" s="21" t="s">
        <v>1161</v>
      </c>
      <c r="D286" s="21" t="s">
        <v>1171</v>
      </c>
      <c r="E286" s="21" t="s">
        <v>186</v>
      </c>
      <c r="F286" s="21" t="s">
        <v>187</v>
      </c>
      <c r="G286" s="21" t="s">
        <v>1172</v>
      </c>
      <c r="H286" s="21">
        <v>2115</v>
      </c>
      <c r="I286" s="21">
        <v>2115</v>
      </c>
      <c r="J286" s="21" t="s">
        <v>168</v>
      </c>
      <c r="K286" s="21">
        <v>2115</v>
      </c>
      <c r="L286" s="21">
        <v>0</v>
      </c>
      <c r="M286" s="21">
        <v>2115</v>
      </c>
      <c r="N286" s="21" t="s">
        <v>1104</v>
      </c>
      <c r="O286" s="21" t="s">
        <v>677</v>
      </c>
      <c r="P286" s="21" t="s">
        <v>677</v>
      </c>
      <c r="Q286" s="21" t="s">
        <v>1173</v>
      </c>
      <c r="R286" s="21" t="s">
        <v>1142</v>
      </c>
      <c r="S286" s="21" t="s">
        <v>635</v>
      </c>
      <c r="T286" s="21" t="s">
        <v>636</v>
      </c>
      <c r="U286" s="21" t="s">
        <v>1174</v>
      </c>
      <c r="V286" s="21">
        <v>232.66</v>
      </c>
      <c r="W286" s="21">
        <v>232.660000504457</v>
      </c>
      <c r="X286" s="21" t="s">
        <v>1173</v>
      </c>
      <c r="Y286" s="21" t="s">
        <v>1142</v>
      </c>
      <c r="Z286" s="21" t="s">
        <v>189</v>
      </c>
      <c r="AA286" s="21" t="s">
        <v>189</v>
      </c>
      <c r="AB286" s="21"/>
      <c r="AC286" s="21" t="s">
        <v>659</v>
      </c>
      <c r="AD286" s="21">
        <v>2679</v>
      </c>
      <c r="AE286" s="21">
        <v>0</v>
      </c>
      <c r="AF286" s="21">
        <v>0</v>
      </c>
      <c r="AG286" s="21">
        <v>0</v>
      </c>
      <c r="AH286" s="21">
        <v>0</v>
      </c>
      <c r="AI286" s="21">
        <v>0</v>
      </c>
      <c r="AJ286" s="21" t="s">
        <v>638</v>
      </c>
      <c r="AK286" s="21">
        <v>0</v>
      </c>
      <c r="AL286" s="21">
        <v>0</v>
      </c>
      <c r="AM286" s="21">
        <v>0</v>
      </c>
      <c r="AN286" s="21">
        <v>0</v>
      </c>
      <c r="AO286" s="21">
        <v>0</v>
      </c>
      <c r="AP286" s="21"/>
      <c r="AQ286" s="21">
        <v>0</v>
      </c>
      <c r="AR286" s="21">
        <v>0</v>
      </c>
      <c r="AS286" s="21">
        <v>2306044.94</v>
      </c>
      <c r="AT286" s="21" t="s">
        <v>188</v>
      </c>
      <c r="AU286" s="21" t="s">
        <v>152</v>
      </c>
      <c r="AV286" s="21" t="s">
        <v>152</v>
      </c>
      <c r="AW286" s="21" t="s">
        <v>639</v>
      </c>
      <c r="AX286" s="21" t="s">
        <v>640</v>
      </c>
      <c r="AY286" s="21">
        <v>0</v>
      </c>
      <c r="AZ286" s="21">
        <v>492075.9</v>
      </c>
      <c r="BA286" s="21">
        <v>482</v>
      </c>
      <c r="BB286" s="21" t="s">
        <v>1161</v>
      </c>
      <c r="BC286" s="21" t="s">
        <v>171</v>
      </c>
      <c r="BD286" s="21" t="s">
        <v>641</v>
      </c>
      <c r="BE286" s="21" t="s">
        <v>641</v>
      </c>
      <c r="BF286" s="21">
        <v>9</v>
      </c>
      <c r="BG286" s="21">
        <v>44286.83</v>
      </c>
      <c r="BH286" s="21">
        <v>9</v>
      </c>
      <c r="BI286" s="21">
        <v>44286.83</v>
      </c>
      <c r="BJ286" s="21">
        <v>0</v>
      </c>
      <c r="BK286" s="21">
        <v>0</v>
      </c>
      <c r="BL286" s="21">
        <v>0</v>
      </c>
      <c r="BM286" s="21">
        <v>612170781885</v>
      </c>
      <c r="BN286" s="23">
        <v>46260</v>
      </c>
      <c r="BO286" s="21">
        <v>2115</v>
      </c>
    </row>
    <row r="287" spans="1:67" hidden="1" x14ac:dyDescent="0.25">
      <c r="A287" s="22"/>
      <c r="B287" s="21" t="s">
        <v>167</v>
      </c>
      <c r="C287" s="21" t="s">
        <v>1161</v>
      </c>
      <c r="D287" s="21" t="s">
        <v>1175</v>
      </c>
      <c r="E287" s="21" t="s">
        <v>192</v>
      </c>
      <c r="F287" s="21" t="s">
        <v>161</v>
      </c>
      <c r="G287" s="21" t="s">
        <v>1176</v>
      </c>
      <c r="H287" s="21">
        <v>770</v>
      </c>
      <c r="I287" s="21">
        <v>770</v>
      </c>
      <c r="J287" s="21" t="s">
        <v>168</v>
      </c>
      <c r="K287" s="21">
        <v>770</v>
      </c>
      <c r="L287" s="21">
        <v>0</v>
      </c>
      <c r="M287" s="21">
        <v>770</v>
      </c>
      <c r="N287" s="21" t="s">
        <v>174</v>
      </c>
      <c r="O287" s="21" t="s">
        <v>633</v>
      </c>
      <c r="P287" s="21" t="s">
        <v>633</v>
      </c>
      <c r="Q287" s="21" t="s">
        <v>1177</v>
      </c>
      <c r="R287" s="21" t="s">
        <v>1161</v>
      </c>
      <c r="S287" s="21" t="s">
        <v>635</v>
      </c>
      <c r="T287" s="21" t="s">
        <v>636</v>
      </c>
      <c r="U287" s="21" t="s">
        <v>1178</v>
      </c>
      <c r="V287" s="21">
        <v>132.32</v>
      </c>
      <c r="W287" s="21">
        <v>132.32</v>
      </c>
      <c r="X287" s="21" t="s">
        <v>1177</v>
      </c>
      <c r="Y287" s="21" t="s">
        <v>1161</v>
      </c>
      <c r="Z287" s="21" t="s">
        <v>1160</v>
      </c>
      <c r="AA287" s="21">
        <v>0</v>
      </c>
      <c r="AB287" s="21"/>
      <c r="AC287" s="21">
        <v>0</v>
      </c>
      <c r="AD287" s="21">
        <v>0</v>
      </c>
      <c r="AE287" s="21">
        <v>0</v>
      </c>
      <c r="AF287" s="21">
        <v>0</v>
      </c>
      <c r="AG287" s="21">
        <v>0</v>
      </c>
      <c r="AH287" s="21">
        <v>0</v>
      </c>
      <c r="AI287" s="21">
        <v>0</v>
      </c>
      <c r="AJ287" s="21" t="s">
        <v>638</v>
      </c>
      <c r="AK287" s="21">
        <v>0</v>
      </c>
      <c r="AL287" s="21">
        <v>0</v>
      </c>
      <c r="AM287" s="21">
        <v>0</v>
      </c>
      <c r="AN287" s="21">
        <v>0</v>
      </c>
      <c r="AO287" s="21">
        <v>0</v>
      </c>
      <c r="AP287" s="21"/>
      <c r="AQ287" s="21">
        <v>0</v>
      </c>
      <c r="AR287" s="21">
        <v>0</v>
      </c>
      <c r="AS287" s="21">
        <v>120225.96</v>
      </c>
      <c r="AT287" s="21" t="s">
        <v>169</v>
      </c>
      <c r="AU287" s="21" t="s">
        <v>193</v>
      </c>
      <c r="AV287" s="21" t="s">
        <v>161</v>
      </c>
      <c r="AW287" s="21" t="s">
        <v>639</v>
      </c>
      <c r="AX287" s="21" t="s">
        <v>640</v>
      </c>
      <c r="AY287" s="21">
        <v>0</v>
      </c>
      <c r="AZ287" s="21">
        <v>101886.39999999999</v>
      </c>
      <c r="BA287" s="21">
        <v>485</v>
      </c>
      <c r="BB287" s="21" t="s">
        <v>1161</v>
      </c>
      <c r="BC287" s="21" t="s">
        <v>176</v>
      </c>
      <c r="BD287" s="21" t="s">
        <v>641</v>
      </c>
      <c r="BE287" s="21" t="s">
        <v>641</v>
      </c>
      <c r="BF287" s="21">
        <v>9</v>
      </c>
      <c r="BG287" s="21">
        <v>9169.7800000000007</v>
      </c>
      <c r="BH287" s="21">
        <v>9</v>
      </c>
      <c r="BI287" s="21">
        <v>9169.7800000000007</v>
      </c>
      <c r="BJ287" s="21">
        <v>0</v>
      </c>
      <c r="BK287" s="21">
        <v>0</v>
      </c>
      <c r="BL287" s="21">
        <v>120225.96</v>
      </c>
      <c r="BM287" s="21">
        <v>612171221869</v>
      </c>
      <c r="BN287" s="23">
        <v>46261</v>
      </c>
      <c r="BO287" s="21">
        <v>770</v>
      </c>
    </row>
    <row r="288" spans="1:67" hidden="1" x14ac:dyDescent="0.25">
      <c r="A288" s="22"/>
      <c r="B288" s="21" t="s">
        <v>167</v>
      </c>
      <c r="C288" s="21" t="s">
        <v>1161</v>
      </c>
      <c r="D288" s="21" t="s">
        <v>1179</v>
      </c>
      <c r="E288" s="21" t="s">
        <v>796</v>
      </c>
      <c r="F288" s="21" t="s">
        <v>797</v>
      </c>
      <c r="G288" s="21" t="s">
        <v>1180</v>
      </c>
      <c r="H288" s="21">
        <v>3000</v>
      </c>
      <c r="I288" s="21">
        <v>3000</v>
      </c>
      <c r="J288" s="21" t="s">
        <v>168</v>
      </c>
      <c r="K288" s="21">
        <v>3000</v>
      </c>
      <c r="L288" s="21">
        <v>0</v>
      </c>
      <c r="M288" s="21">
        <v>3000</v>
      </c>
      <c r="N288" s="21" t="s">
        <v>174</v>
      </c>
      <c r="O288" s="21" t="s">
        <v>633</v>
      </c>
      <c r="P288" s="21" t="s">
        <v>633</v>
      </c>
      <c r="Q288" s="21" t="s">
        <v>1181</v>
      </c>
      <c r="R288" s="21" t="s">
        <v>1161</v>
      </c>
      <c r="S288" s="21" t="s">
        <v>635</v>
      </c>
      <c r="T288" s="21" t="s">
        <v>636</v>
      </c>
      <c r="U288" s="21" t="s">
        <v>1182</v>
      </c>
      <c r="V288" s="21">
        <v>40.5</v>
      </c>
      <c r="W288" s="21">
        <v>40.5</v>
      </c>
      <c r="X288" s="21" t="s">
        <v>1181</v>
      </c>
      <c r="Y288" s="21" t="s">
        <v>1161</v>
      </c>
      <c r="Z288" s="21"/>
      <c r="AA288" s="21">
        <v>0</v>
      </c>
      <c r="AB288" s="21"/>
      <c r="AC288" s="21">
        <v>0</v>
      </c>
      <c r="AD288" s="21">
        <v>0</v>
      </c>
      <c r="AE288" s="21">
        <v>0</v>
      </c>
      <c r="AF288" s="21">
        <v>0</v>
      </c>
      <c r="AG288" s="21">
        <v>0</v>
      </c>
      <c r="AH288" s="21">
        <v>0</v>
      </c>
      <c r="AI288" s="21">
        <v>0</v>
      </c>
      <c r="AJ288" s="21" t="s">
        <v>638</v>
      </c>
      <c r="AK288" s="21">
        <v>0</v>
      </c>
      <c r="AL288" s="21">
        <v>0</v>
      </c>
      <c r="AM288" s="21">
        <v>0</v>
      </c>
      <c r="AN288" s="21">
        <v>0</v>
      </c>
      <c r="AO288" s="21">
        <v>0</v>
      </c>
      <c r="AP288" s="21"/>
      <c r="AQ288" s="21">
        <v>0</v>
      </c>
      <c r="AR288" s="21">
        <v>0</v>
      </c>
      <c r="AS288" s="21">
        <v>143370</v>
      </c>
      <c r="AT288" s="21" t="s">
        <v>639</v>
      </c>
      <c r="AU288" s="21" t="s">
        <v>648</v>
      </c>
      <c r="AV288" s="21" t="s">
        <v>164</v>
      </c>
      <c r="AW288" s="21" t="s">
        <v>639</v>
      </c>
      <c r="AX288" s="21" t="s">
        <v>802</v>
      </c>
      <c r="AY288" s="21">
        <v>0</v>
      </c>
      <c r="AZ288" s="21">
        <v>121500</v>
      </c>
      <c r="BA288" s="21">
        <v>486</v>
      </c>
      <c r="BB288" s="21" t="s">
        <v>1161</v>
      </c>
      <c r="BC288" s="21" t="s">
        <v>176</v>
      </c>
      <c r="BD288" s="21" t="s">
        <v>641</v>
      </c>
      <c r="BE288" s="21" t="s">
        <v>641</v>
      </c>
      <c r="BF288" s="21">
        <v>9</v>
      </c>
      <c r="BG288" s="21">
        <v>10935</v>
      </c>
      <c r="BH288" s="21">
        <v>9</v>
      </c>
      <c r="BI288" s="21">
        <v>10935</v>
      </c>
      <c r="BJ288" s="21">
        <v>0</v>
      </c>
      <c r="BK288" s="21">
        <v>0</v>
      </c>
      <c r="BL288" s="21">
        <v>143370</v>
      </c>
      <c r="BM288" s="21">
        <v>612171208680</v>
      </c>
      <c r="BN288" s="23">
        <v>46261</v>
      </c>
      <c r="BO288" s="21">
        <v>3000</v>
      </c>
    </row>
    <row r="289" spans="1:67" hidden="1" x14ac:dyDescent="0.25">
      <c r="A289" s="22"/>
      <c r="B289" s="21" t="s">
        <v>167</v>
      </c>
      <c r="C289" s="21" t="s">
        <v>1161</v>
      </c>
      <c r="D289" s="21" t="s">
        <v>1183</v>
      </c>
      <c r="E289" s="21" t="s">
        <v>177</v>
      </c>
      <c r="F289" s="21" t="s">
        <v>178</v>
      </c>
      <c r="G289" s="21" t="s">
        <v>1184</v>
      </c>
      <c r="H289" s="21">
        <v>3477</v>
      </c>
      <c r="I289" s="21">
        <v>3477</v>
      </c>
      <c r="J289" s="21" t="s">
        <v>168</v>
      </c>
      <c r="K289" s="21">
        <v>3477</v>
      </c>
      <c r="L289" s="21">
        <v>0</v>
      </c>
      <c r="M289" s="21">
        <v>3477</v>
      </c>
      <c r="N289" s="21" t="s">
        <v>174</v>
      </c>
      <c r="O289" s="21" t="s">
        <v>633</v>
      </c>
      <c r="P289" s="21" t="s">
        <v>633</v>
      </c>
      <c r="Q289" s="21" t="s">
        <v>1185</v>
      </c>
      <c r="R289" s="21" t="s">
        <v>1161</v>
      </c>
      <c r="S289" s="21" t="s">
        <v>635</v>
      </c>
      <c r="T289" s="21" t="s">
        <v>636</v>
      </c>
      <c r="U289" s="21" t="s">
        <v>1186</v>
      </c>
      <c r="V289" s="21">
        <v>149.32</v>
      </c>
      <c r="W289" s="21">
        <v>149.319998863828</v>
      </c>
      <c r="X289" s="21" t="s">
        <v>1185</v>
      </c>
      <c r="Y289" s="21" t="s">
        <v>1161</v>
      </c>
      <c r="Z289" s="21"/>
      <c r="AA289" s="21">
        <v>0</v>
      </c>
      <c r="AB289" s="21"/>
      <c r="AC289" s="21">
        <v>0</v>
      </c>
      <c r="AD289" s="21">
        <v>0</v>
      </c>
      <c r="AE289" s="21">
        <v>0</v>
      </c>
      <c r="AF289" s="21">
        <v>0</v>
      </c>
      <c r="AG289" s="21">
        <v>0</v>
      </c>
      <c r="AH289" s="21">
        <v>0</v>
      </c>
      <c r="AI289" s="21">
        <v>0</v>
      </c>
      <c r="AJ289" s="21" t="s">
        <v>638</v>
      </c>
      <c r="AK289" s="21">
        <v>0</v>
      </c>
      <c r="AL289" s="21">
        <v>0</v>
      </c>
      <c r="AM289" s="21">
        <v>0</v>
      </c>
      <c r="AN289" s="21">
        <v>0</v>
      </c>
      <c r="AO289" s="21">
        <v>0</v>
      </c>
      <c r="AP289" s="21"/>
      <c r="AQ289" s="21">
        <v>0</v>
      </c>
      <c r="AR289" s="21">
        <v>0</v>
      </c>
      <c r="AS289" s="21">
        <v>788542.39</v>
      </c>
      <c r="AT289" s="21" t="s">
        <v>169</v>
      </c>
      <c r="AU289" s="21" t="s">
        <v>179</v>
      </c>
      <c r="AV289" s="21" t="s">
        <v>156</v>
      </c>
      <c r="AW289" s="21" t="s">
        <v>639</v>
      </c>
      <c r="AX289" s="21" t="s">
        <v>640</v>
      </c>
      <c r="AY289" s="21">
        <v>0</v>
      </c>
      <c r="AZ289" s="21">
        <v>519185.64</v>
      </c>
      <c r="BA289" s="21">
        <v>487</v>
      </c>
      <c r="BB289" s="21" t="s">
        <v>1161</v>
      </c>
      <c r="BC289" s="21" t="s">
        <v>176</v>
      </c>
      <c r="BD289" s="21" t="s">
        <v>641</v>
      </c>
      <c r="BE289" s="21" t="s">
        <v>641</v>
      </c>
      <c r="BF289" s="21">
        <v>9</v>
      </c>
      <c r="BG289" s="21">
        <v>46726.71</v>
      </c>
      <c r="BH289" s="21">
        <v>9</v>
      </c>
      <c r="BI289" s="21">
        <v>46726.71</v>
      </c>
      <c r="BJ289" s="21">
        <v>0</v>
      </c>
      <c r="BK289" s="21">
        <v>0</v>
      </c>
      <c r="BL289" s="21">
        <v>788542.39</v>
      </c>
      <c r="BM289" s="21">
        <v>632171528612</v>
      </c>
      <c r="BN289" s="23">
        <v>46261</v>
      </c>
      <c r="BO289" s="21">
        <v>3477</v>
      </c>
    </row>
    <row r="290" spans="1:67" hidden="1" x14ac:dyDescent="0.25">
      <c r="A290" s="22"/>
      <c r="B290" s="21" t="s">
        <v>167</v>
      </c>
      <c r="C290" s="21" t="s">
        <v>1161</v>
      </c>
      <c r="D290" s="21" t="s">
        <v>1183</v>
      </c>
      <c r="E290" s="21" t="s">
        <v>180</v>
      </c>
      <c r="F290" s="21" t="s">
        <v>181</v>
      </c>
      <c r="G290" s="21" t="s">
        <v>1184</v>
      </c>
      <c r="H290" s="21">
        <v>201.2</v>
      </c>
      <c r="I290" s="21">
        <v>201.2</v>
      </c>
      <c r="J290" s="21" t="s">
        <v>168</v>
      </c>
      <c r="K290" s="21">
        <v>201.2</v>
      </c>
      <c r="L290" s="21">
        <v>0</v>
      </c>
      <c r="M290" s="21">
        <v>201.2</v>
      </c>
      <c r="N290" s="21" t="s">
        <v>174</v>
      </c>
      <c r="O290" s="21" t="s">
        <v>633</v>
      </c>
      <c r="P290" s="21" t="s">
        <v>633</v>
      </c>
      <c r="Q290" s="21" t="s">
        <v>1185</v>
      </c>
      <c r="R290" s="21" t="s">
        <v>1161</v>
      </c>
      <c r="S290" s="21" t="s">
        <v>635</v>
      </c>
      <c r="T290" s="21" t="s">
        <v>636</v>
      </c>
      <c r="U290" s="21" t="s">
        <v>1186</v>
      </c>
      <c r="V290" s="21">
        <v>165.32</v>
      </c>
      <c r="W290" s="21">
        <v>165.31999874208401</v>
      </c>
      <c r="X290" s="21" t="s">
        <v>1185</v>
      </c>
      <c r="Y290" s="21" t="s">
        <v>1161</v>
      </c>
      <c r="Z290" s="21"/>
      <c r="AA290" s="21">
        <v>0</v>
      </c>
      <c r="AB290" s="21"/>
      <c r="AC290" s="21">
        <v>0</v>
      </c>
      <c r="AD290" s="21">
        <v>0</v>
      </c>
      <c r="AE290" s="21">
        <v>0</v>
      </c>
      <c r="AF290" s="21">
        <v>0</v>
      </c>
      <c r="AG290" s="21">
        <v>0</v>
      </c>
      <c r="AH290" s="21">
        <v>0</v>
      </c>
      <c r="AI290" s="21">
        <v>0</v>
      </c>
      <c r="AJ290" s="21" t="s">
        <v>638</v>
      </c>
      <c r="AK290" s="21">
        <v>0</v>
      </c>
      <c r="AL290" s="21">
        <v>0</v>
      </c>
      <c r="AM290" s="21">
        <v>0</v>
      </c>
      <c r="AN290" s="21">
        <v>0</v>
      </c>
      <c r="AO290" s="21">
        <v>0</v>
      </c>
      <c r="AP290" s="21"/>
      <c r="AQ290" s="21">
        <v>0</v>
      </c>
      <c r="AR290" s="21">
        <v>0</v>
      </c>
      <c r="AS290" s="21">
        <v>788542.39</v>
      </c>
      <c r="AT290" s="21" t="s">
        <v>169</v>
      </c>
      <c r="AU290" s="21" t="s">
        <v>181</v>
      </c>
      <c r="AV290" s="21" t="s">
        <v>154</v>
      </c>
      <c r="AW290" s="21" t="s">
        <v>639</v>
      </c>
      <c r="AX290" s="21" t="s">
        <v>640</v>
      </c>
      <c r="AY290" s="21">
        <v>0</v>
      </c>
      <c r="AZ290" s="21">
        <v>33262.379999999997</v>
      </c>
      <c r="BA290" s="21">
        <v>487</v>
      </c>
      <c r="BB290" s="21" t="s">
        <v>1161</v>
      </c>
      <c r="BC290" s="21" t="s">
        <v>176</v>
      </c>
      <c r="BD290" s="21" t="s">
        <v>641</v>
      </c>
      <c r="BE290" s="21" t="s">
        <v>641</v>
      </c>
      <c r="BF290" s="21">
        <v>9</v>
      </c>
      <c r="BG290" s="21">
        <v>2993.61</v>
      </c>
      <c r="BH290" s="21">
        <v>9</v>
      </c>
      <c r="BI290" s="21">
        <v>2993.61</v>
      </c>
      <c r="BJ290" s="21">
        <v>0</v>
      </c>
      <c r="BK290" s="21">
        <v>0</v>
      </c>
      <c r="BL290" s="21">
        <v>0</v>
      </c>
      <c r="BM290" s="21">
        <v>632171528612</v>
      </c>
      <c r="BN290" s="23">
        <v>46261</v>
      </c>
      <c r="BO290" s="21">
        <v>201.2</v>
      </c>
    </row>
    <row r="291" spans="1:67" hidden="1" x14ac:dyDescent="0.25">
      <c r="A291" s="22"/>
      <c r="B291" s="21" t="s">
        <v>167</v>
      </c>
      <c r="C291" s="21" t="s">
        <v>1161</v>
      </c>
      <c r="D291" s="21" t="s">
        <v>1183</v>
      </c>
      <c r="E291" s="21" t="s">
        <v>180</v>
      </c>
      <c r="F291" s="21" t="s">
        <v>181</v>
      </c>
      <c r="G291" s="21" t="s">
        <v>1184</v>
      </c>
      <c r="H291" s="21">
        <v>786.1</v>
      </c>
      <c r="I291" s="21">
        <v>786.1</v>
      </c>
      <c r="J291" s="21" t="s">
        <v>168</v>
      </c>
      <c r="K291" s="21">
        <v>786.1</v>
      </c>
      <c r="L291" s="21">
        <v>0</v>
      </c>
      <c r="M291" s="21">
        <v>786.1</v>
      </c>
      <c r="N291" s="21" t="s">
        <v>174</v>
      </c>
      <c r="O291" s="21" t="s">
        <v>633</v>
      </c>
      <c r="P291" s="21" t="s">
        <v>633</v>
      </c>
      <c r="Q291" s="21" t="s">
        <v>1185</v>
      </c>
      <c r="R291" s="21" t="s">
        <v>1161</v>
      </c>
      <c r="S291" s="21" t="s">
        <v>635</v>
      </c>
      <c r="T291" s="21" t="s">
        <v>636</v>
      </c>
      <c r="U291" s="21" t="s">
        <v>1186</v>
      </c>
      <c r="V291" s="21">
        <v>147.32</v>
      </c>
      <c r="W291" s="21">
        <v>147.31999887904601</v>
      </c>
      <c r="X291" s="21" t="s">
        <v>1185</v>
      </c>
      <c r="Y291" s="21" t="s">
        <v>1161</v>
      </c>
      <c r="Z291" s="21"/>
      <c r="AA291" s="21">
        <v>0</v>
      </c>
      <c r="AB291" s="21"/>
      <c r="AC291" s="21">
        <v>0</v>
      </c>
      <c r="AD291" s="21">
        <v>0</v>
      </c>
      <c r="AE291" s="21">
        <v>0</v>
      </c>
      <c r="AF291" s="21">
        <v>0</v>
      </c>
      <c r="AG291" s="21">
        <v>0</v>
      </c>
      <c r="AH291" s="21">
        <v>0</v>
      </c>
      <c r="AI291" s="21">
        <v>0</v>
      </c>
      <c r="AJ291" s="21" t="s">
        <v>638</v>
      </c>
      <c r="AK291" s="21">
        <v>0</v>
      </c>
      <c r="AL291" s="21">
        <v>0</v>
      </c>
      <c r="AM291" s="21">
        <v>0</v>
      </c>
      <c r="AN291" s="21">
        <v>0</v>
      </c>
      <c r="AO291" s="21">
        <v>0</v>
      </c>
      <c r="AP291" s="21"/>
      <c r="AQ291" s="21">
        <v>0</v>
      </c>
      <c r="AR291" s="21">
        <v>0</v>
      </c>
      <c r="AS291" s="21">
        <v>788542.39</v>
      </c>
      <c r="AT291" s="21" t="s">
        <v>169</v>
      </c>
      <c r="AU291" s="21" t="s">
        <v>181</v>
      </c>
      <c r="AV291" s="21" t="s">
        <v>154</v>
      </c>
      <c r="AW291" s="21" t="s">
        <v>639</v>
      </c>
      <c r="AX291" s="21" t="s">
        <v>640</v>
      </c>
      <c r="AY291" s="21">
        <v>0</v>
      </c>
      <c r="AZ291" s="21">
        <v>115808.25</v>
      </c>
      <c r="BA291" s="21">
        <v>487</v>
      </c>
      <c r="BB291" s="21" t="s">
        <v>1161</v>
      </c>
      <c r="BC291" s="21" t="s">
        <v>176</v>
      </c>
      <c r="BD291" s="21" t="s">
        <v>641</v>
      </c>
      <c r="BE291" s="21" t="s">
        <v>641</v>
      </c>
      <c r="BF291" s="21">
        <v>9</v>
      </c>
      <c r="BG291" s="21">
        <v>10422.74</v>
      </c>
      <c r="BH291" s="21">
        <v>9</v>
      </c>
      <c r="BI291" s="21">
        <v>10422.74</v>
      </c>
      <c r="BJ291" s="21">
        <v>0</v>
      </c>
      <c r="BK291" s="21">
        <v>0</v>
      </c>
      <c r="BL291" s="21">
        <v>0</v>
      </c>
      <c r="BM291" s="21">
        <v>632171528612</v>
      </c>
      <c r="BN291" s="23">
        <v>46261</v>
      </c>
      <c r="BO291" s="21">
        <v>786.1</v>
      </c>
    </row>
    <row r="292" spans="1:67" hidden="1" x14ac:dyDescent="0.25">
      <c r="A292" s="22"/>
      <c r="B292" s="21" t="s">
        <v>167</v>
      </c>
      <c r="C292" s="21" t="s">
        <v>1161</v>
      </c>
      <c r="D292" s="21" t="s">
        <v>1187</v>
      </c>
      <c r="E292" s="21" t="s">
        <v>172</v>
      </c>
      <c r="F292" s="21" t="s">
        <v>173</v>
      </c>
      <c r="G292" s="21" t="s">
        <v>1188</v>
      </c>
      <c r="H292" s="21">
        <v>1093</v>
      </c>
      <c r="I292" s="21">
        <v>1093</v>
      </c>
      <c r="J292" s="21" t="s">
        <v>168</v>
      </c>
      <c r="K292" s="21">
        <v>1093</v>
      </c>
      <c r="L292" s="21">
        <v>0</v>
      </c>
      <c r="M292" s="21">
        <v>1093</v>
      </c>
      <c r="N292" s="21" t="s">
        <v>1083</v>
      </c>
      <c r="O292" s="21" t="s">
        <v>663</v>
      </c>
      <c r="P292" s="21" t="s">
        <v>663</v>
      </c>
      <c r="Q292" s="21" t="s">
        <v>1189</v>
      </c>
      <c r="R292" s="21" t="s">
        <v>1067</v>
      </c>
      <c r="S292" s="21" t="s">
        <v>635</v>
      </c>
      <c r="T292" s="21" t="s">
        <v>636</v>
      </c>
      <c r="U292" s="21" t="s">
        <v>1190</v>
      </c>
      <c r="V292" s="21">
        <v>170.95</v>
      </c>
      <c r="W292" s="21">
        <v>170.95</v>
      </c>
      <c r="X292" s="21" t="s">
        <v>1189</v>
      </c>
      <c r="Y292" s="21" t="s">
        <v>1067</v>
      </c>
      <c r="Z292" s="21" t="s">
        <v>189</v>
      </c>
      <c r="AA292" s="21" t="s">
        <v>189</v>
      </c>
      <c r="AB292" s="21"/>
      <c r="AC292" s="21" t="s">
        <v>189</v>
      </c>
      <c r="AD292" s="21" t="s">
        <v>189</v>
      </c>
      <c r="AE292" s="21">
        <v>0</v>
      </c>
      <c r="AF292" s="21">
        <v>0</v>
      </c>
      <c r="AG292" s="21">
        <v>0</v>
      </c>
      <c r="AH292" s="21">
        <v>0</v>
      </c>
      <c r="AI292" s="21">
        <v>0</v>
      </c>
      <c r="AJ292" s="21" t="s">
        <v>638</v>
      </c>
      <c r="AK292" s="21">
        <v>0</v>
      </c>
      <c r="AL292" s="21">
        <v>0</v>
      </c>
      <c r="AM292" s="21">
        <v>0</v>
      </c>
      <c r="AN292" s="21">
        <v>0</v>
      </c>
      <c r="AO292" s="21">
        <v>0</v>
      </c>
      <c r="AP292" s="21"/>
      <c r="AQ292" s="21">
        <v>0</v>
      </c>
      <c r="AR292" s="21">
        <v>0</v>
      </c>
      <c r="AS292" s="21">
        <v>220481.05</v>
      </c>
      <c r="AT292" s="21" t="s">
        <v>169</v>
      </c>
      <c r="AU292" s="21" t="s">
        <v>175</v>
      </c>
      <c r="AV292" s="21" t="s">
        <v>159</v>
      </c>
      <c r="AW292" s="21" t="s">
        <v>639</v>
      </c>
      <c r="AX292" s="21" t="s">
        <v>640</v>
      </c>
      <c r="AY292" s="21">
        <v>0</v>
      </c>
      <c r="AZ292" s="21">
        <v>186848.35</v>
      </c>
      <c r="BA292" s="21">
        <v>488</v>
      </c>
      <c r="BB292" s="23">
        <v>46211</v>
      </c>
      <c r="BC292" s="21" t="s">
        <v>185</v>
      </c>
      <c r="BD292" s="21" t="s">
        <v>641</v>
      </c>
      <c r="BE292" s="21" t="s">
        <v>641</v>
      </c>
      <c r="BF292" s="21">
        <v>9</v>
      </c>
      <c r="BG292" s="21">
        <v>16816.349999999999</v>
      </c>
      <c r="BH292" s="21">
        <v>9</v>
      </c>
      <c r="BI292" s="21">
        <v>16816.349999999999</v>
      </c>
      <c r="BJ292" s="21">
        <v>0</v>
      </c>
      <c r="BK292" s="21">
        <v>0</v>
      </c>
      <c r="BL292" s="21">
        <v>220481.05</v>
      </c>
      <c r="BM292" s="21">
        <v>602168711635</v>
      </c>
      <c r="BN292" s="23">
        <v>46257</v>
      </c>
      <c r="BO292" s="21">
        <v>1093</v>
      </c>
    </row>
    <row r="293" spans="1:67" hidden="1" x14ac:dyDescent="0.25">
      <c r="A293" s="22"/>
      <c r="B293" s="21" t="s">
        <v>167</v>
      </c>
      <c r="C293" s="21" t="s">
        <v>1191</v>
      </c>
      <c r="D293" s="21" t="s">
        <v>1192</v>
      </c>
      <c r="E293" s="21" t="s">
        <v>182</v>
      </c>
      <c r="F293" s="21" t="s">
        <v>183</v>
      </c>
      <c r="G293" s="21" t="s">
        <v>1193</v>
      </c>
      <c r="H293" s="21">
        <v>2957</v>
      </c>
      <c r="I293" s="21">
        <v>2957</v>
      </c>
      <c r="J293" s="21" t="s">
        <v>168</v>
      </c>
      <c r="K293" s="21">
        <v>2957</v>
      </c>
      <c r="L293" s="21">
        <v>0</v>
      </c>
      <c r="M293" s="21">
        <v>2957</v>
      </c>
      <c r="N293" s="21" t="s">
        <v>275</v>
      </c>
      <c r="O293" s="21" t="s">
        <v>633</v>
      </c>
      <c r="P293" s="21" t="s">
        <v>633</v>
      </c>
      <c r="Q293" s="21" t="s">
        <v>1194</v>
      </c>
      <c r="R293" s="21" t="s">
        <v>1191</v>
      </c>
      <c r="S293" s="21" t="s">
        <v>635</v>
      </c>
      <c r="T293" s="21" t="s">
        <v>636</v>
      </c>
      <c r="U293" s="21" t="s">
        <v>1195</v>
      </c>
      <c r="V293" s="21">
        <v>144.32</v>
      </c>
      <c r="W293" s="21">
        <v>144.32</v>
      </c>
      <c r="X293" s="21" t="s">
        <v>1194</v>
      </c>
      <c r="Y293" s="21" t="s">
        <v>1191</v>
      </c>
      <c r="Z293" s="21"/>
      <c r="AA293" s="21">
        <v>0</v>
      </c>
      <c r="AB293" s="21"/>
      <c r="AC293" s="21">
        <v>0</v>
      </c>
      <c r="AD293" s="21">
        <v>0</v>
      </c>
      <c r="AE293" s="21">
        <v>0</v>
      </c>
      <c r="AF293" s="21">
        <v>0</v>
      </c>
      <c r="AG293" s="21">
        <v>0</v>
      </c>
      <c r="AH293" s="21">
        <v>0</v>
      </c>
      <c r="AI293" s="21">
        <v>0</v>
      </c>
      <c r="AJ293" s="21" t="s">
        <v>638</v>
      </c>
      <c r="AK293" s="21">
        <v>0</v>
      </c>
      <c r="AL293" s="21">
        <v>0</v>
      </c>
      <c r="AM293" s="21">
        <v>0</v>
      </c>
      <c r="AN293" s="21">
        <v>0</v>
      </c>
      <c r="AO293" s="21">
        <v>0</v>
      </c>
      <c r="AP293" s="21"/>
      <c r="AQ293" s="21">
        <v>0</v>
      </c>
      <c r="AR293" s="21">
        <v>0</v>
      </c>
      <c r="AS293" s="21">
        <v>662209.30000000005</v>
      </c>
      <c r="AT293" s="21" t="s">
        <v>169</v>
      </c>
      <c r="AU293" s="21" t="s">
        <v>179</v>
      </c>
      <c r="AV293" s="21" t="s">
        <v>155</v>
      </c>
      <c r="AW293" s="21" t="s">
        <v>639</v>
      </c>
      <c r="AX293" s="21" t="s">
        <v>640</v>
      </c>
      <c r="AY293" s="21">
        <v>0</v>
      </c>
      <c r="AZ293" s="21">
        <v>426754.24</v>
      </c>
      <c r="BA293" s="21">
        <v>489</v>
      </c>
      <c r="BB293" s="21" t="s">
        <v>1191</v>
      </c>
      <c r="BC293" s="21" t="s">
        <v>176</v>
      </c>
      <c r="BD293" s="21" t="s">
        <v>641</v>
      </c>
      <c r="BE293" s="21" t="s">
        <v>641</v>
      </c>
      <c r="BF293" s="21">
        <v>9</v>
      </c>
      <c r="BG293" s="21">
        <v>38407.879999999997</v>
      </c>
      <c r="BH293" s="21">
        <v>9</v>
      </c>
      <c r="BI293" s="21">
        <v>38407.879999999997</v>
      </c>
      <c r="BJ293" s="21">
        <v>0</v>
      </c>
      <c r="BK293" s="21">
        <v>0</v>
      </c>
      <c r="BL293" s="21">
        <v>662209.30000000005</v>
      </c>
      <c r="BM293" s="21">
        <v>622171825804</v>
      </c>
      <c r="BN293" s="23">
        <v>46262</v>
      </c>
      <c r="BO293" s="21">
        <v>2957</v>
      </c>
    </row>
    <row r="294" spans="1:67" hidden="1" x14ac:dyDescent="0.25">
      <c r="A294" s="22"/>
      <c r="B294" s="21" t="s">
        <v>167</v>
      </c>
      <c r="C294" s="21" t="s">
        <v>1191</v>
      </c>
      <c r="D294" s="21" t="s">
        <v>1192</v>
      </c>
      <c r="E294" s="21" t="s">
        <v>182</v>
      </c>
      <c r="F294" s="21" t="s">
        <v>183</v>
      </c>
      <c r="G294" s="21" t="s">
        <v>1193</v>
      </c>
      <c r="H294" s="21">
        <v>794</v>
      </c>
      <c r="I294" s="21">
        <v>794</v>
      </c>
      <c r="J294" s="21" t="s">
        <v>168</v>
      </c>
      <c r="K294" s="21">
        <v>794</v>
      </c>
      <c r="L294" s="21">
        <v>0</v>
      </c>
      <c r="M294" s="21">
        <v>794</v>
      </c>
      <c r="N294" s="21" t="s">
        <v>275</v>
      </c>
      <c r="O294" s="21" t="s">
        <v>633</v>
      </c>
      <c r="P294" s="21" t="s">
        <v>633</v>
      </c>
      <c r="Q294" s="21" t="s">
        <v>1194</v>
      </c>
      <c r="R294" s="21" t="s">
        <v>1191</v>
      </c>
      <c r="S294" s="21" t="s">
        <v>635</v>
      </c>
      <c r="T294" s="21" t="s">
        <v>636</v>
      </c>
      <c r="U294" s="21" t="s">
        <v>1195</v>
      </c>
      <c r="V294" s="21">
        <v>169.32</v>
      </c>
      <c r="W294" s="21">
        <v>169.32</v>
      </c>
      <c r="X294" s="21" t="s">
        <v>1194</v>
      </c>
      <c r="Y294" s="21" t="s">
        <v>1191</v>
      </c>
      <c r="Z294" s="21"/>
      <c r="AA294" s="21">
        <v>0</v>
      </c>
      <c r="AB294" s="21"/>
      <c r="AC294" s="21">
        <v>0</v>
      </c>
      <c r="AD294" s="21">
        <v>0</v>
      </c>
      <c r="AE294" s="21">
        <v>0</v>
      </c>
      <c r="AF294" s="21">
        <v>0</v>
      </c>
      <c r="AG294" s="21">
        <v>0</v>
      </c>
      <c r="AH294" s="21">
        <v>0</v>
      </c>
      <c r="AI294" s="21">
        <v>0</v>
      </c>
      <c r="AJ294" s="21" t="s">
        <v>638</v>
      </c>
      <c r="AK294" s="21">
        <v>0</v>
      </c>
      <c r="AL294" s="21">
        <v>0</v>
      </c>
      <c r="AM294" s="21">
        <v>0</v>
      </c>
      <c r="AN294" s="21">
        <v>0</v>
      </c>
      <c r="AO294" s="21">
        <v>0</v>
      </c>
      <c r="AP294" s="21"/>
      <c r="AQ294" s="21">
        <v>0</v>
      </c>
      <c r="AR294" s="21">
        <v>0</v>
      </c>
      <c r="AS294" s="21">
        <v>662209.30000000005</v>
      </c>
      <c r="AT294" s="21" t="s">
        <v>169</v>
      </c>
      <c r="AU294" s="21" t="s">
        <v>179</v>
      </c>
      <c r="AV294" s="21" t="s">
        <v>155</v>
      </c>
      <c r="AW294" s="21" t="s">
        <v>639</v>
      </c>
      <c r="AX294" s="21" t="s">
        <v>640</v>
      </c>
      <c r="AY294" s="21">
        <v>0</v>
      </c>
      <c r="AZ294" s="21">
        <v>134440.07999999999</v>
      </c>
      <c r="BA294" s="21">
        <v>489</v>
      </c>
      <c r="BB294" s="21" t="s">
        <v>1191</v>
      </c>
      <c r="BC294" s="21" t="s">
        <v>176</v>
      </c>
      <c r="BD294" s="21" t="s">
        <v>641</v>
      </c>
      <c r="BE294" s="21" t="s">
        <v>641</v>
      </c>
      <c r="BF294" s="21">
        <v>9</v>
      </c>
      <c r="BG294" s="21">
        <v>12099.61</v>
      </c>
      <c r="BH294" s="21">
        <v>9</v>
      </c>
      <c r="BI294" s="21">
        <v>12099.61</v>
      </c>
      <c r="BJ294" s="21">
        <v>0</v>
      </c>
      <c r="BK294" s="21">
        <v>0</v>
      </c>
      <c r="BL294" s="21">
        <v>0</v>
      </c>
      <c r="BM294" s="21">
        <v>622171825804</v>
      </c>
      <c r="BN294" s="23">
        <v>46262</v>
      </c>
      <c r="BO294" s="21">
        <v>794</v>
      </c>
    </row>
    <row r="295" spans="1:67" hidden="1" x14ac:dyDescent="0.25">
      <c r="A295" s="22"/>
      <c r="B295" s="21" t="s">
        <v>167</v>
      </c>
      <c r="C295" s="21" t="s">
        <v>1191</v>
      </c>
      <c r="D295" s="21" t="s">
        <v>1196</v>
      </c>
      <c r="E295" s="21" t="s">
        <v>182</v>
      </c>
      <c r="F295" s="21" t="s">
        <v>183</v>
      </c>
      <c r="G295" s="21" t="s">
        <v>1197</v>
      </c>
      <c r="H295" s="21">
        <v>5241</v>
      </c>
      <c r="I295" s="21">
        <v>5241</v>
      </c>
      <c r="J295" s="21" t="s">
        <v>168</v>
      </c>
      <c r="K295" s="21">
        <v>5241</v>
      </c>
      <c r="L295" s="21">
        <v>0</v>
      </c>
      <c r="M295" s="21">
        <v>5241</v>
      </c>
      <c r="N295" s="21" t="s">
        <v>174</v>
      </c>
      <c r="O295" s="21" t="s">
        <v>633</v>
      </c>
      <c r="P295" s="21" t="s">
        <v>633</v>
      </c>
      <c r="Q295" s="21" t="s">
        <v>1198</v>
      </c>
      <c r="R295" s="21" t="s">
        <v>1191</v>
      </c>
      <c r="S295" s="21" t="s">
        <v>635</v>
      </c>
      <c r="T295" s="21" t="s">
        <v>636</v>
      </c>
      <c r="U295" s="21" t="s">
        <v>1199</v>
      </c>
      <c r="V295" s="21">
        <v>147.32</v>
      </c>
      <c r="W295" s="21">
        <v>147.319999292029</v>
      </c>
      <c r="X295" s="21" t="s">
        <v>1198</v>
      </c>
      <c r="Y295" s="21" t="s">
        <v>1191</v>
      </c>
      <c r="Z295" s="21" t="s">
        <v>189</v>
      </c>
      <c r="AA295" s="21" t="s">
        <v>189</v>
      </c>
      <c r="AB295" s="21"/>
      <c r="AC295" s="21" t="s">
        <v>189</v>
      </c>
      <c r="AD295" s="21" t="s">
        <v>189</v>
      </c>
      <c r="AE295" s="21">
        <v>0</v>
      </c>
      <c r="AF295" s="21">
        <v>0</v>
      </c>
      <c r="AG295" s="21">
        <v>0</v>
      </c>
      <c r="AH295" s="21">
        <v>0</v>
      </c>
      <c r="AI295" s="21">
        <v>0</v>
      </c>
      <c r="AJ295" s="21" t="s">
        <v>638</v>
      </c>
      <c r="AK295" s="21">
        <v>0</v>
      </c>
      <c r="AL295" s="21">
        <v>0</v>
      </c>
      <c r="AM295" s="21">
        <v>0</v>
      </c>
      <c r="AN295" s="21">
        <v>0</v>
      </c>
      <c r="AO295" s="21">
        <v>0</v>
      </c>
      <c r="AP295" s="21"/>
      <c r="AQ295" s="21">
        <v>0</v>
      </c>
      <c r="AR295" s="21">
        <v>0</v>
      </c>
      <c r="AS295" s="21">
        <v>1664701.45</v>
      </c>
      <c r="AT295" s="21" t="s">
        <v>169</v>
      </c>
      <c r="AU295" s="21" t="s">
        <v>179</v>
      </c>
      <c r="AV295" s="21" t="s">
        <v>155</v>
      </c>
      <c r="AW295" s="21" t="s">
        <v>639</v>
      </c>
      <c r="AX295" s="21" t="s">
        <v>640</v>
      </c>
      <c r="AY295" s="21">
        <v>0</v>
      </c>
      <c r="AZ295" s="21">
        <v>772104.12</v>
      </c>
      <c r="BA295" s="21">
        <v>490</v>
      </c>
      <c r="BB295" s="21" t="s">
        <v>1191</v>
      </c>
      <c r="BC295" s="21" t="s">
        <v>176</v>
      </c>
      <c r="BD295" s="21" t="s">
        <v>641</v>
      </c>
      <c r="BE295" s="21" t="s">
        <v>641</v>
      </c>
      <c r="BF295" s="21">
        <v>9</v>
      </c>
      <c r="BG295" s="21">
        <v>69489.37</v>
      </c>
      <c r="BH295" s="21">
        <v>9</v>
      </c>
      <c r="BI295" s="21">
        <v>69489.37</v>
      </c>
      <c r="BJ295" s="21">
        <v>0</v>
      </c>
      <c r="BK295" s="21">
        <v>0</v>
      </c>
      <c r="BL295" s="21">
        <v>1664701.45</v>
      </c>
      <c r="BM295" s="21">
        <v>672171905408</v>
      </c>
      <c r="BN295" s="23">
        <v>46262</v>
      </c>
      <c r="BO295" s="21">
        <v>5241</v>
      </c>
    </row>
    <row r="296" spans="1:67" hidden="1" x14ac:dyDescent="0.25">
      <c r="A296" s="22"/>
      <c r="B296" s="21" t="s">
        <v>167</v>
      </c>
      <c r="C296" s="21" t="s">
        <v>1191</v>
      </c>
      <c r="D296" s="21" t="s">
        <v>1196</v>
      </c>
      <c r="E296" s="21" t="s">
        <v>182</v>
      </c>
      <c r="F296" s="21" t="s">
        <v>183</v>
      </c>
      <c r="G296" s="21" t="s">
        <v>1197</v>
      </c>
      <c r="H296" s="21">
        <v>584</v>
      </c>
      <c r="I296" s="21">
        <v>584</v>
      </c>
      <c r="J296" s="21" t="s">
        <v>168</v>
      </c>
      <c r="K296" s="21">
        <v>584</v>
      </c>
      <c r="L296" s="21">
        <v>0</v>
      </c>
      <c r="M296" s="21">
        <v>584</v>
      </c>
      <c r="N296" s="21" t="s">
        <v>174</v>
      </c>
      <c r="O296" s="21" t="s">
        <v>633</v>
      </c>
      <c r="P296" s="21" t="s">
        <v>633</v>
      </c>
      <c r="Q296" s="21" t="s">
        <v>1198</v>
      </c>
      <c r="R296" s="21" t="s">
        <v>1191</v>
      </c>
      <c r="S296" s="21" t="s">
        <v>635</v>
      </c>
      <c r="T296" s="21" t="s">
        <v>636</v>
      </c>
      <c r="U296" s="21" t="s">
        <v>1199</v>
      </c>
      <c r="V296" s="21">
        <v>142.32</v>
      </c>
      <c r="W296" s="21">
        <v>142.31999931605799</v>
      </c>
      <c r="X296" s="21" t="s">
        <v>1198</v>
      </c>
      <c r="Y296" s="21" t="s">
        <v>1191</v>
      </c>
      <c r="Z296" s="21" t="s">
        <v>189</v>
      </c>
      <c r="AA296" s="21" t="s">
        <v>189</v>
      </c>
      <c r="AB296" s="21"/>
      <c r="AC296" s="21" t="s">
        <v>189</v>
      </c>
      <c r="AD296" s="21" t="s">
        <v>189</v>
      </c>
      <c r="AE296" s="21">
        <v>0</v>
      </c>
      <c r="AF296" s="21">
        <v>0</v>
      </c>
      <c r="AG296" s="21">
        <v>0</v>
      </c>
      <c r="AH296" s="21">
        <v>0</v>
      </c>
      <c r="AI296" s="21">
        <v>0</v>
      </c>
      <c r="AJ296" s="21" t="s">
        <v>638</v>
      </c>
      <c r="AK296" s="21">
        <v>0</v>
      </c>
      <c r="AL296" s="21">
        <v>0</v>
      </c>
      <c r="AM296" s="21">
        <v>0</v>
      </c>
      <c r="AN296" s="21">
        <v>0</v>
      </c>
      <c r="AO296" s="21">
        <v>0</v>
      </c>
      <c r="AP296" s="21"/>
      <c r="AQ296" s="21">
        <v>0</v>
      </c>
      <c r="AR296" s="21">
        <v>0</v>
      </c>
      <c r="AS296" s="21">
        <v>1664701.45</v>
      </c>
      <c r="AT296" s="21" t="s">
        <v>169</v>
      </c>
      <c r="AU296" s="21" t="s">
        <v>179</v>
      </c>
      <c r="AV296" s="21" t="s">
        <v>155</v>
      </c>
      <c r="AW296" s="21" t="s">
        <v>639</v>
      </c>
      <c r="AX296" s="21" t="s">
        <v>640</v>
      </c>
      <c r="AY296" s="21">
        <v>0</v>
      </c>
      <c r="AZ296" s="21">
        <v>83114.880000000005</v>
      </c>
      <c r="BA296" s="21">
        <v>490</v>
      </c>
      <c r="BB296" s="21" t="s">
        <v>1191</v>
      </c>
      <c r="BC296" s="21" t="s">
        <v>176</v>
      </c>
      <c r="BD296" s="21" t="s">
        <v>641</v>
      </c>
      <c r="BE296" s="21" t="s">
        <v>641</v>
      </c>
      <c r="BF296" s="21">
        <v>9</v>
      </c>
      <c r="BG296" s="21">
        <v>7480.34</v>
      </c>
      <c r="BH296" s="21">
        <v>9</v>
      </c>
      <c r="BI296" s="21">
        <v>7480.34</v>
      </c>
      <c r="BJ296" s="21">
        <v>0</v>
      </c>
      <c r="BK296" s="21">
        <v>0</v>
      </c>
      <c r="BL296" s="21">
        <v>0</v>
      </c>
      <c r="BM296" s="21">
        <v>672171905408</v>
      </c>
      <c r="BN296" s="23">
        <v>46262</v>
      </c>
      <c r="BO296" s="21">
        <v>584</v>
      </c>
    </row>
    <row r="297" spans="1:67" hidden="1" x14ac:dyDescent="0.25">
      <c r="A297" s="22"/>
      <c r="B297" s="21" t="s">
        <v>167</v>
      </c>
      <c r="C297" s="21" t="s">
        <v>1191</v>
      </c>
      <c r="D297" s="21" t="s">
        <v>1196</v>
      </c>
      <c r="E297" s="21" t="s">
        <v>177</v>
      </c>
      <c r="F297" s="21" t="s">
        <v>178</v>
      </c>
      <c r="G297" s="21" t="s">
        <v>1197</v>
      </c>
      <c r="H297" s="21">
        <v>2057</v>
      </c>
      <c r="I297" s="21">
        <v>2057</v>
      </c>
      <c r="J297" s="21" t="s">
        <v>168</v>
      </c>
      <c r="K297" s="21">
        <v>2057</v>
      </c>
      <c r="L297" s="21">
        <v>0</v>
      </c>
      <c r="M297" s="21">
        <v>2057</v>
      </c>
      <c r="N297" s="21" t="s">
        <v>174</v>
      </c>
      <c r="O297" s="21" t="s">
        <v>633</v>
      </c>
      <c r="P297" s="21" t="s">
        <v>633</v>
      </c>
      <c r="Q297" s="21" t="s">
        <v>1198</v>
      </c>
      <c r="R297" s="21" t="s">
        <v>1191</v>
      </c>
      <c r="S297" s="21" t="s">
        <v>635</v>
      </c>
      <c r="T297" s="21" t="s">
        <v>636</v>
      </c>
      <c r="U297" s="21" t="s">
        <v>1199</v>
      </c>
      <c r="V297" s="21">
        <v>149.32</v>
      </c>
      <c r="W297" s="21">
        <v>149.319999282418</v>
      </c>
      <c r="X297" s="21" t="s">
        <v>1198</v>
      </c>
      <c r="Y297" s="21" t="s">
        <v>1191</v>
      </c>
      <c r="Z297" s="21" t="s">
        <v>189</v>
      </c>
      <c r="AA297" s="21" t="s">
        <v>189</v>
      </c>
      <c r="AB297" s="21"/>
      <c r="AC297" s="21" t="s">
        <v>189</v>
      </c>
      <c r="AD297" s="21" t="s">
        <v>189</v>
      </c>
      <c r="AE297" s="21">
        <v>0</v>
      </c>
      <c r="AF297" s="21">
        <v>0</v>
      </c>
      <c r="AG297" s="21">
        <v>0</v>
      </c>
      <c r="AH297" s="21">
        <v>0</v>
      </c>
      <c r="AI297" s="21">
        <v>0</v>
      </c>
      <c r="AJ297" s="21" t="s">
        <v>638</v>
      </c>
      <c r="AK297" s="21">
        <v>0</v>
      </c>
      <c r="AL297" s="21">
        <v>0</v>
      </c>
      <c r="AM297" s="21">
        <v>0</v>
      </c>
      <c r="AN297" s="21">
        <v>0</v>
      </c>
      <c r="AO297" s="21">
        <v>0</v>
      </c>
      <c r="AP297" s="21"/>
      <c r="AQ297" s="21">
        <v>0</v>
      </c>
      <c r="AR297" s="21">
        <v>0</v>
      </c>
      <c r="AS297" s="21">
        <v>1664701.45</v>
      </c>
      <c r="AT297" s="21" t="s">
        <v>169</v>
      </c>
      <c r="AU297" s="21" t="s">
        <v>179</v>
      </c>
      <c r="AV297" s="21" t="s">
        <v>156</v>
      </c>
      <c r="AW297" s="21" t="s">
        <v>639</v>
      </c>
      <c r="AX297" s="21" t="s">
        <v>640</v>
      </c>
      <c r="AY297" s="21">
        <v>0</v>
      </c>
      <c r="AZ297" s="21">
        <v>307151.24</v>
      </c>
      <c r="BA297" s="21">
        <v>490</v>
      </c>
      <c r="BB297" s="21" t="s">
        <v>1191</v>
      </c>
      <c r="BC297" s="21" t="s">
        <v>176</v>
      </c>
      <c r="BD297" s="21" t="s">
        <v>641</v>
      </c>
      <c r="BE297" s="21" t="s">
        <v>641</v>
      </c>
      <c r="BF297" s="21">
        <v>9</v>
      </c>
      <c r="BG297" s="21">
        <v>27643.61</v>
      </c>
      <c r="BH297" s="21">
        <v>9</v>
      </c>
      <c r="BI297" s="21">
        <v>27643.61</v>
      </c>
      <c r="BJ297" s="21">
        <v>0</v>
      </c>
      <c r="BK297" s="21">
        <v>0</v>
      </c>
      <c r="BL297" s="21">
        <v>0</v>
      </c>
      <c r="BM297" s="21">
        <v>672171905408</v>
      </c>
      <c r="BN297" s="23">
        <v>46262</v>
      </c>
      <c r="BO297" s="21">
        <v>2057</v>
      </c>
    </row>
    <row r="298" spans="1:67" hidden="1" x14ac:dyDescent="0.25">
      <c r="A298" s="22"/>
      <c r="B298" s="21" t="s">
        <v>167</v>
      </c>
      <c r="C298" s="21" t="s">
        <v>1191</v>
      </c>
      <c r="D298" s="21" t="s">
        <v>1196</v>
      </c>
      <c r="E298" s="21" t="s">
        <v>180</v>
      </c>
      <c r="F298" s="21" t="s">
        <v>181</v>
      </c>
      <c r="G298" s="21" t="s">
        <v>1197</v>
      </c>
      <c r="H298" s="21">
        <v>217.2</v>
      </c>
      <c r="I298" s="21">
        <v>217.2</v>
      </c>
      <c r="J298" s="21" t="s">
        <v>168</v>
      </c>
      <c r="K298" s="21">
        <v>217.2</v>
      </c>
      <c r="L298" s="21">
        <v>0</v>
      </c>
      <c r="M298" s="21">
        <v>217.2</v>
      </c>
      <c r="N298" s="21" t="s">
        <v>174</v>
      </c>
      <c r="O298" s="21" t="s">
        <v>633</v>
      </c>
      <c r="P298" s="21" t="s">
        <v>633</v>
      </c>
      <c r="Q298" s="21" t="s">
        <v>1198</v>
      </c>
      <c r="R298" s="21" t="s">
        <v>1191</v>
      </c>
      <c r="S298" s="21" t="s">
        <v>635</v>
      </c>
      <c r="T298" s="21" t="s">
        <v>636</v>
      </c>
      <c r="U298" s="21" t="s">
        <v>1199</v>
      </c>
      <c r="V298" s="21">
        <v>165.32</v>
      </c>
      <c r="W298" s="21">
        <v>165.31999920552701</v>
      </c>
      <c r="X298" s="21" t="s">
        <v>1198</v>
      </c>
      <c r="Y298" s="21" t="s">
        <v>1191</v>
      </c>
      <c r="Z298" s="21" t="s">
        <v>189</v>
      </c>
      <c r="AA298" s="21" t="s">
        <v>189</v>
      </c>
      <c r="AB298" s="21"/>
      <c r="AC298" s="21" t="s">
        <v>189</v>
      </c>
      <c r="AD298" s="21" t="s">
        <v>189</v>
      </c>
      <c r="AE298" s="21">
        <v>0</v>
      </c>
      <c r="AF298" s="21">
        <v>0</v>
      </c>
      <c r="AG298" s="21">
        <v>0</v>
      </c>
      <c r="AH298" s="21">
        <v>0</v>
      </c>
      <c r="AI298" s="21">
        <v>0</v>
      </c>
      <c r="AJ298" s="21" t="s">
        <v>638</v>
      </c>
      <c r="AK298" s="21">
        <v>0</v>
      </c>
      <c r="AL298" s="21">
        <v>0</v>
      </c>
      <c r="AM298" s="21">
        <v>0</v>
      </c>
      <c r="AN298" s="21">
        <v>0</v>
      </c>
      <c r="AO298" s="21">
        <v>0</v>
      </c>
      <c r="AP298" s="21"/>
      <c r="AQ298" s="21">
        <v>0</v>
      </c>
      <c r="AR298" s="21">
        <v>0</v>
      </c>
      <c r="AS298" s="21">
        <v>1664701.45</v>
      </c>
      <c r="AT298" s="21" t="s">
        <v>169</v>
      </c>
      <c r="AU298" s="21" t="s">
        <v>181</v>
      </c>
      <c r="AV298" s="21" t="s">
        <v>154</v>
      </c>
      <c r="AW298" s="21" t="s">
        <v>639</v>
      </c>
      <c r="AX298" s="21" t="s">
        <v>640</v>
      </c>
      <c r="AY298" s="21">
        <v>0</v>
      </c>
      <c r="AZ298" s="21">
        <v>35907.5</v>
      </c>
      <c r="BA298" s="21">
        <v>490</v>
      </c>
      <c r="BB298" s="21" t="s">
        <v>1191</v>
      </c>
      <c r="BC298" s="21" t="s">
        <v>176</v>
      </c>
      <c r="BD298" s="21" t="s">
        <v>641</v>
      </c>
      <c r="BE298" s="21" t="s">
        <v>641</v>
      </c>
      <c r="BF298" s="21">
        <v>9</v>
      </c>
      <c r="BG298" s="21">
        <v>3231.68</v>
      </c>
      <c r="BH298" s="21">
        <v>9</v>
      </c>
      <c r="BI298" s="21">
        <v>3231.68</v>
      </c>
      <c r="BJ298" s="21">
        <v>0</v>
      </c>
      <c r="BK298" s="21">
        <v>0</v>
      </c>
      <c r="BL298" s="21">
        <v>0</v>
      </c>
      <c r="BM298" s="21">
        <v>672171905408</v>
      </c>
      <c r="BN298" s="23">
        <v>46262</v>
      </c>
      <c r="BO298" s="21">
        <v>217.2</v>
      </c>
    </row>
    <row r="299" spans="1:67" hidden="1" x14ac:dyDescent="0.25">
      <c r="A299" s="22"/>
      <c r="B299" s="21" t="s">
        <v>167</v>
      </c>
      <c r="C299" s="21" t="s">
        <v>1191</v>
      </c>
      <c r="D299" s="21" t="s">
        <v>1196</v>
      </c>
      <c r="E299" s="21" t="s">
        <v>180</v>
      </c>
      <c r="F299" s="21" t="s">
        <v>181</v>
      </c>
      <c r="G299" s="21" t="s">
        <v>1197</v>
      </c>
      <c r="H299" s="21">
        <v>1014.7</v>
      </c>
      <c r="I299" s="21">
        <v>1014.7</v>
      </c>
      <c r="J299" s="21" t="s">
        <v>168</v>
      </c>
      <c r="K299" s="21">
        <v>1014.7</v>
      </c>
      <c r="L299" s="21">
        <v>0</v>
      </c>
      <c r="M299" s="21">
        <v>1014.7</v>
      </c>
      <c r="N299" s="21" t="s">
        <v>174</v>
      </c>
      <c r="O299" s="21" t="s">
        <v>633</v>
      </c>
      <c r="P299" s="21" t="s">
        <v>633</v>
      </c>
      <c r="Q299" s="21" t="s">
        <v>1198</v>
      </c>
      <c r="R299" s="21" t="s">
        <v>1191</v>
      </c>
      <c r="S299" s="21" t="s">
        <v>635</v>
      </c>
      <c r="T299" s="21" t="s">
        <v>636</v>
      </c>
      <c r="U299" s="21" t="s">
        <v>1199</v>
      </c>
      <c r="V299" s="21">
        <v>147.32</v>
      </c>
      <c r="W299" s="21">
        <v>147.319999292029</v>
      </c>
      <c r="X299" s="21" t="s">
        <v>1198</v>
      </c>
      <c r="Y299" s="21" t="s">
        <v>1191</v>
      </c>
      <c r="Z299" s="21" t="s">
        <v>189</v>
      </c>
      <c r="AA299" s="21" t="s">
        <v>189</v>
      </c>
      <c r="AB299" s="21"/>
      <c r="AC299" s="21" t="s">
        <v>189</v>
      </c>
      <c r="AD299" s="21" t="s">
        <v>189</v>
      </c>
      <c r="AE299" s="21">
        <v>0</v>
      </c>
      <c r="AF299" s="21">
        <v>0</v>
      </c>
      <c r="AG299" s="21">
        <v>0</v>
      </c>
      <c r="AH299" s="21">
        <v>0</v>
      </c>
      <c r="AI299" s="21">
        <v>0</v>
      </c>
      <c r="AJ299" s="21" t="s">
        <v>638</v>
      </c>
      <c r="AK299" s="21">
        <v>0</v>
      </c>
      <c r="AL299" s="21">
        <v>0</v>
      </c>
      <c r="AM299" s="21">
        <v>0</v>
      </c>
      <c r="AN299" s="21">
        <v>0</v>
      </c>
      <c r="AO299" s="21">
        <v>0</v>
      </c>
      <c r="AP299" s="21"/>
      <c r="AQ299" s="21">
        <v>0</v>
      </c>
      <c r="AR299" s="21">
        <v>0</v>
      </c>
      <c r="AS299" s="21">
        <v>1664701.45</v>
      </c>
      <c r="AT299" s="21" t="s">
        <v>169</v>
      </c>
      <c r="AU299" s="21" t="s">
        <v>181</v>
      </c>
      <c r="AV299" s="21" t="s">
        <v>154</v>
      </c>
      <c r="AW299" s="21" t="s">
        <v>639</v>
      </c>
      <c r="AX299" s="21" t="s">
        <v>640</v>
      </c>
      <c r="AY299" s="21">
        <v>0</v>
      </c>
      <c r="AZ299" s="21">
        <v>149485.6</v>
      </c>
      <c r="BA299" s="21">
        <v>490</v>
      </c>
      <c r="BB299" s="21" t="s">
        <v>1191</v>
      </c>
      <c r="BC299" s="21" t="s">
        <v>176</v>
      </c>
      <c r="BD299" s="21" t="s">
        <v>641</v>
      </c>
      <c r="BE299" s="21" t="s">
        <v>641</v>
      </c>
      <c r="BF299" s="21">
        <v>9</v>
      </c>
      <c r="BG299" s="21">
        <v>13453.7</v>
      </c>
      <c r="BH299" s="21">
        <v>9</v>
      </c>
      <c r="BI299" s="21">
        <v>13453.7</v>
      </c>
      <c r="BJ299" s="21">
        <v>0</v>
      </c>
      <c r="BK299" s="21">
        <v>0</v>
      </c>
      <c r="BL299" s="21">
        <v>0</v>
      </c>
      <c r="BM299" s="21">
        <v>672171905408</v>
      </c>
      <c r="BN299" s="23">
        <v>46262</v>
      </c>
      <c r="BO299" s="21">
        <v>1014.7</v>
      </c>
    </row>
    <row r="300" spans="1:67" hidden="1" x14ac:dyDescent="0.25">
      <c r="A300" s="22"/>
      <c r="B300" s="21" t="s">
        <v>167</v>
      </c>
      <c r="C300" s="21" t="s">
        <v>1191</v>
      </c>
      <c r="D300" s="21" t="s">
        <v>1196</v>
      </c>
      <c r="E300" s="21" t="s">
        <v>180</v>
      </c>
      <c r="F300" s="21" t="s">
        <v>181</v>
      </c>
      <c r="G300" s="21" t="s">
        <v>1197</v>
      </c>
      <c r="H300" s="21">
        <v>15.8</v>
      </c>
      <c r="I300" s="21">
        <v>15.8</v>
      </c>
      <c r="J300" s="21" t="s">
        <v>168</v>
      </c>
      <c r="K300" s="21">
        <v>15.8</v>
      </c>
      <c r="L300" s="21">
        <v>0</v>
      </c>
      <c r="M300" s="21">
        <v>15.8</v>
      </c>
      <c r="N300" s="21" t="s">
        <v>174</v>
      </c>
      <c r="O300" s="21" t="s">
        <v>633</v>
      </c>
      <c r="P300" s="21" t="s">
        <v>633</v>
      </c>
      <c r="Q300" s="21" t="s">
        <v>1198</v>
      </c>
      <c r="R300" s="21" t="s">
        <v>1191</v>
      </c>
      <c r="S300" s="21" t="s">
        <v>635</v>
      </c>
      <c r="T300" s="21" t="s">
        <v>636</v>
      </c>
      <c r="U300" s="21" t="s">
        <v>1199</v>
      </c>
      <c r="V300" s="21">
        <v>144.32</v>
      </c>
      <c r="W300" s="21">
        <v>144.31999930644599</v>
      </c>
      <c r="X300" s="21" t="s">
        <v>1198</v>
      </c>
      <c r="Y300" s="21" t="s">
        <v>1191</v>
      </c>
      <c r="Z300" s="21" t="s">
        <v>189</v>
      </c>
      <c r="AA300" s="21" t="s">
        <v>189</v>
      </c>
      <c r="AB300" s="21"/>
      <c r="AC300" s="21" t="s">
        <v>189</v>
      </c>
      <c r="AD300" s="21" t="s">
        <v>189</v>
      </c>
      <c r="AE300" s="21">
        <v>0</v>
      </c>
      <c r="AF300" s="21">
        <v>0</v>
      </c>
      <c r="AG300" s="21">
        <v>0</v>
      </c>
      <c r="AH300" s="21">
        <v>0</v>
      </c>
      <c r="AI300" s="21">
        <v>0</v>
      </c>
      <c r="AJ300" s="21" t="s">
        <v>638</v>
      </c>
      <c r="AK300" s="21">
        <v>0</v>
      </c>
      <c r="AL300" s="21">
        <v>0</v>
      </c>
      <c r="AM300" s="21">
        <v>0</v>
      </c>
      <c r="AN300" s="21">
        <v>0</v>
      </c>
      <c r="AO300" s="21">
        <v>0</v>
      </c>
      <c r="AP300" s="21"/>
      <c r="AQ300" s="21">
        <v>0</v>
      </c>
      <c r="AR300" s="21">
        <v>0</v>
      </c>
      <c r="AS300" s="21">
        <v>1664701.45</v>
      </c>
      <c r="AT300" s="21" t="s">
        <v>169</v>
      </c>
      <c r="AU300" s="21" t="s">
        <v>181</v>
      </c>
      <c r="AV300" s="21" t="s">
        <v>154</v>
      </c>
      <c r="AW300" s="21" t="s">
        <v>639</v>
      </c>
      <c r="AX300" s="21" t="s">
        <v>640</v>
      </c>
      <c r="AY300" s="21">
        <v>0</v>
      </c>
      <c r="AZ300" s="21">
        <v>2280.2600000000002</v>
      </c>
      <c r="BA300" s="21">
        <v>490</v>
      </c>
      <c r="BB300" s="21" t="s">
        <v>1191</v>
      </c>
      <c r="BC300" s="21" t="s">
        <v>176</v>
      </c>
      <c r="BD300" s="21" t="s">
        <v>641</v>
      </c>
      <c r="BE300" s="21" t="s">
        <v>641</v>
      </c>
      <c r="BF300" s="21">
        <v>9</v>
      </c>
      <c r="BG300" s="21">
        <v>205.22</v>
      </c>
      <c r="BH300" s="21">
        <v>9</v>
      </c>
      <c r="BI300" s="21">
        <v>205.22</v>
      </c>
      <c r="BJ300" s="21">
        <v>0</v>
      </c>
      <c r="BK300" s="21">
        <v>0</v>
      </c>
      <c r="BL300" s="21">
        <v>0</v>
      </c>
      <c r="BM300" s="21">
        <v>672171905408</v>
      </c>
      <c r="BN300" s="23">
        <v>46262</v>
      </c>
      <c r="BO300" s="21">
        <v>15.8</v>
      </c>
    </row>
    <row r="301" spans="1:67" hidden="1" x14ac:dyDescent="0.25">
      <c r="A301" s="22"/>
      <c r="B301" s="21" t="s">
        <v>167</v>
      </c>
      <c r="C301" s="21" t="s">
        <v>1191</v>
      </c>
      <c r="D301" s="21" t="s">
        <v>1196</v>
      </c>
      <c r="E301" s="21" t="s">
        <v>195</v>
      </c>
      <c r="F301" s="21" t="s">
        <v>196</v>
      </c>
      <c r="G301" s="21" t="s">
        <v>1197</v>
      </c>
      <c r="H301" s="21">
        <v>363.9</v>
      </c>
      <c r="I301" s="21">
        <v>363.9</v>
      </c>
      <c r="J301" s="21" t="s">
        <v>168</v>
      </c>
      <c r="K301" s="21">
        <v>363.9</v>
      </c>
      <c r="L301" s="21">
        <v>0</v>
      </c>
      <c r="M301" s="21">
        <v>363.9</v>
      </c>
      <c r="N301" s="21" t="s">
        <v>174</v>
      </c>
      <c r="O301" s="21" t="s">
        <v>633</v>
      </c>
      <c r="P301" s="21" t="s">
        <v>633</v>
      </c>
      <c r="Q301" s="21" t="s">
        <v>1198</v>
      </c>
      <c r="R301" s="21" t="s">
        <v>1191</v>
      </c>
      <c r="S301" s="21" t="s">
        <v>635</v>
      </c>
      <c r="T301" s="21" t="s">
        <v>636</v>
      </c>
      <c r="U301" s="21" t="s">
        <v>1199</v>
      </c>
      <c r="V301" s="21">
        <v>166.86</v>
      </c>
      <c r="W301" s="21">
        <v>166.85999919812701</v>
      </c>
      <c r="X301" s="21" t="s">
        <v>1198</v>
      </c>
      <c r="Y301" s="21" t="s">
        <v>1191</v>
      </c>
      <c r="Z301" s="21" t="s">
        <v>189</v>
      </c>
      <c r="AA301" s="21" t="s">
        <v>189</v>
      </c>
      <c r="AB301" s="21"/>
      <c r="AC301" s="21" t="s">
        <v>189</v>
      </c>
      <c r="AD301" s="21" t="s">
        <v>189</v>
      </c>
      <c r="AE301" s="21">
        <v>0</v>
      </c>
      <c r="AF301" s="21">
        <v>0</v>
      </c>
      <c r="AG301" s="21">
        <v>0</v>
      </c>
      <c r="AH301" s="21">
        <v>0</v>
      </c>
      <c r="AI301" s="21">
        <v>0</v>
      </c>
      <c r="AJ301" s="21" t="s">
        <v>638</v>
      </c>
      <c r="AK301" s="21">
        <v>0</v>
      </c>
      <c r="AL301" s="21">
        <v>0</v>
      </c>
      <c r="AM301" s="21">
        <v>0</v>
      </c>
      <c r="AN301" s="21">
        <v>0</v>
      </c>
      <c r="AO301" s="21">
        <v>0</v>
      </c>
      <c r="AP301" s="21"/>
      <c r="AQ301" s="21">
        <v>0</v>
      </c>
      <c r="AR301" s="21">
        <v>0</v>
      </c>
      <c r="AS301" s="21">
        <v>1664701.45</v>
      </c>
      <c r="AT301" s="21" t="s">
        <v>169</v>
      </c>
      <c r="AU301" s="21" t="s">
        <v>197</v>
      </c>
      <c r="AV301" s="21" t="s">
        <v>158</v>
      </c>
      <c r="AW301" s="21" t="s">
        <v>639</v>
      </c>
      <c r="AX301" s="21" t="s">
        <v>640</v>
      </c>
      <c r="AY301" s="21">
        <v>0</v>
      </c>
      <c r="AZ301" s="21">
        <v>60720.35</v>
      </c>
      <c r="BA301" s="21">
        <v>490</v>
      </c>
      <c r="BB301" s="21" t="s">
        <v>1191</v>
      </c>
      <c r="BC301" s="21" t="s">
        <v>176</v>
      </c>
      <c r="BD301" s="21" t="s">
        <v>641</v>
      </c>
      <c r="BE301" s="21" t="s">
        <v>641</v>
      </c>
      <c r="BF301" s="21">
        <v>9</v>
      </c>
      <c r="BG301" s="21">
        <v>5464.83</v>
      </c>
      <c r="BH301" s="21">
        <v>9</v>
      </c>
      <c r="BI301" s="21">
        <v>5464.83</v>
      </c>
      <c r="BJ301" s="21">
        <v>0</v>
      </c>
      <c r="BK301" s="21">
        <v>0</v>
      </c>
      <c r="BL301" s="21">
        <v>0</v>
      </c>
      <c r="BM301" s="21">
        <v>672171905408</v>
      </c>
      <c r="BN301" s="23">
        <v>46262</v>
      </c>
      <c r="BO301" s="21">
        <v>363.9</v>
      </c>
    </row>
    <row r="302" spans="1:67" hidden="1" x14ac:dyDescent="0.25">
      <c r="A302" s="22"/>
      <c r="B302" s="21" t="s">
        <v>167</v>
      </c>
      <c r="C302" s="21" t="s">
        <v>1191</v>
      </c>
      <c r="D302" s="21" t="s">
        <v>1200</v>
      </c>
      <c r="E302" s="21" t="s">
        <v>234</v>
      </c>
      <c r="F302" s="21" t="s">
        <v>153</v>
      </c>
      <c r="G302" s="21" t="s">
        <v>1201</v>
      </c>
      <c r="H302" s="21">
        <v>344</v>
      </c>
      <c r="I302" s="21">
        <v>344</v>
      </c>
      <c r="J302" s="21" t="s">
        <v>168</v>
      </c>
      <c r="K302" s="21">
        <v>344</v>
      </c>
      <c r="L302" s="21">
        <v>0</v>
      </c>
      <c r="M302" s="21">
        <v>344</v>
      </c>
      <c r="N302" s="21" t="s">
        <v>1202</v>
      </c>
      <c r="O302" s="21" t="s">
        <v>730</v>
      </c>
      <c r="P302" s="21" t="s">
        <v>730</v>
      </c>
      <c r="Q302" s="21" t="s">
        <v>1203</v>
      </c>
      <c r="R302" s="21" t="s">
        <v>1142</v>
      </c>
      <c r="S302" s="21" t="s">
        <v>635</v>
      </c>
      <c r="T302" s="21" t="s">
        <v>636</v>
      </c>
      <c r="U302" s="21" t="s">
        <v>1204</v>
      </c>
      <c r="V302" s="21">
        <v>149.32</v>
      </c>
      <c r="W302" s="21">
        <v>149.32</v>
      </c>
      <c r="X302" s="21" t="s">
        <v>1203</v>
      </c>
      <c r="Y302" s="21" t="s">
        <v>1142</v>
      </c>
      <c r="Z302" s="21" t="s">
        <v>1205</v>
      </c>
      <c r="AA302" s="21" t="s">
        <v>189</v>
      </c>
      <c r="AB302" s="21"/>
      <c r="AC302" s="21" t="s">
        <v>189</v>
      </c>
      <c r="AD302" s="21" t="s">
        <v>189</v>
      </c>
      <c r="AE302" s="21">
        <v>0</v>
      </c>
      <c r="AF302" s="21">
        <v>0</v>
      </c>
      <c r="AG302" s="21">
        <v>0</v>
      </c>
      <c r="AH302" s="21">
        <v>0</v>
      </c>
      <c r="AI302" s="21">
        <v>0</v>
      </c>
      <c r="AJ302" s="21" t="s">
        <v>638</v>
      </c>
      <c r="AK302" s="21">
        <v>0</v>
      </c>
      <c r="AL302" s="21">
        <v>0</v>
      </c>
      <c r="AM302" s="21">
        <v>0</v>
      </c>
      <c r="AN302" s="21">
        <v>0</v>
      </c>
      <c r="AO302" s="21">
        <v>0</v>
      </c>
      <c r="AP302" s="21"/>
      <c r="AQ302" s="21">
        <v>0</v>
      </c>
      <c r="AR302" s="21">
        <v>0</v>
      </c>
      <c r="AS302" s="21">
        <v>60611.98</v>
      </c>
      <c r="AT302" s="21" t="s">
        <v>188</v>
      </c>
      <c r="AU302" s="21" t="s">
        <v>153</v>
      </c>
      <c r="AV302" s="21" t="s">
        <v>153</v>
      </c>
      <c r="AW302" s="21" t="s">
        <v>639</v>
      </c>
      <c r="AX302" s="21" t="s">
        <v>640</v>
      </c>
      <c r="AY302" s="21">
        <v>0</v>
      </c>
      <c r="AZ302" s="21">
        <v>51366.080000000002</v>
      </c>
      <c r="BA302" s="21">
        <v>491</v>
      </c>
      <c r="BB302" s="21" t="s">
        <v>1191</v>
      </c>
      <c r="BC302" s="21" t="s">
        <v>185</v>
      </c>
      <c r="BD302" s="21" t="s">
        <v>641</v>
      </c>
      <c r="BE302" s="21" t="s">
        <v>641</v>
      </c>
      <c r="BF302" s="21">
        <v>9</v>
      </c>
      <c r="BG302" s="21">
        <v>4622.95</v>
      </c>
      <c r="BH302" s="21">
        <v>9</v>
      </c>
      <c r="BI302" s="21">
        <v>4622.95</v>
      </c>
      <c r="BJ302" s="21">
        <v>0</v>
      </c>
      <c r="BK302" s="21">
        <v>0</v>
      </c>
      <c r="BL302" s="21">
        <v>60611.98</v>
      </c>
      <c r="BM302" s="21">
        <v>632170479126</v>
      </c>
      <c r="BN302" s="23">
        <v>46260</v>
      </c>
      <c r="BO302" s="21">
        <v>344</v>
      </c>
    </row>
    <row r="303" spans="1:67" hidden="1" x14ac:dyDescent="0.25">
      <c r="A303" s="22"/>
      <c r="B303" s="21" t="s">
        <v>167</v>
      </c>
      <c r="C303" s="21" t="s">
        <v>1206</v>
      </c>
      <c r="D303" s="21" t="s">
        <v>1207</v>
      </c>
      <c r="E303" s="21" t="s">
        <v>180</v>
      </c>
      <c r="F303" s="21" t="s">
        <v>181</v>
      </c>
      <c r="G303" s="21" t="s">
        <v>1208</v>
      </c>
      <c r="H303" s="21">
        <v>183.1</v>
      </c>
      <c r="I303" s="21">
        <v>183.1</v>
      </c>
      <c r="J303" s="21" t="s">
        <v>168</v>
      </c>
      <c r="K303" s="21">
        <v>183.1</v>
      </c>
      <c r="L303" s="21">
        <v>0</v>
      </c>
      <c r="M303" s="21">
        <v>183.1</v>
      </c>
      <c r="N303" s="21" t="s">
        <v>174</v>
      </c>
      <c r="O303" s="21" t="s">
        <v>633</v>
      </c>
      <c r="P303" s="21" t="s">
        <v>633</v>
      </c>
      <c r="Q303" s="21" t="s">
        <v>1209</v>
      </c>
      <c r="R303" s="21" t="s">
        <v>1206</v>
      </c>
      <c r="S303" s="21" t="s">
        <v>635</v>
      </c>
      <c r="T303" s="21" t="s">
        <v>636</v>
      </c>
      <c r="U303" s="21" t="s">
        <v>1210</v>
      </c>
      <c r="V303" s="21">
        <v>165.32</v>
      </c>
      <c r="W303" s="21">
        <v>165.319998559308</v>
      </c>
      <c r="X303" s="21" t="s">
        <v>1209</v>
      </c>
      <c r="Y303" s="21" t="s">
        <v>1206</v>
      </c>
      <c r="Z303" s="21" t="s">
        <v>189</v>
      </c>
      <c r="AA303" s="21" t="s">
        <v>189</v>
      </c>
      <c r="AB303" s="21"/>
      <c r="AC303" s="21" t="s">
        <v>189</v>
      </c>
      <c r="AD303" s="21" t="s">
        <v>189</v>
      </c>
      <c r="AE303" s="21">
        <v>0</v>
      </c>
      <c r="AF303" s="21">
        <v>0</v>
      </c>
      <c r="AG303" s="21">
        <v>0</v>
      </c>
      <c r="AH303" s="21">
        <v>0</v>
      </c>
      <c r="AI303" s="21">
        <v>0</v>
      </c>
      <c r="AJ303" s="21" t="s">
        <v>638</v>
      </c>
      <c r="AK303" s="21">
        <v>0</v>
      </c>
      <c r="AL303" s="21">
        <v>0</v>
      </c>
      <c r="AM303" s="21">
        <v>0</v>
      </c>
      <c r="AN303" s="21">
        <v>0</v>
      </c>
      <c r="AO303" s="21">
        <v>0</v>
      </c>
      <c r="AP303" s="21"/>
      <c r="AQ303" s="21">
        <v>0</v>
      </c>
      <c r="AR303" s="21">
        <v>0</v>
      </c>
      <c r="AS303" s="21">
        <v>1147503.99</v>
      </c>
      <c r="AT303" s="21" t="s">
        <v>169</v>
      </c>
      <c r="AU303" s="21" t="s">
        <v>181</v>
      </c>
      <c r="AV303" s="21" t="s">
        <v>154</v>
      </c>
      <c r="AW303" s="21" t="s">
        <v>639</v>
      </c>
      <c r="AX303" s="21" t="s">
        <v>640</v>
      </c>
      <c r="AY303" s="21">
        <v>0</v>
      </c>
      <c r="AZ303" s="21">
        <v>30270.09</v>
      </c>
      <c r="BA303" s="21">
        <v>492</v>
      </c>
      <c r="BB303" s="21" t="s">
        <v>1206</v>
      </c>
      <c r="BC303" s="21" t="s">
        <v>176</v>
      </c>
      <c r="BD303" s="21" t="s">
        <v>641</v>
      </c>
      <c r="BE303" s="21" t="s">
        <v>641</v>
      </c>
      <c r="BF303" s="21">
        <v>9</v>
      </c>
      <c r="BG303" s="21">
        <v>2724.31</v>
      </c>
      <c r="BH303" s="21">
        <v>9</v>
      </c>
      <c r="BI303" s="21">
        <v>2724.31</v>
      </c>
      <c r="BJ303" s="21">
        <v>0</v>
      </c>
      <c r="BK303" s="21">
        <v>0</v>
      </c>
      <c r="BL303" s="21">
        <v>1147503.99</v>
      </c>
      <c r="BM303" s="21">
        <v>692172472712</v>
      </c>
      <c r="BN303" s="23">
        <v>46263</v>
      </c>
      <c r="BO303" s="21">
        <v>183.1</v>
      </c>
    </row>
    <row r="304" spans="1:67" hidden="1" x14ac:dyDescent="0.25">
      <c r="A304" s="22"/>
      <c r="B304" s="21" t="s">
        <v>167</v>
      </c>
      <c r="C304" s="21" t="s">
        <v>1206</v>
      </c>
      <c r="D304" s="21" t="s">
        <v>1207</v>
      </c>
      <c r="E304" s="21" t="s">
        <v>180</v>
      </c>
      <c r="F304" s="21" t="s">
        <v>181</v>
      </c>
      <c r="G304" s="21" t="s">
        <v>1208</v>
      </c>
      <c r="H304" s="21">
        <v>1276.5</v>
      </c>
      <c r="I304" s="21">
        <v>1276.5</v>
      </c>
      <c r="J304" s="21" t="s">
        <v>168</v>
      </c>
      <c r="K304" s="21">
        <v>1276.5</v>
      </c>
      <c r="L304" s="21">
        <v>0</v>
      </c>
      <c r="M304" s="21">
        <v>1276.5</v>
      </c>
      <c r="N304" s="21" t="s">
        <v>174</v>
      </c>
      <c r="O304" s="21" t="s">
        <v>633</v>
      </c>
      <c r="P304" s="21" t="s">
        <v>633</v>
      </c>
      <c r="Q304" s="21" t="s">
        <v>1209</v>
      </c>
      <c r="R304" s="21" t="s">
        <v>1206</v>
      </c>
      <c r="S304" s="21" t="s">
        <v>635</v>
      </c>
      <c r="T304" s="21" t="s">
        <v>636</v>
      </c>
      <c r="U304" s="21" t="s">
        <v>1210</v>
      </c>
      <c r="V304" s="21">
        <v>147.32</v>
      </c>
      <c r="W304" s="21">
        <v>147.31999871617001</v>
      </c>
      <c r="X304" s="21" t="s">
        <v>1209</v>
      </c>
      <c r="Y304" s="21" t="s">
        <v>1206</v>
      </c>
      <c r="Z304" s="21" t="s">
        <v>189</v>
      </c>
      <c r="AA304" s="21" t="s">
        <v>189</v>
      </c>
      <c r="AB304" s="21"/>
      <c r="AC304" s="21" t="s">
        <v>189</v>
      </c>
      <c r="AD304" s="21" t="s">
        <v>189</v>
      </c>
      <c r="AE304" s="21">
        <v>0</v>
      </c>
      <c r="AF304" s="21">
        <v>0</v>
      </c>
      <c r="AG304" s="21">
        <v>0</v>
      </c>
      <c r="AH304" s="21">
        <v>0</v>
      </c>
      <c r="AI304" s="21">
        <v>0</v>
      </c>
      <c r="AJ304" s="21" t="s">
        <v>638</v>
      </c>
      <c r="AK304" s="21">
        <v>0</v>
      </c>
      <c r="AL304" s="21">
        <v>0</v>
      </c>
      <c r="AM304" s="21">
        <v>0</v>
      </c>
      <c r="AN304" s="21">
        <v>0</v>
      </c>
      <c r="AO304" s="21">
        <v>0</v>
      </c>
      <c r="AP304" s="21"/>
      <c r="AQ304" s="21">
        <v>0</v>
      </c>
      <c r="AR304" s="21">
        <v>0</v>
      </c>
      <c r="AS304" s="21">
        <v>1147503.99</v>
      </c>
      <c r="AT304" s="21" t="s">
        <v>169</v>
      </c>
      <c r="AU304" s="21" t="s">
        <v>181</v>
      </c>
      <c r="AV304" s="21" t="s">
        <v>154</v>
      </c>
      <c r="AW304" s="21" t="s">
        <v>639</v>
      </c>
      <c r="AX304" s="21" t="s">
        <v>640</v>
      </c>
      <c r="AY304" s="21">
        <v>0</v>
      </c>
      <c r="AZ304" s="21">
        <v>188053.98</v>
      </c>
      <c r="BA304" s="21">
        <v>492</v>
      </c>
      <c r="BB304" s="21" t="s">
        <v>1206</v>
      </c>
      <c r="BC304" s="21" t="s">
        <v>176</v>
      </c>
      <c r="BD304" s="21" t="s">
        <v>641</v>
      </c>
      <c r="BE304" s="21" t="s">
        <v>641</v>
      </c>
      <c r="BF304" s="21">
        <v>9</v>
      </c>
      <c r="BG304" s="21">
        <v>16924.86</v>
      </c>
      <c r="BH304" s="21">
        <v>9</v>
      </c>
      <c r="BI304" s="21">
        <v>16924.86</v>
      </c>
      <c r="BJ304" s="21">
        <v>0</v>
      </c>
      <c r="BK304" s="21">
        <v>0</v>
      </c>
      <c r="BL304" s="21">
        <v>0</v>
      </c>
      <c r="BM304" s="21">
        <v>692172472712</v>
      </c>
      <c r="BN304" s="23">
        <v>46263</v>
      </c>
      <c r="BO304" s="21">
        <v>1276.5</v>
      </c>
    </row>
    <row r="305" spans="1:67" hidden="1" x14ac:dyDescent="0.25">
      <c r="A305" s="22"/>
      <c r="B305" s="21" t="s">
        <v>167</v>
      </c>
      <c r="C305" s="21" t="s">
        <v>1206</v>
      </c>
      <c r="D305" s="21" t="s">
        <v>1207</v>
      </c>
      <c r="E305" s="21" t="s">
        <v>180</v>
      </c>
      <c r="F305" s="21" t="s">
        <v>181</v>
      </c>
      <c r="G305" s="21" t="s">
        <v>1208</v>
      </c>
      <c r="H305" s="21">
        <v>82.5</v>
      </c>
      <c r="I305" s="21">
        <v>82.5</v>
      </c>
      <c r="J305" s="21" t="s">
        <v>168</v>
      </c>
      <c r="K305" s="21">
        <v>82.5</v>
      </c>
      <c r="L305" s="21">
        <v>0</v>
      </c>
      <c r="M305" s="21">
        <v>82.5</v>
      </c>
      <c r="N305" s="21" t="s">
        <v>174</v>
      </c>
      <c r="O305" s="21" t="s">
        <v>633</v>
      </c>
      <c r="P305" s="21" t="s">
        <v>633</v>
      </c>
      <c r="Q305" s="21" t="s">
        <v>1209</v>
      </c>
      <c r="R305" s="21" t="s">
        <v>1206</v>
      </c>
      <c r="S305" s="21" t="s">
        <v>635</v>
      </c>
      <c r="T305" s="21" t="s">
        <v>636</v>
      </c>
      <c r="U305" s="21" t="s">
        <v>1210</v>
      </c>
      <c r="V305" s="21">
        <v>144.32</v>
      </c>
      <c r="W305" s="21">
        <v>144.319998742314</v>
      </c>
      <c r="X305" s="21" t="s">
        <v>1209</v>
      </c>
      <c r="Y305" s="21" t="s">
        <v>1206</v>
      </c>
      <c r="Z305" s="21" t="s">
        <v>189</v>
      </c>
      <c r="AA305" s="21" t="s">
        <v>189</v>
      </c>
      <c r="AB305" s="21"/>
      <c r="AC305" s="21" t="s">
        <v>189</v>
      </c>
      <c r="AD305" s="21" t="s">
        <v>189</v>
      </c>
      <c r="AE305" s="21">
        <v>0</v>
      </c>
      <c r="AF305" s="21">
        <v>0</v>
      </c>
      <c r="AG305" s="21">
        <v>0</v>
      </c>
      <c r="AH305" s="21">
        <v>0</v>
      </c>
      <c r="AI305" s="21">
        <v>0</v>
      </c>
      <c r="AJ305" s="21" t="s">
        <v>638</v>
      </c>
      <c r="AK305" s="21">
        <v>0</v>
      </c>
      <c r="AL305" s="21">
        <v>0</v>
      </c>
      <c r="AM305" s="21">
        <v>0</v>
      </c>
      <c r="AN305" s="21">
        <v>0</v>
      </c>
      <c r="AO305" s="21">
        <v>0</v>
      </c>
      <c r="AP305" s="21"/>
      <c r="AQ305" s="21">
        <v>0</v>
      </c>
      <c r="AR305" s="21">
        <v>0</v>
      </c>
      <c r="AS305" s="21">
        <v>1147503.99</v>
      </c>
      <c r="AT305" s="21" t="s">
        <v>169</v>
      </c>
      <c r="AU305" s="21" t="s">
        <v>181</v>
      </c>
      <c r="AV305" s="21" t="s">
        <v>154</v>
      </c>
      <c r="AW305" s="21" t="s">
        <v>639</v>
      </c>
      <c r="AX305" s="21" t="s">
        <v>640</v>
      </c>
      <c r="AY305" s="21">
        <v>0</v>
      </c>
      <c r="AZ305" s="21">
        <v>11906.4</v>
      </c>
      <c r="BA305" s="21">
        <v>492</v>
      </c>
      <c r="BB305" s="21" t="s">
        <v>1206</v>
      </c>
      <c r="BC305" s="21" t="s">
        <v>176</v>
      </c>
      <c r="BD305" s="21" t="s">
        <v>641</v>
      </c>
      <c r="BE305" s="21" t="s">
        <v>641</v>
      </c>
      <c r="BF305" s="21">
        <v>9</v>
      </c>
      <c r="BG305" s="21">
        <v>1071.58</v>
      </c>
      <c r="BH305" s="21">
        <v>9</v>
      </c>
      <c r="BI305" s="21">
        <v>1071.58</v>
      </c>
      <c r="BJ305" s="21">
        <v>0</v>
      </c>
      <c r="BK305" s="21">
        <v>0</v>
      </c>
      <c r="BL305" s="21">
        <v>0</v>
      </c>
      <c r="BM305" s="21">
        <v>692172472712</v>
      </c>
      <c r="BN305" s="23">
        <v>46263</v>
      </c>
      <c r="BO305" s="21">
        <v>82.5</v>
      </c>
    </row>
    <row r="306" spans="1:67" hidden="1" x14ac:dyDescent="0.25">
      <c r="A306" s="22"/>
      <c r="B306" s="21" t="s">
        <v>167</v>
      </c>
      <c r="C306" s="21" t="s">
        <v>1206</v>
      </c>
      <c r="D306" s="21" t="s">
        <v>1207</v>
      </c>
      <c r="E306" s="21" t="s">
        <v>177</v>
      </c>
      <c r="F306" s="21" t="s">
        <v>178</v>
      </c>
      <c r="G306" s="21" t="s">
        <v>1208</v>
      </c>
      <c r="H306" s="21">
        <v>1872</v>
      </c>
      <c r="I306" s="21">
        <v>1872</v>
      </c>
      <c r="J306" s="21" t="s">
        <v>168</v>
      </c>
      <c r="K306" s="21">
        <v>1872</v>
      </c>
      <c r="L306" s="21">
        <v>0</v>
      </c>
      <c r="M306" s="21">
        <v>1872</v>
      </c>
      <c r="N306" s="21" t="s">
        <v>174</v>
      </c>
      <c r="O306" s="21" t="s">
        <v>633</v>
      </c>
      <c r="P306" s="21" t="s">
        <v>633</v>
      </c>
      <c r="Q306" s="21" t="s">
        <v>1209</v>
      </c>
      <c r="R306" s="21" t="s">
        <v>1206</v>
      </c>
      <c r="S306" s="21" t="s">
        <v>635</v>
      </c>
      <c r="T306" s="21" t="s">
        <v>636</v>
      </c>
      <c r="U306" s="21" t="s">
        <v>1210</v>
      </c>
      <c r="V306" s="21">
        <v>149.32</v>
      </c>
      <c r="W306" s="21">
        <v>149.31999869874099</v>
      </c>
      <c r="X306" s="21" t="s">
        <v>1209</v>
      </c>
      <c r="Y306" s="21" t="s">
        <v>1206</v>
      </c>
      <c r="Z306" s="21" t="s">
        <v>189</v>
      </c>
      <c r="AA306" s="21" t="s">
        <v>189</v>
      </c>
      <c r="AB306" s="21"/>
      <c r="AC306" s="21" t="s">
        <v>189</v>
      </c>
      <c r="AD306" s="21" t="s">
        <v>189</v>
      </c>
      <c r="AE306" s="21">
        <v>0</v>
      </c>
      <c r="AF306" s="21">
        <v>0</v>
      </c>
      <c r="AG306" s="21">
        <v>0</v>
      </c>
      <c r="AH306" s="21">
        <v>0</v>
      </c>
      <c r="AI306" s="21">
        <v>0</v>
      </c>
      <c r="AJ306" s="21" t="s">
        <v>638</v>
      </c>
      <c r="AK306" s="21">
        <v>0</v>
      </c>
      <c r="AL306" s="21">
        <v>0</v>
      </c>
      <c r="AM306" s="21">
        <v>0</v>
      </c>
      <c r="AN306" s="21">
        <v>0</v>
      </c>
      <c r="AO306" s="21">
        <v>0</v>
      </c>
      <c r="AP306" s="21"/>
      <c r="AQ306" s="21">
        <v>0</v>
      </c>
      <c r="AR306" s="21">
        <v>0</v>
      </c>
      <c r="AS306" s="21">
        <v>1147503.99</v>
      </c>
      <c r="AT306" s="21" t="s">
        <v>169</v>
      </c>
      <c r="AU306" s="21" t="s">
        <v>179</v>
      </c>
      <c r="AV306" s="21" t="s">
        <v>156</v>
      </c>
      <c r="AW306" s="21" t="s">
        <v>639</v>
      </c>
      <c r="AX306" s="21" t="s">
        <v>640</v>
      </c>
      <c r="AY306" s="21">
        <v>0</v>
      </c>
      <c r="AZ306" s="21">
        <v>279527.03999999998</v>
      </c>
      <c r="BA306" s="21">
        <v>492</v>
      </c>
      <c r="BB306" s="21" t="s">
        <v>1206</v>
      </c>
      <c r="BC306" s="21" t="s">
        <v>176</v>
      </c>
      <c r="BD306" s="21" t="s">
        <v>641</v>
      </c>
      <c r="BE306" s="21" t="s">
        <v>641</v>
      </c>
      <c r="BF306" s="21">
        <v>9</v>
      </c>
      <c r="BG306" s="21">
        <v>25157.43</v>
      </c>
      <c r="BH306" s="21">
        <v>9</v>
      </c>
      <c r="BI306" s="21">
        <v>25157.43</v>
      </c>
      <c r="BJ306" s="21">
        <v>0</v>
      </c>
      <c r="BK306" s="21">
        <v>0</v>
      </c>
      <c r="BL306" s="21">
        <v>0</v>
      </c>
      <c r="BM306" s="21">
        <v>692172472712</v>
      </c>
      <c r="BN306" s="23">
        <v>46263</v>
      </c>
      <c r="BO306" s="21">
        <v>1872</v>
      </c>
    </row>
    <row r="307" spans="1:67" hidden="1" x14ac:dyDescent="0.25">
      <c r="A307" s="22"/>
      <c r="B307" s="21" t="s">
        <v>167</v>
      </c>
      <c r="C307" s="21" t="s">
        <v>1206</v>
      </c>
      <c r="D307" s="21" t="s">
        <v>1207</v>
      </c>
      <c r="E307" s="21" t="s">
        <v>182</v>
      </c>
      <c r="F307" s="21" t="s">
        <v>183</v>
      </c>
      <c r="G307" s="21" t="s">
        <v>1208</v>
      </c>
      <c r="H307" s="21">
        <v>1945</v>
      </c>
      <c r="I307" s="21">
        <v>1945</v>
      </c>
      <c r="J307" s="21" t="s">
        <v>168</v>
      </c>
      <c r="K307" s="21">
        <v>1945</v>
      </c>
      <c r="L307" s="21">
        <v>0</v>
      </c>
      <c r="M307" s="21">
        <v>1945</v>
      </c>
      <c r="N307" s="21" t="s">
        <v>174</v>
      </c>
      <c r="O307" s="21" t="s">
        <v>633</v>
      </c>
      <c r="P307" s="21" t="s">
        <v>633</v>
      </c>
      <c r="Q307" s="21" t="s">
        <v>1209</v>
      </c>
      <c r="R307" s="21" t="s">
        <v>1206</v>
      </c>
      <c r="S307" s="21" t="s">
        <v>635</v>
      </c>
      <c r="T307" s="21" t="s">
        <v>636</v>
      </c>
      <c r="U307" s="21" t="s">
        <v>1210</v>
      </c>
      <c r="V307" s="21">
        <v>147.32</v>
      </c>
      <c r="W307" s="21">
        <v>147.31999871617001</v>
      </c>
      <c r="X307" s="21" t="s">
        <v>1209</v>
      </c>
      <c r="Y307" s="21" t="s">
        <v>1206</v>
      </c>
      <c r="Z307" s="21" t="s">
        <v>189</v>
      </c>
      <c r="AA307" s="21" t="s">
        <v>189</v>
      </c>
      <c r="AB307" s="21"/>
      <c r="AC307" s="21" t="s">
        <v>189</v>
      </c>
      <c r="AD307" s="21" t="s">
        <v>189</v>
      </c>
      <c r="AE307" s="21">
        <v>0</v>
      </c>
      <c r="AF307" s="21">
        <v>0</v>
      </c>
      <c r="AG307" s="21">
        <v>0</v>
      </c>
      <c r="AH307" s="21">
        <v>0</v>
      </c>
      <c r="AI307" s="21">
        <v>0</v>
      </c>
      <c r="AJ307" s="21" t="s">
        <v>638</v>
      </c>
      <c r="AK307" s="21">
        <v>0</v>
      </c>
      <c r="AL307" s="21">
        <v>0</v>
      </c>
      <c r="AM307" s="21">
        <v>0</v>
      </c>
      <c r="AN307" s="21">
        <v>0</v>
      </c>
      <c r="AO307" s="21">
        <v>0</v>
      </c>
      <c r="AP307" s="21"/>
      <c r="AQ307" s="21">
        <v>0</v>
      </c>
      <c r="AR307" s="21">
        <v>0</v>
      </c>
      <c r="AS307" s="21">
        <v>1147503.99</v>
      </c>
      <c r="AT307" s="21" t="s">
        <v>169</v>
      </c>
      <c r="AU307" s="21" t="s">
        <v>179</v>
      </c>
      <c r="AV307" s="21" t="s">
        <v>155</v>
      </c>
      <c r="AW307" s="21" t="s">
        <v>639</v>
      </c>
      <c r="AX307" s="21" t="s">
        <v>640</v>
      </c>
      <c r="AY307" s="21">
        <v>0</v>
      </c>
      <c r="AZ307" s="21">
        <v>286537.40000000002</v>
      </c>
      <c r="BA307" s="21">
        <v>492</v>
      </c>
      <c r="BB307" s="21" t="s">
        <v>1206</v>
      </c>
      <c r="BC307" s="21" t="s">
        <v>176</v>
      </c>
      <c r="BD307" s="21" t="s">
        <v>641</v>
      </c>
      <c r="BE307" s="21" t="s">
        <v>641</v>
      </c>
      <c r="BF307" s="21">
        <v>9</v>
      </c>
      <c r="BG307" s="21">
        <v>25788.37</v>
      </c>
      <c r="BH307" s="21">
        <v>9</v>
      </c>
      <c r="BI307" s="21">
        <v>25788.37</v>
      </c>
      <c r="BJ307" s="21">
        <v>0</v>
      </c>
      <c r="BK307" s="21">
        <v>0</v>
      </c>
      <c r="BL307" s="21">
        <v>0</v>
      </c>
      <c r="BM307" s="21">
        <v>692172472712</v>
      </c>
      <c r="BN307" s="23">
        <v>46263</v>
      </c>
      <c r="BO307" s="21">
        <v>1945</v>
      </c>
    </row>
    <row r="308" spans="1:67" hidden="1" x14ac:dyDescent="0.25">
      <c r="A308" s="22"/>
      <c r="B308" s="21" t="s">
        <v>167</v>
      </c>
      <c r="C308" s="21" t="s">
        <v>1206</v>
      </c>
      <c r="D308" s="21" t="s">
        <v>1207</v>
      </c>
      <c r="E308" s="21" t="s">
        <v>706</v>
      </c>
      <c r="F308" s="21" t="s">
        <v>707</v>
      </c>
      <c r="G308" s="21" t="s">
        <v>1208</v>
      </c>
      <c r="H308" s="21">
        <v>401.7</v>
      </c>
      <c r="I308" s="21">
        <v>401.7</v>
      </c>
      <c r="J308" s="21" t="s">
        <v>184</v>
      </c>
      <c r="K308" s="21">
        <v>401.7</v>
      </c>
      <c r="L308" s="21">
        <v>0</v>
      </c>
      <c r="M308" s="21">
        <v>401.7</v>
      </c>
      <c r="N308" s="21" t="s">
        <v>174</v>
      </c>
      <c r="O308" s="21" t="s">
        <v>633</v>
      </c>
      <c r="P308" s="21" t="s">
        <v>633</v>
      </c>
      <c r="Q308" s="21" t="s">
        <v>1209</v>
      </c>
      <c r="R308" s="21" t="s">
        <v>1206</v>
      </c>
      <c r="S308" s="21" t="s">
        <v>635</v>
      </c>
      <c r="T308" s="21" t="s">
        <v>636</v>
      </c>
      <c r="U308" s="21" t="s">
        <v>1210</v>
      </c>
      <c r="V308" s="21">
        <v>154.32</v>
      </c>
      <c r="W308" s="21">
        <v>154.31999865516801</v>
      </c>
      <c r="X308" s="21" t="s">
        <v>1209</v>
      </c>
      <c r="Y308" s="21" t="s">
        <v>1206</v>
      </c>
      <c r="Z308" s="21" t="s">
        <v>189</v>
      </c>
      <c r="AA308" s="21" t="s">
        <v>189</v>
      </c>
      <c r="AB308" s="21"/>
      <c r="AC308" s="21" t="s">
        <v>189</v>
      </c>
      <c r="AD308" s="21" t="s">
        <v>189</v>
      </c>
      <c r="AE308" s="21">
        <v>0</v>
      </c>
      <c r="AF308" s="21">
        <v>0</v>
      </c>
      <c r="AG308" s="21">
        <v>0</v>
      </c>
      <c r="AH308" s="21">
        <v>0</v>
      </c>
      <c r="AI308" s="21">
        <v>0</v>
      </c>
      <c r="AJ308" s="21" t="s">
        <v>638</v>
      </c>
      <c r="AK308" s="21">
        <v>0</v>
      </c>
      <c r="AL308" s="21">
        <v>0</v>
      </c>
      <c r="AM308" s="21">
        <v>0</v>
      </c>
      <c r="AN308" s="21">
        <v>0</v>
      </c>
      <c r="AO308" s="21">
        <v>0</v>
      </c>
      <c r="AP308" s="21"/>
      <c r="AQ308" s="21">
        <v>0</v>
      </c>
      <c r="AR308" s="21">
        <v>0</v>
      </c>
      <c r="AS308" s="21">
        <v>1147503.99</v>
      </c>
      <c r="AT308" s="21" t="s">
        <v>169</v>
      </c>
      <c r="AU308" s="21" t="s">
        <v>170</v>
      </c>
      <c r="AV308" s="21" t="s">
        <v>157</v>
      </c>
      <c r="AW308" s="21" t="s">
        <v>639</v>
      </c>
      <c r="AX308" s="21"/>
      <c r="AY308" s="21">
        <v>0</v>
      </c>
      <c r="AZ308" s="21">
        <v>61990.34</v>
      </c>
      <c r="BA308" s="21">
        <v>492</v>
      </c>
      <c r="BB308" s="21" t="s">
        <v>1206</v>
      </c>
      <c r="BC308" s="21" t="s">
        <v>176</v>
      </c>
      <c r="BD308" s="21" t="s">
        <v>641</v>
      </c>
      <c r="BE308" s="21" t="s">
        <v>641</v>
      </c>
      <c r="BF308" s="21">
        <v>2.5</v>
      </c>
      <c r="BG308" s="21">
        <v>1549.76</v>
      </c>
      <c r="BH308" s="21">
        <v>2.5</v>
      </c>
      <c r="BI308" s="21">
        <v>1549.76</v>
      </c>
      <c r="BJ308" s="21">
        <v>0</v>
      </c>
      <c r="BK308" s="21">
        <v>0</v>
      </c>
      <c r="BL308" s="21">
        <v>0</v>
      </c>
      <c r="BM308" s="21">
        <v>692172472712</v>
      </c>
      <c r="BN308" s="23">
        <v>46263</v>
      </c>
      <c r="BO308" s="21">
        <v>401.7</v>
      </c>
    </row>
    <row r="309" spans="1:67" hidden="1" x14ac:dyDescent="0.25">
      <c r="A309" s="22"/>
      <c r="B309" s="21" t="s">
        <v>167</v>
      </c>
      <c r="C309" s="21" t="s">
        <v>1206</v>
      </c>
      <c r="D309" s="21" t="s">
        <v>1207</v>
      </c>
      <c r="E309" s="21" t="s">
        <v>704</v>
      </c>
      <c r="F309" s="21" t="s">
        <v>705</v>
      </c>
      <c r="G309" s="21" t="s">
        <v>1208</v>
      </c>
      <c r="H309" s="21">
        <v>881.2</v>
      </c>
      <c r="I309" s="21">
        <v>881.2</v>
      </c>
      <c r="J309" s="21" t="s">
        <v>184</v>
      </c>
      <c r="K309" s="21">
        <v>881.2</v>
      </c>
      <c r="L309" s="21">
        <v>0</v>
      </c>
      <c r="M309" s="21">
        <v>881.2</v>
      </c>
      <c r="N309" s="21" t="s">
        <v>174</v>
      </c>
      <c r="O309" s="21" t="s">
        <v>633</v>
      </c>
      <c r="P309" s="21" t="s">
        <v>633</v>
      </c>
      <c r="Q309" s="21" t="s">
        <v>1209</v>
      </c>
      <c r="R309" s="21" t="s">
        <v>1206</v>
      </c>
      <c r="S309" s="21" t="s">
        <v>635</v>
      </c>
      <c r="T309" s="21" t="s">
        <v>636</v>
      </c>
      <c r="U309" s="21" t="s">
        <v>1210</v>
      </c>
      <c r="V309" s="21">
        <v>154.32</v>
      </c>
      <c r="W309" s="21">
        <v>154.31999865516801</v>
      </c>
      <c r="X309" s="21" t="s">
        <v>1209</v>
      </c>
      <c r="Y309" s="21" t="s">
        <v>1206</v>
      </c>
      <c r="Z309" s="21" t="s">
        <v>189</v>
      </c>
      <c r="AA309" s="21" t="s">
        <v>189</v>
      </c>
      <c r="AB309" s="21"/>
      <c r="AC309" s="21" t="s">
        <v>189</v>
      </c>
      <c r="AD309" s="21" t="s">
        <v>189</v>
      </c>
      <c r="AE309" s="21">
        <v>0</v>
      </c>
      <c r="AF309" s="21">
        <v>0</v>
      </c>
      <c r="AG309" s="21">
        <v>0</v>
      </c>
      <c r="AH309" s="21">
        <v>0</v>
      </c>
      <c r="AI309" s="21">
        <v>0</v>
      </c>
      <c r="AJ309" s="21" t="s">
        <v>638</v>
      </c>
      <c r="AK309" s="21">
        <v>0</v>
      </c>
      <c r="AL309" s="21">
        <v>0</v>
      </c>
      <c r="AM309" s="21">
        <v>0</v>
      </c>
      <c r="AN309" s="21">
        <v>0</v>
      </c>
      <c r="AO309" s="21">
        <v>0</v>
      </c>
      <c r="AP309" s="21"/>
      <c r="AQ309" s="21">
        <v>0</v>
      </c>
      <c r="AR309" s="21">
        <v>0</v>
      </c>
      <c r="AS309" s="21">
        <v>1147503.99</v>
      </c>
      <c r="AT309" s="21" t="s">
        <v>169</v>
      </c>
      <c r="AU309" s="21" t="s">
        <v>170</v>
      </c>
      <c r="AV309" s="21" t="s">
        <v>157</v>
      </c>
      <c r="AW309" s="21" t="s">
        <v>639</v>
      </c>
      <c r="AX309" s="21"/>
      <c r="AY309" s="21">
        <v>0</v>
      </c>
      <c r="AZ309" s="21">
        <v>135986.78</v>
      </c>
      <c r="BA309" s="21">
        <v>492</v>
      </c>
      <c r="BB309" s="21" t="s">
        <v>1206</v>
      </c>
      <c r="BC309" s="21" t="s">
        <v>176</v>
      </c>
      <c r="BD309" s="21" t="s">
        <v>641</v>
      </c>
      <c r="BE309" s="21" t="s">
        <v>641</v>
      </c>
      <c r="BF309" s="21">
        <v>2.5</v>
      </c>
      <c r="BG309" s="21">
        <v>3399.67</v>
      </c>
      <c r="BH309" s="21">
        <v>2.5</v>
      </c>
      <c r="BI309" s="21">
        <v>3399.67</v>
      </c>
      <c r="BJ309" s="21">
        <v>0</v>
      </c>
      <c r="BK309" s="21">
        <v>0</v>
      </c>
      <c r="BL309" s="21">
        <v>0</v>
      </c>
      <c r="BM309" s="21">
        <v>692172472712</v>
      </c>
      <c r="BN309" s="23">
        <v>46263</v>
      </c>
      <c r="BO309" s="21">
        <v>881.2</v>
      </c>
    </row>
    <row r="310" spans="1:67" hidden="1" x14ac:dyDescent="0.25">
      <c r="A310" s="22"/>
      <c r="B310" s="21" t="s">
        <v>167</v>
      </c>
      <c r="C310" s="21" t="s">
        <v>1211</v>
      </c>
      <c r="D310" s="21" t="s">
        <v>1212</v>
      </c>
      <c r="E310" s="21" t="s">
        <v>182</v>
      </c>
      <c r="F310" s="21" t="s">
        <v>183</v>
      </c>
      <c r="G310" s="21" t="s">
        <v>1213</v>
      </c>
      <c r="H310" s="21">
        <v>8863</v>
      </c>
      <c r="I310" s="21">
        <v>8863</v>
      </c>
      <c r="J310" s="21" t="s">
        <v>168</v>
      </c>
      <c r="K310" s="21">
        <v>8863</v>
      </c>
      <c r="L310" s="21">
        <v>0</v>
      </c>
      <c r="M310" s="21">
        <v>8863</v>
      </c>
      <c r="N310" s="21" t="s">
        <v>1214</v>
      </c>
      <c r="O310" s="21" t="s">
        <v>663</v>
      </c>
      <c r="P310" s="21" t="s">
        <v>663</v>
      </c>
      <c r="Q310" s="21" t="s">
        <v>1215</v>
      </c>
      <c r="R310" s="21" t="s">
        <v>1206</v>
      </c>
      <c r="S310" s="21" t="s">
        <v>635</v>
      </c>
      <c r="T310" s="21" t="s">
        <v>636</v>
      </c>
      <c r="U310" s="21" t="s">
        <v>1216</v>
      </c>
      <c r="V310" s="21">
        <v>156.49</v>
      </c>
      <c r="W310" s="21">
        <v>156.49</v>
      </c>
      <c r="X310" s="21" t="s">
        <v>1215</v>
      </c>
      <c r="Y310" s="21" t="s">
        <v>1206</v>
      </c>
      <c r="Z310" s="21" t="s">
        <v>189</v>
      </c>
      <c r="AA310" s="21" t="s">
        <v>189</v>
      </c>
      <c r="AB310" s="21"/>
      <c r="AC310" s="21" t="s">
        <v>659</v>
      </c>
      <c r="AD310" s="21">
        <v>2740</v>
      </c>
      <c r="AE310" s="21">
        <v>0</v>
      </c>
      <c r="AF310" s="21">
        <v>0</v>
      </c>
      <c r="AG310" s="21">
        <v>0</v>
      </c>
      <c r="AH310" s="21">
        <v>0</v>
      </c>
      <c r="AI310" s="21">
        <v>0</v>
      </c>
      <c r="AJ310" s="21" t="s">
        <v>638</v>
      </c>
      <c r="AK310" s="21">
        <v>0</v>
      </c>
      <c r="AL310" s="21">
        <v>0</v>
      </c>
      <c r="AM310" s="21">
        <v>0</v>
      </c>
      <c r="AN310" s="21">
        <v>0</v>
      </c>
      <c r="AO310" s="21">
        <v>0</v>
      </c>
      <c r="AP310" s="21"/>
      <c r="AQ310" s="21">
        <v>0</v>
      </c>
      <c r="AR310" s="21">
        <v>0</v>
      </c>
      <c r="AS310" s="21">
        <v>1785294</v>
      </c>
      <c r="AT310" s="21" t="s">
        <v>169</v>
      </c>
      <c r="AU310" s="21" t="s">
        <v>179</v>
      </c>
      <c r="AV310" s="21" t="s">
        <v>155</v>
      </c>
      <c r="AW310" s="21" t="s">
        <v>639</v>
      </c>
      <c r="AX310" s="21" t="s">
        <v>640</v>
      </c>
      <c r="AY310" s="21">
        <v>0</v>
      </c>
      <c r="AZ310" s="21">
        <v>1386970.87</v>
      </c>
      <c r="BA310" s="21">
        <v>493</v>
      </c>
      <c r="BB310" s="21" t="s">
        <v>1211</v>
      </c>
      <c r="BC310" s="21" t="s">
        <v>185</v>
      </c>
      <c r="BD310" s="21" t="s">
        <v>641</v>
      </c>
      <c r="BE310" s="21" t="s">
        <v>641</v>
      </c>
      <c r="BF310" s="21">
        <v>9</v>
      </c>
      <c r="BG310" s="21">
        <v>124827.38</v>
      </c>
      <c r="BH310" s="21">
        <v>9</v>
      </c>
      <c r="BI310" s="21">
        <v>124827.38</v>
      </c>
      <c r="BJ310" s="21">
        <v>0</v>
      </c>
      <c r="BK310" s="21">
        <v>0</v>
      </c>
      <c r="BL310" s="21">
        <v>1785294</v>
      </c>
      <c r="BM310" s="21">
        <v>602172295068</v>
      </c>
      <c r="BN310" s="23">
        <v>46263</v>
      </c>
      <c r="BO310" s="21">
        <v>8863</v>
      </c>
    </row>
    <row r="311" spans="1:67" hidden="1" x14ac:dyDescent="0.25">
      <c r="A311" s="22"/>
      <c r="B311" s="21" t="s">
        <v>167</v>
      </c>
      <c r="C311" s="21" t="s">
        <v>1211</v>
      </c>
      <c r="D311" s="21" t="s">
        <v>1212</v>
      </c>
      <c r="E311" s="21" t="s">
        <v>172</v>
      </c>
      <c r="F311" s="21" t="s">
        <v>173</v>
      </c>
      <c r="G311" s="21" t="s">
        <v>1213</v>
      </c>
      <c r="H311" s="21">
        <v>737</v>
      </c>
      <c r="I311" s="21">
        <v>737</v>
      </c>
      <c r="J311" s="21" t="s">
        <v>168</v>
      </c>
      <c r="K311" s="21">
        <v>737</v>
      </c>
      <c r="L311" s="21">
        <v>0</v>
      </c>
      <c r="M311" s="21">
        <v>737</v>
      </c>
      <c r="N311" s="21" t="s">
        <v>1214</v>
      </c>
      <c r="O311" s="21" t="s">
        <v>663</v>
      </c>
      <c r="P311" s="21" t="s">
        <v>663</v>
      </c>
      <c r="Q311" s="21" t="s">
        <v>1215</v>
      </c>
      <c r="R311" s="21" t="s">
        <v>1206</v>
      </c>
      <c r="S311" s="21" t="s">
        <v>635</v>
      </c>
      <c r="T311" s="21" t="s">
        <v>636</v>
      </c>
      <c r="U311" s="21" t="s">
        <v>1216</v>
      </c>
      <c r="V311" s="21">
        <v>170.95</v>
      </c>
      <c r="W311" s="21">
        <v>170.95</v>
      </c>
      <c r="X311" s="21" t="s">
        <v>1215</v>
      </c>
      <c r="Y311" s="21" t="s">
        <v>1206</v>
      </c>
      <c r="Z311" s="21" t="s">
        <v>189</v>
      </c>
      <c r="AA311" s="21" t="s">
        <v>189</v>
      </c>
      <c r="AB311" s="21"/>
      <c r="AC311" s="21" t="s">
        <v>659</v>
      </c>
      <c r="AD311" s="21">
        <v>2740</v>
      </c>
      <c r="AE311" s="21">
        <v>0</v>
      </c>
      <c r="AF311" s="21">
        <v>0</v>
      </c>
      <c r="AG311" s="21">
        <v>0</v>
      </c>
      <c r="AH311" s="21">
        <v>0</v>
      </c>
      <c r="AI311" s="21">
        <v>0</v>
      </c>
      <c r="AJ311" s="21" t="s">
        <v>638</v>
      </c>
      <c r="AK311" s="21">
        <v>0</v>
      </c>
      <c r="AL311" s="21">
        <v>0</v>
      </c>
      <c r="AM311" s="21">
        <v>0</v>
      </c>
      <c r="AN311" s="21">
        <v>0</v>
      </c>
      <c r="AO311" s="21">
        <v>0</v>
      </c>
      <c r="AP311" s="21"/>
      <c r="AQ311" s="21">
        <v>0</v>
      </c>
      <c r="AR311" s="21">
        <v>0</v>
      </c>
      <c r="AS311" s="21">
        <v>1785294</v>
      </c>
      <c r="AT311" s="21" t="s">
        <v>169</v>
      </c>
      <c r="AU311" s="21" t="s">
        <v>175</v>
      </c>
      <c r="AV311" s="21" t="s">
        <v>159</v>
      </c>
      <c r="AW311" s="21" t="s">
        <v>639</v>
      </c>
      <c r="AX311" s="21" t="s">
        <v>640</v>
      </c>
      <c r="AY311" s="21">
        <v>0</v>
      </c>
      <c r="AZ311" s="21">
        <v>125990.15</v>
      </c>
      <c r="BA311" s="21">
        <v>493</v>
      </c>
      <c r="BB311" s="21" t="s">
        <v>1211</v>
      </c>
      <c r="BC311" s="21" t="s">
        <v>185</v>
      </c>
      <c r="BD311" s="21" t="s">
        <v>641</v>
      </c>
      <c r="BE311" s="21" t="s">
        <v>641</v>
      </c>
      <c r="BF311" s="21">
        <v>9</v>
      </c>
      <c r="BG311" s="21">
        <v>11339.11</v>
      </c>
      <c r="BH311" s="21">
        <v>9</v>
      </c>
      <c r="BI311" s="21">
        <v>11339.11</v>
      </c>
      <c r="BJ311" s="21">
        <v>0</v>
      </c>
      <c r="BK311" s="21">
        <v>0</v>
      </c>
      <c r="BL311" s="21">
        <v>0</v>
      </c>
      <c r="BM311" s="21">
        <v>602172295068</v>
      </c>
      <c r="BN311" s="23">
        <v>46263</v>
      </c>
      <c r="BO311" s="21">
        <v>737</v>
      </c>
    </row>
    <row r="312" spans="1:67" hidden="1" x14ac:dyDescent="0.25">
      <c r="A312" s="22"/>
      <c r="B312" s="21" t="s">
        <v>167</v>
      </c>
      <c r="C312" s="21" t="s">
        <v>1211</v>
      </c>
      <c r="D312" s="21" t="s">
        <v>1217</v>
      </c>
      <c r="E312" s="21" t="s">
        <v>182</v>
      </c>
      <c r="F312" s="21" t="s">
        <v>183</v>
      </c>
      <c r="G312" s="21" t="s">
        <v>1218</v>
      </c>
      <c r="H312" s="21">
        <v>622</v>
      </c>
      <c r="I312" s="21">
        <v>622</v>
      </c>
      <c r="J312" s="21" t="s">
        <v>168</v>
      </c>
      <c r="K312" s="21">
        <v>622</v>
      </c>
      <c r="L312" s="21">
        <v>0</v>
      </c>
      <c r="M312" s="21">
        <v>622</v>
      </c>
      <c r="N312" s="21" t="s">
        <v>174</v>
      </c>
      <c r="O312" s="21" t="s">
        <v>633</v>
      </c>
      <c r="P312" s="21" t="s">
        <v>633</v>
      </c>
      <c r="Q312" s="21" t="s">
        <v>1219</v>
      </c>
      <c r="R312" s="21" t="s">
        <v>1211</v>
      </c>
      <c r="S312" s="21" t="s">
        <v>635</v>
      </c>
      <c r="T312" s="21" t="s">
        <v>636</v>
      </c>
      <c r="U312" s="21" t="s">
        <v>1220</v>
      </c>
      <c r="V312" s="21">
        <v>147.32</v>
      </c>
      <c r="W312" s="21">
        <v>147.319998718948</v>
      </c>
      <c r="X312" s="21" t="s">
        <v>1219</v>
      </c>
      <c r="Y312" s="21" t="s">
        <v>1211</v>
      </c>
      <c r="Z312" s="21" t="s">
        <v>189</v>
      </c>
      <c r="AA312" s="21" t="s">
        <v>189</v>
      </c>
      <c r="AB312" s="21"/>
      <c r="AC312" s="21" t="s">
        <v>189</v>
      </c>
      <c r="AD312" s="21" t="s">
        <v>189</v>
      </c>
      <c r="AE312" s="21">
        <v>0</v>
      </c>
      <c r="AF312" s="21">
        <v>0</v>
      </c>
      <c r="AG312" s="21">
        <v>0</v>
      </c>
      <c r="AH312" s="21">
        <v>0</v>
      </c>
      <c r="AI312" s="21">
        <v>0</v>
      </c>
      <c r="AJ312" s="21" t="s">
        <v>638</v>
      </c>
      <c r="AK312" s="21">
        <v>0</v>
      </c>
      <c r="AL312" s="21">
        <v>0</v>
      </c>
      <c r="AM312" s="21">
        <v>0</v>
      </c>
      <c r="AN312" s="21">
        <v>0</v>
      </c>
      <c r="AO312" s="21">
        <v>0</v>
      </c>
      <c r="AP312" s="21"/>
      <c r="AQ312" s="21">
        <v>0</v>
      </c>
      <c r="AR312" s="21">
        <v>0</v>
      </c>
      <c r="AS312" s="21">
        <v>459997.04</v>
      </c>
      <c r="AT312" s="21" t="s">
        <v>169</v>
      </c>
      <c r="AU312" s="21" t="s">
        <v>179</v>
      </c>
      <c r="AV312" s="21" t="s">
        <v>155</v>
      </c>
      <c r="AW312" s="21" t="s">
        <v>639</v>
      </c>
      <c r="AX312" s="21" t="s">
        <v>640</v>
      </c>
      <c r="AY312" s="21">
        <v>0</v>
      </c>
      <c r="AZ312" s="21">
        <v>91633.04</v>
      </c>
      <c r="BA312" s="21">
        <v>494</v>
      </c>
      <c r="BB312" s="21" t="s">
        <v>1211</v>
      </c>
      <c r="BC312" s="21" t="s">
        <v>176</v>
      </c>
      <c r="BD312" s="21" t="s">
        <v>641</v>
      </c>
      <c r="BE312" s="21" t="s">
        <v>641</v>
      </c>
      <c r="BF312" s="21">
        <v>9</v>
      </c>
      <c r="BG312" s="21">
        <v>8246.9699999999993</v>
      </c>
      <c r="BH312" s="21">
        <v>9</v>
      </c>
      <c r="BI312" s="21">
        <v>8246.9699999999993</v>
      </c>
      <c r="BJ312" s="21">
        <v>0</v>
      </c>
      <c r="BK312" s="21">
        <v>0</v>
      </c>
      <c r="BL312" s="21">
        <v>459997.04</v>
      </c>
      <c r="BM312" s="21">
        <v>692172886223</v>
      </c>
      <c r="BN312" s="23">
        <v>46264</v>
      </c>
      <c r="BO312" s="21">
        <v>622</v>
      </c>
    </row>
    <row r="313" spans="1:67" hidden="1" x14ac:dyDescent="0.25">
      <c r="A313" s="22"/>
      <c r="B313" s="21" t="s">
        <v>167</v>
      </c>
      <c r="C313" s="21" t="s">
        <v>1211</v>
      </c>
      <c r="D313" s="21" t="s">
        <v>1217</v>
      </c>
      <c r="E313" s="21" t="s">
        <v>182</v>
      </c>
      <c r="F313" s="21" t="s">
        <v>183</v>
      </c>
      <c r="G313" s="21" t="s">
        <v>1218</v>
      </c>
      <c r="H313" s="21">
        <v>641</v>
      </c>
      <c r="I313" s="21">
        <v>641</v>
      </c>
      <c r="J313" s="21" t="s">
        <v>168</v>
      </c>
      <c r="K313" s="21">
        <v>641</v>
      </c>
      <c r="L313" s="21">
        <v>0</v>
      </c>
      <c r="M313" s="21">
        <v>641</v>
      </c>
      <c r="N313" s="21" t="s">
        <v>174</v>
      </c>
      <c r="O313" s="21" t="s">
        <v>633</v>
      </c>
      <c r="P313" s="21" t="s">
        <v>633</v>
      </c>
      <c r="Q313" s="21" t="s">
        <v>1219</v>
      </c>
      <c r="R313" s="21" t="s">
        <v>1211</v>
      </c>
      <c r="S313" s="21" t="s">
        <v>635</v>
      </c>
      <c r="T313" s="21" t="s">
        <v>636</v>
      </c>
      <c r="U313" s="21" t="s">
        <v>1220</v>
      </c>
      <c r="V313" s="21">
        <v>142.32</v>
      </c>
      <c r="W313" s="21">
        <v>142.31999876242699</v>
      </c>
      <c r="X313" s="21" t="s">
        <v>1219</v>
      </c>
      <c r="Y313" s="21" t="s">
        <v>1211</v>
      </c>
      <c r="Z313" s="21" t="s">
        <v>189</v>
      </c>
      <c r="AA313" s="21" t="s">
        <v>189</v>
      </c>
      <c r="AB313" s="21"/>
      <c r="AC313" s="21" t="s">
        <v>189</v>
      </c>
      <c r="AD313" s="21" t="s">
        <v>189</v>
      </c>
      <c r="AE313" s="21">
        <v>0</v>
      </c>
      <c r="AF313" s="21">
        <v>0</v>
      </c>
      <c r="AG313" s="21">
        <v>0</v>
      </c>
      <c r="AH313" s="21">
        <v>0</v>
      </c>
      <c r="AI313" s="21">
        <v>0</v>
      </c>
      <c r="AJ313" s="21" t="s">
        <v>638</v>
      </c>
      <c r="AK313" s="21">
        <v>0</v>
      </c>
      <c r="AL313" s="21">
        <v>0</v>
      </c>
      <c r="AM313" s="21">
        <v>0</v>
      </c>
      <c r="AN313" s="21">
        <v>0</v>
      </c>
      <c r="AO313" s="21">
        <v>0</v>
      </c>
      <c r="AP313" s="21"/>
      <c r="AQ313" s="21">
        <v>0</v>
      </c>
      <c r="AR313" s="21">
        <v>0</v>
      </c>
      <c r="AS313" s="21">
        <v>459997.04</v>
      </c>
      <c r="AT313" s="21" t="s">
        <v>169</v>
      </c>
      <c r="AU313" s="21" t="s">
        <v>179</v>
      </c>
      <c r="AV313" s="21" t="s">
        <v>155</v>
      </c>
      <c r="AW313" s="21" t="s">
        <v>639</v>
      </c>
      <c r="AX313" s="21" t="s">
        <v>640</v>
      </c>
      <c r="AY313" s="21">
        <v>0</v>
      </c>
      <c r="AZ313" s="21">
        <v>91227.12</v>
      </c>
      <c r="BA313" s="21">
        <v>494</v>
      </c>
      <c r="BB313" s="21" t="s">
        <v>1211</v>
      </c>
      <c r="BC313" s="21" t="s">
        <v>176</v>
      </c>
      <c r="BD313" s="21" t="s">
        <v>641</v>
      </c>
      <c r="BE313" s="21" t="s">
        <v>641</v>
      </c>
      <c r="BF313" s="21">
        <v>9</v>
      </c>
      <c r="BG313" s="21">
        <v>8210.44</v>
      </c>
      <c r="BH313" s="21">
        <v>9</v>
      </c>
      <c r="BI313" s="21">
        <v>8210.44</v>
      </c>
      <c r="BJ313" s="21">
        <v>0</v>
      </c>
      <c r="BK313" s="21">
        <v>0</v>
      </c>
      <c r="BL313" s="21">
        <v>0</v>
      </c>
      <c r="BM313" s="21">
        <v>692172886223</v>
      </c>
      <c r="BN313" s="23">
        <v>46264</v>
      </c>
      <c r="BO313" s="21">
        <v>641</v>
      </c>
    </row>
    <row r="314" spans="1:67" hidden="1" x14ac:dyDescent="0.25">
      <c r="A314" s="22"/>
      <c r="B314" s="21" t="s">
        <v>167</v>
      </c>
      <c r="C314" s="21" t="s">
        <v>1211</v>
      </c>
      <c r="D314" s="21" t="s">
        <v>1217</v>
      </c>
      <c r="E314" s="21" t="s">
        <v>177</v>
      </c>
      <c r="F314" s="21" t="s">
        <v>178</v>
      </c>
      <c r="G314" s="21" t="s">
        <v>1218</v>
      </c>
      <c r="H314" s="21">
        <v>60</v>
      </c>
      <c r="I314" s="21">
        <v>60</v>
      </c>
      <c r="J314" s="21" t="s">
        <v>168</v>
      </c>
      <c r="K314" s="21">
        <v>60</v>
      </c>
      <c r="L314" s="21">
        <v>0</v>
      </c>
      <c r="M314" s="21">
        <v>60</v>
      </c>
      <c r="N314" s="21" t="s">
        <v>174</v>
      </c>
      <c r="O314" s="21" t="s">
        <v>633</v>
      </c>
      <c r="P314" s="21" t="s">
        <v>633</v>
      </c>
      <c r="Q314" s="21" t="s">
        <v>1219</v>
      </c>
      <c r="R314" s="21" t="s">
        <v>1211</v>
      </c>
      <c r="S314" s="21" t="s">
        <v>635</v>
      </c>
      <c r="T314" s="21" t="s">
        <v>636</v>
      </c>
      <c r="U314" s="21" t="s">
        <v>1220</v>
      </c>
      <c r="V314" s="21">
        <v>149.32</v>
      </c>
      <c r="W314" s="21">
        <v>149.31999870155701</v>
      </c>
      <c r="X314" s="21" t="s">
        <v>1219</v>
      </c>
      <c r="Y314" s="21" t="s">
        <v>1211</v>
      </c>
      <c r="Z314" s="21" t="s">
        <v>189</v>
      </c>
      <c r="AA314" s="21" t="s">
        <v>189</v>
      </c>
      <c r="AB314" s="21"/>
      <c r="AC314" s="21" t="s">
        <v>189</v>
      </c>
      <c r="AD314" s="21" t="s">
        <v>189</v>
      </c>
      <c r="AE314" s="21">
        <v>0</v>
      </c>
      <c r="AF314" s="21">
        <v>0</v>
      </c>
      <c r="AG314" s="21">
        <v>0</v>
      </c>
      <c r="AH314" s="21">
        <v>0</v>
      </c>
      <c r="AI314" s="21">
        <v>0</v>
      </c>
      <c r="AJ314" s="21" t="s">
        <v>638</v>
      </c>
      <c r="AK314" s="21">
        <v>0</v>
      </c>
      <c r="AL314" s="21">
        <v>0</v>
      </c>
      <c r="AM314" s="21">
        <v>0</v>
      </c>
      <c r="AN314" s="21">
        <v>0</v>
      </c>
      <c r="AO314" s="21">
        <v>0</v>
      </c>
      <c r="AP314" s="21"/>
      <c r="AQ314" s="21">
        <v>0</v>
      </c>
      <c r="AR314" s="21">
        <v>0</v>
      </c>
      <c r="AS314" s="21">
        <v>459997.04</v>
      </c>
      <c r="AT314" s="21" t="s">
        <v>169</v>
      </c>
      <c r="AU314" s="21" t="s">
        <v>179</v>
      </c>
      <c r="AV314" s="21" t="s">
        <v>156</v>
      </c>
      <c r="AW314" s="21" t="s">
        <v>639</v>
      </c>
      <c r="AX314" s="21" t="s">
        <v>640</v>
      </c>
      <c r="AY314" s="21">
        <v>0</v>
      </c>
      <c r="AZ314" s="21">
        <v>8959.2000000000007</v>
      </c>
      <c r="BA314" s="21">
        <v>494</v>
      </c>
      <c r="BB314" s="21" t="s">
        <v>1211</v>
      </c>
      <c r="BC314" s="21" t="s">
        <v>176</v>
      </c>
      <c r="BD314" s="21" t="s">
        <v>641</v>
      </c>
      <c r="BE314" s="21" t="s">
        <v>641</v>
      </c>
      <c r="BF314" s="21">
        <v>9</v>
      </c>
      <c r="BG314" s="21">
        <v>806.33</v>
      </c>
      <c r="BH314" s="21">
        <v>9</v>
      </c>
      <c r="BI314" s="21">
        <v>806.33</v>
      </c>
      <c r="BJ314" s="21">
        <v>0</v>
      </c>
      <c r="BK314" s="21">
        <v>0</v>
      </c>
      <c r="BL314" s="21">
        <v>0</v>
      </c>
      <c r="BM314" s="21">
        <v>692172886223</v>
      </c>
      <c r="BN314" s="23">
        <v>46264</v>
      </c>
      <c r="BO314" s="21">
        <v>60</v>
      </c>
    </row>
    <row r="315" spans="1:67" hidden="1" x14ac:dyDescent="0.25">
      <c r="A315" s="22"/>
      <c r="B315" s="21" t="s">
        <v>167</v>
      </c>
      <c r="C315" s="21" t="s">
        <v>1211</v>
      </c>
      <c r="D315" s="21" t="s">
        <v>1217</v>
      </c>
      <c r="E315" s="21" t="s">
        <v>180</v>
      </c>
      <c r="F315" s="21" t="s">
        <v>181</v>
      </c>
      <c r="G315" s="21" t="s">
        <v>1218</v>
      </c>
      <c r="H315" s="21">
        <v>198.1</v>
      </c>
      <c r="I315" s="21">
        <v>198.1</v>
      </c>
      <c r="J315" s="21" t="s">
        <v>168</v>
      </c>
      <c r="K315" s="21">
        <v>198.1</v>
      </c>
      <c r="L315" s="21">
        <v>0</v>
      </c>
      <c r="M315" s="21">
        <v>198.1</v>
      </c>
      <c r="N315" s="21" t="s">
        <v>174</v>
      </c>
      <c r="O315" s="21" t="s">
        <v>633</v>
      </c>
      <c r="P315" s="21" t="s">
        <v>633</v>
      </c>
      <c r="Q315" s="21" t="s">
        <v>1219</v>
      </c>
      <c r="R315" s="21" t="s">
        <v>1211</v>
      </c>
      <c r="S315" s="21" t="s">
        <v>635</v>
      </c>
      <c r="T315" s="21" t="s">
        <v>636</v>
      </c>
      <c r="U315" s="21" t="s">
        <v>1220</v>
      </c>
      <c r="V315" s="21">
        <v>165.32</v>
      </c>
      <c r="W315" s="21">
        <v>165.31999856242601</v>
      </c>
      <c r="X315" s="21" t="s">
        <v>1219</v>
      </c>
      <c r="Y315" s="21" t="s">
        <v>1211</v>
      </c>
      <c r="Z315" s="21" t="s">
        <v>189</v>
      </c>
      <c r="AA315" s="21" t="s">
        <v>189</v>
      </c>
      <c r="AB315" s="21"/>
      <c r="AC315" s="21" t="s">
        <v>189</v>
      </c>
      <c r="AD315" s="21" t="s">
        <v>189</v>
      </c>
      <c r="AE315" s="21">
        <v>0</v>
      </c>
      <c r="AF315" s="21">
        <v>0</v>
      </c>
      <c r="AG315" s="21">
        <v>0</v>
      </c>
      <c r="AH315" s="21">
        <v>0</v>
      </c>
      <c r="AI315" s="21">
        <v>0</v>
      </c>
      <c r="AJ315" s="21" t="s">
        <v>638</v>
      </c>
      <c r="AK315" s="21">
        <v>0</v>
      </c>
      <c r="AL315" s="21">
        <v>0</v>
      </c>
      <c r="AM315" s="21">
        <v>0</v>
      </c>
      <c r="AN315" s="21">
        <v>0</v>
      </c>
      <c r="AO315" s="21">
        <v>0</v>
      </c>
      <c r="AP315" s="21"/>
      <c r="AQ315" s="21">
        <v>0</v>
      </c>
      <c r="AR315" s="21">
        <v>0</v>
      </c>
      <c r="AS315" s="21">
        <v>459997.04</v>
      </c>
      <c r="AT315" s="21" t="s">
        <v>169</v>
      </c>
      <c r="AU315" s="21" t="s">
        <v>181</v>
      </c>
      <c r="AV315" s="21" t="s">
        <v>154</v>
      </c>
      <c r="AW315" s="21" t="s">
        <v>639</v>
      </c>
      <c r="AX315" s="21" t="s">
        <v>640</v>
      </c>
      <c r="AY315" s="21">
        <v>0</v>
      </c>
      <c r="AZ315" s="21">
        <v>32749.89</v>
      </c>
      <c r="BA315" s="21">
        <v>494</v>
      </c>
      <c r="BB315" s="21" t="s">
        <v>1211</v>
      </c>
      <c r="BC315" s="21" t="s">
        <v>176</v>
      </c>
      <c r="BD315" s="21" t="s">
        <v>641</v>
      </c>
      <c r="BE315" s="21" t="s">
        <v>641</v>
      </c>
      <c r="BF315" s="21">
        <v>9</v>
      </c>
      <c r="BG315" s="21">
        <v>2947.49</v>
      </c>
      <c r="BH315" s="21">
        <v>9</v>
      </c>
      <c r="BI315" s="21">
        <v>2947.49</v>
      </c>
      <c r="BJ315" s="21">
        <v>0</v>
      </c>
      <c r="BK315" s="21">
        <v>0</v>
      </c>
      <c r="BL315" s="21">
        <v>0</v>
      </c>
      <c r="BM315" s="21">
        <v>692172886223</v>
      </c>
      <c r="BN315" s="23">
        <v>46264</v>
      </c>
      <c r="BO315" s="21">
        <v>198.1</v>
      </c>
    </row>
    <row r="316" spans="1:67" hidden="1" x14ac:dyDescent="0.25">
      <c r="A316" s="22"/>
      <c r="B316" s="21" t="s">
        <v>167</v>
      </c>
      <c r="C316" s="21" t="s">
        <v>1211</v>
      </c>
      <c r="D316" s="21" t="s">
        <v>1217</v>
      </c>
      <c r="E316" s="21" t="s">
        <v>180</v>
      </c>
      <c r="F316" s="21" t="s">
        <v>181</v>
      </c>
      <c r="G316" s="21" t="s">
        <v>1218</v>
      </c>
      <c r="H316" s="21">
        <v>1033.5999999999999</v>
      </c>
      <c r="I316" s="21">
        <v>1033.5999999999999</v>
      </c>
      <c r="J316" s="21" t="s">
        <v>168</v>
      </c>
      <c r="K316" s="21">
        <v>1033.5999999999999</v>
      </c>
      <c r="L316" s="21">
        <v>0</v>
      </c>
      <c r="M316" s="21">
        <v>1033.5999999999999</v>
      </c>
      <c r="N316" s="21" t="s">
        <v>174</v>
      </c>
      <c r="O316" s="21" t="s">
        <v>633</v>
      </c>
      <c r="P316" s="21" t="s">
        <v>633</v>
      </c>
      <c r="Q316" s="21" t="s">
        <v>1219</v>
      </c>
      <c r="R316" s="21" t="s">
        <v>1211</v>
      </c>
      <c r="S316" s="21" t="s">
        <v>635</v>
      </c>
      <c r="T316" s="21" t="s">
        <v>636</v>
      </c>
      <c r="U316" s="21" t="s">
        <v>1220</v>
      </c>
      <c r="V316" s="21">
        <v>147.32</v>
      </c>
      <c r="W316" s="21">
        <v>147.319998718948</v>
      </c>
      <c r="X316" s="21" t="s">
        <v>1219</v>
      </c>
      <c r="Y316" s="21" t="s">
        <v>1211</v>
      </c>
      <c r="Z316" s="21" t="s">
        <v>189</v>
      </c>
      <c r="AA316" s="21" t="s">
        <v>189</v>
      </c>
      <c r="AB316" s="21"/>
      <c r="AC316" s="21" t="s">
        <v>189</v>
      </c>
      <c r="AD316" s="21" t="s">
        <v>189</v>
      </c>
      <c r="AE316" s="21">
        <v>0</v>
      </c>
      <c r="AF316" s="21">
        <v>0</v>
      </c>
      <c r="AG316" s="21">
        <v>0</v>
      </c>
      <c r="AH316" s="21">
        <v>0</v>
      </c>
      <c r="AI316" s="21">
        <v>0</v>
      </c>
      <c r="AJ316" s="21" t="s">
        <v>638</v>
      </c>
      <c r="AK316" s="21">
        <v>0</v>
      </c>
      <c r="AL316" s="21">
        <v>0</v>
      </c>
      <c r="AM316" s="21">
        <v>0</v>
      </c>
      <c r="AN316" s="21">
        <v>0</v>
      </c>
      <c r="AO316" s="21">
        <v>0</v>
      </c>
      <c r="AP316" s="21"/>
      <c r="AQ316" s="21">
        <v>0</v>
      </c>
      <c r="AR316" s="21">
        <v>0</v>
      </c>
      <c r="AS316" s="21">
        <v>459997.04</v>
      </c>
      <c r="AT316" s="21" t="s">
        <v>169</v>
      </c>
      <c r="AU316" s="21" t="s">
        <v>181</v>
      </c>
      <c r="AV316" s="21" t="s">
        <v>154</v>
      </c>
      <c r="AW316" s="21" t="s">
        <v>639</v>
      </c>
      <c r="AX316" s="21" t="s">
        <v>640</v>
      </c>
      <c r="AY316" s="21">
        <v>0</v>
      </c>
      <c r="AZ316" s="21">
        <v>152269.95000000001</v>
      </c>
      <c r="BA316" s="21">
        <v>494</v>
      </c>
      <c r="BB316" s="21" t="s">
        <v>1211</v>
      </c>
      <c r="BC316" s="21" t="s">
        <v>176</v>
      </c>
      <c r="BD316" s="21" t="s">
        <v>641</v>
      </c>
      <c r="BE316" s="21" t="s">
        <v>641</v>
      </c>
      <c r="BF316" s="21">
        <v>9</v>
      </c>
      <c r="BG316" s="21">
        <v>13704.3</v>
      </c>
      <c r="BH316" s="21">
        <v>9</v>
      </c>
      <c r="BI316" s="21">
        <v>13704.3</v>
      </c>
      <c r="BJ316" s="21">
        <v>0</v>
      </c>
      <c r="BK316" s="21">
        <v>0</v>
      </c>
      <c r="BL316" s="21">
        <v>0</v>
      </c>
      <c r="BM316" s="21">
        <v>692172886223</v>
      </c>
      <c r="BN316" s="23">
        <v>46264</v>
      </c>
      <c r="BO316" s="21">
        <v>1033.5999999999999</v>
      </c>
    </row>
    <row r="317" spans="1:67" hidden="1" x14ac:dyDescent="0.25">
      <c r="A317" s="22"/>
      <c r="B317" s="21" t="s">
        <v>167</v>
      </c>
      <c r="C317" s="21" t="s">
        <v>1211</v>
      </c>
      <c r="D317" s="21" t="s">
        <v>1217</v>
      </c>
      <c r="E317" s="21" t="s">
        <v>180</v>
      </c>
      <c r="F317" s="21" t="s">
        <v>181</v>
      </c>
      <c r="G317" s="21" t="s">
        <v>1218</v>
      </c>
      <c r="H317" s="21">
        <v>90</v>
      </c>
      <c r="I317" s="21">
        <v>90</v>
      </c>
      <c r="J317" s="21" t="s">
        <v>168</v>
      </c>
      <c r="K317" s="21">
        <v>90</v>
      </c>
      <c r="L317" s="21">
        <v>0</v>
      </c>
      <c r="M317" s="21">
        <v>90</v>
      </c>
      <c r="N317" s="21" t="s">
        <v>174</v>
      </c>
      <c r="O317" s="21" t="s">
        <v>633</v>
      </c>
      <c r="P317" s="21" t="s">
        <v>633</v>
      </c>
      <c r="Q317" s="21" t="s">
        <v>1219</v>
      </c>
      <c r="R317" s="21" t="s">
        <v>1211</v>
      </c>
      <c r="S317" s="21" t="s">
        <v>635</v>
      </c>
      <c r="T317" s="21" t="s">
        <v>636</v>
      </c>
      <c r="U317" s="21" t="s">
        <v>1220</v>
      </c>
      <c r="V317" s="21">
        <v>144.32</v>
      </c>
      <c r="W317" s="21">
        <v>144.31999874503501</v>
      </c>
      <c r="X317" s="21" t="s">
        <v>1219</v>
      </c>
      <c r="Y317" s="21" t="s">
        <v>1211</v>
      </c>
      <c r="Z317" s="21" t="s">
        <v>189</v>
      </c>
      <c r="AA317" s="21" t="s">
        <v>189</v>
      </c>
      <c r="AB317" s="21"/>
      <c r="AC317" s="21" t="s">
        <v>189</v>
      </c>
      <c r="AD317" s="21" t="s">
        <v>189</v>
      </c>
      <c r="AE317" s="21">
        <v>0</v>
      </c>
      <c r="AF317" s="21">
        <v>0</v>
      </c>
      <c r="AG317" s="21">
        <v>0</v>
      </c>
      <c r="AH317" s="21">
        <v>0</v>
      </c>
      <c r="AI317" s="21">
        <v>0</v>
      </c>
      <c r="AJ317" s="21" t="s">
        <v>638</v>
      </c>
      <c r="AK317" s="21">
        <v>0</v>
      </c>
      <c r="AL317" s="21">
        <v>0</v>
      </c>
      <c r="AM317" s="21">
        <v>0</v>
      </c>
      <c r="AN317" s="21">
        <v>0</v>
      </c>
      <c r="AO317" s="21">
        <v>0</v>
      </c>
      <c r="AP317" s="21"/>
      <c r="AQ317" s="21">
        <v>0</v>
      </c>
      <c r="AR317" s="21">
        <v>0</v>
      </c>
      <c r="AS317" s="21">
        <v>459997.04</v>
      </c>
      <c r="AT317" s="21" t="s">
        <v>169</v>
      </c>
      <c r="AU317" s="21" t="s">
        <v>181</v>
      </c>
      <c r="AV317" s="21" t="s">
        <v>154</v>
      </c>
      <c r="AW317" s="21" t="s">
        <v>639</v>
      </c>
      <c r="AX317" s="21" t="s">
        <v>640</v>
      </c>
      <c r="AY317" s="21">
        <v>0</v>
      </c>
      <c r="AZ317" s="21">
        <v>12988.8</v>
      </c>
      <c r="BA317" s="21">
        <v>494</v>
      </c>
      <c r="BB317" s="21" t="s">
        <v>1211</v>
      </c>
      <c r="BC317" s="21" t="s">
        <v>176</v>
      </c>
      <c r="BD317" s="21" t="s">
        <v>641</v>
      </c>
      <c r="BE317" s="21" t="s">
        <v>641</v>
      </c>
      <c r="BF317" s="21">
        <v>9</v>
      </c>
      <c r="BG317" s="21">
        <v>1168.99</v>
      </c>
      <c r="BH317" s="21">
        <v>9</v>
      </c>
      <c r="BI317" s="21">
        <v>1168.99</v>
      </c>
      <c r="BJ317" s="21">
        <v>0</v>
      </c>
      <c r="BK317" s="21">
        <v>0</v>
      </c>
      <c r="BL317" s="21">
        <v>0</v>
      </c>
      <c r="BM317" s="21">
        <v>692172886223</v>
      </c>
      <c r="BN317" s="23">
        <v>46264</v>
      </c>
      <c r="BO317" s="21">
        <v>90</v>
      </c>
    </row>
    <row r="318" spans="1:67" hidden="1" x14ac:dyDescent="0.25">
      <c r="A318" s="22"/>
      <c r="B318" s="21" t="s">
        <v>167</v>
      </c>
      <c r="C318" s="21" t="s">
        <v>1221</v>
      </c>
      <c r="D318" s="21" t="s">
        <v>1222</v>
      </c>
      <c r="E318" s="21" t="s">
        <v>172</v>
      </c>
      <c r="F318" s="21" t="s">
        <v>173</v>
      </c>
      <c r="G318" s="21" t="s">
        <v>1223</v>
      </c>
      <c r="H318" s="21">
        <v>186.6</v>
      </c>
      <c r="I318" s="21">
        <v>186.6</v>
      </c>
      <c r="J318" s="21" t="s">
        <v>168</v>
      </c>
      <c r="K318" s="21">
        <v>186.6</v>
      </c>
      <c r="L318" s="21">
        <v>0</v>
      </c>
      <c r="M318" s="21">
        <v>186.6</v>
      </c>
      <c r="N318" s="21" t="s">
        <v>174</v>
      </c>
      <c r="O318" s="21" t="s">
        <v>633</v>
      </c>
      <c r="P318" s="21" t="s">
        <v>633</v>
      </c>
      <c r="Q318" s="21" t="s">
        <v>1224</v>
      </c>
      <c r="R318" s="21" t="s">
        <v>1221</v>
      </c>
      <c r="S318" s="21" t="s">
        <v>635</v>
      </c>
      <c r="T318" s="21" t="s">
        <v>636</v>
      </c>
      <c r="U318" s="21" t="s">
        <v>1225</v>
      </c>
      <c r="V318" s="21">
        <v>176.86</v>
      </c>
      <c r="W318" s="21">
        <v>176.86001816629101</v>
      </c>
      <c r="X318" s="21" t="s">
        <v>1224</v>
      </c>
      <c r="Y318" s="21" t="s">
        <v>1221</v>
      </c>
      <c r="Z318" s="21"/>
      <c r="AA318" s="21">
        <v>0</v>
      </c>
      <c r="AB318" s="21"/>
      <c r="AC318" s="21">
        <v>0</v>
      </c>
      <c r="AD318" s="21">
        <v>0</v>
      </c>
      <c r="AE318" s="21">
        <v>0</v>
      </c>
      <c r="AF318" s="21">
        <v>0</v>
      </c>
      <c r="AG318" s="21">
        <v>0</v>
      </c>
      <c r="AH318" s="21">
        <v>0</v>
      </c>
      <c r="AI318" s="21">
        <v>0</v>
      </c>
      <c r="AJ318" s="21" t="s">
        <v>638</v>
      </c>
      <c r="AK318" s="21">
        <v>0</v>
      </c>
      <c r="AL318" s="21">
        <v>0</v>
      </c>
      <c r="AM318" s="21">
        <v>0</v>
      </c>
      <c r="AN318" s="21">
        <v>0</v>
      </c>
      <c r="AO318" s="21">
        <v>0</v>
      </c>
      <c r="AP318" s="21"/>
      <c r="AQ318" s="21">
        <v>0</v>
      </c>
      <c r="AR318" s="21">
        <v>0</v>
      </c>
      <c r="AS318" s="21">
        <v>38942.46</v>
      </c>
      <c r="AT318" s="21" t="s">
        <v>169</v>
      </c>
      <c r="AU318" s="21" t="s">
        <v>175</v>
      </c>
      <c r="AV318" s="21" t="s">
        <v>159</v>
      </c>
      <c r="AW318" s="21" t="s">
        <v>639</v>
      </c>
      <c r="AX318" s="21" t="s">
        <v>640</v>
      </c>
      <c r="AY318" s="21">
        <v>0</v>
      </c>
      <c r="AZ318" s="21">
        <v>33002.080000000002</v>
      </c>
      <c r="BA318" s="21">
        <v>497</v>
      </c>
      <c r="BB318" s="21" t="s">
        <v>1221</v>
      </c>
      <c r="BC318" s="21" t="s">
        <v>176</v>
      </c>
      <c r="BD318" s="21" t="s">
        <v>641</v>
      </c>
      <c r="BE318" s="21" t="s">
        <v>641</v>
      </c>
      <c r="BF318" s="21">
        <v>9</v>
      </c>
      <c r="BG318" s="21">
        <v>2970.19</v>
      </c>
      <c r="BH318" s="21">
        <v>9</v>
      </c>
      <c r="BI318" s="21">
        <v>2970.19</v>
      </c>
      <c r="BJ318" s="21">
        <v>0</v>
      </c>
      <c r="BK318" s="21">
        <v>0</v>
      </c>
      <c r="BL318" s="21">
        <v>38942.46</v>
      </c>
      <c r="BM318" s="21">
        <v>612173330613</v>
      </c>
      <c r="BN318" s="23">
        <v>46265</v>
      </c>
      <c r="BO318" s="21">
        <v>186.6</v>
      </c>
    </row>
    <row r="319" spans="1:67" x14ac:dyDescent="0.25">
      <c r="A319" s="22"/>
      <c r="B319" s="21" t="s">
        <v>167</v>
      </c>
      <c r="C319" s="21" t="s">
        <v>1221</v>
      </c>
      <c r="D319" s="21" t="s">
        <v>1226</v>
      </c>
      <c r="E319" s="21" t="s">
        <v>955</v>
      </c>
      <c r="F319" s="21" t="s">
        <v>956</v>
      </c>
      <c r="G319" s="21" t="s">
        <v>1227</v>
      </c>
      <c r="H319" s="21">
        <v>75</v>
      </c>
      <c r="I319" s="21">
        <v>75</v>
      </c>
      <c r="J319" s="21" t="s">
        <v>168</v>
      </c>
      <c r="K319" s="21">
        <v>75</v>
      </c>
      <c r="L319" s="21">
        <v>0</v>
      </c>
      <c r="M319" s="21">
        <v>75</v>
      </c>
      <c r="N319" s="21" t="s">
        <v>174</v>
      </c>
      <c r="O319" s="21" t="s">
        <v>633</v>
      </c>
      <c r="P319" s="21" t="s">
        <v>633</v>
      </c>
      <c r="Q319" s="21" t="s">
        <v>1228</v>
      </c>
      <c r="R319" s="21" t="s">
        <v>1221</v>
      </c>
      <c r="S319" s="21" t="s">
        <v>635</v>
      </c>
      <c r="T319" s="21" t="s">
        <v>636</v>
      </c>
      <c r="U319" s="21" t="s">
        <v>1229</v>
      </c>
      <c r="V319" s="21">
        <v>272</v>
      </c>
      <c r="W319" s="21">
        <v>272</v>
      </c>
      <c r="X319" s="21" t="s">
        <v>1228</v>
      </c>
      <c r="Y319" s="21" t="s">
        <v>1221</v>
      </c>
      <c r="Z319" s="21"/>
      <c r="AA319" s="21">
        <v>0</v>
      </c>
      <c r="AB319" s="21"/>
      <c r="AC319" s="21">
        <v>0</v>
      </c>
      <c r="AD319" s="21">
        <v>0</v>
      </c>
      <c r="AE319" s="21">
        <v>0</v>
      </c>
      <c r="AF319" s="21">
        <v>0</v>
      </c>
      <c r="AG319" s="21">
        <v>0</v>
      </c>
      <c r="AH319" s="21">
        <v>0</v>
      </c>
      <c r="AI319" s="21">
        <v>0</v>
      </c>
      <c r="AJ319" s="21" t="s">
        <v>638</v>
      </c>
      <c r="AK319" s="21">
        <v>0</v>
      </c>
      <c r="AL319" s="21">
        <v>0</v>
      </c>
      <c r="AM319" s="21">
        <v>0</v>
      </c>
      <c r="AN319" s="21">
        <v>0</v>
      </c>
      <c r="AO319" s="21">
        <v>0</v>
      </c>
      <c r="AP319" s="21"/>
      <c r="AQ319" s="21">
        <v>0</v>
      </c>
      <c r="AR319" s="21">
        <v>0</v>
      </c>
      <c r="AS319" s="21">
        <v>159477</v>
      </c>
      <c r="AT319" s="21" t="s">
        <v>639</v>
      </c>
      <c r="AU319" s="21" t="s">
        <v>648</v>
      </c>
      <c r="AV319" s="21" t="s">
        <v>313</v>
      </c>
      <c r="AW319" s="21" t="s">
        <v>639</v>
      </c>
      <c r="AX319" s="21" t="s">
        <v>640</v>
      </c>
      <c r="AY319" s="21">
        <v>0</v>
      </c>
      <c r="AZ319" s="21">
        <v>20400</v>
      </c>
      <c r="BA319" s="21">
        <v>498</v>
      </c>
      <c r="BB319" s="21" t="s">
        <v>1221</v>
      </c>
      <c r="BC319" s="21" t="s">
        <v>176</v>
      </c>
      <c r="BD319" s="21" t="s">
        <v>641</v>
      </c>
      <c r="BE319" s="21" t="s">
        <v>641</v>
      </c>
      <c r="BF319" s="21">
        <v>9</v>
      </c>
      <c r="BG319" s="21">
        <v>1836</v>
      </c>
      <c r="BH319" s="21">
        <v>9</v>
      </c>
      <c r="BI319" s="21">
        <v>1836</v>
      </c>
      <c r="BJ319" s="21">
        <v>0</v>
      </c>
      <c r="BK319" s="21">
        <v>0</v>
      </c>
      <c r="BL319" s="21">
        <v>159477</v>
      </c>
      <c r="BM319" s="21">
        <v>652173310109</v>
      </c>
      <c r="BN319" s="23">
        <v>46265</v>
      </c>
      <c r="BO319" s="21">
        <v>75</v>
      </c>
    </row>
    <row r="320" spans="1:67" hidden="1" x14ac:dyDescent="0.25">
      <c r="A320" s="22"/>
      <c r="B320" s="21" t="s">
        <v>167</v>
      </c>
      <c r="C320" s="21" t="s">
        <v>1221</v>
      </c>
      <c r="D320" s="21" t="s">
        <v>1226</v>
      </c>
      <c r="E320" s="21" t="s">
        <v>709</v>
      </c>
      <c r="F320" s="21" t="s">
        <v>710</v>
      </c>
      <c r="G320" s="21" t="s">
        <v>1227</v>
      </c>
      <c r="H320" s="21">
        <v>500</v>
      </c>
      <c r="I320" s="21">
        <v>500</v>
      </c>
      <c r="J320" s="21" t="s">
        <v>168</v>
      </c>
      <c r="K320" s="21">
        <v>500</v>
      </c>
      <c r="L320" s="21">
        <v>0</v>
      </c>
      <c r="M320" s="21">
        <v>500</v>
      </c>
      <c r="N320" s="21" t="s">
        <v>174</v>
      </c>
      <c r="O320" s="21" t="s">
        <v>633</v>
      </c>
      <c r="P320" s="21" t="s">
        <v>633</v>
      </c>
      <c r="Q320" s="21" t="s">
        <v>1228</v>
      </c>
      <c r="R320" s="21" t="s">
        <v>1221</v>
      </c>
      <c r="S320" s="21" t="s">
        <v>635</v>
      </c>
      <c r="T320" s="21" t="s">
        <v>636</v>
      </c>
      <c r="U320" s="21" t="s">
        <v>1229</v>
      </c>
      <c r="V320" s="21">
        <v>183</v>
      </c>
      <c r="W320" s="21">
        <v>183</v>
      </c>
      <c r="X320" s="21" t="s">
        <v>1228</v>
      </c>
      <c r="Y320" s="21" t="s">
        <v>1221</v>
      </c>
      <c r="Z320" s="21"/>
      <c r="AA320" s="21">
        <v>0</v>
      </c>
      <c r="AB320" s="21"/>
      <c r="AC320" s="21">
        <v>0</v>
      </c>
      <c r="AD320" s="21">
        <v>0</v>
      </c>
      <c r="AE320" s="21">
        <v>0</v>
      </c>
      <c r="AF320" s="21">
        <v>0</v>
      </c>
      <c r="AG320" s="21">
        <v>0</v>
      </c>
      <c r="AH320" s="21">
        <v>0</v>
      </c>
      <c r="AI320" s="21">
        <v>0</v>
      </c>
      <c r="AJ320" s="21" t="s">
        <v>638</v>
      </c>
      <c r="AK320" s="21">
        <v>0</v>
      </c>
      <c r="AL320" s="21">
        <v>0</v>
      </c>
      <c r="AM320" s="21">
        <v>0</v>
      </c>
      <c r="AN320" s="21">
        <v>0</v>
      </c>
      <c r="AO320" s="21">
        <v>0</v>
      </c>
      <c r="AP320" s="21"/>
      <c r="AQ320" s="21">
        <v>0</v>
      </c>
      <c r="AR320" s="21">
        <v>0</v>
      </c>
      <c r="AS320" s="21">
        <v>159477</v>
      </c>
      <c r="AT320" s="21" t="s">
        <v>639</v>
      </c>
      <c r="AU320" s="21" t="s">
        <v>648</v>
      </c>
      <c r="AV320" s="21" t="s">
        <v>313</v>
      </c>
      <c r="AW320" s="21" t="s">
        <v>639</v>
      </c>
      <c r="AX320" s="21" t="s">
        <v>640</v>
      </c>
      <c r="AY320" s="21">
        <v>0</v>
      </c>
      <c r="AZ320" s="21">
        <v>91500</v>
      </c>
      <c r="BA320" s="21">
        <v>498</v>
      </c>
      <c r="BB320" s="21" t="s">
        <v>1221</v>
      </c>
      <c r="BC320" s="21" t="s">
        <v>176</v>
      </c>
      <c r="BD320" s="21" t="s">
        <v>641</v>
      </c>
      <c r="BE320" s="21" t="s">
        <v>641</v>
      </c>
      <c r="BF320" s="21">
        <v>9</v>
      </c>
      <c r="BG320" s="21">
        <v>8235</v>
      </c>
      <c r="BH320" s="21">
        <v>9</v>
      </c>
      <c r="BI320" s="21">
        <v>8235</v>
      </c>
      <c r="BJ320" s="21">
        <v>0</v>
      </c>
      <c r="BK320" s="21">
        <v>0</v>
      </c>
      <c r="BL320" s="21">
        <v>0</v>
      </c>
      <c r="BM320" s="21">
        <v>652173310109</v>
      </c>
      <c r="BN320" s="23">
        <v>46265</v>
      </c>
      <c r="BO320" s="21">
        <v>500</v>
      </c>
    </row>
    <row r="321" spans="1:67" x14ac:dyDescent="0.25">
      <c r="A321" s="22"/>
      <c r="B321" s="21" t="s">
        <v>167</v>
      </c>
      <c r="C321" s="21" t="s">
        <v>1221</v>
      </c>
      <c r="D321" s="21" t="s">
        <v>1226</v>
      </c>
      <c r="E321" s="21" t="s">
        <v>962</v>
      </c>
      <c r="F321" s="21" t="s">
        <v>963</v>
      </c>
      <c r="G321" s="21" t="s">
        <v>1227</v>
      </c>
      <c r="H321" s="21">
        <v>150</v>
      </c>
      <c r="I321" s="21">
        <v>150</v>
      </c>
      <c r="J321" s="21" t="s">
        <v>168</v>
      </c>
      <c r="K321" s="21">
        <v>150</v>
      </c>
      <c r="L321" s="21">
        <v>0</v>
      </c>
      <c r="M321" s="21">
        <v>150</v>
      </c>
      <c r="N321" s="21" t="s">
        <v>174</v>
      </c>
      <c r="O321" s="21" t="s">
        <v>633</v>
      </c>
      <c r="P321" s="21" t="s">
        <v>633</v>
      </c>
      <c r="Q321" s="21" t="s">
        <v>1228</v>
      </c>
      <c r="R321" s="21" t="s">
        <v>1221</v>
      </c>
      <c r="S321" s="21" t="s">
        <v>635</v>
      </c>
      <c r="T321" s="21" t="s">
        <v>636</v>
      </c>
      <c r="U321" s="21" t="s">
        <v>1229</v>
      </c>
      <c r="V321" s="21">
        <v>155</v>
      </c>
      <c r="W321" s="21">
        <v>155</v>
      </c>
      <c r="X321" s="21" t="s">
        <v>1228</v>
      </c>
      <c r="Y321" s="21" t="s">
        <v>1221</v>
      </c>
      <c r="Z321" s="21"/>
      <c r="AA321" s="21">
        <v>0</v>
      </c>
      <c r="AB321" s="21"/>
      <c r="AC321" s="21">
        <v>0</v>
      </c>
      <c r="AD321" s="21">
        <v>0</v>
      </c>
      <c r="AE321" s="21">
        <v>0</v>
      </c>
      <c r="AF321" s="21">
        <v>0</v>
      </c>
      <c r="AG321" s="21">
        <v>0</v>
      </c>
      <c r="AH321" s="21">
        <v>0</v>
      </c>
      <c r="AI321" s="21">
        <v>0</v>
      </c>
      <c r="AJ321" s="21" t="s">
        <v>638</v>
      </c>
      <c r="AK321" s="21">
        <v>0</v>
      </c>
      <c r="AL321" s="21">
        <v>0</v>
      </c>
      <c r="AM321" s="21">
        <v>0</v>
      </c>
      <c r="AN321" s="21">
        <v>0</v>
      </c>
      <c r="AO321" s="21">
        <v>0</v>
      </c>
      <c r="AP321" s="21"/>
      <c r="AQ321" s="21">
        <v>0</v>
      </c>
      <c r="AR321" s="21">
        <v>0</v>
      </c>
      <c r="AS321" s="21">
        <v>159477</v>
      </c>
      <c r="AT321" s="21" t="s">
        <v>639</v>
      </c>
      <c r="AU321" s="21" t="s">
        <v>648</v>
      </c>
      <c r="AV321" s="21" t="s">
        <v>313</v>
      </c>
      <c r="AW321" s="21" t="s">
        <v>639</v>
      </c>
      <c r="AX321" s="21"/>
      <c r="AY321" s="21">
        <v>0</v>
      </c>
      <c r="AZ321" s="21">
        <v>23250</v>
      </c>
      <c r="BA321" s="21">
        <v>498</v>
      </c>
      <c r="BB321" s="21" t="s">
        <v>1221</v>
      </c>
      <c r="BC321" s="21" t="s">
        <v>176</v>
      </c>
      <c r="BD321" s="21" t="s">
        <v>641</v>
      </c>
      <c r="BE321" s="21" t="s">
        <v>641</v>
      </c>
      <c r="BF321" s="21">
        <v>9</v>
      </c>
      <c r="BG321" s="21">
        <v>2092.5</v>
      </c>
      <c r="BH321" s="21">
        <v>9</v>
      </c>
      <c r="BI321" s="21">
        <v>2092.5</v>
      </c>
      <c r="BJ321" s="21">
        <v>0</v>
      </c>
      <c r="BK321" s="21">
        <v>0</v>
      </c>
      <c r="BL321" s="21">
        <v>0</v>
      </c>
      <c r="BM321" s="21">
        <v>652173310109</v>
      </c>
      <c r="BN321" s="23">
        <v>46265</v>
      </c>
      <c r="BO321" s="21">
        <v>150</v>
      </c>
    </row>
    <row r="322" spans="1:67" hidden="1" x14ac:dyDescent="0.25">
      <c r="A322" s="22"/>
      <c r="B322" s="21" t="s">
        <v>167</v>
      </c>
      <c r="C322" s="21" t="s">
        <v>1221</v>
      </c>
      <c r="D322" s="21" t="s">
        <v>1230</v>
      </c>
      <c r="E322" s="21" t="s">
        <v>192</v>
      </c>
      <c r="F322" s="21" t="s">
        <v>161</v>
      </c>
      <c r="G322" s="21" t="s">
        <v>1231</v>
      </c>
      <c r="H322" s="21">
        <v>848</v>
      </c>
      <c r="I322" s="21">
        <v>848</v>
      </c>
      <c r="J322" s="21" t="s">
        <v>168</v>
      </c>
      <c r="K322" s="21">
        <v>848</v>
      </c>
      <c r="L322" s="21">
        <v>0</v>
      </c>
      <c r="M322" s="21">
        <v>848</v>
      </c>
      <c r="N322" s="21" t="s">
        <v>174</v>
      </c>
      <c r="O322" s="21" t="s">
        <v>633</v>
      </c>
      <c r="P322" s="21" t="s">
        <v>633</v>
      </c>
      <c r="Q322" s="21" t="s">
        <v>1232</v>
      </c>
      <c r="R322" s="21" t="s">
        <v>1221</v>
      </c>
      <c r="S322" s="21" t="s">
        <v>635</v>
      </c>
      <c r="T322" s="21" t="s">
        <v>636</v>
      </c>
      <c r="U322" s="21" t="s">
        <v>1233</v>
      </c>
      <c r="V322" s="21">
        <v>135.32</v>
      </c>
      <c r="W322" s="21">
        <v>135.31999870682799</v>
      </c>
      <c r="X322" s="21" t="s">
        <v>1232</v>
      </c>
      <c r="Y322" s="21" t="s">
        <v>1221</v>
      </c>
      <c r="Z322" s="21"/>
      <c r="AA322" s="21">
        <v>0</v>
      </c>
      <c r="AB322" s="21"/>
      <c r="AC322" s="21">
        <v>0</v>
      </c>
      <c r="AD322" s="21">
        <v>0</v>
      </c>
      <c r="AE322" s="21">
        <v>0</v>
      </c>
      <c r="AF322" s="21">
        <v>0</v>
      </c>
      <c r="AG322" s="21">
        <v>0</v>
      </c>
      <c r="AH322" s="21">
        <v>0</v>
      </c>
      <c r="AI322" s="21">
        <v>0</v>
      </c>
      <c r="AJ322" s="21" t="s">
        <v>638</v>
      </c>
      <c r="AK322" s="21">
        <v>0</v>
      </c>
      <c r="AL322" s="21">
        <v>0</v>
      </c>
      <c r="AM322" s="21">
        <v>0</v>
      </c>
      <c r="AN322" s="21">
        <v>0</v>
      </c>
      <c r="AO322" s="21">
        <v>0</v>
      </c>
      <c r="AP322" s="21"/>
      <c r="AQ322" s="21">
        <v>0</v>
      </c>
      <c r="AR322" s="21">
        <v>0</v>
      </c>
      <c r="AS322" s="21">
        <v>837135.34</v>
      </c>
      <c r="AT322" s="21" t="s">
        <v>169</v>
      </c>
      <c r="AU322" s="21" t="s">
        <v>193</v>
      </c>
      <c r="AV322" s="21" t="s">
        <v>161</v>
      </c>
      <c r="AW322" s="21" t="s">
        <v>639</v>
      </c>
      <c r="AX322" s="21" t="s">
        <v>640</v>
      </c>
      <c r="AY322" s="21">
        <v>0</v>
      </c>
      <c r="AZ322" s="21">
        <v>114751.36</v>
      </c>
      <c r="BA322" s="21">
        <v>496</v>
      </c>
      <c r="BB322" s="21" t="s">
        <v>1221</v>
      </c>
      <c r="BC322" s="21" t="s">
        <v>176</v>
      </c>
      <c r="BD322" s="21" t="s">
        <v>641</v>
      </c>
      <c r="BE322" s="21" t="s">
        <v>641</v>
      </c>
      <c r="BF322" s="21">
        <v>9</v>
      </c>
      <c r="BG322" s="21">
        <v>10327.620000000001</v>
      </c>
      <c r="BH322" s="21">
        <v>9</v>
      </c>
      <c r="BI322" s="21">
        <v>10327.620000000001</v>
      </c>
      <c r="BJ322" s="21">
        <v>0</v>
      </c>
      <c r="BK322" s="21">
        <v>0</v>
      </c>
      <c r="BL322" s="21">
        <v>837135.34</v>
      </c>
      <c r="BM322" s="21">
        <v>672173290188</v>
      </c>
      <c r="BN322" s="23">
        <v>46265</v>
      </c>
      <c r="BO322" s="21">
        <v>848</v>
      </c>
    </row>
    <row r="323" spans="1:67" hidden="1" x14ac:dyDescent="0.25">
      <c r="A323" s="22"/>
      <c r="B323" s="21" t="s">
        <v>167</v>
      </c>
      <c r="C323" s="21" t="s">
        <v>1221</v>
      </c>
      <c r="D323" s="21" t="s">
        <v>1230</v>
      </c>
      <c r="E323" s="21" t="s">
        <v>180</v>
      </c>
      <c r="F323" s="21" t="s">
        <v>181</v>
      </c>
      <c r="G323" s="21" t="s">
        <v>1231</v>
      </c>
      <c r="H323" s="21">
        <v>170.2</v>
      </c>
      <c r="I323" s="21">
        <v>170.2</v>
      </c>
      <c r="J323" s="21" t="s">
        <v>168</v>
      </c>
      <c r="K323" s="21">
        <v>170.2</v>
      </c>
      <c r="L323" s="21">
        <v>0</v>
      </c>
      <c r="M323" s="21">
        <v>170.2</v>
      </c>
      <c r="N323" s="21" t="s">
        <v>174</v>
      </c>
      <c r="O323" s="21" t="s">
        <v>633</v>
      </c>
      <c r="P323" s="21" t="s">
        <v>633</v>
      </c>
      <c r="Q323" s="21" t="s">
        <v>1232</v>
      </c>
      <c r="R323" s="21" t="s">
        <v>1221</v>
      </c>
      <c r="S323" s="21" t="s">
        <v>635</v>
      </c>
      <c r="T323" s="21" t="s">
        <v>636</v>
      </c>
      <c r="U323" s="21" t="s">
        <v>1233</v>
      </c>
      <c r="V323" s="21">
        <v>165.32</v>
      </c>
      <c r="W323" s="21">
        <v>165.31999842013599</v>
      </c>
      <c r="X323" s="21" t="s">
        <v>1232</v>
      </c>
      <c r="Y323" s="21" t="s">
        <v>1221</v>
      </c>
      <c r="Z323" s="21"/>
      <c r="AA323" s="21">
        <v>0</v>
      </c>
      <c r="AB323" s="21"/>
      <c r="AC323" s="21">
        <v>0</v>
      </c>
      <c r="AD323" s="21">
        <v>0</v>
      </c>
      <c r="AE323" s="21">
        <v>0</v>
      </c>
      <c r="AF323" s="21">
        <v>0</v>
      </c>
      <c r="AG323" s="21">
        <v>0</v>
      </c>
      <c r="AH323" s="21">
        <v>0</v>
      </c>
      <c r="AI323" s="21">
        <v>0</v>
      </c>
      <c r="AJ323" s="21" t="s">
        <v>638</v>
      </c>
      <c r="AK323" s="21">
        <v>0</v>
      </c>
      <c r="AL323" s="21">
        <v>0</v>
      </c>
      <c r="AM323" s="21">
        <v>0</v>
      </c>
      <c r="AN323" s="21">
        <v>0</v>
      </c>
      <c r="AO323" s="21">
        <v>0</v>
      </c>
      <c r="AP323" s="21"/>
      <c r="AQ323" s="21">
        <v>0</v>
      </c>
      <c r="AR323" s="21">
        <v>0</v>
      </c>
      <c r="AS323" s="21">
        <v>837135.34</v>
      </c>
      <c r="AT323" s="21" t="s">
        <v>169</v>
      </c>
      <c r="AU323" s="21" t="s">
        <v>181</v>
      </c>
      <c r="AV323" s="21" t="s">
        <v>154</v>
      </c>
      <c r="AW323" s="21" t="s">
        <v>639</v>
      </c>
      <c r="AX323" s="21" t="s">
        <v>640</v>
      </c>
      <c r="AY323" s="21">
        <v>0</v>
      </c>
      <c r="AZ323" s="21">
        <v>28137.46</v>
      </c>
      <c r="BA323" s="21">
        <v>496</v>
      </c>
      <c r="BB323" s="21" t="s">
        <v>1221</v>
      </c>
      <c r="BC323" s="21" t="s">
        <v>176</v>
      </c>
      <c r="BD323" s="21" t="s">
        <v>641</v>
      </c>
      <c r="BE323" s="21" t="s">
        <v>641</v>
      </c>
      <c r="BF323" s="21">
        <v>9</v>
      </c>
      <c r="BG323" s="21">
        <v>2532.37</v>
      </c>
      <c r="BH323" s="21">
        <v>9</v>
      </c>
      <c r="BI323" s="21">
        <v>2532.37</v>
      </c>
      <c r="BJ323" s="21">
        <v>0</v>
      </c>
      <c r="BK323" s="21">
        <v>0</v>
      </c>
      <c r="BL323" s="21">
        <v>0</v>
      </c>
      <c r="BM323" s="21">
        <v>672173290188</v>
      </c>
      <c r="BN323" s="23">
        <v>46265</v>
      </c>
      <c r="BO323" s="21">
        <v>170.2</v>
      </c>
    </row>
    <row r="324" spans="1:67" hidden="1" x14ac:dyDescent="0.25">
      <c r="A324" s="22"/>
      <c r="B324" s="21" t="s">
        <v>167</v>
      </c>
      <c r="C324" s="21" t="s">
        <v>1221</v>
      </c>
      <c r="D324" s="21" t="s">
        <v>1230</v>
      </c>
      <c r="E324" s="21" t="s">
        <v>180</v>
      </c>
      <c r="F324" s="21" t="s">
        <v>181</v>
      </c>
      <c r="G324" s="21" t="s">
        <v>1231</v>
      </c>
      <c r="H324" s="21">
        <v>53.1</v>
      </c>
      <c r="I324" s="21">
        <v>53.1</v>
      </c>
      <c r="J324" s="21" t="s">
        <v>168</v>
      </c>
      <c r="K324" s="21">
        <v>53.1</v>
      </c>
      <c r="L324" s="21">
        <v>0</v>
      </c>
      <c r="M324" s="21">
        <v>53.1</v>
      </c>
      <c r="N324" s="21" t="s">
        <v>174</v>
      </c>
      <c r="O324" s="21" t="s">
        <v>633</v>
      </c>
      <c r="P324" s="21" t="s">
        <v>633</v>
      </c>
      <c r="Q324" s="21" t="s">
        <v>1232</v>
      </c>
      <c r="R324" s="21" t="s">
        <v>1221</v>
      </c>
      <c r="S324" s="21" t="s">
        <v>635</v>
      </c>
      <c r="T324" s="21" t="s">
        <v>636</v>
      </c>
      <c r="U324" s="21" t="s">
        <v>1233</v>
      </c>
      <c r="V324" s="21">
        <v>144.32</v>
      </c>
      <c r="W324" s="21">
        <v>144.31999862082</v>
      </c>
      <c r="X324" s="21" t="s">
        <v>1232</v>
      </c>
      <c r="Y324" s="21" t="s">
        <v>1221</v>
      </c>
      <c r="Z324" s="21"/>
      <c r="AA324" s="21">
        <v>0</v>
      </c>
      <c r="AB324" s="21"/>
      <c r="AC324" s="21">
        <v>0</v>
      </c>
      <c r="AD324" s="21">
        <v>0</v>
      </c>
      <c r="AE324" s="21">
        <v>0</v>
      </c>
      <c r="AF324" s="21">
        <v>0</v>
      </c>
      <c r="AG324" s="21">
        <v>0</v>
      </c>
      <c r="AH324" s="21">
        <v>0</v>
      </c>
      <c r="AI324" s="21">
        <v>0</v>
      </c>
      <c r="AJ324" s="21" t="s">
        <v>638</v>
      </c>
      <c r="AK324" s="21">
        <v>0</v>
      </c>
      <c r="AL324" s="21">
        <v>0</v>
      </c>
      <c r="AM324" s="21">
        <v>0</v>
      </c>
      <c r="AN324" s="21">
        <v>0</v>
      </c>
      <c r="AO324" s="21">
        <v>0</v>
      </c>
      <c r="AP324" s="21"/>
      <c r="AQ324" s="21">
        <v>0</v>
      </c>
      <c r="AR324" s="21">
        <v>0</v>
      </c>
      <c r="AS324" s="21">
        <v>837135.34</v>
      </c>
      <c r="AT324" s="21" t="s">
        <v>169</v>
      </c>
      <c r="AU324" s="21" t="s">
        <v>181</v>
      </c>
      <c r="AV324" s="21" t="s">
        <v>154</v>
      </c>
      <c r="AW324" s="21" t="s">
        <v>639</v>
      </c>
      <c r="AX324" s="21" t="s">
        <v>640</v>
      </c>
      <c r="AY324" s="21">
        <v>0</v>
      </c>
      <c r="AZ324" s="21">
        <v>7663.39</v>
      </c>
      <c r="BA324" s="21">
        <v>496</v>
      </c>
      <c r="BB324" s="21" t="s">
        <v>1221</v>
      </c>
      <c r="BC324" s="21" t="s">
        <v>176</v>
      </c>
      <c r="BD324" s="21" t="s">
        <v>641</v>
      </c>
      <c r="BE324" s="21" t="s">
        <v>641</v>
      </c>
      <c r="BF324" s="21">
        <v>9</v>
      </c>
      <c r="BG324" s="21">
        <v>689.71</v>
      </c>
      <c r="BH324" s="21">
        <v>9</v>
      </c>
      <c r="BI324" s="21">
        <v>689.71</v>
      </c>
      <c r="BJ324" s="21">
        <v>0</v>
      </c>
      <c r="BK324" s="21">
        <v>0</v>
      </c>
      <c r="BL324" s="21">
        <v>0</v>
      </c>
      <c r="BM324" s="21">
        <v>672173290188</v>
      </c>
      <c r="BN324" s="23">
        <v>46265</v>
      </c>
      <c r="BO324" s="21">
        <v>53.1</v>
      </c>
    </row>
    <row r="325" spans="1:67" hidden="1" x14ac:dyDescent="0.25">
      <c r="A325" s="22"/>
      <c r="B325" s="21" t="s">
        <v>167</v>
      </c>
      <c r="C325" s="21" t="s">
        <v>1221</v>
      </c>
      <c r="D325" s="21" t="s">
        <v>1230</v>
      </c>
      <c r="E325" s="21" t="s">
        <v>180</v>
      </c>
      <c r="F325" s="21" t="s">
        <v>181</v>
      </c>
      <c r="G325" s="21" t="s">
        <v>1231</v>
      </c>
      <c r="H325" s="21">
        <v>677.1</v>
      </c>
      <c r="I325" s="21">
        <v>677.1</v>
      </c>
      <c r="J325" s="21" t="s">
        <v>168</v>
      </c>
      <c r="K325" s="21">
        <v>677.1</v>
      </c>
      <c r="L325" s="21">
        <v>0</v>
      </c>
      <c r="M325" s="21">
        <v>677.1</v>
      </c>
      <c r="N325" s="21" t="s">
        <v>174</v>
      </c>
      <c r="O325" s="21" t="s">
        <v>633</v>
      </c>
      <c r="P325" s="21" t="s">
        <v>633</v>
      </c>
      <c r="Q325" s="21" t="s">
        <v>1232</v>
      </c>
      <c r="R325" s="21" t="s">
        <v>1221</v>
      </c>
      <c r="S325" s="21" t="s">
        <v>635</v>
      </c>
      <c r="T325" s="21" t="s">
        <v>636</v>
      </c>
      <c r="U325" s="21" t="s">
        <v>1233</v>
      </c>
      <c r="V325" s="21">
        <v>147.32</v>
      </c>
      <c r="W325" s="21">
        <v>147.31999859215099</v>
      </c>
      <c r="X325" s="21" t="s">
        <v>1232</v>
      </c>
      <c r="Y325" s="21" t="s">
        <v>1221</v>
      </c>
      <c r="Z325" s="21"/>
      <c r="AA325" s="21">
        <v>0</v>
      </c>
      <c r="AB325" s="21"/>
      <c r="AC325" s="21">
        <v>0</v>
      </c>
      <c r="AD325" s="21">
        <v>0</v>
      </c>
      <c r="AE325" s="21">
        <v>0</v>
      </c>
      <c r="AF325" s="21">
        <v>0</v>
      </c>
      <c r="AG325" s="21">
        <v>0</v>
      </c>
      <c r="AH325" s="21">
        <v>0</v>
      </c>
      <c r="AI325" s="21">
        <v>0</v>
      </c>
      <c r="AJ325" s="21" t="s">
        <v>638</v>
      </c>
      <c r="AK325" s="21">
        <v>0</v>
      </c>
      <c r="AL325" s="21">
        <v>0</v>
      </c>
      <c r="AM325" s="21">
        <v>0</v>
      </c>
      <c r="AN325" s="21">
        <v>0</v>
      </c>
      <c r="AO325" s="21">
        <v>0</v>
      </c>
      <c r="AP325" s="21"/>
      <c r="AQ325" s="21">
        <v>0</v>
      </c>
      <c r="AR325" s="21">
        <v>0</v>
      </c>
      <c r="AS325" s="21">
        <v>837135.34</v>
      </c>
      <c r="AT325" s="21" t="s">
        <v>169</v>
      </c>
      <c r="AU325" s="21" t="s">
        <v>181</v>
      </c>
      <c r="AV325" s="21" t="s">
        <v>154</v>
      </c>
      <c r="AW325" s="21" t="s">
        <v>639</v>
      </c>
      <c r="AX325" s="21" t="s">
        <v>640</v>
      </c>
      <c r="AY325" s="21">
        <v>0</v>
      </c>
      <c r="AZ325" s="21">
        <v>99750.37</v>
      </c>
      <c r="BA325" s="21">
        <v>496</v>
      </c>
      <c r="BB325" s="21" t="s">
        <v>1221</v>
      </c>
      <c r="BC325" s="21" t="s">
        <v>176</v>
      </c>
      <c r="BD325" s="21" t="s">
        <v>641</v>
      </c>
      <c r="BE325" s="21" t="s">
        <v>641</v>
      </c>
      <c r="BF325" s="21">
        <v>9</v>
      </c>
      <c r="BG325" s="21">
        <v>8977.5300000000007</v>
      </c>
      <c r="BH325" s="21">
        <v>9</v>
      </c>
      <c r="BI325" s="21">
        <v>8977.5300000000007</v>
      </c>
      <c r="BJ325" s="21">
        <v>0</v>
      </c>
      <c r="BK325" s="21">
        <v>0</v>
      </c>
      <c r="BL325" s="21">
        <v>0</v>
      </c>
      <c r="BM325" s="21">
        <v>672173290188</v>
      </c>
      <c r="BN325" s="23">
        <v>46265</v>
      </c>
      <c r="BO325" s="21">
        <v>677.1</v>
      </c>
    </row>
    <row r="326" spans="1:67" hidden="1" x14ac:dyDescent="0.25">
      <c r="A326" s="22"/>
      <c r="B326" s="21" t="s">
        <v>167</v>
      </c>
      <c r="C326" s="21" t="s">
        <v>1221</v>
      </c>
      <c r="D326" s="21" t="s">
        <v>1230</v>
      </c>
      <c r="E326" s="21" t="s">
        <v>177</v>
      </c>
      <c r="F326" s="21" t="s">
        <v>178</v>
      </c>
      <c r="G326" s="21" t="s">
        <v>1231</v>
      </c>
      <c r="H326" s="21">
        <v>1396</v>
      </c>
      <c r="I326" s="21">
        <v>1396</v>
      </c>
      <c r="J326" s="21" t="s">
        <v>168</v>
      </c>
      <c r="K326" s="21">
        <v>1396</v>
      </c>
      <c r="L326" s="21">
        <v>0</v>
      </c>
      <c r="M326" s="21">
        <v>1396</v>
      </c>
      <c r="N326" s="21" t="s">
        <v>174</v>
      </c>
      <c r="O326" s="21" t="s">
        <v>633</v>
      </c>
      <c r="P326" s="21" t="s">
        <v>633</v>
      </c>
      <c r="Q326" s="21" t="s">
        <v>1232</v>
      </c>
      <c r="R326" s="21" t="s">
        <v>1221</v>
      </c>
      <c r="S326" s="21" t="s">
        <v>635</v>
      </c>
      <c r="T326" s="21" t="s">
        <v>636</v>
      </c>
      <c r="U326" s="21" t="s">
        <v>1233</v>
      </c>
      <c r="V326" s="21">
        <v>149.32</v>
      </c>
      <c r="W326" s="21">
        <v>149.31999857303799</v>
      </c>
      <c r="X326" s="21" t="s">
        <v>1232</v>
      </c>
      <c r="Y326" s="21" t="s">
        <v>1221</v>
      </c>
      <c r="Z326" s="21"/>
      <c r="AA326" s="21">
        <v>0</v>
      </c>
      <c r="AB326" s="21"/>
      <c r="AC326" s="21">
        <v>0</v>
      </c>
      <c r="AD326" s="21">
        <v>0</v>
      </c>
      <c r="AE326" s="21">
        <v>0</v>
      </c>
      <c r="AF326" s="21">
        <v>0</v>
      </c>
      <c r="AG326" s="21">
        <v>0</v>
      </c>
      <c r="AH326" s="21">
        <v>0</v>
      </c>
      <c r="AI326" s="21">
        <v>0</v>
      </c>
      <c r="AJ326" s="21" t="s">
        <v>638</v>
      </c>
      <c r="AK326" s="21">
        <v>0</v>
      </c>
      <c r="AL326" s="21">
        <v>0</v>
      </c>
      <c r="AM326" s="21">
        <v>0</v>
      </c>
      <c r="AN326" s="21">
        <v>0</v>
      </c>
      <c r="AO326" s="21">
        <v>0</v>
      </c>
      <c r="AP326" s="21"/>
      <c r="AQ326" s="21">
        <v>0</v>
      </c>
      <c r="AR326" s="21">
        <v>0</v>
      </c>
      <c r="AS326" s="21">
        <v>837135.34</v>
      </c>
      <c r="AT326" s="21" t="s">
        <v>169</v>
      </c>
      <c r="AU326" s="21" t="s">
        <v>179</v>
      </c>
      <c r="AV326" s="21" t="s">
        <v>156</v>
      </c>
      <c r="AW326" s="21" t="s">
        <v>639</v>
      </c>
      <c r="AX326" s="21" t="s">
        <v>640</v>
      </c>
      <c r="AY326" s="21">
        <v>0</v>
      </c>
      <c r="AZ326" s="21">
        <v>208450.72</v>
      </c>
      <c r="BA326" s="21">
        <v>496</v>
      </c>
      <c r="BB326" s="21" t="s">
        <v>1221</v>
      </c>
      <c r="BC326" s="21" t="s">
        <v>176</v>
      </c>
      <c r="BD326" s="21" t="s">
        <v>641</v>
      </c>
      <c r="BE326" s="21" t="s">
        <v>641</v>
      </c>
      <c r="BF326" s="21">
        <v>9</v>
      </c>
      <c r="BG326" s="21">
        <v>18760.560000000001</v>
      </c>
      <c r="BH326" s="21">
        <v>9</v>
      </c>
      <c r="BI326" s="21">
        <v>18760.560000000001</v>
      </c>
      <c r="BJ326" s="21">
        <v>0</v>
      </c>
      <c r="BK326" s="21">
        <v>0</v>
      </c>
      <c r="BL326" s="21">
        <v>0</v>
      </c>
      <c r="BM326" s="21">
        <v>672173290188</v>
      </c>
      <c r="BN326" s="23">
        <v>46265</v>
      </c>
      <c r="BO326" s="21">
        <v>1396</v>
      </c>
    </row>
    <row r="327" spans="1:67" hidden="1" x14ac:dyDescent="0.25">
      <c r="A327" s="22"/>
      <c r="B327" s="21" t="s">
        <v>167</v>
      </c>
      <c r="C327" s="21" t="s">
        <v>1221</v>
      </c>
      <c r="D327" s="21" t="s">
        <v>1230</v>
      </c>
      <c r="E327" s="21" t="s">
        <v>182</v>
      </c>
      <c r="F327" s="21" t="s">
        <v>183</v>
      </c>
      <c r="G327" s="21" t="s">
        <v>1231</v>
      </c>
      <c r="H327" s="21">
        <v>1264</v>
      </c>
      <c r="I327" s="21">
        <v>1264</v>
      </c>
      <c r="J327" s="21" t="s">
        <v>168</v>
      </c>
      <c r="K327" s="21">
        <v>1264</v>
      </c>
      <c r="L327" s="21">
        <v>0</v>
      </c>
      <c r="M327" s="21">
        <v>1264</v>
      </c>
      <c r="N327" s="21" t="s">
        <v>174</v>
      </c>
      <c r="O327" s="21" t="s">
        <v>633</v>
      </c>
      <c r="P327" s="21" t="s">
        <v>633</v>
      </c>
      <c r="Q327" s="21" t="s">
        <v>1232</v>
      </c>
      <c r="R327" s="21" t="s">
        <v>1221</v>
      </c>
      <c r="S327" s="21" t="s">
        <v>635</v>
      </c>
      <c r="T327" s="21" t="s">
        <v>636</v>
      </c>
      <c r="U327" s="21" t="s">
        <v>1233</v>
      </c>
      <c r="V327" s="21">
        <v>147.32</v>
      </c>
      <c r="W327" s="21">
        <v>147.31999859215099</v>
      </c>
      <c r="X327" s="21" t="s">
        <v>1232</v>
      </c>
      <c r="Y327" s="21" t="s">
        <v>1221</v>
      </c>
      <c r="Z327" s="21"/>
      <c r="AA327" s="21">
        <v>0</v>
      </c>
      <c r="AB327" s="21"/>
      <c r="AC327" s="21">
        <v>0</v>
      </c>
      <c r="AD327" s="21">
        <v>0</v>
      </c>
      <c r="AE327" s="21">
        <v>0</v>
      </c>
      <c r="AF327" s="21">
        <v>0</v>
      </c>
      <c r="AG327" s="21">
        <v>0</v>
      </c>
      <c r="AH327" s="21">
        <v>0</v>
      </c>
      <c r="AI327" s="21">
        <v>0</v>
      </c>
      <c r="AJ327" s="21" t="s">
        <v>638</v>
      </c>
      <c r="AK327" s="21">
        <v>0</v>
      </c>
      <c r="AL327" s="21">
        <v>0</v>
      </c>
      <c r="AM327" s="21">
        <v>0</v>
      </c>
      <c r="AN327" s="21">
        <v>0</v>
      </c>
      <c r="AO327" s="21">
        <v>0</v>
      </c>
      <c r="AP327" s="21"/>
      <c r="AQ327" s="21">
        <v>0</v>
      </c>
      <c r="AR327" s="21">
        <v>0</v>
      </c>
      <c r="AS327" s="21">
        <v>837135.34</v>
      </c>
      <c r="AT327" s="21" t="s">
        <v>169</v>
      </c>
      <c r="AU327" s="21" t="s">
        <v>179</v>
      </c>
      <c r="AV327" s="21" t="s">
        <v>155</v>
      </c>
      <c r="AW327" s="21" t="s">
        <v>639</v>
      </c>
      <c r="AX327" s="21" t="s">
        <v>640</v>
      </c>
      <c r="AY327" s="21">
        <v>0</v>
      </c>
      <c r="AZ327" s="21">
        <v>186212.48000000001</v>
      </c>
      <c r="BA327" s="21">
        <v>496</v>
      </c>
      <c r="BB327" s="21" t="s">
        <v>1221</v>
      </c>
      <c r="BC327" s="21" t="s">
        <v>176</v>
      </c>
      <c r="BD327" s="21" t="s">
        <v>641</v>
      </c>
      <c r="BE327" s="21" t="s">
        <v>641</v>
      </c>
      <c r="BF327" s="21">
        <v>9</v>
      </c>
      <c r="BG327" s="21">
        <v>16759.12</v>
      </c>
      <c r="BH327" s="21">
        <v>9</v>
      </c>
      <c r="BI327" s="21">
        <v>16759.12</v>
      </c>
      <c r="BJ327" s="21">
        <v>0</v>
      </c>
      <c r="BK327" s="21">
        <v>0</v>
      </c>
      <c r="BL327" s="21">
        <v>0</v>
      </c>
      <c r="BM327" s="21">
        <v>672173290188</v>
      </c>
      <c r="BN327" s="23">
        <v>46265</v>
      </c>
      <c r="BO327" s="21">
        <v>1264</v>
      </c>
    </row>
    <row r="328" spans="1:67" hidden="1" x14ac:dyDescent="0.25">
      <c r="A328" s="22"/>
      <c r="B328" s="21" t="s">
        <v>167</v>
      </c>
      <c r="C328" s="21" t="s">
        <v>1221</v>
      </c>
      <c r="D328" s="21" t="s">
        <v>1230</v>
      </c>
      <c r="E328" s="21" t="s">
        <v>182</v>
      </c>
      <c r="F328" s="21" t="s">
        <v>183</v>
      </c>
      <c r="G328" s="21" t="s">
        <v>1231</v>
      </c>
      <c r="H328" s="21">
        <v>453</v>
      </c>
      <c r="I328" s="21">
        <v>453</v>
      </c>
      <c r="J328" s="21" t="s">
        <v>168</v>
      </c>
      <c r="K328" s="21">
        <v>453</v>
      </c>
      <c r="L328" s="21">
        <v>0</v>
      </c>
      <c r="M328" s="21">
        <v>453</v>
      </c>
      <c r="N328" s="21" t="s">
        <v>174</v>
      </c>
      <c r="O328" s="21" t="s">
        <v>633</v>
      </c>
      <c r="P328" s="21" t="s">
        <v>633</v>
      </c>
      <c r="Q328" s="21" t="s">
        <v>1232</v>
      </c>
      <c r="R328" s="21" t="s">
        <v>1221</v>
      </c>
      <c r="S328" s="21" t="s">
        <v>635</v>
      </c>
      <c r="T328" s="21" t="s">
        <v>636</v>
      </c>
      <c r="U328" s="21" t="s">
        <v>1233</v>
      </c>
      <c r="V328" s="21">
        <v>142.32</v>
      </c>
      <c r="W328" s="21">
        <v>142.319998639933</v>
      </c>
      <c r="X328" s="21" t="s">
        <v>1232</v>
      </c>
      <c r="Y328" s="21" t="s">
        <v>1221</v>
      </c>
      <c r="Z328" s="21"/>
      <c r="AA328" s="21">
        <v>0</v>
      </c>
      <c r="AB328" s="21"/>
      <c r="AC328" s="21">
        <v>0</v>
      </c>
      <c r="AD328" s="21">
        <v>0</v>
      </c>
      <c r="AE328" s="21">
        <v>0</v>
      </c>
      <c r="AF328" s="21">
        <v>0</v>
      </c>
      <c r="AG328" s="21">
        <v>0</v>
      </c>
      <c r="AH328" s="21">
        <v>0</v>
      </c>
      <c r="AI328" s="21">
        <v>0</v>
      </c>
      <c r="AJ328" s="21" t="s">
        <v>638</v>
      </c>
      <c r="AK328" s="21">
        <v>0</v>
      </c>
      <c r="AL328" s="21">
        <v>0</v>
      </c>
      <c r="AM328" s="21">
        <v>0</v>
      </c>
      <c r="AN328" s="21">
        <v>0</v>
      </c>
      <c r="AO328" s="21">
        <v>0</v>
      </c>
      <c r="AP328" s="21"/>
      <c r="AQ328" s="21">
        <v>0</v>
      </c>
      <c r="AR328" s="21">
        <v>0</v>
      </c>
      <c r="AS328" s="21">
        <v>837135.34</v>
      </c>
      <c r="AT328" s="21" t="s">
        <v>169</v>
      </c>
      <c r="AU328" s="21" t="s">
        <v>179</v>
      </c>
      <c r="AV328" s="21" t="s">
        <v>155</v>
      </c>
      <c r="AW328" s="21" t="s">
        <v>639</v>
      </c>
      <c r="AX328" s="21" t="s">
        <v>640</v>
      </c>
      <c r="AY328" s="21">
        <v>0</v>
      </c>
      <c r="AZ328" s="21">
        <v>64470.96</v>
      </c>
      <c r="BA328" s="21">
        <v>496</v>
      </c>
      <c r="BB328" s="21" t="s">
        <v>1221</v>
      </c>
      <c r="BC328" s="21" t="s">
        <v>176</v>
      </c>
      <c r="BD328" s="21" t="s">
        <v>641</v>
      </c>
      <c r="BE328" s="21" t="s">
        <v>641</v>
      </c>
      <c r="BF328" s="21">
        <v>9</v>
      </c>
      <c r="BG328" s="21">
        <v>5802.39</v>
      </c>
      <c r="BH328" s="21">
        <v>9</v>
      </c>
      <c r="BI328" s="21">
        <v>5802.39</v>
      </c>
      <c r="BJ328" s="21">
        <v>0</v>
      </c>
      <c r="BK328" s="21">
        <v>0</v>
      </c>
      <c r="BL328" s="21">
        <v>0</v>
      </c>
      <c r="BM328" s="21">
        <v>672173290188</v>
      </c>
      <c r="BN328" s="23">
        <v>46265</v>
      </c>
      <c r="BO328" s="21">
        <v>453</v>
      </c>
    </row>
    <row r="329" spans="1:67" hidden="1" x14ac:dyDescent="0.25">
      <c r="A329" s="22"/>
      <c r="B329" s="21" t="s">
        <v>167</v>
      </c>
      <c r="C329" s="21" t="s">
        <v>1221</v>
      </c>
      <c r="D329" s="21" t="s">
        <v>1234</v>
      </c>
      <c r="E329" s="21" t="s">
        <v>182</v>
      </c>
      <c r="F329" s="21" t="s">
        <v>183</v>
      </c>
      <c r="G329" s="21" t="s">
        <v>1235</v>
      </c>
      <c r="H329" s="21">
        <v>4951</v>
      </c>
      <c r="I329" s="21">
        <v>4951</v>
      </c>
      <c r="J329" s="21" t="s">
        <v>168</v>
      </c>
      <c r="K329" s="21">
        <v>4951</v>
      </c>
      <c r="L329" s="21">
        <v>0</v>
      </c>
      <c r="M329" s="21">
        <v>4951</v>
      </c>
      <c r="N329" s="21" t="s">
        <v>1236</v>
      </c>
      <c r="O329" s="21" t="s">
        <v>656</v>
      </c>
      <c r="P329" s="21" t="s">
        <v>656</v>
      </c>
      <c r="Q329" s="21" t="s">
        <v>1237</v>
      </c>
      <c r="R329" s="21" t="s">
        <v>1211</v>
      </c>
      <c r="S329" s="21" t="s">
        <v>635</v>
      </c>
      <c r="T329" s="21" t="s">
        <v>636</v>
      </c>
      <c r="U329" s="21" t="s">
        <v>1238</v>
      </c>
      <c r="V329" s="21">
        <v>122</v>
      </c>
      <c r="W329" s="21">
        <v>122</v>
      </c>
      <c r="X329" s="21" t="s">
        <v>1237</v>
      </c>
      <c r="Y329" s="21" t="s">
        <v>1211</v>
      </c>
      <c r="Z329" s="21"/>
      <c r="AA329" s="21">
        <v>0</v>
      </c>
      <c r="AB329" s="21"/>
      <c r="AC329" s="21" t="s">
        <v>1239</v>
      </c>
      <c r="AD329" s="21">
        <v>629</v>
      </c>
      <c r="AE329" s="21">
        <v>0</v>
      </c>
      <c r="AF329" s="21">
        <v>0</v>
      </c>
      <c r="AG329" s="21">
        <v>0</v>
      </c>
      <c r="AH329" s="21">
        <v>0</v>
      </c>
      <c r="AI329" s="21">
        <v>0</v>
      </c>
      <c r="AJ329" s="21" t="s">
        <v>638</v>
      </c>
      <c r="AK329" s="21">
        <v>0</v>
      </c>
      <c r="AL329" s="21">
        <v>0</v>
      </c>
      <c r="AM329" s="21">
        <v>0</v>
      </c>
      <c r="AN329" s="21">
        <v>0</v>
      </c>
      <c r="AO329" s="21">
        <v>0</v>
      </c>
      <c r="AP329" s="21"/>
      <c r="AQ329" s="21">
        <v>0</v>
      </c>
      <c r="AR329" s="21">
        <v>0</v>
      </c>
      <c r="AS329" s="21">
        <v>712745.96</v>
      </c>
      <c r="AT329" s="21" t="s">
        <v>169</v>
      </c>
      <c r="AU329" s="21" t="s">
        <v>179</v>
      </c>
      <c r="AV329" s="21" t="s">
        <v>155</v>
      </c>
      <c r="AW329" s="21" t="s">
        <v>639</v>
      </c>
      <c r="AX329" s="21" t="s">
        <v>640</v>
      </c>
      <c r="AY329" s="21">
        <v>0</v>
      </c>
      <c r="AZ329" s="21">
        <v>604022</v>
      </c>
      <c r="BA329" s="21">
        <v>495</v>
      </c>
      <c r="BB329" s="21" t="s">
        <v>1221</v>
      </c>
      <c r="BC329" s="21" t="s">
        <v>176</v>
      </c>
      <c r="BD329" s="21" t="s">
        <v>641</v>
      </c>
      <c r="BE329" s="21" t="s">
        <v>641</v>
      </c>
      <c r="BF329" s="21">
        <v>9</v>
      </c>
      <c r="BG329" s="21">
        <v>54361.98</v>
      </c>
      <c r="BH329" s="21">
        <v>9</v>
      </c>
      <c r="BI329" s="21">
        <v>54361.98</v>
      </c>
      <c r="BJ329" s="21">
        <v>0</v>
      </c>
      <c r="BK329" s="21">
        <v>0</v>
      </c>
      <c r="BL329" s="21">
        <v>712745.96</v>
      </c>
      <c r="BM329" s="21">
        <v>622172674515</v>
      </c>
      <c r="BN329" s="23">
        <v>46264</v>
      </c>
      <c r="BO329" s="21">
        <v>4951</v>
      </c>
    </row>
    <row r="330" spans="1:67" hidden="1" x14ac:dyDescent="0.25">
      <c r="A330" s="22"/>
      <c r="B330" s="21" t="s">
        <v>167</v>
      </c>
      <c r="C330" s="21" t="s">
        <v>1221</v>
      </c>
      <c r="D330" s="21" t="s">
        <v>1240</v>
      </c>
      <c r="E330" s="21" t="s">
        <v>1241</v>
      </c>
      <c r="F330" s="21" t="s">
        <v>1242</v>
      </c>
      <c r="G330" s="21" t="s">
        <v>1243</v>
      </c>
      <c r="H330" s="21">
        <v>23000</v>
      </c>
      <c r="I330" s="21">
        <v>23000</v>
      </c>
      <c r="J330" s="21" t="s">
        <v>168</v>
      </c>
      <c r="K330" s="21">
        <v>23000</v>
      </c>
      <c r="L330" s="21">
        <v>0</v>
      </c>
      <c r="M330" s="21">
        <v>23000</v>
      </c>
      <c r="N330" s="21" t="s">
        <v>1244</v>
      </c>
      <c r="O330" s="21" t="s">
        <v>633</v>
      </c>
      <c r="P330" s="21" t="s">
        <v>633</v>
      </c>
      <c r="Q330" s="21" t="s">
        <v>1245</v>
      </c>
      <c r="R330" s="21" t="s">
        <v>1221</v>
      </c>
      <c r="S330" s="21" t="s">
        <v>635</v>
      </c>
      <c r="T330" s="21" t="s">
        <v>636</v>
      </c>
      <c r="U330" s="21" t="s">
        <v>1246</v>
      </c>
      <c r="V330" s="21">
        <v>141</v>
      </c>
      <c r="W330" s="21">
        <v>141</v>
      </c>
      <c r="X330" s="21" t="s">
        <v>1245</v>
      </c>
      <c r="Y330" s="21" t="s">
        <v>1221</v>
      </c>
      <c r="Z330" s="21"/>
      <c r="AA330" s="21">
        <v>0</v>
      </c>
      <c r="AB330" s="21"/>
      <c r="AC330" s="21">
        <v>0</v>
      </c>
      <c r="AD330" s="21">
        <v>0</v>
      </c>
      <c r="AE330" s="21">
        <v>0</v>
      </c>
      <c r="AF330" s="21">
        <v>0</v>
      </c>
      <c r="AG330" s="21">
        <v>0</v>
      </c>
      <c r="AH330" s="21">
        <v>0</v>
      </c>
      <c r="AI330" s="21">
        <v>0</v>
      </c>
      <c r="AJ330" s="21" t="s">
        <v>638</v>
      </c>
      <c r="AK330" s="21">
        <v>0</v>
      </c>
      <c r="AL330" s="21">
        <v>0</v>
      </c>
      <c r="AM330" s="21">
        <v>0</v>
      </c>
      <c r="AN330" s="21">
        <v>0</v>
      </c>
      <c r="AO330" s="21">
        <v>0</v>
      </c>
      <c r="AP330" s="21"/>
      <c r="AQ330" s="21">
        <v>0</v>
      </c>
      <c r="AR330" s="21">
        <v>0</v>
      </c>
      <c r="AS330" s="21">
        <v>3826740</v>
      </c>
      <c r="AT330" s="21" t="s">
        <v>639</v>
      </c>
      <c r="AU330" s="21" t="s">
        <v>648</v>
      </c>
      <c r="AV330" s="21" t="s">
        <v>166</v>
      </c>
      <c r="AW330" s="21" t="s">
        <v>639</v>
      </c>
      <c r="AX330" s="21" t="s">
        <v>640</v>
      </c>
      <c r="AY330" s="21">
        <v>0</v>
      </c>
      <c r="AZ330" s="21">
        <v>3243000</v>
      </c>
      <c r="BA330" s="21">
        <v>499</v>
      </c>
      <c r="BB330" s="21" t="s">
        <v>1221</v>
      </c>
      <c r="BC330" s="21" t="s">
        <v>176</v>
      </c>
      <c r="BD330" s="21" t="s">
        <v>641</v>
      </c>
      <c r="BE330" s="21" t="s">
        <v>641</v>
      </c>
      <c r="BF330" s="21">
        <v>9</v>
      </c>
      <c r="BG330" s="21">
        <v>291870</v>
      </c>
      <c r="BH330" s="21">
        <v>9</v>
      </c>
      <c r="BI330" s="21">
        <v>291870</v>
      </c>
      <c r="BJ330" s="21">
        <v>0</v>
      </c>
      <c r="BK330" s="21">
        <v>0</v>
      </c>
      <c r="BL330" s="21">
        <v>3826740</v>
      </c>
      <c r="BM330" s="21">
        <v>0</v>
      </c>
      <c r="BN330" s="23">
        <v>46265</v>
      </c>
      <c r="BO330" s="21">
        <v>23000</v>
      </c>
    </row>
    <row r="331" spans="1:67" x14ac:dyDescent="0.25">
      <c r="G331"/>
      <c r="BN331" s="8"/>
      <c r="BO331"/>
    </row>
    <row r="332" spans="1:67" x14ac:dyDescent="0.25">
      <c r="G332"/>
      <c r="BN332" s="8"/>
      <c r="BO332"/>
    </row>
    <row r="333" spans="1:67" x14ac:dyDescent="0.25">
      <c r="G333"/>
      <c r="BN333" s="8"/>
      <c r="BO333"/>
    </row>
    <row r="334" spans="1:67" x14ac:dyDescent="0.25">
      <c r="G334"/>
      <c r="BN334" s="8"/>
      <c r="BO334"/>
    </row>
    <row r="335" spans="1:67" x14ac:dyDescent="0.25">
      <c r="G335"/>
      <c r="BN335" s="8"/>
      <c r="BO335"/>
    </row>
    <row r="336" spans="1:67" x14ac:dyDescent="0.25">
      <c r="G336"/>
      <c r="BN336" s="8"/>
      <c r="BO336"/>
    </row>
    <row r="337" spans="7:67" x14ac:dyDescent="0.25">
      <c r="G337"/>
      <c r="BN337" s="8"/>
      <c r="BO337"/>
    </row>
    <row r="338" spans="7:67" x14ac:dyDescent="0.25">
      <c r="G338"/>
      <c r="V338" s="7"/>
      <c r="BN338" s="8"/>
      <c r="BO338"/>
    </row>
    <row r="339" spans="7:67" x14ac:dyDescent="0.25">
      <c r="G339"/>
      <c r="BN339" s="8"/>
      <c r="BO339"/>
    </row>
    <row r="340" spans="7:67" x14ac:dyDescent="0.25">
      <c r="G340"/>
      <c r="BN340" s="8"/>
      <c r="BO340"/>
    </row>
    <row r="341" spans="7:67" x14ac:dyDescent="0.25">
      <c r="G341"/>
      <c r="BN341" s="8"/>
      <c r="BO341"/>
    </row>
    <row r="342" spans="7:67" x14ac:dyDescent="0.25">
      <c r="G342"/>
      <c r="BN342" s="8"/>
      <c r="BO342"/>
    </row>
    <row r="343" spans="7:67" x14ac:dyDescent="0.25">
      <c r="G343"/>
      <c r="BN343" s="8"/>
      <c r="BO343"/>
    </row>
    <row r="344" spans="7:67" x14ac:dyDescent="0.25">
      <c r="G344"/>
      <c r="BN344" s="8"/>
      <c r="BO344"/>
    </row>
    <row r="345" spans="7:67" x14ac:dyDescent="0.25">
      <c r="G345"/>
      <c r="BN345" s="8"/>
      <c r="BO345"/>
    </row>
    <row r="346" spans="7:67" x14ac:dyDescent="0.25">
      <c r="G346"/>
      <c r="BN346" s="8"/>
      <c r="BO346"/>
    </row>
    <row r="347" spans="7:67" x14ac:dyDescent="0.25">
      <c r="G347"/>
      <c r="BN347" s="8"/>
      <c r="BO347"/>
    </row>
    <row r="348" spans="7:67" x14ac:dyDescent="0.25">
      <c r="G348"/>
      <c r="BN348" s="8"/>
      <c r="BO348"/>
    </row>
    <row r="349" spans="7:67" x14ac:dyDescent="0.25">
      <c r="G349"/>
      <c r="BN349" s="8"/>
      <c r="BO349"/>
    </row>
    <row r="350" spans="7:67" x14ac:dyDescent="0.25">
      <c r="G350"/>
      <c r="BN350" s="8"/>
      <c r="BO350"/>
    </row>
    <row r="351" spans="7:67" x14ac:dyDescent="0.25">
      <c r="G351"/>
      <c r="BN351" s="8"/>
      <c r="BO351"/>
    </row>
    <row r="352" spans="7:67" x14ac:dyDescent="0.25">
      <c r="G352"/>
      <c r="BN352" s="8"/>
      <c r="BO352"/>
    </row>
    <row r="353" spans="7:67" x14ac:dyDescent="0.25">
      <c r="G353"/>
      <c r="BN353" s="8"/>
      <c r="BO353"/>
    </row>
    <row r="354" spans="7:67" x14ac:dyDescent="0.25">
      <c r="G354"/>
      <c r="BN354" s="8"/>
      <c r="BO354"/>
    </row>
    <row r="355" spans="7:67" x14ac:dyDescent="0.25">
      <c r="G355"/>
      <c r="BN355" s="8"/>
      <c r="BO355"/>
    </row>
    <row r="356" spans="7:67" x14ac:dyDescent="0.25">
      <c r="G356"/>
      <c r="BN356" s="8"/>
      <c r="BO356"/>
    </row>
    <row r="357" spans="7:67" x14ac:dyDescent="0.25">
      <c r="G357"/>
      <c r="BN357" s="8"/>
      <c r="BO357"/>
    </row>
    <row r="358" spans="7:67" x14ac:dyDescent="0.25">
      <c r="G358"/>
      <c r="BN358" s="8"/>
      <c r="BO358"/>
    </row>
    <row r="359" spans="7:67" x14ac:dyDescent="0.25">
      <c r="G359"/>
      <c r="BN359" s="8"/>
      <c r="BO359"/>
    </row>
    <row r="360" spans="7:67" x14ac:dyDescent="0.25">
      <c r="G360"/>
      <c r="BN360" s="8"/>
      <c r="BO360"/>
    </row>
    <row r="361" spans="7:67" x14ac:dyDescent="0.25">
      <c r="G361"/>
      <c r="BN361" s="8"/>
      <c r="BO361"/>
    </row>
    <row r="362" spans="7:67" x14ac:dyDescent="0.25">
      <c r="G362"/>
      <c r="BN362" s="8"/>
      <c r="BO362"/>
    </row>
    <row r="363" spans="7:67" x14ac:dyDescent="0.25">
      <c r="G363"/>
      <c r="BN363" s="8"/>
      <c r="BO363"/>
    </row>
    <row r="364" spans="7:67" x14ac:dyDescent="0.25">
      <c r="G364"/>
      <c r="BN364" s="8"/>
      <c r="BO364"/>
    </row>
    <row r="365" spans="7:67" x14ac:dyDescent="0.25">
      <c r="G365"/>
      <c r="BN365" s="8"/>
      <c r="BO365"/>
    </row>
    <row r="366" spans="7:67" x14ac:dyDescent="0.25">
      <c r="G366"/>
      <c r="BN366" s="8"/>
      <c r="BO366"/>
    </row>
    <row r="367" spans="7:67" x14ac:dyDescent="0.25">
      <c r="G367"/>
      <c r="BN367" s="8"/>
      <c r="BO367"/>
    </row>
    <row r="368" spans="7:67" x14ac:dyDescent="0.25">
      <c r="G368"/>
      <c r="BN368" s="8"/>
      <c r="BO368"/>
    </row>
    <row r="369" spans="7:67" x14ac:dyDescent="0.25">
      <c r="G369"/>
      <c r="BN369" s="8"/>
      <c r="BO369"/>
    </row>
    <row r="370" spans="7:67" x14ac:dyDescent="0.25">
      <c r="G370"/>
      <c r="BN370" s="8"/>
      <c r="BO370"/>
    </row>
    <row r="371" spans="7:67" x14ac:dyDescent="0.25">
      <c r="G371"/>
      <c r="BN371" s="8"/>
      <c r="BO371"/>
    </row>
    <row r="372" spans="7:67" x14ac:dyDescent="0.25">
      <c r="G372"/>
      <c r="BN372" s="8"/>
      <c r="BO372"/>
    </row>
    <row r="373" spans="7:67" x14ac:dyDescent="0.25">
      <c r="G373"/>
      <c r="BN373" s="8"/>
      <c r="BO373"/>
    </row>
    <row r="374" spans="7:67" x14ac:dyDescent="0.25">
      <c r="G374"/>
      <c r="BN374" s="8"/>
      <c r="BO374"/>
    </row>
    <row r="375" spans="7:67" x14ac:dyDescent="0.25">
      <c r="G375"/>
      <c r="BN375" s="8"/>
      <c r="BO375"/>
    </row>
    <row r="376" spans="7:67" x14ac:dyDescent="0.25">
      <c r="G376"/>
      <c r="BN376" s="8"/>
      <c r="BO376"/>
    </row>
    <row r="377" spans="7:67" x14ac:dyDescent="0.25">
      <c r="G377"/>
      <c r="BN377" s="8"/>
      <c r="BO377"/>
    </row>
    <row r="378" spans="7:67" x14ac:dyDescent="0.25">
      <c r="G378"/>
      <c r="BN378" s="8"/>
      <c r="BO378"/>
    </row>
    <row r="379" spans="7:67" x14ac:dyDescent="0.25">
      <c r="G379"/>
      <c r="BN379" s="8"/>
      <c r="BO379"/>
    </row>
    <row r="380" spans="7:67" x14ac:dyDescent="0.25">
      <c r="G380"/>
      <c r="BN380" s="8"/>
      <c r="BO380"/>
    </row>
    <row r="381" spans="7:67" x14ac:dyDescent="0.25">
      <c r="G381"/>
      <c r="BN381" s="8"/>
      <c r="BO381"/>
    </row>
    <row r="382" spans="7:67" x14ac:dyDescent="0.25">
      <c r="G382"/>
      <c r="BN382" s="8"/>
      <c r="BO382"/>
    </row>
    <row r="383" spans="7:67" x14ac:dyDescent="0.25">
      <c r="G383"/>
      <c r="BN383" s="8"/>
      <c r="BO383"/>
    </row>
    <row r="384" spans="7:67" x14ac:dyDescent="0.25">
      <c r="G384"/>
      <c r="BN384" s="8"/>
      <c r="BO384"/>
    </row>
    <row r="385" spans="7:67" x14ac:dyDescent="0.25">
      <c r="G385"/>
      <c r="BN385" s="8"/>
      <c r="BO385"/>
    </row>
    <row r="386" spans="7:67" x14ac:dyDescent="0.25">
      <c r="G386"/>
      <c r="BN386" s="8"/>
      <c r="BO386"/>
    </row>
    <row r="387" spans="7:67" x14ac:dyDescent="0.25">
      <c r="G387"/>
      <c r="BN387" s="8"/>
      <c r="BO387"/>
    </row>
    <row r="388" spans="7:67" x14ac:dyDescent="0.25">
      <c r="G388"/>
      <c r="BN388" s="8"/>
      <c r="BO388"/>
    </row>
    <row r="389" spans="7:67" x14ac:dyDescent="0.25">
      <c r="G389"/>
      <c r="BN389" s="8"/>
      <c r="BO389"/>
    </row>
    <row r="390" spans="7:67" x14ac:dyDescent="0.25">
      <c r="G390"/>
      <c r="BN390" s="8"/>
      <c r="BO390"/>
    </row>
    <row r="391" spans="7:67" x14ac:dyDescent="0.25">
      <c r="G391"/>
      <c r="BN391" s="8"/>
      <c r="BO391"/>
    </row>
    <row r="392" spans="7:67" x14ac:dyDescent="0.25">
      <c r="G392"/>
      <c r="BN392" s="8"/>
      <c r="BO392"/>
    </row>
    <row r="393" spans="7:67" x14ac:dyDescent="0.25">
      <c r="G393"/>
      <c r="BN393" s="8"/>
      <c r="BO393"/>
    </row>
    <row r="394" spans="7:67" x14ac:dyDescent="0.25">
      <c r="G394"/>
      <c r="BN394" s="8"/>
      <c r="BO394"/>
    </row>
    <row r="395" spans="7:67" x14ac:dyDescent="0.25">
      <c r="G395"/>
      <c r="BN395" s="8"/>
      <c r="BO395"/>
    </row>
    <row r="396" spans="7:67" x14ac:dyDescent="0.25">
      <c r="G396"/>
      <c r="BN396" s="8"/>
      <c r="BO396"/>
    </row>
    <row r="397" spans="7:67" x14ac:dyDescent="0.25">
      <c r="G397"/>
      <c r="BN397" s="8"/>
      <c r="BO397"/>
    </row>
    <row r="398" spans="7:67" x14ac:dyDescent="0.25">
      <c r="G398"/>
      <c r="BN398" s="8"/>
      <c r="BO398"/>
    </row>
    <row r="399" spans="7:67" x14ac:dyDescent="0.25">
      <c r="G399"/>
      <c r="BN399" s="8"/>
      <c r="BO399"/>
    </row>
    <row r="400" spans="7:67" x14ac:dyDescent="0.25">
      <c r="G400"/>
      <c r="BN400" s="8"/>
      <c r="BO400"/>
    </row>
    <row r="401" spans="7:67" x14ac:dyDescent="0.25">
      <c r="G401"/>
      <c r="BN401" s="8"/>
      <c r="BO401"/>
    </row>
    <row r="402" spans="7:67" x14ac:dyDescent="0.25">
      <c r="G402"/>
      <c r="BN402" s="8"/>
      <c r="BO402"/>
    </row>
    <row r="403" spans="7:67" x14ac:dyDescent="0.25">
      <c r="G403"/>
      <c r="BN403" s="8"/>
      <c r="BO403"/>
    </row>
    <row r="404" spans="7:67" x14ac:dyDescent="0.25">
      <c r="G404"/>
      <c r="BN404" s="8"/>
      <c r="BO404"/>
    </row>
    <row r="405" spans="7:67" x14ac:dyDescent="0.25">
      <c r="G405"/>
      <c r="BN405" s="8"/>
      <c r="BO405"/>
    </row>
    <row r="406" spans="7:67" x14ac:dyDescent="0.25">
      <c r="G406"/>
      <c r="BN406" s="8"/>
      <c r="BO406"/>
    </row>
    <row r="407" spans="7:67" x14ac:dyDescent="0.25">
      <c r="G407"/>
      <c r="BN407" s="8"/>
      <c r="BO407"/>
    </row>
    <row r="408" spans="7:67" x14ac:dyDescent="0.25">
      <c r="G408"/>
      <c r="BN408" s="8"/>
      <c r="BO408"/>
    </row>
    <row r="409" spans="7:67" x14ac:dyDescent="0.25">
      <c r="G409"/>
      <c r="BN409" s="8"/>
      <c r="BO409"/>
    </row>
    <row r="410" spans="7:67" x14ac:dyDescent="0.25">
      <c r="G410"/>
      <c r="BN410" s="8"/>
      <c r="BO410"/>
    </row>
    <row r="411" spans="7:67" x14ac:dyDescent="0.25">
      <c r="G411"/>
      <c r="BN411" s="8"/>
      <c r="BO411"/>
    </row>
    <row r="412" spans="7:67" x14ac:dyDescent="0.25">
      <c r="G412"/>
      <c r="BN412" s="8"/>
      <c r="BO412"/>
    </row>
    <row r="413" spans="7:67" x14ac:dyDescent="0.25">
      <c r="G413"/>
      <c r="BN413" s="8"/>
      <c r="BO413"/>
    </row>
    <row r="414" spans="7:67" x14ac:dyDescent="0.25">
      <c r="G414"/>
      <c r="BN414" s="8"/>
      <c r="BO414"/>
    </row>
    <row r="415" spans="7:67" x14ac:dyDescent="0.25">
      <c r="G415"/>
      <c r="BN415" s="8"/>
      <c r="BO415"/>
    </row>
    <row r="416" spans="7:67" x14ac:dyDescent="0.25">
      <c r="G416"/>
      <c r="BN416" s="8"/>
      <c r="BO416"/>
    </row>
    <row r="417" spans="7:67" x14ac:dyDescent="0.25">
      <c r="G417"/>
      <c r="BN417" s="8"/>
      <c r="BO417"/>
    </row>
    <row r="418" spans="7:67" x14ac:dyDescent="0.25">
      <c r="G418"/>
      <c r="BN418" s="8"/>
      <c r="BO418"/>
    </row>
    <row r="419" spans="7:67" x14ac:dyDescent="0.25">
      <c r="G419"/>
      <c r="BN419" s="8"/>
      <c r="BO419"/>
    </row>
    <row r="420" spans="7:67" x14ac:dyDescent="0.25">
      <c r="G420"/>
      <c r="BN420" s="8"/>
      <c r="BO420"/>
    </row>
    <row r="421" spans="7:67" x14ac:dyDescent="0.25">
      <c r="G421"/>
      <c r="BN421" s="8"/>
      <c r="BO421"/>
    </row>
    <row r="422" spans="7:67" x14ac:dyDescent="0.25">
      <c r="G422"/>
      <c r="BN422" s="8"/>
      <c r="BO422"/>
    </row>
    <row r="423" spans="7:67" x14ac:dyDescent="0.25">
      <c r="G423"/>
      <c r="BN423" s="8"/>
      <c r="BO423"/>
    </row>
    <row r="424" spans="7:67" x14ac:dyDescent="0.25">
      <c r="G424"/>
      <c r="BN424" s="8"/>
      <c r="BO424"/>
    </row>
    <row r="425" spans="7:67" x14ac:dyDescent="0.25">
      <c r="G425"/>
      <c r="BN425" s="8"/>
      <c r="BO425"/>
    </row>
    <row r="426" spans="7:67" x14ac:dyDescent="0.25">
      <c r="G426"/>
      <c r="BN426" s="8"/>
      <c r="BO426"/>
    </row>
    <row r="427" spans="7:67" x14ac:dyDescent="0.25">
      <c r="G427"/>
      <c r="BN427" s="8"/>
      <c r="BO427"/>
    </row>
    <row r="428" spans="7:67" x14ac:dyDescent="0.25">
      <c r="G428"/>
      <c r="BN428" s="8"/>
      <c r="BO428"/>
    </row>
    <row r="429" spans="7:67" x14ac:dyDescent="0.25">
      <c r="G429"/>
      <c r="BN429" s="8"/>
      <c r="BO429"/>
    </row>
    <row r="430" spans="7:67" x14ac:dyDescent="0.25">
      <c r="G430"/>
      <c r="BN430" s="8"/>
      <c r="BO430"/>
    </row>
    <row r="431" spans="7:67" x14ac:dyDescent="0.25">
      <c r="G431"/>
      <c r="BN431" s="8"/>
      <c r="BO431"/>
    </row>
    <row r="432" spans="7:67" x14ac:dyDescent="0.25">
      <c r="G432"/>
      <c r="BN432" s="8"/>
      <c r="BO432"/>
    </row>
    <row r="433" spans="7:67" x14ac:dyDescent="0.25">
      <c r="G433"/>
      <c r="BN433" s="8"/>
      <c r="BO433"/>
    </row>
    <row r="434" spans="7:67" x14ac:dyDescent="0.25">
      <c r="G434"/>
      <c r="BN434" s="8"/>
      <c r="BO434"/>
    </row>
    <row r="435" spans="7:67" x14ac:dyDescent="0.25">
      <c r="G435"/>
      <c r="BN435" s="8"/>
      <c r="BO435"/>
    </row>
    <row r="436" spans="7:67" x14ac:dyDescent="0.25">
      <c r="G436"/>
      <c r="BN436" s="8"/>
      <c r="BO436"/>
    </row>
    <row r="437" spans="7:67" x14ac:dyDescent="0.25">
      <c r="G437"/>
      <c r="BN437" s="8"/>
      <c r="BO437"/>
    </row>
    <row r="438" spans="7:67" x14ac:dyDescent="0.25">
      <c r="G438"/>
      <c r="BN438" s="8"/>
      <c r="BO438"/>
    </row>
    <row r="439" spans="7:67" x14ac:dyDescent="0.25">
      <c r="G439"/>
      <c r="BN439" s="8"/>
      <c r="BO439"/>
    </row>
    <row r="440" spans="7:67" x14ac:dyDescent="0.25">
      <c r="G440"/>
      <c r="BN440" s="8"/>
      <c r="BO440"/>
    </row>
    <row r="441" spans="7:67" x14ac:dyDescent="0.25">
      <c r="G441"/>
      <c r="BN441" s="8"/>
      <c r="BO441"/>
    </row>
    <row r="442" spans="7:67" x14ac:dyDescent="0.25">
      <c r="G442"/>
      <c r="BN442" s="8"/>
      <c r="BO442"/>
    </row>
    <row r="443" spans="7:67" x14ac:dyDescent="0.25">
      <c r="G443"/>
      <c r="BN443" s="8"/>
      <c r="BO443"/>
    </row>
    <row r="444" spans="7:67" x14ac:dyDescent="0.25">
      <c r="G444"/>
      <c r="BN444" s="8"/>
      <c r="BO444"/>
    </row>
    <row r="445" spans="7:67" x14ac:dyDescent="0.25">
      <c r="G445"/>
      <c r="BN445" s="8"/>
      <c r="BO445"/>
    </row>
    <row r="446" spans="7:67" x14ac:dyDescent="0.25">
      <c r="G446"/>
      <c r="BN446" s="8"/>
      <c r="BO446"/>
    </row>
    <row r="447" spans="7:67" x14ac:dyDescent="0.25">
      <c r="G447"/>
      <c r="BN447" s="8"/>
      <c r="BO447"/>
    </row>
    <row r="448" spans="7:67" x14ac:dyDescent="0.25">
      <c r="G448"/>
      <c r="BN448" s="8"/>
      <c r="BO448"/>
    </row>
    <row r="449" spans="7:67" x14ac:dyDescent="0.25">
      <c r="G449"/>
      <c r="BN449" s="8"/>
      <c r="BO449"/>
    </row>
    <row r="450" spans="7:67" x14ac:dyDescent="0.25">
      <c r="G450"/>
      <c r="BN450" s="8"/>
      <c r="BO450"/>
    </row>
    <row r="451" spans="7:67" x14ac:dyDescent="0.25">
      <c r="G451"/>
      <c r="BN451" s="8"/>
      <c r="BO451"/>
    </row>
    <row r="452" spans="7:67" x14ac:dyDescent="0.25">
      <c r="G452"/>
      <c r="BN452" s="8"/>
      <c r="BO452"/>
    </row>
    <row r="453" spans="7:67" x14ac:dyDescent="0.25">
      <c r="G453"/>
      <c r="BN453" s="8"/>
      <c r="BO453"/>
    </row>
    <row r="454" spans="7:67" x14ac:dyDescent="0.25">
      <c r="G454"/>
      <c r="BN454" s="8"/>
      <c r="BO454"/>
    </row>
    <row r="455" spans="7:67" x14ac:dyDescent="0.25">
      <c r="G455"/>
      <c r="BN455" s="8"/>
      <c r="BO455"/>
    </row>
    <row r="456" spans="7:67" x14ac:dyDescent="0.25">
      <c r="G456"/>
      <c r="BN456" s="8"/>
      <c r="BO456"/>
    </row>
    <row r="457" spans="7:67" x14ac:dyDescent="0.25">
      <c r="G457"/>
      <c r="BN457" s="8"/>
      <c r="BO457"/>
    </row>
    <row r="458" spans="7:67" x14ac:dyDescent="0.25">
      <c r="G458"/>
      <c r="BN458" s="8"/>
      <c r="BO458"/>
    </row>
    <row r="459" spans="7:67" x14ac:dyDescent="0.25">
      <c r="G459"/>
      <c r="BN459" s="8"/>
      <c r="BO459"/>
    </row>
    <row r="460" spans="7:67" x14ac:dyDescent="0.25">
      <c r="G460"/>
      <c r="BN460" s="8"/>
      <c r="BO460"/>
    </row>
    <row r="461" spans="7:67" x14ac:dyDescent="0.25">
      <c r="G461"/>
      <c r="BN461" s="8"/>
      <c r="BO461"/>
    </row>
    <row r="462" spans="7:67" x14ac:dyDescent="0.25">
      <c r="G462"/>
      <c r="BN462" s="8"/>
      <c r="BO462"/>
    </row>
    <row r="463" spans="7:67" x14ac:dyDescent="0.25">
      <c r="G463"/>
      <c r="BN463" s="8"/>
      <c r="BO463"/>
    </row>
    <row r="464" spans="7:67" x14ac:dyDescent="0.25">
      <c r="G464"/>
      <c r="BN464" s="8"/>
      <c r="BO464"/>
    </row>
    <row r="465" spans="7:67" x14ac:dyDescent="0.25">
      <c r="G465"/>
      <c r="BN465" s="8"/>
      <c r="BO465"/>
    </row>
    <row r="466" spans="7:67" x14ac:dyDescent="0.25">
      <c r="G466"/>
      <c r="BN466" s="8"/>
      <c r="BO466"/>
    </row>
    <row r="467" spans="7:67" x14ac:dyDescent="0.25">
      <c r="G467"/>
      <c r="BN467" s="8"/>
      <c r="BO467"/>
    </row>
    <row r="468" spans="7:67" x14ac:dyDescent="0.25">
      <c r="G468"/>
      <c r="BN468" s="8"/>
      <c r="BO468"/>
    </row>
    <row r="469" spans="7:67" x14ac:dyDescent="0.25">
      <c r="G469"/>
      <c r="BN469" s="8"/>
      <c r="BO469"/>
    </row>
    <row r="470" spans="7:67" x14ac:dyDescent="0.25">
      <c r="G470"/>
      <c r="BN470" s="8"/>
      <c r="BO470"/>
    </row>
    <row r="471" spans="7:67" x14ac:dyDescent="0.25">
      <c r="G471"/>
      <c r="BN471" s="8"/>
      <c r="BO471"/>
    </row>
    <row r="472" spans="7:67" x14ac:dyDescent="0.25">
      <c r="G472"/>
      <c r="BN472" s="8"/>
      <c r="BO472"/>
    </row>
    <row r="473" spans="7:67" x14ac:dyDescent="0.25">
      <c r="G473"/>
      <c r="BN473" s="8"/>
      <c r="BO473"/>
    </row>
    <row r="474" spans="7:67" x14ac:dyDescent="0.25">
      <c r="G474"/>
      <c r="BN474" s="8"/>
      <c r="BO474"/>
    </row>
    <row r="475" spans="7:67" x14ac:dyDescent="0.25">
      <c r="G475"/>
      <c r="BN475" s="8"/>
      <c r="BO475"/>
    </row>
    <row r="476" spans="7:67" x14ac:dyDescent="0.25">
      <c r="G476"/>
      <c r="BN476" s="8"/>
      <c r="BO476"/>
    </row>
    <row r="477" spans="7:67" x14ac:dyDescent="0.25">
      <c r="G477"/>
      <c r="BN477" s="8"/>
      <c r="BO477"/>
    </row>
    <row r="478" spans="7:67" x14ac:dyDescent="0.25">
      <c r="G478"/>
      <c r="BN478" s="8"/>
      <c r="BO478"/>
    </row>
    <row r="479" spans="7:67" x14ac:dyDescent="0.25">
      <c r="G479"/>
      <c r="BN479" s="8"/>
      <c r="BO479"/>
    </row>
    <row r="480" spans="7:67" x14ac:dyDescent="0.25">
      <c r="G480"/>
      <c r="BN480" s="8"/>
      <c r="BO480"/>
    </row>
    <row r="481" spans="7:67" x14ac:dyDescent="0.25">
      <c r="G481"/>
      <c r="BN481" s="8"/>
      <c r="BO481"/>
    </row>
    <row r="482" spans="7:67" x14ac:dyDescent="0.25">
      <c r="G482"/>
      <c r="BN482" s="8"/>
      <c r="BO482"/>
    </row>
    <row r="483" spans="7:67" x14ac:dyDescent="0.25">
      <c r="G483"/>
      <c r="BN483" s="8"/>
      <c r="BO483"/>
    </row>
    <row r="484" spans="7:67" x14ac:dyDescent="0.25">
      <c r="G484"/>
      <c r="BN484" s="8"/>
      <c r="BO484"/>
    </row>
    <row r="485" spans="7:67" x14ac:dyDescent="0.25">
      <c r="G485"/>
      <c r="BN485" s="8"/>
      <c r="BO485"/>
    </row>
    <row r="486" spans="7:67" x14ac:dyDescent="0.25">
      <c r="G486"/>
      <c r="BN486" s="8"/>
      <c r="BO486"/>
    </row>
    <row r="487" spans="7:67" x14ac:dyDescent="0.25">
      <c r="G487"/>
      <c r="BN487" s="8"/>
      <c r="BO487"/>
    </row>
    <row r="488" spans="7:67" x14ac:dyDescent="0.25">
      <c r="G488"/>
      <c r="BN488" s="8"/>
      <c r="BO488"/>
    </row>
    <row r="489" spans="7:67" x14ac:dyDescent="0.25">
      <c r="G489"/>
      <c r="BN489" s="8"/>
      <c r="BO489"/>
    </row>
    <row r="490" spans="7:67" x14ac:dyDescent="0.25">
      <c r="G490"/>
      <c r="BN490" s="8"/>
      <c r="BO490"/>
    </row>
    <row r="491" spans="7:67" x14ac:dyDescent="0.25">
      <c r="G491"/>
      <c r="BN491" s="8"/>
      <c r="BO491"/>
    </row>
    <row r="492" spans="7:67" x14ac:dyDescent="0.25">
      <c r="G492"/>
      <c r="BN492" s="8"/>
      <c r="BO492"/>
    </row>
    <row r="493" spans="7:67" x14ac:dyDescent="0.25">
      <c r="G493"/>
      <c r="BN493" s="8"/>
      <c r="BO493"/>
    </row>
    <row r="494" spans="7:67" x14ac:dyDescent="0.25">
      <c r="G494"/>
      <c r="BN494" s="8"/>
      <c r="BO494"/>
    </row>
    <row r="495" spans="7:67" x14ac:dyDescent="0.25">
      <c r="G495"/>
      <c r="BN495" s="8"/>
      <c r="BO495"/>
    </row>
    <row r="496" spans="7:67" x14ac:dyDescent="0.25">
      <c r="G496"/>
      <c r="BN496" s="8"/>
      <c r="BO496"/>
    </row>
    <row r="497" spans="7:67" x14ac:dyDescent="0.25">
      <c r="G497"/>
      <c r="BN497" s="8"/>
      <c r="BO497"/>
    </row>
    <row r="498" spans="7:67" x14ac:dyDescent="0.25">
      <c r="G498"/>
      <c r="BN498" s="8"/>
      <c r="BO498"/>
    </row>
    <row r="499" spans="7:67" x14ac:dyDescent="0.25">
      <c r="G499"/>
      <c r="BN499" s="8"/>
      <c r="BO499"/>
    </row>
    <row r="500" spans="7:67" x14ac:dyDescent="0.25">
      <c r="G500"/>
      <c r="BN500" s="8"/>
      <c r="BO500"/>
    </row>
    <row r="501" spans="7:67" x14ac:dyDescent="0.25">
      <c r="G501"/>
      <c r="BN501" s="8"/>
      <c r="BO501"/>
    </row>
    <row r="502" spans="7:67" x14ac:dyDescent="0.25">
      <c r="G502"/>
      <c r="BN502" s="8"/>
      <c r="BO502"/>
    </row>
    <row r="503" spans="7:67" x14ac:dyDescent="0.25">
      <c r="G503"/>
      <c r="BN503" s="8"/>
      <c r="BO503"/>
    </row>
    <row r="504" spans="7:67" x14ac:dyDescent="0.25">
      <c r="G504"/>
      <c r="BN504" s="8"/>
      <c r="BO504"/>
    </row>
    <row r="505" spans="7:67" x14ac:dyDescent="0.25">
      <c r="G505"/>
      <c r="BN505" s="8"/>
      <c r="BO505"/>
    </row>
    <row r="506" spans="7:67" x14ac:dyDescent="0.25">
      <c r="G506"/>
      <c r="BN506" s="8"/>
      <c r="BO506"/>
    </row>
    <row r="507" spans="7:67" x14ac:dyDescent="0.25">
      <c r="G507"/>
      <c r="BN507" s="8"/>
      <c r="BO507"/>
    </row>
    <row r="508" spans="7:67" x14ac:dyDescent="0.25">
      <c r="G508"/>
      <c r="BN508" s="8"/>
      <c r="BO508"/>
    </row>
    <row r="509" spans="7:67" x14ac:dyDescent="0.25">
      <c r="G509"/>
      <c r="BN509" s="8"/>
      <c r="BO509"/>
    </row>
    <row r="510" spans="7:67" x14ac:dyDescent="0.25">
      <c r="G510"/>
      <c r="BN510" s="8"/>
      <c r="BO510"/>
    </row>
    <row r="511" spans="7:67" x14ac:dyDescent="0.25">
      <c r="G511"/>
      <c r="BN511" s="8"/>
      <c r="BO511"/>
    </row>
    <row r="512" spans="7:67" x14ac:dyDescent="0.25">
      <c r="G512"/>
      <c r="BN512" s="8"/>
      <c r="BO512"/>
    </row>
    <row r="513" spans="7:67" x14ac:dyDescent="0.25">
      <c r="G513"/>
      <c r="BN513" s="8"/>
      <c r="BO513"/>
    </row>
    <row r="514" spans="7:67" x14ac:dyDescent="0.25">
      <c r="G514"/>
      <c r="BN514" s="8"/>
      <c r="BO514"/>
    </row>
    <row r="515" spans="7:67" x14ac:dyDescent="0.25">
      <c r="G515"/>
      <c r="BN515" s="8"/>
      <c r="BO515"/>
    </row>
    <row r="516" spans="7:67" x14ac:dyDescent="0.25">
      <c r="G516"/>
      <c r="BN516" s="8"/>
      <c r="BO516"/>
    </row>
    <row r="517" spans="7:67" x14ac:dyDescent="0.25">
      <c r="G517"/>
      <c r="BN517" s="8"/>
      <c r="BO517"/>
    </row>
    <row r="518" spans="7:67" x14ac:dyDescent="0.25">
      <c r="G518"/>
      <c r="BN518" s="8"/>
      <c r="BO518"/>
    </row>
    <row r="519" spans="7:67" x14ac:dyDescent="0.25">
      <c r="G519"/>
      <c r="BN519" s="8"/>
      <c r="BO519"/>
    </row>
    <row r="520" spans="7:67" x14ac:dyDescent="0.25">
      <c r="G520"/>
      <c r="BN520" s="8"/>
      <c r="BO520"/>
    </row>
    <row r="521" spans="7:67" x14ac:dyDescent="0.25">
      <c r="G521"/>
      <c r="BN521" s="8"/>
      <c r="BO521"/>
    </row>
    <row r="522" spans="7:67" x14ac:dyDescent="0.25">
      <c r="G522"/>
      <c r="BN522" s="8"/>
      <c r="BO522"/>
    </row>
    <row r="523" spans="7:67" x14ac:dyDescent="0.25">
      <c r="G523"/>
      <c r="BN523" s="8"/>
      <c r="BO523"/>
    </row>
    <row r="524" spans="7:67" x14ac:dyDescent="0.25">
      <c r="G524"/>
      <c r="BN524" s="8"/>
      <c r="BO524"/>
    </row>
    <row r="525" spans="7:67" x14ac:dyDescent="0.25">
      <c r="G525"/>
      <c r="BN525" s="8"/>
      <c r="BO525"/>
    </row>
    <row r="526" spans="7:67" x14ac:dyDescent="0.25">
      <c r="G526"/>
      <c r="BN526" s="8"/>
      <c r="BO526"/>
    </row>
    <row r="527" spans="7:67" x14ac:dyDescent="0.25">
      <c r="G527"/>
      <c r="BN527" s="8"/>
      <c r="BO527"/>
    </row>
    <row r="528" spans="7:67" x14ac:dyDescent="0.25">
      <c r="G528"/>
      <c r="BN528" s="8"/>
      <c r="BO528"/>
    </row>
    <row r="529" spans="7:67" x14ac:dyDescent="0.25">
      <c r="G529"/>
      <c r="BN529" s="8"/>
      <c r="BO529"/>
    </row>
    <row r="530" spans="7:67" x14ac:dyDescent="0.25">
      <c r="G530"/>
      <c r="BN530" s="8"/>
      <c r="BO530"/>
    </row>
    <row r="531" spans="7:67" x14ac:dyDescent="0.25">
      <c r="G531"/>
      <c r="BN531" s="8"/>
      <c r="BO531"/>
    </row>
    <row r="532" spans="7:67" x14ac:dyDescent="0.25">
      <c r="G532"/>
      <c r="BN532" s="8"/>
      <c r="BO532"/>
    </row>
    <row r="533" spans="7:67" x14ac:dyDescent="0.25">
      <c r="G533"/>
      <c r="BN533" s="8"/>
      <c r="BO533"/>
    </row>
    <row r="534" spans="7:67" x14ac:dyDescent="0.25">
      <c r="G534"/>
      <c r="BN534" s="8"/>
      <c r="BO534"/>
    </row>
    <row r="535" spans="7:67" x14ac:dyDescent="0.25">
      <c r="G535"/>
      <c r="BN535" s="8"/>
      <c r="BO535"/>
    </row>
    <row r="536" spans="7:67" x14ac:dyDescent="0.25">
      <c r="G536"/>
      <c r="BN536" s="8"/>
      <c r="BO536"/>
    </row>
    <row r="537" spans="7:67" x14ac:dyDescent="0.25">
      <c r="G537"/>
      <c r="BN537" s="8"/>
      <c r="BO537"/>
    </row>
    <row r="538" spans="7:67" x14ac:dyDescent="0.25">
      <c r="G538"/>
      <c r="BN538" s="8"/>
      <c r="BO538"/>
    </row>
    <row r="539" spans="7:67" x14ac:dyDescent="0.25">
      <c r="G539"/>
      <c r="BN539" s="8"/>
      <c r="BO539"/>
    </row>
    <row r="540" spans="7:67" x14ac:dyDescent="0.25">
      <c r="G540"/>
      <c r="BN540" s="8"/>
      <c r="BO540"/>
    </row>
    <row r="541" spans="7:67" x14ac:dyDescent="0.25">
      <c r="G541"/>
      <c r="BN541" s="8"/>
      <c r="BO541"/>
    </row>
    <row r="542" spans="7:67" x14ac:dyDescent="0.25">
      <c r="G542"/>
      <c r="BN542" s="8"/>
      <c r="BO542"/>
    </row>
    <row r="543" spans="7:67" x14ac:dyDescent="0.25">
      <c r="G543"/>
      <c r="BN543" s="8"/>
      <c r="BO543"/>
    </row>
    <row r="544" spans="7:67" x14ac:dyDescent="0.25">
      <c r="G544"/>
      <c r="BN544" s="8"/>
      <c r="BO544"/>
    </row>
    <row r="545" spans="7:67" x14ac:dyDescent="0.25">
      <c r="G545"/>
      <c r="BN545" s="8"/>
      <c r="BO545"/>
    </row>
    <row r="546" spans="7:67" x14ac:dyDescent="0.25">
      <c r="G546"/>
      <c r="BN546" s="8"/>
      <c r="BO546"/>
    </row>
    <row r="547" spans="7:67" x14ac:dyDescent="0.25">
      <c r="G547"/>
      <c r="BN547" s="8"/>
      <c r="BO547"/>
    </row>
    <row r="548" spans="7:67" x14ac:dyDescent="0.25">
      <c r="G548"/>
      <c r="BN548" s="8"/>
      <c r="BO548"/>
    </row>
    <row r="549" spans="7:67" x14ac:dyDescent="0.25">
      <c r="G549"/>
      <c r="BN549" s="8"/>
      <c r="BO549"/>
    </row>
    <row r="550" spans="7:67" x14ac:dyDescent="0.25">
      <c r="G550"/>
      <c r="BN550" s="8"/>
      <c r="BO550"/>
    </row>
    <row r="551" spans="7:67" x14ac:dyDescent="0.25">
      <c r="G551"/>
      <c r="BN551" s="8"/>
      <c r="BO551"/>
    </row>
    <row r="552" spans="7:67" x14ac:dyDescent="0.25">
      <c r="G552"/>
      <c r="BN552" s="8"/>
      <c r="BO552"/>
    </row>
    <row r="553" spans="7:67" x14ac:dyDescent="0.25">
      <c r="G553"/>
      <c r="BN553" s="8"/>
      <c r="BO553"/>
    </row>
    <row r="554" spans="7:67" x14ac:dyDescent="0.25">
      <c r="G554"/>
      <c r="BN554" s="8"/>
      <c r="BO554"/>
    </row>
    <row r="555" spans="7:67" x14ac:dyDescent="0.25">
      <c r="G555"/>
      <c r="BN555" s="8"/>
      <c r="BO555"/>
    </row>
    <row r="556" spans="7:67" x14ac:dyDescent="0.25">
      <c r="G556"/>
      <c r="BN556" s="8"/>
      <c r="BO556"/>
    </row>
    <row r="557" spans="7:67" x14ac:dyDescent="0.25">
      <c r="G557"/>
      <c r="BN557" s="8"/>
      <c r="BO557"/>
    </row>
    <row r="558" spans="7:67" x14ac:dyDescent="0.25">
      <c r="G558"/>
      <c r="BN558" s="8"/>
      <c r="BO558"/>
    </row>
    <row r="559" spans="7:67" x14ac:dyDescent="0.25">
      <c r="G559"/>
      <c r="BN559" s="8"/>
      <c r="BO559"/>
    </row>
    <row r="560" spans="7:67" x14ac:dyDescent="0.25">
      <c r="G560"/>
      <c r="BN560" s="8"/>
      <c r="BO560"/>
    </row>
    <row r="561" spans="7:67" x14ac:dyDescent="0.25">
      <c r="G561"/>
      <c r="BN561" s="8"/>
      <c r="BO561"/>
    </row>
    <row r="562" spans="7:67" x14ac:dyDescent="0.25">
      <c r="G562"/>
      <c r="BN562" s="8"/>
      <c r="BO562"/>
    </row>
    <row r="563" spans="7:67" x14ac:dyDescent="0.25">
      <c r="G563"/>
      <c r="BN563" s="8"/>
      <c r="BO563"/>
    </row>
    <row r="564" spans="7:67" x14ac:dyDescent="0.25">
      <c r="G564"/>
      <c r="BN564" s="8"/>
      <c r="BO564"/>
    </row>
    <row r="565" spans="7:67" x14ac:dyDescent="0.25">
      <c r="G565"/>
      <c r="BN565" s="8"/>
      <c r="BO565"/>
    </row>
    <row r="566" spans="7:67" x14ac:dyDescent="0.25">
      <c r="G566"/>
      <c r="BN566" s="8"/>
      <c r="BO566"/>
    </row>
    <row r="567" spans="7:67" x14ac:dyDescent="0.25">
      <c r="G567"/>
      <c r="BN567" s="8"/>
      <c r="BO567"/>
    </row>
    <row r="568" spans="7:67" x14ac:dyDescent="0.25">
      <c r="G568"/>
      <c r="BN568" s="8"/>
      <c r="BO568"/>
    </row>
    <row r="569" spans="7:67" x14ac:dyDescent="0.25">
      <c r="G569"/>
      <c r="BN569" s="8"/>
      <c r="BO569"/>
    </row>
    <row r="570" spans="7:67" x14ac:dyDescent="0.25">
      <c r="G570"/>
      <c r="BN570" s="8"/>
      <c r="BO570"/>
    </row>
    <row r="571" spans="7:67" x14ac:dyDescent="0.25">
      <c r="G571"/>
      <c r="BN571" s="8"/>
      <c r="BO571"/>
    </row>
    <row r="572" spans="7:67" x14ac:dyDescent="0.25">
      <c r="G572"/>
      <c r="BN572" s="8"/>
      <c r="BO572"/>
    </row>
    <row r="573" spans="7:67" x14ac:dyDescent="0.25">
      <c r="G573"/>
      <c r="BN573" s="8"/>
      <c r="BO573"/>
    </row>
    <row r="574" spans="7:67" x14ac:dyDescent="0.25">
      <c r="G574"/>
      <c r="BN574" s="8"/>
      <c r="BO574"/>
    </row>
    <row r="575" spans="7:67" x14ac:dyDescent="0.25">
      <c r="G575"/>
      <c r="BN575" s="8"/>
      <c r="BO575"/>
    </row>
    <row r="576" spans="7:67" x14ac:dyDescent="0.25">
      <c r="G576"/>
      <c r="BN576" s="8"/>
      <c r="BO576"/>
    </row>
  </sheetData>
  <autoFilter ref="B1:BO330">
    <filterColumn colId="4">
      <filters>
        <filter val="MB Chandan Shiny Black"/>
        <filter val="MB Colman Shiny Black ( RD Black-01 )"/>
        <filter val="MB JJ White WE9381PT"/>
        <filter val="MB Karnavati Polyplast Blue"/>
      </filters>
    </filterColumn>
    <filterColumn colId="46">
      <filters>
        <filter val="Masterbatch"/>
      </filters>
    </filterColumn>
  </autoFilter>
  <pageMargins left="0.7" right="0.7" top="0.75" bottom="0.75" header="0.3" footer="0.3"/>
  <pageSetup paperSize="9" orientation="portrait" verticalDpi="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19"/>
  <sheetViews>
    <sheetView workbookViewId="0">
      <selection activeCell="M16" sqref="M16"/>
    </sheetView>
  </sheetViews>
  <sheetFormatPr defaultRowHeight="15" x14ac:dyDescent="0.25"/>
  <cols>
    <col min="2" max="2" width="25" bestFit="1" customWidth="1"/>
    <col min="3" max="3" width="10.42578125" bestFit="1" customWidth="1"/>
    <col min="4" max="4" width="18" bestFit="1" customWidth="1"/>
    <col min="5" max="5" width="11.85546875" customWidth="1"/>
    <col min="6" max="6" width="16.140625" customWidth="1"/>
    <col min="7" max="7" width="19.140625" customWidth="1"/>
    <col min="8" max="8" width="12" customWidth="1"/>
    <col min="9" max="9" width="11.140625" customWidth="1"/>
    <col min="12" max="12" width="11.5703125" customWidth="1"/>
    <col min="13" max="13" width="11.85546875" customWidth="1"/>
    <col min="14" max="14" width="10.140625" bestFit="1" customWidth="1"/>
    <col min="15" max="15" width="26.85546875" style="8" customWidth="1"/>
    <col min="16" max="16" width="25.5703125" style="8" customWidth="1"/>
    <col min="17" max="17" width="14.140625" style="8" customWidth="1"/>
    <col min="18" max="18" width="15" style="8" customWidth="1"/>
    <col min="19" max="19" width="11.85546875" style="8" customWidth="1"/>
    <col min="20" max="20" width="17.85546875" style="8" customWidth="1"/>
    <col min="21" max="21" width="15.85546875" style="8" customWidth="1"/>
    <col min="25" max="25" width="10.7109375" bestFit="1" customWidth="1"/>
    <col min="26" max="26" width="16.28515625" bestFit="1" customWidth="1"/>
    <col min="27" max="27" width="15.7109375" bestFit="1" customWidth="1"/>
    <col min="28" max="28" width="15.85546875" bestFit="1" customWidth="1"/>
    <col min="29" max="29" width="19.7109375" bestFit="1" customWidth="1"/>
    <col min="30" max="30" width="13.140625" bestFit="1" customWidth="1"/>
    <col min="47" max="47" width="15.7109375" bestFit="1" customWidth="1"/>
    <col min="48" max="48" width="15.85546875" bestFit="1" customWidth="1"/>
    <col min="49" max="49" width="19.7109375" bestFit="1" customWidth="1"/>
    <col min="52" max="52" width="13.140625" bestFit="1" customWidth="1"/>
    <col min="66" max="66" width="12.140625" customWidth="1"/>
  </cols>
  <sheetData>
    <row r="1" spans="1:67" x14ac:dyDescent="0.25">
      <c r="A1" s="1"/>
      <c r="B1" s="1" t="s">
        <v>82</v>
      </c>
      <c r="C1" s="1" t="s">
        <v>0</v>
      </c>
      <c r="D1" s="1" t="s">
        <v>83</v>
      </c>
      <c r="E1" s="1" t="s">
        <v>77</v>
      </c>
      <c r="F1" s="1" t="s">
        <v>78</v>
      </c>
      <c r="G1" s="1" t="s">
        <v>84</v>
      </c>
      <c r="H1" s="1" t="s">
        <v>85</v>
      </c>
      <c r="I1" s="1" t="s">
        <v>86</v>
      </c>
      <c r="J1" s="1" t="s">
        <v>26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94</v>
      </c>
      <c r="S1" s="1" t="s">
        <v>95</v>
      </c>
      <c r="T1" s="1" t="s">
        <v>96</v>
      </c>
      <c r="U1" s="1" t="s">
        <v>97</v>
      </c>
      <c r="V1" s="1" t="s">
        <v>39</v>
      </c>
      <c r="W1" s="1" t="s">
        <v>13</v>
      </c>
      <c r="X1" s="1" t="s">
        <v>98</v>
      </c>
      <c r="Y1" s="1" t="s">
        <v>99</v>
      </c>
      <c r="Z1" s="1" t="s">
        <v>100</v>
      </c>
      <c r="AA1" s="1" t="s">
        <v>47</v>
      </c>
      <c r="AB1" s="1" t="s">
        <v>101</v>
      </c>
      <c r="AC1" s="1" t="s">
        <v>102</v>
      </c>
      <c r="AD1" s="1" t="s">
        <v>103</v>
      </c>
      <c r="AE1" s="1" t="s">
        <v>104</v>
      </c>
      <c r="AF1" s="1" t="s">
        <v>105</v>
      </c>
      <c r="AG1" s="1" t="s">
        <v>106</v>
      </c>
      <c r="AH1" s="1" t="s">
        <v>107</v>
      </c>
      <c r="AI1" s="1" t="s">
        <v>108</v>
      </c>
      <c r="AJ1" s="1" t="s">
        <v>109</v>
      </c>
      <c r="AK1" s="1" t="s">
        <v>110</v>
      </c>
      <c r="AL1" s="1" t="s">
        <v>111</v>
      </c>
      <c r="AM1" s="1" t="s">
        <v>112</v>
      </c>
      <c r="AN1" s="1" t="s">
        <v>113</v>
      </c>
      <c r="AO1" s="1" t="s">
        <v>114</v>
      </c>
      <c r="AP1" s="1" t="s">
        <v>115</v>
      </c>
      <c r="AQ1" s="1" t="s">
        <v>116</v>
      </c>
      <c r="AR1" s="1" t="s">
        <v>117</v>
      </c>
      <c r="AS1" s="1" t="s">
        <v>118</v>
      </c>
      <c r="AT1" s="1" t="s">
        <v>44</v>
      </c>
      <c r="AU1" s="10" t="s">
        <v>119</v>
      </c>
      <c r="AV1" s="4" t="s">
        <v>120</v>
      </c>
      <c r="AW1" s="1" t="s">
        <v>121</v>
      </c>
      <c r="AX1" s="1" t="s">
        <v>122</v>
      </c>
      <c r="AY1" s="10" t="s">
        <v>123</v>
      </c>
      <c r="AZ1" s="4" t="s">
        <v>124</v>
      </c>
      <c r="BA1" s="1" t="s">
        <v>125</v>
      </c>
      <c r="BB1" s="1" t="s">
        <v>126</v>
      </c>
      <c r="BC1" s="1" t="s">
        <v>127</v>
      </c>
      <c r="BD1" s="1" t="s">
        <v>128</v>
      </c>
      <c r="BE1" s="1" t="s">
        <v>129</v>
      </c>
      <c r="BF1" s="1" t="s">
        <v>130</v>
      </c>
      <c r="BG1" s="1" t="s">
        <v>131</v>
      </c>
      <c r="BH1" s="1" t="s">
        <v>132</v>
      </c>
      <c r="BI1" s="1" t="s">
        <v>133</v>
      </c>
      <c r="BJ1" s="1" t="s">
        <v>134</v>
      </c>
      <c r="BK1" s="1" t="s">
        <v>135</v>
      </c>
      <c r="BL1" s="1" t="s">
        <v>136</v>
      </c>
      <c r="BM1" s="1" t="s">
        <v>137</v>
      </c>
      <c r="BN1" s="1" t="s">
        <v>138</v>
      </c>
      <c r="BO1" s="4" t="s">
        <v>139</v>
      </c>
    </row>
    <row r="2" spans="1:67" x14ac:dyDescent="0.25">
      <c r="A2" s="22"/>
      <c r="B2" s="21" t="s">
        <v>167</v>
      </c>
      <c r="C2" s="23">
        <v>46181</v>
      </c>
      <c r="D2" s="21" t="s">
        <v>1258</v>
      </c>
      <c r="E2" s="21" t="s">
        <v>227</v>
      </c>
      <c r="F2" s="21" t="s">
        <v>228</v>
      </c>
      <c r="G2" s="21" t="s">
        <v>1259</v>
      </c>
      <c r="H2" s="21">
        <v>23.16</v>
      </c>
      <c r="I2" s="21">
        <v>23.16</v>
      </c>
      <c r="J2" s="21" t="s">
        <v>168</v>
      </c>
      <c r="K2" s="21">
        <v>23.16</v>
      </c>
      <c r="L2" s="21">
        <v>0</v>
      </c>
      <c r="M2" s="21">
        <v>23.16</v>
      </c>
      <c r="N2" s="21" t="s">
        <v>317</v>
      </c>
      <c r="O2" s="21" t="s">
        <v>1260</v>
      </c>
      <c r="P2" s="21" t="s">
        <v>1260</v>
      </c>
      <c r="Q2" s="21">
        <v>410</v>
      </c>
      <c r="R2" s="21" t="s">
        <v>1261</v>
      </c>
      <c r="S2" s="21" t="s">
        <v>1262</v>
      </c>
      <c r="T2" s="21" t="s">
        <v>1263</v>
      </c>
      <c r="U2" s="21" t="s">
        <v>1264</v>
      </c>
      <c r="V2" s="21">
        <v>338.08300000000003</v>
      </c>
      <c r="W2" s="21">
        <v>338.06827999700403</v>
      </c>
      <c r="X2" s="21">
        <v>410</v>
      </c>
      <c r="Y2" s="21" t="s">
        <v>1261</v>
      </c>
      <c r="Z2" s="21" t="s">
        <v>1265</v>
      </c>
      <c r="AA2" s="21">
        <v>0</v>
      </c>
      <c r="AB2" s="21"/>
      <c r="AC2" s="21" t="s">
        <v>1266</v>
      </c>
      <c r="AD2" s="21" t="s">
        <v>1267</v>
      </c>
      <c r="AE2" s="21">
        <v>0</v>
      </c>
      <c r="AF2" s="21">
        <v>0</v>
      </c>
      <c r="AG2" s="21">
        <v>0</v>
      </c>
      <c r="AH2" s="21">
        <v>0</v>
      </c>
      <c r="AI2" s="21">
        <v>0</v>
      </c>
      <c r="AJ2" s="21" t="s">
        <v>638</v>
      </c>
      <c r="AK2" s="21">
        <v>0</v>
      </c>
      <c r="AL2" s="21">
        <v>0</v>
      </c>
      <c r="AM2" s="21">
        <v>0</v>
      </c>
      <c r="AN2" s="21">
        <v>0</v>
      </c>
      <c r="AO2" s="21">
        <v>0</v>
      </c>
      <c r="AP2" s="21"/>
      <c r="AQ2" s="21">
        <v>0</v>
      </c>
      <c r="AR2" s="21">
        <v>0</v>
      </c>
      <c r="AS2" s="21">
        <v>9239</v>
      </c>
      <c r="AT2" s="21" t="s">
        <v>169</v>
      </c>
      <c r="AU2" s="21" t="s">
        <v>175</v>
      </c>
      <c r="AV2" s="21" t="s">
        <v>159</v>
      </c>
      <c r="AW2" s="21" t="s">
        <v>1268</v>
      </c>
      <c r="AX2" s="21" t="s">
        <v>640</v>
      </c>
      <c r="AY2" s="21">
        <v>0</v>
      </c>
      <c r="AZ2" s="21">
        <v>7829.66</v>
      </c>
      <c r="BA2" s="21">
        <v>596</v>
      </c>
      <c r="BB2" s="23">
        <v>46150</v>
      </c>
      <c r="BC2" s="21" t="s">
        <v>1269</v>
      </c>
      <c r="BD2" s="21" t="s">
        <v>641</v>
      </c>
      <c r="BE2" s="21" t="s">
        <v>641</v>
      </c>
      <c r="BF2" s="21">
        <v>9</v>
      </c>
      <c r="BG2" s="21">
        <v>704.7</v>
      </c>
      <c r="BH2" s="21">
        <v>9</v>
      </c>
      <c r="BI2" s="21">
        <v>704.7</v>
      </c>
      <c r="BJ2" s="21">
        <v>0</v>
      </c>
      <c r="BK2" s="21">
        <v>0</v>
      </c>
      <c r="BL2" s="21">
        <v>9239</v>
      </c>
      <c r="BM2" s="21">
        <v>0</v>
      </c>
      <c r="BN2" s="23">
        <v>46233</v>
      </c>
      <c r="BO2" s="21">
        <v>0</v>
      </c>
    </row>
    <row r="3" spans="1:67" x14ac:dyDescent="0.25">
      <c r="A3" s="22"/>
      <c r="B3" s="21" t="s">
        <v>167</v>
      </c>
      <c r="C3" s="23">
        <v>46181</v>
      </c>
      <c r="D3" s="21" t="s">
        <v>1270</v>
      </c>
      <c r="E3" s="21" t="s">
        <v>227</v>
      </c>
      <c r="F3" s="21" t="s">
        <v>228</v>
      </c>
      <c r="G3" s="21" t="s">
        <v>1271</v>
      </c>
      <c r="H3" s="21">
        <v>59.79</v>
      </c>
      <c r="I3" s="21">
        <v>59.79</v>
      </c>
      <c r="J3" s="21" t="s">
        <v>168</v>
      </c>
      <c r="K3" s="21">
        <v>59.79</v>
      </c>
      <c r="L3" s="21">
        <v>0</v>
      </c>
      <c r="M3" s="21">
        <v>59.79</v>
      </c>
      <c r="N3" s="21" t="s">
        <v>317</v>
      </c>
      <c r="O3" s="21" t="s">
        <v>1260</v>
      </c>
      <c r="P3" s="21" t="s">
        <v>1260</v>
      </c>
      <c r="Q3" s="21">
        <v>413</v>
      </c>
      <c r="R3" s="23">
        <v>46030</v>
      </c>
      <c r="S3" s="21" t="s">
        <v>1262</v>
      </c>
      <c r="T3" s="21" t="s">
        <v>1263</v>
      </c>
      <c r="U3" s="21" t="s">
        <v>1272</v>
      </c>
      <c r="V3" s="21">
        <v>305.57</v>
      </c>
      <c r="W3" s="21">
        <v>305.56844365077302</v>
      </c>
      <c r="X3" s="21">
        <v>413</v>
      </c>
      <c r="Y3" s="23">
        <v>46030</v>
      </c>
      <c r="Z3" s="21" t="s">
        <v>1273</v>
      </c>
      <c r="AA3" s="21">
        <v>0</v>
      </c>
      <c r="AB3" s="21"/>
      <c r="AC3" s="21" t="s">
        <v>1266</v>
      </c>
      <c r="AD3" s="21" t="s">
        <v>1267</v>
      </c>
      <c r="AE3" s="21">
        <v>0</v>
      </c>
      <c r="AF3" s="21">
        <v>0</v>
      </c>
      <c r="AG3" s="21">
        <v>0</v>
      </c>
      <c r="AH3" s="21">
        <v>0</v>
      </c>
      <c r="AI3" s="21">
        <v>0</v>
      </c>
      <c r="AJ3" s="21" t="s">
        <v>638</v>
      </c>
      <c r="AK3" s="21">
        <v>0</v>
      </c>
      <c r="AL3" s="21">
        <v>0</v>
      </c>
      <c r="AM3" s="21">
        <v>0</v>
      </c>
      <c r="AN3" s="21">
        <v>0</v>
      </c>
      <c r="AO3" s="21">
        <v>0</v>
      </c>
      <c r="AP3" s="21"/>
      <c r="AQ3" s="21">
        <v>0</v>
      </c>
      <c r="AR3" s="21">
        <v>0</v>
      </c>
      <c r="AS3" s="21">
        <v>35255</v>
      </c>
      <c r="AT3" s="21" t="s">
        <v>169</v>
      </c>
      <c r="AU3" s="21" t="s">
        <v>175</v>
      </c>
      <c r="AV3" s="21" t="s">
        <v>159</v>
      </c>
      <c r="AW3" s="21" t="s">
        <v>1268</v>
      </c>
      <c r="AX3" s="21" t="s">
        <v>640</v>
      </c>
      <c r="AY3" s="21">
        <v>0</v>
      </c>
      <c r="AZ3" s="21">
        <v>18269.939999999999</v>
      </c>
      <c r="BA3" s="21">
        <v>597</v>
      </c>
      <c r="BB3" s="23">
        <v>46150</v>
      </c>
      <c r="BC3" s="21" t="s">
        <v>1269</v>
      </c>
      <c r="BD3" s="21" t="s">
        <v>641</v>
      </c>
      <c r="BE3" s="21" t="s">
        <v>641</v>
      </c>
      <c r="BF3" s="21">
        <v>9</v>
      </c>
      <c r="BG3" s="21">
        <v>1644.3</v>
      </c>
      <c r="BH3" s="21">
        <v>9</v>
      </c>
      <c r="BI3" s="21">
        <v>1644.3</v>
      </c>
      <c r="BJ3" s="21">
        <v>0</v>
      </c>
      <c r="BK3" s="21">
        <v>0</v>
      </c>
      <c r="BL3" s="21">
        <v>35255</v>
      </c>
      <c r="BM3" s="21">
        <v>0</v>
      </c>
      <c r="BN3" s="23">
        <v>46235</v>
      </c>
      <c r="BO3" s="21">
        <v>59.79</v>
      </c>
    </row>
    <row r="4" spans="1:67" x14ac:dyDescent="0.25">
      <c r="A4" s="22"/>
      <c r="B4" s="21" t="s">
        <v>167</v>
      </c>
      <c r="C4" s="23">
        <v>46181</v>
      </c>
      <c r="D4" s="21" t="s">
        <v>1270</v>
      </c>
      <c r="E4" s="21" t="s">
        <v>227</v>
      </c>
      <c r="F4" s="21" t="s">
        <v>228</v>
      </c>
      <c r="G4" s="21" t="s">
        <v>1271</v>
      </c>
      <c r="H4" s="21">
        <v>39.520000000000003</v>
      </c>
      <c r="I4" s="21">
        <v>39.520000000000003</v>
      </c>
      <c r="J4" s="21" t="s">
        <v>168</v>
      </c>
      <c r="K4" s="21">
        <v>39.520000000000003</v>
      </c>
      <c r="L4" s="21">
        <v>0</v>
      </c>
      <c r="M4" s="21">
        <v>39.520000000000003</v>
      </c>
      <c r="N4" s="21" t="s">
        <v>317</v>
      </c>
      <c r="O4" s="21" t="s">
        <v>1260</v>
      </c>
      <c r="P4" s="21" t="s">
        <v>1260</v>
      </c>
      <c r="Q4" s="21">
        <v>413</v>
      </c>
      <c r="R4" s="23">
        <v>46030</v>
      </c>
      <c r="S4" s="21" t="s">
        <v>1262</v>
      </c>
      <c r="T4" s="21" t="s">
        <v>1263</v>
      </c>
      <c r="U4" s="21" t="s">
        <v>1272</v>
      </c>
      <c r="V4" s="21">
        <v>293.70569999999998</v>
      </c>
      <c r="W4" s="21">
        <v>293.70420407880601</v>
      </c>
      <c r="X4" s="21">
        <v>413</v>
      </c>
      <c r="Y4" s="23">
        <v>46030</v>
      </c>
      <c r="Z4" s="21" t="s">
        <v>1274</v>
      </c>
      <c r="AA4" s="21">
        <v>0</v>
      </c>
      <c r="AB4" s="21"/>
      <c r="AC4" s="21" t="s">
        <v>1266</v>
      </c>
      <c r="AD4" s="21" t="s">
        <v>1267</v>
      </c>
      <c r="AE4" s="21">
        <v>0</v>
      </c>
      <c r="AF4" s="21">
        <v>0</v>
      </c>
      <c r="AG4" s="21">
        <v>0</v>
      </c>
      <c r="AH4" s="21">
        <v>0</v>
      </c>
      <c r="AI4" s="21">
        <v>0</v>
      </c>
      <c r="AJ4" s="21" t="s">
        <v>638</v>
      </c>
      <c r="AK4" s="21">
        <v>0</v>
      </c>
      <c r="AL4" s="21">
        <v>0</v>
      </c>
      <c r="AM4" s="21">
        <v>0</v>
      </c>
      <c r="AN4" s="21">
        <v>0</v>
      </c>
      <c r="AO4" s="21">
        <v>0</v>
      </c>
      <c r="AP4" s="21"/>
      <c r="AQ4" s="21">
        <v>0</v>
      </c>
      <c r="AR4" s="21">
        <v>0</v>
      </c>
      <c r="AS4" s="21">
        <v>35255</v>
      </c>
      <c r="AT4" s="21" t="s">
        <v>169</v>
      </c>
      <c r="AU4" s="21" t="s">
        <v>175</v>
      </c>
      <c r="AV4" s="21" t="s">
        <v>159</v>
      </c>
      <c r="AW4" s="21" t="s">
        <v>1268</v>
      </c>
      <c r="AX4" s="21" t="s">
        <v>640</v>
      </c>
      <c r="AY4" s="21">
        <v>0</v>
      </c>
      <c r="AZ4" s="21">
        <v>11607.19</v>
      </c>
      <c r="BA4" s="21">
        <v>597</v>
      </c>
      <c r="BB4" s="23">
        <v>46150</v>
      </c>
      <c r="BC4" s="21" t="s">
        <v>1269</v>
      </c>
      <c r="BD4" s="21" t="s">
        <v>641</v>
      </c>
      <c r="BE4" s="21" t="s">
        <v>641</v>
      </c>
      <c r="BF4" s="21">
        <v>9</v>
      </c>
      <c r="BG4" s="21">
        <v>1044.6500000000001</v>
      </c>
      <c r="BH4" s="21">
        <v>9</v>
      </c>
      <c r="BI4" s="21">
        <v>1044.6500000000001</v>
      </c>
      <c r="BJ4" s="21">
        <v>0</v>
      </c>
      <c r="BK4" s="21">
        <v>0</v>
      </c>
      <c r="BL4" s="21">
        <v>0</v>
      </c>
      <c r="BM4" s="21">
        <v>0</v>
      </c>
      <c r="BN4" s="23">
        <v>46235</v>
      </c>
      <c r="BO4" s="21">
        <v>39.520000000000003</v>
      </c>
    </row>
    <row r="5" spans="1:67" x14ac:dyDescent="0.25">
      <c r="A5" s="22"/>
      <c r="B5" s="21" t="s">
        <v>167</v>
      </c>
      <c r="C5" s="23">
        <v>46181</v>
      </c>
      <c r="D5" s="21" t="s">
        <v>1275</v>
      </c>
      <c r="E5" s="21" t="s">
        <v>1276</v>
      </c>
      <c r="F5" s="21" t="s">
        <v>1277</v>
      </c>
      <c r="G5" s="21" t="s">
        <v>1278</v>
      </c>
      <c r="H5" s="21">
        <v>12.8</v>
      </c>
      <c r="I5" s="21">
        <v>12.8</v>
      </c>
      <c r="J5" s="21" t="s">
        <v>1279</v>
      </c>
      <c r="K5" s="21">
        <v>12.8</v>
      </c>
      <c r="L5" s="21">
        <v>0</v>
      </c>
      <c r="M5" s="21">
        <v>12.8</v>
      </c>
      <c r="N5" s="21" t="s">
        <v>317</v>
      </c>
      <c r="O5" s="21" t="s">
        <v>1280</v>
      </c>
      <c r="P5" s="21" t="s">
        <v>1280</v>
      </c>
      <c r="Q5" s="21" t="s">
        <v>1281</v>
      </c>
      <c r="R5" s="21" t="s">
        <v>1261</v>
      </c>
      <c r="S5" s="21" t="s">
        <v>1262</v>
      </c>
      <c r="T5" s="21" t="s">
        <v>1263</v>
      </c>
      <c r="U5" s="21" t="s">
        <v>1282</v>
      </c>
      <c r="V5" s="21">
        <v>1660.1561999999999</v>
      </c>
      <c r="W5" s="21">
        <v>1660.14785960327</v>
      </c>
      <c r="X5" s="21" t="s">
        <v>1281</v>
      </c>
      <c r="Y5" s="21" t="s">
        <v>1261</v>
      </c>
      <c r="Z5" s="21" t="s">
        <v>1283</v>
      </c>
      <c r="AA5" s="21">
        <v>0</v>
      </c>
      <c r="AB5" s="21"/>
      <c r="AC5" s="21" t="s">
        <v>1284</v>
      </c>
      <c r="AD5" s="21">
        <v>1483</v>
      </c>
      <c r="AE5" s="21">
        <v>0</v>
      </c>
      <c r="AF5" s="21">
        <v>0</v>
      </c>
      <c r="AG5" s="21">
        <v>0</v>
      </c>
      <c r="AH5" s="21">
        <v>0</v>
      </c>
      <c r="AI5" s="21">
        <v>0</v>
      </c>
      <c r="AJ5" s="21" t="s">
        <v>638</v>
      </c>
      <c r="AK5" s="21">
        <v>0</v>
      </c>
      <c r="AL5" s="21">
        <v>0</v>
      </c>
      <c r="AM5" s="21">
        <v>0</v>
      </c>
      <c r="AN5" s="21">
        <v>0</v>
      </c>
      <c r="AO5" s="21">
        <v>0</v>
      </c>
      <c r="AP5" s="21"/>
      <c r="AQ5" s="21">
        <v>0</v>
      </c>
      <c r="AR5" s="21">
        <v>0</v>
      </c>
      <c r="AS5" s="21">
        <v>49523</v>
      </c>
      <c r="AT5" s="21" t="s">
        <v>1032</v>
      </c>
      <c r="AU5" s="21" t="s">
        <v>1285</v>
      </c>
      <c r="AV5" s="21"/>
      <c r="AW5" s="21" t="s">
        <v>1268</v>
      </c>
      <c r="AX5" s="21" t="s">
        <v>640</v>
      </c>
      <c r="AY5" s="21">
        <v>0</v>
      </c>
      <c r="AZ5" s="21">
        <v>21249.89</v>
      </c>
      <c r="BA5" s="21">
        <v>588</v>
      </c>
      <c r="BB5" s="23">
        <v>46120</v>
      </c>
      <c r="BC5" s="21" t="s">
        <v>1286</v>
      </c>
      <c r="BD5" s="21" t="s">
        <v>641</v>
      </c>
      <c r="BE5" s="21" t="s">
        <v>641</v>
      </c>
      <c r="BF5" s="21">
        <v>0</v>
      </c>
      <c r="BG5" s="21">
        <v>0</v>
      </c>
      <c r="BH5" s="21">
        <v>0</v>
      </c>
      <c r="BI5" s="21">
        <v>0</v>
      </c>
      <c r="BJ5" s="21">
        <v>5</v>
      </c>
      <c r="BK5" s="21">
        <v>1062.5</v>
      </c>
      <c r="BL5" s="21">
        <v>49523</v>
      </c>
      <c r="BM5" s="21">
        <v>0</v>
      </c>
      <c r="BN5" s="23">
        <v>46233</v>
      </c>
      <c r="BO5" s="21">
        <v>12.8</v>
      </c>
    </row>
    <row r="6" spans="1:67" x14ac:dyDescent="0.25">
      <c r="A6" s="22"/>
      <c r="B6" s="21" t="s">
        <v>167</v>
      </c>
      <c r="C6" s="23">
        <v>46181</v>
      </c>
      <c r="D6" s="21" t="s">
        <v>1275</v>
      </c>
      <c r="E6" s="21" t="s">
        <v>1276</v>
      </c>
      <c r="F6" s="21" t="s">
        <v>1277</v>
      </c>
      <c r="G6" s="21" t="s">
        <v>1278</v>
      </c>
      <c r="H6" s="21">
        <v>14.46</v>
      </c>
      <c r="I6" s="21">
        <v>14.46</v>
      </c>
      <c r="J6" s="21" t="s">
        <v>1279</v>
      </c>
      <c r="K6" s="21">
        <v>14.46</v>
      </c>
      <c r="L6" s="21">
        <v>0</v>
      </c>
      <c r="M6" s="21">
        <v>14.46</v>
      </c>
      <c r="N6" s="21" t="s">
        <v>317</v>
      </c>
      <c r="O6" s="21" t="s">
        <v>1280</v>
      </c>
      <c r="P6" s="21" t="s">
        <v>1280</v>
      </c>
      <c r="Q6" s="21" t="s">
        <v>1281</v>
      </c>
      <c r="R6" s="21" t="s">
        <v>1261</v>
      </c>
      <c r="S6" s="21" t="s">
        <v>1262</v>
      </c>
      <c r="T6" s="21" t="s">
        <v>1263</v>
      </c>
      <c r="U6" s="21" t="s">
        <v>1282</v>
      </c>
      <c r="V6" s="21">
        <v>1792.1853000000001</v>
      </c>
      <c r="W6" s="21">
        <v>1792.1762963072099</v>
      </c>
      <c r="X6" s="21" t="s">
        <v>1281</v>
      </c>
      <c r="Y6" s="21" t="s">
        <v>1261</v>
      </c>
      <c r="Z6" s="21" t="s">
        <v>1287</v>
      </c>
      <c r="AA6" s="21">
        <v>0</v>
      </c>
      <c r="AB6" s="21"/>
      <c r="AC6" s="21" t="s">
        <v>1284</v>
      </c>
      <c r="AD6" s="21">
        <v>1483</v>
      </c>
      <c r="AE6" s="21">
        <v>0</v>
      </c>
      <c r="AF6" s="21">
        <v>0</v>
      </c>
      <c r="AG6" s="21">
        <v>0</v>
      </c>
      <c r="AH6" s="21">
        <v>0</v>
      </c>
      <c r="AI6" s="21">
        <v>0</v>
      </c>
      <c r="AJ6" s="21" t="s">
        <v>638</v>
      </c>
      <c r="AK6" s="21">
        <v>0</v>
      </c>
      <c r="AL6" s="21">
        <v>0</v>
      </c>
      <c r="AM6" s="21">
        <v>0</v>
      </c>
      <c r="AN6" s="21">
        <v>0</v>
      </c>
      <c r="AO6" s="21">
        <v>0</v>
      </c>
      <c r="AP6" s="21"/>
      <c r="AQ6" s="21">
        <v>0</v>
      </c>
      <c r="AR6" s="21">
        <v>0</v>
      </c>
      <c r="AS6" s="21">
        <v>49523</v>
      </c>
      <c r="AT6" s="21" t="s">
        <v>1032</v>
      </c>
      <c r="AU6" s="21" t="s">
        <v>1285</v>
      </c>
      <c r="AV6" s="21"/>
      <c r="AW6" s="21" t="s">
        <v>1268</v>
      </c>
      <c r="AX6" s="21" t="s">
        <v>640</v>
      </c>
      <c r="AY6" s="21">
        <v>0</v>
      </c>
      <c r="AZ6" s="21">
        <v>25914.87</v>
      </c>
      <c r="BA6" s="21">
        <v>588</v>
      </c>
      <c r="BB6" s="23">
        <v>46120</v>
      </c>
      <c r="BC6" s="21" t="s">
        <v>1286</v>
      </c>
      <c r="BD6" s="21" t="s">
        <v>641</v>
      </c>
      <c r="BE6" s="21" t="s">
        <v>641</v>
      </c>
      <c r="BF6" s="21">
        <v>0</v>
      </c>
      <c r="BG6" s="21">
        <v>0</v>
      </c>
      <c r="BH6" s="21">
        <v>0</v>
      </c>
      <c r="BI6" s="21">
        <v>0</v>
      </c>
      <c r="BJ6" s="21">
        <v>5</v>
      </c>
      <c r="BK6" s="21">
        <v>1295.75</v>
      </c>
      <c r="BL6" s="21">
        <v>0</v>
      </c>
      <c r="BM6" s="21">
        <v>0</v>
      </c>
      <c r="BN6" s="23">
        <v>46233</v>
      </c>
      <c r="BO6" s="21">
        <v>14.46</v>
      </c>
    </row>
    <row r="7" spans="1:67" x14ac:dyDescent="0.25">
      <c r="A7" s="22"/>
      <c r="B7" s="21" t="s">
        <v>167</v>
      </c>
      <c r="C7" s="23">
        <v>46181</v>
      </c>
      <c r="D7" s="21" t="s">
        <v>1288</v>
      </c>
      <c r="E7" s="21" t="s">
        <v>1276</v>
      </c>
      <c r="F7" s="21" t="s">
        <v>1277</v>
      </c>
      <c r="G7" s="21" t="s">
        <v>1289</v>
      </c>
      <c r="H7" s="21">
        <v>23.36</v>
      </c>
      <c r="I7" s="21">
        <v>23.36</v>
      </c>
      <c r="J7" s="21" t="s">
        <v>1279</v>
      </c>
      <c r="K7" s="21">
        <v>23.36</v>
      </c>
      <c r="L7" s="21">
        <v>0</v>
      </c>
      <c r="M7" s="21">
        <v>23.36</v>
      </c>
      <c r="N7" s="21" t="s">
        <v>317</v>
      </c>
      <c r="O7" s="21" t="s">
        <v>1280</v>
      </c>
      <c r="P7" s="21" t="s">
        <v>1280</v>
      </c>
      <c r="Q7" s="21" t="s">
        <v>1290</v>
      </c>
      <c r="R7" s="21" t="s">
        <v>1291</v>
      </c>
      <c r="S7" s="21" t="s">
        <v>1262</v>
      </c>
      <c r="T7" s="21" t="s">
        <v>1263</v>
      </c>
      <c r="U7" s="21" t="s">
        <v>1292</v>
      </c>
      <c r="V7" s="21">
        <v>1673.8014000000001</v>
      </c>
      <c r="W7" s="21">
        <v>1703.76712474846</v>
      </c>
      <c r="X7" s="21" t="s">
        <v>1290</v>
      </c>
      <c r="Y7" s="21" t="s">
        <v>1291</v>
      </c>
      <c r="Z7" s="21" t="s">
        <v>1293</v>
      </c>
      <c r="AA7" s="21">
        <v>0</v>
      </c>
      <c r="AB7" s="21"/>
      <c r="AC7" s="21" t="s">
        <v>1294</v>
      </c>
      <c r="AD7" s="21">
        <v>1483</v>
      </c>
      <c r="AE7" s="21">
        <v>0</v>
      </c>
      <c r="AF7" s="21">
        <v>0</v>
      </c>
      <c r="AG7" s="21">
        <v>0</v>
      </c>
      <c r="AH7" s="21">
        <v>0</v>
      </c>
      <c r="AI7" s="21">
        <v>0</v>
      </c>
      <c r="AJ7" s="21" t="s">
        <v>638</v>
      </c>
      <c r="AK7" s="21">
        <v>0</v>
      </c>
      <c r="AL7" s="21">
        <v>0</v>
      </c>
      <c r="AM7" s="21">
        <v>735</v>
      </c>
      <c r="AN7" s="21">
        <v>0</v>
      </c>
      <c r="AO7" s="21">
        <v>0</v>
      </c>
      <c r="AP7" s="21"/>
      <c r="AQ7" s="21">
        <v>0</v>
      </c>
      <c r="AR7" s="21">
        <v>0</v>
      </c>
      <c r="AS7" s="21">
        <v>41790</v>
      </c>
      <c r="AT7" s="21" t="s">
        <v>1032</v>
      </c>
      <c r="AU7" s="21" t="s">
        <v>1285</v>
      </c>
      <c r="AV7" s="21"/>
      <c r="AW7" s="21" t="s">
        <v>1268</v>
      </c>
      <c r="AX7" s="21" t="s">
        <v>640</v>
      </c>
      <c r="AY7" s="21">
        <v>0</v>
      </c>
      <c r="AZ7" s="21">
        <v>39800</v>
      </c>
      <c r="BA7" s="21">
        <v>589</v>
      </c>
      <c r="BB7" s="23">
        <v>46120</v>
      </c>
      <c r="BC7" s="21" t="s">
        <v>1286</v>
      </c>
      <c r="BD7" s="21" t="s">
        <v>641</v>
      </c>
      <c r="BE7" s="21" t="s">
        <v>641</v>
      </c>
      <c r="BF7" s="21">
        <v>0</v>
      </c>
      <c r="BG7" s="21">
        <v>0</v>
      </c>
      <c r="BH7" s="21">
        <v>0</v>
      </c>
      <c r="BI7" s="21">
        <v>0</v>
      </c>
      <c r="BJ7" s="21">
        <v>5</v>
      </c>
      <c r="BK7" s="21">
        <v>1955</v>
      </c>
      <c r="BL7" s="21">
        <v>41790</v>
      </c>
      <c r="BM7" s="21">
        <v>0</v>
      </c>
      <c r="BN7" s="23">
        <v>46234</v>
      </c>
      <c r="BO7" s="21">
        <v>23.36</v>
      </c>
    </row>
    <row r="8" spans="1:67" x14ac:dyDescent="0.25">
      <c r="A8" s="22"/>
      <c r="B8" s="21" t="s">
        <v>167</v>
      </c>
      <c r="C8" s="23">
        <v>46334</v>
      </c>
      <c r="D8" s="21" t="s">
        <v>1295</v>
      </c>
      <c r="E8" s="21" t="s">
        <v>1276</v>
      </c>
      <c r="F8" s="21" t="s">
        <v>1277</v>
      </c>
      <c r="G8" s="21" t="s">
        <v>1296</v>
      </c>
      <c r="H8" s="21">
        <v>3.68</v>
      </c>
      <c r="I8" s="21">
        <v>3.68</v>
      </c>
      <c r="J8" s="21" t="s">
        <v>1279</v>
      </c>
      <c r="K8" s="21">
        <v>3.68</v>
      </c>
      <c r="L8" s="21">
        <v>0</v>
      </c>
      <c r="M8" s="21">
        <v>3.68</v>
      </c>
      <c r="N8" s="21" t="s">
        <v>317</v>
      </c>
      <c r="O8" s="21" t="s">
        <v>1297</v>
      </c>
      <c r="P8" s="21" t="s">
        <v>1297</v>
      </c>
      <c r="Q8" s="21">
        <v>412</v>
      </c>
      <c r="R8" s="23">
        <v>46211</v>
      </c>
      <c r="S8" s="21" t="s">
        <v>1262</v>
      </c>
      <c r="T8" s="21" t="s">
        <v>1263</v>
      </c>
      <c r="U8" s="21" t="s">
        <v>1298</v>
      </c>
      <c r="V8" s="21">
        <v>1636.95</v>
      </c>
      <c r="W8" s="21">
        <v>1636.8818349714199</v>
      </c>
      <c r="X8" s="21">
        <v>412</v>
      </c>
      <c r="Y8" s="23">
        <v>46211</v>
      </c>
      <c r="Z8" s="21" t="s">
        <v>1299</v>
      </c>
      <c r="AA8" s="21">
        <v>0</v>
      </c>
      <c r="AB8" s="21"/>
      <c r="AC8" s="21" t="s">
        <v>1300</v>
      </c>
      <c r="AD8" s="21" t="s">
        <v>1301</v>
      </c>
      <c r="AE8" s="21">
        <v>0</v>
      </c>
      <c r="AF8" s="21">
        <v>0</v>
      </c>
      <c r="AG8" s="21">
        <v>0</v>
      </c>
      <c r="AH8" s="21">
        <v>0</v>
      </c>
      <c r="AI8" s="21">
        <v>0</v>
      </c>
      <c r="AJ8" s="21" t="s">
        <v>638</v>
      </c>
      <c r="AK8" s="21">
        <v>0</v>
      </c>
      <c r="AL8" s="21">
        <v>0</v>
      </c>
      <c r="AM8" s="21">
        <v>0</v>
      </c>
      <c r="AN8" s="21">
        <v>0</v>
      </c>
      <c r="AO8" s="21">
        <v>0</v>
      </c>
      <c r="AP8" s="21"/>
      <c r="AQ8" s="21">
        <v>0</v>
      </c>
      <c r="AR8" s="21">
        <v>0</v>
      </c>
      <c r="AS8" s="21">
        <v>7108</v>
      </c>
      <c r="AT8" s="21" t="s">
        <v>1032</v>
      </c>
      <c r="AU8" s="21" t="s">
        <v>1285</v>
      </c>
      <c r="AV8" s="21"/>
      <c r="AW8" s="21" t="s">
        <v>1268</v>
      </c>
      <c r="AX8" s="21" t="s">
        <v>640</v>
      </c>
      <c r="AY8" s="21">
        <v>0</v>
      </c>
      <c r="AZ8" s="21">
        <v>6023.73</v>
      </c>
      <c r="BA8" s="21">
        <v>616</v>
      </c>
      <c r="BB8" s="23">
        <v>46273</v>
      </c>
      <c r="BC8" s="21" t="s">
        <v>1302</v>
      </c>
      <c r="BD8" s="21" t="s">
        <v>641</v>
      </c>
      <c r="BE8" s="21" t="s">
        <v>641</v>
      </c>
      <c r="BF8" s="21">
        <v>9</v>
      </c>
      <c r="BG8" s="21">
        <v>542.16</v>
      </c>
      <c r="BH8" s="21">
        <v>9</v>
      </c>
      <c r="BI8" s="21">
        <v>542.16</v>
      </c>
      <c r="BJ8" s="21">
        <v>0</v>
      </c>
      <c r="BK8" s="21">
        <v>0</v>
      </c>
      <c r="BL8" s="21">
        <v>7108</v>
      </c>
      <c r="BM8" s="21">
        <v>0</v>
      </c>
      <c r="BN8" s="23">
        <v>46241</v>
      </c>
      <c r="BO8" s="21">
        <v>3.68</v>
      </c>
    </row>
    <row r="9" spans="1:67" x14ac:dyDescent="0.25">
      <c r="A9" s="22"/>
      <c r="B9" s="21" t="s">
        <v>167</v>
      </c>
      <c r="C9" s="23">
        <v>46334</v>
      </c>
      <c r="D9" s="21" t="s">
        <v>1303</v>
      </c>
      <c r="E9" s="21" t="s">
        <v>227</v>
      </c>
      <c r="F9" s="21" t="s">
        <v>228</v>
      </c>
      <c r="G9" s="21" t="s">
        <v>1304</v>
      </c>
      <c r="H9" s="21">
        <v>113</v>
      </c>
      <c r="I9" s="21">
        <v>113</v>
      </c>
      <c r="J9" s="21" t="s">
        <v>168</v>
      </c>
      <c r="K9" s="21">
        <v>113</v>
      </c>
      <c r="L9" s="21">
        <v>0</v>
      </c>
      <c r="M9" s="21">
        <v>113</v>
      </c>
      <c r="N9" s="21" t="s">
        <v>317</v>
      </c>
      <c r="O9" s="21" t="s">
        <v>1260</v>
      </c>
      <c r="P9" s="21" t="s">
        <v>1260</v>
      </c>
      <c r="Q9" s="21">
        <v>420</v>
      </c>
      <c r="R9" s="23">
        <v>46181</v>
      </c>
      <c r="S9" s="21" t="s">
        <v>1262</v>
      </c>
      <c r="T9" s="21" t="s">
        <v>1263</v>
      </c>
      <c r="U9" s="21" t="s">
        <v>1305</v>
      </c>
      <c r="V9" s="21">
        <v>274.33600000000001</v>
      </c>
      <c r="W9" s="21">
        <v>274.33623998796298</v>
      </c>
      <c r="X9" s="21">
        <v>420</v>
      </c>
      <c r="Y9" s="23">
        <v>46181</v>
      </c>
      <c r="Z9" s="21" t="s">
        <v>1306</v>
      </c>
      <c r="AA9" s="21">
        <v>0</v>
      </c>
      <c r="AB9" s="21"/>
      <c r="AC9" s="21" t="s">
        <v>1300</v>
      </c>
      <c r="AD9" s="21" t="s">
        <v>1301</v>
      </c>
      <c r="AE9" s="21">
        <v>0</v>
      </c>
      <c r="AF9" s="21">
        <v>0</v>
      </c>
      <c r="AG9" s="21">
        <v>0</v>
      </c>
      <c r="AH9" s="21">
        <v>0</v>
      </c>
      <c r="AI9" s="21">
        <v>0</v>
      </c>
      <c r="AJ9" s="21" t="s">
        <v>638</v>
      </c>
      <c r="AK9" s="21">
        <v>0</v>
      </c>
      <c r="AL9" s="21">
        <v>0</v>
      </c>
      <c r="AM9" s="21">
        <v>0</v>
      </c>
      <c r="AN9" s="21">
        <v>0</v>
      </c>
      <c r="AO9" s="21">
        <v>0</v>
      </c>
      <c r="AP9" s="21"/>
      <c r="AQ9" s="21">
        <v>0</v>
      </c>
      <c r="AR9" s="21">
        <v>0</v>
      </c>
      <c r="AS9" s="21">
        <v>36580</v>
      </c>
      <c r="AT9" s="21" t="s">
        <v>169</v>
      </c>
      <c r="AU9" s="21" t="s">
        <v>175</v>
      </c>
      <c r="AV9" s="21" t="s">
        <v>159</v>
      </c>
      <c r="AW9" s="21" t="s">
        <v>1268</v>
      </c>
      <c r="AX9" s="21" t="s">
        <v>640</v>
      </c>
      <c r="AY9" s="21">
        <v>0</v>
      </c>
      <c r="AZ9" s="21">
        <v>31000</v>
      </c>
      <c r="BA9" s="21">
        <v>617</v>
      </c>
      <c r="BB9" s="23">
        <v>46273</v>
      </c>
      <c r="BC9" s="21" t="s">
        <v>1269</v>
      </c>
      <c r="BD9" s="21" t="s">
        <v>641</v>
      </c>
      <c r="BE9" s="21" t="s">
        <v>641</v>
      </c>
      <c r="BF9" s="21">
        <v>9</v>
      </c>
      <c r="BG9" s="21">
        <v>2790</v>
      </c>
      <c r="BH9" s="21">
        <v>9</v>
      </c>
      <c r="BI9" s="21">
        <v>2790</v>
      </c>
      <c r="BJ9" s="21">
        <v>0</v>
      </c>
      <c r="BK9" s="21">
        <v>0</v>
      </c>
      <c r="BL9" s="21">
        <v>36580</v>
      </c>
      <c r="BM9" s="21">
        <v>0</v>
      </c>
      <c r="BN9" s="23">
        <v>46240</v>
      </c>
      <c r="BO9" s="21">
        <v>113</v>
      </c>
    </row>
    <row r="10" spans="1:67" x14ac:dyDescent="0.25">
      <c r="A10" s="22"/>
      <c r="B10" s="21" t="s">
        <v>167</v>
      </c>
      <c r="C10" s="23">
        <v>46334</v>
      </c>
      <c r="D10" s="21" t="s">
        <v>1307</v>
      </c>
      <c r="E10" s="21" t="s">
        <v>227</v>
      </c>
      <c r="F10" s="21" t="s">
        <v>228</v>
      </c>
      <c r="G10" s="21" t="s">
        <v>1308</v>
      </c>
      <c r="H10" s="21">
        <v>56.5</v>
      </c>
      <c r="I10" s="21">
        <v>56.5</v>
      </c>
      <c r="J10" s="21" t="s">
        <v>168</v>
      </c>
      <c r="K10" s="21">
        <v>56.5</v>
      </c>
      <c r="L10" s="21">
        <v>0</v>
      </c>
      <c r="M10" s="21">
        <v>56.5</v>
      </c>
      <c r="N10" s="21" t="s">
        <v>317</v>
      </c>
      <c r="O10" s="21" t="s">
        <v>1260</v>
      </c>
      <c r="P10" s="21" t="s">
        <v>1260</v>
      </c>
      <c r="Q10" s="21">
        <v>422</v>
      </c>
      <c r="R10" s="23">
        <v>46211</v>
      </c>
      <c r="S10" s="21" t="s">
        <v>1262</v>
      </c>
      <c r="T10" s="21" t="s">
        <v>1263</v>
      </c>
      <c r="U10" s="21" t="s">
        <v>1309</v>
      </c>
      <c r="V10" s="21">
        <v>274.33600000000001</v>
      </c>
      <c r="W10" s="21">
        <v>274.33623998796298</v>
      </c>
      <c r="X10" s="21">
        <v>422</v>
      </c>
      <c r="Y10" s="23">
        <v>46211</v>
      </c>
      <c r="Z10" s="21"/>
      <c r="AA10" s="21">
        <v>0</v>
      </c>
      <c r="AB10" s="21"/>
      <c r="AC10" s="21" t="s">
        <v>1300</v>
      </c>
      <c r="AD10" s="21" t="s">
        <v>1301</v>
      </c>
      <c r="AE10" s="21">
        <v>0</v>
      </c>
      <c r="AF10" s="21">
        <v>0</v>
      </c>
      <c r="AG10" s="21">
        <v>0</v>
      </c>
      <c r="AH10" s="21">
        <v>0</v>
      </c>
      <c r="AI10" s="21">
        <v>0</v>
      </c>
      <c r="AJ10" s="21" t="s">
        <v>638</v>
      </c>
      <c r="AK10" s="21">
        <v>0</v>
      </c>
      <c r="AL10" s="21">
        <v>0</v>
      </c>
      <c r="AM10" s="21">
        <v>0</v>
      </c>
      <c r="AN10" s="21">
        <v>0</v>
      </c>
      <c r="AO10" s="21">
        <v>0</v>
      </c>
      <c r="AP10" s="21"/>
      <c r="AQ10" s="21">
        <v>0</v>
      </c>
      <c r="AR10" s="21">
        <v>0</v>
      </c>
      <c r="AS10" s="21">
        <v>18290</v>
      </c>
      <c r="AT10" s="21" t="s">
        <v>169</v>
      </c>
      <c r="AU10" s="21" t="s">
        <v>175</v>
      </c>
      <c r="AV10" s="21" t="s">
        <v>159</v>
      </c>
      <c r="AW10" s="21" t="s">
        <v>1268</v>
      </c>
      <c r="AX10" s="21" t="s">
        <v>640</v>
      </c>
      <c r="AY10" s="21">
        <v>0</v>
      </c>
      <c r="AZ10" s="21">
        <v>15500</v>
      </c>
      <c r="BA10" s="21">
        <v>618</v>
      </c>
      <c r="BB10" s="23">
        <v>46273</v>
      </c>
      <c r="BC10" s="21" t="s">
        <v>1269</v>
      </c>
      <c r="BD10" s="21" t="s">
        <v>641</v>
      </c>
      <c r="BE10" s="21" t="s">
        <v>641</v>
      </c>
      <c r="BF10" s="21">
        <v>9</v>
      </c>
      <c r="BG10" s="21">
        <v>1395</v>
      </c>
      <c r="BH10" s="21">
        <v>9</v>
      </c>
      <c r="BI10" s="21">
        <v>1395</v>
      </c>
      <c r="BJ10" s="21">
        <v>0</v>
      </c>
      <c r="BK10" s="21">
        <v>0</v>
      </c>
      <c r="BL10" s="21">
        <v>18290</v>
      </c>
      <c r="BM10" s="21">
        <v>0</v>
      </c>
      <c r="BN10" s="23">
        <v>46241</v>
      </c>
      <c r="BO10" s="21">
        <v>0</v>
      </c>
    </row>
    <row r="11" spans="1:67" x14ac:dyDescent="0.25">
      <c r="A11" s="22"/>
      <c r="B11" s="21" t="s">
        <v>167</v>
      </c>
      <c r="C11" s="21" t="s">
        <v>916</v>
      </c>
      <c r="D11" s="21" t="s">
        <v>1310</v>
      </c>
      <c r="E11" s="21" t="s">
        <v>227</v>
      </c>
      <c r="F11" s="21" t="s">
        <v>228</v>
      </c>
      <c r="G11" s="21" t="s">
        <v>1311</v>
      </c>
      <c r="H11" s="21">
        <v>105</v>
      </c>
      <c r="I11" s="21">
        <v>105</v>
      </c>
      <c r="J11" s="21" t="s">
        <v>168</v>
      </c>
      <c r="K11" s="21">
        <v>105</v>
      </c>
      <c r="L11" s="21">
        <v>0</v>
      </c>
      <c r="M11" s="21">
        <v>105</v>
      </c>
      <c r="N11" s="21" t="s">
        <v>317</v>
      </c>
      <c r="O11" s="21" t="s">
        <v>1260</v>
      </c>
      <c r="P11" s="21" t="s">
        <v>1260</v>
      </c>
      <c r="Q11" s="21">
        <v>447</v>
      </c>
      <c r="R11" s="23">
        <v>46364</v>
      </c>
      <c r="S11" s="21" t="s">
        <v>1262</v>
      </c>
      <c r="T11" s="21" t="s">
        <v>1263</v>
      </c>
      <c r="U11" s="21" t="s">
        <v>1312</v>
      </c>
      <c r="V11" s="21">
        <v>328.25200000000001</v>
      </c>
      <c r="W11" s="21">
        <v>328.24861016925797</v>
      </c>
      <c r="X11" s="21">
        <v>447</v>
      </c>
      <c r="Y11" s="23">
        <v>46364</v>
      </c>
      <c r="Z11" s="21" t="s">
        <v>189</v>
      </c>
      <c r="AA11" s="21" t="s">
        <v>189</v>
      </c>
      <c r="AB11" s="21"/>
      <c r="AC11" s="21" t="s">
        <v>189</v>
      </c>
      <c r="AD11" s="21" t="s">
        <v>189</v>
      </c>
      <c r="AE11" s="21">
        <v>0</v>
      </c>
      <c r="AF11" s="21">
        <v>0</v>
      </c>
      <c r="AG11" s="21">
        <v>0</v>
      </c>
      <c r="AH11" s="21">
        <v>0</v>
      </c>
      <c r="AI11" s="21">
        <v>0</v>
      </c>
      <c r="AJ11" s="21" t="s">
        <v>638</v>
      </c>
      <c r="AK11" s="21">
        <v>0</v>
      </c>
      <c r="AL11" s="21">
        <v>0</v>
      </c>
      <c r="AM11" s="21">
        <v>0</v>
      </c>
      <c r="AN11" s="21">
        <v>0</v>
      </c>
      <c r="AO11" s="21">
        <v>0</v>
      </c>
      <c r="AP11" s="21"/>
      <c r="AQ11" s="21">
        <v>0</v>
      </c>
      <c r="AR11" s="21">
        <v>0</v>
      </c>
      <c r="AS11" s="21">
        <v>40670</v>
      </c>
      <c r="AT11" s="21" t="s">
        <v>169</v>
      </c>
      <c r="AU11" s="21" t="s">
        <v>175</v>
      </c>
      <c r="AV11" s="21" t="s">
        <v>159</v>
      </c>
      <c r="AW11" s="21" t="s">
        <v>1313</v>
      </c>
      <c r="AX11" s="21" t="s">
        <v>640</v>
      </c>
      <c r="AY11" s="21">
        <v>0</v>
      </c>
      <c r="AZ11" s="21">
        <v>34466.1</v>
      </c>
      <c r="BA11" s="21">
        <v>649</v>
      </c>
      <c r="BB11" s="21" t="s">
        <v>888</v>
      </c>
      <c r="BC11" s="21" t="s">
        <v>1269</v>
      </c>
      <c r="BD11" s="21" t="s">
        <v>641</v>
      </c>
      <c r="BE11" s="21" t="s">
        <v>641</v>
      </c>
      <c r="BF11" s="21">
        <v>9</v>
      </c>
      <c r="BG11" s="21">
        <v>3101.98</v>
      </c>
      <c r="BH11" s="21">
        <v>9</v>
      </c>
      <c r="BI11" s="21">
        <v>3101.98</v>
      </c>
      <c r="BJ11" s="21">
        <v>0</v>
      </c>
      <c r="BK11" s="21">
        <v>0</v>
      </c>
      <c r="BL11" s="21">
        <v>40670</v>
      </c>
      <c r="BM11" s="21">
        <v>0</v>
      </c>
      <c r="BN11" s="23">
        <v>46246</v>
      </c>
      <c r="BO11" s="21">
        <v>0</v>
      </c>
    </row>
    <row r="12" spans="1:67" x14ac:dyDescent="0.25">
      <c r="A12" s="22"/>
      <c r="B12" s="21" t="s">
        <v>167</v>
      </c>
      <c r="C12" s="21" t="s">
        <v>916</v>
      </c>
      <c r="D12" s="21" t="s">
        <v>1314</v>
      </c>
      <c r="E12" s="21" t="s">
        <v>227</v>
      </c>
      <c r="F12" s="21" t="s">
        <v>228</v>
      </c>
      <c r="G12" s="21" t="s">
        <v>1315</v>
      </c>
      <c r="H12" s="21">
        <v>65</v>
      </c>
      <c r="I12" s="21">
        <v>65</v>
      </c>
      <c r="J12" s="21" t="s">
        <v>168</v>
      </c>
      <c r="K12" s="21">
        <v>65</v>
      </c>
      <c r="L12" s="21">
        <v>0</v>
      </c>
      <c r="M12" s="21">
        <v>65</v>
      </c>
      <c r="N12" s="21" t="s">
        <v>317</v>
      </c>
      <c r="O12" s="21" t="s">
        <v>1260</v>
      </c>
      <c r="P12" s="21" t="s">
        <v>1260</v>
      </c>
      <c r="Q12" s="21">
        <v>448</v>
      </c>
      <c r="R12" s="21" t="s">
        <v>867</v>
      </c>
      <c r="S12" s="21" t="s">
        <v>1262</v>
      </c>
      <c r="T12" s="21" t="s">
        <v>1263</v>
      </c>
      <c r="U12" s="21" t="s">
        <v>1316</v>
      </c>
      <c r="V12" s="21">
        <v>390.46100000000001</v>
      </c>
      <c r="W12" s="21">
        <v>390.45624120048001</v>
      </c>
      <c r="X12" s="21">
        <v>448</v>
      </c>
      <c r="Y12" s="21" t="s">
        <v>867</v>
      </c>
      <c r="Z12" s="21" t="s">
        <v>189</v>
      </c>
      <c r="AA12" s="21" t="s">
        <v>189</v>
      </c>
      <c r="AB12" s="21"/>
      <c r="AC12" s="21" t="s">
        <v>189</v>
      </c>
      <c r="AD12" s="21" t="s">
        <v>189</v>
      </c>
      <c r="AE12" s="21">
        <v>0</v>
      </c>
      <c r="AF12" s="21">
        <v>0</v>
      </c>
      <c r="AG12" s="21">
        <v>0</v>
      </c>
      <c r="AH12" s="21">
        <v>0</v>
      </c>
      <c r="AI12" s="21">
        <v>0</v>
      </c>
      <c r="AJ12" s="21" t="s">
        <v>638</v>
      </c>
      <c r="AK12" s="21">
        <v>0</v>
      </c>
      <c r="AL12" s="21">
        <v>0</v>
      </c>
      <c r="AM12" s="21">
        <v>0</v>
      </c>
      <c r="AN12" s="21">
        <v>0</v>
      </c>
      <c r="AO12" s="21">
        <v>0</v>
      </c>
      <c r="AP12" s="21"/>
      <c r="AQ12" s="21">
        <v>0</v>
      </c>
      <c r="AR12" s="21">
        <v>0</v>
      </c>
      <c r="AS12" s="21">
        <v>29948</v>
      </c>
      <c r="AT12" s="21" t="s">
        <v>169</v>
      </c>
      <c r="AU12" s="21" t="s">
        <v>175</v>
      </c>
      <c r="AV12" s="21" t="s">
        <v>159</v>
      </c>
      <c r="AW12" s="21" t="s">
        <v>1313</v>
      </c>
      <c r="AX12" s="21" t="s">
        <v>640</v>
      </c>
      <c r="AY12" s="21">
        <v>0</v>
      </c>
      <c r="AZ12" s="21">
        <v>25379.66</v>
      </c>
      <c r="BA12" s="21">
        <v>0</v>
      </c>
      <c r="BB12" s="21" t="s">
        <v>888</v>
      </c>
      <c r="BC12" s="21" t="s">
        <v>1269</v>
      </c>
      <c r="BD12" s="21" t="s">
        <v>641</v>
      </c>
      <c r="BE12" s="21" t="s">
        <v>641</v>
      </c>
      <c r="BF12" s="21">
        <v>9</v>
      </c>
      <c r="BG12" s="21">
        <v>2284.1999999999998</v>
      </c>
      <c r="BH12" s="21">
        <v>9</v>
      </c>
      <c r="BI12" s="21">
        <v>2284.1999999999998</v>
      </c>
      <c r="BJ12" s="21">
        <v>0</v>
      </c>
      <c r="BK12" s="21">
        <v>0</v>
      </c>
      <c r="BL12" s="21">
        <v>29948</v>
      </c>
      <c r="BM12" s="21">
        <v>0</v>
      </c>
      <c r="BN12" s="23">
        <v>46247</v>
      </c>
      <c r="BO12" s="21">
        <v>0</v>
      </c>
    </row>
    <row r="13" spans="1:67" x14ac:dyDescent="0.25">
      <c r="A13" s="22"/>
      <c r="B13" s="21" t="s">
        <v>167</v>
      </c>
      <c r="C13" s="21" t="s">
        <v>916</v>
      </c>
      <c r="D13" s="21" t="s">
        <v>1317</v>
      </c>
      <c r="E13" s="21" t="s">
        <v>1276</v>
      </c>
      <c r="F13" s="21" t="s">
        <v>1277</v>
      </c>
      <c r="G13" s="21" t="s">
        <v>1318</v>
      </c>
      <c r="H13" s="21">
        <v>10.35</v>
      </c>
      <c r="I13" s="21">
        <v>10.35</v>
      </c>
      <c r="J13" s="21" t="s">
        <v>1279</v>
      </c>
      <c r="K13" s="21">
        <v>10.35</v>
      </c>
      <c r="L13" s="21">
        <v>0</v>
      </c>
      <c r="M13" s="21">
        <v>10.35</v>
      </c>
      <c r="N13" s="21" t="s">
        <v>317</v>
      </c>
      <c r="O13" s="21" t="s">
        <v>1280</v>
      </c>
      <c r="P13" s="21" t="s">
        <v>1280</v>
      </c>
      <c r="Q13" s="21" t="s">
        <v>1319</v>
      </c>
      <c r="R13" s="23">
        <v>46242</v>
      </c>
      <c r="S13" s="21" t="s">
        <v>1262</v>
      </c>
      <c r="T13" s="21" t="s">
        <v>1263</v>
      </c>
      <c r="U13" s="21" t="s">
        <v>1320</v>
      </c>
      <c r="V13" s="21">
        <v>1632.25</v>
      </c>
      <c r="W13" s="21">
        <v>1664.4264445593001</v>
      </c>
      <c r="X13" s="21" t="s">
        <v>1319</v>
      </c>
      <c r="Y13" s="23">
        <v>46242</v>
      </c>
      <c r="Z13" s="21" t="s">
        <v>189</v>
      </c>
      <c r="AA13" s="21" t="s">
        <v>189</v>
      </c>
      <c r="AB13" s="21"/>
      <c r="AC13" s="21" t="s">
        <v>1321</v>
      </c>
      <c r="AD13" s="21">
        <v>1507</v>
      </c>
      <c r="AE13" s="21">
        <v>0</v>
      </c>
      <c r="AF13" s="21">
        <v>0</v>
      </c>
      <c r="AG13" s="21">
        <v>0</v>
      </c>
      <c r="AH13" s="21">
        <v>0</v>
      </c>
      <c r="AI13" s="21">
        <v>0</v>
      </c>
      <c r="AJ13" s="21" t="s">
        <v>638</v>
      </c>
      <c r="AK13" s="21">
        <v>0</v>
      </c>
      <c r="AL13" s="21">
        <v>0</v>
      </c>
      <c r="AM13" s="21">
        <v>350</v>
      </c>
      <c r="AN13" s="21">
        <v>0</v>
      </c>
      <c r="AO13" s="21">
        <v>0</v>
      </c>
      <c r="AP13" s="21"/>
      <c r="AQ13" s="21">
        <v>0</v>
      </c>
      <c r="AR13" s="21">
        <v>0</v>
      </c>
      <c r="AS13" s="21">
        <v>18106</v>
      </c>
      <c r="AT13" s="21" t="s">
        <v>1032</v>
      </c>
      <c r="AU13" s="21" t="s">
        <v>1285</v>
      </c>
      <c r="AV13" s="21"/>
      <c r="AW13" s="21" t="s">
        <v>1313</v>
      </c>
      <c r="AX13" s="21" t="s">
        <v>640</v>
      </c>
      <c r="AY13" s="21">
        <v>0</v>
      </c>
      <c r="AZ13" s="21">
        <v>17226.810000000001</v>
      </c>
      <c r="BA13" s="21">
        <v>645</v>
      </c>
      <c r="BB13" s="21" t="s">
        <v>867</v>
      </c>
      <c r="BC13" s="21" t="s">
        <v>1286</v>
      </c>
      <c r="BD13" s="21" t="s">
        <v>641</v>
      </c>
      <c r="BE13" s="21" t="s">
        <v>641</v>
      </c>
      <c r="BF13" s="21">
        <v>0</v>
      </c>
      <c r="BG13" s="21">
        <v>0</v>
      </c>
      <c r="BH13" s="21">
        <v>0</v>
      </c>
      <c r="BI13" s="21">
        <v>0</v>
      </c>
      <c r="BJ13" s="21">
        <v>5</v>
      </c>
      <c r="BK13" s="21">
        <v>862.19</v>
      </c>
      <c r="BL13" s="21">
        <v>18106</v>
      </c>
      <c r="BM13" s="21">
        <v>0</v>
      </c>
      <c r="BN13" s="23">
        <v>46242</v>
      </c>
      <c r="BO13" s="21">
        <v>0</v>
      </c>
    </row>
    <row r="14" spans="1:67" x14ac:dyDescent="0.25">
      <c r="A14" s="22"/>
      <c r="B14" s="21" t="s">
        <v>167</v>
      </c>
      <c r="C14" s="21" t="s">
        <v>968</v>
      </c>
      <c r="D14" s="21" t="s">
        <v>1322</v>
      </c>
      <c r="E14" s="21" t="s">
        <v>227</v>
      </c>
      <c r="F14" s="21" t="s">
        <v>228</v>
      </c>
      <c r="G14" s="21" t="s">
        <v>1323</v>
      </c>
      <c r="H14" s="21">
        <v>26.366</v>
      </c>
      <c r="I14" s="21">
        <v>26.366</v>
      </c>
      <c r="J14" s="21" t="s">
        <v>168</v>
      </c>
      <c r="K14" s="21">
        <v>26.366</v>
      </c>
      <c r="L14" s="21">
        <v>0</v>
      </c>
      <c r="M14" s="21">
        <v>26.366</v>
      </c>
      <c r="N14" s="21" t="s">
        <v>317</v>
      </c>
      <c r="O14" s="21" t="s">
        <v>1324</v>
      </c>
      <c r="P14" s="21" t="s">
        <v>1324</v>
      </c>
      <c r="Q14" s="21">
        <v>23</v>
      </c>
      <c r="R14" s="23">
        <v>46061</v>
      </c>
      <c r="S14" s="21" t="s">
        <v>1262</v>
      </c>
      <c r="T14" s="21" t="s">
        <v>1263</v>
      </c>
      <c r="U14" s="21" t="s">
        <v>1325</v>
      </c>
      <c r="V14" s="21">
        <v>258.53370000000001</v>
      </c>
      <c r="W14" s="21">
        <v>258.53371497179103</v>
      </c>
      <c r="X14" s="21">
        <v>23</v>
      </c>
      <c r="Y14" s="23">
        <v>46061</v>
      </c>
      <c r="Z14" s="21" t="s">
        <v>189</v>
      </c>
      <c r="AA14" s="21" t="s">
        <v>189</v>
      </c>
      <c r="AB14" s="21"/>
      <c r="AC14" s="21" t="s">
        <v>189</v>
      </c>
      <c r="AD14" s="21" t="s">
        <v>189</v>
      </c>
      <c r="AE14" s="21">
        <v>0</v>
      </c>
      <c r="AF14" s="21">
        <v>0</v>
      </c>
      <c r="AG14" s="21">
        <v>0</v>
      </c>
      <c r="AH14" s="21">
        <v>0</v>
      </c>
      <c r="AI14" s="21">
        <v>0</v>
      </c>
      <c r="AJ14" s="21" t="s">
        <v>638</v>
      </c>
      <c r="AK14" s="21">
        <v>0</v>
      </c>
      <c r="AL14" s="21">
        <v>0</v>
      </c>
      <c r="AM14" s="21">
        <v>0</v>
      </c>
      <c r="AN14" s="21">
        <v>0</v>
      </c>
      <c r="AO14" s="21">
        <v>0</v>
      </c>
      <c r="AP14" s="21"/>
      <c r="AQ14" s="21">
        <v>0</v>
      </c>
      <c r="AR14" s="21">
        <v>0</v>
      </c>
      <c r="AS14" s="21">
        <v>8043.46</v>
      </c>
      <c r="AT14" s="21" t="s">
        <v>169</v>
      </c>
      <c r="AU14" s="21" t="s">
        <v>175</v>
      </c>
      <c r="AV14" s="21" t="s">
        <v>159</v>
      </c>
      <c r="AW14" s="21" t="s">
        <v>1268</v>
      </c>
      <c r="AX14" s="21" t="s">
        <v>640</v>
      </c>
      <c r="AY14" s="21">
        <v>0</v>
      </c>
      <c r="AZ14" s="21">
        <v>6816.5</v>
      </c>
      <c r="BA14" s="21">
        <v>568</v>
      </c>
      <c r="BB14" s="21" t="s">
        <v>949</v>
      </c>
      <c r="BC14" s="21" t="s">
        <v>1326</v>
      </c>
      <c r="BD14" s="21" t="s">
        <v>641</v>
      </c>
      <c r="BE14" s="21" t="s">
        <v>641</v>
      </c>
      <c r="BF14" s="21">
        <v>9</v>
      </c>
      <c r="BG14" s="21">
        <v>613.48</v>
      </c>
      <c r="BH14" s="21">
        <v>9</v>
      </c>
      <c r="BI14" s="21">
        <v>613.48</v>
      </c>
      <c r="BJ14" s="21">
        <v>0</v>
      </c>
      <c r="BK14" s="21">
        <v>0</v>
      </c>
      <c r="BL14" s="21">
        <v>8043.46</v>
      </c>
      <c r="BM14" s="21">
        <v>0</v>
      </c>
      <c r="BN14" s="23">
        <v>46236</v>
      </c>
      <c r="BO14" s="21">
        <v>0</v>
      </c>
    </row>
    <row r="15" spans="1:67" x14ac:dyDescent="0.25">
      <c r="A15" s="22"/>
      <c r="B15" s="21" t="s">
        <v>167</v>
      </c>
      <c r="C15" s="21" t="s">
        <v>1067</v>
      </c>
      <c r="D15" s="21" t="s">
        <v>1327</v>
      </c>
      <c r="E15" s="21" t="s">
        <v>227</v>
      </c>
      <c r="F15" s="21" t="s">
        <v>228</v>
      </c>
      <c r="G15" s="21" t="s">
        <v>1328</v>
      </c>
      <c r="H15" s="21">
        <v>2.2400000000000002</v>
      </c>
      <c r="I15" s="21">
        <v>2.2400000000000002</v>
      </c>
      <c r="J15" s="21" t="s">
        <v>168</v>
      </c>
      <c r="K15" s="21">
        <v>2.2400000000000002</v>
      </c>
      <c r="L15" s="21">
        <v>0</v>
      </c>
      <c r="M15" s="21">
        <v>2.2400000000000002</v>
      </c>
      <c r="N15" s="21" t="s">
        <v>317</v>
      </c>
      <c r="O15" s="21" t="s">
        <v>1260</v>
      </c>
      <c r="P15" s="21" t="s">
        <v>1260</v>
      </c>
      <c r="Q15" s="21">
        <v>484</v>
      </c>
      <c r="R15" s="21" t="s">
        <v>995</v>
      </c>
      <c r="S15" s="21" t="s">
        <v>1262</v>
      </c>
      <c r="T15" s="21" t="s">
        <v>1263</v>
      </c>
      <c r="U15" s="21" t="s">
        <v>1329</v>
      </c>
      <c r="V15" s="21">
        <v>810.82590000000005</v>
      </c>
      <c r="W15" s="21">
        <v>810.76157781595202</v>
      </c>
      <c r="X15" s="21">
        <v>484</v>
      </c>
      <c r="Y15" s="21" t="s">
        <v>995</v>
      </c>
      <c r="Z15" s="21" t="s">
        <v>1330</v>
      </c>
      <c r="AA15" s="21">
        <v>0</v>
      </c>
      <c r="AB15" s="21"/>
      <c r="AC15" s="21">
        <v>0</v>
      </c>
      <c r="AD15" s="21">
        <v>1479694045</v>
      </c>
      <c r="AE15" s="21">
        <v>0</v>
      </c>
      <c r="AF15" s="21">
        <v>0</v>
      </c>
      <c r="AG15" s="21">
        <v>0</v>
      </c>
      <c r="AH15" s="21">
        <v>0</v>
      </c>
      <c r="AI15" s="21">
        <v>0</v>
      </c>
      <c r="AJ15" s="21" t="s">
        <v>638</v>
      </c>
      <c r="AK15" s="21">
        <v>0</v>
      </c>
      <c r="AL15" s="21">
        <v>0</v>
      </c>
      <c r="AM15" s="21">
        <v>0</v>
      </c>
      <c r="AN15" s="21">
        <v>0</v>
      </c>
      <c r="AO15" s="21">
        <v>0</v>
      </c>
      <c r="AP15" s="21"/>
      <c r="AQ15" s="21">
        <v>0</v>
      </c>
      <c r="AR15" s="21">
        <v>0</v>
      </c>
      <c r="AS15" s="21">
        <v>2143</v>
      </c>
      <c r="AT15" s="21" t="s">
        <v>169</v>
      </c>
      <c r="AU15" s="21" t="s">
        <v>175</v>
      </c>
      <c r="AV15" s="21" t="s">
        <v>159</v>
      </c>
      <c r="AW15" s="21" t="s">
        <v>1331</v>
      </c>
      <c r="AX15" s="21" t="s">
        <v>640</v>
      </c>
      <c r="AY15" s="21">
        <v>0</v>
      </c>
      <c r="AZ15" s="21">
        <v>1816.11</v>
      </c>
      <c r="BA15" s="21">
        <v>696</v>
      </c>
      <c r="BB15" s="21" t="s">
        <v>1067</v>
      </c>
      <c r="BC15" s="21" t="s">
        <v>1269</v>
      </c>
      <c r="BD15" s="21" t="s">
        <v>641</v>
      </c>
      <c r="BE15" s="21" t="s">
        <v>641</v>
      </c>
      <c r="BF15" s="21">
        <v>9</v>
      </c>
      <c r="BG15" s="21">
        <v>163.46</v>
      </c>
      <c r="BH15" s="21">
        <v>9</v>
      </c>
      <c r="BI15" s="21">
        <v>163.46</v>
      </c>
      <c r="BJ15" s="21">
        <v>0</v>
      </c>
      <c r="BK15" s="21">
        <v>0</v>
      </c>
      <c r="BL15" s="21">
        <v>2143</v>
      </c>
      <c r="BM15" s="21">
        <v>0</v>
      </c>
      <c r="BN15" s="23">
        <v>46254</v>
      </c>
      <c r="BO15" s="21">
        <v>2.2400000000000002</v>
      </c>
    </row>
    <row r="16" spans="1:67" x14ac:dyDescent="0.25">
      <c r="M16" s="14">
        <f>SUM(M2:M15)</f>
        <v>555.226</v>
      </c>
      <c r="N16" s="2"/>
      <c r="T16"/>
      <c r="U16"/>
    </row>
    <row r="17" spans="13:21" x14ac:dyDescent="0.25">
      <c r="M17" s="2"/>
      <c r="N17" s="2"/>
      <c r="T17"/>
      <c r="U17"/>
    </row>
    <row r="18" spans="13:21" x14ac:dyDescent="0.25">
      <c r="N18" s="2"/>
      <c r="U18"/>
    </row>
    <row r="19" spans="13:21" x14ac:dyDescent="0.25">
      <c r="N19" s="2"/>
      <c r="U19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Sale Reco</vt:lpstr>
      <vt:lpstr>Purch Reco</vt:lpstr>
      <vt:lpstr>Sale-Account</vt:lpstr>
      <vt:lpstr>Dispatch-GST Report</vt:lpstr>
      <vt:lpstr>Purch-Account</vt:lpstr>
      <vt:lpstr>RM Report-Store</vt:lpstr>
      <vt:lpstr>PE Labels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2026-09-05T13:06:19Z</dcterms:modified>
</cp:coreProperties>
</file>