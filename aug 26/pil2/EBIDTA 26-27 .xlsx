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BIDTA AUG.26\"/>
    </mc:Choice>
  </mc:AlternateContent>
  <bookViews>
    <workbookView xWindow="0" yWindow="0" windowWidth="20490" windowHeight="7335"/>
  </bookViews>
  <sheets>
    <sheet name="EBIDTA" sheetId="3" r:id="rId1"/>
    <sheet name="Stock Sheet" sheetId="2" r:id="rId2"/>
    <sheet name="MASTER 26 27" sheetId="45" state="hidden" r:id="rId3"/>
    <sheet name="TB April" sheetId="46" state="hidden" r:id="rId4"/>
    <sheet name="TB MAy" sheetId="47" state="hidden" r:id="rId5"/>
    <sheet name="TB JUNE" sheetId="48" state="hidden" r:id="rId6"/>
    <sheet name="TB JULY" sheetId="49" state="hidden" r:id="rId7"/>
    <sheet name="TB AUG" sheetId="50" r:id="rId8"/>
  </sheets>
  <definedNames>
    <definedName name="_xlnm._FilterDatabase" localSheetId="2" hidden="1">'MASTER 26 27'!$A$4:$B$1298</definedName>
    <definedName name="_xlnm._FilterDatabase" localSheetId="3" hidden="1">'TB April'!$A$4:$H$1071</definedName>
    <definedName name="_xlnm._FilterDatabase" localSheetId="7" hidden="1">'TB AUG'!$A$5:$H$1232</definedName>
    <definedName name="_xlnm._FilterDatabase" localSheetId="6" hidden="1">'TB JULY'!$A$4:$H$1204</definedName>
    <definedName name="_xlnm._FilterDatabase" localSheetId="5" hidden="1">'TB JUNE'!$A$4:$H$1186</definedName>
    <definedName name="_xlnm._FilterDatabase" localSheetId="4" hidden="1">'TB MAy'!$A$4:$H$1138</definedName>
    <definedName name="_xlnm.Print_Area" localSheetId="0">EBIDTA!$B$3:$U$62</definedName>
  </definedNames>
  <calcPr calcId="152511"/>
</workbook>
</file>

<file path=xl/calcChain.xml><?xml version="1.0" encoding="utf-8"?>
<calcChain xmlns="http://schemas.openxmlformats.org/spreadsheetml/2006/main">
  <c r="C58" i="3" l="1"/>
  <c r="C51" i="3"/>
  <c r="C50" i="3"/>
  <c r="C49" i="3"/>
  <c r="C32" i="3"/>
  <c r="Y29" i="3"/>
  <c r="Y20" i="3"/>
  <c r="Y7" i="3"/>
  <c r="Y34" i="3"/>
  <c r="H1217" i="50"/>
  <c r="H1206" i="50"/>
  <c r="H1164" i="50"/>
  <c r="H1153" i="50"/>
  <c r="H1142" i="50"/>
  <c r="H1131" i="50"/>
  <c r="H1127" i="50"/>
  <c r="H1076" i="50"/>
  <c r="H1075" i="50"/>
  <c r="H1069" i="50"/>
  <c r="H1025" i="50"/>
  <c r="H1011" i="50"/>
  <c r="H991" i="50"/>
  <c r="H984" i="50"/>
  <c r="H964" i="50"/>
  <c r="H959" i="50"/>
  <c r="H927" i="50"/>
  <c r="H917" i="50"/>
  <c r="H907" i="50"/>
  <c r="H903" i="50"/>
  <c r="H885" i="50"/>
  <c r="H884" i="50"/>
  <c r="H881" i="50"/>
  <c r="H871" i="50"/>
  <c r="H870" i="50"/>
  <c r="H863" i="50"/>
  <c r="H857" i="50"/>
  <c r="H854" i="50"/>
  <c r="H852" i="50"/>
  <c r="H851" i="50"/>
  <c r="H840" i="50"/>
  <c r="H838" i="50"/>
  <c r="H836" i="50"/>
  <c r="H823" i="50"/>
  <c r="H819" i="50"/>
  <c r="H812" i="50"/>
  <c r="H793" i="50"/>
  <c r="H739" i="50"/>
  <c r="H714" i="50"/>
  <c r="H695" i="50"/>
  <c r="H677" i="50"/>
  <c r="H676" i="50"/>
  <c r="H651" i="50"/>
  <c r="H621" i="50"/>
  <c r="H617" i="50"/>
  <c r="H613" i="50"/>
  <c r="H612" i="50"/>
  <c r="H598" i="50"/>
  <c r="H595" i="50"/>
  <c r="H570" i="50"/>
  <c r="H557" i="50"/>
  <c r="H554" i="50"/>
  <c r="H532" i="50"/>
  <c r="H529" i="50"/>
  <c r="H526" i="50"/>
  <c r="H522" i="50"/>
  <c r="H492" i="50"/>
  <c r="H471" i="50"/>
  <c r="H470" i="50"/>
  <c r="H460" i="50"/>
  <c r="H459" i="50"/>
  <c r="H442" i="50"/>
  <c r="H416" i="50"/>
  <c r="H368" i="50"/>
  <c r="H262" i="50"/>
  <c r="H238" i="50"/>
  <c r="H157" i="50"/>
  <c r="H138" i="50"/>
  <c r="H99" i="50"/>
  <c r="H88" i="50"/>
  <c r="H80" i="50"/>
  <c r="H15" i="50"/>
  <c r="H6" i="50"/>
  <c r="F1233" i="50"/>
  <c r="E1233" i="50"/>
  <c r="G1232" i="50"/>
  <c r="G1231" i="50"/>
  <c r="G1230" i="50"/>
  <c r="G1229" i="50"/>
  <c r="G1228" i="50"/>
  <c r="G1227" i="50"/>
  <c r="G1226" i="50"/>
  <c r="G1225" i="50"/>
  <c r="G1224" i="50"/>
  <c r="G1223" i="50"/>
  <c r="G1222" i="50"/>
  <c r="G1221" i="50"/>
  <c r="G1220" i="50"/>
  <c r="G1219" i="50"/>
  <c r="G1218" i="50"/>
  <c r="G1217" i="50"/>
  <c r="G1216" i="50"/>
  <c r="G1215" i="50"/>
  <c r="G1214" i="50"/>
  <c r="G1213" i="50"/>
  <c r="G1212" i="50"/>
  <c r="G1211" i="50"/>
  <c r="G1210" i="50"/>
  <c r="G1209" i="50"/>
  <c r="G1208" i="50"/>
  <c r="G1207" i="50"/>
  <c r="G1206" i="50"/>
  <c r="G1205" i="50"/>
  <c r="G1204" i="50"/>
  <c r="G1203" i="50"/>
  <c r="G1202" i="50"/>
  <c r="G1201" i="50"/>
  <c r="G1200" i="50"/>
  <c r="G1199" i="50"/>
  <c r="G1198" i="50"/>
  <c r="G1197" i="50"/>
  <c r="G1196" i="50"/>
  <c r="G1195" i="50"/>
  <c r="G1194" i="50"/>
  <c r="G1193" i="50"/>
  <c r="G1192" i="50"/>
  <c r="G1191" i="50"/>
  <c r="G1190" i="50"/>
  <c r="G1189" i="50"/>
  <c r="G1188" i="50"/>
  <c r="G1187" i="50"/>
  <c r="G1186" i="50"/>
  <c r="G1185" i="50"/>
  <c r="G1184" i="50"/>
  <c r="G1183" i="50"/>
  <c r="G1182" i="50"/>
  <c r="G1181" i="50"/>
  <c r="G1180" i="50"/>
  <c r="G1179" i="50"/>
  <c r="G1178" i="50"/>
  <c r="G1177" i="50"/>
  <c r="G1176" i="50"/>
  <c r="G1175" i="50"/>
  <c r="G1174" i="50"/>
  <c r="G1173" i="50"/>
  <c r="G1172" i="50"/>
  <c r="G1171" i="50"/>
  <c r="G1170" i="50"/>
  <c r="G1169" i="50"/>
  <c r="G1168" i="50"/>
  <c r="G1167" i="50"/>
  <c r="G1166" i="50"/>
  <c r="G1165" i="50"/>
  <c r="G1164" i="50"/>
  <c r="G1163" i="50"/>
  <c r="G1162" i="50"/>
  <c r="G1161" i="50"/>
  <c r="G1160" i="50"/>
  <c r="G1159" i="50"/>
  <c r="G1158" i="50"/>
  <c r="G1157" i="50"/>
  <c r="G1156" i="50"/>
  <c r="G1155" i="50"/>
  <c r="G1154" i="50"/>
  <c r="G1153" i="50"/>
  <c r="G1152" i="50"/>
  <c r="G1151" i="50"/>
  <c r="G1150" i="50"/>
  <c r="G1149" i="50"/>
  <c r="G1148" i="50"/>
  <c r="G1147" i="50"/>
  <c r="G1146" i="50"/>
  <c r="G1145" i="50"/>
  <c r="G1144" i="50"/>
  <c r="G1143" i="50"/>
  <c r="G1142" i="50"/>
  <c r="G1141" i="50"/>
  <c r="G1140" i="50"/>
  <c r="G1139" i="50"/>
  <c r="G1138" i="50"/>
  <c r="G1137" i="50"/>
  <c r="G1136" i="50"/>
  <c r="G1135" i="50"/>
  <c r="G1134" i="50"/>
  <c r="G1133" i="50"/>
  <c r="G1132" i="50"/>
  <c r="G1131" i="50"/>
  <c r="G1130" i="50"/>
  <c r="G1129" i="50"/>
  <c r="G1128" i="50"/>
  <c r="G1127" i="50"/>
  <c r="G1126" i="50"/>
  <c r="G1125" i="50"/>
  <c r="G1124" i="50"/>
  <c r="G1123" i="50"/>
  <c r="G1122" i="50"/>
  <c r="G1121" i="50"/>
  <c r="G1120" i="50"/>
  <c r="G1119" i="50"/>
  <c r="G1118" i="50"/>
  <c r="G1117" i="50"/>
  <c r="G1116" i="50"/>
  <c r="G1115" i="50"/>
  <c r="G1114" i="50"/>
  <c r="G1113" i="50"/>
  <c r="G1112" i="50"/>
  <c r="G1111" i="50"/>
  <c r="G1110" i="50"/>
  <c r="G1109" i="50"/>
  <c r="G1108" i="50"/>
  <c r="G1107" i="50"/>
  <c r="G1106" i="50"/>
  <c r="G1105" i="50"/>
  <c r="G1104" i="50"/>
  <c r="G1103" i="50"/>
  <c r="G1102" i="50"/>
  <c r="G1101" i="50"/>
  <c r="G1100" i="50"/>
  <c r="G1099" i="50"/>
  <c r="G1098" i="50"/>
  <c r="G1097" i="50"/>
  <c r="G1096" i="50"/>
  <c r="G1095" i="50"/>
  <c r="G1094" i="50"/>
  <c r="G1093" i="50"/>
  <c r="G1092" i="50"/>
  <c r="G1091" i="50"/>
  <c r="G1090" i="50"/>
  <c r="G1089" i="50"/>
  <c r="G1088" i="50"/>
  <c r="G1087" i="50"/>
  <c r="G1086" i="50"/>
  <c r="G1085" i="50"/>
  <c r="G1084" i="50"/>
  <c r="G1083" i="50"/>
  <c r="G1082" i="50"/>
  <c r="G1081" i="50"/>
  <c r="G1080" i="50"/>
  <c r="G1079" i="50"/>
  <c r="G1078" i="50"/>
  <c r="G1077" i="50"/>
  <c r="G1076" i="50"/>
  <c r="G1075" i="50"/>
  <c r="G1074" i="50"/>
  <c r="G1073" i="50"/>
  <c r="G1072" i="50"/>
  <c r="G1071" i="50"/>
  <c r="G1070" i="50"/>
  <c r="G1069" i="50"/>
  <c r="G1068" i="50"/>
  <c r="G1067" i="50"/>
  <c r="G1066" i="50"/>
  <c r="G1065" i="50"/>
  <c r="G1064" i="50"/>
  <c r="G1063" i="50"/>
  <c r="G1062" i="50"/>
  <c r="G1061" i="50"/>
  <c r="G1060" i="50"/>
  <c r="G1059" i="50"/>
  <c r="G1058" i="50"/>
  <c r="G1057" i="50"/>
  <c r="G1056" i="50"/>
  <c r="G1055" i="50"/>
  <c r="G1054" i="50"/>
  <c r="G1053" i="50"/>
  <c r="G1052" i="50"/>
  <c r="G1051" i="50"/>
  <c r="G1050" i="50"/>
  <c r="G1049" i="50"/>
  <c r="G1048" i="50"/>
  <c r="G1047" i="50"/>
  <c r="G1046" i="50"/>
  <c r="G1045" i="50"/>
  <c r="G1044" i="50"/>
  <c r="G1043" i="50"/>
  <c r="G1042" i="50"/>
  <c r="G1041" i="50"/>
  <c r="G1040" i="50"/>
  <c r="G1039" i="50"/>
  <c r="G1038" i="50"/>
  <c r="G1037" i="50"/>
  <c r="G1036" i="50"/>
  <c r="G1035" i="50"/>
  <c r="G1034" i="50"/>
  <c r="G1033" i="50"/>
  <c r="G1032" i="50"/>
  <c r="G1031" i="50"/>
  <c r="G1030" i="50"/>
  <c r="G1029" i="50"/>
  <c r="G1028" i="50"/>
  <c r="G1027" i="50"/>
  <c r="G1026" i="50"/>
  <c r="G1025" i="50"/>
  <c r="G1024" i="50"/>
  <c r="G1023" i="50"/>
  <c r="G1022" i="50"/>
  <c r="G1021" i="50"/>
  <c r="G1020" i="50"/>
  <c r="G1019" i="50"/>
  <c r="G1018" i="50"/>
  <c r="G1017" i="50"/>
  <c r="G1016" i="50"/>
  <c r="G1015" i="50"/>
  <c r="G1014" i="50"/>
  <c r="G1013" i="50"/>
  <c r="G1012" i="50"/>
  <c r="G1011" i="50"/>
  <c r="G1010" i="50"/>
  <c r="G1009" i="50"/>
  <c r="G1008" i="50"/>
  <c r="G1007" i="50"/>
  <c r="G1006" i="50"/>
  <c r="G1005" i="50"/>
  <c r="G1004" i="50"/>
  <c r="G1003" i="50"/>
  <c r="G1002" i="50"/>
  <c r="G1001" i="50"/>
  <c r="G1000" i="50"/>
  <c r="G999" i="50"/>
  <c r="G998" i="50"/>
  <c r="G997" i="50"/>
  <c r="G996" i="50"/>
  <c r="G995" i="50"/>
  <c r="G994" i="50"/>
  <c r="G993" i="50"/>
  <c r="G992" i="50"/>
  <c r="G991" i="50"/>
  <c r="G990" i="50"/>
  <c r="G989" i="50"/>
  <c r="G988" i="50"/>
  <c r="G987" i="50"/>
  <c r="G986" i="50"/>
  <c r="G985" i="50"/>
  <c r="G984" i="50"/>
  <c r="G983" i="50"/>
  <c r="G982" i="50"/>
  <c r="G981" i="50"/>
  <c r="G980" i="50"/>
  <c r="G979" i="50"/>
  <c r="G978" i="50"/>
  <c r="G977" i="50"/>
  <c r="G976" i="50"/>
  <c r="G975" i="50"/>
  <c r="G974" i="50"/>
  <c r="G973" i="50"/>
  <c r="G972" i="50"/>
  <c r="G971" i="50"/>
  <c r="G970" i="50"/>
  <c r="G969" i="50"/>
  <c r="G968" i="50"/>
  <c r="G967" i="50"/>
  <c r="G966" i="50"/>
  <c r="G965" i="50"/>
  <c r="G964" i="50"/>
  <c r="G963" i="50"/>
  <c r="G962" i="50"/>
  <c r="G961" i="50"/>
  <c r="G960" i="50"/>
  <c r="G959" i="50"/>
  <c r="G958" i="50"/>
  <c r="G957" i="50"/>
  <c r="G956" i="50"/>
  <c r="G955" i="50"/>
  <c r="G954" i="50"/>
  <c r="G953" i="50"/>
  <c r="G952" i="50"/>
  <c r="G951" i="50"/>
  <c r="G950" i="50"/>
  <c r="G949" i="50"/>
  <c r="G948" i="50"/>
  <c r="G947" i="50"/>
  <c r="G946" i="50"/>
  <c r="G945" i="50"/>
  <c r="G944" i="50"/>
  <c r="G943" i="50"/>
  <c r="G942" i="50"/>
  <c r="G941" i="50"/>
  <c r="G940" i="50"/>
  <c r="G939" i="50"/>
  <c r="G938" i="50"/>
  <c r="G937" i="50"/>
  <c r="G936" i="50"/>
  <c r="G935" i="50"/>
  <c r="G934" i="50"/>
  <c r="G933" i="50"/>
  <c r="G932" i="50"/>
  <c r="G931" i="50"/>
  <c r="G930" i="50"/>
  <c r="G929" i="50"/>
  <c r="G928" i="50"/>
  <c r="G927" i="50"/>
  <c r="G926" i="50"/>
  <c r="G925" i="50"/>
  <c r="G924" i="50"/>
  <c r="G923" i="50"/>
  <c r="G922" i="50"/>
  <c r="G921" i="50"/>
  <c r="G920" i="50"/>
  <c r="G919" i="50"/>
  <c r="G918" i="50"/>
  <c r="G917" i="50"/>
  <c r="G916" i="50"/>
  <c r="G915" i="50"/>
  <c r="G914" i="50"/>
  <c r="G913" i="50"/>
  <c r="G912" i="50"/>
  <c r="G911" i="50"/>
  <c r="G910" i="50"/>
  <c r="G909" i="50"/>
  <c r="G908" i="50"/>
  <c r="G907" i="50"/>
  <c r="G906" i="50"/>
  <c r="G905" i="50"/>
  <c r="G904" i="50"/>
  <c r="G903" i="50"/>
  <c r="G902" i="50"/>
  <c r="G901" i="50"/>
  <c r="G900" i="50"/>
  <c r="G899" i="50"/>
  <c r="G898" i="50"/>
  <c r="G897" i="50"/>
  <c r="G896" i="50"/>
  <c r="G895" i="50"/>
  <c r="G894" i="50"/>
  <c r="G893" i="50"/>
  <c r="G892" i="50"/>
  <c r="G891" i="50"/>
  <c r="G890" i="50"/>
  <c r="G889" i="50"/>
  <c r="G888" i="50"/>
  <c r="G887" i="50"/>
  <c r="G886" i="50"/>
  <c r="G885" i="50"/>
  <c r="G884" i="50"/>
  <c r="G883" i="50"/>
  <c r="G882" i="50"/>
  <c r="G881" i="50"/>
  <c r="G880" i="50"/>
  <c r="G879" i="50"/>
  <c r="G878" i="50"/>
  <c r="G877" i="50"/>
  <c r="G876" i="50"/>
  <c r="G875" i="50"/>
  <c r="G874" i="50"/>
  <c r="G873" i="50"/>
  <c r="G872" i="50"/>
  <c r="G871" i="50"/>
  <c r="G870" i="50"/>
  <c r="G869" i="50"/>
  <c r="G868" i="50"/>
  <c r="G867" i="50"/>
  <c r="G866" i="50"/>
  <c r="G865" i="50"/>
  <c r="G864" i="50"/>
  <c r="G863" i="50"/>
  <c r="G862" i="50"/>
  <c r="G861" i="50"/>
  <c r="G860" i="50"/>
  <c r="G859" i="50"/>
  <c r="G858" i="50"/>
  <c r="G857" i="50"/>
  <c r="G856" i="50"/>
  <c r="G855" i="50"/>
  <c r="G854" i="50"/>
  <c r="G853" i="50"/>
  <c r="G852" i="50"/>
  <c r="G851" i="50"/>
  <c r="G850" i="50"/>
  <c r="G849" i="50"/>
  <c r="G848" i="50"/>
  <c r="G847" i="50"/>
  <c r="G846" i="50"/>
  <c r="G845" i="50"/>
  <c r="G844" i="50"/>
  <c r="G843" i="50"/>
  <c r="G842" i="50"/>
  <c r="G841" i="50"/>
  <c r="G840" i="50"/>
  <c r="G839" i="50"/>
  <c r="G838" i="50"/>
  <c r="G837" i="50"/>
  <c r="G836" i="50"/>
  <c r="G835" i="50"/>
  <c r="G834" i="50"/>
  <c r="G833" i="50"/>
  <c r="G832" i="50"/>
  <c r="G831" i="50"/>
  <c r="G830" i="50"/>
  <c r="G829" i="50"/>
  <c r="G828" i="50"/>
  <c r="G827" i="50"/>
  <c r="G826" i="50"/>
  <c r="G825" i="50"/>
  <c r="G824" i="50"/>
  <c r="G823" i="50"/>
  <c r="G822" i="50"/>
  <c r="G821" i="50"/>
  <c r="G820" i="50"/>
  <c r="G819" i="50"/>
  <c r="G818" i="50"/>
  <c r="G817" i="50"/>
  <c r="G816" i="50"/>
  <c r="G815" i="50"/>
  <c r="G814" i="50"/>
  <c r="G813" i="50"/>
  <c r="G812" i="50"/>
  <c r="G811" i="50"/>
  <c r="G810" i="50"/>
  <c r="G809" i="50"/>
  <c r="G808" i="50"/>
  <c r="G807" i="50"/>
  <c r="G806" i="50"/>
  <c r="G805" i="50"/>
  <c r="G804" i="50"/>
  <c r="G803" i="50"/>
  <c r="G802" i="50"/>
  <c r="G801" i="50"/>
  <c r="G800" i="50"/>
  <c r="G799" i="50"/>
  <c r="G798" i="50"/>
  <c r="G797" i="50"/>
  <c r="G796" i="50"/>
  <c r="G795" i="50"/>
  <c r="G794" i="50"/>
  <c r="G793" i="50"/>
  <c r="G792" i="50"/>
  <c r="G791" i="50"/>
  <c r="G790" i="50"/>
  <c r="G789" i="50"/>
  <c r="G788" i="50"/>
  <c r="G787" i="50"/>
  <c r="G786" i="50"/>
  <c r="G785" i="50"/>
  <c r="G784" i="50"/>
  <c r="G783" i="50"/>
  <c r="G782" i="50"/>
  <c r="G781" i="50"/>
  <c r="G780" i="50"/>
  <c r="G779" i="50"/>
  <c r="G778" i="50"/>
  <c r="G777" i="50"/>
  <c r="G776" i="50"/>
  <c r="G775" i="50"/>
  <c r="G774" i="50"/>
  <c r="G773" i="50"/>
  <c r="G772" i="50"/>
  <c r="G771" i="50"/>
  <c r="G770" i="50"/>
  <c r="G769" i="50"/>
  <c r="G768" i="50"/>
  <c r="G767" i="50"/>
  <c r="G766" i="50"/>
  <c r="G765" i="50"/>
  <c r="G764" i="50"/>
  <c r="G763" i="50"/>
  <c r="G762" i="50"/>
  <c r="G761" i="50"/>
  <c r="G760" i="50"/>
  <c r="G759" i="50"/>
  <c r="G758" i="50"/>
  <c r="G757" i="50"/>
  <c r="G756" i="50"/>
  <c r="G755" i="50"/>
  <c r="G754" i="50"/>
  <c r="G753" i="50"/>
  <c r="G752" i="50"/>
  <c r="G751" i="50"/>
  <c r="G750" i="50"/>
  <c r="G749" i="50"/>
  <c r="G748" i="50"/>
  <c r="G747" i="50"/>
  <c r="G746" i="50"/>
  <c r="G745" i="50"/>
  <c r="G744" i="50"/>
  <c r="G743" i="50"/>
  <c r="G742" i="50"/>
  <c r="G741" i="50"/>
  <c r="G740" i="50"/>
  <c r="G739" i="50"/>
  <c r="G738" i="50"/>
  <c r="G737" i="50"/>
  <c r="G736" i="50"/>
  <c r="G735" i="50"/>
  <c r="G734" i="50"/>
  <c r="G733" i="50"/>
  <c r="G732" i="50"/>
  <c r="G731" i="50"/>
  <c r="G730" i="50"/>
  <c r="G729" i="50"/>
  <c r="G728" i="50"/>
  <c r="G727" i="50"/>
  <c r="G726" i="50"/>
  <c r="G725" i="50"/>
  <c r="G724" i="50"/>
  <c r="G723" i="50"/>
  <c r="G722" i="50"/>
  <c r="G721" i="50"/>
  <c r="G720" i="50"/>
  <c r="G719" i="50"/>
  <c r="G718" i="50"/>
  <c r="G717" i="50"/>
  <c r="G716" i="50"/>
  <c r="G715" i="50"/>
  <c r="G714" i="50"/>
  <c r="G713" i="50"/>
  <c r="G712" i="50"/>
  <c r="G711" i="50"/>
  <c r="G710" i="50"/>
  <c r="G709" i="50"/>
  <c r="G708" i="50"/>
  <c r="G707" i="50"/>
  <c r="G706" i="50"/>
  <c r="G705" i="50"/>
  <c r="G704" i="50"/>
  <c r="G703" i="50"/>
  <c r="G702" i="50"/>
  <c r="G701" i="50"/>
  <c r="G700" i="50"/>
  <c r="G699" i="50"/>
  <c r="G698" i="50"/>
  <c r="G697" i="50"/>
  <c r="G696" i="50"/>
  <c r="G695" i="50"/>
  <c r="G694" i="50"/>
  <c r="G693" i="50"/>
  <c r="G692" i="50"/>
  <c r="G691" i="50"/>
  <c r="G690" i="50"/>
  <c r="G689" i="50"/>
  <c r="G688" i="50"/>
  <c r="G687" i="50"/>
  <c r="G686" i="50"/>
  <c r="G685" i="50"/>
  <c r="G684" i="50"/>
  <c r="G683" i="50"/>
  <c r="G682" i="50"/>
  <c r="G681" i="50"/>
  <c r="G680" i="50"/>
  <c r="G679" i="50"/>
  <c r="G678" i="50"/>
  <c r="G677" i="50"/>
  <c r="G676" i="50"/>
  <c r="G675" i="50"/>
  <c r="G674" i="50"/>
  <c r="G673" i="50"/>
  <c r="G672" i="50"/>
  <c r="G671" i="50"/>
  <c r="G670" i="50"/>
  <c r="G669" i="50"/>
  <c r="G668" i="50"/>
  <c r="G667" i="50"/>
  <c r="G666" i="50"/>
  <c r="G665" i="50"/>
  <c r="G664" i="50"/>
  <c r="G663" i="50"/>
  <c r="G662" i="50"/>
  <c r="G661" i="50"/>
  <c r="G660" i="50"/>
  <c r="G659" i="50"/>
  <c r="G658" i="50"/>
  <c r="G657" i="50"/>
  <c r="G656" i="50"/>
  <c r="G655" i="50"/>
  <c r="G654" i="50"/>
  <c r="G653" i="50"/>
  <c r="G652" i="50"/>
  <c r="G651" i="50"/>
  <c r="G650" i="50"/>
  <c r="G649" i="50"/>
  <c r="G648" i="50"/>
  <c r="G647" i="50"/>
  <c r="G646" i="50"/>
  <c r="G645" i="50"/>
  <c r="G644" i="50"/>
  <c r="G643" i="50"/>
  <c r="G642" i="50"/>
  <c r="G641" i="50"/>
  <c r="G640" i="50"/>
  <c r="G639" i="50"/>
  <c r="G638" i="50"/>
  <c r="G637" i="50"/>
  <c r="G636" i="50"/>
  <c r="G635" i="50"/>
  <c r="G634" i="50"/>
  <c r="G633" i="50"/>
  <c r="G632" i="50"/>
  <c r="G631" i="50"/>
  <c r="G630" i="50"/>
  <c r="G629" i="50"/>
  <c r="G628" i="50"/>
  <c r="G627" i="50"/>
  <c r="G626" i="50"/>
  <c r="G625" i="50"/>
  <c r="G624" i="50"/>
  <c r="G623" i="50"/>
  <c r="G622" i="50"/>
  <c r="G621" i="50"/>
  <c r="G620" i="50"/>
  <c r="G619" i="50"/>
  <c r="G618" i="50"/>
  <c r="G617" i="50"/>
  <c r="G616" i="50"/>
  <c r="G615" i="50"/>
  <c r="G614" i="50"/>
  <c r="G613" i="50"/>
  <c r="G612" i="50"/>
  <c r="G611" i="50"/>
  <c r="G610" i="50"/>
  <c r="G609" i="50"/>
  <c r="G608" i="50"/>
  <c r="G607" i="50"/>
  <c r="G606" i="50"/>
  <c r="G605" i="50"/>
  <c r="G604" i="50"/>
  <c r="G603" i="50"/>
  <c r="G602" i="50"/>
  <c r="G601" i="50"/>
  <c r="G600" i="50"/>
  <c r="G599" i="50"/>
  <c r="G598" i="50"/>
  <c r="G597" i="50"/>
  <c r="G596" i="50"/>
  <c r="G595" i="50"/>
  <c r="G594" i="50"/>
  <c r="G593" i="50"/>
  <c r="G592" i="50"/>
  <c r="G591" i="50"/>
  <c r="G590" i="50"/>
  <c r="G589" i="50"/>
  <c r="G588" i="50"/>
  <c r="G587" i="50"/>
  <c r="G586" i="50"/>
  <c r="G585" i="50"/>
  <c r="G584" i="50"/>
  <c r="G583" i="50"/>
  <c r="G582" i="50"/>
  <c r="G581" i="50"/>
  <c r="G580" i="50"/>
  <c r="G579" i="50"/>
  <c r="G578" i="50"/>
  <c r="G577" i="50"/>
  <c r="G576" i="50"/>
  <c r="G575" i="50"/>
  <c r="G574" i="50"/>
  <c r="G573" i="50"/>
  <c r="G572" i="50"/>
  <c r="G571" i="50"/>
  <c r="G570" i="50"/>
  <c r="G569" i="50"/>
  <c r="G568" i="50"/>
  <c r="G567" i="50"/>
  <c r="G566" i="50"/>
  <c r="G565" i="50"/>
  <c r="G564" i="50"/>
  <c r="G563" i="50"/>
  <c r="G562" i="50"/>
  <c r="G561" i="50"/>
  <c r="G560" i="50"/>
  <c r="G559" i="50"/>
  <c r="G558" i="50"/>
  <c r="G557" i="50"/>
  <c r="G556" i="50"/>
  <c r="G555" i="50"/>
  <c r="G554" i="50"/>
  <c r="G553" i="50"/>
  <c r="G552" i="50"/>
  <c r="G551" i="50"/>
  <c r="G550" i="50"/>
  <c r="G549" i="50"/>
  <c r="G548" i="50"/>
  <c r="G547" i="50"/>
  <c r="G546" i="50"/>
  <c r="G545" i="50"/>
  <c r="G544" i="50"/>
  <c r="G543" i="50"/>
  <c r="G542" i="50"/>
  <c r="G541" i="50"/>
  <c r="G540" i="50"/>
  <c r="G539" i="50"/>
  <c r="G538" i="50"/>
  <c r="G537" i="50"/>
  <c r="G536" i="50"/>
  <c r="G535" i="50"/>
  <c r="G534" i="50"/>
  <c r="G533" i="50"/>
  <c r="G532" i="50"/>
  <c r="G531" i="50"/>
  <c r="G530" i="50"/>
  <c r="G529" i="50"/>
  <c r="G528" i="50"/>
  <c r="G527" i="50"/>
  <c r="G526" i="50"/>
  <c r="G525" i="50"/>
  <c r="G524" i="50"/>
  <c r="G523" i="50"/>
  <c r="G522" i="50"/>
  <c r="G521" i="50"/>
  <c r="G520" i="50"/>
  <c r="G519" i="50"/>
  <c r="G518" i="50"/>
  <c r="G517" i="50"/>
  <c r="G516" i="50"/>
  <c r="G515" i="50"/>
  <c r="G514" i="50"/>
  <c r="G513" i="50"/>
  <c r="G512" i="50"/>
  <c r="G511" i="50"/>
  <c r="G510" i="50"/>
  <c r="G509" i="50"/>
  <c r="G508" i="50"/>
  <c r="G507" i="50"/>
  <c r="G506" i="50"/>
  <c r="G505" i="50"/>
  <c r="G504" i="50"/>
  <c r="G503" i="50"/>
  <c r="G502" i="50"/>
  <c r="G501" i="50"/>
  <c r="G500" i="50"/>
  <c r="G499" i="50"/>
  <c r="G498" i="50"/>
  <c r="G497" i="50"/>
  <c r="G496" i="50"/>
  <c r="G495" i="50"/>
  <c r="G494" i="50"/>
  <c r="G493" i="50"/>
  <c r="G492" i="50"/>
  <c r="G491" i="50"/>
  <c r="G490" i="50"/>
  <c r="G489" i="50"/>
  <c r="G488" i="50"/>
  <c r="G487" i="50"/>
  <c r="G486" i="50"/>
  <c r="G485" i="50"/>
  <c r="G484" i="50"/>
  <c r="G483" i="50"/>
  <c r="G482" i="50"/>
  <c r="G481" i="50"/>
  <c r="G480" i="50"/>
  <c r="G479" i="50"/>
  <c r="G478" i="50"/>
  <c r="G477" i="50"/>
  <c r="G476" i="50"/>
  <c r="G475" i="50"/>
  <c r="G474" i="50"/>
  <c r="G473" i="50"/>
  <c r="G472" i="50"/>
  <c r="G471" i="50"/>
  <c r="G470" i="50"/>
  <c r="G469" i="50"/>
  <c r="G468" i="50"/>
  <c r="G467" i="50"/>
  <c r="G466" i="50"/>
  <c r="G465" i="50"/>
  <c r="G464" i="50"/>
  <c r="G463" i="50"/>
  <c r="G462" i="50"/>
  <c r="G461" i="50"/>
  <c r="G460" i="50"/>
  <c r="G459" i="50"/>
  <c r="G458" i="50"/>
  <c r="G457" i="50"/>
  <c r="G456" i="50"/>
  <c r="G455" i="50"/>
  <c r="G454" i="50"/>
  <c r="G453" i="50"/>
  <c r="G452" i="50"/>
  <c r="G451" i="50"/>
  <c r="G450" i="50"/>
  <c r="G449" i="50"/>
  <c r="G448" i="50"/>
  <c r="G447" i="50"/>
  <c r="G446" i="50"/>
  <c r="G445" i="50"/>
  <c r="G444" i="50"/>
  <c r="G443" i="50"/>
  <c r="G442" i="50"/>
  <c r="G441" i="50"/>
  <c r="G440" i="50"/>
  <c r="G439" i="50"/>
  <c r="G438" i="50"/>
  <c r="G437" i="50"/>
  <c r="G436" i="50"/>
  <c r="G435" i="50"/>
  <c r="G434" i="50"/>
  <c r="G433" i="50"/>
  <c r="G432" i="50"/>
  <c r="G431" i="50"/>
  <c r="G430" i="50"/>
  <c r="G429" i="50"/>
  <c r="G428" i="50"/>
  <c r="G427" i="50"/>
  <c r="G426" i="50"/>
  <c r="G425" i="50"/>
  <c r="G424" i="50"/>
  <c r="G423" i="50"/>
  <c r="G422" i="50"/>
  <c r="G421" i="50"/>
  <c r="G420" i="50"/>
  <c r="G419" i="50"/>
  <c r="G418" i="50"/>
  <c r="G417" i="50"/>
  <c r="G416" i="50"/>
  <c r="G415" i="50"/>
  <c r="G414" i="50"/>
  <c r="G413" i="50"/>
  <c r="G412" i="50"/>
  <c r="G411" i="50"/>
  <c r="G410" i="50"/>
  <c r="G409" i="50"/>
  <c r="G408" i="50"/>
  <c r="G407" i="50"/>
  <c r="G406" i="50"/>
  <c r="G405" i="50"/>
  <c r="G404" i="50"/>
  <c r="G403" i="50"/>
  <c r="G402" i="50"/>
  <c r="G401" i="50"/>
  <c r="G400" i="50"/>
  <c r="G399" i="50"/>
  <c r="G398" i="50"/>
  <c r="G397" i="50"/>
  <c r="G396" i="50"/>
  <c r="G395" i="50"/>
  <c r="G394" i="50"/>
  <c r="G393" i="50"/>
  <c r="G392" i="50"/>
  <c r="G391" i="50"/>
  <c r="G390" i="50"/>
  <c r="G389" i="50"/>
  <c r="G388" i="50"/>
  <c r="G387" i="50"/>
  <c r="G386" i="50"/>
  <c r="G385" i="50"/>
  <c r="G384" i="50"/>
  <c r="G383" i="50"/>
  <c r="G382" i="50"/>
  <c r="G381" i="50"/>
  <c r="G380" i="50"/>
  <c r="G379" i="50"/>
  <c r="G378" i="50"/>
  <c r="G377" i="50"/>
  <c r="G376" i="50"/>
  <c r="G375" i="50"/>
  <c r="G374" i="50"/>
  <c r="G373" i="50"/>
  <c r="G372" i="50"/>
  <c r="G371" i="50"/>
  <c r="G370" i="50"/>
  <c r="G369" i="50"/>
  <c r="G368" i="50"/>
  <c r="G367" i="50"/>
  <c r="G366" i="50"/>
  <c r="G365" i="50"/>
  <c r="G364" i="50"/>
  <c r="G363" i="50"/>
  <c r="G362" i="50"/>
  <c r="G361" i="50"/>
  <c r="G360" i="50"/>
  <c r="G359" i="50"/>
  <c r="G358" i="50"/>
  <c r="G357" i="50"/>
  <c r="G356" i="50"/>
  <c r="G355" i="50"/>
  <c r="G354" i="50"/>
  <c r="G353" i="50"/>
  <c r="G352" i="50"/>
  <c r="G351" i="50"/>
  <c r="G350" i="50"/>
  <c r="G349" i="50"/>
  <c r="G348" i="50"/>
  <c r="G347" i="50"/>
  <c r="G346" i="50"/>
  <c r="G345" i="50"/>
  <c r="G344" i="50"/>
  <c r="G343" i="50"/>
  <c r="G342" i="50"/>
  <c r="G341" i="50"/>
  <c r="G340" i="50"/>
  <c r="G339" i="50"/>
  <c r="G338" i="50"/>
  <c r="G337" i="50"/>
  <c r="G336" i="50"/>
  <c r="G335" i="50"/>
  <c r="G334" i="50"/>
  <c r="G333" i="50"/>
  <c r="G332" i="50"/>
  <c r="G331" i="50"/>
  <c r="G330" i="50"/>
  <c r="G329" i="50"/>
  <c r="G328" i="50"/>
  <c r="G327" i="50"/>
  <c r="G326" i="50"/>
  <c r="G325" i="50"/>
  <c r="G324" i="50"/>
  <c r="G323" i="50"/>
  <c r="G322" i="50"/>
  <c r="G321" i="50"/>
  <c r="G320" i="50"/>
  <c r="G319" i="50"/>
  <c r="G318" i="50"/>
  <c r="G317" i="50"/>
  <c r="G316" i="50"/>
  <c r="G315" i="50"/>
  <c r="G314" i="50"/>
  <c r="G313" i="50"/>
  <c r="G312" i="50"/>
  <c r="G311" i="50"/>
  <c r="G310" i="50"/>
  <c r="G309" i="50"/>
  <c r="G308" i="50"/>
  <c r="G307" i="50"/>
  <c r="G306" i="50"/>
  <c r="G305" i="50"/>
  <c r="G304" i="50"/>
  <c r="G303" i="50"/>
  <c r="G302" i="50"/>
  <c r="G301" i="50"/>
  <c r="G300" i="50"/>
  <c r="G299" i="50"/>
  <c r="G298" i="50"/>
  <c r="G297" i="50"/>
  <c r="G296" i="50"/>
  <c r="G295" i="50"/>
  <c r="G294" i="50"/>
  <c r="G293" i="50"/>
  <c r="G292" i="50"/>
  <c r="G291" i="50"/>
  <c r="G290" i="50"/>
  <c r="G289" i="50"/>
  <c r="G288" i="50"/>
  <c r="G287" i="50"/>
  <c r="G286" i="50"/>
  <c r="G285" i="50"/>
  <c r="G284" i="50"/>
  <c r="G283" i="50"/>
  <c r="G282" i="50"/>
  <c r="G281" i="50"/>
  <c r="G280" i="50"/>
  <c r="G279" i="50"/>
  <c r="G278" i="50"/>
  <c r="G277" i="50"/>
  <c r="G276" i="50"/>
  <c r="G275" i="50"/>
  <c r="G274" i="50"/>
  <c r="G273" i="50"/>
  <c r="G272" i="50"/>
  <c r="G271" i="50"/>
  <c r="G270" i="50"/>
  <c r="G269" i="50"/>
  <c r="G268" i="50"/>
  <c r="G267" i="50"/>
  <c r="G266" i="50"/>
  <c r="G265" i="50"/>
  <c r="G264" i="50"/>
  <c r="G263" i="50"/>
  <c r="G262" i="50"/>
  <c r="G261" i="50"/>
  <c r="G260" i="50"/>
  <c r="G259" i="50"/>
  <c r="G258" i="50"/>
  <c r="G257" i="50"/>
  <c r="G256" i="50"/>
  <c r="G255" i="50"/>
  <c r="G254" i="50"/>
  <c r="G253" i="50"/>
  <c r="G252" i="50"/>
  <c r="G251" i="50"/>
  <c r="G250" i="50"/>
  <c r="G249" i="50"/>
  <c r="G248" i="50"/>
  <c r="G247" i="50"/>
  <c r="G246" i="50"/>
  <c r="G245" i="50"/>
  <c r="G244" i="50"/>
  <c r="G243" i="50"/>
  <c r="G242" i="50"/>
  <c r="G241" i="50"/>
  <c r="G240" i="50"/>
  <c r="G239" i="50"/>
  <c r="G238" i="50"/>
  <c r="G237" i="50"/>
  <c r="G236" i="50"/>
  <c r="G235" i="50"/>
  <c r="G234" i="50"/>
  <c r="G233" i="50"/>
  <c r="G232" i="50"/>
  <c r="G231" i="50"/>
  <c r="G230" i="50"/>
  <c r="G229" i="50"/>
  <c r="G228" i="50"/>
  <c r="G227" i="50"/>
  <c r="G226" i="50"/>
  <c r="G225" i="50"/>
  <c r="G224" i="50"/>
  <c r="G223" i="50"/>
  <c r="G222" i="50"/>
  <c r="G221" i="50"/>
  <c r="G220" i="50"/>
  <c r="G219" i="50"/>
  <c r="G218" i="50"/>
  <c r="G217" i="50"/>
  <c r="G216" i="50"/>
  <c r="G215" i="50"/>
  <c r="G214" i="50"/>
  <c r="G213" i="50"/>
  <c r="G212" i="50"/>
  <c r="G211" i="50"/>
  <c r="G210" i="50"/>
  <c r="G209" i="50"/>
  <c r="G208" i="50"/>
  <c r="G207" i="50"/>
  <c r="G206" i="50"/>
  <c r="G205" i="50"/>
  <c r="G204" i="50"/>
  <c r="G203" i="50"/>
  <c r="G202" i="50"/>
  <c r="G201" i="50"/>
  <c r="G200" i="50"/>
  <c r="G199" i="50"/>
  <c r="G198" i="50"/>
  <c r="G197" i="50"/>
  <c r="G196" i="50"/>
  <c r="G195" i="50"/>
  <c r="G194" i="50"/>
  <c r="G193" i="50"/>
  <c r="G192" i="50"/>
  <c r="G191" i="50"/>
  <c r="G190" i="50"/>
  <c r="G189" i="50"/>
  <c r="G188" i="50"/>
  <c r="G187" i="50"/>
  <c r="G186" i="50"/>
  <c r="G185" i="50"/>
  <c r="G184" i="50"/>
  <c r="G183" i="50"/>
  <c r="G182" i="50"/>
  <c r="G181" i="50"/>
  <c r="G180" i="50"/>
  <c r="G179" i="50"/>
  <c r="G178" i="50"/>
  <c r="G177" i="50"/>
  <c r="G176" i="50"/>
  <c r="G175" i="50"/>
  <c r="G174" i="50"/>
  <c r="G173" i="50"/>
  <c r="G172" i="50"/>
  <c r="G171" i="50"/>
  <c r="G170" i="50"/>
  <c r="G169" i="50"/>
  <c r="G168" i="50"/>
  <c r="G167" i="50"/>
  <c r="G166" i="50"/>
  <c r="G165" i="50"/>
  <c r="G164" i="50"/>
  <c r="G163" i="50"/>
  <c r="G162" i="50"/>
  <c r="G161" i="50"/>
  <c r="G160" i="50"/>
  <c r="G159" i="50"/>
  <c r="G158" i="50"/>
  <c r="G157" i="50"/>
  <c r="G156" i="50"/>
  <c r="G155" i="50"/>
  <c r="G154" i="50"/>
  <c r="G153" i="50"/>
  <c r="G152" i="50"/>
  <c r="G151" i="50"/>
  <c r="G150" i="50"/>
  <c r="G149" i="50"/>
  <c r="G148" i="50"/>
  <c r="G147" i="50"/>
  <c r="G146" i="50"/>
  <c r="G145" i="50"/>
  <c r="G144" i="50"/>
  <c r="G143" i="50"/>
  <c r="G142" i="50"/>
  <c r="G141" i="50"/>
  <c r="G140" i="50"/>
  <c r="G139" i="50"/>
  <c r="G138" i="50"/>
  <c r="G137" i="50"/>
  <c r="G136" i="50"/>
  <c r="G135" i="50"/>
  <c r="G134" i="50"/>
  <c r="G133" i="50"/>
  <c r="G132" i="50"/>
  <c r="G131" i="50"/>
  <c r="G130" i="50"/>
  <c r="G129" i="50"/>
  <c r="G128" i="50"/>
  <c r="G127" i="50"/>
  <c r="G126" i="50"/>
  <c r="G125" i="50"/>
  <c r="G124" i="50"/>
  <c r="G123" i="50"/>
  <c r="G122" i="50"/>
  <c r="G121" i="50"/>
  <c r="G120" i="50"/>
  <c r="G119" i="50"/>
  <c r="G118" i="50"/>
  <c r="G117" i="50"/>
  <c r="G116" i="50"/>
  <c r="G115" i="50"/>
  <c r="G114" i="50"/>
  <c r="G113" i="50"/>
  <c r="G112" i="50"/>
  <c r="G111" i="50"/>
  <c r="G110" i="50"/>
  <c r="G109" i="50"/>
  <c r="G108" i="50"/>
  <c r="G107" i="50"/>
  <c r="G106" i="50"/>
  <c r="G105" i="50"/>
  <c r="G104" i="50"/>
  <c r="G103" i="50"/>
  <c r="G102" i="50"/>
  <c r="G101" i="50"/>
  <c r="G100" i="50"/>
  <c r="G99" i="50"/>
  <c r="G98" i="50"/>
  <c r="G97" i="50"/>
  <c r="G96" i="50"/>
  <c r="G95" i="50"/>
  <c r="G94" i="50"/>
  <c r="G93" i="50"/>
  <c r="G92" i="50"/>
  <c r="G91" i="50"/>
  <c r="G90" i="50"/>
  <c r="G89" i="50"/>
  <c r="G88" i="50"/>
  <c r="G87" i="50"/>
  <c r="G86" i="50"/>
  <c r="G85" i="50"/>
  <c r="G84" i="50"/>
  <c r="G83" i="50"/>
  <c r="G82" i="50"/>
  <c r="G81" i="50"/>
  <c r="G80" i="50"/>
  <c r="G79" i="50"/>
  <c r="G78" i="50"/>
  <c r="G77" i="50"/>
  <c r="G76" i="50"/>
  <c r="G75" i="50"/>
  <c r="G74" i="50"/>
  <c r="G73" i="50"/>
  <c r="G72" i="50"/>
  <c r="G71" i="50"/>
  <c r="G70" i="50"/>
  <c r="G69" i="50"/>
  <c r="G68" i="50"/>
  <c r="G67" i="50"/>
  <c r="G66" i="50"/>
  <c r="G65" i="50"/>
  <c r="G64" i="50"/>
  <c r="G63" i="50"/>
  <c r="G62" i="50"/>
  <c r="G61" i="50"/>
  <c r="G60" i="50"/>
  <c r="G59" i="50"/>
  <c r="G58" i="50"/>
  <c r="G57" i="50"/>
  <c r="G56" i="50"/>
  <c r="G55" i="50"/>
  <c r="G54" i="50"/>
  <c r="G53" i="50"/>
  <c r="G52" i="50"/>
  <c r="G51" i="50"/>
  <c r="G50" i="50"/>
  <c r="G49" i="50"/>
  <c r="G48" i="50"/>
  <c r="G47" i="50"/>
  <c r="G46" i="50"/>
  <c r="G45" i="50"/>
  <c r="G44" i="50"/>
  <c r="G43" i="50"/>
  <c r="G42" i="50"/>
  <c r="G41" i="50"/>
  <c r="G40" i="50"/>
  <c r="G39" i="50"/>
  <c r="G38" i="50"/>
  <c r="G37" i="50"/>
  <c r="G36" i="50"/>
  <c r="G35" i="50"/>
  <c r="G34" i="50"/>
  <c r="G33" i="50"/>
  <c r="G32" i="50"/>
  <c r="G31" i="50"/>
  <c r="G30" i="50"/>
  <c r="G29" i="50"/>
  <c r="G28" i="50"/>
  <c r="G27" i="50"/>
  <c r="G26" i="50"/>
  <c r="G25" i="50"/>
  <c r="G24" i="50"/>
  <c r="G23" i="50"/>
  <c r="G22" i="50"/>
  <c r="G21" i="50"/>
  <c r="G20" i="50"/>
  <c r="G19" i="50"/>
  <c r="G18" i="50"/>
  <c r="G17" i="50"/>
  <c r="G16" i="50"/>
  <c r="G15" i="50"/>
  <c r="G14" i="50"/>
  <c r="G13" i="50"/>
  <c r="G12" i="50"/>
  <c r="G11" i="50"/>
  <c r="G10" i="50"/>
  <c r="G9" i="50"/>
  <c r="G8" i="50"/>
  <c r="G7" i="50"/>
  <c r="G6" i="50"/>
  <c r="D1233" i="50"/>
  <c r="C1233" i="50"/>
  <c r="B1233" i="50"/>
  <c r="G1233" i="50" l="1"/>
  <c r="E58" i="3"/>
  <c r="E32" i="3"/>
  <c r="H1195" i="49" l="1"/>
  <c r="H1223" i="50" s="1"/>
  <c r="H1192" i="49"/>
  <c r="H1220" i="50" s="1"/>
  <c r="H1188" i="49"/>
  <c r="H1215" i="50" s="1"/>
  <c r="H1149" i="49"/>
  <c r="H1176" i="50" s="1"/>
  <c r="H1099" i="49"/>
  <c r="H1096" i="49"/>
  <c r="H1123" i="50" s="1"/>
  <c r="H1095" i="49"/>
  <c r="H1122" i="50" s="1"/>
  <c r="H1094" i="49"/>
  <c r="H1121" i="50" s="1"/>
  <c r="H1093" i="49"/>
  <c r="H1120" i="50" s="1"/>
  <c r="H1090" i="49"/>
  <c r="H1117" i="50" s="1"/>
  <c r="H1012" i="49"/>
  <c r="H1037" i="50" s="1"/>
  <c r="H1003" i="49"/>
  <c r="H1027" i="50" s="1"/>
  <c r="H995" i="49"/>
  <c r="H980" i="49"/>
  <c r="H1004" i="50" s="1"/>
  <c r="H950" i="49"/>
  <c r="H972" i="50" s="1"/>
  <c r="H932" i="49"/>
  <c r="H907" i="49"/>
  <c r="H928" i="50" s="1"/>
  <c r="H851" i="49"/>
  <c r="H865" i="50" s="1"/>
  <c r="H840" i="49"/>
  <c r="H853" i="50" s="1"/>
  <c r="H833" i="49"/>
  <c r="H846" i="50" s="1"/>
  <c r="H819" i="49"/>
  <c r="H831" i="50" s="1"/>
  <c r="H805" i="49"/>
  <c r="H817" i="50" s="1"/>
  <c r="H786" i="49"/>
  <c r="H797" i="50" s="1"/>
  <c r="H768" i="49"/>
  <c r="H778" i="50" s="1"/>
  <c r="H761" i="49"/>
  <c r="H770" i="50" s="1"/>
  <c r="H760" i="49"/>
  <c r="H769" i="50" s="1"/>
  <c r="H735" i="49"/>
  <c r="H744" i="50" s="1"/>
  <c r="H698" i="49"/>
  <c r="H709" i="50" s="1"/>
  <c r="H686" i="49"/>
  <c r="H697" i="50" s="1"/>
  <c r="H677" i="49"/>
  <c r="H689" i="50" s="1"/>
  <c r="H671" i="49"/>
  <c r="H683" i="50" s="1"/>
  <c r="H658" i="49"/>
  <c r="H636" i="49"/>
  <c r="H645" i="50" s="1"/>
  <c r="H633" i="49"/>
  <c r="H642" i="50" s="1"/>
  <c r="H618" i="49"/>
  <c r="H626" i="50" s="1"/>
  <c r="H611" i="49"/>
  <c r="H619" i="50" s="1"/>
  <c r="H588" i="49"/>
  <c r="H593" i="50" s="1"/>
  <c r="H578" i="49"/>
  <c r="H583" i="50" s="1"/>
  <c r="H558" i="49"/>
  <c r="H563" i="50" s="1"/>
  <c r="H550" i="49"/>
  <c r="H553" i="50" s="1"/>
  <c r="H538" i="49"/>
  <c r="H539" i="50" s="1"/>
  <c r="H527" i="49"/>
  <c r="H528" i="50" s="1"/>
  <c r="H526" i="49"/>
  <c r="H527" i="50" s="1"/>
  <c r="H520" i="49"/>
  <c r="H521" i="50" s="1"/>
  <c r="H510" i="49"/>
  <c r="H506" i="49"/>
  <c r="H508" i="50" s="1"/>
  <c r="H504" i="49"/>
  <c r="H506" i="50" s="1"/>
  <c r="H503" i="49"/>
  <c r="H505" i="50" s="1"/>
  <c r="H500" i="49"/>
  <c r="H502" i="50" s="1"/>
  <c r="H490" i="49"/>
  <c r="H491" i="50" s="1"/>
  <c r="H473" i="49"/>
  <c r="H474" i="50" s="1"/>
  <c r="H463" i="49"/>
  <c r="H466" i="50" s="1"/>
  <c r="H454" i="49"/>
  <c r="H456" i="50" s="1"/>
  <c r="H442" i="49"/>
  <c r="H444" i="50" s="1"/>
  <c r="H411" i="49"/>
  <c r="H413" i="50" s="1"/>
  <c r="H407" i="49"/>
  <c r="H409" i="50" s="1"/>
  <c r="H371" i="49"/>
  <c r="H370" i="50" s="1"/>
  <c r="H222" i="49"/>
  <c r="H221" i="50" s="1"/>
  <c r="H202" i="49"/>
  <c r="H193" i="49"/>
  <c r="H153" i="50" s="1"/>
  <c r="H171" i="49"/>
  <c r="H194" i="50" s="1"/>
  <c r="H144" i="49"/>
  <c r="H132" i="49"/>
  <c r="H116" i="50" s="1"/>
  <c r="H129" i="49"/>
  <c r="H98" i="49"/>
  <c r="H125" i="50" s="1"/>
  <c r="H96" i="49"/>
  <c r="H121" i="50" s="1"/>
  <c r="H75" i="49"/>
  <c r="H101" i="50" s="1"/>
  <c r="H67" i="49"/>
  <c r="H93" i="50" s="1"/>
  <c r="H58" i="49"/>
  <c r="H84" i="50" s="1"/>
  <c r="H49" i="49"/>
  <c r="H76" i="50" s="1"/>
  <c r="G1204" i="49"/>
  <c r="G1203" i="49"/>
  <c r="G1202" i="49"/>
  <c r="G1201" i="49"/>
  <c r="G1200" i="49"/>
  <c r="G1199" i="49"/>
  <c r="G1198" i="49"/>
  <c r="G1197" i="49"/>
  <c r="G1196" i="49"/>
  <c r="G1195" i="49"/>
  <c r="G1194" i="49"/>
  <c r="G1193" i="49"/>
  <c r="G1192" i="49"/>
  <c r="G1191" i="49"/>
  <c r="G1190" i="49"/>
  <c r="G1189" i="49"/>
  <c r="G1188" i="49"/>
  <c r="G1187" i="49"/>
  <c r="G1186" i="49"/>
  <c r="G1185" i="49"/>
  <c r="G1184" i="49"/>
  <c r="G1183" i="49"/>
  <c r="G1182" i="49"/>
  <c r="G1181" i="49"/>
  <c r="G1180" i="49"/>
  <c r="G1179" i="49"/>
  <c r="G1178" i="49"/>
  <c r="G1177" i="49"/>
  <c r="G1176" i="49"/>
  <c r="G1175" i="49"/>
  <c r="G1174" i="49"/>
  <c r="G1173" i="49"/>
  <c r="G1172" i="49"/>
  <c r="G1171" i="49"/>
  <c r="G1170" i="49"/>
  <c r="G1169" i="49"/>
  <c r="G1168" i="49"/>
  <c r="G1167" i="49"/>
  <c r="G1166" i="49"/>
  <c r="G1165" i="49"/>
  <c r="G1164" i="49"/>
  <c r="G1163" i="49"/>
  <c r="G1162" i="49"/>
  <c r="G1161" i="49"/>
  <c r="G1160" i="49"/>
  <c r="G1159" i="49"/>
  <c r="G1158" i="49"/>
  <c r="G1157" i="49"/>
  <c r="G1156" i="49"/>
  <c r="G1155" i="49"/>
  <c r="G1154" i="49"/>
  <c r="G1153" i="49"/>
  <c r="G1152" i="49"/>
  <c r="G1151" i="49"/>
  <c r="G1150" i="49"/>
  <c r="G1149" i="49"/>
  <c r="G1148" i="49"/>
  <c r="G1147" i="49"/>
  <c r="G1146" i="49"/>
  <c r="G1145" i="49"/>
  <c r="G1144" i="49"/>
  <c r="G1143" i="49"/>
  <c r="G1142" i="49"/>
  <c r="G1141" i="49"/>
  <c r="G1140" i="49"/>
  <c r="G1139" i="49"/>
  <c r="G1138" i="49"/>
  <c r="G1137" i="49"/>
  <c r="G1136" i="49"/>
  <c r="G1135" i="49"/>
  <c r="G1134" i="49"/>
  <c r="G1133" i="49"/>
  <c r="G1132" i="49"/>
  <c r="G1131" i="49"/>
  <c r="G1130" i="49"/>
  <c r="G1129" i="49"/>
  <c r="G1128" i="49"/>
  <c r="G1127" i="49"/>
  <c r="G1126" i="49"/>
  <c r="G1125" i="49"/>
  <c r="G1124" i="49"/>
  <c r="G1123" i="49"/>
  <c r="G1122" i="49"/>
  <c r="G1121" i="49"/>
  <c r="G1120" i="49"/>
  <c r="G1119" i="49"/>
  <c r="G1118" i="49"/>
  <c r="G1117" i="49"/>
  <c r="G1116" i="49"/>
  <c r="G1115" i="49"/>
  <c r="G1114" i="49"/>
  <c r="G1113" i="49"/>
  <c r="G1112" i="49"/>
  <c r="G1111" i="49"/>
  <c r="G1110" i="49"/>
  <c r="G1109" i="49"/>
  <c r="G1108" i="49"/>
  <c r="G1107" i="49"/>
  <c r="G1106" i="49"/>
  <c r="G1105" i="49"/>
  <c r="G1104" i="49"/>
  <c r="G1103" i="49"/>
  <c r="G1102" i="49"/>
  <c r="G1101" i="49"/>
  <c r="G1100" i="49"/>
  <c r="G1099" i="49"/>
  <c r="G1098" i="49"/>
  <c r="G1097" i="49"/>
  <c r="G1096" i="49"/>
  <c r="G1095" i="49"/>
  <c r="G1094" i="49"/>
  <c r="G1093" i="49"/>
  <c r="G1092" i="49"/>
  <c r="G1091" i="49"/>
  <c r="G1090" i="49"/>
  <c r="G1089" i="49"/>
  <c r="G1088" i="49"/>
  <c r="G1087" i="49"/>
  <c r="G1086" i="49"/>
  <c r="G1085" i="49"/>
  <c r="G1084" i="49"/>
  <c r="G1083" i="49"/>
  <c r="G1082" i="49"/>
  <c r="G1081" i="49"/>
  <c r="G1080" i="49"/>
  <c r="G1079" i="49"/>
  <c r="G1078" i="49"/>
  <c r="G1077" i="49"/>
  <c r="G1076" i="49"/>
  <c r="G1075" i="49"/>
  <c r="G1074" i="49"/>
  <c r="G1073" i="49"/>
  <c r="G1072" i="49"/>
  <c r="G1071" i="49"/>
  <c r="G1070" i="49"/>
  <c r="G1069" i="49"/>
  <c r="G1068" i="49"/>
  <c r="G1067" i="49"/>
  <c r="G1066" i="49"/>
  <c r="G1065" i="49"/>
  <c r="G1064" i="49"/>
  <c r="G1063" i="49"/>
  <c r="G1062" i="49"/>
  <c r="G1061" i="49"/>
  <c r="G1060" i="49"/>
  <c r="G1059" i="49"/>
  <c r="G1058" i="49"/>
  <c r="G1057" i="49"/>
  <c r="G1056" i="49"/>
  <c r="G1055" i="49"/>
  <c r="G1054" i="49"/>
  <c r="G1053" i="49"/>
  <c r="G1052" i="49"/>
  <c r="G1051" i="49"/>
  <c r="G1050" i="49"/>
  <c r="G1049" i="49"/>
  <c r="G1048" i="49"/>
  <c r="G1047" i="49"/>
  <c r="G1046" i="49"/>
  <c r="G1045" i="49"/>
  <c r="G1044" i="49"/>
  <c r="G1043" i="49"/>
  <c r="G1042" i="49"/>
  <c r="G1041" i="49"/>
  <c r="G1040" i="49"/>
  <c r="G1039" i="49"/>
  <c r="G1038" i="49"/>
  <c r="G1037" i="49"/>
  <c r="G1036" i="49"/>
  <c r="G1035" i="49"/>
  <c r="G1034" i="49"/>
  <c r="G1033" i="49"/>
  <c r="G1032" i="49"/>
  <c r="G1031" i="49"/>
  <c r="G1030" i="49"/>
  <c r="G1029" i="49"/>
  <c r="G1028" i="49"/>
  <c r="G1027" i="49"/>
  <c r="G1026" i="49"/>
  <c r="G1025" i="49"/>
  <c r="G1024" i="49"/>
  <c r="G1023" i="49"/>
  <c r="G1022" i="49"/>
  <c r="G1021" i="49"/>
  <c r="G1020" i="49"/>
  <c r="G1019" i="49"/>
  <c r="G1018" i="49"/>
  <c r="G1017" i="49"/>
  <c r="G1016" i="49"/>
  <c r="G1015" i="49"/>
  <c r="G1014" i="49"/>
  <c r="G1013" i="49"/>
  <c r="G1012" i="49"/>
  <c r="G1011" i="49"/>
  <c r="G1010" i="49"/>
  <c r="G1009" i="49"/>
  <c r="G1008" i="49"/>
  <c r="G1007" i="49"/>
  <c r="G1006" i="49"/>
  <c r="G1005" i="49"/>
  <c r="G1004" i="49"/>
  <c r="G1003" i="49"/>
  <c r="G1002" i="49"/>
  <c r="G1001" i="49"/>
  <c r="G1000" i="49"/>
  <c r="G999" i="49"/>
  <c r="G998" i="49"/>
  <c r="G997" i="49"/>
  <c r="G996" i="49"/>
  <c r="G995" i="49"/>
  <c r="G994" i="49"/>
  <c r="G993" i="49"/>
  <c r="G992" i="49"/>
  <c r="G991" i="49"/>
  <c r="G990" i="49"/>
  <c r="G989" i="49"/>
  <c r="G988" i="49"/>
  <c r="G987" i="49"/>
  <c r="G986" i="49"/>
  <c r="G985" i="49"/>
  <c r="G984" i="49"/>
  <c r="G983" i="49"/>
  <c r="G982" i="49"/>
  <c r="G981" i="49"/>
  <c r="G980" i="49"/>
  <c r="G979" i="49"/>
  <c r="G978" i="49"/>
  <c r="G977" i="49"/>
  <c r="G976" i="49"/>
  <c r="G975" i="49"/>
  <c r="G974" i="49"/>
  <c r="G973" i="49"/>
  <c r="G972" i="49"/>
  <c r="G971" i="49"/>
  <c r="G970" i="49"/>
  <c r="G969" i="49"/>
  <c r="G968" i="49"/>
  <c r="G967" i="49"/>
  <c r="G966" i="49"/>
  <c r="G965" i="49"/>
  <c r="G964" i="49"/>
  <c r="G963" i="49"/>
  <c r="G962" i="49"/>
  <c r="G961" i="49"/>
  <c r="G960" i="49"/>
  <c r="G959" i="49"/>
  <c r="G958" i="49"/>
  <c r="G957" i="49"/>
  <c r="G956" i="49"/>
  <c r="G955" i="49"/>
  <c r="G954" i="49"/>
  <c r="G953" i="49"/>
  <c r="G952" i="49"/>
  <c r="G951" i="49"/>
  <c r="G950" i="49"/>
  <c r="G949" i="49"/>
  <c r="G948" i="49"/>
  <c r="G947" i="49"/>
  <c r="G946" i="49"/>
  <c r="G945" i="49"/>
  <c r="G944" i="49"/>
  <c r="G943" i="49"/>
  <c r="G942" i="49"/>
  <c r="G941" i="49"/>
  <c r="G940" i="49"/>
  <c r="G939" i="49"/>
  <c r="G938" i="49"/>
  <c r="G937" i="49"/>
  <c r="G936" i="49"/>
  <c r="G935" i="49"/>
  <c r="G934" i="49"/>
  <c r="G933" i="49"/>
  <c r="G932" i="49"/>
  <c r="G931" i="49"/>
  <c r="G930" i="49"/>
  <c r="G929" i="49"/>
  <c r="G928" i="49"/>
  <c r="G927" i="49"/>
  <c r="G926" i="49"/>
  <c r="G925" i="49"/>
  <c r="G924" i="49"/>
  <c r="G923" i="49"/>
  <c r="G922" i="49"/>
  <c r="G921" i="49"/>
  <c r="G920" i="49"/>
  <c r="G919" i="49"/>
  <c r="G918" i="49"/>
  <c r="G917" i="49"/>
  <c r="G916" i="49"/>
  <c r="G915" i="49"/>
  <c r="G914" i="49"/>
  <c r="G913" i="49"/>
  <c r="G912" i="49"/>
  <c r="G911" i="49"/>
  <c r="G910" i="49"/>
  <c r="G909" i="49"/>
  <c r="G908" i="49"/>
  <c r="G907" i="49"/>
  <c r="G906" i="49"/>
  <c r="G905" i="49"/>
  <c r="G904" i="49"/>
  <c r="G903" i="49"/>
  <c r="G902" i="49"/>
  <c r="G901" i="49"/>
  <c r="G900" i="49"/>
  <c r="G899" i="49"/>
  <c r="G898" i="49"/>
  <c r="G897" i="49"/>
  <c r="G896" i="49"/>
  <c r="G895" i="49"/>
  <c r="G894" i="49"/>
  <c r="G893" i="49"/>
  <c r="G892" i="49"/>
  <c r="G891" i="49"/>
  <c r="G890" i="49"/>
  <c r="G889" i="49"/>
  <c r="G888" i="49"/>
  <c r="G887" i="49"/>
  <c r="G886" i="49"/>
  <c r="G885" i="49"/>
  <c r="G884" i="49"/>
  <c r="G883" i="49"/>
  <c r="G882" i="49"/>
  <c r="G881" i="49"/>
  <c r="G880" i="49"/>
  <c r="G879" i="49"/>
  <c r="G878" i="49"/>
  <c r="G877" i="49"/>
  <c r="G876" i="49"/>
  <c r="G875" i="49"/>
  <c r="G874" i="49"/>
  <c r="G873" i="49"/>
  <c r="G872" i="49"/>
  <c r="G871" i="49"/>
  <c r="G870" i="49"/>
  <c r="G869" i="49"/>
  <c r="G868" i="49"/>
  <c r="G867" i="49"/>
  <c r="G866" i="49"/>
  <c r="G865" i="49"/>
  <c r="G864" i="49"/>
  <c r="G863" i="49"/>
  <c r="G862" i="49"/>
  <c r="G861" i="49"/>
  <c r="G860" i="49"/>
  <c r="G859" i="49"/>
  <c r="G858" i="49"/>
  <c r="G857" i="49"/>
  <c r="G856" i="49"/>
  <c r="G855" i="49"/>
  <c r="G854" i="49"/>
  <c r="G853" i="49"/>
  <c r="G852" i="49"/>
  <c r="G851" i="49"/>
  <c r="G850" i="49"/>
  <c r="G849" i="49"/>
  <c r="G848" i="49"/>
  <c r="G847" i="49"/>
  <c r="G846" i="49"/>
  <c r="G845" i="49"/>
  <c r="G844" i="49"/>
  <c r="G843" i="49"/>
  <c r="G842" i="49"/>
  <c r="G841" i="49"/>
  <c r="G840" i="49"/>
  <c r="G839" i="49"/>
  <c r="G838" i="49"/>
  <c r="G837" i="49"/>
  <c r="G836" i="49"/>
  <c r="G835" i="49"/>
  <c r="G834" i="49"/>
  <c r="G833" i="49"/>
  <c r="G832" i="49"/>
  <c r="G831" i="49"/>
  <c r="G830" i="49"/>
  <c r="G829" i="49"/>
  <c r="G828" i="49"/>
  <c r="G827" i="49"/>
  <c r="G826" i="49"/>
  <c r="G825" i="49"/>
  <c r="G824" i="49"/>
  <c r="G823" i="49"/>
  <c r="G822" i="49"/>
  <c r="G821" i="49"/>
  <c r="G820" i="49"/>
  <c r="G819" i="49"/>
  <c r="G818" i="49"/>
  <c r="G817" i="49"/>
  <c r="G816" i="49"/>
  <c r="G815" i="49"/>
  <c r="G814" i="49"/>
  <c r="G813" i="49"/>
  <c r="G812" i="49"/>
  <c r="G811" i="49"/>
  <c r="G810" i="49"/>
  <c r="G809" i="49"/>
  <c r="G808" i="49"/>
  <c r="G807" i="49"/>
  <c r="G806" i="49"/>
  <c r="G805" i="49"/>
  <c r="G804" i="49"/>
  <c r="G803" i="49"/>
  <c r="G802" i="49"/>
  <c r="G801" i="49"/>
  <c r="G800" i="49"/>
  <c r="G799" i="49"/>
  <c r="G798" i="49"/>
  <c r="G797" i="49"/>
  <c r="G796" i="49"/>
  <c r="G795" i="49"/>
  <c r="G794" i="49"/>
  <c r="G793" i="49"/>
  <c r="G792" i="49"/>
  <c r="G791" i="49"/>
  <c r="G790" i="49"/>
  <c r="G789" i="49"/>
  <c r="G788" i="49"/>
  <c r="G787" i="49"/>
  <c r="G786" i="49"/>
  <c r="G785" i="49"/>
  <c r="G784" i="49"/>
  <c r="G783" i="49"/>
  <c r="G782" i="49"/>
  <c r="G781" i="49"/>
  <c r="G780" i="49"/>
  <c r="G779" i="49"/>
  <c r="G778" i="49"/>
  <c r="G777" i="49"/>
  <c r="G776" i="49"/>
  <c r="G775" i="49"/>
  <c r="G774" i="49"/>
  <c r="G773" i="49"/>
  <c r="G772" i="49"/>
  <c r="G771" i="49"/>
  <c r="G770" i="49"/>
  <c r="G769" i="49"/>
  <c r="G768" i="49"/>
  <c r="G767" i="49"/>
  <c r="G766" i="49"/>
  <c r="G765" i="49"/>
  <c r="G764" i="49"/>
  <c r="G763" i="49"/>
  <c r="G762" i="49"/>
  <c r="G761" i="49"/>
  <c r="G760" i="49"/>
  <c r="G759" i="49"/>
  <c r="G758" i="49"/>
  <c r="G757" i="49"/>
  <c r="G756" i="49"/>
  <c r="G755" i="49"/>
  <c r="G754" i="49"/>
  <c r="G753" i="49"/>
  <c r="G752" i="49"/>
  <c r="G751" i="49"/>
  <c r="G750" i="49"/>
  <c r="G749" i="49"/>
  <c r="G748" i="49"/>
  <c r="G747" i="49"/>
  <c r="G746" i="49"/>
  <c r="G745" i="49"/>
  <c r="G744" i="49"/>
  <c r="G743" i="49"/>
  <c r="G742" i="49"/>
  <c r="G741" i="49"/>
  <c r="G740" i="49"/>
  <c r="G739" i="49"/>
  <c r="G738" i="49"/>
  <c r="G737" i="49"/>
  <c r="G736" i="49"/>
  <c r="G735" i="49"/>
  <c r="G734" i="49"/>
  <c r="G733" i="49"/>
  <c r="G732" i="49"/>
  <c r="G731" i="49"/>
  <c r="G730" i="49"/>
  <c r="G729" i="49"/>
  <c r="G728" i="49"/>
  <c r="G727" i="49"/>
  <c r="G726" i="49"/>
  <c r="G725" i="49"/>
  <c r="G724" i="49"/>
  <c r="G723" i="49"/>
  <c r="G722" i="49"/>
  <c r="G721" i="49"/>
  <c r="G720" i="49"/>
  <c r="G719" i="49"/>
  <c r="G718" i="49"/>
  <c r="G717" i="49"/>
  <c r="G716" i="49"/>
  <c r="G715" i="49"/>
  <c r="G714" i="49"/>
  <c r="G713" i="49"/>
  <c r="G712" i="49"/>
  <c r="G711" i="49"/>
  <c r="G710" i="49"/>
  <c r="G709" i="49"/>
  <c r="G708" i="49"/>
  <c r="G707" i="49"/>
  <c r="G706" i="49"/>
  <c r="G705" i="49"/>
  <c r="G704" i="49"/>
  <c r="G703" i="49"/>
  <c r="G702" i="49"/>
  <c r="G701" i="49"/>
  <c r="G700" i="49"/>
  <c r="G699" i="49"/>
  <c r="G698" i="49"/>
  <c r="G697" i="49"/>
  <c r="G696" i="49"/>
  <c r="G695" i="49"/>
  <c r="G694" i="49"/>
  <c r="G693" i="49"/>
  <c r="G692" i="49"/>
  <c r="G691" i="49"/>
  <c r="G690" i="49"/>
  <c r="G689" i="49"/>
  <c r="G688" i="49"/>
  <c r="G687" i="49"/>
  <c r="G686" i="49"/>
  <c r="G685" i="49"/>
  <c r="G684" i="49"/>
  <c r="G683" i="49"/>
  <c r="G682" i="49"/>
  <c r="G681" i="49"/>
  <c r="G680" i="49"/>
  <c r="G679" i="49"/>
  <c r="G678" i="49"/>
  <c r="G677" i="49"/>
  <c r="G676" i="49"/>
  <c r="G675" i="49"/>
  <c r="G674" i="49"/>
  <c r="G673" i="49"/>
  <c r="G672" i="49"/>
  <c r="G671" i="49"/>
  <c r="G670" i="49"/>
  <c r="G669" i="49"/>
  <c r="G668" i="49"/>
  <c r="G667" i="49"/>
  <c r="G666" i="49"/>
  <c r="G665" i="49"/>
  <c r="G664" i="49"/>
  <c r="G663" i="49"/>
  <c r="G662" i="49"/>
  <c r="G661" i="49"/>
  <c r="G660" i="49"/>
  <c r="G659" i="49"/>
  <c r="G658" i="49"/>
  <c r="G657" i="49"/>
  <c r="G656" i="49"/>
  <c r="G655" i="49"/>
  <c r="G654" i="49"/>
  <c r="G653" i="49"/>
  <c r="G652" i="49"/>
  <c r="G651" i="49"/>
  <c r="G650" i="49"/>
  <c r="G649" i="49"/>
  <c r="G648" i="49"/>
  <c r="G647" i="49"/>
  <c r="G646" i="49"/>
  <c r="G645" i="49"/>
  <c r="G644" i="49"/>
  <c r="G643" i="49"/>
  <c r="G642" i="49"/>
  <c r="G641" i="49"/>
  <c r="G640" i="49"/>
  <c r="G639" i="49"/>
  <c r="G638" i="49"/>
  <c r="G637" i="49"/>
  <c r="G636" i="49"/>
  <c r="G635" i="49"/>
  <c r="G634" i="49"/>
  <c r="G633" i="49"/>
  <c r="G632" i="49"/>
  <c r="G631" i="49"/>
  <c r="G630" i="49"/>
  <c r="G629" i="49"/>
  <c r="G628" i="49"/>
  <c r="G627" i="49"/>
  <c r="G626" i="49"/>
  <c r="G625" i="49"/>
  <c r="G624" i="49"/>
  <c r="G623" i="49"/>
  <c r="G622" i="49"/>
  <c r="G621" i="49"/>
  <c r="G620" i="49"/>
  <c r="G619" i="49"/>
  <c r="G618" i="49"/>
  <c r="G617" i="49"/>
  <c r="G616" i="49"/>
  <c r="G615" i="49"/>
  <c r="G614" i="49"/>
  <c r="G613" i="49"/>
  <c r="G612" i="49"/>
  <c r="G611" i="49"/>
  <c r="G610" i="49"/>
  <c r="G609" i="49"/>
  <c r="G608" i="49"/>
  <c r="G607" i="49"/>
  <c r="G606" i="49"/>
  <c r="G605" i="49"/>
  <c r="G604" i="49"/>
  <c r="G603" i="49"/>
  <c r="G602" i="49"/>
  <c r="G601" i="49"/>
  <c r="G600" i="49"/>
  <c r="G599" i="49"/>
  <c r="G598" i="49"/>
  <c r="G597" i="49"/>
  <c r="G596" i="49"/>
  <c r="G595" i="49"/>
  <c r="G594" i="49"/>
  <c r="G593" i="49"/>
  <c r="G592" i="49"/>
  <c r="G591" i="49"/>
  <c r="G590" i="49"/>
  <c r="G589" i="49"/>
  <c r="G588" i="49"/>
  <c r="G587" i="49"/>
  <c r="G586" i="49"/>
  <c r="G585" i="49"/>
  <c r="G584" i="49"/>
  <c r="G583" i="49"/>
  <c r="G582" i="49"/>
  <c r="G581" i="49"/>
  <c r="G580" i="49"/>
  <c r="G579" i="49"/>
  <c r="G578" i="49"/>
  <c r="G577" i="49"/>
  <c r="G576" i="49"/>
  <c r="G575" i="49"/>
  <c r="G574" i="49"/>
  <c r="G573" i="49"/>
  <c r="G572" i="49"/>
  <c r="G571" i="49"/>
  <c r="G570" i="49"/>
  <c r="G569" i="49"/>
  <c r="G568" i="49"/>
  <c r="G567" i="49"/>
  <c r="G566" i="49"/>
  <c r="G565" i="49"/>
  <c r="G564" i="49"/>
  <c r="G563" i="49"/>
  <c r="G562" i="49"/>
  <c r="G561" i="49"/>
  <c r="G560" i="49"/>
  <c r="G559" i="49"/>
  <c r="G558" i="49"/>
  <c r="G557" i="49"/>
  <c r="G556" i="49"/>
  <c r="G555" i="49"/>
  <c r="G554" i="49"/>
  <c r="G553" i="49"/>
  <c r="G552" i="49"/>
  <c r="G551" i="49"/>
  <c r="G550" i="49"/>
  <c r="G549" i="49"/>
  <c r="G548" i="49"/>
  <c r="G547" i="49"/>
  <c r="G546" i="49"/>
  <c r="G545" i="49"/>
  <c r="G544" i="49"/>
  <c r="G543" i="49"/>
  <c r="G542" i="49"/>
  <c r="G541" i="49"/>
  <c r="G540" i="49"/>
  <c r="G539" i="49"/>
  <c r="G538" i="49"/>
  <c r="G537" i="49"/>
  <c r="G536" i="49"/>
  <c r="G535" i="49"/>
  <c r="G534" i="49"/>
  <c r="G533" i="49"/>
  <c r="G532" i="49"/>
  <c r="G531" i="49"/>
  <c r="G530" i="49"/>
  <c r="G529" i="49"/>
  <c r="G528" i="49"/>
  <c r="G527" i="49"/>
  <c r="G526" i="49"/>
  <c r="G525" i="49"/>
  <c r="G524" i="49"/>
  <c r="G523" i="49"/>
  <c r="G522" i="49"/>
  <c r="G521" i="49"/>
  <c r="G520" i="49"/>
  <c r="G519" i="49"/>
  <c r="G518" i="49"/>
  <c r="G517" i="49"/>
  <c r="G516" i="49"/>
  <c r="G515" i="49"/>
  <c r="G514" i="49"/>
  <c r="G513" i="49"/>
  <c r="G512" i="49"/>
  <c r="G511" i="49"/>
  <c r="G510" i="49"/>
  <c r="G509" i="49"/>
  <c r="G508" i="49"/>
  <c r="G507" i="49"/>
  <c r="G506" i="49"/>
  <c r="G505" i="49"/>
  <c r="G504" i="49"/>
  <c r="G503" i="49"/>
  <c r="G502" i="49"/>
  <c r="G501" i="49"/>
  <c r="G500" i="49"/>
  <c r="G499" i="49"/>
  <c r="G498" i="49"/>
  <c r="G497" i="49"/>
  <c r="G496" i="49"/>
  <c r="G495" i="49"/>
  <c r="G494" i="49"/>
  <c r="G493" i="49"/>
  <c r="G492" i="49"/>
  <c r="G491" i="49"/>
  <c r="G490" i="49"/>
  <c r="G489" i="49"/>
  <c r="G488" i="49"/>
  <c r="G487" i="49"/>
  <c r="G486" i="49"/>
  <c r="G485" i="49"/>
  <c r="G484" i="49"/>
  <c r="G483" i="49"/>
  <c r="G482" i="49"/>
  <c r="G481" i="49"/>
  <c r="G480" i="49"/>
  <c r="G479" i="49"/>
  <c r="G478" i="49"/>
  <c r="G477" i="49"/>
  <c r="G476" i="49"/>
  <c r="G475" i="49"/>
  <c r="G474" i="49"/>
  <c r="G473" i="49"/>
  <c r="G472" i="49"/>
  <c r="G471" i="49"/>
  <c r="G470" i="49"/>
  <c r="G469" i="49"/>
  <c r="G468" i="49"/>
  <c r="G467" i="49"/>
  <c r="G466" i="49"/>
  <c r="G465" i="49"/>
  <c r="G464" i="49"/>
  <c r="G463" i="49"/>
  <c r="G462" i="49"/>
  <c r="G461" i="49"/>
  <c r="G460" i="49"/>
  <c r="G459" i="49"/>
  <c r="G458" i="49"/>
  <c r="G457" i="49"/>
  <c r="G456" i="49"/>
  <c r="G455" i="49"/>
  <c r="G454" i="49"/>
  <c r="G453" i="49"/>
  <c r="G452" i="49"/>
  <c r="G451" i="49"/>
  <c r="G450" i="49"/>
  <c r="G449" i="49"/>
  <c r="G448" i="49"/>
  <c r="G447" i="49"/>
  <c r="G446" i="49"/>
  <c r="G445" i="49"/>
  <c r="G444" i="49"/>
  <c r="G443" i="49"/>
  <c r="G442" i="49"/>
  <c r="G441" i="49"/>
  <c r="G440" i="49"/>
  <c r="G439" i="49"/>
  <c r="G438" i="49"/>
  <c r="G437" i="49"/>
  <c r="G436" i="49"/>
  <c r="G435" i="49"/>
  <c r="G434" i="49"/>
  <c r="G433" i="49"/>
  <c r="G432" i="49"/>
  <c r="G431" i="49"/>
  <c r="G430" i="49"/>
  <c r="G429" i="49"/>
  <c r="G428" i="49"/>
  <c r="G427" i="49"/>
  <c r="G426" i="49"/>
  <c r="G425" i="49"/>
  <c r="G424" i="49"/>
  <c r="G423" i="49"/>
  <c r="G422" i="49"/>
  <c r="G421" i="49"/>
  <c r="G420" i="49"/>
  <c r="G419" i="49"/>
  <c r="G418" i="49"/>
  <c r="G417" i="49"/>
  <c r="G416" i="49"/>
  <c r="G415" i="49"/>
  <c r="G414" i="49"/>
  <c r="G413" i="49"/>
  <c r="G412" i="49"/>
  <c r="G411" i="49"/>
  <c r="G410" i="49"/>
  <c r="G409" i="49"/>
  <c r="G408" i="49"/>
  <c r="G407" i="49"/>
  <c r="G406" i="49"/>
  <c r="G405" i="49"/>
  <c r="G404" i="49"/>
  <c r="G403" i="49"/>
  <c r="G402" i="49"/>
  <c r="G401" i="49"/>
  <c r="G400" i="49"/>
  <c r="G399" i="49"/>
  <c r="G398" i="49"/>
  <c r="G397" i="49"/>
  <c r="G396" i="49"/>
  <c r="G395" i="49"/>
  <c r="G394" i="49"/>
  <c r="G393" i="49"/>
  <c r="G392" i="49"/>
  <c r="G391" i="49"/>
  <c r="G390" i="49"/>
  <c r="G389" i="49"/>
  <c r="G388" i="49"/>
  <c r="G387" i="49"/>
  <c r="G386" i="49"/>
  <c r="G385" i="49"/>
  <c r="G384" i="49"/>
  <c r="G383" i="49"/>
  <c r="G382" i="49"/>
  <c r="G381" i="49"/>
  <c r="G380" i="49"/>
  <c r="G379" i="49"/>
  <c r="G378" i="49"/>
  <c r="G377" i="49"/>
  <c r="G376" i="49"/>
  <c r="G375" i="49"/>
  <c r="G374" i="49"/>
  <c r="G373" i="49"/>
  <c r="G372" i="49"/>
  <c r="G371" i="49"/>
  <c r="G370" i="49"/>
  <c r="G369" i="49"/>
  <c r="G368" i="49"/>
  <c r="G367" i="49"/>
  <c r="G366" i="49"/>
  <c r="G365" i="49"/>
  <c r="G364" i="49"/>
  <c r="G363" i="49"/>
  <c r="G362" i="49"/>
  <c r="G361" i="49"/>
  <c r="G360" i="49"/>
  <c r="G359" i="49"/>
  <c r="G358" i="49"/>
  <c r="G357" i="49"/>
  <c r="G356" i="49"/>
  <c r="G355" i="49"/>
  <c r="G354" i="49"/>
  <c r="G353" i="49"/>
  <c r="G352" i="49"/>
  <c r="G351" i="49"/>
  <c r="G350" i="49"/>
  <c r="G349" i="49"/>
  <c r="G348" i="49"/>
  <c r="G347" i="49"/>
  <c r="G346" i="49"/>
  <c r="G345" i="49"/>
  <c r="G344" i="49"/>
  <c r="G343" i="49"/>
  <c r="G342" i="49"/>
  <c r="G341" i="49"/>
  <c r="G340" i="49"/>
  <c r="G339" i="49"/>
  <c r="G338" i="49"/>
  <c r="G337" i="49"/>
  <c r="G336" i="49"/>
  <c r="G335" i="49"/>
  <c r="G334" i="49"/>
  <c r="G333" i="49"/>
  <c r="G332" i="49"/>
  <c r="G331" i="49"/>
  <c r="G330" i="49"/>
  <c r="G329" i="49"/>
  <c r="G328" i="49"/>
  <c r="G327" i="49"/>
  <c r="G326" i="49"/>
  <c r="G325" i="49"/>
  <c r="G324" i="49"/>
  <c r="G323" i="49"/>
  <c r="G322" i="49"/>
  <c r="G321" i="49"/>
  <c r="G320" i="49"/>
  <c r="G319" i="49"/>
  <c r="G318" i="49"/>
  <c r="G317" i="49"/>
  <c r="G316" i="49"/>
  <c r="G315" i="49"/>
  <c r="G314" i="49"/>
  <c r="G313" i="49"/>
  <c r="G312" i="49"/>
  <c r="G311" i="49"/>
  <c r="G310" i="49"/>
  <c r="G309" i="49"/>
  <c r="G308" i="49"/>
  <c r="G307" i="49"/>
  <c r="G306" i="49"/>
  <c r="G305" i="49"/>
  <c r="G304" i="49"/>
  <c r="G303" i="49"/>
  <c r="G302" i="49"/>
  <c r="G301" i="49"/>
  <c r="G300" i="49"/>
  <c r="G299" i="49"/>
  <c r="G298" i="49"/>
  <c r="G297" i="49"/>
  <c r="G296" i="49"/>
  <c r="G295" i="49"/>
  <c r="G294" i="49"/>
  <c r="G293" i="49"/>
  <c r="G292" i="49"/>
  <c r="G291" i="49"/>
  <c r="G290" i="49"/>
  <c r="G289" i="49"/>
  <c r="G288" i="49"/>
  <c r="G287" i="49"/>
  <c r="G286" i="49"/>
  <c r="G285" i="49"/>
  <c r="G284" i="49"/>
  <c r="G283" i="49"/>
  <c r="G282" i="49"/>
  <c r="G281" i="49"/>
  <c r="G280" i="49"/>
  <c r="G279" i="49"/>
  <c r="G278" i="49"/>
  <c r="G277" i="49"/>
  <c r="G276" i="49"/>
  <c r="G275" i="49"/>
  <c r="G274" i="49"/>
  <c r="G273" i="49"/>
  <c r="G272" i="49"/>
  <c r="G271" i="49"/>
  <c r="G270" i="49"/>
  <c r="G269" i="49"/>
  <c r="G268" i="49"/>
  <c r="G267" i="49"/>
  <c r="G266" i="49"/>
  <c r="G265" i="49"/>
  <c r="G264" i="49"/>
  <c r="G263" i="49"/>
  <c r="G262" i="49"/>
  <c r="G261" i="49"/>
  <c r="G260" i="49"/>
  <c r="G259" i="49"/>
  <c r="G258" i="49"/>
  <c r="G257" i="49"/>
  <c r="G256" i="49"/>
  <c r="G255" i="49"/>
  <c r="G254" i="49"/>
  <c r="G253" i="49"/>
  <c r="G252" i="49"/>
  <c r="G251" i="49"/>
  <c r="G250" i="49"/>
  <c r="G249" i="49"/>
  <c r="G248" i="49"/>
  <c r="G247" i="49"/>
  <c r="G246" i="49"/>
  <c r="G245" i="49"/>
  <c r="G244" i="49"/>
  <c r="G243" i="49"/>
  <c r="G242" i="49"/>
  <c r="G241" i="49"/>
  <c r="G240" i="49"/>
  <c r="G239" i="49"/>
  <c r="G238" i="49"/>
  <c r="G237" i="49"/>
  <c r="G236" i="49"/>
  <c r="G235" i="49"/>
  <c r="G234" i="49"/>
  <c r="G233" i="49"/>
  <c r="G232" i="49"/>
  <c r="G231" i="49"/>
  <c r="G230" i="49"/>
  <c r="G229" i="49"/>
  <c r="G228" i="49"/>
  <c r="G227" i="49"/>
  <c r="G226" i="49"/>
  <c r="G225" i="49"/>
  <c r="G224" i="49"/>
  <c r="G223" i="49"/>
  <c r="G222" i="49"/>
  <c r="G221" i="49"/>
  <c r="G220" i="49"/>
  <c r="G219" i="49"/>
  <c r="G218" i="49"/>
  <c r="G217" i="49"/>
  <c r="G216" i="49"/>
  <c r="G215" i="49"/>
  <c r="G214" i="49"/>
  <c r="G213" i="49"/>
  <c r="G212" i="49"/>
  <c r="G211" i="49"/>
  <c r="G210" i="49"/>
  <c r="G209" i="49"/>
  <c r="G208" i="49"/>
  <c r="G207" i="49"/>
  <c r="G206" i="49"/>
  <c r="G205" i="49"/>
  <c r="G204" i="49"/>
  <c r="G203" i="49"/>
  <c r="G202" i="49"/>
  <c r="G201" i="49"/>
  <c r="G200" i="49"/>
  <c r="G199" i="49"/>
  <c r="G198" i="49"/>
  <c r="G197" i="49"/>
  <c r="G196" i="49"/>
  <c r="G195" i="49"/>
  <c r="G194" i="49"/>
  <c r="G193" i="49"/>
  <c r="G192" i="49"/>
  <c r="G191" i="49"/>
  <c r="G190" i="49"/>
  <c r="G189" i="49"/>
  <c r="G188" i="49"/>
  <c r="G187" i="49"/>
  <c r="G186" i="49"/>
  <c r="G185" i="49"/>
  <c r="G184" i="49"/>
  <c r="G183" i="49"/>
  <c r="G182" i="49"/>
  <c r="G181" i="49"/>
  <c r="G180" i="49"/>
  <c r="G179" i="49"/>
  <c r="G178" i="49"/>
  <c r="G177" i="49"/>
  <c r="G176" i="49"/>
  <c r="G175" i="49"/>
  <c r="G174" i="49"/>
  <c r="G173" i="49"/>
  <c r="G172" i="49"/>
  <c r="G171" i="49"/>
  <c r="G170" i="49"/>
  <c r="G169" i="49"/>
  <c r="G168" i="49"/>
  <c r="G167" i="49"/>
  <c r="G166" i="49"/>
  <c r="G165" i="49"/>
  <c r="G164" i="49"/>
  <c r="G163" i="49"/>
  <c r="G162" i="49"/>
  <c r="G161" i="49"/>
  <c r="G160" i="49"/>
  <c r="G159" i="49"/>
  <c r="G158" i="49"/>
  <c r="G157" i="49"/>
  <c r="G156" i="49"/>
  <c r="G155" i="49"/>
  <c r="G154" i="49"/>
  <c r="G153" i="49"/>
  <c r="G152" i="49"/>
  <c r="G151" i="49"/>
  <c r="G150" i="49"/>
  <c r="G149" i="49"/>
  <c r="G148" i="49"/>
  <c r="G147" i="49"/>
  <c r="G146" i="49"/>
  <c r="G145" i="49"/>
  <c r="G144" i="49"/>
  <c r="G143" i="49"/>
  <c r="G142" i="49"/>
  <c r="G141" i="49"/>
  <c r="G140" i="49"/>
  <c r="G139" i="49"/>
  <c r="G138" i="49"/>
  <c r="G137" i="49"/>
  <c r="G136" i="49"/>
  <c r="G135" i="49"/>
  <c r="G134" i="49"/>
  <c r="G133" i="49"/>
  <c r="G132" i="49"/>
  <c r="G131" i="49"/>
  <c r="G130" i="49"/>
  <c r="G129" i="49"/>
  <c r="G128" i="49"/>
  <c r="G127" i="49"/>
  <c r="G126" i="49"/>
  <c r="G125" i="49"/>
  <c r="G124" i="49"/>
  <c r="G123" i="49"/>
  <c r="G122" i="49"/>
  <c r="G121" i="49"/>
  <c r="G120" i="49"/>
  <c r="G119" i="49"/>
  <c r="G118" i="49"/>
  <c r="G117" i="49"/>
  <c r="G116" i="49"/>
  <c r="G115" i="49"/>
  <c r="G114" i="49"/>
  <c r="G113" i="49"/>
  <c r="G112" i="49"/>
  <c r="G111" i="49"/>
  <c r="G110" i="49"/>
  <c r="G109" i="49"/>
  <c r="G108" i="49"/>
  <c r="G107" i="49"/>
  <c r="G106" i="49"/>
  <c r="G105" i="49"/>
  <c r="G104" i="49"/>
  <c r="G103" i="49"/>
  <c r="G102" i="49"/>
  <c r="G101" i="49"/>
  <c r="G100" i="49"/>
  <c r="G99" i="49"/>
  <c r="G98" i="49"/>
  <c r="G97" i="49"/>
  <c r="G96" i="49"/>
  <c r="G95" i="49"/>
  <c r="G94" i="49"/>
  <c r="G93" i="49"/>
  <c r="G92" i="49"/>
  <c r="G91" i="49"/>
  <c r="G90" i="49"/>
  <c r="G89" i="49"/>
  <c r="G88" i="49"/>
  <c r="G87" i="49"/>
  <c r="G86" i="49"/>
  <c r="G85" i="49"/>
  <c r="G84" i="49"/>
  <c r="G83" i="49"/>
  <c r="G82" i="49"/>
  <c r="G81" i="49"/>
  <c r="G80" i="49"/>
  <c r="G79" i="49"/>
  <c r="G78" i="49"/>
  <c r="G77" i="49"/>
  <c r="G76" i="49"/>
  <c r="G75" i="49"/>
  <c r="G74" i="49"/>
  <c r="G73" i="49"/>
  <c r="G72" i="49"/>
  <c r="G71" i="49"/>
  <c r="G70" i="49"/>
  <c r="G69" i="49"/>
  <c r="G68" i="49"/>
  <c r="G67" i="49"/>
  <c r="G66" i="49"/>
  <c r="G65" i="49"/>
  <c r="G64" i="49"/>
  <c r="G63" i="49"/>
  <c r="G62" i="49"/>
  <c r="G61" i="49"/>
  <c r="G60" i="49"/>
  <c r="G59" i="49"/>
  <c r="G58" i="49"/>
  <c r="G57" i="49"/>
  <c r="G56" i="49"/>
  <c r="G55" i="49"/>
  <c r="G54" i="49"/>
  <c r="G53" i="49"/>
  <c r="G52" i="49"/>
  <c r="G51" i="49"/>
  <c r="G50" i="49"/>
  <c r="G49" i="49"/>
  <c r="G48" i="49"/>
  <c r="G47" i="49"/>
  <c r="G46" i="49"/>
  <c r="G45" i="49"/>
  <c r="G44" i="49"/>
  <c r="G43" i="49"/>
  <c r="G42" i="49"/>
  <c r="G41" i="49"/>
  <c r="G40" i="49"/>
  <c r="G39" i="49"/>
  <c r="G38" i="49"/>
  <c r="G37" i="49"/>
  <c r="G36" i="49"/>
  <c r="G35" i="49"/>
  <c r="G34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E1205" i="49"/>
  <c r="G1205" i="49" s="1"/>
  <c r="D1205" i="49"/>
  <c r="C1205" i="49"/>
  <c r="B1205" i="49"/>
  <c r="Z23" i="3" l="1"/>
  <c r="Z34" i="3"/>
  <c r="Y23" i="3" l="1"/>
  <c r="Y25" i="3" s="1"/>
  <c r="M33" i="3" s="1"/>
  <c r="C33" i="3" s="1"/>
  <c r="G1121" i="47"/>
  <c r="G58" i="3"/>
  <c r="G32" i="3"/>
  <c r="AA34" i="3"/>
  <c r="AA23" i="3"/>
  <c r="AA13" i="3"/>
  <c r="Y13" i="3" l="1"/>
  <c r="Z13" i="3"/>
  <c r="H1184" i="48"/>
  <c r="H1202" i="49" s="1"/>
  <c r="H1230" i="50" s="1"/>
  <c r="H1183" i="48"/>
  <c r="H1201" i="49" s="1"/>
  <c r="H1229" i="50" s="1"/>
  <c r="H1159" i="48"/>
  <c r="H1175" i="49" s="1"/>
  <c r="H1202" i="50" s="1"/>
  <c r="H1155" i="48"/>
  <c r="H1171" i="49" s="1"/>
  <c r="H1198" i="50" s="1"/>
  <c r="H1153" i="48"/>
  <c r="H1169" i="49" s="1"/>
  <c r="H1196" i="50" s="1"/>
  <c r="H1152" i="48"/>
  <c r="H1168" i="49" s="1"/>
  <c r="H1195" i="50" s="1"/>
  <c r="H1150" i="48"/>
  <c r="H1166" i="49" s="1"/>
  <c r="H1193" i="50" s="1"/>
  <c r="H1149" i="48"/>
  <c r="H1165" i="49" s="1"/>
  <c r="H1192" i="50" s="1"/>
  <c r="H1148" i="48"/>
  <c r="H1164" i="49" s="1"/>
  <c r="H1191" i="50" s="1"/>
  <c r="H1146" i="48"/>
  <c r="H1162" i="49" s="1"/>
  <c r="H1189" i="50" s="1"/>
  <c r="H1145" i="48"/>
  <c r="H1161" i="49" s="1"/>
  <c r="H1188" i="50" s="1"/>
  <c r="H1143" i="48"/>
  <c r="H1159" i="49" s="1"/>
  <c r="H1186" i="50" s="1"/>
  <c r="H1140" i="48"/>
  <c r="H1156" i="49" s="1"/>
  <c r="H1183" i="50" s="1"/>
  <c r="H1136" i="48"/>
  <c r="H1152" i="49" s="1"/>
  <c r="H1179" i="50" s="1"/>
  <c r="H1132" i="48"/>
  <c r="H1148" i="49" s="1"/>
  <c r="H1175" i="50" s="1"/>
  <c r="H1124" i="48"/>
  <c r="H1140" i="49" s="1"/>
  <c r="H1167" i="50" s="1"/>
  <c r="H1112" i="48"/>
  <c r="H1127" i="49" s="1"/>
  <c r="H1154" i="50" s="1"/>
  <c r="H1110" i="48"/>
  <c r="H1124" i="49" s="1"/>
  <c r="H1151" i="50" s="1"/>
  <c r="H1094" i="48"/>
  <c r="H1107" i="49" s="1"/>
  <c r="H1134" i="50" s="1"/>
  <c r="H1065" i="48"/>
  <c r="H1077" i="49" s="1"/>
  <c r="H1103" i="50" s="1"/>
  <c r="H1032" i="48"/>
  <c r="H1041" i="49" s="1"/>
  <c r="H1067" i="50" s="1"/>
  <c r="H1020" i="48"/>
  <c r="H1030" i="49" s="1"/>
  <c r="H1055" i="50" s="1"/>
  <c r="H1017" i="48"/>
  <c r="H1027" i="49" s="1"/>
  <c r="H1052" i="50" s="1"/>
  <c r="H1002" i="48"/>
  <c r="H996" i="48"/>
  <c r="H1009" i="49" s="1"/>
  <c r="H1034" i="50" s="1"/>
  <c r="H974" i="48"/>
  <c r="H947" i="48"/>
  <c r="H958" i="49" s="1"/>
  <c r="H981" i="50" s="1"/>
  <c r="H934" i="48"/>
  <c r="H945" i="49" s="1"/>
  <c r="H967" i="50" s="1"/>
  <c r="H927" i="48"/>
  <c r="H936" i="49" s="1"/>
  <c r="H958" i="50" s="1"/>
  <c r="H922" i="48"/>
  <c r="H931" i="49" s="1"/>
  <c r="H954" i="50" s="1"/>
  <c r="H918" i="48"/>
  <c r="H927" i="49" s="1"/>
  <c r="H950" i="50" s="1"/>
  <c r="H913" i="48"/>
  <c r="H922" i="49" s="1"/>
  <c r="H944" i="50" s="1"/>
  <c r="H898" i="48"/>
  <c r="H908" i="49" s="1"/>
  <c r="H929" i="50" s="1"/>
  <c r="H889" i="48"/>
  <c r="H882" i="48"/>
  <c r="H894" i="49" s="1"/>
  <c r="H912" i="50" s="1"/>
  <c r="H875" i="48"/>
  <c r="H883" i="49" s="1"/>
  <c r="H900" i="50" s="1"/>
  <c r="H837" i="48"/>
  <c r="H843" i="49" s="1"/>
  <c r="H856" i="50" s="1"/>
  <c r="H815" i="48"/>
  <c r="H817" i="49" s="1"/>
  <c r="H829" i="50" s="1"/>
  <c r="H806" i="48"/>
  <c r="H806" i="49" s="1"/>
  <c r="H818" i="50" s="1"/>
  <c r="H792" i="48"/>
  <c r="H789" i="48"/>
  <c r="H791" i="49" s="1"/>
  <c r="H802" i="50" s="1"/>
  <c r="H787" i="48"/>
  <c r="H789" i="49" s="1"/>
  <c r="H800" i="50" s="1"/>
  <c r="H780" i="48"/>
  <c r="H781" i="49" s="1"/>
  <c r="H791" i="50" s="1"/>
  <c r="H776" i="48"/>
  <c r="H777" i="49" s="1"/>
  <c r="H787" i="50" s="1"/>
  <c r="H768" i="48"/>
  <c r="H769" i="49" s="1"/>
  <c r="H779" i="50" s="1"/>
  <c r="H766" i="48"/>
  <c r="H767" i="49" s="1"/>
  <c r="H777" i="50" s="1"/>
  <c r="H755" i="48"/>
  <c r="H756" i="49" s="1"/>
  <c r="H765" i="50" s="1"/>
  <c r="H754" i="48"/>
  <c r="H755" i="49" s="1"/>
  <c r="H764" i="50" s="1"/>
  <c r="H747" i="48"/>
  <c r="H750" i="49" s="1"/>
  <c r="H759" i="50" s="1"/>
  <c r="H738" i="48"/>
  <c r="H732" i="48"/>
  <c r="H736" i="49" s="1"/>
  <c r="H745" i="50" s="1"/>
  <c r="H712" i="48"/>
  <c r="H714" i="49" s="1"/>
  <c r="H124" i="50" s="1"/>
  <c r="H710" i="48"/>
  <c r="H712" i="49" s="1"/>
  <c r="H723" i="50" s="1"/>
  <c r="H700" i="48"/>
  <c r="H701" i="49" s="1"/>
  <c r="H712" i="50" s="1"/>
  <c r="H691" i="48"/>
  <c r="H693" i="49" s="1"/>
  <c r="H704" i="50" s="1"/>
  <c r="H673" i="48"/>
  <c r="H665" i="48"/>
  <c r="H652" i="48"/>
  <c r="H654" i="49" s="1"/>
  <c r="H664" i="50" s="1"/>
  <c r="H644" i="48"/>
  <c r="H646" i="49" s="1"/>
  <c r="H655" i="50" s="1"/>
  <c r="H626" i="48"/>
  <c r="H628" i="49" s="1"/>
  <c r="H636" i="50" s="1"/>
  <c r="H624" i="48"/>
  <c r="H619" i="48"/>
  <c r="H622" i="49" s="1"/>
  <c r="H631" i="50" s="1"/>
  <c r="H602" i="48"/>
  <c r="H604" i="49" s="1"/>
  <c r="H611" i="50" s="1"/>
  <c r="H594" i="48"/>
  <c r="H596" i="49" s="1"/>
  <c r="H602" i="50" s="1"/>
  <c r="H524" i="48"/>
  <c r="H523" i="49" s="1"/>
  <c r="H524" i="50" s="1"/>
  <c r="H502" i="48"/>
  <c r="H502" i="49" s="1"/>
  <c r="H504" i="50" s="1"/>
  <c r="H483" i="48"/>
  <c r="H482" i="49" s="1"/>
  <c r="H469" i="48"/>
  <c r="H466" i="49" s="1"/>
  <c r="H433" i="48"/>
  <c r="H428" i="49" s="1"/>
  <c r="H430" i="50" s="1"/>
  <c r="H425" i="48"/>
  <c r="H420" i="49" s="1"/>
  <c r="H422" i="50" s="1"/>
  <c r="H418" i="48"/>
  <c r="H412" i="49" s="1"/>
  <c r="H414" i="50" s="1"/>
  <c r="H396" i="48"/>
  <c r="H386" i="48"/>
  <c r="H383" i="49" s="1"/>
  <c r="H382" i="50" s="1"/>
  <c r="H384" i="48"/>
  <c r="H381" i="49" s="1"/>
  <c r="H380" i="50" s="1"/>
  <c r="H382" i="48"/>
  <c r="H379" i="49" s="1"/>
  <c r="H378" i="50" s="1"/>
  <c r="H263" i="48"/>
  <c r="H179" i="48"/>
  <c r="H207" i="49" s="1"/>
  <c r="H174" i="50" s="1"/>
  <c r="H171" i="48"/>
  <c r="H142" i="49" s="1"/>
  <c r="H168" i="50" s="1"/>
  <c r="H162" i="48"/>
  <c r="H133" i="49" s="1"/>
  <c r="H159" i="50" s="1"/>
  <c r="H158" i="48"/>
  <c r="H141" i="48"/>
  <c r="H190" i="49" s="1"/>
  <c r="H142" i="50" s="1"/>
  <c r="H130" i="48"/>
  <c r="H123" i="48"/>
  <c r="H97" i="49" s="1"/>
  <c r="H122" i="50" s="1"/>
  <c r="H116" i="48"/>
  <c r="H102" i="48"/>
  <c r="H77" i="49" s="1"/>
  <c r="H76" i="48"/>
  <c r="H92" i="49" s="1"/>
  <c r="H77" i="50" s="1"/>
  <c r="H70" i="48"/>
  <c r="H89" i="49" s="1"/>
  <c r="H72" i="50" s="1"/>
  <c r="H34" i="48"/>
  <c r="H43" i="49" s="1"/>
  <c r="F1187" i="48"/>
  <c r="G1186" i="48"/>
  <c r="G1185" i="48"/>
  <c r="G1184" i="48"/>
  <c r="G1183" i="48"/>
  <c r="G1182" i="48"/>
  <c r="G1181" i="48"/>
  <c r="G1180" i="48"/>
  <c r="G1179" i="48"/>
  <c r="G1178" i="48"/>
  <c r="G1177" i="48"/>
  <c r="G1176" i="48"/>
  <c r="G1175" i="48"/>
  <c r="G1174" i="48"/>
  <c r="G1173" i="48"/>
  <c r="G1172" i="48"/>
  <c r="G1171" i="48"/>
  <c r="G1170" i="48"/>
  <c r="G1169" i="48"/>
  <c r="G1168" i="48"/>
  <c r="G1167" i="48"/>
  <c r="G1166" i="48"/>
  <c r="G1165" i="48"/>
  <c r="G1164" i="48"/>
  <c r="G1163" i="48"/>
  <c r="G1162" i="48"/>
  <c r="G1161" i="48"/>
  <c r="G1160" i="48"/>
  <c r="G1159" i="48"/>
  <c r="G1158" i="48"/>
  <c r="G1157" i="48"/>
  <c r="G1156" i="48"/>
  <c r="G1155" i="48"/>
  <c r="G1154" i="48"/>
  <c r="G1153" i="48"/>
  <c r="G1152" i="48"/>
  <c r="G1151" i="48"/>
  <c r="G1150" i="48"/>
  <c r="G1149" i="48"/>
  <c r="G1148" i="48"/>
  <c r="G1147" i="48"/>
  <c r="G1146" i="48"/>
  <c r="G1145" i="48"/>
  <c r="G1144" i="48"/>
  <c r="G1143" i="48"/>
  <c r="G1142" i="48"/>
  <c r="G1141" i="48"/>
  <c r="G1140" i="48"/>
  <c r="G1139" i="48"/>
  <c r="G1138" i="48"/>
  <c r="G1137" i="48"/>
  <c r="G1136" i="48"/>
  <c r="G1135" i="48"/>
  <c r="G1134" i="48"/>
  <c r="G1133" i="48"/>
  <c r="G1132" i="48"/>
  <c r="G1131" i="48"/>
  <c r="G1130" i="48"/>
  <c r="G1129" i="48"/>
  <c r="G1128" i="48"/>
  <c r="G1127" i="48"/>
  <c r="G1126" i="48"/>
  <c r="G1125" i="48"/>
  <c r="G1124" i="48"/>
  <c r="G1123" i="48"/>
  <c r="G1122" i="48"/>
  <c r="G1121" i="48"/>
  <c r="G1120" i="48"/>
  <c r="G1119" i="48"/>
  <c r="G1118" i="48"/>
  <c r="G1117" i="48"/>
  <c r="G1116" i="48"/>
  <c r="G1115" i="48"/>
  <c r="G1114" i="48"/>
  <c r="G1113" i="48"/>
  <c r="G1112" i="48"/>
  <c r="G1111" i="48"/>
  <c r="G1110" i="48"/>
  <c r="G1109" i="48"/>
  <c r="G1108" i="48"/>
  <c r="G1107" i="48"/>
  <c r="G1106" i="48"/>
  <c r="G1105" i="48"/>
  <c r="G1104" i="48"/>
  <c r="G1103" i="48"/>
  <c r="G1102" i="48"/>
  <c r="G1101" i="48"/>
  <c r="G1100" i="48"/>
  <c r="G1099" i="48"/>
  <c r="G1098" i="48"/>
  <c r="G1097" i="48"/>
  <c r="G1096" i="48"/>
  <c r="G1095" i="48"/>
  <c r="G1094" i="48"/>
  <c r="G1093" i="48"/>
  <c r="G1092" i="48"/>
  <c r="G1091" i="48"/>
  <c r="G1090" i="48"/>
  <c r="G1089" i="48"/>
  <c r="G1088" i="48"/>
  <c r="G1087" i="48"/>
  <c r="G1086" i="48"/>
  <c r="G1085" i="48"/>
  <c r="G1084" i="48"/>
  <c r="G1083" i="48"/>
  <c r="G1082" i="48"/>
  <c r="G1081" i="48"/>
  <c r="G1080" i="48"/>
  <c r="G1079" i="48"/>
  <c r="G1078" i="48"/>
  <c r="G1077" i="48"/>
  <c r="G1076" i="48"/>
  <c r="G1075" i="48"/>
  <c r="G1074" i="48"/>
  <c r="G1073" i="48"/>
  <c r="G1072" i="48"/>
  <c r="G1071" i="48"/>
  <c r="G1070" i="48"/>
  <c r="G1069" i="48"/>
  <c r="G1068" i="48"/>
  <c r="G1067" i="48"/>
  <c r="G1066" i="48"/>
  <c r="G1065" i="48"/>
  <c r="G1064" i="48"/>
  <c r="G1063" i="48"/>
  <c r="G1062" i="48"/>
  <c r="G1061" i="48"/>
  <c r="G1060" i="48"/>
  <c r="G1059" i="48"/>
  <c r="G1058" i="48"/>
  <c r="G1057" i="48"/>
  <c r="G1056" i="48"/>
  <c r="G1055" i="48"/>
  <c r="G1054" i="48"/>
  <c r="G1053" i="48"/>
  <c r="G1052" i="48"/>
  <c r="G1051" i="48"/>
  <c r="G1050" i="48"/>
  <c r="G1049" i="48"/>
  <c r="G1048" i="48"/>
  <c r="G1047" i="48"/>
  <c r="G1046" i="48"/>
  <c r="G1045" i="48"/>
  <c r="G1044" i="48"/>
  <c r="G1043" i="48"/>
  <c r="G1042" i="48"/>
  <c r="G1041" i="48"/>
  <c r="G1040" i="48"/>
  <c r="G1039" i="48"/>
  <c r="G1038" i="48"/>
  <c r="G1037" i="48"/>
  <c r="G1036" i="48"/>
  <c r="G1035" i="48"/>
  <c r="G1034" i="48"/>
  <c r="G1033" i="48"/>
  <c r="G1032" i="48"/>
  <c r="G1031" i="48"/>
  <c r="G1030" i="48"/>
  <c r="G1029" i="48"/>
  <c r="G1028" i="48"/>
  <c r="G1027" i="48"/>
  <c r="G1026" i="48"/>
  <c r="G1025" i="48"/>
  <c r="G1024" i="48"/>
  <c r="G1023" i="48"/>
  <c r="G1022" i="48"/>
  <c r="G1021" i="48"/>
  <c r="G1020" i="48"/>
  <c r="G1019" i="48"/>
  <c r="G1018" i="48"/>
  <c r="G1017" i="48"/>
  <c r="G1016" i="48"/>
  <c r="G1015" i="48"/>
  <c r="G1014" i="48"/>
  <c r="G1013" i="48"/>
  <c r="G1012" i="48"/>
  <c r="G1011" i="48"/>
  <c r="G1010" i="48"/>
  <c r="G1009" i="48"/>
  <c r="G1008" i="48"/>
  <c r="G1007" i="48"/>
  <c r="G1006" i="48"/>
  <c r="G1005" i="48"/>
  <c r="G1004" i="48"/>
  <c r="G1003" i="48"/>
  <c r="G1002" i="48"/>
  <c r="G1001" i="48"/>
  <c r="G1000" i="48"/>
  <c r="G999" i="48"/>
  <c r="G998" i="48"/>
  <c r="G997" i="48"/>
  <c r="G996" i="48"/>
  <c r="G995" i="48"/>
  <c r="G994" i="48"/>
  <c r="G993" i="48"/>
  <c r="G992" i="48"/>
  <c r="G991" i="48"/>
  <c r="G990" i="48"/>
  <c r="G989" i="48"/>
  <c r="G988" i="48"/>
  <c r="G987" i="48"/>
  <c r="G986" i="48"/>
  <c r="G985" i="48"/>
  <c r="G984" i="48"/>
  <c r="G983" i="48"/>
  <c r="G982" i="48"/>
  <c r="G981" i="48"/>
  <c r="G980" i="48"/>
  <c r="G979" i="48"/>
  <c r="G978" i="48"/>
  <c r="G977" i="48"/>
  <c r="G976" i="48"/>
  <c r="G975" i="48"/>
  <c r="G974" i="48"/>
  <c r="G973" i="48"/>
  <c r="G972" i="48"/>
  <c r="G971" i="48"/>
  <c r="G970" i="48"/>
  <c r="G969" i="48"/>
  <c r="G968" i="48"/>
  <c r="G967" i="48"/>
  <c r="G966" i="48"/>
  <c r="G965" i="48"/>
  <c r="G964" i="48"/>
  <c r="G963" i="48"/>
  <c r="G962" i="48"/>
  <c r="G961" i="48"/>
  <c r="G960" i="48"/>
  <c r="G959" i="48"/>
  <c r="G958" i="48"/>
  <c r="G957" i="48"/>
  <c r="G956" i="48"/>
  <c r="G955" i="48"/>
  <c r="G954" i="48"/>
  <c r="G953" i="48"/>
  <c r="G952" i="48"/>
  <c r="G951" i="48"/>
  <c r="G950" i="48"/>
  <c r="G949" i="48"/>
  <c r="G948" i="48"/>
  <c r="G947" i="48"/>
  <c r="G946" i="48"/>
  <c r="G945" i="48"/>
  <c r="G944" i="48"/>
  <c r="G943" i="48"/>
  <c r="G942" i="48"/>
  <c r="G941" i="48"/>
  <c r="G940" i="48"/>
  <c r="G939" i="48"/>
  <c r="G938" i="48"/>
  <c r="G937" i="48"/>
  <c r="G936" i="48"/>
  <c r="G935" i="48"/>
  <c r="G934" i="48"/>
  <c r="G933" i="48"/>
  <c r="G932" i="48"/>
  <c r="G931" i="48"/>
  <c r="G930" i="48"/>
  <c r="G929" i="48"/>
  <c r="G928" i="48"/>
  <c r="G927" i="48"/>
  <c r="G926" i="48"/>
  <c r="G925" i="48"/>
  <c r="G924" i="48"/>
  <c r="G923" i="48"/>
  <c r="G922" i="48"/>
  <c r="G921" i="48"/>
  <c r="G920" i="48"/>
  <c r="G919" i="48"/>
  <c r="G918" i="48"/>
  <c r="G917" i="48"/>
  <c r="G916" i="48"/>
  <c r="G915" i="48"/>
  <c r="G914" i="48"/>
  <c r="G913" i="48"/>
  <c r="G912" i="48"/>
  <c r="G911" i="48"/>
  <c r="G910" i="48"/>
  <c r="G909" i="48"/>
  <c r="G908" i="48"/>
  <c r="G907" i="48"/>
  <c r="G906" i="48"/>
  <c r="G905" i="48"/>
  <c r="G904" i="48"/>
  <c r="G903" i="48"/>
  <c r="G902" i="48"/>
  <c r="G901" i="48"/>
  <c r="G900" i="48"/>
  <c r="G899" i="48"/>
  <c r="G898" i="48"/>
  <c r="G897" i="48"/>
  <c r="G896" i="48"/>
  <c r="G895" i="48"/>
  <c r="G894" i="48"/>
  <c r="G893" i="48"/>
  <c r="G892" i="48"/>
  <c r="G891" i="48"/>
  <c r="G890" i="48"/>
  <c r="G889" i="48"/>
  <c r="G888" i="48"/>
  <c r="G887" i="48"/>
  <c r="G886" i="48"/>
  <c r="G885" i="48"/>
  <c r="G884" i="48"/>
  <c r="G883" i="48"/>
  <c r="G882" i="48"/>
  <c r="G881" i="48"/>
  <c r="G880" i="48"/>
  <c r="G879" i="48"/>
  <c r="G878" i="48"/>
  <c r="G877" i="48"/>
  <c r="G876" i="48"/>
  <c r="G875" i="48"/>
  <c r="G874" i="48"/>
  <c r="G873" i="48"/>
  <c r="G872" i="48"/>
  <c r="G871" i="48"/>
  <c r="G870" i="48"/>
  <c r="G869" i="48"/>
  <c r="G868" i="48"/>
  <c r="G867" i="48"/>
  <c r="G866" i="48"/>
  <c r="G865" i="48"/>
  <c r="G864" i="48"/>
  <c r="G863" i="48"/>
  <c r="G862" i="48"/>
  <c r="G861" i="48"/>
  <c r="G860" i="48"/>
  <c r="G859" i="48"/>
  <c r="G858" i="48"/>
  <c r="G857" i="48"/>
  <c r="G856" i="48"/>
  <c r="G855" i="48"/>
  <c r="G854" i="48"/>
  <c r="G853" i="48"/>
  <c r="G852" i="48"/>
  <c r="G851" i="48"/>
  <c r="G850" i="48"/>
  <c r="G849" i="48"/>
  <c r="G848" i="48"/>
  <c r="G847" i="48"/>
  <c r="G846" i="48"/>
  <c r="G845" i="48"/>
  <c r="G844" i="48"/>
  <c r="G843" i="48"/>
  <c r="G842" i="48"/>
  <c r="G841" i="48"/>
  <c r="G840" i="48"/>
  <c r="G839" i="48"/>
  <c r="G838" i="48"/>
  <c r="G837" i="48"/>
  <c r="G836" i="48"/>
  <c r="G835" i="48"/>
  <c r="G834" i="48"/>
  <c r="G833" i="48"/>
  <c r="G832" i="48"/>
  <c r="G831" i="48"/>
  <c r="G830" i="48"/>
  <c r="G829" i="48"/>
  <c r="G828" i="48"/>
  <c r="G827" i="48"/>
  <c r="G826" i="48"/>
  <c r="G825" i="48"/>
  <c r="G824" i="48"/>
  <c r="G823" i="48"/>
  <c r="G822" i="48"/>
  <c r="G821" i="48"/>
  <c r="G820" i="48"/>
  <c r="G819" i="48"/>
  <c r="G818" i="48"/>
  <c r="G817" i="48"/>
  <c r="G816" i="48"/>
  <c r="G815" i="48"/>
  <c r="G814" i="48"/>
  <c r="G813" i="48"/>
  <c r="G812" i="48"/>
  <c r="G811" i="48"/>
  <c r="G810" i="48"/>
  <c r="G809" i="48"/>
  <c r="G808" i="48"/>
  <c r="G807" i="48"/>
  <c r="G806" i="48"/>
  <c r="G805" i="48"/>
  <c r="G804" i="48"/>
  <c r="G803" i="48"/>
  <c r="G802" i="48"/>
  <c r="G801" i="48"/>
  <c r="G800" i="48"/>
  <c r="G799" i="48"/>
  <c r="G798" i="48"/>
  <c r="G797" i="48"/>
  <c r="G796" i="48"/>
  <c r="G795" i="48"/>
  <c r="G794" i="48"/>
  <c r="G793" i="48"/>
  <c r="G792" i="48"/>
  <c r="G791" i="48"/>
  <c r="G790" i="48"/>
  <c r="G789" i="48"/>
  <c r="G788" i="48"/>
  <c r="G787" i="48"/>
  <c r="G786" i="48"/>
  <c r="G785" i="48"/>
  <c r="G784" i="48"/>
  <c r="G783" i="48"/>
  <c r="G782" i="48"/>
  <c r="G781" i="48"/>
  <c r="G780" i="48"/>
  <c r="G779" i="48"/>
  <c r="G778" i="48"/>
  <c r="G777" i="48"/>
  <c r="G776" i="48"/>
  <c r="G775" i="48"/>
  <c r="G774" i="48"/>
  <c r="G773" i="48"/>
  <c r="G772" i="48"/>
  <c r="G771" i="48"/>
  <c r="G770" i="48"/>
  <c r="G769" i="48"/>
  <c r="G768" i="48"/>
  <c r="G767" i="48"/>
  <c r="G766" i="48"/>
  <c r="G765" i="48"/>
  <c r="G764" i="48"/>
  <c r="G763" i="48"/>
  <c r="G762" i="48"/>
  <c r="G761" i="48"/>
  <c r="G760" i="48"/>
  <c r="G759" i="48"/>
  <c r="G758" i="48"/>
  <c r="G757" i="48"/>
  <c r="G756" i="48"/>
  <c r="G755" i="48"/>
  <c r="G754" i="48"/>
  <c r="G753" i="48"/>
  <c r="G752" i="48"/>
  <c r="G751" i="48"/>
  <c r="G750" i="48"/>
  <c r="G749" i="48"/>
  <c r="G748" i="48"/>
  <c r="G747" i="48"/>
  <c r="G746" i="48"/>
  <c r="G745" i="48"/>
  <c r="G744" i="48"/>
  <c r="G743" i="48"/>
  <c r="G742" i="48"/>
  <c r="G741" i="48"/>
  <c r="G740" i="48"/>
  <c r="G739" i="48"/>
  <c r="G738" i="48"/>
  <c r="G737" i="48"/>
  <c r="G736" i="48"/>
  <c r="G735" i="48"/>
  <c r="G734" i="48"/>
  <c r="G733" i="48"/>
  <c r="G732" i="48"/>
  <c r="G731" i="48"/>
  <c r="G730" i="48"/>
  <c r="G729" i="48"/>
  <c r="G728" i="48"/>
  <c r="G727" i="48"/>
  <c r="G726" i="48"/>
  <c r="G725" i="48"/>
  <c r="G724" i="48"/>
  <c r="G723" i="48"/>
  <c r="G722" i="48"/>
  <c r="G721" i="48"/>
  <c r="G720" i="48"/>
  <c r="G719" i="48"/>
  <c r="G718" i="48"/>
  <c r="G717" i="48"/>
  <c r="G716" i="48"/>
  <c r="G715" i="48"/>
  <c r="G714" i="48"/>
  <c r="G713" i="48"/>
  <c r="G712" i="48"/>
  <c r="G711" i="48"/>
  <c r="G710" i="48"/>
  <c r="G709" i="48"/>
  <c r="G708" i="48"/>
  <c r="G707" i="48"/>
  <c r="G706" i="48"/>
  <c r="G705" i="48"/>
  <c r="G704" i="48"/>
  <c r="G703" i="48"/>
  <c r="G702" i="48"/>
  <c r="G701" i="48"/>
  <c r="G700" i="48"/>
  <c r="G699" i="48"/>
  <c r="G698" i="48"/>
  <c r="G697" i="48"/>
  <c r="G696" i="48"/>
  <c r="G695" i="48"/>
  <c r="G694" i="48"/>
  <c r="G693" i="48"/>
  <c r="G692" i="48"/>
  <c r="G691" i="48"/>
  <c r="G690" i="48"/>
  <c r="G689" i="48"/>
  <c r="G688" i="48"/>
  <c r="G687" i="48"/>
  <c r="G686" i="48"/>
  <c r="G685" i="48"/>
  <c r="G684" i="48"/>
  <c r="G683" i="48"/>
  <c r="G682" i="48"/>
  <c r="G681" i="48"/>
  <c r="G680" i="48"/>
  <c r="G679" i="48"/>
  <c r="G678" i="48"/>
  <c r="G677" i="48"/>
  <c r="G676" i="48"/>
  <c r="G675" i="48"/>
  <c r="G674" i="48"/>
  <c r="G673" i="48"/>
  <c r="G672" i="48"/>
  <c r="G671" i="48"/>
  <c r="G670" i="48"/>
  <c r="G669" i="48"/>
  <c r="G668" i="48"/>
  <c r="G667" i="48"/>
  <c r="G666" i="48"/>
  <c r="G665" i="48"/>
  <c r="G664" i="48"/>
  <c r="G663" i="48"/>
  <c r="G662" i="48"/>
  <c r="G661" i="48"/>
  <c r="G660" i="48"/>
  <c r="G659" i="48"/>
  <c r="G658" i="48"/>
  <c r="G657" i="48"/>
  <c r="G656" i="48"/>
  <c r="G655" i="48"/>
  <c r="G654" i="48"/>
  <c r="G653" i="48"/>
  <c r="G652" i="48"/>
  <c r="G651" i="48"/>
  <c r="G650" i="48"/>
  <c r="G649" i="48"/>
  <c r="G648" i="48"/>
  <c r="G647" i="48"/>
  <c r="G646" i="48"/>
  <c r="G645" i="48"/>
  <c r="G644" i="48"/>
  <c r="G643" i="48"/>
  <c r="G642" i="48"/>
  <c r="G641" i="48"/>
  <c r="G640" i="48"/>
  <c r="G639" i="48"/>
  <c r="G638" i="48"/>
  <c r="G637" i="48"/>
  <c r="G636" i="48"/>
  <c r="G635" i="48"/>
  <c r="G634" i="48"/>
  <c r="G633" i="48"/>
  <c r="G632" i="48"/>
  <c r="G631" i="48"/>
  <c r="G630" i="48"/>
  <c r="G629" i="48"/>
  <c r="G628" i="48"/>
  <c r="G627" i="48"/>
  <c r="G626" i="48"/>
  <c r="G625" i="48"/>
  <c r="G624" i="48"/>
  <c r="G623" i="48"/>
  <c r="G622" i="48"/>
  <c r="G621" i="48"/>
  <c r="G620" i="48"/>
  <c r="G619" i="48"/>
  <c r="G618" i="48"/>
  <c r="G617" i="48"/>
  <c r="G616" i="48"/>
  <c r="G615" i="48"/>
  <c r="G614" i="48"/>
  <c r="G613" i="48"/>
  <c r="G612" i="48"/>
  <c r="G611" i="48"/>
  <c r="G610" i="48"/>
  <c r="G609" i="48"/>
  <c r="G608" i="48"/>
  <c r="G607" i="48"/>
  <c r="G606" i="48"/>
  <c r="G605" i="48"/>
  <c r="G604" i="48"/>
  <c r="G603" i="48"/>
  <c r="G602" i="48"/>
  <c r="G601" i="48"/>
  <c r="G600" i="48"/>
  <c r="G599" i="48"/>
  <c r="G598" i="48"/>
  <c r="G597" i="48"/>
  <c r="G596" i="48"/>
  <c r="G595" i="48"/>
  <c r="G594" i="48"/>
  <c r="G593" i="48"/>
  <c r="G592" i="48"/>
  <c r="G591" i="48"/>
  <c r="G590" i="48"/>
  <c r="G589" i="48"/>
  <c r="G588" i="48"/>
  <c r="G587" i="48"/>
  <c r="G586" i="48"/>
  <c r="G585" i="48"/>
  <c r="G584" i="48"/>
  <c r="G583" i="48"/>
  <c r="G582" i="48"/>
  <c r="G581" i="48"/>
  <c r="G580" i="48"/>
  <c r="G579" i="48"/>
  <c r="G578" i="48"/>
  <c r="G577" i="48"/>
  <c r="G576" i="48"/>
  <c r="G575" i="48"/>
  <c r="G574" i="48"/>
  <c r="G573" i="48"/>
  <c r="G572" i="48"/>
  <c r="G571" i="48"/>
  <c r="G570" i="48"/>
  <c r="G569" i="48"/>
  <c r="G568" i="48"/>
  <c r="G567" i="48"/>
  <c r="G566" i="48"/>
  <c r="G565" i="48"/>
  <c r="G564" i="48"/>
  <c r="G563" i="48"/>
  <c r="G562" i="48"/>
  <c r="G561" i="48"/>
  <c r="G560" i="48"/>
  <c r="G559" i="48"/>
  <c r="G558" i="48"/>
  <c r="G557" i="48"/>
  <c r="G556" i="48"/>
  <c r="G555" i="48"/>
  <c r="G554" i="48"/>
  <c r="G553" i="48"/>
  <c r="G552" i="48"/>
  <c r="G551" i="48"/>
  <c r="G550" i="48"/>
  <c r="G549" i="48"/>
  <c r="G548" i="48"/>
  <c r="G547" i="48"/>
  <c r="G546" i="48"/>
  <c r="G545" i="48"/>
  <c r="G544" i="48"/>
  <c r="G543" i="48"/>
  <c r="G542" i="48"/>
  <c r="G541" i="48"/>
  <c r="G540" i="48"/>
  <c r="G539" i="48"/>
  <c r="G538" i="48"/>
  <c r="G537" i="48"/>
  <c r="G536" i="48"/>
  <c r="G535" i="48"/>
  <c r="G534" i="48"/>
  <c r="G533" i="48"/>
  <c r="G532" i="48"/>
  <c r="G531" i="48"/>
  <c r="G530" i="48"/>
  <c r="G529" i="48"/>
  <c r="G528" i="48"/>
  <c r="G527" i="48"/>
  <c r="G526" i="48"/>
  <c r="G525" i="48"/>
  <c r="G524" i="48"/>
  <c r="G523" i="48"/>
  <c r="G522" i="48"/>
  <c r="G521" i="48"/>
  <c r="G520" i="48"/>
  <c r="G519" i="48"/>
  <c r="G518" i="48"/>
  <c r="G517" i="48"/>
  <c r="G516" i="48"/>
  <c r="G515" i="48"/>
  <c r="G514" i="48"/>
  <c r="G513" i="48"/>
  <c r="G512" i="48"/>
  <c r="G511" i="48"/>
  <c r="G510" i="48"/>
  <c r="G509" i="48"/>
  <c r="G508" i="48"/>
  <c r="G507" i="48"/>
  <c r="G506" i="48"/>
  <c r="G505" i="48"/>
  <c r="G504" i="48"/>
  <c r="G503" i="48"/>
  <c r="G502" i="48"/>
  <c r="G501" i="48"/>
  <c r="G500" i="48"/>
  <c r="G499" i="48"/>
  <c r="G498" i="48"/>
  <c r="G497" i="48"/>
  <c r="G496" i="48"/>
  <c r="G495" i="48"/>
  <c r="G494" i="48"/>
  <c r="G493" i="48"/>
  <c r="G492" i="48"/>
  <c r="G491" i="48"/>
  <c r="G490" i="48"/>
  <c r="G489" i="48"/>
  <c r="G488" i="48"/>
  <c r="G487" i="48"/>
  <c r="G486" i="48"/>
  <c r="G485" i="48"/>
  <c r="G484" i="48"/>
  <c r="G483" i="48"/>
  <c r="G482" i="48"/>
  <c r="G481" i="48"/>
  <c r="G480" i="48"/>
  <c r="G479" i="48"/>
  <c r="G478" i="48"/>
  <c r="G477" i="48"/>
  <c r="G476" i="48"/>
  <c r="G475" i="48"/>
  <c r="G474" i="48"/>
  <c r="G473" i="48"/>
  <c r="G472" i="48"/>
  <c r="G471" i="48"/>
  <c r="G470" i="48"/>
  <c r="G469" i="48"/>
  <c r="G468" i="48"/>
  <c r="G467" i="48"/>
  <c r="G466" i="48"/>
  <c r="G465" i="48"/>
  <c r="G464" i="48"/>
  <c r="G463" i="48"/>
  <c r="G462" i="48"/>
  <c r="G461" i="48"/>
  <c r="G460" i="48"/>
  <c r="G459" i="48"/>
  <c r="G458" i="48"/>
  <c r="G457" i="48"/>
  <c r="G456" i="48"/>
  <c r="G455" i="48"/>
  <c r="G454" i="48"/>
  <c r="G453" i="48"/>
  <c r="G452" i="48"/>
  <c r="G451" i="48"/>
  <c r="G450" i="48"/>
  <c r="G449" i="48"/>
  <c r="G448" i="48"/>
  <c r="G447" i="48"/>
  <c r="G446" i="48"/>
  <c r="G445" i="48"/>
  <c r="G444" i="48"/>
  <c r="G443" i="48"/>
  <c r="G442" i="48"/>
  <c r="G441" i="48"/>
  <c r="G440" i="48"/>
  <c r="G439" i="48"/>
  <c r="G438" i="48"/>
  <c r="G437" i="48"/>
  <c r="G436" i="48"/>
  <c r="G435" i="48"/>
  <c r="G434" i="48"/>
  <c r="G433" i="48"/>
  <c r="G432" i="48"/>
  <c r="G431" i="48"/>
  <c r="G430" i="48"/>
  <c r="G429" i="48"/>
  <c r="G428" i="48"/>
  <c r="G427" i="48"/>
  <c r="G426" i="48"/>
  <c r="G425" i="48"/>
  <c r="G424" i="48"/>
  <c r="G423" i="48"/>
  <c r="G422" i="48"/>
  <c r="G421" i="48"/>
  <c r="G420" i="48"/>
  <c r="G419" i="48"/>
  <c r="G418" i="48"/>
  <c r="G417" i="48"/>
  <c r="G416" i="48"/>
  <c r="G415" i="48"/>
  <c r="G414" i="48"/>
  <c r="G413" i="48"/>
  <c r="G412" i="48"/>
  <c r="G411" i="48"/>
  <c r="G410" i="48"/>
  <c r="G409" i="48"/>
  <c r="G408" i="48"/>
  <c r="G407" i="48"/>
  <c r="G406" i="48"/>
  <c r="G405" i="48"/>
  <c r="G404" i="48"/>
  <c r="G403" i="48"/>
  <c r="G402" i="48"/>
  <c r="G401" i="48"/>
  <c r="G400" i="48"/>
  <c r="G399" i="48"/>
  <c r="G398" i="48"/>
  <c r="G397" i="48"/>
  <c r="G396" i="48"/>
  <c r="G395" i="48"/>
  <c r="G394" i="48"/>
  <c r="G393" i="48"/>
  <c r="G392" i="48"/>
  <c r="G391" i="48"/>
  <c r="G390" i="48"/>
  <c r="G389" i="48"/>
  <c r="G388" i="48"/>
  <c r="G387" i="48"/>
  <c r="G386" i="48"/>
  <c r="G385" i="48"/>
  <c r="G384" i="48"/>
  <c r="G383" i="48"/>
  <c r="G382" i="48"/>
  <c r="G381" i="48"/>
  <c r="G380" i="48"/>
  <c r="G379" i="48"/>
  <c r="G378" i="48"/>
  <c r="G377" i="48"/>
  <c r="G376" i="48"/>
  <c r="G375" i="48"/>
  <c r="G374" i="48"/>
  <c r="G373" i="48"/>
  <c r="G372" i="48"/>
  <c r="G371" i="48"/>
  <c r="G370" i="48"/>
  <c r="G369" i="48"/>
  <c r="G368" i="48"/>
  <c r="G367" i="48"/>
  <c r="G366" i="48"/>
  <c r="G365" i="48"/>
  <c r="G364" i="48"/>
  <c r="G363" i="48"/>
  <c r="G362" i="48"/>
  <c r="G361" i="48"/>
  <c r="G360" i="48"/>
  <c r="G359" i="48"/>
  <c r="G358" i="48"/>
  <c r="G357" i="48"/>
  <c r="G356" i="48"/>
  <c r="G355" i="48"/>
  <c r="G354" i="48"/>
  <c r="G353" i="48"/>
  <c r="G352" i="48"/>
  <c r="G351" i="48"/>
  <c r="G350" i="48"/>
  <c r="G349" i="48"/>
  <c r="G348" i="48"/>
  <c r="G347" i="48"/>
  <c r="G346" i="48"/>
  <c r="G345" i="48"/>
  <c r="G344" i="48"/>
  <c r="G343" i="48"/>
  <c r="G342" i="48"/>
  <c r="G341" i="48"/>
  <c r="G340" i="48"/>
  <c r="G339" i="48"/>
  <c r="G338" i="48"/>
  <c r="G337" i="48"/>
  <c r="G336" i="48"/>
  <c r="G335" i="48"/>
  <c r="G334" i="48"/>
  <c r="G333" i="48"/>
  <c r="G332" i="48"/>
  <c r="G331" i="48"/>
  <c r="G330" i="48"/>
  <c r="G329" i="48"/>
  <c r="G328" i="48"/>
  <c r="G327" i="48"/>
  <c r="G326" i="48"/>
  <c r="G325" i="48"/>
  <c r="G324" i="48"/>
  <c r="G323" i="48"/>
  <c r="G322" i="48"/>
  <c r="G321" i="48"/>
  <c r="G320" i="48"/>
  <c r="G319" i="48"/>
  <c r="G318" i="48"/>
  <c r="G317" i="48"/>
  <c r="G316" i="48"/>
  <c r="G315" i="48"/>
  <c r="G314" i="48"/>
  <c r="G313" i="48"/>
  <c r="G312" i="48"/>
  <c r="G311" i="48"/>
  <c r="G310" i="48"/>
  <c r="G309" i="48"/>
  <c r="G308" i="48"/>
  <c r="G307" i="48"/>
  <c r="G306" i="48"/>
  <c r="G305" i="48"/>
  <c r="G304" i="48"/>
  <c r="G303" i="48"/>
  <c r="G302" i="48"/>
  <c r="G301" i="48"/>
  <c r="G300" i="48"/>
  <c r="G299" i="48"/>
  <c r="G298" i="48"/>
  <c r="G297" i="48"/>
  <c r="G296" i="48"/>
  <c r="G295" i="48"/>
  <c r="G294" i="48"/>
  <c r="G293" i="48"/>
  <c r="G292" i="48"/>
  <c r="G291" i="48"/>
  <c r="G290" i="48"/>
  <c r="G289" i="48"/>
  <c r="G288" i="48"/>
  <c r="G287" i="48"/>
  <c r="G286" i="48"/>
  <c r="G285" i="48"/>
  <c r="G284" i="48"/>
  <c r="G283" i="48"/>
  <c r="G282" i="48"/>
  <c r="G281" i="48"/>
  <c r="G280" i="48"/>
  <c r="G279" i="48"/>
  <c r="G278" i="48"/>
  <c r="G277" i="48"/>
  <c r="G276" i="48"/>
  <c r="G275" i="48"/>
  <c r="G274" i="48"/>
  <c r="G273" i="48"/>
  <c r="G272" i="48"/>
  <c r="G271" i="48"/>
  <c r="G270" i="48"/>
  <c r="G269" i="48"/>
  <c r="G268" i="48"/>
  <c r="G267" i="48"/>
  <c r="G266" i="48"/>
  <c r="G265" i="48"/>
  <c r="G264" i="48"/>
  <c r="G263" i="48"/>
  <c r="G262" i="48"/>
  <c r="G261" i="48"/>
  <c r="G260" i="48"/>
  <c r="G259" i="48"/>
  <c r="G258" i="48"/>
  <c r="G257" i="48"/>
  <c r="G256" i="48"/>
  <c r="G255" i="48"/>
  <c r="G254" i="48"/>
  <c r="G253" i="48"/>
  <c r="G252" i="48"/>
  <c r="G251" i="48"/>
  <c r="G250" i="48"/>
  <c r="G249" i="48"/>
  <c r="G248" i="48"/>
  <c r="G247" i="48"/>
  <c r="G246" i="48"/>
  <c r="G245" i="48"/>
  <c r="G244" i="48"/>
  <c r="G243" i="48"/>
  <c r="G242" i="48"/>
  <c r="G241" i="48"/>
  <c r="G240" i="48"/>
  <c r="G239" i="48"/>
  <c r="G238" i="48"/>
  <c r="G237" i="48"/>
  <c r="G236" i="48"/>
  <c r="G235" i="48"/>
  <c r="G234" i="48"/>
  <c r="G233" i="48"/>
  <c r="G232" i="48"/>
  <c r="G231" i="48"/>
  <c r="G230" i="48"/>
  <c r="G229" i="48"/>
  <c r="G228" i="48"/>
  <c r="G227" i="48"/>
  <c r="G226" i="48"/>
  <c r="G225" i="48"/>
  <c r="G224" i="48"/>
  <c r="G223" i="48"/>
  <c r="G222" i="48"/>
  <c r="G221" i="48"/>
  <c r="G220" i="48"/>
  <c r="G219" i="48"/>
  <c r="G218" i="48"/>
  <c r="G217" i="48"/>
  <c r="G216" i="48"/>
  <c r="G215" i="48"/>
  <c r="G214" i="48"/>
  <c r="G213" i="48"/>
  <c r="G212" i="48"/>
  <c r="G211" i="48"/>
  <c r="G210" i="48"/>
  <c r="G209" i="48"/>
  <c r="G208" i="48"/>
  <c r="G207" i="48"/>
  <c r="G206" i="48"/>
  <c r="G205" i="48"/>
  <c r="G204" i="48"/>
  <c r="G203" i="48"/>
  <c r="G202" i="48"/>
  <c r="G201" i="48"/>
  <c r="G200" i="48"/>
  <c r="G199" i="48"/>
  <c r="G198" i="48"/>
  <c r="G197" i="48"/>
  <c r="G196" i="48"/>
  <c r="G195" i="48"/>
  <c r="G194" i="48"/>
  <c r="G193" i="48"/>
  <c r="G192" i="48"/>
  <c r="G191" i="48"/>
  <c r="G190" i="48"/>
  <c r="G189" i="48"/>
  <c r="G188" i="48"/>
  <c r="G187" i="48"/>
  <c r="G186" i="48"/>
  <c r="G185" i="48"/>
  <c r="G184" i="48"/>
  <c r="G183" i="48"/>
  <c r="G182" i="48"/>
  <c r="G181" i="48"/>
  <c r="G180" i="48"/>
  <c r="G179" i="48"/>
  <c r="G178" i="48"/>
  <c r="G177" i="48"/>
  <c r="G176" i="48"/>
  <c r="G175" i="48"/>
  <c r="G174" i="48"/>
  <c r="G173" i="48"/>
  <c r="G172" i="48"/>
  <c r="G171" i="48"/>
  <c r="G170" i="48"/>
  <c r="G169" i="48"/>
  <c r="G168" i="48"/>
  <c r="G167" i="48"/>
  <c r="G166" i="48"/>
  <c r="G165" i="48"/>
  <c r="G164" i="48"/>
  <c r="G163" i="48"/>
  <c r="G162" i="48"/>
  <c r="G161" i="48"/>
  <c r="G160" i="48"/>
  <c r="G159" i="48"/>
  <c r="G158" i="48"/>
  <c r="G157" i="48"/>
  <c r="G156" i="48"/>
  <c r="G155" i="48"/>
  <c r="G154" i="48"/>
  <c r="G153" i="48"/>
  <c r="G152" i="48"/>
  <c r="G151" i="48"/>
  <c r="G150" i="48"/>
  <c r="G149" i="48"/>
  <c r="G148" i="48"/>
  <c r="G147" i="48"/>
  <c r="G146" i="48"/>
  <c r="G145" i="48"/>
  <c r="G144" i="48"/>
  <c r="G143" i="48"/>
  <c r="G142" i="48"/>
  <c r="G141" i="48"/>
  <c r="G140" i="48"/>
  <c r="G139" i="48"/>
  <c r="G138" i="48"/>
  <c r="G137" i="48"/>
  <c r="G136" i="48"/>
  <c r="G135" i="48"/>
  <c r="G134" i="48"/>
  <c r="G133" i="48"/>
  <c r="G132" i="48"/>
  <c r="G131" i="48"/>
  <c r="G130" i="48"/>
  <c r="G129" i="48"/>
  <c r="G128" i="48"/>
  <c r="G127" i="48"/>
  <c r="G126" i="48"/>
  <c r="G125" i="48"/>
  <c r="G124" i="48"/>
  <c r="G123" i="48"/>
  <c r="G122" i="48"/>
  <c r="G121" i="48"/>
  <c r="G120" i="48"/>
  <c r="G119" i="48"/>
  <c r="G118" i="48"/>
  <c r="G117" i="48"/>
  <c r="G116" i="48"/>
  <c r="G115" i="48"/>
  <c r="G114" i="48"/>
  <c r="G113" i="48"/>
  <c r="G112" i="48"/>
  <c r="G111" i="48"/>
  <c r="G110" i="48"/>
  <c r="G109" i="48"/>
  <c r="G108" i="48"/>
  <c r="G107" i="48"/>
  <c r="G106" i="48"/>
  <c r="G105" i="48"/>
  <c r="G104" i="48"/>
  <c r="G103" i="48"/>
  <c r="G102" i="48"/>
  <c r="G101" i="48"/>
  <c r="G100" i="48"/>
  <c r="G99" i="48"/>
  <c r="G98" i="48"/>
  <c r="G97" i="48"/>
  <c r="G96" i="48"/>
  <c r="G95" i="48"/>
  <c r="G94" i="48"/>
  <c r="G93" i="48"/>
  <c r="G92" i="48"/>
  <c r="G91" i="48"/>
  <c r="G90" i="48"/>
  <c r="G89" i="48"/>
  <c r="G88" i="48"/>
  <c r="G87" i="48"/>
  <c r="G86" i="48"/>
  <c r="G85" i="48"/>
  <c r="G84" i="48"/>
  <c r="G83" i="48"/>
  <c r="G82" i="48"/>
  <c r="G81" i="48"/>
  <c r="G80" i="48"/>
  <c r="G79" i="48"/>
  <c r="G78" i="48"/>
  <c r="G77" i="48"/>
  <c r="G76" i="48"/>
  <c r="G75" i="48"/>
  <c r="G74" i="48"/>
  <c r="G73" i="48"/>
  <c r="G72" i="48"/>
  <c r="G71" i="48"/>
  <c r="G70" i="48"/>
  <c r="G69" i="48"/>
  <c r="G68" i="48"/>
  <c r="G67" i="48"/>
  <c r="G66" i="48"/>
  <c r="G65" i="48"/>
  <c r="G64" i="48"/>
  <c r="G63" i="48"/>
  <c r="G62" i="48"/>
  <c r="G61" i="48"/>
  <c r="G60" i="48"/>
  <c r="G59" i="48"/>
  <c r="G58" i="48"/>
  <c r="G57" i="48"/>
  <c r="G56" i="48"/>
  <c r="G55" i="48"/>
  <c r="G54" i="48"/>
  <c r="G53" i="48"/>
  <c r="G52" i="48"/>
  <c r="G51" i="48"/>
  <c r="G50" i="48"/>
  <c r="G49" i="48"/>
  <c r="G48" i="48"/>
  <c r="G47" i="48"/>
  <c r="G46" i="48"/>
  <c r="G45" i="48"/>
  <c r="G44" i="48"/>
  <c r="G43" i="48"/>
  <c r="G42" i="48"/>
  <c r="G41" i="48"/>
  <c r="G40" i="48"/>
  <c r="G39" i="48"/>
  <c r="G38" i="48"/>
  <c r="G37" i="48"/>
  <c r="G36" i="48"/>
  <c r="G35" i="48"/>
  <c r="G34" i="48"/>
  <c r="G33" i="48"/>
  <c r="G32" i="48"/>
  <c r="G31" i="48"/>
  <c r="G30" i="48"/>
  <c r="G29" i="48"/>
  <c r="G28" i="48"/>
  <c r="G27" i="48"/>
  <c r="G26" i="48"/>
  <c r="G25" i="48"/>
  <c r="G24" i="48"/>
  <c r="G23" i="48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5" i="48"/>
  <c r="E1187" i="48"/>
  <c r="D1187" i="48"/>
  <c r="C1187" i="48"/>
  <c r="B1187" i="48"/>
  <c r="G1187" i="48" l="1"/>
  <c r="I32" i="3"/>
  <c r="AB34" i="3"/>
  <c r="AB23" i="3"/>
  <c r="AB13" i="3" l="1"/>
  <c r="I58" i="3"/>
  <c r="H992" i="47" l="1"/>
  <c r="H1033" i="48" s="1"/>
  <c r="H1042" i="49" s="1"/>
  <c r="H1068" i="50" s="1"/>
  <c r="H904" i="47"/>
  <c r="H940" i="48" s="1"/>
  <c r="H951" i="49" s="1"/>
  <c r="H973" i="50" s="1"/>
  <c r="H872" i="47"/>
  <c r="H907" i="48" s="1"/>
  <c r="H916" i="49" s="1"/>
  <c r="H938" i="50" s="1"/>
  <c r="H870" i="47"/>
  <c r="H905" i="48" s="1"/>
  <c r="H868" i="47"/>
  <c r="H903" i="48" s="1"/>
  <c r="H913" i="49" s="1"/>
  <c r="H935" i="50" s="1"/>
  <c r="H860" i="47"/>
  <c r="H895" i="48" s="1"/>
  <c r="H905" i="49" s="1"/>
  <c r="H925" i="50" s="1"/>
  <c r="H859" i="47"/>
  <c r="H894" i="48" s="1"/>
  <c r="H904" i="49" s="1"/>
  <c r="H924" i="50" s="1"/>
  <c r="H857" i="47"/>
  <c r="H892" i="48" s="1"/>
  <c r="H902" i="49" s="1"/>
  <c r="H922" i="50" s="1"/>
  <c r="H853" i="47"/>
  <c r="H887" i="48" s="1"/>
  <c r="H849" i="47"/>
  <c r="H884" i="48" s="1"/>
  <c r="H843" i="47"/>
  <c r="H878" i="48" s="1"/>
  <c r="H887" i="49" s="1"/>
  <c r="H904" i="50" s="1"/>
  <c r="H837" i="47"/>
  <c r="H872" i="48" s="1"/>
  <c r="H880" i="49" s="1"/>
  <c r="H897" i="50" s="1"/>
  <c r="H802" i="47"/>
  <c r="H832" i="48" s="1"/>
  <c r="H835" i="49" s="1"/>
  <c r="H848" i="50" s="1"/>
  <c r="H798" i="47"/>
  <c r="H795" i="47"/>
  <c r="H774" i="47"/>
  <c r="H801" i="48" s="1"/>
  <c r="H802" i="49" s="1"/>
  <c r="H814" i="50" s="1"/>
  <c r="H769" i="47"/>
  <c r="H796" i="48" s="1"/>
  <c r="H796" i="49" s="1"/>
  <c r="H808" i="50" s="1"/>
  <c r="H767" i="47"/>
  <c r="H794" i="48" s="1"/>
  <c r="H755" i="47"/>
  <c r="H781" i="48" s="1"/>
  <c r="H782" i="49" s="1"/>
  <c r="H792" i="50" s="1"/>
  <c r="H702" i="47"/>
  <c r="H726" i="48" s="1"/>
  <c r="H729" i="49" s="1"/>
  <c r="H738" i="50" s="1"/>
  <c r="H698" i="47"/>
  <c r="H690" i="47"/>
  <c r="H715" i="48" s="1"/>
  <c r="H717" i="49" s="1"/>
  <c r="H727" i="50" s="1"/>
  <c r="H683" i="47"/>
  <c r="H708" i="48" s="1"/>
  <c r="H710" i="49" s="1"/>
  <c r="H721" i="50" s="1"/>
  <c r="H647" i="47"/>
  <c r="H668" i="48" s="1"/>
  <c r="H635" i="47"/>
  <c r="H657" i="48" s="1"/>
  <c r="H659" i="49" s="1"/>
  <c r="H668" i="50" s="1"/>
  <c r="H620" i="47"/>
  <c r="H641" i="48" s="1"/>
  <c r="H611" i="47"/>
  <c r="H630" i="48" s="1"/>
  <c r="H632" i="49" s="1"/>
  <c r="H641" i="50" s="1"/>
  <c r="H601" i="47"/>
  <c r="H620" i="48" s="1"/>
  <c r="H623" i="49" s="1"/>
  <c r="H632" i="50" s="1"/>
  <c r="H599" i="47"/>
  <c r="H618" i="48" s="1"/>
  <c r="H621" i="49" s="1"/>
  <c r="H629" i="50" s="1"/>
  <c r="H591" i="47"/>
  <c r="H610" i="48" s="1"/>
  <c r="H589" i="47"/>
  <c r="H607" i="48" s="1"/>
  <c r="H584" i="47"/>
  <c r="H581" i="47"/>
  <c r="H600" i="48" s="1"/>
  <c r="H602" i="49" s="1"/>
  <c r="H609" i="50" s="1"/>
  <c r="H578" i="47"/>
  <c r="H597" i="48" s="1"/>
  <c r="H599" i="49" s="1"/>
  <c r="H605" i="50" s="1"/>
  <c r="H573" i="47"/>
  <c r="H592" i="48" s="1"/>
  <c r="H594" i="49" s="1"/>
  <c r="H600" i="50" s="1"/>
  <c r="H570" i="47"/>
  <c r="H590" i="48" s="1"/>
  <c r="H591" i="49" s="1"/>
  <c r="H597" i="50" s="1"/>
  <c r="H549" i="47"/>
  <c r="H566" i="48" s="1"/>
  <c r="H568" i="49" s="1"/>
  <c r="H573" i="50" s="1"/>
  <c r="H548" i="47"/>
  <c r="H565" i="48" s="1"/>
  <c r="H567" i="49" s="1"/>
  <c r="H572" i="50" s="1"/>
  <c r="H538" i="47"/>
  <c r="H555" i="48" s="1"/>
  <c r="H556" i="49" s="1"/>
  <c r="H560" i="50" s="1"/>
  <c r="H533" i="47"/>
  <c r="H550" i="48" s="1"/>
  <c r="H529" i="47"/>
  <c r="H545" i="48" s="1"/>
  <c r="H547" i="49" s="1"/>
  <c r="H550" i="50" s="1"/>
  <c r="H526" i="47"/>
  <c r="H542" i="48" s="1"/>
  <c r="H544" i="49" s="1"/>
  <c r="H547" i="50" s="1"/>
  <c r="H524" i="47"/>
  <c r="H540" i="48" s="1"/>
  <c r="H542" i="49" s="1"/>
  <c r="H544" i="50" s="1"/>
  <c r="H522" i="47"/>
  <c r="H538" i="48" s="1"/>
  <c r="H540" i="49" s="1"/>
  <c r="H542" i="50" s="1"/>
  <c r="H518" i="47"/>
  <c r="H533" i="48" s="1"/>
  <c r="H535" i="49" s="1"/>
  <c r="H536" i="50" s="1"/>
  <c r="H515" i="47"/>
  <c r="H530" i="48" s="1"/>
  <c r="H532" i="49" s="1"/>
  <c r="H533" i="50" s="1"/>
  <c r="H510" i="47"/>
  <c r="H523" i="48" s="1"/>
  <c r="H522" i="49" s="1"/>
  <c r="H523" i="50" s="1"/>
  <c r="H505" i="47"/>
  <c r="H517" i="48" s="1"/>
  <c r="H499" i="47"/>
  <c r="H510" i="48" s="1"/>
  <c r="H509" i="49" s="1"/>
  <c r="H511" i="50" s="1"/>
  <c r="H498" i="47"/>
  <c r="H509" i="48" s="1"/>
  <c r="H486" i="47"/>
  <c r="H493" i="48" s="1"/>
  <c r="H493" i="49" s="1"/>
  <c r="H494" i="50" s="1"/>
  <c r="H483" i="47"/>
  <c r="H490" i="48" s="1"/>
  <c r="H489" i="49" s="1"/>
  <c r="H490" i="50" s="1"/>
  <c r="H480" i="47"/>
  <c r="H487" i="48" s="1"/>
  <c r="H486" i="49" s="1"/>
  <c r="H487" i="50" s="1"/>
  <c r="H474" i="47"/>
  <c r="H481" i="48" s="1"/>
  <c r="H480" i="49" s="1"/>
  <c r="H482" i="50" s="1"/>
  <c r="H470" i="47"/>
  <c r="H477" i="48" s="1"/>
  <c r="H476" i="49" s="1"/>
  <c r="H477" i="50" s="1"/>
  <c r="H461" i="47"/>
  <c r="H467" i="48" s="1"/>
  <c r="H464" i="49" s="1"/>
  <c r="H457" i="47"/>
  <c r="H462" i="48" s="1"/>
  <c r="H459" i="49" s="1"/>
  <c r="H461" i="50" s="1"/>
  <c r="H450" i="47"/>
  <c r="H455" i="48" s="1"/>
  <c r="H450" i="49" s="1"/>
  <c r="H452" i="50" s="1"/>
  <c r="H436" i="47"/>
  <c r="H441" i="48" s="1"/>
  <c r="H436" i="49" s="1"/>
  <c r="H438" i="50" s="1"/>
  <c r="H433" i="47"/>
  <c r="H438" i="48" s="1"/>
  <c r="H433" i="49" s="1"/>
  <c r="H435" i="50" s="1"/>
  <c r="H423" i="47"/>
  <c r="H428" i="48" s="1"/>
  <c r="H423" i="49" s="1"/>
  <c r="H425" i="50" s="1"/>
  <c r="H421" i="47"/>
  <c r="H426" i="48" s="1"/>
  <c r="H421" i="49" s="1"/>
  <c r="H423" i="50" s="1"/>
  <c r="H415" i="47"/>
  <c r="H420" i="48" s="1"/>
  <c r="H415" i="49" s="1"/>
  <c r="H417" i="50" s="1"/>
  <c r="H412" i="47"/>
  <c r="H416" i="48" s="1"/>
  <c r="H410" i="49" s="1"/>
  <c r="H412" i="50" s="1"/>
  <c r="H407" i="47"/>
  <c r="H409" i="48" s="1"/>
  <c r="H404" i="49" s="1"/>
  <c r="H406" i="50" s="1"/>
  <c r="H401" i="47"/>
  <c r="H403" i="48" s="1"/>
  <c r="H397" i="47"/>
  <c r="H399" i="48" s="1"/>
  <c r="H395" i="49" s="1"/>
  <c r="H396" i="50" s="1"/>
  <c r="H393" i="47"/>
  <c r="H395" i="48" s="1"/>
  <c r="H392" i="49" s="1"/>
  <c r="H392" i="50" s="1"/>
  <c r="H383" i="47"/>
  <c r="H385" i="48" s="1"/>
  <c r="H382" i="49" s="1"/>
  <c r="H381" i="50" s="1"/>
  <c r="H263" i="47"/>
  <c r="H264" i="48" s="1"/>
  <c r="H259" i="49" s="1"/>
  <c r="H175" i="47"/>
  <c r="H167" i="47"/>
  <c r="H166" i="47"/>
  <c r="H166" i="48" s="1"/>
  <c r="H200" i="49" s="1"/>
  <c r="H160" i="47"/>
  <c r="H160" i="48" s="1"/>
  <c r="H149" i="47"/>
  <c r="H147" i="48" s="1"/>
  <c r="H145" i="47"/>
  <c r="H143" i="48" s="1"/>
  <c r="H117" i="49" s="1"/>
  <c r="H129" i="47"/>
  <c r="H127" i="48" s="1"/>
  <c r="H135" i="49" s="1"/>
  <c r="H128" i="50" s="1"/>
  <c r="H122" i="47"/>
  <c r="H120" i="48" s="1"/>
  <c r="H94" i="49" s="1"/>
  <c r="H119" i="50" s="1"/>
  <c r="H108" i="47"/>
  <c r="H105" i="48" s="1"/>
  <c r="H80" i="49" s="1"/>
  <c r="H105" i="50" s="1"/>
  <c r="H97" i="47"/>
  <c r="H93" i="48" s="1"/>
  <c r="H91" i="47"/>
  <c r="H90" i="47"/>
  <c r="H86" i="47"/>
  <c r="H83" i="47"/>
  <c r="H81" i="48" s="1"/>
  <c r="H102" i="49" s="1"/>
  <c r="H82" i="50" s="1"/>
  <c r="H82" i="47"/>
  <c r="H77" i="47"/>
  <c r="H77" i="48" s="1"/>
  <c r="H75" i="47"/>
  <c r="H75" i="48" s="1"/>
  <c r="H50" i="49" s="1"/>
  <c r="H62" i="47"/>
  <c r="H61" i="48" s="1"/>
  <c r="H21" i="47"/>
  <c r="H21" i="48" s="1"/>
  <c r="H5" i="49" s="1"/>
  <c r="H24" i="50" s="1"/>
  <c r="G1138" i="47"/>
  <c r="G1137" i="47"/>
  <c r="G1136" i="47"/>
  <c r="G1135" i="47"/>
  <c r="G1134" i="47"/>
  <c r="G1133" i="47"/>
  <c r="G1132" i="47"/>
  <c r="G1131" i="47"/>
  <c r="G1130" i="47"/>
  <c r="G1129" i="47"/>
  <c r="G1128" i="47"/>
  <c r="G1127" i="47"/>
  <c r="G1126" i="47"/>
  <c r="G1125" i="47"/>
  <c r="G1124" i="47"/>
  <c r="G1123" i="47"/>
  <c r="G1122" i="47"/>
  <c r="G1120" i="47"/>
  <c r="G1119" i="47"/>
  <c r="G1118" i="47"/>
  <c r="G1117" i="47"/>
  <c r="G1116" i="47"/>
  <c r="G1115" i="47"/>
  <c r="G1114" i="47"/>
  <c r="G1113" i="47"/>
  <c r="G1112" i="47"/>
  <c r="G1111" i="47"/>
  <c r="G1110" i="47"/>
  <c r="G1109" i="47"/>
  <c r="G1108" i="47"/>
  <c r="G1107" i="47"/>
  <c r="G1106" i="47"/>
  <c r="G1105" i="47"/>
  <c r="G1104" i="47"/>
  <c r="G1103" i="47"/>
  <c r="G1102" i="47"/>
  <c r="G1101" i="47"/>
  <c r="G1100" i="47"/>
  <c r="G1099" i="47"/>
  <c r="G1098" i="47"/>
  <c r="G1097" i="47"/>
  <c r="G1096" i="47"/>
  <c r="G1095" i="47"/>
  <c r="G1094" i="47"/>
  <c r="G1093" i="47"/>
  <c r="G1092" i="47"/>
  <c r="G1091" i="47"/>
  <c r="G1090" i="47"/>
  <c r="G1089" i="47"/>
  <c r="G1088" i="47"/>
  <c r="G1087" i="47"/>
  <c r="G1086" i="47"/>
  <c r="G1085" i="47"/>
  <c r="G1084" i="47"/>
  <c r="G1083" i="47"/>
  <c r="G1082" i="47"/>
  <c r="G1081" i="47"/>
  <c r="G1080" i="47"/>
  <c r="G1079" i="47"/>
  <c r="G1078" i="47"/>
  <c r="G1077" i="47"/>
  <c r="G1076" i="47"/>
  <c r="G1075" i="47"/>
  <c r="G1074" i="47"/>
  <c r="G1073" i="47"/>
  <c r="G1072" i="47"/>
  <c r="G1071" i="47"/>
  <c r="G1070" i="47"/>
  <c r="G1069" i="47"/>
  <c r="G1068" i="47"/>
  <c r="G1067" i="47"/>
  <c r="G1066" i="47"/>
  <c r="G1065" i="47"/>
  <c r="G1064" i="47"/>
  <c r="G1063" i="47"/>
  <c r="G1062" i="47"/>
  <c r="G1061" i="47"/>
  <c r="G1060" i="47"/>
  <c r="G1059" i="47"/>
  <c r="G1058" i="47"/>
  <c r="G1057" i="47"/>
  <c r="G1056" i="47"/>
  <c r="G1055" i="47"/>
  <c r="G1054" i="47"/>
  <c r="G1053" i="47"/>
  <c r="G1052" i="47"/>
  <c r="G1051" i="47"/>
  <c r="G1050" i="47"/>
  <c r="G1049" i="47"/>
  <c r="G1048" i="47"/>
  <c r="G1047" i="47"/>
  <c r="G1046" i="47"/>
  <c r="G1045" i="47"/>
  <c r="G1044" i="47"/>
  <c r="G1033" i="47"/>
  <c r="G1038" i="47"/>
  <c r="G1036" i="47"/>
  <c r="G1035" i="47"/>
  <c r="G1034" i="47"/>
  <c r="G1043" i="47"/>
  <c r="G1037" i="47"/>
  <c r="G1042" i="47"/>
  <c r="G1041" i="47"/>
  <c r="G1040" i="47"/>
  <c r="G1039" i="47"/>
  <c r="G1032" i="47"/>
  <c r="G1031" i="47"/>
  <c r="G1030" i="47"/>
  <c r="G1029" i="47"/>
  <c r="G1028" i="47"/>
  <c r="G1027" i="47"/>
  <c r="G1026" i="47"/>
  <c r="G1025" i="47"/>
  <c r="G1024" i="47"/>
  <c r="G1023" i="47"/>
  <c r="G1022" i="47"/>
  <c r="G1021" i="47"/>
  <c r="G1020" i="47"/>
  <c r="G1019" i="47"/>
  <c r="G1018" i="47"/>
  <c r="G1017" i="47"/>
  <c r="G1016" i="47"/>
  <c r="G1015" i="47"/>
  <c r="G1014" i="47"/>
  <c r="G1013" i="47"/>
  <c r="G1012" i="47"/>
  <c r="G1011" i="47"/>
  <c r="G1010" i="47"/>
  <c r="G1009" i="47"/>
  <c r="G1008" i="47"/>
  <c r="G1007" i="47"/>
  <c r="G1006" i="47"/>
  <c r="G1005" i="47"/>
  <c r="G1004" i="47"/>
  <c r="G1003" i="47"/>
  <c r="G1002" i="47"/>
  <c r="G1001" i="47"/>
  <c r="G1000" i="47"/>
  <c r="G999" i="47"/>
  <c r="G998" i="47"/>
  <c r="G997" i="47"/>
  <c r="G996" i="47"/>
  <c r="G995" i="47"/>
  <c r="G994" i="47"/>
  <c r="G993" i="47"/>
  <c r="G992" i="47"/>
  <c r="G991" i="47"/>
  <c r="G990" i="47"/>
  <c r="G989" i="47"/>
  <c r="G988" i="47"/>
  <c r="G987" i="47"/>
  <c r="G986" i="47"/>
  <c r="G985" i="47"/>
  <c r="G984" i="47"/>
  <c r="G983" i="47"/>
  <c r="G982" i="47"/>
  <c r="G981" i="47"/>
  <c r="G980" i="47"/>
  <c r="G979" i="47"/>
  <c r="G978" i="47"/>
  <c r="G977" i="47"/>
  <c r="G976" i="47"/>
  <c r="G975" i="47"/>
  <c r="G974" i="47"/>
  <c r="G973" i="47"/>
  <c r="G972" i="47"/>
  <c r="G971" i="47"/>
  <c r="G970" i="47"/>
  <c r="G969" i="47"/>
  <c r="G968" i="47"/>
  <c r="G967" i="47"/>
  <c r="G966" i="47"/>
  <c r="G965" i="47"/>
  <c r="G964" i="47"/>
  <c r="G963" i="47"/>
  <c r="G962" i="47"/>
  <c r="G961" i="47"/>
  <c r="G960" i="47"/>
  <c r="G959" i="47"/>
  <c r="G958" i="47"/>
  <c r="G957" i="47"/>
  <c r="G956" i="47"/>
  <c r="G955" i="47"/>
  <c r="G954" i="47"/>
  <c r="G953" i="47"/>
  <c r="G952" i="47"/>
  <c r="G951" i="47"/>
  <c r="G950" i="47"/>
  <c r="G949" i="47"/>
  <c r="G948" i="47"/>
  <c r="G947" i="47"/>
  <c r="G946" i="47"/>
  <c r="G945" i="47"/>
  <c r="G944" i="47"/>
  <c r="G943" i="47"/>
  <c r="G942" i="47"/>
  <c r="G941" i="47"/>
  <c r="G940" i="47"/>
  <c r="G939" i="47"/>
  <c r="G938" i="47"/>
  <c r="G937" i="47"/>
  <c r="G936" i="47"/>
  <c r="G935" i="47"/>
  <c r="G934" i="47"/>
  <c r="G933" i="47"/>
  <c r="G932" i="47"/>
  <c r="G931" i="47"/>
  <c r="G930" i="47"/>
  <c r="G929" i="47"/>
  <c r="G928" i="47"/>
  <c r="G927" i="47"/>
  <c r="G926" i="47"/>
  <c r="G925" i="47"/>
  <c r="G924" i="47"/>
  <c r="G923" i="47"/>
  <c r="G922" i="47"/>
  <c r="G921" i="47"/>
  <c r="G920" i="47"/>
  <c r="G919" i="47"/>
  <c r="G918" i="47"/>
  <c r="G917" i="47"/>
  <c r="G916" i="47"/>
  <c r="G915" i="47"/>
  <c r="G914" i="47"/>
  <c r="G913" i="47"/>
  <c r="G912" i="47"/>
  <c r="G911" i="47"/>
  <c r="G910" i="47"/>
  <c r="G909" i="47"/>
  <c r="G908" i="47"/>
  <c r="G907" i="47"/>
  <c r="G906" i="47"/>
  <c r="G905" i="47"/>
  <c r="G904" i="47"/>
  <c r="G903" i="47"/>
  <c r="G902" i="47"/>
  <c r="G901" i="47"/>
  <c r="G900" i="47"/>
  <c r="G899" i="47"/>
  <c r="G898" i="47"/>
  <c r="G897" i="47"/>
  <c r="G896" i="47"/>
  <c r="G895" i="47"/>
  <c r="G894" i="47"/>
  <c r="G893" i="47"/>
  <c r="G892" i="47"/>
  <c r="G891" i="47"/>
  <c r="G890" i="47"/>
  <c r="G889" i="47"/>
  <c r="G888" i="47"/>
  <c r="G887" i="47"/>
  <c r="G886" i="47"/>
  <c r="G885" i="47"/>
  <c r="G884" i="47"/>
  <c r="G883" i="47"/>
  <c r="G882" i="47"/>
  <c r="G881" i="47"/>
  <c r="G880" i="47"/>
  <c r="G879" i="47"/>
  <c r="G878" i="47"/>
  <c r="G877" i="47"/>
  <c r="G876" i="47"/>
  <c r="G875" i="47"/>
  <c r="G874" i="47"/>
  <c r="G873" i="47"/>
  <c r="G872" i="47"/>
  <c r="G871" i="47"/>
  <c r="G870" i="47"/>
  <c r="G869" i="47"/>
  <c r="G868" i="47"/>
  <c r="G867" i="47"/>
  <c r="G866" i="47"/>
  <c r="G865" i="47"/>
  <c r="G864" i="47"/>
  <c r="G863" i="47"/>
  <c r="G862" i="47"/>
  <c r="G861" i="47"/>
  <c r="G860" i="47"/>
  <c r="G859" i="47"/>
  <c r="G858" i="47"/>
  <c r="G857" i="47"/>
  <c r="G856" i="47"/>
  <c r="G855" i="47"/>
  <c r="G854" i="47"/>
  <c r="G853" i="47"/>
  <c r="G852" i="47"/>
  <c r="G851" i="47"/>
  <c r="G850" i="47"/>
  <c r="G849" i="47"/>
  <c r="G848" i="47"/>
  <c r="G847" i="47"/>
  <c r="G846" i="47"/>
  <c r="G845" i="47"/>
  <c r="G844" i="47"/>
  <c r="G843" i="47"/>
  <c r="G842" i="47"/>
  <c r="G841" i="47"/>
  <c r="G840" i="47"/>
  <c r="G839" i="47"/>
  <c r="G838" i="47"/>
  <c r="G837" i="47"/>
  <c r="G836" i="47"/>
  <c r="G835" i="47"/>
  <c r="G834" i="47"/>
  <c r="G833" i="47"/>
  <c r="G832" i="47"/>
  <c r="G831" i="47"/>
  <c r="G830" i="47"/>
  <c r="G829" i="47"/>
  <c r="G828" i="47"/>
  <c r="G827" i="47"/>
  <c r="G826" i="47"/>
  <c r="G825" i="47"/>
  <c r="G824" i="47"/>
  <c r="G823" i="47"/>
  <c r="G822" i="47"/>
  <c r="G821" i="47"/>
  <c r="G820" i="47"/>
  <c r="G819" i="47"/>
  <c r="G818" i="47"/>
  <c r="G817" i="47"/>
  <c r="G816" i="47"/>
  <c r="G815" i="47"/>
  <c r="G814" i="47"/>
  <c r="G813" i="47"/>
  <c r="G812" i="47"/>
  <c r="G811" i="47"/>
  <c r="G810" i="47"/>
  <c r="G809" i="47"/>
  <c r="G808" i="47"/>
  <c r="G807" i="47"/>
  <c r="G806" i="47"/>
  <c r="G805" i="47"/>
  <c r="G804" i="47"/>
  <c r="G803" i="47"/>
  <c r="G802" i="47"/>
  <c r="G801" i="47"/>
  <c r="G800" i="47"/>
  <c r="G799" i="47"/>
  <c r="G798" i="47"/>
  <c r="G797" i="47"/>
  <c r="G796" i="47"/>
  <c r="G795" i="47"/>
  <c r="G794" i="47"/>
  <c r="G793" i="47"/>
  <c r="G792" i="47"/>
  <c r="G791" i="47"/>
  <c r="G790" i="47"/>
  <c r="G789" i="47"/>
  <c r="G788" i="47"/>
  <c r="G787" i="47"/>
  <c r="G786" i="47"/>
  <c r="G785" i="47"/>
  <c r="G784" i="47"/>
  <c r="G783" i="47"/>
  <c r="G782" i="47"/>
  <c r="G781" i="47"/>
  <c r="G780" i="47"/>
  <c r="G779" i="47"/>
  <c r="G778" i="47"/>
  <c r="G777" i="47"/>
  <c r="G776" i="47"/>
  <c r="G775" i="47"/>
  <c r="G774" i="47"/>
  <c r="G773" i="47"/>
  <c r="G772" i="47"/>
  <c r="G771" i="47"/>
  <c r="G770" i="47"/>
  <c r="G769" i="47"/>
  <c r="G768" i="47"/>
  <c r="G767" i="47"/>
  <c r="G766" i="47"/>
  <c r="G765" i="47"/>
  <c r="G764" i="47"/>
  <c r="G763" i="47"/>
  <c r="G762" i="47"/>
  <c r="G761" i="47"/>
  <c r="G760" i="47"/>
  <c r="G759" i="47"/>
  <c r="G758" i="47"/>
  <c r="G757" i="47"/>
  <c r="G756" i="47"/>
  <c r="G755" i="47"/>
  <c r="G754" i="47"/>
  <c r="G753" i="47"/>
  <c r="G752" i="47"/>
  <c r="G751" i="47"/>
  <c r="G750" i="47"/>
  <c r="G749" i="47"/>
  <c r="G748" i="47"/>
  <c r="G747" i="47"/>
  <c r="G746" i="47"/>
  <c r="G745" i="47"/>
  <c r="G744" i="47"/>
  <c r="G743" i="47"/>
  <c r="G742" i="47"/>
  <c r="G741" i="47"/>
  <c r="G740" i="47"/>
  <c r="G739" i="47"/>
  <c r="G738" i="47"/>
  <c r="G737" i="47"/>
  <c r="G736" i="47"/>
  <c r="G735" i="47"/>
  <c r="G734" i="47"/>
  <c r="G733" i="47"/>
  <c r="G732" i="47"/>
  <c r="G731" i="47"/>
  <c r="G730" i="47"/>
  <c r="G729" i="47"/>
  <c r="G728" i="47"/>
  <c r="G727" i="47"/>
  <c r="G726" i="47"/>
  <c r="G725" i="47"/>
  <c r="G724" i="47"/>
  <c r="G723" i="47"/>
  <c r="G722" i="47"/>
  <c r="G721" i="47"/>
  <c r="G720" i="47"/>
  <c r="G719" i="47"/>
  <c r="G718" i="47"/>
  <c r="G717" i="47"/>
  <c r="G716" i="47"/>
  <c r="G715" i="47"/>
  <c r="G714" i="47"/>
  <c r="G713" i="47"/>
  <c r="G712" i="47"/>
  <c r="G711" i="47"/>
  <c r="G710" i="47"/>
  <c r="G709" i="47"/>
  <c r="G708" i="47"/>
  <c r="G707" i="47"/>
  <c r="G706" i="47"/>
  <c r="G705" i="47"/>
  <c r="G704" i="47"/>
  <c r="G703" i="47"/>
  <c r="G702" i="47"/>
  <c r="G701" i="47"/>
  <c r="G700" i="47"/>
  <c r="G699" i="47"/>
  <c r="G698" i="47"/>
  <c r="G697" i="47"/>
  <c r="G696" i="47"/>
  <c r="G695" i="47"/>
  <c r="G694" i="47"/>
  <c r="G693" i="47"/>
  <c r="G692" i="47"/>
  <c r="G691" i="47"/>
  <c r="G690" i="47"/>
  <c r="G689" i="47"/>
  <c r="G688" i="47"/>
  <c r="G687" i="47"/>
  <c r="G686" i="47"/>
  <c r="G685" i="47"/>
  <c r="G684" i="47"/>
  <c r="G683" i="47"/>
  <c r="G682" i="47"/>
  <c r="G681" i="47"/>
  <c r="G680" i="47"/>
  <c r="G679" i="47"/>
  <c r="G678" i="47"/>
  <c r="G677" i="47"/>
  <c r="G676" i="47"/>
  <c r="G675" i="47"/>
  <c r="G674" i="47"/>
  <c r="G673" i="47"/>
  <c r="G672" i="47"/>
  <c r="G671" i="47"/>
  <c r="G670" i="47"/>
  <c r="G669" i="47"/>
  <c r="G668" i="47"/>
  <c r="G667" i="47"/>
  <c r="G666" i="47"/>
  <c r="G665" i="47"/>
  <c r="G664" i="47"/>
  <c r="G663" i="47"/>
  <c r="G662" i="47"/>
  <c r="G661" i="47"/>
  <c r="G660" i="47"/>
  <c r="G659" i="47"/>
  <c r="G658" i="47"/>
  <c r="G657" i="47"/>
  <c r="G656" i="47"/>
  <c r="G655" i="47"/>
  <c r="G654" i="47"/>
  <c r="G653" i="47"/>
  <c r="G652" i="47"/>
  <c r="G651" i="47"/>
  <c r="G650" i="47"/>
  <c r="G649" i="47"/>
  <c r="G648" i="47"/>
  <c r="G647" i="47"/>
  <c r="G646" i="47"/>
  <c r="G645" i="47"/>
  <c r="G644" i="47"/>
  <c r="G643" i="47"/>
  <c r="G642" i="47"/>
  <c r="G641" i="47"/>
  <c r="G640" i="47"/>
  <c r="G639" i="47"/>
  <c r="G638" i="47"/>
  <c r="G637" i="47"/>
  <c r="G636" i="47"/>
  <c r="G635" i="47"/>
  <c r="G634" i="47"/>
  <c r="G633" i="47"/>
  <c r="G632" i="47"/>
  <c r="G631" i="47"/>
  <c r="G630" i="47"/>
  <c r="G629" i="47"/>
  <c r="G628" i="47"/>
  <c r="G627" i="47"/>
  <c r="G626" i="47"/>
  <c r="G625" i="47"/>
  <c r="G624" i="47"/>
  <c r="G623" i="47"/>
  <c r="G622" i="47"/>
  <c r="G621" i="47"/>
  <c r="G620" i="47"/>
  <c r="G619" i="47"/>
  <c r="G618" i="47"/>
  <c r="G617" i="47"/>
  <c r="G616" i="47"/>
  <c r="G615" i="47"/>
  <c r="G614" i="47"/>
  <c r="G613" i="47"/>
  <c r="G612" i="47"/>
  <c r="G611" i="47"/>
  <c r="G610" i="47"/>
  <c r="G609" i="47"/>
  <c r="G608" i="47"/>
  <c r="G607" i="47"/>
  <c r="G606" i="47"/>
  <c r="G605" i="47"/>
  <c r="G604" i="47"/>
  <c r="G603" i="47"/>
  <c r="G602" i="47"/>
  <c r="G601" i="47"/>
  <c r="G600" i="47"/>
  <c r="G599" i="47"/>
  <c r="G598" i="47"/>
  <c r="G597" i="47"/>
  <c r="G596" i="47"/>
  <c r="G595" i="47"/>
  <c r="G594" i="47"/>
  <c r="G593" i="47"/>
  <c r="G592" i="47"/>
  <c r="G591" i="47"/>
  <c r="G590" i="47"/>
  <c r="G589" i="47"/>
  <c r="G588" i="47"/>
  <c r="G587" i="47"/>
  <c r="G586" i="47"/>
  <c r="G585" i="47"/>
  <c r="G584" i="47"/>
  <c r="G583" i="47"/>
  <c r="G582" i="47"/>
  <c r="G581" i="47"/>
  <c r="G580" i="47"/>
  <c r="G579" i="47"/>
  <c r="G578" i="47"/>
  <c r="G577" i="47"/>
  <c r="G576" i="47"/>
  <c r="G575" i="47"/>
  <c r="G574" i="47"/>
  <c r="G573" i="47"/>
  <c r="G572" i="47"/>
  <c r="G571" i="47"/>
  <c r="G570" i="47"/>
  <c r="G569" i="47"/>
  <c r="G568" i="47"/>
  <c r="G567" i="47"/>
  <c r="G566" i="47"/>
  <c r="G565" i="47"/>
  <c r="G564" i="47"/>
  <c r="G563" i="47"/>
  <c r="G562" i="47"/>
  <c r="G561" i="47"/>
  <c r="G560" i="47"/>
  <c r="G559" i="47"/>
  <c r="G558" i="47"/>
  <c r="G557" i="47"/>
  <c r="G556" i="47"/>
  <c r="G555" i="47"/>
  <c r="G554" i="47"/>
  <c r="G553" i="47"/>
  <c r="G552" i="47"/>
  <c r="G551" i="47"/>
  <c r="G550" i="47"/>
  <c r="G549" i="47"/>
  <c r="G548" i="47"/>
  <c r="G547" i="47"/>
  <c r="G546" i="47"/>
  <c r="G545" i="47"/>
  <c r="G544" i="47"/>
  <c r="G543" i="47"/>
  <c r="G542" i="47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26" i="47"/>
  <c r="G525" i="47"/>
  <c r="G524" i="47"/>
  <c r="G523" i="47"/>
  <c r="G522" i="47"/>
  <c r="G521" i="47"/>
  <c r="G520" i="47"/>
  <c r="G519" i="47"/>
  <c r="G518" i="47"/>
  <c r="G517" i="47"/>
  <c r="G516" i="47"/>
  <c r="G515" i="47"/>
  <c r="G514" i="47"/>
  <c r="G513" i="47"/>
  <c r="G512" i="47"/>
  <c r="G511" i="47"/>
  <c r="G510" i="47"/>
  <c r="G509" i="47"/>
  <c r="G508" i="47"/>
  <c r="G507" i="47"/>
  <c r="G506" i="47"/>
  <c r="G505" i="47"/>
  <c r="G504" i="47"/>
  <c r="G503" i="47"/>
  <c r="G502" i="47"/>
  <c r="G501" i="47"/>
  <c r="G500" i="47"/>
  <c r="G499" i="47"/>
  <c r="G498" i="47"/>
  <c r="G497" i="47"/>
  <c r="G496" i="47"/>
  <c r="G495" i="47"/>
  <c r="G494" i="47"/>
  <c r="G493" i="47"/>
  <c r="G492" i="47"/>
  <c r="G491" i="47"/>
  <c r="G490" i="47"/>
  <c r="G489" i="47"/>
  <c r="G488" i="47"/>
  <c r="G487" i="47"/>
  <c r="G486" i="47"/>
  <c r="G485" i="47"/>
  <c r="G484" i="47"/>
  <c r="G483" i="47"/>
  <c r="G482" i="47"/>
  <c r="G481" i="47"/>
  <c r="G480" i="47"/>
  <c r="G479" i="47"/>
  <c r="G478" i="47"/>
  <c r="G477" i="47"/>
  <c r="G476" i="47"/>
  <c r="G475" i="47"/>
  <c r="G474" i="47"/>
  <c r="G473" i="47"/>
  <c r="G472" i="47"/>
  <c r="G471" i="47"/>
  <c r="G470" i="47"/>
  <c r="G469" i="47"/>
  <c r="G468" i="47"/>
  <c r="G467" i="47"/>
  <c r="G466" i="47"/>
  <c r="G465" i="47"/>
  <c r="G464" i="47"/>
  <c r="G463" i="47"/>
  <c r="G462" i="47"/>
  <c r="G461" i="47"/>
  <c r="G460" i="47"/>
  <c r="G459" i="47"/>
  <c r="G458" i="47"/>
  <c r="G457" i="47"/>
  <c r="G456" i="47"/>
  <c r="G455" i="47"/>
  <c r="G454" i="47"/>
  <c r="G453" i="47"/>
  <c r="G452" i="47"/>
  <c r="G451" i="47"/>
  <c r="G450" i="47"/>
  <c r="G449" i="47"/>
  <c r="G448" i="47"/>
  <c r="G447" i="47"/>
  <c r="G446" i="47"/>
  <c r="G445" i="47"/>
  <c r="G444" i="47"/>
  <c r="G443" i="47"/>
  <c r="G442" i="47"/>
  <c r="G441" i="47"/>
  <c r="G440" i="47"/>
  <c r="G439" i="47"/>
  <c r="G438" i="47"/>
  <c r="G437" i="47"/>
  <c r="G436" i="47"/>
  <c r="G435" i="47"/>
  <c r="G434" i="47"/>
  <c r="G433" i="47"/>
  <c r="G432" i="47"/>
  <c r="G431" i="47"/>
  <c r="G430" i="47"/>
  <c r="G429" i="47"/>
  <c r="G428" i="47"/>
  <c r="G427" i="47"/>
  <c r="G426" i="47"/>
  <c r="G425" i="47"/>
  <c r="G424" i="47"/>
  <c r="G423" i="47"/>
  <c r="G422" i="47"/>
  <c r="G421" i="47"/>
  <c r="G420" i="47"/>
  <c r="G419" i="47"/>
  <c r="G418" i="47"/>
  <c r="G417" i="47"/>
  <c r="G416" i="47"/>
  <c r="G415" i="47"/>
  <c r="G414" i="47"/>
  <c r="G413" i="47"/>
  <c r="G412" i="47"/>
  <c r="G411" i="47"/>
  <c r="G410" i="47"/>
  <c r="G409" i="47"/>
  <c r="G408" i="47"/>
  <c r="G407" i="47"/>
  <c r="G406" i="47"/>
  <c r="G405" i="47"/>
  <c r="G404" i="47"/>
  <c r="G403" i="47"/>
  <c r="G402" i="47"/>
  <c r="G401" i="47"/>
  <c r="G400" i="47"/>
  <c r="G399" i="47"/>
  <c r="G398" i="47"/>
  <c r="G397" i="47"/>
  <c r="G396" i="47"/>
  <c r="G395" i="47"/>
  <c r="G394" i="47"/>
  <c r="G393" i="47"/>
  <c r="G392" i="47"/>
  <c r="G391" i="47"/>
  <c r="G390" i="47"/>
  <c r="G389" i="47"/>
  <c r="G388" i="47"/>
  <c r="G387" i="47"/>
  <c r="G386" i="47"/>
  <c r="G385" i="47"/>
  <c r="G384" i="47"/>
  <c r="G383" i="47"/>
  <c r="G382" i="47"/>
  <c r="G381" i="47"/>
  <c r="G380" i="47"/>
  <c r="G379" i="47"/>
  <c r="G378" i="47"/>
  <c r="G377" i="47"/>
  <c r="G376" i="47"/>
  <c r="G375" i="47"/>
  <c r="G374" i="47"/>
  <c r="G373" i="47"/>
  <c r="G372" i="47"/>
  <c r="G371" i="47"/>
  <c r="G370" i="47"/>
  <c r="G369" i="47"/>
  <c r="G368" i="47"/>
  <c r="G367" i="47"/>
  <c r="G366" i="47"/>
  <c r="G365" i="47"/>
  <c r="G364" i="47"/>
  <c r="G363" i="47"/>
  <c r="G362" i="47"/>
  <c r="G361" i="47"/>
  <c r="G360" i="47"/>
  <c r="G359" i="47"/>
  <c r="G358" i="47"/>
  <c r="G357" i="47"/>
  <c r="G356" i="47"/>
  <c r="G355" i="47"/>
  <c r="G354" i="47"/>
  <c r="G353" i="47"/>
  <c r="G352" i="47"/>
  <c r="G351" i="47"/>
  <c r="G350" i="47"/>
  <c r="G349" i="47"/>
  <c r="G348" i="47"/>
  <c r="G347" i="47"/>
  <c r="G346" i="47"/>
  <c r="G345" i="47"/>
  <c r="G344" i="47"/>
  <c r="G343" i="47"/>
  <c r="G342" i="47"/>
  <c r="G341" i="47"/>
  <c r="G340" i="47"/>
  <c r="G339" i="47"/>
  <c r="G338" i="47"/>
  <c r="G337" i="47"/>
  <c r="G336" i="47"/>
  <c r="G335" i="47"/>
  <c r="G334" i="47"/>
  <c r="G333" i="47"/>
  <c r="G332" i="47"/>
  <c r="G331" i="47"/>
  <c r="G330" i="47"/>
  <c r="G329" i="47"/>
  <c r="G328" i="47"/>
  <c r="G327" i="47"/>
  <c r="G326" i="47"/>
  <c r="G325" i="47"/>
  <c r="G324" i="47"/>
  <c r="G323" i="47"/>
  <c r="G322" i="47"/>
  <c r="G321" i="47"/>
  <c r="G320" i="47"/>
  <c r="G319" i="47"/>
  <c r="G318" i="47"/>
  <c r="G317" i="47"/>
  <c r="G316" i="47"/>
  <c r="G315" i="47"/>
  <c r="G314" i="47"/>
  <c r="G313" i="47"/>
  <c r="G312" i="47"/>
  <c r="G311" i="47"/>
  <c r="G310" i="47"/>
  <c r="G309" i="47"/>
  <c r="G308" i="47"/>
  <c r="G307" i="47"/>
  <c r="G306" i="47"/>
  <c r="G305" i="47"/>
  <c r="G304" i="47"/>
  <c r="G303" i="47"/>
  <c r="G302" i="47"/>
  <c r="G301" i="47"/>
  <c r="G300" i="47"/>
  <c r="G299" i="47"/>
  <c r="G298" i="47"/>
  <c r="G297" i="47"/>
  <c r="G296" i="47"/>
  <c r="G295" i="47"/>
  <c r="G294" i="47"/>
  <c r="G293" i="47"/>
  <c r="G292" i="47"/>
  <c r="G291" i="47"/>
  <c r="G290" i="47"/>
  <c r="G289" i="47"/>
  <c r="G288" i="47"/>
  <c r="G287" i="47"/>
  <c r="G286" i="47"/>
  <c r="G285" i="47"/>
  <c r="G284" i="47"/>
  <c r="G283" i="47"/>
  <c r="G282" i="47"/>
  <c r="G281" i="47"/>
  <c r="G280" i="47"/>
  <c r="G279" i="47"/>
  <c r="G278" i="47"/>
  <c r="G277" i="47"/>
  <c r="G276" i="47"/>
  <c r="G275" i="47"/>
  <c r="G274" i="47"/>
  <c r="G273" i="47"/>
  <c r="G272" i="47"/>
  <c r="G271" i="47"/>
  <c r="G270" i="47"/>
  <c r="G269" i="47"/>
  <c r="G268" i="47"/>
  <c r="G267" i="47"/>
  <c r="G266" i="47"/>
  <c r="G265" i="47"/>
  <c r="G264" i="47"/>
  <c r="G263" i="47"/>
  <c r="G262" i="47"/>
  <c r="G261" i="47"/>
  <c r="G260" i="47"/>
  <c r="G259" i="47"/>
  <c r="G258" i="47"/>
  <c r="G257" i="47"/>
  <c r="G256" i="47"/>
  <c r="G255" i="47"/>
  <c r="G254" i="47"/>
  <c r="G253" i="47"/>
  <c r="G252" i="47"/>
  <c r="G251" i="47"/>
  <c r="G250" i="47"/>
  <c r="G249" i="47"/>
  <c r="G248" i="47"/>
  <c r="G247" i="47"/>
  <c r="G246" i="47"/>
  <c r="G245" i="47"/>
  <c r="G244" i="47"/>
  <c r="G243" i="47"/>
  <c r="G242" i="47"/>
  <c r="G241" i="47"/>
  <c r="G240" i="47"/>
  <c r="G239" i="47"/>
  <c r="G238" i="47"/>
  <c r="G237" i="47"/>
  <c r="G236" i="47"/>
  <c r="G235" i="47"/>
  <c r="G234" i="47"/>
  <c r="G233" i="47"/>
  <c r="G232" i="47"/>
  <c r="G231" i="47"/>
  <c r="G230" i="47"/>
  <c r="G229" i="47"/>
  <c r="G228" i="47"/>
  <c r="G227" i="47"/>
  <c r="G226" i="47"/>
  <c r="G225" i="47"/>
  <c r="G224" i="47"/>
  <c r="G223" i="47"/>
  <c r="G222" i="47"/>
  <c r="G221" i="47"/>
  <c r="G220" i="47"/>
  <c r="G219" i="47"/>
  <c r="G218" i="47"/>
  <c r="G217" i="47"/>
  <c r="G216" i="47"/>
  <c r="G215" i="47"/>
  <c r="G214" i="47"/>
  <c r="G213" i="47"/>
  <c r="G212" i="47"/>
  <c r="G211" i="47"/>
  <c r="G210" i="47"/>
  <c r="G209" i="47"/>
  <c r="G208" i="47"/>
  <c r="G207" i="47"/>
  <c r="G206" i="47"/>
  <c r="G205" i="47"/>
  <c r="G204" i="47"/>
  <c r="G203" i="47"/>
  <c r="G202" i="47"/>
  <c r="G201" i="47"/>
  <c r="G200" i="47"/>
  <c r="G199" i="47"/>
  <c r="G198" i="47"/>
  <c r="G197" i="47"/>
  <c r="G196" i="47"/>
  <c r="G195" i="47"/>
  <c r="G194" i="47"/>
  <c r="G193" i="47"/>
  <c r="G192" i="47"/>
  <c r="G191" i="47"/>
  <c r="G190" i="47"/>
  <c r="G189" i="47"/>
  <c r="G188" i="47"/>
  <c r="G187" i="47"/>
  <c r="G186" i="47"/>
  <c r="G185" i="47"/>
  <c r="G184" i="47"/>
  <c r="G183" i="47"/>
  <c r="G182" i="47"/>
  <c r="G181" i="47"/>
  <c r="G180" i="47"/>
  <c r="G179" i="47"/>
  <c r="G178" i="47"/>
  <c r="G177" i="47"/>
  <c r="G176" i="47"/>
  <c r="G175" i="47"/>
  <c r="G174" i="47"/>
  <c r="G173" i="47"/>
  <c r="G172" i="47"/>
  <c r="G171" i="47"/>
  <c r="G170" i="47"/>
  <c r="G169" i="47"/>
  <c r="G168" i="47"/>
  <c r="G167" i="47"/>
  <c r="G166" i="47"/>
  <c r="G165" i="47"/>
  <c r="G164" i="47"/>
  <c r="G163" i="47"/>
  <c r="G162" i="47"/>
  <c r="G161" i="47"/>
  <c r="G160" i="47"/>
  <c r="G159" i="47"/>
  <c r="G158" i="47"/>
  <c r="G157" i="47"/>
  <c r="G156" i="47"/>
  <c r="G155" i="47"/>
  <c r="G154" i="47"/>
  <c r="G153" i="47"/>
  <c r="G152" i="47"/>
  <c r="G151" i="47"/>
  <c r="G150" i="47"/>
  <c r="G149" i="47"/>
  <c r="G148" i="47"/>
  <c r="G147" i="47"/>
  <c r="G146" i="47"/>
  <c r="G145" i="47"/>
  <c r="G144" i="47"/>
  <c r="G143" i="47"/>
  <c r="G142" i="47"/>
  <c r="G141" i="47"/>
  <c r="G140" i="47"/>
  <c r="G139" i="47"/>
  <c r="G138" i="47"/>
  <c r="G137" i="47"/>
  <c r="G136" i="47"/>
  <c r="G135" i="47"/>
  <c r="G134" i="47"/>
  <c r="G133" i="47"/>
  <c r="G132" i="47"/>
  <c r="G131" i="47"/>
  <c r="G130" i="47"/>
  <c r="G129" i="47"/>
  <c r="G128" i="47"/>
  <c r="G127" i="47"/>
  <c r="G126" i="47"/>
  <c r="G125" i="47"/>
  <c r="G124" i="47"/>
  <c r="G123" i="47"/>
  <c r="G122" i="47"/>
  <c r="G121" i="47"/>
  <c r="G120" i="47"/>
  <c r="G119" i="47"/>
  <c r="G118" i="47"/>
  <c r="G117" i="47"/>
  <c r="G116" i="47"/>
  <c r="G115" i="47"/>
  <c r="G114" i="47"/>
  <c r="G113" i="47"/>
  <c r="G112" i="47"/>
  <c r="G111" i="47"/>
  <c r="G110" i="47"/>
  <c r="G109" i="47"/>
  <c r="G108" i="47"/>
  <c r="G107" i="47"/>
  <c r="G106" i="47"/>
  <c r="G105" i="47"/>
  <c r="G104" i="47"/>
  <c r="G103" i="47"/>
  <c r="G102" i="47"/>
  <c r="G101" i="47"/>
  <c r="G100" i="47"/>
  <c r="G99" i="47"/>
  <c r="G98" i="47"/>
  <c r="G97" i="47"/>
  <c r="G96" i="47"/>
  <c r="G95" i="47"/>
  <c r="G94" i="47"/>
  <c r="G93" i="47"/>
  <c r="G92" i="47"/>
  <c r="G91" i="47"/>
  <c r="G90" i="47"/>
  <c r="G89" i="47"/>
  <c r="G88" i="47"/>
  <c r="G87" i="47"/>
  <c r="G86" i="47"/>
  <c r="G85" i="47"/>
  <c r="G84" i="47"/>
  <c r="G83" i="47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G60" i="47"/>
  <c r="G59" i="47"/>
  <c r="G58" i="47"/>
  <c r="G57" i="47"/>
  <c r="G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F1139" i="47"/>
  <c r="E1139" i="47"/>
  <c r="D1139" i="47"/>
  <c r="C1139" i="47"/>
  <c r="B1139" i="47"/>
  <c r="G1139" i="47" l="1"/>
  <c r="K58" i="3" l="1"/>
  <c r="K32" i="3"/>
  <c r="AC7" i="3"/>
  <c r="AB7" i="3" s="1"/>
  <c r="AA7" i="3" s="1"/>
  <c r="Z7" i="3" s="1"/>
  <c r="AC29" i="3" l="1"/>
  <c r="AB29" i="3" s="1"/>
  <c r="AA29" i="3" s="1"/>
  <c r="Z29" i="3" s="1"/>
  <c r="AC20" i="3"/>
  <c r="AB20" i="3" s="1"/>
  <c r="AB25" i="3" l="1"/>
  <c r="S33" i="3" s="1"/>
  <c r="AA20" i="3"/>
  <c r="AC34" i="3"/>
  <c r="AA25" i="3" l="1"/>
  <c r="Q33" i="3" s="1"/>
  <c r="G33" i="3" s="1"/>
  <c r="Z20" i="3"/>
  <c r="Z25" i="3" s="1"/>
  <c r="O33" i="3" s="1"/>
  <c r="AC23" i="3"/>
  <c r="AC25" i="3" s="1"/>
  <c r="H1069" i="46"/>
  <c r="H1138" i="47" s="1"/>
  <c r="H1186" i="48" s="1"/>
  <c r="H1204" i="49" s="1"/>
  <c r="H1232" i="50" s="1"/>
  <c r="H1068" i="46"/>
  <c r="H1137" i="47" s="1"/>
  <c r="H1203" i="49" s="1"/>
  <c r="H1231" i="50" s="1"/>
  <c r="H1067" i="46"/>
  <c r="H1134" i="47" s="1"/>
  <c r="H1182" i="48" s="1"/>
  <c r="H1200" i="49" s="1"/>
  <c r="H1228" i="50" s="1"/>
  <c r="H1066" i="46"/>
  <c r="H1133" i="47" s="1"/>
  <c r="H1181" i="48" s="1"/>
  <c r="H1199" i="49" s="1"/>
  <c r="H1227" i="50" s="1"/>
  <c r="H1065" i="46"/>
  <c r="H1132" i="47" s="1"/>
  <c r="H1180" i="48" s="1"/>
  <c r="H1198" i="49" s="1"/>
  <c r="H1226" i="50" s="1"/>
  <c r="H1064" i="46"/>
  <c r="H1131" i="47" s="1"/>
  <c r="H1179" i="48" s="1"/>
  <c r="H1197" i="49" s="1"/>
  <c r="H1225" i="50" s="1"/>
  <c r="H1063" i="46"/>
  <c r="H1130" i="47" s="1"/>
  <c r="H1178" i="48" s="1"/>
  <c r="H1196" i="49" s="1"/>
  <c r="H1224" i="50" s="1"/>
  <c r="H1062" i="46"/>
  <c r="H1129" i="47" s="1"/>
  <c r="H1176" i="48" s="1"/>
  <c r="H1194" i="49" s="1"/>
  <c r="H1222" i="50" s="1"/>
  <c r="H1061" i="46"/>
  <c r="H1128" i="47" s="1"/>
  <c r="H1175" i="48" s="1"/>
  <c r="H1193" i="49" s="1"/>
  <c r="H1221" i="50" s="1"/>
  <c r="H1060" i="46"/>
  <c r="H1127" i="47" s="1"/>
  <c r="H1173" i="48" s="1"/>
  <c r="H1191" i="49" s="1"/>
  <c r="H1219" i="50" s="1"/>
  <c r="H1059" i="46"/>
  <c r="H1126" i="47" s="1"/>
  <c r="H1172" i="48" s="1"/>
  <c r="H1190" i="49" s="1"/>
  <c r="H1218" i="50" s="1"/>
  <c r="H1058" i="46"/>
  <c r="H1125" i="47" s="1"/>
  <c r="H1170" i="48" s="1"/>
  <c r="H1187" i="49" s="1"/>
  <c r="H1214" i="50" s="1"/>
  <c r="H1057" i="46"/>
  <c r="H1124" i="47" s="1"/>
  <c r="H1169" i="48" s="1"/>
  <c r="H1186" i="49" s="1"/>
  <c r="H1213" i="50" s="1"/>
  <c r="H1056" i="46"/>
  <c r="H1123" i="47" s="1"/>
  <c r="H1168" i="48" s="1"/>
  <c r="H1185" i="49" s="1"/>
  <c r="H1212" i="50" s="1"/>
  <c r="H1055" i="46"/>
  <c r="H1122" i="47" s="1"/>
  <c r="H1167" i="48" s="1"/>
  <c r="H1184" i="49" s="1"/>
  <c r="H1211" i="50" s="1"/>
  <c r="H1054" i="46"/>
  <c r="H1121" i="47" s="1"/>
  <c r="H1166" i="48" s="1"/>
  <c r="H1183" i="49" s="1"/>
  <c r="H1210" i="50" s="1"/>
  <c r="H1053" i="46"/>
  <c r="H1120" i="47" s="1"/>
  <c r="H1165" i="48" s="1"/>
  <c r="H1182" i="49" s="1"/>
  <c r="H1209" i="50" s="1"/>
  <c r="H1052" i="46"/>
  <c r="H1119" i="47" s="1"/>
  <c r="H1164" i="48" s="1"/>
  <c r="H1181" i="49" s="1"/>
  <c r="H1208" i="50" s="1"/>
  <c r="H1051" i="46"/>
  <c r="H1118" i="47" s="1"/>
  <c r="H1163" i="48" s="1"/>
  <c r="H1180" i="49" s="1"/>
  <c r="H1207" i="50" s="1"/>
  <c r="H1050" i="46"/>
  <c r="H1117" i="47" s="1"/>
  <c r="H1162" i="48" s="1"/>
  <c r="H1178" i="49" s="1"/>
  <c r="H1205" i="50" s="1"/>
  <c r="H1049" i="46"/>
  <c r="H1116" i="47" s="1"/>
  <c r="H1161" i="48" s="1"/>
  <c r="H1177" i="49" s="1"/>
  <c r="H1204" i="50" s="1"/>
  <c r="H1048" i="46"/>
  <c r="H1115" i="47" s="1"/>
  <c r="H1160" i="48" s="1"/>
  <c r="H1176" i="49" s="1"/>
  <c r="H1203" i="50" s="1"/>
  <c r="H1047" i="46"/>
  <c r="H1113" i="47" s="1"/>
  <c r="H1158" i="48" s="1"/>
  <c r="H1174" i="49" s="1"/>
  <c r="H1201" i="50" s="1"/>
  <c r="H1046" i="46"/>
  <c r="H1112" i="47" s="1"/>
  <c r="H1157" i="48" s="1"/>
  <c r="H1173" i="49" s="1"/>
  <c r="H1200" i="50" s="1"/>
  <c r="H1045" i="46"/>
  <c r="H1111" i="47" s="1"/>
  <c r="H1156" i="48" s="1"/>
  <c r="H1172" i="49" s="1"/>
  <c r="H1199" i="50" s="1"/>
  <c r="H1044" i="46"/>
  <c r="H1109" i="47" s="1"/>
  <c r="H1154" i="48" s="1"/>
  <c r="H1170" i="49" s="1"/>
  <c r="H1197" i="50" s="1"/>
  <c r="H1043" i="46"/>
  <c r="H1106" i="47" s="1"/>
  <c r="H1151" i="48" s="1"/>
  <c r="H1167" i="49" s="1"/>
  <c r="H1194" i="50" s="1"/>
  <c r="H1042" i="46"/>
  <c r="H1102" i="47" s="1"/>
  <c r="H1147" i="48" s="1"/>
  <c r="H1163" i="49" s="1"/>
  <c r="H1190" i="50" s="1"/>
  <c r="H1041" i="46"/>
  <c r="H1099" i="47" s="1"/>
  <c r="H1144" i="48" s="1"/>
  <c r="H1160" i="49" s="1"/>
  <c r="H1187" i="50" s="1"/>
  <c r="H1040" i="46"/>
  <c r="H1097" i="47" s="1"/>
  <c r="H1142" i="48" s="1"/>
  <c r="H1158" i="49" s="1"/>
  <c r="H1185" i="50" s="1"/>
  <c r="H1039" i="46"/>
  <c r="H1096" i="47" s="1"/>
  <c r="H1141" i="48" s="1"/>
  <c r="H1157" i="49" s="1"/>
  <c r="H1184" i="50" s="1"/>
  <c r="H1038" i="46"/>
  <c r="H1094" i="47" s="1"/>
  <c r="H1139" i="48" s="1"/>
  <c r="H1155" i="49" s="1"/>
  <c r="H1182" i="50" s="1"/>
  <c r="H1037" i="46"/>
  <c r="H1093" i="47" s="1"/>
  <c r="H1138" i="48" s="1"/>
  <c r="H1154" i="49" s="1"/>
  <c r="H1181" i="50" s="1"/>
  <c r="H1036" i="46"/>
  <c r="H1092" i="47" s="1"/>
  <c r="H1137" i="48" s="1"/>
  <c r="H1153" i="49" s="1"/>
  <c r="H1180" i="50" s="1"/>
  <c r="H1035" i="46"/>
  <c r="H1090" i="47" s="1"/>
  <c r="H1135" i="48" s="1"/>
  <c r="H1151" i="49" s="1"/>
  <c r="H1178" i="50" s="1"/>
  <c r="H1034" i="46"/>
  <c r="H1089" i="47" s="1"/>
  <c r="H1134" i="48" s="1"/>
  <c r="H1150" i="49" s="1"/>
  <c r="H1177" i="50" s="1"/>
  <c r="H1033" i="46"/>
  <c r="H1087" i="47" s="1"/>
  <c r="H1131" i="48" s="1"/>
  <c r="H1147" i="49" s="1"/>
  <c r="H1174" i="50" s="1"/>
  <c r="H1032" i="46"/>
  <c r="H1086" i="47" s="1"/>
  <c r="H1130" i="48" s="1"/>
  <c r="H1146" i="49" s="1"/>
  <c r="H1173" i="50" s="1"/>
  <c r="H1031" i="46"/>
  <c r="H1085" i="47" s="1"/>
  <c r="H1129" i="48" s="1"/>
  <c r="H1145" i="49" s="1"/>
  <c r="H1172" i="50" s="1"/>
  <c r="H1030" i="46"/>
  <c r="H1084" i="47" s="1"/>
  <c r="H1128" i="48" s="1"/>
  <c r="H1144" i="49" s="1"/>
  <c r="H1171" i="50" s="1"/>
  <c r="H1029" i="46"/>
  <c r="H1083" i="47" s="1"/>
  <c r="H1127" i="48" s="1"/>
  <c r="H1143" i="49" s="1"/>
  <c r="H1170" i="50" s="1"/>
  <c r="H1028" i="46"/>
  <c r="H1082" i="47" s="1"/>
  <c r="H1126" i="48" s="1"/>
  <c r="H1142" i="49" s="1"/>
  <c r="H1169" i="50" s="1"/>
  <c r="H1027" i="46"/>
  <c r="H1081" i="47" s="1"/>
  <c r="H1125" i="48" s="1"/>
  <c r="H1141" i="49" s="1"/>
  <c r="H1168" i="50" s="1"/>
  <c r="H1026" i="46"/>
  <c r="H1079" i="47" s="1"/>
  <c r="H1123" i="48" s="1"/>
  <c r="H1139" i="49" s="1"/>
  <c r="H1166" i="50" s="1"/>
  <c r="H1025" i="46"/>
  <c r="H1078" i="47" s="1"/>
  <c r="H1122" i="48" s="1"/>
  <c r="H1138" i="49" s="1"/>
  <c r="H1165" i="50" s="1"/>
  <c r="H1024" i="46"/>
  <c r="H1077" i="47" s="1"/>
  <c r="H1121" i="48" s="1"/>
  <c r="H1136" i="49" s="1"/>
  <c r="H1163" i="50" s="1"/>
  <c r="H1023" i="46"/>
  <c r="H1076" i="47" s="1"/>
  <c r="H1120" i="48" s="1"/>
  <c r="H1135" i="49" s="1"/>
  <c r="H1162" i="50" s="1"/>
  <c r="H1022" i="46"/>
  <c r="H1075" i="47" s="1"/>
  <c r="H1119" i="48" s="1"/>
  <c r="H1134" i="49" s="1"/>
  <c r="H1161" i="50" s="1"/>
  <c r="H1021" i="46"/>
  <c r="H1074" i="47" s="1"/>
  <c r="H1118" i="48" s="1"/>
  <c r="H1133" i="49" s="1"/>
  <c r="H1160" i="50" s="1"/>
  <c r="H1020" i="46"/>
  <c r="H1073" i="47" s="1"/>
  <c r="H1117" i="48" s="1"/>
  <c r="H1132" i="49" s="1"/>
  <c r="H1159" i="50" s="1"/>
  <c r="H1019" i="46"/>
  <c r="H1072" i="47" s="1"/>
  <c r="H1116" i="48" s="1"/>
  <c r="H1131" i="49" s="1"/>
  <c r="H1158" i="50" s="1"/>
  <c r="H1018" i="46"/>
  <c r="H1071" i="47" s="1"/>
  <c r="H1115" i="48" s="1"/>
  <c r="H1130" i="49" s="1"/>
  <c r="H1157" i="50" s="1"/>
  <c r="H1017" i="46"/>
  <c r="H1070" i="47" s="1"/>
  <c r="H1114" i="48" s="1"/>
  <c r="H1129" i="49" s="1"/>
  <c r="H1156" i="50" s="1"/>
  <c r="H1016" i="46"/>
  <c r="H1069" i="47" s="1"/>
  <c r="H1113" i="48" s="1"/>
  <c r="H1128" i="49" s="1"/>
  <c r="H1155" i="50" s="1"/>
  <c r="H1015" i="46"/>
  <c r="H1067" i="47" s="1"/>
  <c r="H1111" i="48" s="1"/>
  <c r="H1125" i="49" s="1"/>
  <c r="H1152" i="50" s="1"/>
  <c r="H1014" i="46"/>
  <c r="H1065" i="47" s="1"/>
  <c r="H1109" i="48" s="1"/>
  <c r="H1123" i="49" s="1"/>
  <c r="H1150" i="50" s="1"/>
  <c r="H1013" i="46"/>
  <c r="H1064" i="47" s="1"/>
  <c r="H1108" i="48" s="1"/>
  <c r="H1122" i="49" s="1"/>
  <c r="H1149" i="50" s="1"/>
  <c r="H1012" i="46"/>
  <c r="H1063" i="47" s="1"/>
  <c r="H1107" i="48" s="1"/>
  <c r="H1121" i="49" s="1"/>
  <c r="H1148" i="50" s="1"/>
  <c r="H1011" i="46"/>
  <c r="H1062" i="47" s="1"/>
  <c r="H1106" i="48" s="1"/>
  <c r="H1120" i="49" s="1"/>
  <c r="H1147" i="50" s="1"/>
  <c r="H1010" i="46"/>
  <c r="H1061" i="47" s="1"/>
  <c r="H1105" i="48" s="1"/>
  <c r="H1119" i="49" s="1"/>
  <c r="H1146" i="50" s="1"/>
  <c r="H1009" i="46"/>
  <c r="H1060" i="47" s="1"/>
  <c r="H1104" i="48" s="1"/>
  <c r="H1118" i="49" s="1"/>
  <c r="H1145" i="50" s="1"/>
  <c r="H1008" i="46"/>
  <c r="H1059" i="47" s="1"/>
  <c r="H1103" i="48" s="1"/>
  <c r="H1117" i="49" s="1"/>
  <c r="H1144" i="50" s="1"/>
  <c r="H1007" i="46"/>
  <c r="H1058" i="47" s="1"/>
  <c r="H1102" i="48" s="1"/>
  <c r="H1116" i="49" s="1"/>
  <c r="H1143" i="50" s="1"/>
  <c r="H1006" i="46"/>
  <c r="H1057" i="47" s="1"/>
  <c r="H1101" i="48" s="1"/>
  <c r="H1114" i="49" s="1"/>
  <c r="H1141" i="50" s="1"/>
  <c r="H1005" i="46"/>
  <c r="H1056" i="47" s="1"/>
  <c r="H1100" i="48" s="1"/>
  <c r="H1113" i="49" s="1"/>
  <c r="H1140" i="50" s="1"/>
  <c r="H1004" i="46"/>
  <c r="H1055" i="47" s="1"/>
  <c r="H1099" i="48" s="1"/>
  <c r="H1112" i="49" s="1"/>
  <c r="H1139" i="50" s="1"/>
  <c r="H1003" i="46"/>
  <c r="H1054" i="47" s="1"/>
  <c r="H1098" i="48" s="1"/>
  <c r="H1111" i="49" s="1"/>
  <c r="H1138" i="50" s="1"/>
  <c r="H1002" i="46"/>
  <c r="H1053" i="47" s="1"/>
  <c r="H1097" i="48" s="1"/>
  <c r="H1110" i="49" s="1"/>
  <c r="H1137" i="50" s="1"/>
  <c r="H1001" i="46"/>
  <c r="H1052" i="47" s="1"/>
  <c r="H1096" i="48" s="1"/>
  <c r="H1109" i="49" s="1"/>
  <c r="H1136" i="50" s="1"/>
  <c r="H1000" i="46"/>
  <c r="H1051" i="47" s="1"/>
  <c r="H1095" i="48" s="1"/>
  <c r="H1108" i="49" s="1"/>
  <c r="H1135" i="50" s="1"/>
  <c r="H999" i="46"/>
  <c r="H1049" i="47" s="1"/>
  <c r="H1093" i="48" s="1"/>
  <c r="H1106" i="49" s="1"/>
  <c r="H1133" i="50" s="1"/>
  <c r="H998" i="46"/>
  <c r="H1048" i="47" s="1"/>
  <c r="H1092" i="48" s="1"/>
  <c r="H1105" i="49" s="1"/>
  <c r="H1132" i="50" s="1"/>
  <c r="H997" i="46"/>
  <c r="H1047" i="47" s="1"/>
  <c r="H1103" i="49" s="1"/>
  <c r="H1130" i="50" s="1"/>
  <c r="H996" i="46"/>
  <c r="H1046" i="47" s="1"/>
  <c r="H1089" i="48" s="1"/>
  <c r="H1102" i="49" s="1"/>
  <c r="H1129" i="50" s="1"/>
  <c r="H995" i="46"/>
  <c r="H1045" i="47" s="1"/>
  <c r="H1088" i="48" s="1"/>
  <c r="H1101" i="49" s="1"/>
  <c r="H1128" i="50" s="1"/>
  <c r="H994" i="46"/>
  <c r="H1044" i="47" s="1"/>
  <c r="H1086" i="48" s="1"/>
  <c r="H1098" i="49" s="1"/>
  <c r="H1125" i="50" s="1"/>
  <c r="H993" i="46"/>
  <c r="H1033" i="47" s="1"/>
  <c r="H1085" i="48" s="1"/>
  <c r="H1097" i="49" s="1"/>
  <c r="H1124" i="50" s="1"/>
  <c r="H992" i="46"/>
  <c r="H1038" i="47" s="1"/>
  <c r="H991" i="46"/>
  <c r="H1036" i="47" s="1"/>
  <c r="H990" i="46"/>
  <c r="H1035" i="47" s="1"/>
  <c r="H989" i="46"/>
  <c r="H1034" i="47" s="1"/>
  <c r="H988" i="46"/>
  <c r="H1043" i="47" s="1"/>
  <c r="H1080" i="48" s="1"/>
  <c r="H1092" i="49" s="1"/>
  <c r="H1119" i="50" s="1"/>
  <c r="H987" i="46"/>
  <c r="H1037" i="47" s="1"/>
  <c r="H1079" i="48" s="1"/>
  <c r="H1091" i="49" s="1"/>
  <c r="H1118" i="50" s="1"/>
  <c r="H986" i="46"/>
  <c r="H1042" i="47" s="1"/>
  <c r="H1077" i="48" s="1"/>
  <c r="H1089" i="49" s="1"/>
  <c r="H1116" i="50" s="1"/>
  <c r="H985" i="46"/>
  <c r="H1041" i="47" s="1"/>
  <c r="H1076" i="48" s="1"/>
  <c r="H1088" i="49" s="1"/>
  <c r="H1114" i="50" s="1"/>
  <c r="H984" i="46"/>
  <c r="H1040" i="47" s="1"/>
  <c r="H1075" i="48" s="1"/>
  <c r="H1087" i="49" s="1"/>
  <c r="H1113" i="50" s="1"/>
  <c r="H983" i="46"/>
  <c r="H1039" i="47" s="1"/>
  <c r="H1074" i="48" s="1"/>
  <c r="H1086" i="49" s="1"/>
  <c r="H1112" i="50" s="1"/>
  <c r="H982" i="46"/>
  <c r="H1032" i="47" s="1"/>
  <c r="H1073" i="48" s="1"/>
  <c r="H1085" i="49" s="1"/>
  <c r="H1111" i="50" s="1"/>
  <c r="H981" i="46"/>
  <c r="H1031" i="47" s="1"/>
  <c r="H1072" i="48" s="1"/>
  <c r="H1084" i="49" s="1"/>
  <c r="H1110" i="50" s="1"/>
  <c r="H980" i="46"/>
  <c r="H1030" i="47" s="1"/>
  <c r="H1071" i="48" s="1"/>
  <c r="H1083" i="49" s="1"/>
  <c r="H1109" i="50" s="1"/>
  <c r="H979" i="46"/>
  <c r="H1029" i="47" s="1"/>
  <c r="H1070" i="48" s="1"/>
  <c r="H1082" i="49" s="1"/>
  <c r="H1108" i="50" s="1"/>
  <c r="H978" i="46"/>
  <c r="H1028" i="47" s="1"/>
  <c r="H1069" i="48" s="1"/>
  <c r="H1081" i="49" s="1"/>
  <c r="H1107" i="50" s="1"/>
  <c r="H977" i="46"/>
  <c r="H1027" i="47" s="1"/>
  <c r="H1068" i="48" s="1"/>
  <c r="H1080" i="49" s="1"/>
  <c r="H1106" i="50" s="1"/>
  <c r="H976" i="46"/>
  <c r="H1026" i="47" s="1"/>
  <c r="H1067" i="48" s="1"/>
  <c r="H1079" i="49" s="1"/>
  <c r="H1105" i="50" s="1"/>
  <c r="H975" i="46"/>
  <c r="H1025" i="47" s="1"/>
  <c r="H1066" i="48" s="1"/>
  <c r="H1078" i="49" s="1"/>
  <c r="H1104" i="50" s="1"/>
  <c r="H974" i="46"/>
  <c r="H1023" i="47" s="1"/>
  <c r="H1064" i="48" s="1"/>
  <c r="H1076" i="49" s="1"/>
  <c r="H1102" i="50" s="1"/>
  <c r="H973" i="46"/>
  <c r="H1022" i="47" s="1"/>
  <c r="H1063" i="48" s="1"/>
  <c r="H1075" i="49" s="1"/>
  <c r="H1101" i="50" s="1"/>
  <c r="H972" i="46"/>
  <c r="H1021" i="47" s="1"/>
  <c r="H1062" i="48" s="1"/>
  <c r="H1074" i="49" s="1"/>
  <c r="H1100" i="50" s="1"/>
  <c r="H971" i="46"/>
  <c r="H1020" i="47" s="1"/>
  <c r="H1061" i="48" s="1"/>
  <c r="H1073" i="49" s="1"/>
  <c r="H1099" i="50" s="1"/>
  <c r="H970" i="46"/>
  <c r="H1019" i="47" s="1"/>
  <c r="H1060" i="48" s="1"/>
  <c r="H1072" i="49" s="1"/>
  <c r="H1098" i="50" s="1"/>
  <c r="H969" i="46"/>
  <c r="H1018" i="47" s="1"/>
  <c r="H1059" i="48" s="1"/>
  <c r="H1071" i="49" s="1"/>
  <c r="H1097" i="50" s="1"/>
  <c r="H968" i="46"/>
  <c r="H1017" i="47" s="1"/>
  <c r="H1058" i="48" s="1"/>
  <c r="H1070" i="49" s="1"/>
  <c r="H1096" i="50" s="1"/>
  <c r="H967" i="46"/>
  <c r="H1016" i="47" s="1"/>
  <c r="H1057" i="48" s="1"/>
  <c r="H1069" i="49" s="1"/>
  <c r="H1095" i="50" s="1"/>
  <c r="H966" i="46"/>
  <c r="H1015" i="47" s="1"/>
  <c r="H1056" i="48" s="1"/>
  <c r="H1068" i="49" s="1"/>
  <c r="H1094" i="50" s="1"/>
  <c r="H965" i="46"/>
  <c r="H1014" i="47" s="1"/>
  <c r="H1055" i="48" s="1"/>
  <c r="H1067" i="49" s="1"/>
  <c r="H1093" i="50" s="1"/>
  <c r="H964" i="46"/>
  <c r="H1013" i="47" s="1"/>
  <c r="H1054" i="48" s="1"/>
  <c r="H1066" i="49" s="1"/>
  <c r="H1092" i="50" s="1"/>
  <c r="H963" i="46"/>
  <c r="H1012" i="47" s="1"/>
  <c r="H1053" i="48" s="1"/>
  <c r="H1065" i="49" s="1"/>
  <c r="H1091" i="50" s="1"/>
  <c r="H962" i="46"/>
  <c r="H1011" i="47" s="1"/>
  <c r="H1052" i="48" s="1"/>
  <c r="H1064" i="49" s="1"/>
  <c r="H1090" i="50" s="1"/>
  <c r="H961" i="46"/>
  <c r="H1010" i="47" s="1"/>
  <c r="H1051" i="48" s="1"/>
  <c r="H1063" i="49" s="1"/>
  <c r="H1089" i="50" s="1"/>
  <c r="H960" i="46"/>
  <c r="H1009" i="47" s="1"/>
  <c r="H1050" i="48" s="1"/>
  <c r="H1062" i="49" s="1"/>
  <c r="H1088" i="50" s="1"/>
  <c r="H959" i="46"/>
  <c r="H1008" i="47" s="1"/>
  <c r="H1049" i="48" s="1"/>
  <c r="H1061" i="49" s="1"/>
  <c r="H1087" i="50" s="1"/>
  <c r="H958" i="46"/>
  <c r="H1007" i="47" s="1"/>
  <c r="H1048" i="48" s="1"/>
  <c r="H1060" i="49" s="1"/>
  <c r="H1086" i="50" s="1"/>
  <c r="H957" i="46"/>
  <c r="H1006" i="47" s="1"/>
  <c r="H1047" i="48" s="1"/>
  <c r="H1059" i="49" s="1"/>
  <c r="H1085" i="50" s="1"/>
  <c r="H956" i="46"/>
  <c r="H1005" i="47" s="1"/>
  <c r="H1046" i="48" s="1"/>
  <c r="H1058" i="49" s="1"/>
  <c r="H1084" i="50" s="1"/>
  <c r="H955" i="46"/>
  <c r="H1004" i="47" s="1"/>
  <c r="H1045" i="48" s="1"/>
  <c r="H1057" i="49" s="1"/>
  <c r="H1083" i="50" s="1"/>
  <c r="H954" i="46"/>
  <c r="H1003" i="47" s="1"/>
  <c r="H1044" i="48" s="1"/>
  <c r="H1056" i="49" s="1"/>
  <c r="H1082" i="50" s="1"/>
  <c r="H953" i="46"/>
  <c r="H1002" i="47" s="1"/>
  <c r="H1043" i="48" s="1"/>
  <c r="H1055" i="49" s="1"/>
  <c r="H1081" i="50" s="1"/>
  <c r="H952" i="46"/>
  <c r="H1001" i="47" s="1"/>
  <c r="H1042" i="48" s="1"/>
  <c r="H1054" i="49" s="1"/>
  <c r="H1080" i="50" s="1"/>
  <c r="H951" i="46"/>
  <c r="H1000" i="47" s="1"/>
  <c r="H1041" i="48" s="1"/>
  <c r="H1053" i="49" s="1"/>
  <c r="H1079" i="50" s="1"/>
  <c r="H950" i="46"/>
  <c r="H999" i="47" s="1"/>
  <c r="H1040" i="48" s="1"/>
  <c r="H1052" i="49" s="1"/>
  <c r="H1078" i="50" s="1"/>
  <c r="H949" i="46"/>
  <c r="H998" i="47" s="1"/>
  <c r="H1039" i="48" s="1"/>
  <c r="H1051" i="49" s="1"/>
  <c r="H1077" i="50" s="1"/>
  <c r="H948" i="46"/>
  <c r="H997" i="47" s="1"/>
  <c r="H1038" i="48" s="1"/>
  <c r="H1048" i="49" s="1"/>
  <c r="H1074" i="50" s="1"/>
  <c r="H947" i="46"/>
  <c r="H996" i="47" s="1"/>
  <c r="H1037" i="48" s="1"/>
  <c r="H1047" i="49" s="1"/>
  <c r="H1073" i="50" s="1"/>
  <c r="H946" i="46"/>
  <c r="H995" i="47" s="1"/>
  <c r="H1036" i="48" s="1"/>
  <c r="H1046" i="49" s="1"/>
  <c r="H1072" i="50" s="1"/>
  <c r="H945" i="46"/>
  <c r="H994" i="47" s="1"/>
  <c r="H1035" i="48" s="1"/>
  <c r="H1045" i="49" s="1"/>
  <c r="H1071" i="50" s="1"/>
  <c r="H944" i="46"/>
  <c r="H993" i="47" s="1"/>
  <c r="H1034" i="48" s="1"/>
  <c r="H1044" i="49" s="1"/>
  <c r="H1070" i="50" s="1"/>
  <c r="H942" i="46"/>
  <c r="H990" i="47" s="1"/>
  <c r="H1031" i="48" s="1"/>
  <c r="H1040" i="49" s="1"/>
  <c r="H1066" i="50" s="1"/>
  <c r="H941" i="46"/>
  <c r="H989" i="47" s="1"/>
  <c r="H1030" i="48" s="1"/>
  <c r="H1039" i="49" s="1"/>
  <c r="H1065" i="50" s="1"/>
  <c r="H940" i="46"/>
  <c r="H988" i="47" s="1"/>
  <c r="H1029" i="48" s="1"/>
  <c r="H1038" i="49" s="1"/>
  <c r="H1064" i="50" s="1"/>
  <c r="H939" i="46"/>
  <c r="H987" i="47" s="1"/>
  <c r="H1028" i="48" s="1"/>
  <c r="H1037" i="49" s="1"/>
  <c r="H1063" i="50" s="1"/>
  <c r="H938" i="46"/>
  <c r="H986" i="47" s="1"/>
  <c r="H1027" i="48" s="1"/>
  <c r="H1036" i="49" s="1"/>
  <c r="H1062" i="50" s="1"/>
  <c r="H937" i="46"/>
  <c r="H985" i="47" s="1"/>
  <c r="H1026" i="48" s="1"/>
  <c r="H1035" i="49" s="1"/>
  <c r="H1060" i="50" s="1"/>
  <c r="H936" i="46"/>
  <c r="H984" i="47" s="1"/>
  <c r="H1025" i="48" s="1"/>
  <c r="H1034" i="49" s="1"/>
  <c r="H1059" i="50" s="1"/>
  <c r="H935" i="46"/>
  <c r="H983" i="47" s="1"/>
  <c r="H1024" i="48" s="1"/>
  <c r="H1033" i="49" s="1"/>
  <c r="H1057" i="50" s="1"/>
  <c r="H934" i="46"/>
  <c r="H982" i="47" s="1"/>
  <c r="H1022" i="48" s="1"/>
  <c r="H1032" i="49" s="1"/>
  <c r="H1056" i="50" s="1"/>
  <c r="H933" i="46"/>
  <c r="H981" i="47" s="1"/>
  <c r="H1021" i="48" s="1"/>
  <c r="H1031" i="49" s="1"/>
  <c r="H165" i="50" s="1"/>
  <c r="H932" i="46"/>
  <c r="H979" i="47" s="1"/>
  <c r="H1019" i="48" s="1"/>
  <c r="H1029" i="49" s="1"/>
  <c r="H1054" i="50" s="1"/>
  <c r="H931" i="46"/>
  <c r="H978" i="47" s="1"/>
  <c r="H1018" i="48" s="1"/>
  <c r="H1028" i="49" s="1"/>
  <c r="H1053" i="50" s="1"/>
  <c r="H930" i="46"/>
  <c r="H976" i="47" s="1"/>
  <c r="H1016" i="48" s="1"/>
  <c r="H929" i="46"/>
  <c r="H975" i="47" s="1"/>
  <c r="H1015" i="48" s="1"/>
  <c r="H1026" i="49" s="1"/>
  <c r="H1051" i="50" s="1"/>
  <c r="H928" i="46"/>
  <c r="H974" i="47" s="1"/>
  <c r="H1014" i="48" s="1"/>
  <c r="H1025" i="49" s="1"/>
  <c r="H1050" i="50" s="1"/>
  <c r="H927" i="46"/>
  <c r="H973" i="47" s="1"/>
  <c r="H1013" i="48" s="1"/>
  <c r="H1024" i="49" s="1"/>
  <c r="H1049" i="50" s="1"/>
  <c r="H926" i="46"/>
  <c r="H972" i="47" s="1"/>
  <c r="H1012" i="48" s="1"/>
  <c r="H1023" i="49" s="1"/>
  <c r="H1048" i="50" s="1"/>
  <c r="H925" i="46"/>
  <c r="H971" i="47" s="1"/>
  <c r="H1011" i="48" s="1"/>
  <c r="H1022" i="49" s="1"/>
  <c r="H1047" i="50" s="1"/>
  <c r="H924" i="46"/>
  <c r="H970" i="47" s="1"/>
  <c r="H1010" i="48" s="1"/>
  <c r="H1021" i="49" s="1"/>
  <c r="H1046" i="50" s="1"/>
  <c r="H923" i="46"/>
  <c r="H969" i="47" s="1"/>
  <c r="H1009" i="48" s="1"/>
  <c r="H1020" i="49" s="1"/>
  <c r="H1045" i="50" s="1"/>
  <c r="H922" i="46"/>
  <c r="H968" i="47" s="1"/>
  <c r="H1008" i="48" s="1"/>
  <c r="H1019" i="49" s="1"/>
  <c r="H1044" i="50" s="1"/>
  <c r="H921" i="46"/>
  <c r="H967" i="47" s="1"/>
  <c r="H1007" i="48" s="1"/>
  <c r="H1018" i="49" s="1"/>
  <c r="H1043" i="50" s="1"/>
  <c r="H920" i="46"/>
  <c r="H966" i="47" s="1"/>
  <c r="H1006" i="48" s="1"/>
  <c r="H1017" i="49" s="1"/>
  <c r="H1042" i="50" s="1"/>
  <c r="H919" i="46"/>
  <c r="H965" i="47" s="1"/>
  <c r="H1005" i="48" s="1"/>
  <c r="H1016" i="49" s="1"/>
  <c r="H1041" i="50" s="1"/>
  <c r="H918" i="46"/>
  <c r="H964" i="47" s="1"/>
  <c r="H1004" i="48" s="1"/>
  <c r="H1015" i="49" s="1"/>
  <c r="H1040" i="50" s="1"/>
  <c r="H917" i="46"/>
  <c r="H963" i="47" s="1"/>
  <c r="H1003" i="48" s="1"/>
  <c r="H1014" i="49" s="1"/>
  <c r="H1039" i="50" s="1"/>
  <c r="H916" i="46"/>
  <c r="H961" i="47" s="1"/>
  <c r="H1000" i="48" s="1"/>
  <c r="H1013" i="49" s="1"/>
  <c r="H1038" i="50" s="1"/>
  <c r="H915" i="46"/>
  <c r="H960" i="47" s="1"/>
  <c r="H998" i="48" s="1"/>
  <c r="H1011" i="49" s="1"/>
  <c r="H1036" i="50" s="1"/>
  <c r="H914" i="46"/>
  <c r="H959" i="47" s="1"/>
  <c r="H997" i="48" s="1"/>
  <c r="H1010" i="49" s="1"/>
  <c r="H1035" i="50" s="1"/>
  <c r="H913" i="46"/>
  <c r="H957" i="47" s="1"/>
  <c r="H995" i="48" s="1"/>
  <c r="H1008" i="49" s="1"/>
  <c r="H1033" i="50" s="1"/>
  <c r="H912" i="46"/>
  <c r="H956" i="47" s="1"/>
  <c r="H994" i="48" s="1"/>
  <c r="H1007" i="49" s="1"/>
  <c r="H1032" i="50" s="1"/>
  <c r="H911" i="46"/>
  <c r="H955" i="47" s="1"/>
  <c r="H993" i="48" s="1"/>
  <c r="H1006" i="49" s="1"/>
  <c r="H1031" i="50" s="1"/>
  <c r="H910" i="46"/>
  <c r="H954" i="47" s="1"/>
  <c r="H992" i="48" s="1"/>
  <c r="H1005" i="49" s="1"/>
  <c r="H1030" i="50" s="1"/>
  <c r="H909" i="46"/>
  <c r="H953" i="47" s="1"/>
  <c r="H991" i="48" s="1"/>
  <c r="H1004" i="49" s="1"/>
  <c r="H1028" i="50" s="1"/>
  <c r="H908" i="46"/>
  <c r="H952" i="47" s="1"/>
  <c r="H989" i="48" s="1"/>
  <c r="H1002" i="49" s="1"/>
  <c r="H1026" i="50" s="1"/>
  <c r="H907" i="46"/>
  <c r="H951" i="47" s="1"/>
  <c r="H988" i="48" s="1"/>
  <c r="H1000" i="49" s="1"/>
  <c r="H1024" i="50" s="1"/>
  <c r="H906" i="46"/>
  <c r="H950" i="47" s="1"/>
  <c r="H987" i="48" s="1"/>
  <c r="H999" i="49" s="1"/>
  <c r="H1023" i="50" s="1"/>
  <c r="H905" i="46"/>
  <c r="H949" i="47" s="1"/>
  <c r="H986" i="48" s="1"/>
  <c r="H998" i="49" s="1"/>
  <c r="H1022" i="50" s="1"/>
  <c r="H904" i="46"/>
  <c r="H948" i="47" s="1"/>
  <c r="H985" i="48" s="1"/>
  <c r="H997" i="49" s="1"/>
  <c r="H1021" i="50" s="1"/>
  <c r="H903" i="46"/>
  <c r="H947" i="47" s="1"/>
  <c r="H984" i="48" s="1"/>
  <c r="H996" i="49" s="1"/>
  <c r="H1020" i="50" s="1"/>
  <c r="H902" i="46"/>
  <c r="H946" i="47" s="1"/>
  <c r="H982" i="48" s="1"/>
  <c r="H994" i="49" s="1"/>
  <c r="H1019" i="50" s="1"/>
  <c r="H901" i="46"/>
  <c r="H945" i="47" s="1"/>
  <c r="H981" i="48" s="1"/>
  <c r="H993" i="49" s="1"/>
  <c r="H1018" i="50" s="1"/>
  <c r="H900" i="46"/>
  <c r="H944" i="47" s="1"/>
  <c r="H980" i="48" s="1"/>
  <c r="H992" i="49" s="1"/>
  <c r="H1017" i="50" s="1"/>
  <c r="H899" i="46"/>
  <c r="H943" i="47" s="1"/>
  <c r="H979" i="48" s="1"/>
  <c r="H991" i="49" s="1"/>
  <c r="H1016" i="50" s="1"/>
  <c r="H898" i="46"/>
  <c r="H942" i="47" s="1"/>
  <c r="H978" i="48" s="1"/>
  <c r="H990" i="49" s="1"/>
  <c r="H1015" i="50" s="1"/>
  <c r="H897" i="46"/>
  <c r="H941" i="47" s="1"/>
  <c r="H977" i="48" s="1"/>
  <c r="H989" i="49" s="1"/>
  <c r="H1014" i="50" s="1"/>
  <c r="H896" i="46"/>
  <c r="H940" i="47" s="1"/>
  <c r="H976" i="48" s="1"/>
  <c r="H988" i="49" s="1"/>
  <c r="H1013" i="50" s="1"/>
  <c r="H895" i="46"/>
  <c r="H939" i="47" s="1"/>
  <c r="H975" i="48" s="1"/>
  <c r="H987" i="49" s="1"/>
  <c r="H1012" i="50" s="1"/>
  <c r="H894" i="46"/>
  <c r="H937" i="47" s="1"/>
  <c r="H973" i="48" s="1"/>
  <c r="H985" i="49" s="1"/>
  <c r="H1010" i="50" s="1"/>
  <c r="H893" i="46"/>
  <c r="H936" i="47" s="1"/>
  <c r="H972" i="48" s="1"/>
  <c r="H984" i="49" s="1"/>
  <c r="H1009" i="50" s="1"/>
  <c r="H892" i="46"/>
  <c r="H935" i="47" s="1"/>
  <c r="H971" i="48" s="1"/>
  <c r="H983" i="49" s="1"/>
  <c r="H1008" i="50" s="1"/>
  <c r="H891" i="46"/>
  <c r="H934" i="47" s="1"/>
  <c r="H970" i="48" s="1"/>
  <c r="H982" i="49" s="1"/>
  <c r="H1007" i="50" s="1"/>
  <c r="H890" i="46"/>
  <c r="H933" i="47" s="1"/>
  <c r="H969" i="48" s="1"/>
  <c r="H981" i="49" s="1"/>
  <c r="H1006" i="50" s="1"/>
  <c r="H889" i="46"/>
  <c r="H932" i="47" s="1"/>
  <c r="H888" i="46"/>
  <c r="H931" i="47" s="1"/>
  <c r="H967" i="48" s="1"/>
  <c r="H979" i="49" s="1"/>
  <c r="H1003" i="50" s="1"/>
  <c r="H887" i="46"/>
  <c r="H930" i="47" s="1"/>
  <c r="H966" i="48" s="1"/>
  <c r="H978" i="49" s="1"/>
  <c r="H1002" i="50" s="1"/>
  <c r="H886" i="46"/>
  <c r="H929" i="47" s="1"/>
  <c r="H965" i="48" s="1"/>
  <c r="H977" i="49" s="1"/>
  <c r="H1001" i="50" s="1"/>
  <c r="H885" i="46"/>
  <c r="H928" i="47" s="1"/>
  <c r="H964" i="48" s="1"/>
  <c r="H976" i="49" s="1"/>
  <c r="H1000" i="50" s="1"/>
  <c r="H884" i="46"/>
  <c r="H927" i="47" s="1"/>
  <c r="H963" i="48" s="1"/>
  <c r="H975" i="49" s="1"/>
  <c r="H999" i="50" s="1"/>
  <c r="H883" i="46"/>
  <c r="H926" i="47" s="1"/>
  <c r="H962" i="48" s="1"/>
  <c r="H974" i="49" s="1"/>
  <c r="H998" i="50" s="1"/>
  <c r="H882" i="46"/>
  <c r="H925" i="47" s="1"/>
  <c r="H961" i="48" s="1"/>
  <c r="H973" i="49" s="1"/>
  <c r="H997" i="50" s="1"/>
  <c r="H881" i="46"/>
  <c r="H924" i="47" s="1"/>
  <c r="H960" i="48" s="1"/>
  <c r="H972" i="49" s="1"/>
  <c r="H995" i="50" s="1"/>
  <c r="H880" i="46"/>
  <c r="H923" i="47" s="1"/>
  <c r="H959" i="48" s="1"/>
  <c r="H971" i="49" s="1"/>
  <c r="H994" i="50" s="1"/>
  <c r="H879" i="46"/>
  <c r="H922" i="47" s="1"/>
  <c r="H958" i="48" s="1"/>
  <c r="H970" i="49" s="1"/>
  <c r="H993" i="50" s="1"/>
  <c r="H878" i="46"/>
  <c r="H921" i="47" s="1"/>
  <c r="H957" i="48" s="1"/>
  <c r="H969" i="49" s="1"/>
  <c r="H992" i="50" s="1"/>
  <c r="H877" i="46"/>
  <c r="H920" i="47" s="1"/>
  <c r="H956" i="48" s="1"/>
  <c r="H967" i="49" s="1"/>
  <c r="H990" i="50" s="1"/>
  <c r="H876" i="46"/>
  <c r="H919" i="47" s="1"/>
  <c r="H955" i="48" s="1"/>
  <c r="H966" i="49" s="1"/>
  <c r="H989" i="50" s="1"/>
  <c r="H875" i="46"/>
  <c r="H918" i="47" s="1"/>
  <c r="H954" i="48" s="1"/>
  <c r="H965" i="49" s="1"/>
  <c r="H988" i="50" s="1"/>
  <c r="H874" i="46"/>
  <c r="H917" i="47" s="1"/>
  <c r="H953" i="48" s="1"/>
  <c r="H964" i="49" s="1"/>
  <c r="H987" i="50" s="1"/>
  <c r="H873" i="46"/>
  <c r="H916" i="47" s="1"/>
  <c r="H952" i="48" s="1"/>
  <c r="H963" i="49" s="1"/>
  <c r="H986" i="50" s="1"/>
  <c r="H872" i="46"/>
  <c r="H915" i="47" s="1"/>
  <c r="H951" i="48" s="1"/>
  <c r="H962" i="49" s="1"/>
  <c r="H985" i="50" s="1"/>
  <c r="H871" i="46"/>
  <c r="H914" i="47" s="1"/>
  <c r="H950" i="48" s="1"/>
  <c r="H870" i="46"/>
  <c r="H913" i="47" s="1"/>
  <c r="H949" i="48" s="1"/>
  <c r="H960" i="49" s="1"/>
  <c r="H983" i="50" s="1"/>
  <c r="H869" i="46"/>
  <c r="H912" i="47" s="1"/>
  <c r="H948" i="48" s="1"/>
  <c r="H959" i="49" s="1"/>
  <c r="H982" i="50" s="1"/>
  <c r="H868" i="46"/>
  <c r="H910" i="47" s="1"/>
  <c r="H946" i="48" s="1"/>
  <c r="H957" i="49" s="1"/>
  <c r="H980" i="50" s="1"/>
  <c r="H867" i="46"/>
  <c r="H909" i="47" s="1"/>
  <c r="H945" i="48" s="1"/>
  <c r="H956" i="49" s="1"/>
  <c r="H979" i="50" s="1"/>
  <c r="H866" i="46"/>
  <c r="H908" i="47" s="1"/>
  <c r="H944" i="48" s="1"/>
  <c r="H955" i="49" s="1"/>
  <c r="H977" i="50" s="1"/>
  <c r="H865" i="46"/>
  <c r="H907" i="47" s="1"/>
  <c r="H943" i="48" s="1"/>
  <c r="H954" i="49" s="1"/>
  <c r="H976" i="50" s="1"/>
  <c r="H864" i="46"/>
  <c r="H906" i="47" s="1"/>
  <c r="H942" i="48" s="1"/>
  <c r="H953" i="49" s="1"/>
  <c r="H975" i="50" s="1"/>
  <c r="H863" i="46"/>
  <c r="H905" i="47" s="1"/>
  <c r="H941" i="48" s="1"/>
  <c r="H952" i="49" s="1"/>
  <c r="H974" i="50" s="1"/>
  <c r="H861" i="46"/>
  <c r="H903" i="47" s="1"/>
  <c r="H938" i="48" s="1"/>
  <c r="H949" i="49" s="1"/>
  <c r="H971" i="50" s="1"/>
  <c r="H860" i="46"/>
  <c r="H902" i="47" s="1"/>
  <c r="H937" i="48" s="1"/>
  <c r="H948" i="49" s="1"/>
  <c r="H970" i="50" s="1"/>
  <c r="H859" i="46"/>
  <c r="H901" i="47" s="1"/>
  <c r="H936" i="48" s="1"/>
  <c r="H947" i="49" s="1"/>
  <c r="H969" i="50" s="1"/>
  <c r="H858" i="46"/>
  <c r="H900" i="47" s="1"/>
  <c r="H935" i="48" s="1"/>
  <c r="H946" i="49" s="1"/>
  <c r="H968" i="50" s="1"/>
  <c r="H857" i="46"/>
  <c r="H898" i="47" s="1"/>
  <c r="H933" i="48" s="1"/>
  <c r="H944" i="49" s="1"/>
  <c r="H966" i="50" s="1"/>
  <c r="H856" i="46"/>
  <c r="H897" i="47" s="1"/>
  <c r="H932" i="48" s="1"/>
  <c r="H943" i="49" s="1"/>
  <c r="H965" i="50" s="1"/>
  <c r="H855" i="46"/>
  <c r="H896" i="47" s="1"/>
  <c r="H931" i="48" s="1"/>
  <c r="H941" i="49" s="1"/>
  <c r="H963" i="50" s="1"/>
  <c r="H854" i="46"/>
  <c r="H895" i="47" s="1"/>
  <c r="H930" i="48" s="1"/>
  <c r="H940" i="49" s="1"/>
  <c r="H962" i="50" s="1"/>
  <c r="H853" i="46"/>
  <c r="H894" i="47" s="1"/>
  <c r="H929" i="48" s="1"/>
  <c r="H939" i="49" s="1"/>
  <c r="H961" i="50" s="1"/>
  <c r="H852" i="46"/>
  <c r="H893" i="47" s="1"/>
  <c r="H928" i="48" s="1"/>
  <c r="H938" i="49" s="1"/>
  <c r="H960" i="50" s="1"/>
  <c r="H851" i="46"/>
  <c r="H892" i="47" s="1"/>
  <c r="H850" i="46"/>
  <c r="H890" i="47" s="1"/>
  <c r="H926" i="48" s="1"/>
  <c r="H935" i="49" s="1"/>
  <c r="H957" i="50" s="1"/>
  <c r="H849" i="46"/>
  <c r="H889" i="47" s="1"/>
  <c r="H925" i="48" s="1"/>
  <c r="H934" i="49" s="1"/>
  <c r="H956" i="50" s="1"/>
  <c r="H848" i="46"/>
  <c r="H888" i="47" s="1"/>
  <c r="H924" i="48" s="1"/>
  <c r="H933" i="49" s="1"/>
  <c r="H955" i="50" s="1"/>
  <c r="H847" i="46"/>
  <c r="H846" i="46"/>
  <c r="H886" i="47" s="1"/>
  <c r="H921" i="48" s="1"/>
  <c r="H930" i="49" s="1"/>
  <c r="H953" i="50" s="1"/>
  <c r="H845" i="46"/>
  <c r="H885" i="47" s="1"/>
  <c r="H920" i="48" s="1"/>
  <c r="H929" i="49" s="1"/>
  <c r="H952" i="50" s="1"/>
  <c r="H844" i="46"/>
  <c r="H884" i="47" s="1"/>
  <c r="H919" i="48" s="1"/>
  <c r="H928" i="49" s="1"/>
  <c r="H951" i="50" s="1"/>
  <c r="H843" i="46"/>
  <c r="H882" i="47" s="1"/>
  <c r="H917" i="48" s="1"/>
  <c r="H926" i="49" s="1"/>
  <c r="H948" i="50" s="1"/>
  <c r="H842" i="46"/>
  <c r="H881" i="47" s="1"/>
  <c r="H916" i="48" s="1"/>
  <c r="H925" i="49" s="1"/>
  <c r="H947" i="50" s="1"/>
  <c r="H841" i="46"/>
  <c r="H880" i="47" s="1"/>
  <c r="H915" i="48" s="1"/>
  <c r="H924" i="49" s="1"/>
  <c r="H946" i="50" s="1"/>
  <c r="H840" i="46"/>
  <c r="H879" i="47" s="1"/>
  <c r="H914" i="48" s="1"/>
  <c r="H923" i="49" s="1"/>
  <c r="H945" i="50" s="1"/>
  <c r="H839" i="46"/>
  <c r="H877" i="47" s="1"/>
  <c r="H912" i="48" s="1"/>
  <c r="H921" i="49" s="1"/>
  <c r="H943" i="50" s="1"/>
  <c r="H838" i="46"/>
  <c r="H876" i="47" s="1"/>
  <c r="H911" i="48" s="1"/>
  <c r="H920" i="49" s="1"/>
  <c r="H942" i="50" s="1"/>
  <c r="H837" i="46"/>
  <c r="H875" i="47" s="1"/>
  <c r="H910" i="48" s="1"/>
  <c r="H919" i="49" s="1"/>
  <c r="H941" i="50" s="1"/>
  <c r="H836" i="46"/>
  <c r="H874" i="47" s="1"/>
  <c r="H909" i="48" s="1"/>
  <c r="H918" i="49" s="1"/>
  <c r="H940" i="50" s="1"/>
  <c r="H835" i="46"/>
  <c r="H873" i="47" s="1"/>
  <c r="H908" i="48" s="1"/>
  <c r="H917" i="49" s="1"/>
  <c r="H939" i="50" s="1"/>
  <c r="H833" i="46"/>
  <c r="H871" i="47" s="1"/>
  <c r="H906" i="48" s="1"/>
  <c r="H915" i="49" s="1"/>
  <c r="H937" i="50" s="1"/>
  <c r="H831" i="46"/>
  <c r="H869" i="47" s="1"/>
  <c r="H904" i="48" s="1"/>
  <c r="H914" i="49" s="1"/>
  <c r="H936" i="50" s="1"/>
  <c r="H829" i="46"/>
  <c r="H867" i="47" s="1"/>
  <c r="H902" i="48" s="1"/>
  <c r="H912" i="49" s="1"/>
  <c r="H934" i="50" s="1"/>
  <c r="H828" i="46"/>
  <c r="H866" i="47" s="1"/>
  <c r="H901" i="48" s="1"/>
  <c r="H911" i="49" s="1"/>
  <c r="H933" i="50" s="1"/>
  <c r="H827" i="46"/>
  <c r="H865" i="47" s="1"/>
  <c r="H900" i="48" s="1"/>
  <c r="H910" i="49" s="1"/>
  <c r="H932" i="50" s="1"/>
  <c r="H826" i="46"/>
  <c r="H864" i="47" s="1"/>
  <c r="H899" i="48" s="1"/>
  <c r="H909" i="49" s="1"/>
  <c r="H931" i="50" s="1"/>
  <c r="H825" i="46"/>
  <c r="H863" i="47" s="1"/>
  <c r="H824" i="46"/>
  <c r="H823" i="46"/>
  <c r="H861" i="47" s="1"/>
  <c r="H896" i="48" s="1"/>
  <c r="H906" i="49" s="1"/>
  <c r="H926" i="50" s="1"/>
  <c r="H820" i="46"/>
  <c r="H858" i="47" s="1"/>
  <c r="H893" i="48" s="1"/>
  <c r="H903" i="49" s="1"/>
  <c r="H923" i="50" s="1"/>
  <c r="H818" i="46"/>
  <c r="H856" i="47" s="1"/>
  <c r="H891" i="48" s="1"/>
  <c r="H901" i="49" s="1"/>
  <c r="H921" i="50" s="1"/>
  <c r="H817" i="46"/>
  <c r="H816" i="46"/>
  <c r="H854" i="47" s="1"/>
  <c r="H888" i="48" s="1"/>
  <c r="H900" i="49" s="1"/>
  <c r="H919" i="50" s="1"/>
  <c r="H814" i="46"/>
  <c r="H852" i="47" s="1"/>
  <c r="H886" i="48" s="1"/>
  <c r="H899" i="49" s="1"/>
  <c r="H918" i="50" s="1"/>
  <c r="H813" i="46"/>
  <c r="H851" i="47" s="1"/>
  <c r="H812" i="46"/>
  <c r="H850" i="47" s="1"/>
  <c r="H885" i="48" s="1"/>
  <c r="H897" i="49" s="1"/>
  <c r="H916" i="50" s="1"/>
  <c r="H809" i="46"/>
  <c r="H848" i="47" s="1"/>
  <c r="H883" i="48" s="1"/>
  <c r="H895" i="49" s="1"/>
  <c r="H913" i="50" s="1"/>
  <c r="H808" i="46"/>
  <c r="H846" i="47" s="1"/>
  <c r="H881" i="48" s="1"/>
  <c r="H891" i="49" s="1"/>
  <c r="H908" i="50" s="1"/>
  <c r="H807" i="46"/>
  <c r="H845" i="47" s="1"/>
  <c r="H880" i="48" s="1"/>
  <c r="H889" i="49" s="1"/>
  <c r="H906" i="50" s="1"/>
  <c r="H806" i="46"/>
  <c r="H844" i="47" s="1"/>
  <c r="H879" i="48" s="1"/>
  <c r="H888" i="49" s="1"/>
  <c r="H905" i="50" s="1"/>
  <c r="H804" i="46"/>
  <c r="H842" i="47" s="1"/>
  <c r="H877" i="48" s="1"/>
  <c r="H885" i="49" s="1"/>
  <c r="H902" i="50" s="1"/>
  <c r="H803" i="46"/>
  <c r="H841" i="47" s="1"/>
  <c r="H876" i="48" s="1"/>
  <c r="H884" i="49" s="1"/>
  <c r="H901" i="50" s="1"/>
  <c r="H802" i="46"/>
  <c r="H839" i="47" s="1"/>
  <c r="H874" i="48" s="1"/>
  <c r="H882" i="49" s="1"/>
  <c r="H899" i="50" s="1"/>
  <c r="H801" i="46"/>
  <c r="H838" i="47" s="1"/>
  <c r="H873" i="48" s="1"/>
  <c r="H881" i="49" s="1"/>
  <c r="H898" i="50" s="1"/>
  <c r="H799" i="46"/>
  <c r="H836" i="47" s="1"/>
  <c r="H871" i="48" s="1"/>
  <c r="H798" i="46"/>
  <c r="H835" i="47" s="1"/>
  <c r="H870" i="48" s="1"/>
  <c r="H879" i="49" s="1"/>
  <c r="H896" i="50" s="1"/>
  <c r="H797" i="46"/>
  <c r="H834" i="47" s="1"/>
  <c r="H869" i="48" s="1"/>
  <c r="H878" i="49" s="1"/>
  <c r="H895" i="50" s="1"/>
  <c r="H796" i="46"/>
  <c r="H833" i="47" s="1"/>
  <c r="H868" i="48" s="1"/>
  <c r="H877" i="49" s="1"/>
  <c r="H894" i="50" s="1"/>
  <c r="H795" i="46"/>
  <c r="H832" i="47" s="1"/>
  <c r="H866" i="48" s="1"/>
  <c r="H876" i="49" s="1"/>
  <c r="H893" i="50" s="1"/>
  <c r="H794" i="46"/>
  <c r="H793" i="46"/>
  <c r="H831" i="47" s="1"/>
  <c r="H864" i="48" s="1"/>
  <c r="H875" i="49" s="1"/>
  <c r="H891" i="50" s="1"/>
  <c r="H792" i="46"/>
  <c r="H830" i="47" s="1"/>
  <c r="H863" i="48" s="1"/>
  <c r="H874" i="49" s="1"/>
  <c r="H890" i="50" s="1"/>
  <c r="H791" i="46"/>
  <c r="H829" i="47" s="1"/>
  <c r="H862" i="48" s="1"/>
  <c r="H873" i="49" s="1"/>
  <c r="H889" i="50" s="1"/>
  <c r="H790" i="46"/>
  <c r="H828" i="47" s="1"/>
  <c r="H861" i="48" s="1"/>
  <c r="H872" i="49" s="1"/>
  <c r="H888" i="50" s="1"/>
  <c r="H789" i="46"/>
  <c r="H827" i="47" s="1"/>
  <c r="H860" i="48" s="1"/>
  <c r="H871" i="49" s="1"/>
  <c r="H887" i="50" s="1"/>
  <c r="H788" i="46"/>
  <c r="H826" i="47" s="1"/>
  <c r="H859" i="48" s="1"/>
  <c r="H868" i="49" s="1"/>
  <c r="H883" i="50" s="1"/>
  <c r="H787" i="46"/>
  <c r="H825" i="47" s="1"/>
  <c r="H858" i="48" s="1"/>
  <c r="H867" i="49" s="1"/>
  <c r="H882" i="50" s="1"/>
  <c r="H786" i="46"/>
  <c r="H824" i="47" s="1"/>
  <c r="H856" i="48" s="1"/>
  <c r="H865" i="49" s="1"/>
  <c r="H785" i="46"/>
  <c r="H823" i="47" s="1"/>
  <c r="H855" i="48" s="1"/>
  <c r="H864" i="49" s="1"/>
  <c r="H878" i="50" s="1"/>
  <c r="H784" i="46"/>
  <c r="H822" i="47" s="1"/>
  <c r="H854" i="48" s="1"/>
  <c r="H863" i="49" s="1"/>
  <c r="H877" i="50" s="1"/>
  <c r="H783" i="46"/>
  <c r="H821" i="47" s="1"/>
  <c r="H853" i="48" s="1"/>
  <c r="H862" i="49" s="1"/>
  <c r="H876" i="50" s="1"/>
  <c r="H782" i="46"/>
  <c r="H820" i="47" s="1"/>
  <c r="H852" i="48" s="1"/>
  <c r="H861" i="49" s="1"/>
  <c r="H875" i="50" s="1"/>
  <c r="H781" i="46"/>
  <c r="H819" i="47" s="1"/>
  <c r="H851" i="48" s="1"/>
  <c r="H860" i="49" s="1"/>
  <c r="H874" i="50" s="1"/>
  <c r="H780" i="46"/>
  <c r="H818" i="47" s="1"/>
  <c r="H850" i="48" s="1"/>
  <c r="H859" i="49" s="1"/>
  <c r="H873" i="50" s="1"/>
  <c r="H779" i="46"/>
  <c r="H817" i="47" s="1"/>
  <c r="H849" i="48" s="1"/>
  <c r="H858" i="49" s="1"/>
  <c r="H872" i="50" s="1"/>
  <c r="H778" i="46"/>
  <c r="H816" i="47" s="1"/>
  <c r="H848" i="48" s="1"/>
  <c r="H855" i="49" s="1"/>
  <c r="H869" i="50" s="1"/>
  <c r="H777" i="46"/>
  <c r="H815" i="47" s="1"/>
  <c r="H847" i="48" s="1"/>
  <c r="H854" i="49" s="1"/>
  <c r="H868" i="50" s="1"/>
  <c r="H776" i="46"/>
  <c r="H814" i="47" s="1"/>
  <c r="H846" i="48" s="1"/>
  <c r="H853" i="49" s="1"/>
  <c r="H867" i="50" s="1"/>
  <c r="H775" i="46"/>
  <c r="H813" i="47" s="1"/>
  <c r="H845" i="48" s="1"/>
  <c r="H852" i="49" s="1"/>
  <c r="H866" i="50" s="1"/>
  <c r="H774" i="46"/>
  <c r="H812" i="47" s="1"/>
  <c r="H843" i="48" s="1"/>
  <c r="H850" i="49" s="1"/>
  <c r="H864" i="50" s="1"/>
  <c r="H773" i="46"/>
  <c r="H811" i="47" s="1"/>
  <c r="H842" i="48" s="1"/>
  <c r="H848" i="49" s="1"/>
  <c r="H862" i="50" s="1"/>
  <c r="H772" i="46"/>
  <c r="H810" i="47" s="1"/>
  <c r="H841" i="48" s="1"/>
  <c r="H847" i="49" s="1"/>
  <c r="H861" i="50" s="1"/>
  <c r="H771" i="46"/>
  <c r="H809" i="47" s="1"/>
  <c r="H840" i="48" s="1"/>
  <c r="H846" i="49" s="1"/>
  <c r="H860" i="50" s="1"/>
  <c r="H770" i="46"/>
  <c r="H808" i="47" s="1"/>
  <c r="H839" i="48" s="1"/>
  <c r="H845" i="49" s="1"/>
  <c r="H859" i="50" s="1"/>
  <c r="H769" i="46"/>
  <c r="H807" i="47" s="1"/>
  <c r="H838" i="48" s="1"/>
  <c r="H767" i="46"/>
  <c r="H805" i="47" s="1"/>
  <c r="H836" i="48" s="1"/>
  <c r="H842" i="49" s="1"/>
  <c r="H855" i="50" s="1"/>
  <c r="H766" i="46"/>
  <c r="H804" i="47" s="1"/>
  <c r="H834" i="48" s="1"/>
  <c r="H837" i="49" s="1"/>
  <c r="H850" i="50" s="1"/>
  <c r="H765" i="46"/>
  <c r="H803" i="47" s="1"/>
  <c r="H833" i="48" s="1"/>
  <c r="H836" i="49" s="1"/>
  <c r="H849" i="50" s="1"/>
  <c r="H763" i="46"/>
  <c r="H801" i="47" s="1"/>
  <c r="H831" i="48" s="1"/>
  <c r="H834" i="49" s="1"/>
  <c r="H847" i="50" s="1"/>
  <c r="H762" i="46"/>
  <c r="H800" i="47" s="1"/>
  <c r="H829" i="48" s="1"/>
  <c r="H832" i="49" s="1"/>
  <c r="H844" i="50" s="1"/>
  <c r="H761" i="46"/>
  <c r="H799" i="47" s="1"/>
  <c r="H827" i="48" s="1"/>
  <c r="H831" i="49" s="1"/>
  <c r="H843" i="50" s="1"/>
  <c r="H759" i="46"/>
  <c r="H797" i="47" s="1"/>
  <c r="H826" i="48" s="1"/>
  <c r="H830" i="49" s="1"/>
  <c r="H842" i="50" s="1"/>
  <c r="H758" i="46"/>
  <c r="H796" i="47" s="1"/>
  <c r="H825" i="48" s="1"/>
  <c r="H829" i="49" s="1"/>
  <c r="H841" i="50" s="1"/>
  <c r="H756" i="46"/>
  <c r="H794" i="47" s="1"/>
  <c r="H824" i="48" s="1"/>
  <c r="H827" i="49" s="1"/>
  <c r="H839" i="50" s="1"/>
  <c r="H755" i="46"/>
  <c r="H793" i="47" s="1"/>
  <c r="H823" i="48" s="1"/>
  <c r="H825" i="49" s="1"/>
  <c r="H837" i="50" s="1"/>
  <c r="H753" i="46"/>
  <c r="H792" i="47" s="1"/>
  <c r="H821" i="48" s="1"/>
  <c r="H823" i="49" s="1"/>
  <c r="H835" i="50" s="1"/>
  <c r="H752" i="46"/>
  <c r="H791" i="47" s="1"/>
  <c r="H820" i="48" s="1"/>
  <c r="H822" i="49" s="1"/>
  <c r="H834" i="50" s="1"/>
  <c r="H751" i="46"/>
  <c r="H790" i="47" s="1"/>
  <c r="H819" i="48" s="1"/>
  <c r="H821" i="49" s="1"/>
  <c r="H833" i="50" s="1"/>
  <c r="H750" i="46"/>
  <c r="H789" i="47" s="1"/>
  <c r="H818" i="48" s="1"/>
  <c r="H820" i="49" s="1"/>
  <c r="H832" i="50" s="1"/>
  <c r="H749" i="46"/>
  <c r="H788" i="47" s="1"/>
  <c r="H816" i="48" s="1"/>
  <c r="H818" i="49" s="1"/>
  <c r="H830" i="50" s="1"/>
  <c r="H748" i="46"/>
  <c r="H786" i="47" s="1"/>
  <c r="H814" i="48" s="1"/>
  <c r="H816" i="49" s="1"/>
  <c r="H828" i="50" s="1"/>
  <c r="H747" i="46"/>
  <c r="H785" i="47" s="1"/>
  <c r="H813" i="48" s="1"/>
  <c r="H815" i="49" s="1"/>
  <c r="H827" i="50" s="1"/>
  <c r="H746" i="46"/>
  <c r="H784" i="47" s="1"/>
  <c r="H812" i="48" s="1"/>
  <c r="H814" i="49" s="1"/>
  <c r="H826" i="50" s="1"/>
  <c r="H745" i="46"/>
  <c r="H783" i="47" s="1"/>
  <c r="H811" i="48" s="1"/>
  <c r="H813" i="49" s="1"/>
  <c r="H825" i="50" s="1"/>
  <c r="H744" i="46"/>
  <c r="H782" i="47" s="1"/>
  <c r="H810" i="48" s="1"/>
  <c r="H812" i="49" s="1"/>
  <c r="H824" i="50" s="1"/>
  <c r="H743" i="46"/>
  <c r="H781" i="47" s="1"/>
  <c r="H809" i="48" s="1"/>
  <c r="H810" i="49" s="1"/>
  <c r="H822" i="50" s="1"/>
  <c r="H742" i="46"/>
  <c r="H780" i="47" s="1"/>
  <c r="H808" i="48" s="1"/>
  <c r="H809" i="49" s="1"/>
  <c r="H821" i="50" s="1"/>
  <c r="H741" i="46"/>
  <c r="H779" i="47" s="1"/>
  <c r="H807" i="48" s="1"/>
  <c r="H808" i="49" s="1"/>
  <c r="H820" i="50" s="1"/>
  <c r="H740" i="46"/>
  <c r="H777" i="47" s="1"/>
  <c r="H804" i="48" s="1"/>
  <c r="H739" i="46"/>
  <c r="H776" i="47" s="1"/>
  <c r="H803" i="48" s="1"/>
  <c r="H804" i="49" s="1"/>
  <c r="H816" i="50" s="1"/>
  <c r="H738" i="46"/>
  <c r="H775" i="47" s="1"/>
  <c r="H802" i="48" s="1"/>
  <c r="H803" i="49" s="1"/>
  <c r="H815" i="50" s="1"/>
  <c r="H736" i="46"/>
  <c r="H773" i="47" s="1"/>
  <c r="H800" i="48" s="1"/>
  <c r="H801" i="49" s="1"/>
  <c r="H813" i="50" s="1"/>
  <c r="H735" i="46"/>
  <c r="H772" i="47" s="1"/>
  <c r="H799" i="48" s="1"/>
  <c r="H799" i="49" s="1"/>
  <c r="H811" i="50" s="1"/>
  <c r="H734" i="46"/>
  <c r="H771" i="47" s="1"/>
  <c r="H798" i="48" s="1"/>
  <c r="H798" i="49" s="1"/>
  <c r="H810" i="50" s="1"/>
  <c r="H733" i="46"/>
  <c r="H770" i="47" s="1"/>
  <c r="H797" i="48" s="1"/>
  <c r="H797" i="49" s="1"/>
  <c r="H809" i="50" s="1"/>
  <c r="H731" i="46"/>
  <c r="H768" i="47" s="1"/>
  <c r="H795" i="48" s="1"/>
  <c r="H795" i="49" s="1"/>
  <c r="H807" i="50" s="1"/>
  <c r="H729" i="46"/>
  <c r="H766" i="47" s="1"/>
  <c r="H793" i="48" s="1"/>
  <c r="H794" i="49" s="1"/>
  <c r="H805" i="50" s="1"/>
  <c r="H728" i="46"/>
  <c r="H764" i="47" s="1"/>
  <c r="H791" i="48" s="1"/>
  <c r="H793" i="49" s="1"/>
  <c r="H804" i="50" s="1"/>
  <c r="H727" i="46"/>
  <c r="H763" i="47" s="1"/>
  <c r="H790" i="48" s="1"/>
  <c r="H792" i="49" s="1"/>
  <c r="H803" i="50" s="1"/>
  <c r="H726" i="46"/>
  <c r="H761" i="47" s="1"/>
  <c r="H788" i="48" s="1"/>
  <c r="H790" i="49" s="1"/>
  <c r="H801" i="50" s="1"/>
  <c r="H725" i="46"/>
  <c r="H759" i="47" s="1"/>
  <c r="H786" i="48" s="1"/>
  <c r="H788" i="49" s="1"/>
  <c r="H799" i="50" s="1"/>
  <c r="H724" i="46"/>
  <c r="H758" i="47" s="1"/>
  <c r="H785" i="48" s="1"/>
  <c r="H787" i="49" s="1"/>
  <c r="H798" i="50" s="1"/>
  <c r="H723" i="46"/>
  <c r="H757" i="47" s="1"/>
  <c r="H783" i="48" s="1"/>
  <c r="H785" i="49" s="1"/>
  <c r="H796" i="50" s="1"/>
  <c r="H722" i="46"/>
  <c r="H756" i="47" s="1"/>
  <c r="H782" i="48" s="1"/>
  <c r="H784" i="49" s="1"/>
  <c r="H795" i="50" s="1"/>
  <c r="H720" i="46"/>
  <c r="H753" i="47" s="1"/>
  <c r="H779" i="48" s="1"/>
  <c r="H780" i="49" s="1"/>
  <c r="H790" i="50" s="1"/>
  <c r="H719" i="46"/>
  <c r="H752" i="47" s="1"/>
  <c r="H778" i="48" s="1"/>
  <c r="H779" i="49" s="1"/>
  <c r="H789" i="50" s="1"/>
  <c r="H718" i="46"/>
  <c r="H751" i="47" s="1"/>
  <c r="H777" i="48" s="1"/>
  <c r="H778" i="49" s="1"/>
  <c r="H788" i="50" s="1"/>
  <c r="H717" i="46"/>
  <c r="H749" i="47" s="1"/>
  <c r="H775" i="48" s="1"/>
  <c r="H776" i="49" s="1"/>
  <c r="H786" i="50" s="1"/>
  <c r="H716" i="46"/>
  <c r="H748" i="47" s="1"/>
  <c r="H774" i="48" s="1"/>
  <c r="H775" i="49" s="1"/>
  <c r="H785" i="50" s="1"/>
  <c r="H715" i="46"/>
  <c r="H747" i="47" s="1"/>
  <c r="H773" i="48" s="1"/>
  <c r="H774" i="49" s="1"/>
  <c r="H784" i="50" s="1"/>
  <c r="H714" i="46"/>
  <c r="H746" i="47" s="1"/>
  <c r="H772" i="48" s="1"/>
  <c r="H773" i="49" s="1"/>
  <c r="H783" i="50" s="1"/>
  <c r="H713" i="46"/>
  <c r="H745" i="47" s="1"/>
  <c r="H771" i="48" s="1"/>
  <c r="H772" i="49" s="1"/>
  <c r="H782" i="50" s="1"/>
  <c r="H712" i="46"/>
  <c r="H744" i="47" s="1"/>
  <c r="H770" i="48" s="1"/>
  <c r="H771" i="49" s="1"/>
  <c r="H781" i="50" s="1"/>
  <c r="H711" i="46"/>
  <c r="H743" i="47" s="1"/>
  <c r="H710" i="46"/>
  <c r="H742" i="47" s="1"/>
  <c r="H769" i="48" s="1"/>
  <c r="H770" i="49" s="1"/>
  <c r="H780" i="50" s="1"/>
  <c r="H709" i="46"/>
  <c r="H739" i="47" s="1"/>
  <c r="H765" i="48" s="1"/>
  <c r="H766" i="49" s="1"/>
  <c r="H775" i="50" s="1"/>
  <c r="H708" i="46"/>
  <c r="H738" i="47" s="1"/>
  <c r="H764" i="48" s="1"/>
  <c r="H765" i="49" s="1"/>
  <c r="H774" i="50" s="1"/>
  <c r="H707" i="46"/>
  <c r="H737" i="47" s="1"/>
  <c r="H763" i="48" s="1"/>
  <c r="H764" i="49" s="1"/>
  <c r="H773" i="50" s="1"/>
  <c r="H706" i="46"/>
  <c r="H736" i="47" s="1"/>
  <c r="H762" i="48" s="1"/>
  <c r="H705" i="46"/>
  <c r="H735" i="47" s="1"/>
  <c r="H761" i="48" s="1"/>
  <c r="H763" i="49" s="1"/>
  <c r="H771" i="50" s="1"/>
  <c r="H704" i="46"/>
  <c r="H734" i="47" s="1"/>
  <c r="H703" i="46"/>
  <c r="H733" i="47" s="1"/>
  <c r="H758" i="48" s="1"/>
  <c r="H759" i="49" s="1"/>
  <c r="H768" i="50" s="1"/>
  <c r="H702" i="46"/>
  <c r="H732" i="47" s="1"/>
  <c r="H757" i="48" s="1"/>
  <c r="H758" i="49" s="1"/>
  <c r="H767" i="50" s="1"/>
  <c r="H701" i="46"/>
  <c r="H731" i="47" s="1"/>
  <c r="H756" i="48" s="1"/>
  <c r="H757" i="49" s="1"/>
  <c r="H766" i="50" s="1"/>
  <c r="H700" i="46"/>
  <c r="H728" i="47" s="1"/>
  <c r="H753" i="48" s="1"/>
  <c r="H754" i="49" s="1"/>
  <c r="H763" i="50" s="1"/>
  <c r="H699" i="46"/>
  <c r="H727" i="47" s="1"/>
  <c r="H752" i="48" s="1"/>
  <c r="H698" i="46"/>
  <c r="H726" i="47" s="1"/>
  <c r="H751" i="48" s="1"/>
  <c r="H753" i="49" s="1"/>
  <c r="H762" i="50" s="1"/>
  <c r="H697" i="46"/>
  <c r="H725" i="47" s="1"/>
  <c r="H750" i="48" s="1"/>
  <c r="H696" i="46"/>
  <c r="H724" i="47" s="1"/>
  <c r="H749" i="48" s="1"/>
  <c r="H752" i="49" s="1"/>
  <c r="H761" i="50" s="1"/>
  <c r="H695" i="46"/>
  <c r="H723" i="47" s="1"/>
  <c r="H748" i="48" s="1"/>
  <c r="H751" i="49" s="1"/>
  <c r="H760" i="50" s="1"/>
  <c r="H694" i="46"/>
  <c r="H721" i="47" s="1"/>
  <c r="H746" i="48" s="1"/>
  <c r="H749" i="49" s="1"/>
  <c r="H758" i="50" s="1"/>
  <c r="H693" i="46"/>
  <c r="H720" i="47" s="1"/>
  <c r="H745" i="48" s="1"/>
  <c r="H748" i="49" s="1"/>
  <c r="H757" i="50" s="1"/>
  <c r="H692" i="46"/>
  <c r="H719" i="47" s="1"/>
  <c r="H744" i="48" s="1"/>
  <c r="H747" i="49" s="1"/>
  <c r="H756" i="50" s="1"/>
  <c r="H691" i="46"/>
  <c r="H718" i="47" s="1"/>
  <c r="H743" i="48" s="1"/>
  <c r="H746" i="49" s="1"/>
  <c r="H755" i="50" s="1"/>
  <c r="H690" i="46"/>
  <c r="H717" i="47" s="1"/>
  <c r="H742" i="48" s="1"/>
  <c r="H745" i="49" s="1"/>
  <c r="H754" i="50" s="1"/>
  <c r="H689" i="46"/>
  <c r="H716" i="47" s="1"/>
  <c r="H741" i="48" s="1"/>
  <c r="H744" i="49" s="1"/>
  <c r="H753" i="50" s="1"/>
  <c r="H688" i="46"/>
  <c r="H715" i="47" s="1"/>
  <c r="H740" i="48" s="1"/>
  <c r="H743" i="49" s="1"/>
  <c r="H752" i="50" s="1"/>
  <c r="H687" i="46"/>
  <c r="H714" i="47" s="1"/>
  <c r="H739" i="48" s="1"/>
  <c r="H742" i="49" s="1"/>
  <c r="H751" i="50" s="1"/>
  <c r="H686" i="46"/>
  <c r="H712" i="47" s="1"/>
  <c r="H737" i="48" s="1"/>
  <c r="H741" i="49" s="1"/>
  <c r="H750" i="50" s="1"/>
  <c r="H685" i="46"/>
  <c r="H711" i="47" s="1"/>
  <c r="H736" i="48" s="1"/>
  <c r="H740" i="49" s="1"/>
  <c r="H749" i="50" s="1"/>
  <c r="H684" i="46"/>
  <c r="H710" i="47" s="1"/>
  <c r="H735" i="48" s="1"/>
  <c r="H739" i="49" s="1"/>
  <c r="H748" i="50" s="1"/>
  <c r="H683" i="46"/>
  <c r="H709" i="47" s="1"/>
  <c r="H734" i="48" s="1"/>
  <c r="H738" i="49" s="1"/>
  <c r="H747" i="50" s="1"/>
  <c r="H682" i="46"/>
  <c r="H708" i="47" s="1"/>
  <c r="H733" i="48" s="1"/>
  <c r="H737" i="49" s="1"/>
  <c r="H746" i="50" s="1"/>
  <c r="H681" i="46"/>
  <c r="H706" i="47" s="1"/>
  <c r="H730" i="48" s="1"/>
  <c r="H734" i="49" s="1"/>
  <c r="H743" i="50" s="1"/>
  <c r="H680" i="46"/>
  <c r="H705" i="47" s="1"/>
  <c r="H729" i="48" s="1"/>
  <c r="H733" i="49" s="1"/>
  <c r="H742" i="50" s="1"/>
  <c r="H679" i="46"/>
  <c r="H704" i="47" s="1"/>
  <c r="H728" i="48" s="1"/>
  <c r="H732" i="49" s="1"/>
  <c r="H741" i="50" s="1"/>
  <c r="H678" i="46"/>
  <c r="H703" i="47" s="1"/>
  <c r="H727" i="48" s="1"/>
  <c r="H731" i="49" s="1"/>
  <c r="H740" i="50" s="1"/>
  <c r="H676" i="46"/>
  <c r="H701" i="47" s="1"/>
  <c r="H725" i="48" s="1"/>
  <c r="H728" i="49" s="1"/>
  <c r="H737" i="50" s="1"/>
  <c r="H675" i="46"/>
  <c r="H700" i="47" s="1"/>
  <c r="H724" i="48" s="1"/>
  <c r="H727" i="49" s="1"/>
  <c r="H736" i="50" s="1"/>
  <c r="H674" i="46"/>
  <c r="H699" i="47" s="1"/>
  <c r="H723" i="48" s="1"/>
  <c r="H726" i="49" s="1"/>
  <c r="H735" i="50" s="1"/>
  <c r="H672" i="46"/>
  <c r="H697" i="47" s="1"/>
  <c r="H722" i="48" s="1"/>
  <c r="H724" i="49" s="1"/>
  <c r="H734" i="50" s="1"/>
  <c r="H671" i="46"/>
  <c r="H696" i="47" s="1"/>
  <c r="H721" i="48" s="1"/>
  <c r="H723" i="49" s="1"/>
  <c r="H733" i="50" s="1"/>
  <c r="H670" i="46"/>
  <c r="H695" i="47" s="1"/>
  <c r="H720" i="48" s="1"/>
  <c r="H722" i="49" s="1"/>
  <c r="H732" i="50" s="1"/>
  <c r="H669" i="46"/>
  <c r="H694" i="47" s="1"/>
  <c r="H719" i="48" s="1"/>
  <c r="H721" i="49" s="1"/>
  <c r="H731" i="50" s="1"/>
  <c r="H668" i="46"/>
  <c r="H693" i="47" s="1"/>
  <c r="H718" i="48" s="1"/>
  <c r="H720" i="49" s="1"/>
  <c r="H730" i="50" s="1"/>
  <c r="H667" i="46"/>
  <c r="H692" i="47" s="1"/>
  <c r="H717" i="48" s="1"/>
  <c r="H719" i="49" s="1"/>
  <c r="H729" i="50" s="1"/>
  <c r="H666" i="46"/>
  <c r="H691" i="47" s="1"/>
  <c r="H716" i="48" s="1"/>
  <c r="H718" i="49" s="1"/>
  <c r="H728" i="50" s="1"/>
  <c r="H664" i="46"/>
  <c r="H689" i="47" s="1"/>
  <c r="H714" i="48" s="1"/>
  <c r="H716" i="49" s="1"/>
  <c r="H726" i="50" s="1"/>
  <c r="H663" i="46"/>
  <c r="H688" i="47" s="1"/>
  <c r="H713" i="48" s="1"/>
  <c r="H715" i="49" s="1"/>
  <c r="H725" i="50" s="1"/>
  <c r="H662" i="46"/>
  <c r="H686" i="47" s="1"/>
  <c r="H711" i="48" s="1"/>
  <c r="H713" i="49" s="1"/>
  <c r="H724" i="50" s="1"/>
  <c r="H661" i="46"/>
  <c r="H684" i="47" s="1"/>
  <c r="H709" i="48" s="1"/>
  <c r="H711" i="49" s="1"/>
  <c r="H722" i="50" s="1"/>
  <c r="H659" i="46"/>
  <c r="H682" i="47" s="1"/>
  <c r="H707" i="48" s="1"/>
  <c r="H709" i="49" s="1"/>
  <c r="H720" i="50" s="1"/>
  <c r="H658" i="46"/>
  <c r="H681" i="47" s="1"/>
  <c r="H706" i="48" s="1"/>
  <c r="H708" i="49" s="1"/>
  <c r="H719" i="50" s="1"/>
  <c r="H657" i="46"/>
  <c r="H680" i="47" s="1"/>
  <c r="H705" i="48" s="1"/>
  <c r="H707" i="49" s="1"/>
  <c r="H718" i="50" s="1"/>
  <c r="H656" i="46"/>
  <c r="H679" i="47" s="1"/>
  <c r="H704" i="48" s="1"/>
  <c r="H706" i="49" s="1"/>
  <c r="H717" i="50" s="1"/>
  <c r="H655" i="46"/>
  <c r="H678" i="47" s="1"/>
  <c r="H703" i="48" s="1"/>
  <c r="H705" i="49" s="1"/>
  <c r="H716" i="50" s="1"/>
  <c r="H654" i="46"/>
  <c r="H677" i="47" s="1"/>
  <c r="H702" i="48" s="1"/>
  <c r="H704" i="49" s="1"/>
  <c r="H715" i="50" s="1"/>
  <c r="H653" i="46"/>
  <c r="H652" i="46"/>
  <c r="H676" i="47" s="1"/>
  <c r="H701" i="48" s="1"/>
  <c r="H702" i="49" s="1"/>
  <c r="H713" i="50" s="1"/>
  <c r="H651" i="46"/>
  <c r="H674" i="47" s="1"/>
  <c r="H699" i="48" s="1"/>
  <c r="H700" i="49" s="1"/>
  <c r="H711" i="50" s="1"/>
  <c r="H650" i="46"/>
  <c r="H673" i="47" s="1"/>
  <c r="H698" i="48" s="1"/>
  <c r="H699" i="49" s="1"/>
  <c r="H710" i="50" s="1"/>
  <c r="H649" i="46"/>
  <c r="H672" i="47" s="1"/>
  <c r="H696" i="48" s="1"/>
  <c r="H697" i="49" s="1"/>
  <c r="H708" i="50" s="1"/>
  <c r="H648" i="46"/>
  <c r="H671" i="47" s="1"/>
  <c r="H695" i="48" s="1"/>
  <c r="H893" i="49" s="1"/>
  <c r="H910" i="50" s="1"/>
  <c r="H647" i="46"/>
  <c r="H670" i="47" s="1"/>
  <c r="H694" i="48" s="1"/>
  <c r="H696" i="49" s="1"/>
  <c r="H707" i="50" s="1"/>
  <c r="H646" i="46"/>
  <c r="H669" i="47" s="1"/>
  <c r="H693" i="48" s="1"/>
  <c r="H695" i="49" s="1"/>
  <c r="H706" i="50" s="1"/>
  <c r="H645" i="46"/>
  <c r="H668" i="47" s="1"/>
  <c r="H692" i="48" s="1"/>
  <c r="H694" i="49" s="1"/>
  <c r="H705" i="50" s="1"/>
  <c r="H644" i="46"/>
  <c r="H666" i="47" s="1"/>
  <c r="H690" i="48" s="1"/>
  <c r="H692" i="49" s="1"/>
  <c r="H909" i="50" s="1"/>
  <c r="H643" i="46"/>
  <c r="H665" i="47" s="1"/>
  <c r="H689" i="48" s="1"/>
  <c r="H691" i="49" s="1"/>
  <c r="H703" i="50" s="1"/>
  <c r="H642" i="46"/>
  <c r="H664" i="47" s="1"/>
  <c r="H688" i="48" s="1"/>
  <c r="H690" i="49" s="1"/>
  <c r="H702" i="50" s="1"/>
  <c r="H641" i="46"/>
  <c r="H663" i="47" s="1"/>
  <c r="H687" i="48" s="1"/>
  <c r="H689" i="49" s="1"/>
  <c r="H701" i="50" s="1"/>
  <c r="H640" i="46"/>
  <c r="H662" i="47" s="1"/>
  <c r="H686" i="48" s="1"/>
  <c r="H688" i="49" s="1"/>
  <c r="H699" i="50" s="1"/>
  <c r="H639" i="46"/>
  <c r="H661" i="47" s="1"/>
  <c r="H685" i="48" s="1"/>
  <c r="H687" i="49" s="1"/>
  <c r="H698" i="50" s="1"/>
  <c r="H638" i="46"/>
  <c r="H660" i="47" s="1"/>
  <c r="H683" i="48" s="1"/>
  <c r="H685" i="49" s="1"/>
  <c r="H696" i="50" s="1"/>
  <c r="H637" i="46"/>
  <c r="H659" i="47" s="1"/>
  <c r="H682" i="48" s="1"/>
  <c r="H683" i="49" s="1"/>
  <c r="H694" i="50" s="1"/>
  <c r="H636" i="46"/>
  <c r="H658" i="47" s="1"/>
  <c r="H681" i="48" s="1"/>
  <c r="H682" i="49" s="1"/>
  <c r="H635" i="46"/>
  <c r="H657" i="47" s="1"/>
  <c r="H680" i="48" s="1"/>
  <c r="H681" i="49" s="1"/>
  <c r="H693" i="50" s="1"/>
  <c r="H634" i="46"/>
  <c r="H656" i="47" s="1"/>
  <c r="H679" i="48" s="1"/>
  <c r="H680" i="49" s="1"/>
  <c r="H692" i="50" s="1"/>
  <c r="H633" i="46"/>
  <c r="H655" i="47" s="1"/>
  <c r="H678" i="48" s="1"/>
  <c r="H679" i="49" s="1"/>
  <c r="H691" i="50" s="1"/>
  <c r="H632" i="46"/>
  <c r="H654" i="47" s="1"/>
  <c r="H677" i="48" s="1"/>
  <c r="H678" i="49" s="1"/>
  <c r="H690" i="50" s="1"/>
  <c r="H631" i="46"/>
  <c r="H653" i="47" s="1"/>
  <c r="H675" i="48" s="1"/>
  <c r="H676" i="49" s="1"/>
  <c r="H688" i="50" s="1"/>
  <c r="H630" i="46"/>
  <c r="H652" i="47" s="1"/>
  <c r="H674" i="48" s="1"/>
  <c r="H675" i="49" s="1"/>
  <c r="H687" i="50" s="1"/>
  <c r="H629" i="46"/>
  <c r="H650" i="47" s="1"/>
  <c r="H672" i="48" s="1"/>
  <c r="H674" i="49" s="1"/>
  <c r="H686" i="50" s="1"/>
  <c r="H628" i="46"/>
  <c r="H627" i="46"/>
  <c r="H649" i="47" s="1"/>
  <c r="H671" i="48" s="1"/>
  <c r="H673" i="49" s="1"/>
  <c r="H685" i="50" s="1"/>
  <c r="H626" i="46"/>
  <c r="H648" i="47" s="1"/>
  <c r="H670" i="48" s="1"/>
  <c r="H672" i="49" s="1"/>
  <c r="H684" i="50" s="1"/>
  <c r="H624" i="46"/>
  <c r="H646" i="47" s="1"/>
  <c r="H667" i="48" s="1"/>
  <c r="H670" i="49" s="1"/>
  <c r="H681" i="50" s="1"/>
  <c r="H623" i="46"/>
  <c r="H645" i="47" s="1"/>
  <c r="H622" i="46"/>
  <c r="H644" i="47" s="1"/>
  <c r="H666" i="48" s="1"/>
  <c r="H669" i="49" s="1"/>
  <c r="H680" i="50" s="1"/>
  <c r="H621" i="46"/>
  <c r="H642" i="47" s="1"/>
  <c r="H664" i="48" s="1"/>
  <c r="H668" i="49" s="1"/>
  <c r="H679" i="50" s="1"/>
  <c r="H620" i="46"/>
  <c r="H641" i="47" s="1"/>
  <c r="H663" i="48" s="1"/>
  <c r="H667" i="49" s="1"/>
  <c r="H678" i="50" s="1"/>
  <c r="H619" i="46"/>
  <c r="H640" i="47" s="1"/>
  <c r="H662" i="48" s="1"/>
  <c r="H664" i="49" s="1"/>
  <c r="H674" i="50" s="1"/>
  <c r="H618" i="46"/>
  <c r="H639" i="47" s="1"/>
  <c r="H661" i="48" s="1"/>
  <c r="H663" i="49" s="1"/>
  <c r="H673" i="50" s="1"/>
  <c r="H617" i="46"/>
  <c r="H638" i="47" s="1"/>
  <c r="H660" i="48" s="1"/>
  <c r="H662" i="49" s="1"/>
  <c r="H672" i="50" s="1"/>
  <c r="H616" i="46"/>
  <c r="H637" i="47" s="1"/>
  <c r="H659" i="48" s="1"/>
  <c r="H661" i="49" s="1"/>
  <c r="H670" i="50" s="1"/>
  <c r="H615" i="46"/>
  <c r="H636" i="47" s="1"/>
  <c r="H658" i="48" s="1"/>
  <c r="H660" i="49" s="1"/>
  <c r="H669" i="50" s="1"/>
  <c r="H612" i="46"/>
  <c r="H634" i="47" s="1"/>
  <c r="H655" i="48" s="1"/>
  <c r="H657" i="49" s="1"/>
  <c r="H667" i="50" s="1"/>
  <c r="H611" i="46"/>
  <c r="H633" i="47" s="1"/>
  <c r="H654" i="48" s="1"/>
  <c r="H656" i="49" s="1"/>
  <c r="H666" i="50" s="1"/>
  <c r="H610" i="46"/>
  <c r="H632" i="47" s="1"/>
  <c r="H653" i="48" s="1"/>
  <c r="H655" i="49" s="1"/>
  <c r="H665" i="50" s="1"/>
  <c r="H609" i="46"/>
  <c r="H630" i="47" s="1"/>
  <c r="H651" i="48" s="1"/>
  <c r="H653" i="49" s="1"/>
  <c r="H663" i="50" s="1"/>
  <c r="H608" i="46"/>
  <c r="H629" i="47" s="1"/>
  <c r="H650" i="48" s="1"/>
  <c r="H652" i="49" s="1"/>
  <c r="H662" i="50" s="1"/>
  <c r="H607" i="46"/>
  <c r="H628" i="47" s="1"/>
  <c r="H649" i="48" s="1"/>
  <c r="H651" i="49" s="1"/>
  <c r="H661" i="50" s="1"/>
  <c r="H606" i="46"/>
  <c r="H627" i="47" s="1"/>
  <c r="H648" i="48" s="1"/>
  <c r="H650" i="49" s="1"/>
  <c r="H660" i="50" s="1"/>
  <c r="H605" i="46"/>
  <c r="H626" i="47" s="1"/>
  <c r="H647" i="48" s="1"/>
  <c r="H649" i="49" s="1"/>
  <c r="H659" i="50" s="1"/>
  <c r="H604" i="46"/>
  <c r="H625" i="47" s="1"/>
  <c r="H646" i="48" s="1"/>
  <c r="H648" i="49" s="1"/>
  <c r="H658" i="50" s="1"/>
  <c r="H603" i="46"/>
  <c r="H624" i="47" s="1"/>
  <c r="H645" i="48" s="1"/>
  <c r="H647" i="49" s="1"/>
  <c r="H657" i="50" s="1"/>
  <c r="H602" i="46"/>
  <c r="H622" i="47" s="1"/>
  <c r="H643" i="48" s="1"/>
  <c r="H645" i="49" s="1"/>
  <c r="H654" i="50" s="1"/>
  <c r="H601" i="46"/>
  <c r="H621" i="47" s="1"/>
  <c r="H642" i="48" s="1"/>
  <c r="H644" i="49" s="1"/>
  <c r="H653" i="50" s="1"/>
  <c r="H599" i="46"/>
  <c r="H619" i="47" s="1"/>
  <c r="H640" i="48" s="1"/>
  <c r="H643" i="49" s="1"/>
  <c r="H652" i="50" s="1"/>
  <c r="H598" i="46"/>
  <c r="H618" i="47" s="1"/>
  <c r="H639" i="48" s="1"/>
  <c r="H641" i="49" s="1"/>
  <c r="H650" i="50" s="1"/>
  <c r="H597" i="46"/>
  <c r="H617" i="47" s="1"/>
  <c r="H638" i="48" s="1"/>
  <c r="H640" i="49" s="1"/>
  <c r="H649" i="50" s="1"/>
  <c r="H596" i="46"/>
  <c r="H616" i="47" s="1"/>
  <c r="H637" i="48" s="1"/>
  <c r="H639" i="49" s="1"/>
  <c r="H648" i="50" s="1"/>
  <c r="H595" i="46"/>
  <c r="H615" i="47" s="1"/>
  <c r="H636" i="48" s="1"/>
  <c r="H638" i="49" s="1"/>
  <c r="H647" i="50" s="1"/>
  <c r="H594" i="46"/>
  <c r="H614" i="47" s="1"/>
  <c r="H635" i="48" s="1"/>
  <c r="H637" i="49" s="1"/>
  <c r="H646" i="50" s="1"/>
  <c r="H593" i="46"/>
  <c r="H613" i="47" s="1"/>
  <c r="H633" i="48" s="1"/>
  <c r="H635" i="49" s="1"/>
  <c r="H644" i="50" s="1"/>
  <c r="H592" i="46"/>
  <c r="H612" i="47" s="1"/>
  <c r="H632" i="48" s="1"/>
  <c r="H634" i="49" s="1"/>
  <c r="H643" i="50" s="1"/>
  <c r="H590" i="46"/>
  <c r="H610" i="47" s="1"/>
  <c r="H629" i="48" s="1"/>
  <c r="H631" i="49" s="1"/>
  <c r="H640" i="50" s="1"/>
  <c r="H589" i="46"/>
  <c r="H609" i="47" s="1"/>
  <c r="H628" i="48" s="1"/>
  <c r="H630" i="49" s="1"/>
  <c r="H638" i="50" s="1"/>
  <c r="H588" i="46"/>
  <c r="H608" i="47" s="1"/>
  <c r="H627" i="48" s="1"/>
  <c r="H629" i="49" s="1"/>
  <c r="H637" i="50" s="1"/>
  <c r="H587" i="46"/>
  <c r="H606" i="47" s="1"/>
  <c r="H625" i="48" s="1"/>
  <c r="H627" i="49" s="1"/>
  <c r="H949" i="50" s="1"/>
  <c r="H586" i="46"/>
  <c r="H604" i="47" s="1"/>
  <c r="H623" i="48" s="1"/>
  <c r="H626" i="49" s="1"/>
  <c r="H635" i="50" s="1"/>
  <c r="H585" i="46"/>
  <c r="H603" i="47" s="1"/>
  <c r="H622" i="48" s="1"/>
  <c r="H625" i="49" s="1"/>
  <c r="H634" i="50" s="1"/>
  <c r="H584" i="46"/>
  <c r="H602" i="47" s="1"/>
  <c r="H621" i="48" s="1"/>
  <c r="H624" i="49" s="1"/>
  <c r="H633" i="50" s="1"/>
  <c r="H581" i="46"/>
  <c r="H598" i="47" s="1"/>
  <c r="H617" i="48" s="1"/>
  <c r="H620" i="49" s="1"/>
  <c r="H628" i="50" s="1"/>
  <c r="H580" i="46"/>
  <c r="H597" i="47" s="1"/>
  <c r="H616" i="48" s="1"/>
  <c r="H619" i="49" s="1"/>
  <c r="H627" i="50" s="1"/>
  <c r="H579" i="46"/>
  <c r="H596" i="47" s="1"/>
  <c r="H614" i="48" s="1"/>
  <c r="H617" i="49" s="1"/>
  <c r="H625" i="50" s="1"/>
  <c r="H578" i="46"/>
  <c r="H595" i="47" s="1"/>
  <c r="H613" i="48" s="1"/>
  <c r="H616" i="49" s="1"/>
  <c r="H624" i="50" s="1"/>
  <c r="H577" i="46"/>
  <c r="H594" i="47" s="1"/>
  <c r="H612" i="48" s="1"/>
  <c r="H615" i="49" s="1"/>
  <c r="H623" i="50" s="1"/>
  <c r="H576" i="46"/>
  <c r="H592" i="47" s="1"/>
  <c r="H611" i="48" s="1"/>
  <c r="H614" i="49" s="1"/>
  <c r="H622" i="50" s="1"/>
  <c r="H574" i="46"/>
  <c r="H590" i="47" s="1"/>
  <c r="H609" i="48" s="1"/>
  <c r="H612" i="49" s="1"/>
  <c r="H620" i="50" s="1"/>
  <c r="H572" i="46"/>
  <c r="H588" i="47" s="1"/>
  <c r="H606" i="48" s="1"/>
  <c r="H571" i="46"/>
  <c r="H587" i="47" s="1"/>
  <c r="H605" i="48" s="1"/>
  <c r="H609" i="49" s="1"/>
  <c r="H616" i="50" s="1"/>
  <c r="H570" i="46"/>
  <c r="H586" i="47" s="1"/>
  <c r="H604" i="48" s="1"/>
  <c r="H608" i="49" s="1"/>
  <c r="H615" i="50" s="1"/>
  <c r="H569" i="46"/>
  <c r="H585" i="47" s="1"/>
  <c r="H603" i="48" s="1"/>
  <c r="H607" i="49" s="1"/>
  <c r="H614" i="50" s="1"/>
  <c r="H567" i="46"/>
  <c r="H582" i="47" s="1"/>
  <c r="H601" i="48" s="1"/>
  <c r="H603" i="49" s="1"/>
  <c r="H610" i="50" s="1"/>
  <c r="H565" i="46"/>
  <c r="H580" i="47" s="1"/>
  <c r="H599" i="48" s="1"/>
  <c r="H601" i="49" s="1"/>
  <c r="H608" i="50" s="1"/>
  <c r="H564" i="46"/>
  <c r="H579" i="47" s="1"/>
  <c r="H598" i="48" s="1"/>
  <c r="H600" i="49" s="1"/>
  <c r="H607" i="50" s="1"/>
  <c r="H562" i="46"/>
  <c r="H577" i="47" s="1"/>
  <c r="H596" i="48" s="1"/>
  <c r="H598" i="49" s="1"/>
  <c r="H604" i="50" s="1"/>
  <c r="H561" i="46"/>
  <c r="H576" i="47" s="1"/>
  <c r="H595" i="48" s="1"/>
  <c r="H597" i="49" s="1"/>
  <c r="H560" i="46"/>
  <c r="H574" i="47" s="1"/>
  <c r="H593" i="48" s="1"/>
  <c r="H595" i="49" s="1"/>
  <c r="H601" i="50" s="1"/>
  <c r="H558" i="46"/>
  <c r="H572" i="47" s="1"/>
  <c r="H591" i="48" s="1"/>
  <c r="H593" i="49" s="1"/>
  <c r="H599" i="50" s="1"/>
  <c r="H556" i="46"/>
  <c r="H569" i="47" s="1"/>
  <c r="H589" i="48" s="1"/>
  <c r="H589" i="49" s="1"/>
  <c r="H594" i="50" s="1"/>
  <c r="H555" i="46"/>
  <c r="H568" i="47" s="1"/>
  <c r="H587" i="48" s="1"/>
  <c r="H587" i="49" s="1"/>
  <c r="H592" i="50" s="1"/>
  <c r="H554" i="46"/>
  <c r="H567" i="47" s="1"/>
  <c r="H586" i="48" s="1"/>
  <c r="H553" i="46"/>
  <c r="H566" i="47" s="1"/>
  <c r="H585" i="48" s="1"/>
  <c r="H586" i="49" s="1"/>
  <c r="H591" i="50" s="1"/>
  <c r="H552" i="46"/>
  <c r="H565" i="47" s="1"/>
  <c r="H584" i="48" s="1"/>
  <c r="H585" i="49" s="1"/>
  <c r="H590" i="50" s="1"/>
  <c r="H551" i="46"/>
  <c r="H564" i="47" s="1"/>
  <c r="H582" i="48" s="1"/>
  <c r="H584" i="49" s="1"/>
  <c r="H589" i="50" s="1"/>
  <c r="H550" i="46"/>
  <c r="H563" i="47" s="1"/>
  <c r="H581" i="48" s="1"/>
  <c r="H583" i="49" s="1"/>
  <c r="H588" i="50" s="1"/>
  <c r="H549" i="46"/>
  <c r="H562" i="47" s="1"/>
  <c r="H580" i="48" s="1"/>
  <c r="H582" i="49" s="1"/>
  <c r="H587" i="50" s="1"/>
  <c r="H548" i="46"/>
  <c r="H561" i="47" s="1"/>
  <c r="H579" i="48" s="1"/>
  <c r="H581" i="49" s="1"/>
  <c r="H586" i="50" s="1"/>
  <c r="H547" i="46"/>
  <c r="H560" i="47" s="1"/>
  <c r="H578" i="48" s="1"/>
  <c r="H580" i="49" s="1"/>
  <c r="H585" i="50" s="1"/>
  <c r="H546" i="46"/>
  <c r="H559" i="47" s="1"/>
  <c r="H577" i="48" s="1"/>
  <c r="H579" i="49" s="1"/>
  <c r="H584" i="50" s="1"/>
  <c r="H545" i="46"/>
  <c r="H558" i="47" s="1"/>
  <c r="H575" i="48" s="1"/>
  <c r="H577" i="49" s="1"/>
  <c r="H582" i="50" s="1"/>
  <c r="H544" i="46"/>
  <c r="H557" i="47" s="1"/>
  <c r="H574" i="48" s="1"/>
  <c r="H576" i="49" s="1"/>
  <c r="H581" i="50" s="1"/>
  <c r="H543" i="46"/>
  <c r="H556" i="47" s="1"/>
  <c r="H573" i="48" s="1"/>
  <c r="H575" i="49" s="1"/>
  <c r="H580" i="50" s="1"/>
  <c r="H542" i="46"/>
  <c r="H555" i="47" s="1"/>
  <c r="H572" i="48" s="1"/>
  <c r="H574" i="49" s="1"/>
  <c r="H579" i="50" s="1"/>
  <c r="H541" i="46"/>
  <c r="H554" i="47" s="1"/>
  <c r="H571" i="48" s="1"/>
  <c r="H573" i="49" s="1"/>
  <c r="H578" i="50" s="1"/>
  <c r="H540" i="46"/>
  <c r="H553" i="47" s="1"/>
  <c r="H570" i="48" s="1"/>
  <c r="H572" i="49" s="1"/>
  <c r="H577" i="50" s="1"/>
  <c r="H539" i="46"/>
  <c r="H552" i="47" s="1"/>
  <c r="H569" i="48" s="1"/>
  <c r="H571" i="49" s="1"/>
  <c r="H576" i="50" s="1"/>
  <c r="H538" i="46"/>
  <c r="H551" i="47" s="1"/>
  <c r="H568" i="48" s="1"/>
  <c r="H570" i="49" s="1"/>
  <c r="H575" i="50" s="1"/>
  <c r="H537" i="46"/>
  <c r="H550" i="47" s="1"/>
  <c r="H567" i="48" s="1"/>
  <c r="H569" i="49" s="1"/>
  <c r="H574" i="50" s="1"/>
  <c r="H534" i="46"/>
  <c r="H547" i="47" s="1"/>
  <c r="H564" i="48" s="1"/>
  <c r="H566" i="49" s="1"/>
  <c r="H571" i="50" s="1"/>
  <c r="H533" i="46"/>
  <c r="H545" i="47" s="1"/>
  <c r="H563" i="48" s="1"/>
  <c r="H564" i="49" s="1"/>
  <c r="H569" i="50" s="1"/>
  <c r="H532" i="46"/>
  <c r="H544" i="47" s="1"/>
  <c r="H562" i="48" s="1"/>
  <c r="H563" i="49" s="1"/>
  <c r="H568" i="50" s="1"/>
  <c r="H531" i="46"/>
  <c r="H543" i="47" s="1"/>
  <c r="H561" i="48" s="1"/>
  <c r="H562" i="49" s="1"/>
  <c r="H567" i="50" s="1"/>
  <c r="H530" i="46"/>
  <c r="H542" i="47" s="1"/>
  <c r="H560" i="48" s="1"/>
  <c r="H561" i="49" s="1"/>
  <c r="H566" i="50" s="1"/>
  <c r="H529" i="46"/>
  <c r="H541" i="47" s="1"/>
  <c r="H559" i="48" s="1"/>
  <c r="H560" i="49" s="1"/>
  <c r="H565" i="50" s="1"/>
  <c r="H528" i="46"/>
  <c r="H540" i="47" s="1"/>
  <c r="H558" i="48" s="1"/>
  <c r="H559" i="49" s="1"/>
  <c r="H564" i="50" s="1"/>
  <c r="H527" i="46"/>
  <c r="H539" i="47" s="1"/>
  <c r="H556" i="48" s="1"/>
  <c r="H557" i="49" s="1"/>
  <c r="H562" i="50" s="1"/>
  <c r="H525" i="46"/>
  <c r="H537" i="47" s="1"/>
  <c r="H554" i="48" s="1"/>
  <c r="H555" i="49" s="1"/>
  <c r="H559" i="50" s="1"/>
  <c r="H524" i="46"/>
  <c r="H536" i="47" s="1"/>
  <c r="H523" i="46"/>
  <c r="H535" i="47" s="1"/>
  <c r="H552" i="48" s="1"/>
  <c r="H553" i="49" s="1"/>
  <c r="H556" i="50" s="1"/>
  <c r="H522" i="46"/>
  <c r="H534" i="47" s="1"/>
  <c r="H551" i="48" s="1"/>
  <c r="H552" i="49" s="1"/>
  <c r="H555" i="50" s="1"/>
  <c r="H520" i="46"/>
  <c r="H532" i="47" s="1"/>
  <c r="H519" i="46"/>
  <c r="H531" i="47" s="1"/>
  <c r="H547" i="48" s="1"/>
  <c r="H549" i="49" s="1"/>
  <c r="H552" i="50" s="1"/>
  <c r="H518" i="46"/>
  <c r="H530" i="47" s="1"/>
  <c r="H546" i="48" s="1"/>
  <c r="H548" i="49" s="1"/>
  <c r="H551" i="50" s="1"/>
  <c r="H516" i="46"/>
  <c r="H528" i="47" s="1"/>
  <c r="H544" i="48" s="1"/>
  <c r="H546" i="49" s="1"/>
  <c r="H549" i="50" s="1"/>
  <c r="H515" i="46"/>
  <c r="H527" i="47" s="1"/>
  <c r="H543" i="48" s="1"/>
  <c r="H545" i="49" s="1"/>
  <c r="H548" i="50" s="1"/>
  <c r="H513" i="46"/>
  <c r="H525" i="47" s="1"/>
  <c r="H541" i="48" s="1"/>
  <c r="H543" i="49" s="1"/>
  <c r="H545" i="50" s="1"/>
  <c r="H511" i="46"/>
  <c r="H523" i="47" s="1"/>
  <c r="H539" i="48" s="1"/>
  <c r="H541" i="49" s="1"/>
  <c r="H543" i="50" s="1"/>
  <c r="H509" i="46"/>
  <c r="H521" i="47" s="1"/>
  <c r="H537" i="48" s="1"/>
  <c r="H539" i="49" s="1"/>
  <c r="H540" i="50" s="1"/>
  <c r="H508" i="46"/>
  <c r="H520" i="47" s="1"/>
  <c r="H535" i="48" s="1"/>
  <c r="H537" i="49" s="1"/>
  <c r="H538" i="50" s="1"/>
  <c r="H507" i="46"/>
  <c r="H519" i="47" s="1"/>
  <c r="H534" i="48" s="1"/>
  <c r="H536" i="49" s="1"/>
  <c r="H537" i="50" s="1"/>
  <c r="H505" i="46"/>
  <c r="H517" i="47" s="1"/>
  <c r="H532" i="48" s="1"/>
  <c r="H534" i="49" s="1"/>
  <c r="H535" i="50" s="1"/>
  <c r="H504" i="46"/>
  <c r="H516" i="47" s="1"/>
  <c r="H531" i="48" s="1"/>
  <c r="H533" i="49" s="1"/>
  <c r="H534" i="50" s="1"/>
  <c r="H502" i="46"/>
  <c r="H514" i="47" s="1"/>
  <c r="H529" i="48" s="1"/>
  <c r="H530" i="49" s="1"/>
  <c r="H531" i="50" s="1"/>
  <c r="H501" i="46"/>
  <c r="H513" i="47" s="1"/>
  <c r="H528" i="48" s="1"/>
  <c r="H529" i="49" s="1"/>
  <c r="H530" i="50" s="1"/>
  <c r="H500" i="46"/>
  <c r="H512" i="47" s="1"/>
  <c r="H525" i="48" s="1"/>
  <c r="H524" i="49" s="1"/>
  <c r="H525" i="50" s="1"/>
  <c r="H498" i="46"/>
  <c r="H497" i="46"/>
  <c r="H509" i="47" s="1"/>
  <c r="H521" i="48" s="1"/>
  <c r="H519" i="49" s="1"/>
  <c r="H520" i="50" s="1"/>
  <c r="H496" i="46"/>
  <c r="H508" i="47" s="1"/>
  <c r="H520" i="48" s="1"/>
  <c r="H518" i="49" s="1"/>
  <c r="H519" i="50" s="1"/>
  <c r="H495" i="46"/>
  <c r="H507" i="47" s="1"/>
  <c r="H519" i="48" s="1"/>
  <c r="H517" i="49" s="1"/>
  <c r="H518" i="50" s="1"/>
  <c r="H494" i="46"/>
  <c r="H506" i="47" s="1"/>
  <c r="H518" i="48" s="1"/>
  <c r="H516" i="49" s="1"/>
  <c r="H517" i="50" s="1"/>
  <c r="H492" i="46"/>
  <c r="H504" i="47" s="1"/>
  <c r="H516" i="48" s="1"/>
  <c r="H515" i="49" s="1"/>
  <c r="H516" i="50" s="1"/>
  <c r="H491" i="46"/>
  <c r="H503" i="47" s="1"/>
  <c r="H515" i="48" s="1"/>
  <c r="H514" i="49" s="1"/>
  <c r="H515" i="50" s="1"/>
  <c r="H490" i="46"/>
  <c r="H502" i="47" s="1"/>
  <c r="H514" i="48" s="1"/>
  <c r="H513" i="49" s="1"/>
  <c r="H514" i="50" s="1"/>
  <c r="H489" i="46"/>
  <c r="H501" i="47" s="1"/>
  <c r="H513" i="48" s="1"/>
  <c r="H512" i="49" s="1"/>
  <c r="H513" i="50" s="1"/>
  <c r="H488" i="46"/>
  <c r="H500" i="47" s="1"/>
  <c r="H512" i="48" s="1"/>
  <c r="H511" i="49" s="1"/>
  <c r="H512" i="50" s="1"/>
  <c r="H484" i="46"/>
  <c r="H497" i="47" s="1"/>
  <c r="H508" i="48" s="1"/>
  <c r="H508" i="49" s="1"/>
  <c r="H510" i="50" s="1"/>
  <c r="H483" i="46"/>
  <c r="H496" i="47" s="1"/>
  <c r="H507" i="48" s="1"/>
  <c r="H507" i="49" s="1"/>
  <c r="H509" i="50" s="1"/>
  <c r="H482" i="46"/>
  <c r="H495" i="47" s="1"/>
  <c r="H505" i="48" s="1"/>
  <c r="H505" i="49" s="1"/>
  <c r="H507" i="50" s="1"/>
  <c r="H481" i="46"/>
  <c r="H493" i="47" s="1"/>
  <c r="H501" i="48" s="1"/>
  <c r="H501" i="49" s="1"/>
  <c r="H503" i="50" s="1"/>
  <c r="H480" i="46"/>
  <c r="H492" i="47" s="1"/>
  <c r="H499" i="48" s="1"/>
  <c r="H499" i="49" s="1"/>
  <c r="H501" i="50" s="1"/>
  <c r="H479" i="46"/>
  <c r="H491" i="47" s="1"/>
  <c r="H498" i="48" s="1"/>
  <c r="H498" i="49" s="1"/>
  <c r="H500" i="50" s="1"/>
  <c r="H478" i="46"/>
  <c r="H490" i="47" s="1"/>
  <c r="H497" i="48" s="1"/>
  <c r="H497" i="49" s="1"/>
  <c r="H499" i="50" s="1"/>
  <c r="H477" i="46"/>
  <c r="H489" i="47" s="1"/>
  <c r="H496" i="48" s="1"/>
  <c r="H496" i="49" s="1"/>
  <c r="H497" i="50" s="1"/>
  <c r="H476" i="46"/>
  <c r="H488" i="47" s="1"/>
  <c r="H495" i="48" s="1"/>
  <c r="H495" i="49" s="1"/>
  <c r="H496" i="50" s="1"/>
  <c r="H475" i="46"/>
  <c r="H487" i="47" s="1"/>
  <c r="H494" i="48" s="1"/>
  <c r="H494" i="49" s="1"/>
  <c r="H495" i="50" s="1"/>
  <c r="H473" i="46"/>
  <c r="H485" i="47" s="1"/>
  <c r="H492" i="48" s="1"/>
  <c r="H492" i="49" s="1"/>
  <c r="H493" i="50" s="1"/>
  <c r="H472" i="46"/>
  <c r="H484" i="47" s="1"/>
  <c r="H470" i="46"/>
  <c r="H482" i="47" s="1"/>
  <c r="H489" i="48" s="1"/>
  <c r="H488" i="49" s="1"/>
  <c r="H489" i="50" s="1"/>
  <c r="H469" i="46"/>
  <c r="H481" i="47" s="1"/>
  <c r="H488" i="48" s="1"/>
  <c r="H487" i="49" s="1"/>
  <c r="H488" i="50" s="1"/>
  <c r="H467" i="46"/>
  <c r="H479" i="47" s="1"/>
  <c r="H486" i="48" s="1"/>
  <c r="H485" i="49" s="1"/>
  <c r="H486" i="50" s="1"/>
  <c r="H466" i="46"/>
  <c r="H478" i="47" s="1"/>
  <c r="H485" i="48" s="1"/>
  <c r="H484" i="49" s="1"/>
  <c r="H485" i="50" s="1"/>
  <c r="H465" i="46"/>
  <c r="H477" i="47" s="1"/>
  <c r="H484" i="48" s="1"/>
  <c r="H483" i="49" s="1"/>
  <c r="H484" i="50" s="1"/>
  <c r="H464" i="46"/>
  <c r="H475" i="47" s="1"/>
  <c r="H482" i="48" s="1"/>
  <c r="H481" i="49" s="1"/>
  <c r="H483" i="50" s="1"/>
  <c r="H462" i="46"/>
  <c r="H473" i="47" s="1"/>
  <c r="H480" i="48" s="1"/>
  <c r="H479" i="49" s="1"/>
  <c r="H481" i="50" s="1"/>
  <c r="H461" i="46"/>
  <c r="H472" i="47" s="1"/>
  <c r="H479" i="48" s="1"/>
  <c r="H478" i="49" s="1"/>
  <c r="H480" i="50" s="1"/>
  <c r="H460" i="46"/>
  <c r="H471" i="47" s="1"/>
  <c r="H478" i="48" s="1"/>
  <c r="H477" i="49" s="1"/>
  <c r="H479" i="50" s="1"/>
  <c r="H458" i="46"/>
  <c r="H469" i="47" s="1"/>
  <c r="H476" i="48" s="1"/>
  <c r="H475" i="49" s="1"/>
  <c r="H476" i="50" s="1"/>
  <c r="H457" i="46"/>
  <c r="H468" i="47" s="1"/>
  <c r="H475" i="48" s="1"/>
  <c r="H474" i="49" s="1"/>
  <c r="H475" i="50" s="1"/>
  <c r="H456" i="46"/>
  <c r="H467" i="47" s="1"/>
  <c r="H473" i="48" s="1"/>
  <c r="H472" i="49" s="1"/>
  <c r="H473" i="50" s="1"/>
  <c r="H455" i="46"/>
  <c r="H466" i="47" s="1"/>
  <c r="H472" i="48" s="1"/>
  <c r="H471" i="49" s="1"/>
  <c r="H472" i="50" s="1"/>
  <c r="H454" i="46"/>
  <c r="H465" i="47" s="1"/>
  <c r="H471" i="48" s="1"/>
  <c r="H468" i="49" s="1"/>
  <c r="H469" i="50" s="1"/>
  <c r="H453" i="46"/>
  <c r="H464" i="47" s="1"/>
  <c r="H470" i="48" s="1"/>
  <c r="H467" i="49" s="1"/>
  <c r="H468" i="50" s="1"/>
  <c r="H452" i="46"/>
  <c r="H462" i="47" s="1"/>
  <c r="H468" i="48" s="1"/>
  <c r="H465" i="49" s="1"/>
  <c r="H467" i="50" s="1"/>
  <c r="H450" i="46"/>
  <c r="H460" i="47" s="1"/>
  <c r="H465" i="48" s="1"/>
  <c r="H462" i="49" s="1"/>
  <c r="H465" i="50" s="1"/>
  <c r="H449" i="46"/>
  <c r="H459" i="47" s="1"/>
  <c r="H464" i="48" s="1"/>
  <c r="H461" i="49" s="1"/>
  <c r="H464" i="50" s="1"/>
  <c r="H448" i="46"/>
  <c r="H458" i="47" s="1"/>
  <c r="H463" i="48" s="1"/>
  <c r="H460" i="49" s="1"/>
  <c r="H462" i="50" s="1"/>
  <c r="H446" i="46"/>
  <c r="H456" i="47" s="1"/>
  <c r="H445" i="46"/>
  <c r="H455" i="47" s="1"/>
  <c r="H461" i="48" s="1"/>
  <c r="H456" i="49" s="1"/>
  <c r="H458" i="50" s="1"/>
  <c r="H444" i="46"/>
  <c r="H454" i="47" s="1"/>
  <c r="H460" i="48" s="1"/>
  <c r="H455" i="49" s="1"/>
  <c r="H457" i="50" s="1"/>
  <c r="H443" i="46"/>
  <c r="H453" i="47" s="1"/>
  <c r="H458" i="48" s="1"/>
  <c r="H453" i="49" s="1"/>
  <c r="H455" i="50" s="1"/>
  <c r="H442" i="46"/>
  <c r="H452" i="47" s="1"/>
  <c r="H457" i="48" s="1"/>
  <c r="H452" i="49" s="1"/>
  <c r="H454" i="50" s="1"/>
  <c r="H441" i="46"/>
  <c r="H451" i="47" s="1"/>
  <c r="H456" i="48" s="1"/>
  <c r="H451" i="49" s="1"/>
  <c r="H453" i="50" s="1"/>
  <c r="H439" i="46"/>
  <c r="H449" i="47" s="1"/>
  <c r="H454" i="48" s="1"/>
  <c r="H449" i="49" s="1"/>
  <c r="H451" i="50" s="1"/>
  <c r="H438" i="46"/>
  <c r="H448" i="47" s="1"/>
  <c r="H453" i="48" s="1"/>
  <c r="H448" i="49" s="1"/>
  <c r="H450" i="50" s="1"/>
  <c r="H437" i="46"/>
  <c r="H447" i="47" s="1"/>
  <c r="H452" i="48" s="1"/>
  <c r="H447" i="49" s="1"/>
  <c r="H449" i="50" s="1"/>
  <c r="H436" i="46"/>
  <c r="H446" i="47" s="1"/>
  <c r="H451" i="48" s="1"/>
  <c r="H446" i="49" s="1"/>
  <c r="H448" i="50" s="1"/>
  <c r="H435" i="46"/>
  <c r="H445" i="47" s="1"/>
  <c r="H450" i="48" s="1"/>
  <c r="H445" i="49" s="1"/>
  <c r="H447" i="50" s="1"/>
  <c r="H434" i="46"/>
  <c r="H444" i="47" s="1"/>
  <c r="H449" i="48" s="1"/>
  <c r="H444" i="49" s="1"/>
  <c r="H446" i="50" s="1"/>
  <c r="H433" i="46"/>
  <c r="H443" i="47" s="1"/>
  <c r="H448" i="48" s="1"/>
  <c r="H443" i="49" s="1"/>
  <c r="H445" i="50" s="1"/>
  <c r="H432" i="46"/>
  <c r="H442" i="47" s="1"/>
  <c r="H446" i="48" s="1"/>
  <c r="H441" i="49" s="1"/>
  <c r="H443" i="50" s="1"/>
  <c r="H431" i="46"/>
  <c r="H441" i="47" s="1"/>
  <c r="H430" i="46"/>
  <c r="H440" i="47" s="1"/>
  <c r="H445" i="48" s="1"/>
  <c r="H439" i="49" s="1"/>
  <c r="H441" i="50" s="1"/>
  <c r="H429" i="46"/>
  <c r="H439" i="47" s="1"/>
  <c r="H444" i="48" s="1"/>
  <c r="H438" i="49" s="1"/>
  <c r="H440" i="50" s="1"/>
  <c r="H428" i="46"/>
  <c r="H438" i="47" s="1"/>
  <c r="H443" i="48" s="1"/>
  <c r="H437" i="49" s="1"/>
  <c r="H439" i="50" s="1"/>
  <c r="H427" i="46"/>
  <c r="H437" i="47" s="1"/>
  <c r="H442" i="48" s="1"/>
  <c r="H425" i="46"/>
  <c r="H435" i="47" s="1"/>
  <c r="H440" i="48" s="1"/>
  <c r="H435" i="49" s="1"/>
  <c r="H437" i="50" s="1"/>
  <c r="H424" i="46"/>
  <c r="H434" i="47" s="1"/>
  <c r="H439" i="48" s="1"/>
  <c r="H434" i="49" s="1"/>
  <c r="H436" i="50" s="1"/>
  <c r="H422" i="46"/>
  <c r="H432" i="47" s="1"/>
  <c r="H437" i="48" s="1"/>
  <c r="H432" i="49" s="1"/>
  <c r="H434" i="50" s="1"/>
  <c r="H421" i="46"/>
  <c r="H431" i="47" s="1"/>
  <c r="H436" i="48" s="1"/>
  <c r="H431" i="49" s="1"/>
  <c r="H433" i="50" s="1"/>
  <c r="H420" i="46"/>
  <c r="H430" i="47" s="1"/>
  <c r="H435" i="48" s="1"/>
  <c r="H430" i="49" s="1"/>
  <c r="H432" i="50" s="1"/>
  <c r="H419" i="46"/>
  <c r="H429" i="47" s="1"/>
  <c r="H434" i="48" s="1"/>
  <c r="H429" i="49" s="1"/>
  <c r="H431" i="50" s="1"/>
  <c r="H418" i="46"/>
  <c r="H427" i="47" s="1"/>
  <c r="H432" i="48" s="1"/>
  <c r="H427" i="49" s="1"/>
  <c r="H429" i="50" s="1"/>
  <c r="H417" i="46"/>
  <c r="H416" i="46"/>
  <c r="H426" i="47" s="1"/>
  <c r="H431" i="48" s="1"/>
  <c r="H426" i="49" s="1"/>
  <c r="H428" i="50" s="1"/>
  <c r="H415" i="46"/>
  <c r="H425" i="47" s="1"/>
  <c r="H430" i="48" s="1"/>
  <c r="H425" i="49" s="1"/>
  <c r="H427" i="50" s="1"/>
  <c r="H414" i="46"/>
  <c r="H424" i="47" s="1"/>
  <c r="H429" i="48" s="1"/>
  <c r="H424" i="49" s="1"/>
  <c r="H426" i="50" s="1"/>
  <c r="H412" i="46"/>
  <c r="H422" i="47" s="1"/>
  <c r="H427" i="48" s="1"/>
  <c r="H422" i="49" s="1"/>
  <c r="H424" i="50" s="1"/>
  <c r="H410" i="46"/>
  <c r="H419" i="47" s="1"/>
  <c r="H424" i="48" s="1"/>
  <c r="H419" i="49" s="1"/>
  <c r="H421" i="50" s="1"/>
  <c r="H409" i="46"/>
  <c r="H418" i="47" s="1"/>
  <c r="H423" i="48" s="1"/>
  <c r="H418" i="49" s="1"/>
  <c r="H420" i="50" s="1"/>
  <c r="H408" i="46"/>
  <c r="H417" i="47" s="1"/>
  <c r="H422" i="48" s="1"/>
  <c r="H417" i="49" s="1"/>
  <c r="H419" i="50" s="1"/>
  <c r="H407" i="46"/>
  <c r="H416" i="47" s="1"/>
  <c r="H421" i="48" s="1"/>
  <c r="H416" i="49" s="1"/>
  <c r="H418" i="50" s="1"/>
  <c r="H405" i="46"/>
  <c r="H414" i="47" s="1"/>
  <c r="H419" i="48" s="1"/>
  <c r="H413" i="49" s="1"/>
  <c r="H415" i="50" s="1"/>
  <c r="H403" i="46"/>
  <c r="H411" i="47" s="1"/>
  <c r="H415" i="48" s="1"/>
  <c r="H409" i="49" s="1"/>
  <c r="H411" i="50" s="1"/>
  <c r="H402" i="46"/>
  <c r="H410" i="47" s="1"/>
  <c r="H414" i="48" s="1"/>
  <c r="H408" i="49" s="1"/>
  <c r="H410" i="50" s="1"/>
  <c r="H401" i="46"/>
  <c r="H409" i="47" s="1"/>
  <c r="H411" i="48" s="1"/>
  <c r="H406" i="49" s="1"/>
  <c r="H408" i="50" s="1"/>
  <c r="H400" i="46"/>
  <c r="H408" i="47" s="1"/>
  <c r="H410" i="48" s="1"/>
  <c r="H405" i="49" s="1"/>
  <c r="H407" i="50" s="1"/>
  <c r="H398" i="46"/>
  <c r="H406" i="47" s="1"/>
  <c r="H408" i="48" s="1"/>
  <c r="H403" i="49" s="1"/>
  <c r="H405" i="50" s="1"/>
  <c r="H397" i="46"/>
  <c r="H405" i="47" s="1"/>
  <c r="H407" i="48" s="1"/>
  <c r="H402" i="49" s="1"/>
  <c r="H404" i="50" s="1"/>
  <c r="H396" i="46"/>
  <c r="H404" i="47" s="1"/>
  <c r="H406" i="48" s="1"/>
  <c r="H401" i="49" s="1"/>
  <c r="H403" i="50" s="1"/>
  <c r="H395" i="46"/>
  <c r="H403" i="47" s="1"/>
  <c r="H405" i="48" s="1"/>
  <c r="H400" i="49" s="1"/>
  <c r="H402" i="50" s="1"/>
  <c r="H394" i="46"/>
  <c r="H402" i="47" s="1"/>
  <c r="H404" i="48" s="1"/>
  <c r="H399" i="49" s="1"/>
  <c r="H401" i="50" s="1"/>
  <c r="H392" i="46"/>
  <c r="H400" i="47" s="1"/>
  <c r="H402" i="48" s="1"/>
  <c r="H398" i="49" s="1"/>
  <c r="H399" i="50" s="1"/>
  <c r="H391" i="46"/>
  <c r="H399" i="47" s="1"/>
  <c r="H401" i="48" s="1"/>
  <c r="H397" i="49" s="1"/>
  <c r="H398" i="50" s="1"/>
  <c r="H390" i="46"/>
  <c r="H398" i="47" s="1"/>
  <c r="H400" i="48" s="1"/>
  <c r="H396" i="49" s="1"/>
  <c r="H397" i="50" s="1"/>
  <c r="H388" i="46"/>
  <c r="H396" i="47" s="1"/>
  <c r="H398" i="48" s="1"/>
  <c r="H394" i="49" s="1"/>
  <c r="H395" i="50" s="1"/>
  <c r="H387" i="46"/>
  <c r="H395" i="47" s="1"/>
  <c r="H397" i="48" s="1"/>
  <c r="H393" i="49" s="1"/>
  <c r="H394" i="50" s="1"/>
  <c r="H385" i="46"/>
  <c r="H392" i="47" s="1"/>
  <c r="H394" i="48" s="1"/>
  <c r="H391" i="49" s="1"/>
  <c r="H390" i="50" s="1"/>
  <c r="H384" i="46"/>
  <c r="H391" i="47" s="1"/>
  <c r="H393" i="48" s="1"/>
  <c r="H390" i="49" s="1"/>
  <c r="H389" i="50" s="1"/>
  <c r="H383" i="46"/>
  <c r="H390" i="47" s="1"/>
  <c r="H392" i="48" s="1"/>
  <c r="H389" i="49" s="1"/>
  <c r="H388" i="50" s="1"/>
  <c r="H382" i="46"/>
  <c r="H389" i="47" s="1"/>
  <c r="H391" i="48" s="1"/>
  <c r="H388" i="49" s="1"/>
  <c r="H387" i="50" s="1"/>
  <c r="H381" i="46"/>
  <c r="H388" i="47" s="1"/>
  <c r="H390" i="48" s="1"/>
  <c r="H387" i="49" s="1"/>
  <c r="H386" i="50" s="1"/>
  <c r="H380" i="46"/>
  <c r="H387" i="47" s="1"/>
  <c r="H389" i="48" s="1"/>
  <c r="H386" i="49" s="1"/>
  <c r="H385" i="50" s="1"/>
  <c r="H379" i="46"/>
  <c r="H386" i="47" s="1"/>
  <c r="H388" i="48" s="1"/>
  <c r="H385" i="49" s="1"/>
  <c r="H384" i="50" s="1"/>
  <c r="H378" i="46"/>
  <c r="H385" i="47" s="1"/>
  <c r="H387" i="48" s="1"/>
  <c r="H384" i="49" s="1"/>
  <c r="H383" i="50" s="1"/>
  <c r="H376" i="46"/>
  <c r="H381" i="47" s="1"/>
  <c r="H383" i="48" s="1"/>
  <c r="H380" i="49" s="1"/>
  <c r="H379" i="50" s="1"/>
  <c r="H375" i="46"/>
  <c r="H379" i="47" s="1"/>
  <c r="H381" i="48" s="1"/>
  <c r="H378" i="49" s="1"/>
  <c r="H377" i="50" s="1"/>
  <c r="H374" i="46"/>
  <c r="H378" i="47" s="1"/>
  <c r="H380" i="48" s="1"/>
  <c r="H377" i="49" s="1"/>
  <c r="H376" i="50" s="1"/>
  <c r="H373" i="46"/>
  <c r="H377" i="47" s="1"/>
  <c r="H379" i="48" s="1"/>
  <c r="H376" i="49" s="1"/>
  <c r="H375" i="50" s="1"/>
  <c r="H372" i="46"/>
  <c r="H376" i="47" s="1"/>
  <c r="H378" i="48" s="1"/>
  <c r="H375" i="49" s="1"/>
  <c r="H374" i="50" s="1"/>
  <c r="H371" i="46"/>
  <c r="H375" i="47" s="1"/>
  <c r="H377" i="48" s="1"/>
  <c r="H374" i="49" s="1"/>
  <c r="H373" i="50" s="1"/>
  <c r="H370" i="46"/>
  <c r="H374" i="47" s="1"/>
  <c r="H376" i="48" s="1"/>
  <c r="H373" i="49" s="1"/>
  <c r="H372" i="50" s="1"/>
  <c r="H369" i="46"/>
  <c r="H373" i="47" s="1"/>
  <c r="H375" i="48" s="1"/>
  <c r="H372" i="49" s="1"/>
  <c r="H371" i="50" s="1"/>
  <c r="H368" i="46"/>
  <c r="H372" i="47" s="1"/>
  <c r="H373" i="48" s="1"/>
  <c r="H370" i="49" s="1"/>
  <c r="H369" i="50" s="1"/>
  <c r="H367" i="46"/>
  <c r="H371" i="47" s="1"/>
  <c r="H372" i="48" s="1"/>
  <c r="H368" i="49" s="1"/>
  <c r="H367" i="50" s="1"/>
  <c r="H366" i="46"/>
  <c r="H370" i="47" s="1"/>
  <c r="H371" i="48" s="1"/>
  <c r="H367" i="49" s="1"/>
  <c r="H366" i="50" s="1"/>
  <c r="H365" i="46"/>
  <c r="H369" i="47" s="1"/>
  <c r="H370" i="48" s="1"/>
  <c r="H366" i="49" s="1"/>
  <c r="H365" i="50" s="1"/>
  <c r="H364" i="46"/>
  <c r="H368" i="47" s="1"/>
  <c r="H369" i="48" s="1"/>
  <c r="H365" i="49" s="1"/>
  <c r="H364" i="50" s="1"/>
  <c r="H363" i="46"/>
  <c r="H367" i="47" s="1"/>
  <c r="H368" i="48" s="1"/>
  <c r="H364" i="49" s="1"/>
  <c r="H363" i="50" s="1"/>
  <c r="H362" i="46"/>
  <c r="H366" i="47" s="1"/>
  <c r="H367" i="48" s="1"/>
  <c r="H363" i="49" s="1"/>
  <c r="H362" i="50" s="1"/>
  <c r="H361" i="46"/>
  <c r="H365" i="47" s="1"/>
  <c r="H366" i="48" s="1"/>
  <c r="H362" i="49" s="1"/>
  <c r="H361" i="50" s="1"/>
  <c r="H360" i="46"/>
  <c r="H364" i="47" s="1"/>
  <c r="H365" i="48" s="1"/>
  <c r="H361" i="49" s="1"/>
  <c r="H360" i="50" s="1"/>
  <c r="H359" i="46"/>
  <c r="H363" i="47" s="1"/>
  <c r="H364" i="48" s="1"/>
  <c r="H360" i="49" s="1"/>
  <c r="H359" i="50" s="1"/>
  <c r="H358" i="46"/>
  <c r="H362" i="47" s="1"/>
  <c r="H363" i="48" s="1"/>
  <c r="H359" i="49" s="1"/>
  <c r="H358" i="50" s="1"/>
  <c r="H357" i="46"/>
  <c r="H361" i="47" s="1"/>
  <c r="H362" i="48" s="1"/>
  <c r="H358" i="49" s="1"/>
  <c r="H357" i="50" s="1"/>
  <c r="H356" i="46"/>
  <c r="H360" i="47" s="1"/>
  <c r="H361" i="48" s="1"/>
  <c r="H357" i="49" s="1"/>
  <c r="H356" i="50" s="1"/>
  <c r="H355" i="46"/>
  <c r="H359" i="47" s="1"/>
  <c r="H360" i="48" s="1"/>
  <c r="H356" i="49" s="1"/>
  <c r="H355" i="50" s="1"/>
  <c r="H354" i="46"/>
  <c r="H358" i="47" s="1"/>
  <c r="H359" i="48" s="1"/>
  <c r="H355" i="49" s="1"/>
  <c r="H354" i="50" s="1"/>
  <c r="H353" i="46"/>
  <c r="H357" i="47" s="1"/>
  <c r="H358" i="48" s="1"/>
  <c r="H354" i="49" s="1"/>
  <c r="H353" i="50" s="1"/>
  <c r="H352" i="46"/>
  <c r="H356" i="47" s="1"/>
  <c r="H357" i="48" s="1"/>
  <c r="H353" i="49" s="1"/>
  <c r="H352" i="50" s="1"/>
  <c r="H351" i="46"/>
  <c r="H355" i="47" s="1"/>
  <c r="H356" i="48" s="1"/>
  <c r="H352" i="49" s="1"/>
  <c r="H351" i="50" s="1"/>
  <c r="H350" i="46"/>
  <c r="H354" i="47" s="1"/>
  <c r="H355" i="48" s="1"/>
  <c r="H351" i="49" s="1"/>
  <c r="H350" i="50" s="1"/>
  <c r="H349" i="46"/>
  <c r="H353" i="47" s="1"/>
  <c r="H354" i="48" s="1"/>
  <c r="H350" i="49" s="1"/>
  <c r="H349" i="50" s="1"/>
  <c r="H348" i="46"/>
  <c r="H352" i="47" s="1"/>
  <c r="H353" i="48" s="1"/>
  <c r="H349" i="49" s="1"/>
  <c r="H348" i="50" s="1"/>
  <c r="H347" i="46"/>
  <c r="H351" i="47" s="1"/>
  <c r="H352" i="48" s="1"/>
  <c r="H348" i="49" s="1"/>
  <c r="H347" i="50" s="1"/>
  <c r="H346" i="46"/>
  <c r="H350" i="47" s="1"/>
  <c r="H351" i="48" s="1"/>
  <c r="H347" i="49" s="1"/>
  <c r="H346" i="50" s="1"/>
  <c r="H345" i="46"/>
  <c r="H349" i="47" s="1"/>
  <c r="H350" i="48" s="1"/>
  <c r="H346" i="49" s="1"/>
  <c r="H345" i="50" s="1"/>
  <c r="H344" i="46"/>
  <c r="H348" i="47" s="1"/>
  <c r="H349" i="48" s="1"/>
  <c r="H345" i="49" s="1"/>
  <c r="H344" i="50" s="1"/>
  <c r="H343" i="46"/>
  <c r="H347" i="47" s="1"/>
  <c r="H348" i="48" s="1"/>
  <c r="H344" i="49" s="1"/>
  <c r="H343" i="50" s="1"/>
  <c r="H342" i="46"/>
  <c r="H346" i="47" s="1"/>
  <c r="H347" i="48" s="1"/>
  <c r="H343" i="49" s="1"/>
  <c r="H342" i="50" s="1"/>
  <c r="H341" i="46"/>
  <c r="H345" i="47" s="1"/>
  <c r="H346" i="48" s="1"/>
  <c r="H342" i="49" s="1"/>
  <c r="H341" i="50" s="1"/>
  <c r="H340" i="46"/>
  <c r="H344" i="47" s="1"/>
  <c r="H345" i="48" s="1"/>
  <c r="H341" i="49" s="1"/>
  <c r="H340" i="50" s="1"/>
  <c r="H339" i="46"/>
  <c r="H343" i="47" s="1"/>
  <c r="H344" i="48" s="1"/>
  <c r="H340" i="49" s="1"/>
  <c r="H339" i="50" s="1"/>
  <c r="H338" i="46"/>
  <c r="H342" i="47" s="1"/>
  <c r="H343" i="48" s="1"/>
  <c r="H339" i="49" s="1"/>
  <c r="H338" i="50" s="1"/>
  <c r="H337" i="46"/>
  <c r="H341" i="47" s="1"/>
  <c r="H342" i="48" s="1"/>
  <c r="H338" i="49" s="1"/>
  <c r="H337" i="50" s="1"/>
  <c r="H336" i="46"/>
  <c r="H340" i="47" s="1"/>
  <c r="H341" i="48" s="1"/>
  <c r="H337" i="49" s="1"/>
  <c r="H336" i="50" s="1"/>
  <c r="H335" i="46"/>
  <c r="H339" i="47" s="1"/>
  <c r="H340" i="48" s="1"/>
  <c r="H336" i="49" s="1"/>
  <c r="H335" i="50" s="1"/>
  <c r="H334" i="46"/>
  <c r="H338" i="47" s="1"/>
  <c r="H339" i="48" s="1"/>
  <c r="H335" i="49" s="1"/>
  <c r="H334" i="50" s="1"/>
  <c r="H333" i="46"/>
  <c r="H337" i="47" s="1"/>
  <c r="H338" i="48" s="1"/>
  <c r="H334" i="49" s="1"/>
  <c r="H333" i="50" s="1"/>
  <c r="H332" i="46"/>
  <c r="H336" i="47" s="1"/>
  <c r="H337" i="48" s="1"/>
  <c r="H333" i="49" s="1"/>
  <c r="H332" i="50" s="1"/>
  <c r="H331" i="46"/>
  <c r="H335" i="47" s="1"/>
  <c r="H336" i="48" s="1"/>
  <c r="H332" i="49" s="1"/>
  <c r="H331" i="50" s="1"/>
  <c r="H330" i="46"/>
  <c r="H334" i="47" s="1"/>
  <c r="H335" i="48" s="1"/>
  <c r="H331" i="49" s="1"/>
  <c r="H330" i="50" s="1"/>
  <c r="H329" i="46"/>
  <c r="H333" i="47" s="1"/>
  <c r="H334" i="48" s="1"/>
  <c r="H330" i="49" s="1"/>
  <c r="H329" i="50" s="1"/>
  <c r="H328" i="46"/>
  <c r="H332" i="47" s="1"/>
  <c r="H333" i="48" s="1"/>
  <c r="H329" i="49" s="1"/>
  <c r="H328" i="50" s="1"/>
  <c r="H327" i="46"/>
  <c r="H331" i="47" s="1"/>
  <c r="H332" i="48" s="1"/>
  <c r="H328" i="49" s="1"/>
  <c r="H327" i="50" s="1"/>
  <c r="H326" i="46"/>
  <c r="H330" i="47" s="1"/>
  <c r="H331" i="48" s="1"/>
  <c r="H327" i="49" s="1"/>
  <c r="H326" i="50" s="1"/>
  <c r="H325" i="46"/>
  <c r="H329" i="47" s="1"/>
  <c r="H330" i="48" s="1"/>
  <c r="H326" i="49" s="1"/>
  <c r="H325" i="50" s="1"/>
  <c r="H324" i="46"/>
  <c r="H328" i="47" s="1"/>
  <c r="H329" i="48" s="1"/>
  <c r="H325" i="49" s="1"/>
  <c r="H324" i="50" s="1"/>
  <c r="H323" i="46"/>
  <c r="H327" i="47" s="1"/>
  <c r="H328" i="48" s="1"/>
  <c r="H324" i="49" s="1"/>
  <c r="H323" i="50" s="1"/>
  <c r="H322" i="46"/>
  <c r="H326" i="47" s="1"/>
  <c r="H327" i="48" s="1"/>
  <c r="H323" i="49" s="1"/>
  <c r="H322" i="50" s="1"/>
  <c r="H321" i="46"/>
  <c r="H325" i="47" s="1"/>
  <c r="H326" i="48" s="1"/>
  <c r="H322" i="49" s="1"/>
  <c r="H321" i="50" s="1"/>
  <c r="H320" i="46"/>
  <c r="H324" i="47" s="1"/>
  <c r="H325" i="48" s="1"/>
  <c r="H321" i="49" s="1"/>
  <c r="H320" i="50" s="1"/>
  <c r="H319" i="46"/>
  <c r="H323" i="47" s="1"/>
  <c r="H324" i="48" s="1"/>
  <c r="H320" i="49" s="1"/>
  <c r="H319" i="50" s="1"/>
  <c r="H318" i="46"/>
  <c r="H322" i="47" s="1"/>
  <c r="H323" i="48" s="1"/>
  <c r="H319" i="49" s="1"/>
  <c r="H318" i="50" s="1"/>
  <c r="H317" i="46"/>
  <c r="H321" i="47" s="1"/>
  <c r="H322" i="48" s="1"/>
  <c r="H318" i="49" s="1"/>
  <c r="H317" i="50" s="1"/>
  <c r="H316" i="46"/>
  <c r="H320" i="47" s="1"/>
  <c r="H321" i="48" s="1"/>
  <c r="H317" i="49" s="1"/>
  <c r="H316" i="50" s="1"/>
  <c r="H315" i="46"/>
  <c r="H319" i="47" s="1"/>
  <c r="H320" i="48" s="1"/>
  <c r="H316" i="49" s="1"/>
  <c r="H315" i="50" s="1"/>
  <c r="H314" i="46"/>
  <c r="H318" i="47" s="1"/>
  <c r="H319" i="48" s="1"/>
  <c r="H315" i="49" s="1"/>
  <c r="H314" i="50" s="1"/>
  <c r="H313" i="46"/>
  <c r="H317" i="47" s="1"/>
  <c r="H318" i="48" s="1"/>
  <c r="H314" i="49" s="1"/>
  <c r="H313" i="50" s="1"/>
  <c r="H312" i="46"/>
  <c r="H316" i="47" s="1"/>
  <c r="H317" i="48" s="1"/>
  <c r="H313" i="49" s="1"/>
  <c r="H312" i="50" s="1"/>
  <c r="H311" i="46"/>
  <c r="H315" i="47" s="1"/>
  <c r="H316" i="48" s="1"/>
  <c r="H312" i="49" s="1"/>
  <c r="H311" i="50" s="1"/>
  <c r="H310" i="46"/>
  <c r="H314" i="47" s="1"/>
  <c r="H315" i="48" s="1"/>
  <c r="H311" i="49" s="1"/>
  <c r="H310" i="50" s="1"/>
  <c r="H309" i="46"/>
  <c r="H313" i="47" s="1"/>
  <c r="H314" i="48" s="1"/>
  <c r="H310" i="49" s="1"/>
  <c r="H309" i="50" s="1"/>
  <c r="H308" i="46"/>
  <c r="H312" i="47" s="1"/>
  <c r="H313" i="48" s="1"/>
  <c r="H309" i="49" s="1"/>
  <c r="H308" i="50" s="1"/>
  <c r="H307" i="46"/>
  <c r="H311" i="47" s="1"/>
  <c r="H312" i="48" s="1"/>
  <c r="H308" i="49" s="1"/>
  <c r="H307" i="50" s="1"/>
  <c r="H306" i="46"/>
  <c r="H310" i="47" s="1"/>
  <c r="H311" i="48" s="1"/>
  <c r="H307" i="49" s="1"/>
  <c r="H306" i="50" s="1"/>
  <c r="H305" i="46"/>
  <c r="H309" i="47" s="1"/>
  <c r="H310" i="48" s="1"/>
  <c r="H306" i="49" s="1"/>
  <c r="H305" i="50" s="1"/>
  <c r="H304" i="46"/>
  <c r="H308" i="47" s="1"/>
  <c r="H309" i="48" s="1"/>
  <c r="H305" i="49" s="1"/>
  <c r="H304" i="50" s="1"/>
  <c r="H303" i="46"/>
  <c r="H307" i="47" s="1"/>
  <c r="H308" i="48" s="1"/>
  <c r="H304" i="49" s="1"/>
  <c r="H303" i="50" s="1"/>
  <c r="H302" i="46"/>
  <c r="H306" i="47" s="1"/>
  <c r="H307" i="48" s="1"/>
  <c r="H303" i="49" s="1"/>
  <c r="H302" i="50" s="1"/>
  <c r="H301" i="46"/>
  <c r="H305" i="47" s="1"/>
  <c r="H306" i="48" s="1"/>
  <c r="H302" i="49" s="1"/>
  <c r="H301" i="50" s="1"/>
  <c r="H300" i="46"/>
  <c r="H304" i="47" s="1"/>
  <c r="H305" i="48" s="1"/>
  <c r="H301" i="49" s="1"/>
  <c r="H300" i="50" s="1"/>
  <c r="H299" i="46"/>
  <c r="H303" i="47" s="1"/>
  <c r="H304" i="48" s="1"/>
  <c r="H300" i="49" s="1"/>
  <c r="H299" i="50" s="1"/>
  <c r="H298" i="46"/>
  <c r="H302" i="47" s="1"/>
  <c r="H303" i="48" s="1"/>
  <c r="H299" i="49" s="1"/>
  <c r="H298" i="50" s="1"/>
  <c r="H297" i="46"/>
  <c r="H301" i="47" s="1"/>
  <c r="H302" i="48" s="1"/>
  <c r="H298" i="49" s="1"/>
  <c r="H297" i="50" s="1"/>
  <c r="H296" i="46"/>
  <c r="H300" i="47" s="1"/>
  <c r="H301" i="48" s="1"/>
  <c r="H297" i="49" s="1"/>
  <c r="H296" i="50" s="1"/>
  <c r="H295" i="46"/>
  <c r="H299" i="47" s="1"/>
  <c r="H300" i="48" s="1"/>
  <c r="H296" i="49" s="1"/>
  <c r="H295" i="50" s="1"/>
  <c r="H294" i="46"/>
  <c r="H298" i="47" s="1"/>
  <c r="H299" i="48" s="1"/>
  <c r="H295" i="49" s="1"/>
  <c r="H294" i="50" s="1"/>
  <c r="H293" i="46"/>
  <c r="H297" i="47" s="1"/>
  <c r="H298" i="48" s="1"/>
  <c r="H294" i="49" s="1"/>
  <c r="H293" i="50" s="1"/>
  <c r="H292" i="46"/>
  <c r="H296" i="47" s="1"/>
  <c r="H297" i="48" s="1"/>
  <c r="H293" i="49" s="1"/>
  <c r="H292" i="50" s="1"/>
  <c r="H291" i="46"/>
  <c r="H295" i="47" s="1"/>
  <c r="H296" i="48" s="1"/>
  <c r="H292" i="49" s="1"/>
  <c r="H291" i="50" s="1"/>
  <c r="H290" i="46"/>
  <c r="H294" i="47" s="1"/>
  <c r="H295" i="48" s="1"/>
  <c r="H291" i="49" s="1"/>
  <c r="H290" i="50" s="1"/>
  <c r="H289" i="46"/>
  <c r="H293" i="47" s="1"/>
  <c r="H294" i="48" s="1"/>
  <c r="H290" i="49" s="1"/>
  <c r="H289" i="50" s="1"/>
  <c r="H288" i="46"/>
  <c r="H292" i="47" s="1"/>
  <c r="H293" i="48" s="1"/>
  <c r="H289" i="49" s="1"/>
  <c r="H288" i="50" s="1"/>
  <c r="H287" i="46"/>
  <c r="H291" i="47" s="1"/>
  <c r="H292" i="48" s="1"/>
  <c r="H288" i="49" s="1"/>
  <c r="H287" i="50" s="1"/>
  <c r="H286" i="46"/>
  <c r="H290" i="47" s="1"/>
  <c r="H291" i="48" s="1"/>
  <c r="H287" i="49" s="1"/>
  <c r="H286" i="50" s="1"/>
  <c r="H285" i="46"/>
  <c r="H289" i="47" s="1"/>
  <c r="H290" i="48" s="1"/>
  <c r="H286" i="49" s="1"/>
  <c r="H285" i="50" s="1"/>
  <c r="H284" i="46"/>
  <c r="H288" i="47" s="1"/>
  <c r="H289" i="48" s="1"/>
  <c r="H285" i="49" s="1"/>
  <c r="H284" i="50" s="1"/>
  <c r="H283" i="46"/>
  <c r="H287" i="47" s="1"/>
  <c r="H288" i="48" s="1"/>
  <c r="H284" i="49" s="1"/>
  <c r="H283" i="50" s="1"/>
  <c r="H282" i="46"/>
  <c r="H286" i="47" s="1"/>
  <c r="H287" i="48" s="1"/>
  <c r="H283" i="49" s="1"/>
  <c r="H282" i="50" s="1"/>
  <c r="H281" i="46"/>
  <c r="H285" i="47" s="1"/>
  <c r="H286" i="48" s="1"/>
  <c r="H282" i="49" s="1"/>
  <c r="H281" i="50" s="1"/>
  <c r="H280" i="46"/>
  <c r="H284" i="47" s="1"/>
  <c r="H285" i="48" s="1"/>
  <c r="H281" i="49" s="1"/>
  <c r="H280" i="50" s="1"/>
  <c r="H279" i="46"/>
  <c r="H283" i="47" s="1"/>
  <c r="H284" i="48" s="1"/>
  <c r="H280" i="49" s="1"/>
  <c r="H279" i="50" s="1"/>
  <c r="H278" i="46"/>
  <c r="H282" i="47" s="1"/>
  <c r="H283" i="48" s="1"/>
  <c r="H279" i="49" s="1"/>
  <c r="H278" i="50" s="1"/>
  <c r="H277" i="46"/>
  <c r="H281" i="47" s="1"/>
  <c r="H282" i="48" s="1"/>
  <c r="H278" i="49" s="1"/>
  <c r="H277" i="50" s="1"/>
  <c r="H276" i="46"/>
  <c r="H280" i="47" s="1"/>
  <c r="H281" i="48" s="1"/>
  <c r="H277" i="49" s="1"/>
  <c r="H276" i="50" s="1"/>
  <c r="H275" i="46"/>
  <c r="H279" i="47" s="1"/>
  <c r="H280" i="48" s="1"/>
  <c r="H276" i="49" s="1"/>
  <c r="H275" i="50" s="1"/>
  <c r="H274" i="46"/>
  <c r="H278" i="47" s="1"/>
  <c r="H279" i="48" s="1"/>
  <c r="H275" i="49" s="1"/>
  <c r="H274" i="50" s="1"/>
  <c r="H273" i="46"/>
  <c r="H277" i="47" s="1"/>
  <c r="H278" i="48" s="1"/>
  <c r="H274" i="49" s="1"/>
  <c r="H273" i="50" s="1"/>
  <c r="H272" i="46"/>
  <c r="H276" i="47" s="1"/>
  <c r="H277" i="48" s="1"/>
  <c r="H273" i="49" s="1"/>
  <c r="H272" i="50" s="1"/>
  <c r="H271" i="46"/>
  <c r="H275" i="47" s="1"/>
  <c r="H276" i="48" s="1"/>
  <c r="H272" i="49" s="1"/>
  <c r="H271" i="50" s="1"/>
  <c r="H270" i="46"/>
  <c r="H274" i="47" s="1"/>
  <c r="H275" i="48" s="1"/>
  <c r="H271" i="49" s="1"/>
  <c r="H270" i="50" s="1"/>
  <c r="H269" i="46"/>
  <c r="H273" i="47" s="1"/>
  <c r="H274" i="48" s="1"/>
  <c r="H270" i="49" s="1"/>
  <c r="H269" i="50" s="1"/>
  <c r="H268" i="46"/>
  <c r="H272" i="47" s="1"/>
  <c r="H273" i="48" s="1"/>
  <c r="H269" i="49" s="1"/>
  <c r="H268" i="50" s="1"/>
  <c r="H267" i="46"/>
  <c r="H271" i="47" s="1"/>
  <c r="H272" i="48" s="1"/>
  <c r="H268" i="49" s="1"/>
  <c r="H267" i="50" s="1"/>
  <c r="H266" i="46"/>
  <c r="H270" i="47" s="1"/>
  <c r="H271" i="48" s="1"/>
  <c r="H267" i="49" s="1"/>
  <c r="H266" i="50" s="1"/>
  <c r="H265" i="46"/>
  <c r="H269" i="47" s="1"/>
  <c r="H270" i="48" s="1"/>
  <c r="H266" i="49" s="1"/>
  <c r="H265" i="50" s="1"/>
  <c r="H264" i="46"/>
  <c r="H268" i="47" s="1"/>
  <c r="H269" i="48" s="1"/>
  <c r="H265" i="49" s="1"/>
  <c r="H264" i="50" s="1"/>
  <c r="H263" i="46"/>
  <c r="H267" i="47" s="1"/>
  <c r="H268" i="48" s="1"/>
  <c r="H264" i="49" s="1"/>
  <c r="H263" i="50" s="1"/>
  <c r="H261" i="46"/>
  <c r="H266" i="47" s="1"/>
  <c r="H267" i="48" s="1"/>
  <c r="H262" i="49" s="1"/>
  <c r="H261" i="50" s="1"/>
  <c r="H260" i="46"/>
  <c r="H265" i="47" s="1"/>
  <c r="H266" i="48" s="1"/>
  <c r="H261" i="49" s="1"/>
  <c r="H260" i="50" s="1"/>
  <c r="H259" i="46"/>
  <c r="H264" i="47" s="1"/>
  <c r="H265" i="48" s="1"/>
  <c r="H260" i="49" s="1"/>
  <c r="H259" i="50" s="1"/>
  <c r="H257" i="46"/>
  <c r="H261" i="47" s="1"/>
  <c r="H262" i="48" s="1"/>
  <c r="H258" i="49" s="1"/>
  <c r="H258" i="50" s="1"/>
  <c r="H256" i="46"/>
  <c r="H260" i="47" s="1"/>
  <c r="H261" i="48" s="1"/>
  <c r="H257" i="49" s="1"/>
  <c r="H257" i="50" s="1"/>
  <c r="H255" i="46"/>
  <c r="H259" i="47" s="1"/>
  <c r="H260" i="48" s="1"/>
  <c r="H256" i="49" s="1"/>
  <c r="H256" i="50" s="1"/>
  <c r="H254" i="46"/>
  <c r="H258" i="47" s="1"/>
  <c r="H259" i="48" s="1"/>
  <c r="H255" i="49" s="1"/>
  <c r="H255" i="50" s="1"/>
  <c r="H253" i="46"/>
  <c r="H257" i="47" s="1"/>
  <c r="H258" i="48" s="1"/>
  <c r="H254" i="49" s="1"/>
  <c r="H254" i="50" s="1"/>
  <c r="H252" i="46"/>
  <c r="H256" i="47" s="1"/>
  <c r="H257" i="48" s="1"/>
  <c r="H253" i="49" s="1"/>
  <c r="H253" i="50" s="1"/>
  <c r="H251" i="46"/>
  <c r="H255" i="47" s="1"/>
  <c r="H256" i="48" s="1"/>
  <c r="H252" i="49" s="1"/>
  <c r="H252" i="50" s="1"/>
  <c r="H250" i="46"/>
  <c r="H254" i="47" s="1"/>
  <c r="H255" i="48" s="1"/>
  <c r="H251" i="49" s="1"/>
  <c r="H251" i="50" s="1"/>
  <c r="H249" i="46"/>
  <c r="H253" i="47" s="1"/>
  <c r="H254" i="48" s="1"/>
  <c r="H250" i="49" s="1"/>
  <c r="H250" i="50" s="1"/>
  <c r="H248" i="46"/>
  <c r="H252" i="47" s="1"/>
  <c r="H253" i="48" s="1"/>
  <c r="H249" i="49" s="1"/>
  <c r="H249" i="50" s="1"/>
  <c r="H247" i="46"/>
  <c r="H251" i="47" s="1"/>
  <c r="H252" i="48" s="1"/>
  <c r="H248" i="49" s="1"/>
  <c r="H248" i="50" s="1"/>
  <c r="H246" i="46"/>
  <c r="H250" i="47" s="1"/>
  <c r="H251" i="48" s="1"/>
  <c r="H245" i="46"/>
  <c r="H249" i="47" s="1"/>
  <c r="H250" i="48" s="1"/>
  <c r="H247" i="49" s="1"/>
  <c r="H246" i="50" s="1"/>
  <c r="H244" i="46"/>
  <c r="H248" i="47" s="1"/>
  <c r="H249" i="48" s="1"/>
  <c r="H246" i="49" s="1"/>
  <c r="H245" i="50" s="1"/>
  <c r="H243" i="46"/>
  <c r="H247" i="47" s="1"/>
  <c r="H248" i="48" s="1"/>
  <c r="H245" i="49" s="1"/>
  <c r="H244" i="50" s="1"/>
  <c r="H242" i="46"/>
  <c r="H246" i="47" s="1"/>
  <c r="H247" i="48" s="1"/>
  <c r="H244" i="49" s="1"/>
  <c r="H243" i="50" s="1"/>
  <c r="H241" i="46"/>
  <c r="H245" i="47" s="1"/>
  <c r="H246" i="48" s="1"/>
  <c r="H243" i="49" s="1"/>
  <c r="H242" i="50" s="1"/>
  <c r="H240" i="46"/>
  <c r="H244" i="47" s="1"/>
  <c r="H245" i="48" s="1"/>
  <c r="H242" i="49" s="1"/>
  <c r="H241" i="50" s="1"/>
  <c r="H239" i="46"/>
  <c r="H243" i="47" s="1"/>
  <c r="H244" i="48" s="1"/>
  <c r="H241" i="49" s="1"/>
  <c r="H240" i="50" s="1"/>
  <c r="H238" i="46"/>
  <c r="H242" i="47" s="1"/>
  <c r="H243" i="48" s="1"/>
  <c r="H240" i="49" s="1"/>
  <c r="H239" i="50" s="1"/>
  <c r="H237" i="46"/>
  <c r="H240" i="47" s="1"/>
  <c r="H242" i="48" s="1"/>
  <c r="H238" i="49" s="1"/>
  <c r="H237" i="50" s="1"/>
  <c r="H236" i="46"/>
  <c r="H239" i="47" s="1"/>
  <c r="H241" i="48" s="1"/>
  <c r="H237" i="49" s="1"/>
  <c r="H236" i="50" s="1"/>
  <c r="H235" i="46"/>
  <c r="H238" i="47" s="1"/>
  <c r="H240" i="48" s="1"/>
  <c r="H236" i="49" s="1"/>
  <c r="H235" i="50" s="1"/>
  <c r="H234" i="46"/>
  <c r="H237" i="47" s="1"/>
  <c r="H239" i="48" s="1"/>
  <c r="H235" i="49" s="1"/>
  <c r="H234" i="50" s="1"/>
  <c r="H233" i="46"/>
  <c r="H236" i="47" s="1"/>
  <c r="H238" i="48" s="1"/>
  <c r="H234" i="49" s="1"/>
  <c r="H233" i="50" s="1"/>
  <c r="H232" i="46"/>
  <c r="H235" i="47" s="1"/>
  <c r="H237" i="48" s="1"/>
  <c r="H233" i="49" s="1"/>
  <c r="H232" i="50" s="1"/>
  <c r="H231" i="46"/>
  <c r="H234" i="47" s="1"/>
  <c r="H236" i="48" s="1"/>
  <c r="H232" i="49" s="1"/>
  <c r="H231" i="50" s="1"/>
  <c r="H230" i="46"/>
  <c r="H233" i="47" s="1"/>
  <c r="H235" i="48" s="1"/>
  <c r="H231" i="49" s="1"/>
  <c r="H230" i="50" s="1"/>
  <c r="H229" i="46"/>
  <c r="H232" i="47" s="1"/>
  <c r="H234" i="48" s="1"/>
  <c r="H230" i="49" s="1"/>
  <c r="H229" i="50" s="1"/>
  <c r="H228" i="46"/>
  <c r="H231" i="47" s="1"/>
  <c r="H233" i="48" s="1"/>
  <c r="H229" i="49" s="1"/>
  <c r="H228" i="50" s="1"/>
  <c r="H227" i="46"/>
  <c r="H230" i="47" s="1"/>
  <c r="H232" i="48" s="1"/>
  <c r="H228" i="49" s="1"/>
  <c r="H227" i="50" s="1"/>
  <c r="H226" i="46"/>
  <c r="H229" i="47" s="1"/>
  <c r="H231" i="48" s="1"/>
  <c r="H227" i="49" s="1"/>
  <c r="H226" i="50" s="1"/>
  <c r="H225" i="46"/>
  <c r="H228" i="47" s="1"/>
  <c r="H230" i="48" s="1"/>
  <c r="H226" i="49" s="1"/>
  <c r="H225" i="50" s="1"/>
  <c r="H224" i="46"/>
  <c r="H227" i="47" s="1"/>
  <c r="H229" i="48" s="1"/>
  <c r="H225" i="49" s="1"/>
  <c r="H224" i="50" s="1"/>
  <c r="H223" i="46"/>
  <c r="H226" i="47" s="1"/>
  <c r="H228" i="48" s="1"/>
  <c r="H224" i="49" s="1"/>
  <c r="H223" i="50" s="1"/>
  <c r="H222" i="46"/>
  <c r="H225" i="47" s="1"/>
  <c r="H227" i="48" s="1"/>
  <c r="H223" i="49" s="1"/>
  <c r="H222" i="50" s="1"/>
  <c r="H220" i="46"/>
  <c r="H224" i="47" s="1"/>
  <c r="H225" i="48" s="1"/>
  <c r="H221" i="49" s="1"/>
  <c r="H220" i="50" s="1"/>
  <c r="H219" i="46"/>
  <c r="H223" i="47" s="1"/>
  <c r="H224" i="48" s="1"/>
  <c r="H220" i="49" s="1"/>
  <c r="H219" i="50" s="1"/>
  <c r="H218" i="46"/>
  <c r="H222" i="47" s="1"/>
  <c r="H223" i="48" s="1"/>
  <c r="H219" i="49" s="1"/>
  <c r="H218" i="50" s="1"/>
  <c r="H217" i="46"/>
  <c r="H221" i="47" s="1"/>
  <c r="H222" i="48" s="1"/>
  <c r="H218" i="49" s="1"/>
  <c r="H217" i="50" s="1"/>
  <c r="H216" i="46"/>
  <c r="H220" i="47" s="1"/>
  <c r="H221" i="48" s="1"/>
  <c r="H217" i="49" s="1"/>
  <c r="H216" i="50" s="1"/>
  <c r="H215" i="46"/>
  <c r="H219" i="47" s="1"/>
  <c r="H220" i="48" s="1"/>
  <c r="H216" i="49" s="1"/>
  <c r="H215" i="50" s="1"/>
  <c r="H214" i="46"/>
  <c r="H218" i="47" s="1"/>
  <c r="H219" i="48" s="1"/>
  <c r="H215" i="49" s="1"/>
  <c r="H214" i="50" s="1"/>
  <c r="H213" i="46"/>
  <c r="H217" i="47" s="1"/>
  <c r="H218" i="48" s="1"/>
  <c r="H214" i="49" s="1"/>
  <c r="H213" i="50" s="1"/>
  <c r="H212" i="46"/>
  <c r="H216" i="47" s="1"/>
  <c r="H217" i="48" s="1"/>
  <c r="H213" i="49" s="1"/>
  <c r="H212" i="50" s="1"/>
  <c r="H211" i="46"/>
  <c r="H215" i="47" s="1"/>
  <c r="H216" i="48" s="1"/>
  <c r="H212" i="49" s="1"/>
  <c r="H211" i="50" s="1"/>
  <c r="H210" i="46"/>
  <c r="H214" i="47" s="1"/>
  <c r="H215" i="48" s="1"/>
  <c r="H211" i="49" s="1"/>
  <c r="H210" i="50" s="1"/>
  <c r="H209" i="46"/>
  <c r="H213" i="47" s="1"/>
  <c r="H214" i="48" s="1"/>
  <c r="H210" i="49" s="1"/>
  <c r="H209" i="50" s="1"/>
  <c r="H208" i="46"/>
  <c r="H212" i="47" s="1"/>
  <c r="H213" i="48" s="1"/>
  <c r="H209" i="49" s="1"/>
  <c r="H208" i="50" s="1"/>
  <c r="H207" i="46"/>
  <c r="H211" i="47" s="1"/>
  <c r="H212" i="48" s="1"/>
  <c r="H208" i="49" s="1"/>
  <c r="H207" i="50" s="1"/>
  <c r="H206" i="46"/>
  <c r="H210" i="47" s="1"/>
  <c r="H211" i="48" s="1"/>
  <c r="H183" i="49" s="1"/>
  <c r="H206" i="50" s="1"/>
  <c r="H204" i="46"/>
  <c r="H209" i="47" s="1"/>
  <c r="H210" i="48" s="1"/>
  <c r="H182" i="49" s="1"/>
  <c r="H205" i="50" s="1"/>
  <c r="H203" i="46"/>
  <c r="H208" i="47" s="1"/>
  <c r="H209" i="48" s="1"/>
  <c r="H181" i="49" s="1"/>
  <c r="H204" i="50" s="1"/>
  <c r="H202" i="46"/>
  <c r="H207" i="47" s="1"/>
  <c r="H208" i="48" s="1"/>
  <c r="H180" i="49" s="1"/>
  <c r="H203" i="50" s="1"/>
  <c r="H201" i="46"/>
  <c r="H206" i="47" s="1"/>
  <c r="H207" i="48" s="1"/>
  <c r="H179" i="49" s="1"/>
  <c r="H202" i="50" s="1"/>
  <c r="H200" i="46"/>
  <c r="H205" i="47" s="1"/>
  <c r="H206" i="48" s="1"/>
  <c r="H178" i="49" s="1"/>
  <c r="H201" i="50" s="1"/>
  <c r="H199" i="46"/>
  <c r="H204" i="47" s="1"/>
  <c r="H205" i="48" s="1"/>
  <c r="H177" i="49" s="1"/>
  <c r="H200" i="50" s="1"/>
  <c r="H198" i="46"/>
  <c r="H203" i="47" s="1"/>
  <c r="H204" i="48" s="1"/>
  <c r="H176" i="49" s="1"/>
  <c r="H199" i="50" s="1"/>
  <c r="H197" i="46"/>
  <c r="H202" i="47" s="1"/>
  <c r="H203" i="48" s="1"/>
  <c r="H175" i="49" s="1"/>
  <c r="H198" i="50" s="1"/>
  <c r="H196" i="46"/>
  <c r="H201" i="47" s="1"/>
  <c r="H202" i="48" s="1"/>
  <c r="H174" i="49" s="1"/>
  <c r="H197" i="50" s="1"/>
  <c r="H195" i="46"/>
  <c r="H200" i="47" s="1"/>
  <c r="H201" i="48" s="1"/>
  <c r="H173" i="49" s="1"/>
  <c r="H196" i="50" s="1"/>
  <c r="H194" i="46"/>
  <c r="H199" i="47" s="1"/>
  <c r="H200" i="48" s="1"/>
  <c r="H172" i="49" s="1"/>
  <c r="H195" i="50" s="1"/>
  <c r="H192" i="46"/>
  <c r="H198" i="47" s="1"/>
  <c r="H198" i="48" s="1"/>
  <c r="H170" i="49" s="1"/>
  <c r="H193" i="50" s="1"/>
  <c r="H191" i="46"/>
  <c r="H197" i="47" s="1"/>
  <c r="H197" i="48" s="1"/>
  <c r="H169" i="49" s="1"/>
  <c r="H192" i="50" s="1"/>
  <c r="H190" i="46"/>
  <c r="H196" i="47" s="1"/>
  <c r="H196" i="48" s="1"/>
  <c r="H168" i="49" s="1"/>
  <c r="H191" i="50" s="1"/>
  <c r="H189" i="46"/>
  <c r="H195" i="47" s="1"/>
  <c r="H195" i="48" s="1"/>
  <c r="H167" i="49" s="1"/>
  <c r="H190" i="50" s="1"/>
  <c r="H188" i="46"/>
  <c r="H194" i="47" s="1"/>
  <c r="H194" i="48" s="1"/>
  <c r="H166" i="49" s="1"/>
  <c r="H189" i="50" s="1"/>
  <c r="H187" i="46"/>
  <c r="H193" i="47" s="1"/>
  <c r="H193" i="48" s="1"/>
  <c r="H165" i="49" s="1"/>
  <c r="H188" i="50" s="1"/>
  <c r="H186" i="46"/>
  <c r="H192" i="47" s="1"/>
  <c r="H192" i="48" s="1"/>
  <c r="H164" i="49" s="1"/>
  <c r="H187" i="50" s="1"/>
  <c r="H185" i="46"/>
  <c r="H191" i="47" s="1"/>
  <c r="H191" i="48" s="1"/>
  <c r="H163" i="49" s="1"/>
  <c r="H186" i="50" s="1"/>
  <c r="H184" i="46"/>
  <c r="H190" i="47" s="1"/>
  <c r="H190" i="48" s="1"/>
  <c r="H162" i="49" s="1"/>
  <c r="H185" i="50" s="1"/>
  <c r="H183" i="46"/>
  <c r="H189" i="47" s="1"/>
  <c r="H189" i="48" s="1"/>
  <c r="H161" i="49" s="1"/>
  <c r="H184" i="50" s="1"/>
  <c r="H182" i="46"/>
  <c r="H188" i="47" s="1"/>
  <c r="H188" i="48" s="1"/>
  <c r="H160" i="49" s="1"/>
  <c r="H183" i="50" s="1"/>
  <c r="H181" i="46"/>
  <c r="H187" i="47" s="1"/>
  <c r="H187" i="48" s="1"/>
  <c r="H159" i="49" s="1"/>
  <c r="H182" i="50" s="1"/>
  <c r="H180" i="46"/>
  <c r="H186" i="47" s="1"/>
  <c r="H186" i="48" s="1"/>
  <c r="H158" i="49" s="1"/>
  <c r="H181" i="50" s="1"/>
  <c r="H179" i="46"/>
  <c r="H185" i="47" s="1"/>
  <c r="H185" i="48" s="1"/>
  <c r="H157" i="49" s="1"/>
  <c r="H180" i="50" s="1"/>
  <c r="H178" i="46"/>
  <c r="H184" i="47" s="1"/>
  <c r="H184" i="48" s="1"/>
  <c r="H156" i="49" s="1"/>
  <c r="H179" i="50" s="1"/>
  <c r="H177" i="46"/>
  <c r="H183" i="47" s="1"/>
  <c r="H183" i="48" s="1"/>
  <c r="H155" i="49" s="1"/>
  <c r="H178" i="50" s="1"/>
  <c r="H176" i="46"/>
  <c r="H182" i="47" s="1"/>
  <c r="H182" i="48" s="1"/>
  <c r="H154" i="49" s="1"/>
  <c r="H177" i="50" s="1"/>
  <c r="H175" i="46"/>
  <c r="H181" i="47" s="1"/>
  <c r="H181" i="48" s="1"/>
  <c r="H153" i="49" s="1"/>
  <c r="H176" i="50" s="1"/>
  <c r="H174" i="46"/>
  <c r="H180" i="47" s="1"/>
  <c r="H180" i="48" s="1"/>
  <c r="H152" i="49" s="1"/>
  <c r="H175" i="50" s="1"/>
  <c r="H173" i="46"/>
  <c r="H178" i="47" s="1"/>
  <c r="H178" i="48" s="1"/>
  <c r="H206" i="49" s="1"/>
  <c r="H173" i="50" s="1"/>
  <c r="H172" i="46"/>
  <c r="H177" i="47" s="1"/>
  <c r="H177" i="48" s="1"/>
  <c r="H205" i="49" s="1"/>
  <c r="H172" i="50" s="1"/>
  <c r="H171" i="46"/>
  <c r="H176" i="47" s="1"/>
  <c r="H176" i="48" s="1"/>
  <c r="H204" i="49" s="1"/>
  <c r="H171" i="50" s="1"/>
  <c r="H169" i="46"/>
  <c r="H174" i="47" s="1"/>
  <c r="H174" i="48" s="1"/>
  <c r="H145" i="49" s="1"/>
  <c r="H170" i="50" s="1"/>
  <c r="H168" i="46"/>
  <c r="H173" i="47" s="1"/>
  <c r="H172" i="48" s="1"/>
  <c r="H143" i="49" s="1"/>
  <c r="H169" i="50" s="1"/>
  <c r="H167" i="46"/>
  <c r="H171" i="47" s="1"/>
  <c r="H170" i="48" s="1"/>
  <c r="H141" i="49" s="1"/>
  <c r="H167" i="50" s="1"/>
  <c r="H166" i="46"/>
  <c r="H170" i="47" s="1"/>
  <c r="H169" i="48" s="1"/>
  <c r="H140" i="49" s="1"/>
  <c r="H166" i="50" s="1"/>
  <c r="H165" i="46"/>
  <c r="H164" i="46"/>
  <c r="H169" i="47" s="1"/>
  <c r="H168" i="48" s="1"/>
  <c r="H139" i="49" s="1"/>
  <c r="H164" i="50" s="1"/>
  <c r="H163" i="46"/>
  <c r="H168" i="47" s="1"/>
  <c r="H167" i="48" s="1"/>
  <c r="H201" i="49" s="1"/>
  <c r="H163" i="50" s="1"/>
  <c r="H162" i="46"/>
  <c r="H159" i="46"/>
  <c r="H165" i="47" s="1"/>
  <c r="H165" i="48" s="1"/>
  <c r="H199" i="49" s="1"/>
  <c r="H162" i="50" s="1"/>
  <c r="H158" i="46"/>
  <c r="H164" i="47" s="1"/>
  <c r="H164" i="48" s="1"/>
  <c r="H198" i="49" s="1"/>
  <c r="H161" i="50" s="1"/>
  <c r="H157" i="46"/>
  <c r="H163" i="47" s="1"/>
  <c r="H163" i="48" s="1"/>
  <c r="H197" i="49" s="1"/>
  <c r="H160" i="50" s="1"/>
  <c r="H156" i="46"/>
  <c r="H161" i="47" s="1"/>
  <c r="H161" i="48" s="1"/>
  <c r="H196" i="49" s="1"/>
  <c r="H158" i="50" s="1"/>
  <c r="H154" i="46"/>
  <c r="H159" i="47" s="1"/>
  <c r="H159" i="48" s="1"/>
  <c r="H130" i="49" s="1"/>
  <c r="H156" i="50" s="1"/>
  <c r="H153" i="46"/>
  <c r="H157" i="47" s="1"/>
  <c r="H156" i="48" s="1"/>
  <c r="H152" i="46"/>
  <c r="H156" i="47" s="1"/>
  <c r="H155" i="48" s="1"/>
  <c r="H194" i="49" s="1"/>
  <c r="H154" i="50" s="1"/>
  <c r="H151" i="46"/>
  <c r="H155" i="47" s="1"/>
  <c r="H153" i="48" s="1"/>
  <c r="H192" i="49" s="1"/>
  <c r="H152" i="50" s="1"/>
  <c r="H150" i="46"/>
  <c r="H154" i="47" s="1"/>
  <c r="H152" i="48" s="1"/>
  <c r="H191" i="49" s="1"/>
  <c r="H151" i="50" s="1"/>
  <c r="H149" i="46"/>
  <c r="H153" i="47" s="1"/>
  <c r="H151" i="48" s="1"/>
  <c r="H124" i="49" s="1"/>
  <c r="H150" i="50" s="1"/>
  <c r="H148" i="46"/>
  <c r="H152" i="47" s="1"/>
  <c r="H150" i="48" s="1"/>
  <c r="H123" i="49" s="1"/>
  <c r="H149" i="50" s="1"/>
  <c r="H147" i="46"/>
  <c r="H151" i="47" s="1"/>
  <c r="H149" i="48" s="1"/>
  <c r="H122" i="49" s="1"/>
  <c r="H148" i="50" s="1"/>
  <c r="H146" i="46"/>
  <c r="H150" i="47" s="1"/>
  <c r="H148" i="48" s="1"/>
  <c r="H121" i="49" s="1"/>
  <c r="H147" i="50" s="1"/>
  <c r="H144" i="46"/>
  <c r="H148" i="47" s="1"/>
  <c r="H146" i="48" s="1"/>
  <c r="H120" i="49" s="1"/>
  <c r="H146" i="50" s="1"/>
  <c r="H143" i="46"/>
  <c r="H147" i="47" s="1"/>
  <c r="H145" i="48" s="1"/>
  <c r="H119" i="49" s="1"/>
  <c r="H145" i="50" s="1"/>
  <c r="H142" i="46"/>
  <c r="H146" i="47" s="1"/>
  <c r="H144" i="48" s="1"/>
  <c r="H118" i="49" s="1"/>
  <c r="H144" i="50" s="1"/>
  <c r="H140" i="46"/>
  <c r="H144" i="47" s="1"/>
  <c r="H142" i="48" s="1"/>
  <c r="H116" i="49" s="1"/>
  <c r="H143" i="50" s="1"/>
  <c r="H139" i="46"/>
  <c r="H142" i="47" s="1"/>
  <c r="H140" i="48" s="1"/>
  <c r="H189" i="49" s="1"/>
  <c r="H141" i="50" s="1"/>
  <c r="H138" i="46"/>
  <c r="H141" i="47" s="1"/>
  <c r="H139" i="48" s="1"/>
  <c r="H137" i="46"/>
  <c r="H140" i="47" s="1"/>
  <c r="H138" i="48" s="1"/>
  <c r="H187" i="49" s="1"/>
  <c r="H140" i="50" s="1"/>
  <c r="H136" i="46"/>
  <c r="H139" i="47" s="1"/>
  <c r="H137" i="48" s="1"/>
  <c r="H186" i="49" s="1"/>
  <c r="H139" i="50" s="1"/>
  <c r="H135" i="46"/>
  <c r="H134" i="46"/>
  <c r="H138" i="47" s="1"/>
  <c r="H136" i="48" s="1"/>
  <c r="H184" i="49" s="1"/>
  <c r="H137" i="50" s="1"/>
  <c r="H133" i="46"/>
  <c r="H137" i="47" s="1"/>
  <c r="H135" i="48" s="1"/>
  <c r="H151" i="49" s="1"/>
  <c r="H136" i="50" s="1"/>
  <c r="H132" i="46"/>
  <c r="H136" i="47" s="1"/>
  <c r="H134" i="48" s="1"/>
  <c r="H148" i="49" s="1"/>
  <c r="H135" i="50" s="1"/>
  <c r="H131" i="46"/>
  <c r="H135" i="47" s="1"/>
  <c r="H133" i="48" s="1"/>
  <c r="H147" i="49" s="1"/>
  <c r="H134" i="50" s="1"/>
  <c r="H130" i="46"/>
  <c r="H134" i="47" s="1"/>
  <c r="H132" i="48" s="1"/>
  <c r="H146" i="49" s="1"/>
  <c r="H133" i="50" s="1"/>
  <c r="H129" i="46"/>
  <c r="H133" i="47" s="1"/>
  <c r="H131" i="48" s="1"/>
  <c r="H138" i="49" s="1"/>
  <c r="H132" i="50" s="1"/>
  <c r="H128" i="46"/>
  <c r="H131" i="47" s="1"/>
  <c r="H129" i="48" s="1"/>
  <c r="H137" i="49" s="1"/>
  <c r="H130" i="50" s="1"/>
  <c r="H127" i="46"/>
  <c r="H130" i="47" s="1"/>
  <c r="H128" i="48" s="1"/>
  <c r="H136" i="49" s="1"/>
  <c r="H129" i="50" s="1"/>
  <c r="H125" i="46"/>
  <c r="H128" i="47" s="1"/>
  <c r="H126" i="48" s="1"/>
  <c r="H100" i="49" s="1"/>
  <c r="H127" i="50" s="1"/>
  <c r="H124" i="46"/>
  <c r="H127" i="47" s="1"/>
  <c r="H125" i="48" s="1"/>
  <c r="H99" i="49" s="1"/>
  <c r="H126" i="50" s="1"/>
  <c r="H123" i="46"/>
  <c r="H126" i="47" s="1"/>
  <c r="H122" i="46"/>
  <c r="H125" i="47" s="1"/>
  <c r="H121" i="46"/>
  <c r="H123" i="47" s="1"/>
  <c r="H121" i="48" s="1"/>
  <c r="H95" i="49" s="1"/>
  <c r="H120" i="50" s="1"/>
  <c r="H119" i="46"/>
  <c r="H121" i="47" s="1"/>
  <c r="H119" i="48" s="1"/>
  <c r="H93" i="49" s="1"/>
  <c r="H118" i="50" s="1"/>
  <c r="H118" i="46"/>
  <c r="H120" i="47" s="1"/>
  <c r="H118" i="48" s="1"/>
  <c r="H134" i="49" s="1"/>
  <c r="H117" i="50" s="1"/>
  <c r="H117" i="46"/>
  <c r="H118" i="47" s="1"/>
  <c r="H115" i="48" s="1"/>
  <c r="H131" i="49" s="1"/>
  <c r="H115" i="50" s="1"/>
  <c r="H116" i="46"/>
  <c r="H117" i="47" s="1"/>
  <c r="H114" i="48" s="1"/>
  <c r="H128" i="49" s="1"/>
  <c r="H114" i="50" s="1"/>
  <c r="H115" i="46"/>
  <c r="H116" i="47" s="1"/>
  <c r="H113" i="48" s="1"/>
  <c r="H127" i="49" s="1"/>
  <c r="H113" i="50" s="1"/>
  <c r="H114" i="46"/>
  <c r="H115" i="47" s="1"/>
  <c r="H112" i="48" s="1"/>
  <c r="H87" i="49" s="1"/>
  <c r="H112" i="50" s="1"/>
  <c r="H113" i="46"/>
  <c r="H114" i="47" s="1"/>
  <c r="H111" i="48" s="1"/>
  <c r="H126" i="49" s="1"/>
  <c r="H111" i="50" s="1"/>
  <c r="H112" i="46"/>
  <c r="H113" i="47" s="1"/>
  <c r="H110" i="48" s="1"/>
  <c r="H125" i="49" s="1"/>
  <c r="H110" i="50" s="1"/>
  <c r="H111" i="46"/>
  <c r="H112" i="47" s="1"/>
  <c r="H109" i="48" s="1"/>
  <c r="H115" i="49" s="1"/>
  <c r="H109" i="50" s="1"/>
  <c r="H110" i="46"/>
  <c r="H111" i="47" s="1"/>
  <c r="H108" i="48" s="1"/>
  <c r="H114" i="49" s="1"/>
  <c r="H108" i="50" s="1"/>
  <c r="H109" i="46"/>
  <c r="H110" i="47" s="1"/>
  <c r="H107" i="48" s="1"/>
  <c r="H113" i="49" s="1"/>
  <c r="H107" i="50" s="1"/>
  <c r="H108" i="46"/>
  <c r="H109" i="47" s="1"/>
  <c r="H106" i="48" s="1"/>
  <c r="H112" i="49" s="1"/>
  <c r="H106" i="50" s="1"/>
  <c r="H106" i="46"/>
  <c r="H107" i="47" s="1"/>
  <c r="H104" i="48" s="1"/>
  <c r="H79" i="49" s="1"/>
  <c r="H104" i="50" s="1"/>
  <c r="H105" i="46"/>
  <c r="H106" i="47" s="1"/>
  <c r="H103" i="48" s="1"/>
  <c r="H78" i="49" s="1"/>
  <c r="H103" i="50" s="1"/>
  <c r="H104" i="46"/>
  <c r="H104" i="47" s="1"/>
  <c r="H101" i="48" s="1"/>
  <c r="H76" i="49" s="1"/>
  <c r="H102" i="50" s="1"/>
  <c r="H103" i="46"/>
  <c r="H103" i="47" s="1"/>
  <c r="H99" i="48" s="1"/>
  <c r="H74" i="49" s="1"/>
  <c r="H100" i="50" s="1"/>
  <c r="H102" i="46"/>
  <c r="H102" i="47" s="1"/>
  <c r="H98" i="48" s="1"/>
  <c r="H101" i="46"/>
  <c r="H101" i="47" s="1"/>
  <c r="H97" i="48" s="1"/>
  <c r="H109" i="49" s="1"/>
  <c r="H98" i="50" s="1"/>
  <c r="H100" i="46"/>
  <c r="H100" i="47" s="1"/>
  <c r="H96" i="48" s="1"/>
  <c r="H185" i="49" s="1"/>
  <c r="H97" i="50" s="1"/>
  <c r="H99" i="46"/>
  <c r="H99" i="47" s="1"/>
  <c r="H95" i="48" s="1"/>
  <c r="H150" i="49" s="1"/>
  <c r="H96" i="50" s="1"/>
  <c r="H98" i="46"/>
  <c r="H98" i="47" s="1"/>
  <c r="H94" i="48" s="1"/>
  <c r="H149" i="49" s="1"/>
  <c r="H95" i="50" s="1"/>
  <c r="H96" i="46"/>
  <c r="H96" i="47" s="1"/>
  <c r="H92" i="48" s="1"/>
  <c r="H68" i="49" s="1"/>
  <c r="H94" i="50" s="1"/>
  <c r="H95" i="46"/>
  <c r="H94" i="46"/>
  <c r="H95" i="47" s="1"/>
  <c r="H90" i="48" s="1"/>
  <c r="H66" i="49" s="1"/>
  <c r="H92" i="50" s="1"/>
  <c r="H93" i="46"/>
  <c r="H94" i="47" s="1"/>
  <c r="H89" i="48" s="1"/>
  <c r="H92" i="46"/>
  <c r="H93" i="47" s="1"/>
  <c r="H88" i="48" s="1"/>
  <c r="H106" i="49" s="1"/>
  <c r="H90" i="50" s="1"/>
  <c r="H91" i="46"/>
  <c r="H92" i="47" s="1"/>
  <c r="H87" i="48" s="1"/>
  <c r="H105" i="49" s="1"/>
  <c r="H89" i="50" s="1"/>
  <c r="H88" i="46"/>
  <c r="H89" i="47" s="1"/>
  <c r="H87" i="46"/>
  <c r="H88" i="47" s="1"/>
  <c r="H86" i="48" s="1"/>
  <c r="H104" i="49" s="1"/>
  <c r="H87" i="50" s="1"/>
  <c r="H86" i="46"/>
  <c r="H87" i="47" s="1"/>
  <c r="H85" i="48" s="1"/>
  <c r="H103" i="49" s="1"/>
  <c r="H86" i="50" s="1"/>
  <c r="H84" i="46"/>
  <c r="H85" i="47" s="1"/>
  <c r="H84" i="48" s="1"/>
  <c r="H59" i="49" s="1"/>
  <c r="H85" i="50" s="1"/>
  <c r="H83" i="46"/>
  <c r="H84" i="47" s="1"/>
  <c r="H82" i="48" s="1"/>
  <c r="H57" i="49" s="1"/>
  <c r="H83" i="50" s="1"/>
  <c r="H80" i="46"/>
  <c r="H81" i="47" s="1"/>
  <c r="H80" i="48" s="1"/>
  <c r="H55" i="49" s="1"/>
  <c r="H81" i="50" s="1"/>
  <c r="H79" i="46"/>
  <c r="H80" i="47" s="1"/>
  <c r="H78" i="46"/>
  <c r="H79" i="47" s="1"/>
  <c r="H79" i="48" s="1"/>
  <c r="H53" i="49" s="1"/>
  <c r="H79" i="50" s="1"/>
  <c r="H77" i="46"/>
  <c r="H78" i="47" s="1"/>
  <c r="H78" i="48" s="1"/>
  <c r="H101" i="49" s="1"/>
  <c r="H78" i="50" s="1"/>
  <c r="H74" i="46"/>
  <c r="H73" i="46"/>
  <c r="H74" i="47" s="1"/>
  <c r="H73" i="48" s="1"/>
  <c r="H72" i="46"/>
  <c r="H73" i="47" s="1"/>
  <c r="H72" i="48" s="1"/>
  <c r="H91" i="49" s="1"/>
  <c r="H74" i="50" s="1"/>
  <c r="H71" i="46"/>
  <c r="H72" i="47" s="1"/>
  <c r="H71" i="48" s="1"/>
  <c r="H90" i="49" s="1"/>
  <c r="H73" i="50" s="1"/>
  <c r="H70" i="46"/>
  <c r="H70" i="47" s="1"/>
  <c r="H69" i="48" s="1"/>
  <c r="H88" i="49" s="1"/>
  <c r="H71" i="50" s="1"/>
  <c r="H69" i="46"/>
  <c r="H69" i="47" s="1"/>
  <c r="H68" i="48" s="1"/>
  <c r="H86" i="49" s="1"/>
  <c r="H70" i="50" s="1"/>
  <c r="H68" i="46"/>
  <c r="H68" i="47" s="1"/>
  <c r="H67" i="48" s="1"/>
  <c r="H85" i="49" s="1"/>
  <c r="H69" i="50" s="1"/>
  <c r="H67" i="46"/>
  <c r="H67" i="47" s="1"/>
  <c r="H66" i="48" s="1"/>
  <c r="H84" i="49" s="1"/>
  <c r="H68" i="50" s="1"/>
  <c r="H66" i="46"/>
  <c r="H66" i="47" s="1"/>
  <c r="H65" i="48" s="1"/>
  <c r="H83" i="49" s="1"/>
  <c r="H67" i="50" s="1"/>
  <c r="H65" i="46"/>
  <c r="H65" i="47" s="1"/>
  <c r="H64" i="48" s="1"/>
  <c r="H82" i="49" s="1"/>
  <c r="H66" i="50" s="1"/>
  <c r="H64" i="46"/>
  <c r="H64" i="47" s="1"/>
  <c r="H63" i="48" s="1"/>
  <c r="H81" i="49" s="1"/>
  <c r="H65" i="50" s="1"/>
  <c r="H63" i="46"/>
  <c r="H63" i="47" s="1"/>
  <c r="H62" i="48" s="1"/>
  <c r="H73" i="49" s="1"/>
  <c r="H64" i="50" s="1"/>
  <c r="H60" i="46"/>
  <c r="H60" i="47" s="1"/>
  <c r="H60" i="48" s="1"/>
  <c r="H72" i="49" s="1"/>
  <c r="H62" i="50" s="1"/>
  <c r="H59" i="46"/>
  <c r="H59" i="47" s="1"/>
  <c r="H59" i="48" s="1"/>
  <c r="H71" i="49" s="1"/>
  <c r="H61" i="50" s="1"/>
  <c r="H58" i="46"/>
  <c r="H58" i="47" s="1"/>
  <c r="H58" i="48" s="1"/>
  <c r="H35" i="49" s="1"/>
  <c r="H60" i="50" s="1"/>
  <c r="H57" i="46"/>
  <c r="H57" i="47" s="1"/>
  <c r="H57" i="48" s="1"/>
  <c r="H34" i="49" s="1"/>
  <c r="H59" i="50" s="1"/>
  <c r="H56" i="46"/>
  <c r="H56" i="47" s="1"/>
  <c r="H56" i="48" s="1"/>
  <c r="H33" i="49" s="1"/>
  <c r="H58" i="50" s="1"/>
  <c r="H55" i="46"/>
  <c r="H55" i="47" s="1"/>
  <c r="H55" i="48" s="1"/>
  <c r="H32" i="49" s="1"/>
  <c r="H57" i="50" s="1"/>
  <c r="H54" i="46"/>
  <c r="H54" i="47" s="1"/>
  <c r="H54" i="48" s="1"/>
  <c r="H31" i="49" s="1"/>
  <c r="H56" i="50" s="1"/>
  <c r="H53" i="46"/>
  <c r="H53" i="47" s="1"/>
  <c r="H53" i="48" s="1"/>
  <c r="H30" i="49" s="1"/>
  <c r="H55" i="50" s="1"/>
  <c r="H52" i="46"/>
  <c r="H52" i="47" s="1"/>
  <c r="H52" i="48" s="1"/>
  <c r="H29" i="49" s="1"/>
  <c r="H54" i="50" s="1"/>
  <c r="H51" i="46"/>
  <c r="H51" i="47" s="1"/>
  <c r="H51" i="48" s="1"/>
  <c r="H108" i="49" s="1"/>
  <c r="H53" i="50" s="1"/>
  <c r="H50" i="46"/>
  <c r="H50" i="47" s="1"/>
  <c r="H50" i="48" s="1"/>
  <c r="H27" i="49" s="1"/>
  <c r="H52" i="50" s="1"/>
  <c r="H49" i="46"/>
  <c r="H49" i="47" s="1"/>
  <c r="H49" i="48" s="1"/>
  <c r="H107" i="49" s="1"/>
  <c r="H51" i="50" s="1"/>
  <c r="H48" i="46"/>
  <c r="H48" i="47" s="1"/>
  <c r="H48" i="48" s="1"/>
  <c r="H69" i="49" s="1"/>
  <c r="H50" i="50" s="1"/>
  <c r="H47" i="46"/>
  <c r="H47" i="47" s="1"/>
  <c r="H47" i="48" s="1"/>
  <c r="H65" i="49" s="1"/>
  <c r="H49" i="50" s="1"/>
  <c r="H46" i="46"/>
  <c r="H46" i="47" s="1"/>
  <c r="H46" i="48" s="1"/>
  <c r="H64" i="49" s="1"/>
  <c r="H48" i="50" s="1"/>
  <c r="H45" i="46"/>
  <c r="H45" i="47" s="1"/>
  <c r="H45" i="48" s="1"/>
  <c r="H22" i="49" s="1"/>
  <c r="H47" i="50" s="1"/>
  <c r="H44" i="46"/>
  <c r="H44" i="47" s="1"/>
  <c r="H44" i="48" s="1"/>
  <c r="H62" i="49" s="1"/>
  <c r="H46" i="50" s="1"/>
  <c r="H43" i="46"/>
  <c r="H43" i="47" s="1"/>
  <c r="H43" i="48" s="1"/>
  <c r="H61" i="49" s="1"/>
  <c r="H45" i="50" s="1"/>
  <c r="H42" i="46"/>
  <c r="H42" i="47" s="1"/>
  <c r="H42" i="48" s="1"/>
  <c r="H56" i="49" s="1"/>
  <c r="H44" i="50" s="1"/>
  <c r="H41" i="46"/>
  <c r="H41" i="47" s="1"/>
  <c r="H41" i="48" s="1"/>
  <c r="H52" i="49" s="1"/>
  <c r="H43" i="50" s="1"/>
  <c r="H40" i="46"/>
  <c r="H40" i="47" s="1"/>
  <c r="H40" i="48" s="1"/>
  <c r="H51" i="49" s="1"/>
  <c r="H42" i="50" s="1"/>
  <c r="H39" i="46"/>
  <c r="H39" i="47" s="1"/>
  <c r="H39" i="48" s="1"/>
  <c r="H48" i="49" s="1"/>
  <c r="H41" i="50" s="1"/>
  <c r="H38" i="46"/>
  <c r="H38" i="47" s="1"/>
  <c r="H38" i="48" s="1"/>
  <c r="H47" i="49" s="1"/>
  <c r="H40" i="50" s="1"/>
  <c r="H37" i="46"/>
  <c r="H37" i="47" s="1"/>
  <c r="H37" i="48" s="1"/>
  <c r="H46" i="49" s="1"/>
  <c r="H38" i="50" s="1"/>
  <c r="H36" i="46"/>
  <c r="H36" i="47" s="1"/>
  <c r="H36" i="48" s="1"/>
  <c r="H45" i="49" s="1"/>
  <c r="H37" i="50" s="1"/>
  <c r="H35" i="46"/>
  <c r="H35" i="47" s="1"/>
  <c r="H35" i="48" s="1"/>
  <c r="H44" i="49" s="1"/>
  <c r="H36" i="50" s="1"/>
  <c r="H34" i="46"/>
  <c r="H33" i="47" s="1"/>
  <c r="H33" i="48" s="1"/>
  <c r="H42" i="49" s="1"/>
  <c r="H35" i="50" s="1"/>
  <c r="H33" i="46"/>
  <c r="H32" i="47" s="1"/>
  <c r="H32" i="48" s="1"/>
  <c r="H41" i="49" s="1"/>
  <c r="H34" i="50" s="1"/>
  <c r="H32" i="46"/>
  <c r="H31" i="47" s="1"/>
  <c r="H31" i="48" s="1"/>
  <c r="H8" i="49" s="1"/>
  <c r="H33" i="50" s="1"/>
  <c r="H31" i="46"/>
  <c r="H30" i="47" s="1"/>
  <c r="H30" i="48" s="1"/>
  <c r="H7" i="49" s="1"/>
  <c r="H32" i="50" s="1"/>
  <c r="H30" i="46"/>
  <c r="H29" i="47" s="1"/>
  <c r="H29" i="48" s="1"/>
  <c r="H6" i="49" s="1"/>
  <c r="H31" i="50" s="1"/>
  <c r="H29" i="46"/>
  <c r="H28" i="47" s="1"/>
  <c r="H28" i="48" s="1"/>
  <c r="H28" i="49" s="1"/>
  <c r="H30" i="50" s="1"/>
  <c r="H28" i="46"/>
  <c r="H27" i="47" s="1"/>
  <c r="H27" i="48" s="1"/>
  <c r="H36" i="49" s="1"/>
  <c r="H29" i="50" s="1"/>
  <c r="H27" i="46"/>
  <c r="H26" i="47" s="1"/>
  <c r="H26" i="48" s="1"/>
  <c r="H37" i="49" s="1"/>
  <c r="H28" i="50" s="1"/>
  <c r="H26" i="46"/>
  <c r="H25" i="47" s="1"/>
  <c r="H25" i="48" s="1"/>
  <c r="H38" i="49" s="1"/>
  <c r="H27" i="50" s="1"/>
  <c r="H25" i="46"/>
  <c r="H24" i="47" s="1"/>
  <c r="H24" i="48" s="1"/>
  <c r="H39" i="49" s="1"/>
  <c r="H26" i="50" s="1"/>
  <c r="H24" i="46"/>
  <c r="H23" i="47" s="1"/>
  <c r="H23" i="48" s="1"/>
  <c r="H40" i="49" s="1"/>
  <c r="H25" i="50" s="1"/>
  <c r="H23" i="46"/>
  <c r="H22" i="47" s="1"/>
  <c r="H22" i="48" s="1"/>
  <c r="H21" i="46"/>
  <c r="H20" i="47" s="1"/>
  <c r="H20" i="48" s="1"/>
  <c r="H9" i="49" s="1"/>
  <c r="H23" i="50" s="1"/>
  <c r="H20" i="46"/>
  <c r="H19" i="47" s="1"/>
  <c r="H19" i="48" s="1"/>
  <c r="H10" i="49" s="1"/>
  <c r="H22" i="50" s="1"/>
  <c r="H19" i="46"/>
  <c r="H18" i="47" s="1"/>
  <c r="H18" i="48" s="1"/>
  <c r="H11" i="49" s="1"/>
  <c r="H21" i="50" s="1"/>
  <c r="H18" i="46"/>
  <c r="H17" i="47" s="1"/>
  <c r="H17" i="48" s="1"/>
  <c r="H12" i="49" s="1"/>
  <c r="H20" i="50" s="1"/>
  <c r="H17" i="46"/>
  <c r="H16" i="47" s="1"/>
  <c r="H16" i="48" s="1"/>
  <c r="H13" i="49" s="1"/>
  <c r="H19" i="50" s="1"/>
  <c r="H16" i="46"/>
  <c r="H15" i="47" s="1"/>
  <c r="H15" i="48" s="1"/>
  <c r="H14" i="49" s="1"/>
  <c r="H18" i="50" s="1"/>
  <c r="H15" i="46"/>
  <c r="H14" i="47" s="1"/>
  <c r="H14" i="48" s="1"/>
  <c r="H15" i="49" s="1"/>
  <c r="H17" i="50" s="1"/>
  <c r="H14" i="46"/>
  <c r="H13" i="47" s="1"/>
  <c r="H13" i="48" s="1"/>
  <c r="H16" i="49" s="1"/>
  <c r="H16" i="50" s="1"/>
  <c r="H13" i="46"/>
  <c r="H12" i="47" s="1"/>
  <c r="H12" i="48" s="1"/>
  <c r="H18" i="49" s="1"/>
  <c r="H14" i="50" s="1"/>
  <c r="H12" i="46"/>
  <c r="H11" i="47" s="1"/>
  <c r="H11" i="48" s="1"/>
  <c r="H19" i="49" s="1"/>
  <c r="H13" i="50" s="1"/>
  <c r="H11" i="46"/>
  <c r="H10" i="47" s="1"/>
  <c r="H10" i="48" s="1"/>
  <c r="H20" i="49" s="1"/>
  <c r="H12" i="50" s="1"/>
  <c r="H10" i="46"/>
  <c r="H9" i="47" s="1"/>
  <c r="H9" i="48" s="1"/>
  <c r="H21" i="49" s="1"/>
  <c r="H11" i="50" s="1"/>
  <c r="H9" i="46"/>
  <c r="H8" i="47" s="1"/>
  <c r="H8" i="48" s="1"/>
  <c r="H23" i="49" s="1"/>
  <c r="H10" i="50" s="1"/>
  <c r="H8" i="46"/>
  <c r="H7" i="47" s="1"/>
  <c r="H7" i="48" s="1"/>
  <c r="H24" i="49" s="1"/>
  <c r="H9" i="50" s="1"/>
  <c r="H7" i="46"/>
  <c r="H6" i="47" s="1"/>
  <c r="H6" i="48" s="1"/>
  <c r="H25" i="49" s="1"/>
  <c r="H8" i="50" s="1"/>
  <c r="H6" i="46"/>
  <c r="H5" i="47" s="1"/>
  <c r="H5" i="46"/>
  <c r="G1069" i="46"/>
  <c r="G1068" i="46"/>
  <c r="G1067" i="46"/>
  <c r="G1066" i="46"/>
  <c r="G1065" i="46"/>
  <c r="G1064" i="46"/>
  <c r="G1063" i="46"/>
  <c r="G1062" i="46"/>
  <c r="G1061" i="46"/>
  <c r="G1060" i="46"/>
  <c r="G1059" i="46"/>
  <c r="G1058" i="46"/>
  <c r="G1057" i="46"/>
  <c r="G1056" i="46"/>
  <c r="G1055" i="46"/>
  <c r="G1054" i="46"/>
  <c r="G1053" i="46"/>
  <c r="G1052" i="46"/>
  <c r="G1051" i="46"/>
  <c r="G1050" i="46"/>
  <c r="G1049" i="46"/>
  <c r="G1048" i="46"/>
  <c r="G1047" i="46"/>
  <c r="G1046" i="46"/>
  <c r="G1045" i="46"/>
  <c r="G1044" i="46"/>
  <c r="G1043" i="46"/>
  <c r="G1042" i="46"/>
  <c r="G1041" i="46"/>
  <c r="G1040" i="46"/>
  <c r="G1039" i="46"/>
  <c r="G1038" i="46"/>
  <c r="G1037" i="46"/>
  <c r="G1036" i="46"/>
  <c r="G1035" i="46"/>
  <c r="G1034" i="46"/>
  <c r="G1033" i="46"/>
  <c r="G1032" i="46"/>
  <c r="G1031" i="46"/>
  <c r="G1030" i="46"/>
  <c r="G1029" i="46"/>
  <c r="G1028" i="46"/>
  <c r="G1027" i="46"/>
  <c r="G1026" i="46"/>
  <c r="G1025" i="46"/>
  <c r="G1024" i="46"/>
  <c r="G1023" i="46"/>
  <c r="G1022" i="46"/>
  <c r="G1021" i="46"/>
  <c r="G1020" i="46"/>
  <c r="G1019" i="46"/>
  <c r="G1018" i="46"/>
  <c r="G1017" i="46"/>
  <c r="G1016" i="46"/>
  <c r="G1015" i="46"/>
  <c r="G1014" i="46"/>
  <c r="G1013" i="46"/>
  <c r="G1012" i="46"/>
  <c r="G1011" i="46"/>
  <c r="G1010" i="46"/>
  <c r="G1009" i="46"/>
  <c r="G1008" i="46"/>
  <c r="G1007" i="46"/>
  <c r="G1006" i="46"/>
  <c r="G1005" i="46"/>
  <c r="G1004" i="46"/>
  <c r="G1003" i="46"/>
  <c r="G1002" i="46"/>
  <c r="G1001" i="46"/>
  <c r="G1000" i="46"/>
  <c r="G999" i="46"/>
  <c r="G998" i="46"/>
  <c r="G997" i="46"/>
  <c r="G996" i="46"/>
  <c r="G995" i="46"/>
  <c r="G994" i="46"/>
  <c r="G993" i="46"/>
  <c r="G992" i="46"/>
  <c r="G991" i="46"/>
  <c r="G990" i="46"/>
  <c r="G989" i="46"/>
  <c r="G988" i="46"/>
  <c r="G987" i="46"/>
  <c r="G986" i="46"/>
  <c r="G985" i="46"/>
  <c r="G984" i="46"/>
  <c r="G983" i="46"/>
  <c r="G982" i="46"/>
  <c r="G981" i="46"/>
  <c r="G980" i="46"/>
  <c r="G979" i="46"/>
  <c r="G978" i="46"/>
  <c r="G977" i="46"/>
  <c r="G976" i="46"/>
  <c r="G975" i="46"/>
  <c r="G974" i="46"/>
  <c r="G973" i="46"/>
  <c r="G972" i="46"/>
  <c r="G971" i="46"/>
  <c r="G970" i="46"/>
  <c r="G969" i="46"/>
  <c r="G968" i="46"/>
  <c r="G967" i="46"/>
  <c r="G966" i="46"/>
  <c r="G965" i="46"/>
  <c r="G964" i="46"/>
  <c r="G963" i="46"/>
  <c r="G962" i="46"/>
  <c r="G961" i="46"/>
  <c r="G960" i="46"/>
  <c r="G959" i="46"/>
  <c r="G958" i="46"/>
  <c r="G957" i="46"/>
  <c r="G956" i="46"/>
  <c r="G955" i="46"/>
  <c r="G954" i="46"/>
  <c r="G953" i="46"/>
  <c r="G952" i="46"/>
  <c r="G951" i="46"/>
  <c r="G950" i="46"/>
  <c r="G949" i="46"/>
  <c r="G948" i="46"/>
  <c r="G947" i="46"/>
  <c r="G946" i="46"/>
  <c r="G945" i="46"/>
  <c r="G944" i="46"/>
  <c r="G943" i="46"/>
  <c r="G942" i="46"/>
  <c r="G941" i="46"/>
  <c r="G940" i="46"/>
  <c r="G939" i="46"/>
  <c r="G938" i="46"/>
  <c r="G937" i="46"/>
  <c r="G936" i="46"/>
  <c r="G935" i="46"/>
  <c r="G934" i="46"/>
  <c r="G933" i="46"/>
  <c r="G932" i="46"/>
  <c r="G931" i="46"/>
  <c r="G930" i="46"/>
  <c r="G929" i="46"/>
  <c r="G928" i="46"/>
  <c r="G927" i="46"/>
  <c r="G926" i="46"/>
  <c r="G925" i="46"/>
  <c r="G924" i="46"/>
  <c r="G923" i="46"/>
  <c r="G922" i="46"/>
  <c r="G921" i="46"/>
  <c r="G920" i="46"/>
  <c r="G919" i="46"/>
  <c r="G918" i="46"/>
  <c r="G917" i="46"/>
  <c r="G916" i="46"/>
  <c r="G915" i="46"/>
  <c r="G914" i="46"/>
  <c r="G913" i="46"/>
  <c r="G912" i="46"/>
  <c r="G911" i="46"/>
  <c r="G910" i="46"/>
  <c r="G909" i="46"/>
  <c r="G908" i="46"/>
  <c r="G907" i="46"/>
  <c r="G906" i="46"/>
  <c r="G905" i="46"/>
  <c r="G904" i="46"/>
  <c r="G903" i="46"/>
  <c r="G902" i="46"/>
  <c r="G901" i="46"/>
  <c r="G900" i="46"/>
  <c r="G899" i="46"/>
  <c r="G898" i="46"/>
  <c r="G897" i="46"/>
  <c r="G896" i="46"/>
  <c r="G895" i="46"/>
  <c r="G894" i="46"/>
  <c r="G893" i="46"/>
  <c r="G892" i="46"/>
  <c r="G891" i="46"/>
  <c r="G890" i="46"/>
  <c r="G889" i="46"/>
  <c r="G888" i="46"/>
  <c r="G887" i="46"/>
  <c r="G886" i="46"/>
  <c r="G885" i="46"/>
  <c r="G884" i="46"/>
  <c r="G883" i="46"/>
  <c r="G882" i="46"/>
  <c r="G881" i="46"/>
  <c r="G880" i="46"/>
  <c r="G879" i="46"/>
  <c r="G878" i="46"/>
  <c r="G877" i="46"/>
  <c r="G876" i="46"/>
  <c r="G875" i="46"/>
  <c r="G874" i="46"/>
  <c r="G873" i="46"/>
  <c r="G872" i="46"/>
  <c r="G871" i="46"/>
  <c r="G870" i="46"/>
  <c r="G869" i="46"/>
  <c r="G868" i="46"/>
  <c r="G867" i="46"/>
  <c r="G866" i="46"/>
  <c r="G865" i="46"/>
  <c r="G864" i="46"/>
  <c r="G863" i="46"/>
  <c r="G862" i="46"/>
  <c r="G861" i="46"/>
  <c r="G860" i="46"/>
  <c r="G859" i="46"/>
  <c r="G858" i="46"/>
  <c r="G857" i="46"/>
  <c r="G856" i="46"/>
  <c r="G855" i="46"/>
  <c r="G854" i="46"/>
  <c r="G853" i="46"/>
  <c r="G852" i="46"/>
  <c r="G851" i="46"/>
  <c r="G850" i="46"/>
  <c r="G849" i="46"/>
  <c r="G848" i="46"/>
  <c r="G847" i="46"/>
  <c r="G846" i="46"/>
  <c r="G845" i="46"/>
  <c r="G844" i="46"/>
  <c r="G843" i="46"/>
  <c r="G842" i="46"/>
  <c r="G841" i="46"/>
  <c r="G840" i="46"/>
  <c r="G839" i="46"/>
  <c r="G838" i="46"/>
  <c r="G837" i="46"/>
  <c r="G836" i="46"/>
  <c r="G835" i="46"/>
  <c r="G834" i="46"/>
  <c r="G833" i="46"/>
  <c r="G832" i="46"/>
  <c r="G831" i="46"/>
  <c r="G830" i="46"/>
  <c r="G829" i="46"/>
  <c r="G828" i="46"/>
  <c r="G827" i="46"/>
  <c r="G826" i="46"/>
  <c r="G825" i="46"/>
  <c r="G824" i="46"/>
  <c r="G823" i="46"/>
  <c r="G822" i="46"/>
  <c r="G821" i="46"/>
  <c r="G820" i="46"/>
  <c r="G819" i="46"/>
  <c r="G818" i="46"/>
  <c r="G817" i="46"/>
  <c r="G816" i="46"/>
  <c r="G815" i="46"/>
  <c r="G814" i="46"/>
  <c r="G813" i="46"/>
  <c r="G812" i="46"/>
  <c r="G811" i="46"/>
  <c r="G810" i="46"/>
  <c r="G809" i="46"/>
  <c r="G808" i="46"/>
  <c r="G807" i="46"/>
  <c r="G806" i="46"/>
  <c r="G805" i="46"/>
  <c r="G804" i="46"/>
  <c r="G803" i="46"/>
  <c r="G802" i="46"/>
  <c r="G801" i="46"/>
  <c r="G800" i="46"/>
  <c r="G799" i="46"/>
  <c r="G798" i="46"/>
  <c r="G797" i="46"/>
  <c r="G796" i="46"/>
  <c r="G795" i="46"/>
  <c r="G794" i="46"/>
  <c r="G793" i="46"/>
  <c r="G792" i="46"/>
  <c r="G791" i="46"/>
  <c r="G790" i="46"/>
  <c r="G789" i="46"/>
  <c r="G788" i="46"/>
  <c r="G787" i="46"/>
  <c r="G786" i="46"/>
  <c r="G785" i="46"/>
  <c r="G784" i="46"/>
  <c r="G783" i="46"/>
  <c r="G782" i="46"/>
  <c r="G781" i="46"/>
  <c r="G780" i="46"/>
  <c r="G779" i="46"/>
  <c r="G778" i="46"/>
  <c r="G777" i="46"/>
  <c r="G776" i="46"/>
  <c r="G775" i="46"/>
  <c r="G774" i="46"/>
  <c r="G773" i="46"/>
  <c r="G772" i="46"/>
  <c r="G771" i="46"/>
  <c r="G770" i="46"/>
  <c r="G769" i="46"/>
  <c r="G768" i="46"/>
  <c r="G767" i="46"/>
  <c r="G766" i="46"/>
  <c r="G765" i="46"/>
  <c r="G764" i="46"/>
  <c r="G763" i="46"/>
  <c r="G762" i="46"/>
  <c r="G761" i="46"/>
  <c r="G760" i="46"/>
  <c r="G759" i="46"/>
  <c r="G758" i="46"/>
  <c r="G757" i="46"/>
  <c r="G756" i="46"/>
  <c r="G755" i="46"/>
  <c r="G754" i="46"/>
  <c r="G753" i="46"/>
  <c r="G752" i="46"/>
  <c r="G751" i="46"/>
  <c r="G750" i="46"/>
  <c r="G749" i="46"/>
  <c r="G748" i="46"/>
  <c r="G747" i="46"/>
  <c r="G746" i="46"/>
  <c r="G745" i="46"/>
  <c r="G744" i="46"/>
  <c r="G743" i="46"/>
  <c r="G742" i="46"/>
  <c r="G741" i="46"/>
  <c r="G740" i="46"/>
  <c r="G739" i="46"/>
  <c r="G738" i="46"/>
  <c r="G737" i="46"/>
  <c r="G736" i="46"/>
  <c r="G735" i="46"/>
  <c r="G734" i="46"/>
  <c r="G733" i="46"/>
  <c r="G732" i="46"/>
  <c r="G731" i="46"/>
  <c r="G730" i="46"/>
  <c r="G729" i="46"/>
  <c r="G728" i="46"/>
  <c r="G727" i="46"/>
  <c r="G726" i="46"/>
  <c r="G725" i="46"/>
  <c r="G724" i="46"/>
  <c r="G723" i="46"/>
  <c r="G722" i="46"/>
  <c r="G721" i="46"/>
  <c r="G720" i="46"/>
  <c r="G719" i="46"/>
  <c r="G718" i="46"/>
  <c r="G717" i="46"/>
  <c r="G716" i="46"/>
  <c r="G715" i="46"/>
  <c r="G714" i="46"/>
  <c r="G713" i="46"/>
  <c r="G712" i="46"/>
  <c r="G711" i="46"/>
  <c r="G710" i="46"/>
  <c r="G709" i="46"/>
  <c r="G708" i="46"/>
  <c r="G707" i="46"/>
  <c r="G706" i="46"/>
  <c r="G705" i="46"/>
  <c r="G704" i="46"/>
  <c r="G703" i="46"/>
  <c r="G702" i="46"/>
  <c r="G701" i="46"/>
  <c r="G700" i="46"/>
  <c r="G699" i="46"/>
  <c r="G698" i="46"/>
  <c r="G697" i="46"/>
  <c r="G696" i="46"/>
  <c r="G695" i="46"/>
  <c r="G694" i="46"/>
  <c r="G693" i="46"/>
  <c r="G692" i="46"/>
  <c r="G691" i="46"/>
  <c r="G690" i="46"/>
  <c r="G689" i="46"/>
  <c r="G688" i="46"/>
  <c r="G687" i="46"/>
  <c r="G686" i="46"/>
  <c r="G685" i="46"/>
  <c r="G684" i="46"/>
  <c r="G683" i="46"/>
  <c r="G682" i="46"/>
  <c r="G681" i="46"/>
  <c r="G680" i="46"/>
  <c r="G679" i="46"/>
  <c r="G678" i="46"/>
  <c r="G677" i="46"/>
  <c r="G676" i="46"/>
  <c r="G675" i="46"/>
  <c r="G674" i="46"/>
  <c r="G673" i="46"/>
  <c r="G672" i="46"/>
  <c r="G671" i="46"/>
  <c r="G670" i="46"/>
  <c r="G669" i="46"/>
  <c r="G668" i="46"/>
  <c r="G667" i="46"/>
  <c r="G666" i="46"/>
  <c r="G665" i="46"/>
  <c r="G664" i="46"/>
  <c r="G663" i="46"/>
  <c r="G662" i="46"/>
  <c r="G661" i="46"/>
  <c r="G660" i="46"/>
  <c r="G659" i="46"/>
  <c r="G658" i="46"/>
  <c r="G657" i="46"/>
  <c r="G656" i="46"/>
  <c r="G655" i="46"/>
  <c r="G654" i="46"/>
  <c r="G653" i="46"/>
  <c r="G652" i="46"/>
  <c r="G651" i="46"/>
  <c r="G650" i="46"/>
  <c r="G649" i="46"/>
  <c r="G648" i="46"/>
  <c r="G647" i="46"/>
  <c r="G646" i="46"/>
  <c r="G645" i="46"/>
  <c r="G644" i="46"/>
  <c r="G643" i="46"/>
  <c r="G642" i="46"/>
  <c r="G641" i="46"/>
  <c r="G640" i="46"/>
  <c r="G639" i="46"/>
  <c r="G638" i="46"/>
  <c r="G637" i="46"/>
  <c r="G636" i="46"/>
  <c r="G635" i="46"/>
  <c r="G634" i="46"/>
  <c r="G633" i="46"/>
  <c r="G632" i="46"/>
  <c r="G631" i="46"/>
  <c r="G630" i="46"/>
  <c r="G629" i="46"/>
  <c r="G628" i="46"/>
  <c r="G627" i="46"/>
  <c r="G626" i="46"/>
  <c r="G625" i="46"/>
  <c r="G624" i="46"/>
  <c r="G623" i="46"/>
  <c r="G622" i="46"/>
  <c r="G621" i="46"/>
  <c r="G620" i="46"/>
  <c r="G619" i="46"/>
  <c r="G618" i="46"/>
  <c r="G617" i="46"/>
  <c r="G616" i="46"/>
  <c r="G615" i="46"/>
  <c r="G614" i="46"/>
  <c r="G613" i="46"/>
  <c r="G612" i="46"/>
  <c r="G611" i="46"/>
  <c r="G610" i="46"/>
  <c r="G609" i="46"/>
  <c r="G608" i="46"/>
  <c r="G607" i="46"/>
  <c r="G606" i="46"/>
  <c r="G605" i="46"/>
  <c r="G604" i="46"/>
  <c r="G603" i="46"/>
  <c r="G602" i="46"/>
  <c r="G601" i="46"/>
  <c r="G600" i="46"/>
  <c r="G599" i="46"/>
  <c r="G598" i="46"/>
  <c r="G597" i="46"/>
  <c r="G596" i="46"/>
  <c r="G595" i="46"/>
  <c r="G594" i="46"/>
  <c r="G593" i="46"/>
  <c r="G592" i="46"/>
  <c r="G591" i="46"/>
  <c r="G590" i="46"/>
  <c r="G589" i="46"/>
  <c r="G588" i="46"/>
  <c r="G587" i="46"/>
  <c r="G586" i="46"/>
  <c r="G585" i="46"/>
  <c r="G584" i="46"/>
  <c r="G583" i="46"/>
  <c r="G582" i="46"/>
  <c r="G581" i="46"/>
  <c r="G580" i="46"/>
  <c r="G579" i="46"/>
  <c r="G578" i="46"/>
  <c r="G577" i="46"/>
  <c r="G576" i="46"/>
  <c r="G575" i="46"/>
  <c r="G574" i="46"/>
  <c r="G573" i="46"/>
  <c r="G572" i="46"/>
  <c r="G571" i="46"/>
  <c r="G570" i="46"/>
  <c r="G569" i="46"/>
  <c r="G568" i="46"/>
  <c r="G567" i="46"/>
  <c r="G566" i="46"/>
  <c r="G565" i="46"/>
  <c r="G564" i="46"/>
  <c r="G563" i="46"/>
  <c r="G562" i="46"/>
  <c r="G561" i="46"/>
  <c r="G560" i="46"/>
  <c r="G559" i="46"/>
  <c r="G558" i="46"/>
  <c r="G557" i="46"/>
  <c r="G556" i="46"/>
  <c r="G555" i="46"/>
  <c r="G554" i="46"/>
  <c r="G553" i="46"/>
  <c r="G552" i="46"/>
  <c r="G551" i="46"/>
  <c r="G550" i="46"/>
  <c r="G549" i="46"/>
  <c r="G548" i="46"/>
  <c r="G547" i="46"/>
  <c r="G546" i="46"/>
  <c r="G545" i="46"/>
  <c r="G544" i="46"/>
  <c r="G543" i="46"/>
  <c r="G542" i="46"/>
  <c r="G541" i="46"/>
  <c r="G540" i="46"/>
  <c r="G539" i="46"/>
  <c r="G538" i="46"/>
  <c r="G537" i="46"/>
  <c r="G536" i="46"/>
  <c r="G535" i="46"/>
  <c r="G534" i="46"/>
  <c r="G533" i="46"/>
  <c r="G532" i="46"/>
  <c r="G531" i="46"/>
  <c r="G530" i="46"/>
  <c r="G529" i="46"/>
  <c r="G528" i="46"/>
  <c r="G527" i="46"/>
  <c r="G526" i="46"/>
  <c r="G525" i="46"/>
  <c r="G524" i="46"/>
  <c r="G523" i="46"/>
  <c r="G522" i="46"/>
  <c r="G521" i="46"/>
  <c r="G520" i="46"/>
  <c r="G519" i="46"/>
  <c r="G518" i="46"/>
  <c r="G517" i="46"/>
  <c r="G516" i="46"/>
  <c r="G515" i="46"/>
  <c r="G514" i="46"/>
  <c r="G513" i="46"/>
  <c r="G512" i="46"/>
  <c r="G511" i="46"/>
  <c r="G510" i="46"/>
  <c r="G509" i="46"/>
  <c r="G508" i="46"/>
  <c r="G507" i="46"/>
  <c r="G506" i="46"/>
  <c r="G505" i="46"/>
  <c r="G504" i="46"/>
  <c r="G503" i="46"/>
  <c r="G502" i="46"/>
  <c r="G501" i="46"/>
  <c r="G500" i="46"/>
  <c r="G499" i="46"/>
  <c r="G498" i="46"/>
  <c r="G497" i="46"/>
  <c r="G496" i="46"/>
  <c r="G495" i="46"/>
  <c r="G494" i="46"/>
  <c r="G493" i="46"/>
  <c r="G492" i="46"/>
  <c r="G491" i="46"/>
  <c r="G490" i="46"/>
  <c r="G489" i="46"/>
  <c r="G488" i="46"/>
  <c r="G487" i="46"/>
  <c r="G486" i="46"/>
  <c r="G485" i="46"/>
  <c r="G484" i="46"/>
  <c r="G483" i="46"/>
  <c r="G482" i="46"/>
  <c r="G481" i="46"/>
  <c r="G480" i="46"/>
  <c r="G479" i="46"/>
  <c r="G478" i="46"/>
  <c r="G477" i="46"/>
  <c r="G476" i="46"/>
  <c r="G475" i="46"/>
  <c r="G474" i="46"/>
  <c r="G473" i="46"/>
  <c r="G472" i="46"/>
  <c r="G471" i="46"/>
  <c r="G470" i="46"/>
  <c r="G469" i="46"/>
  <c r="G468" i="46"/>
  <c r="G467" i="46"/>
  <c r="G466" i="46"/>
  <c r="G465" i="46"/>
  <c r="G464" i="46"/>
  <c r="G463" i="46"/>
  <c r="G462" i="46"/>
  <c r="G461" i="46"/>
  <c r="G460" i="46"/>
  <c r="G459" i="46"/>
  <c r="G458" i="46"/>
  <c r="G457" i="46"/>
  <c r="G456" i="46"/>
  <c r="G455" i="46"/>
  <c r="G454" i="46"/>
  <c r="G453" i="46"/>
  <c r="G452" i="46"/>
  <c r="G451" i="46"/>
  <c r="G450" i="46"/>
  <c r="G449" i="46"/>
  <c r="G448" i="46"/>
  <c r="G447" i="46"/>
  <c r="G446" i="46"/>
  <c r="G445" i="46"/>
  <c r="G444" i="46"/>
  <c r="G443" i="46"/>
  <c r="G442" i="46"/>
  <c r="G441" i="46"/>
  <c r="G440" i="46"/>
  <c r="G439" i="46"/>
  <c r="G438" i="46"/>
  <c r="G437" i="46"/>
  <c r="G436" i="46"/>
  <c r="G435" i="46"/>
  <c r="G434" i="46"/>
  <c r="G433" i="46"/>
  <c r="G432" i="46"/>
  <c r="G431" i="46"/>
  <c r="G430" i="46"/>
  <c r="G429" i="46"/>
  <c r="G428" i="46"/>
  <c r="G427" i="46"/>
  <c r="G426" i="46"/>
  <c r="G425" i="46"/>
  <c r="G424" i="46"/>
  <c r="G423" i="46"/>
  <c r="G422" i="46"/>
  <c r="G421" i="46"/>
  <c r="G420" i="46"/>
  <c r="G419" i="46"/>
  <c r="G418" i="46"/>
  <c r="G417" i="46"/>
  <c r="G416" i="46"/>
  <c r="G415" i="46"/>
  <c r="G414" i="46"/>
  <c r="G413" i="46"/>
  <c r="G412" i="46"/>
  <c r="G411" i="46"/>
  <c r="G410" i="46"/>
  <c r="G409" i="46"/>
  <c r="G408" i="46"/>
  <c r="G407" i="46"/>
  <c r="G406" i="46"/>
  <c r="G405" i="46"/>
  <c r="G404" i="46"/>
  <c r="G403" i="46"/>
  <c r="G402" i="46"/>
  <c r="G401" i="46"/>
  <c r="G400" i="46"/>
  <c r="G399" i="46"/>
  <c r="G398" i="46"/>
  <c r="G397" i="46"/>
  <c r="G396" i="46"/>
  <c r="G395" i="46"/>
  <c r="G394" i="46"/>
  <c r="G393" i="46"/>
  <c r="G392" i="46"/>
  <c r="G391" i="46"/>
  <c r="G390" i="46"/>
  <c r="G389" i="46"/>
  <c r="G388" i="46"/>
  <c r="G387" i="46"/>
  <c r="G386" i="46"/>
  <c r="G385" i="46"/>
  <c r="G384" i="46"/>
  <c r="G383" i="46"/>
  <c r="G382" i="46"/>
  <c r="G381" i="46"/>
  <c r="G380" i="46"/>
  <c r="G379" i="46"/>
  <c r="G378" i="46"/>
  <c r="G377" i="46"/>
  <c r="G376" i="46"/>
  <c r="G375" i="46"/>
  <c r="G374" i="46"/>
  <c r="G373" i="46"/>
  <c r="G372" i="46"/>
  <c r="G371" i="46"/>
  <c r="G370" i="46"/>
  <c r="G369" i="46"/>
  <c r="G368" i="46"/>
  <c r="G367" i="46"/>
  <c r="G366" i="46"/>
  <c r="G365" i="46"/>
  <c r="G364" i="46"/>
  <c r="G363" i="46"/>
  <c r="G362" i="46"/>
  <c r="G361" i="46"/>
  <c r="G360" i="46"/>
  <c r="G359" i="46"/>
  <c r="G358" i="46"/>
  <c r="G357" i="46"/>
  <c r="G356" i="46"/>
  <c r="G355" i="46"/>
  <c r="G354" i="46"/>
  <c r="G353" i="46"/>
  <c r="G352" i="46"/>
  <c r="G351" i="46"/>
  <c r="G350" i="46"/>
  <c r="G349" i="46"/>
  <c r="G348" i="46"/>
  <c r="G347" i="46"/>
  <c r="G346" i="46"/>
  <c r="G345" i="46"/>
  <c r="G344" i="46"/>
  <c r="G343" i="46"/>
  <c r="G342" i="46"/>
  <c r="G341" i="46"/>
  <c r="G340" i="46"/>
  <c r="G339" i="46"/>
  <c r="G338" i="46"/>
  <c r="G337" i="46"/>
  <c r="G336" i="46"/>
  <c r="G335" i="46"/>
  <c r="G334" i="46"/>
  <c r="G333" i="46"/>
  <c r="G332" i="46"/>
  <c r="G331" i="46"/>
  <c r="G330" i="46"/>
  <c r="G329" i="46"/>
  <c r="G328" i="46"/>
  <c r="G327" i="46"/>
  <c r="G326" i="46"/>
  <c r="G325" i="46"/>
  <c r="G324" i="46"/>
  <c r="G323" i="46"/>
  <c r="G322" i="46"/>
  <c r="G321" i="46"/>
  <c r="G320" i="46"/>
  <c r="G319" i="46"/>
  <c r="G318" i="46"/>
  <c r="G317" i="46"/>
  <c r="G316" i="46"/>
  <c r="G315" i="46"/>
  <c r="G314" i="46"/>
  <c r="G313" i="46"/>
  <c r="G312" i="46"/>
  <c r="G311" i="46"/>
  <c r="G310" i="46"/>
  <c r="G309" i="46"/>
  <c r="G308" i="46"/>
  <c r="G307" i="46"/>
  <c r="G306" i="46"/>
  <c r="G305" i="46"/>
  <c r="G304" i="46"/>
  <c r="G303" i="46"/>
  <c r="G302" i="46"/>
  <c r="G301" i="46"/>
  <c r="G300" i="46"/>
  <c r="G299" i="46"/>
  <c r="G298" i="46"/>
  <c r="G297" i="46"/>
  <c r="G296" i="46"/>
  <c r="G295" i="46"/>
  <c r="G294" i="46"/>
  <c r="G293" i="46"/>
  <c r="G292" i="46"/>
  <c r="G291" i="46"/>
  <c r="G290" i="46"/>
  <c r="G289" i="46"/>
  <c r="G288" i="46"/>
  <c r="G287" i="46"/>
  <c r="G286" i="46"/>
  <c r="G285" i="46"/>
  <c r="G284" i="46"/>
  <c r="G283" i="46"/>
  <c r="G282" i="46"/>
  <c r="G281" i="46"/>
  <c r="G280" i="46"/>
  <c r="G279" i="46"/>
  <c r="G278" i="46"/>
  <c r="G277" i="46"/>
  <c r="G276" i="46"/>
  <c r="G275" i="46"/>
  <c r="G274" i="46"/>
  <c r="G273" i="46"/>
  <c r="G272" i="46"/>
  <c r="G271" i="46"/>
  <c r="G270" i="46"/>
  <c r="G269" i="46"/>
  <c r="G268" i="46"/>
  <c r="G267" i="46"/>
  <c r="G266" i="46"/>
  <c r="G265" i="46"/>
  <c r="G264" i="46"/>
  <c r="G263" i="46"/>
  <c r="G262" i="46"/>
  <c r="G261" i="46"/>
  <c r="G260" i="46"/>
  <c r="G259" i="46"/>
  <c r="G258" i="46"/>
  <c r="G257" i="46"/>
  <c r="G256" i="46"/>
  <c r="G255" i="46"/>
  <c r="G254" i="46"/>
  <c r="G253" i="46"/>
  <c r="G252" i="46"/>
  <c r="G251" i="46"/>
  <c r="G250" i="46"/>
  <c r="G249" i="46"/>
  <c r="G248" i="46"/>
  <c r="G247" i="46"/>
  <c r="G246" i="46"/>
  <c r="G245" i="46"/>
  <c r="G244" i="46"/>
  <c r="G243" i="46"/>
  <c r="G242" i="46"/>
  <c r="G241" i="46"/>
  <c r="G240" i="46"/>
  <c r="G239" i="46"/>
  <c r="G238" i="46"/>
  <c r="G237" i="46"/>
  <c r="G236" i="46"/>
  <c r="G235" i="46"/>
  <c r="G234" i="46"/>
  <c r="G233" i="46"/>
  <c r="G232" i="46"/>
  <c r="G231" i="46"/>
  <c r="G230" i="46"/>
  <c r="G229" i="46"/>
  <c r="G228" i="46"/>
  <c r="G227" i="46"/>
  <c r="G226" i="46"/>
  <c r="G225" i="46"/>
  <c r="G224" i="46"/>
  <c r="G223" i="46"/>
  <c r="G222" i="46"/>
  <c r="G221" i="46"/>
  <c r="G220" i="46"/>
  <c r="G219" i="46"/>
  <c r="G218" i="46"/>
  <c r="G217" i="46"/>
  <c r="G216" i="46"/>
  <c r="G215" i="46"/>
  <c r="G214" i="46"/>
  <c r="G213" i="46"/>
  <c r="G212" i="46"/>
  <c r="G211" i="46"/>
  <c r="G210" i="46"/>
  <c r="G209" i="46"/>
  <c r="G208" i="46"/>
  <c r="G207" i="46"/>
  <c r="G206" i="46"/>
  <c r="G205" i="46"/>
  <c r="G204" i="46"/>
  <c r="G203" i="46"/>
  <c r="G202" i="46"/>
  <c r="G201" i="46"/>
  <c r="G200" i="46"/>
  <c r="G199" i="46"/>
  <c r="G198" i="46"/>
  <c r="G197" i="46"/>
  <c r="G196" i="46"/>
  <c r="G195" i="46"/>
  <c r="G194" i="46"/>
  <c r="G193" i="46"/>
  <c r="G192" i="46"/>
  <c r="G191" i="46"/>
  <c r="G190" i="46"/>
  <c r="G189" i="46"/>
  <c r="G188" i="46"/>
  <c r="G187" i="46"/>
  <c r="G186" i="46"/>
  <c r="G185" i="46"/>
  <c r="G184" i="46"/>
  <c r="G183" i="46"/>
  <c r="G182" i="46"/>
  <c r="G181" i="46"/>
  <c r="G180" i="46"/>
  <c r="G179" i="46"/>
  <c r="G178" i="46"/>
  <c r="G177" i="46"/>
  <c r="G176" i="46"/>
  <c r="G175" i="46"/>
  <c r="G174" i="46"/>
  <c r="G173" i="46"/>
  <c r="G172" i="46"/>
  <c r="G171" i="46"/>
  <c r="G170" i="46"/>
  <c r="G169" i="46"/>
  <c r="G168" i="46"/>
  <c r="G167" i="46"/>
  <c r="G166" i="46"/>
  <c r="G165" i="46"/>
  <c r="G164" i="46"/>
  <c r="G163" i="46"/>
  <c r="G162" i="46"/>
  <c r="G161" i="46"/>
  <c r="G160" i="46"/>
  <c r="G159" i="46"/>
  <c r="G158" i="46"/>
  <c r="G157" i="46"/>
  <c r="G156" i="46"/>
  <c r="G155" i="46"/>
  <c r="G154" i="46"/>
  <c r="G153" i="46"/>
  <c r="G152" i="46"/>
  <c r="G151" i="46"/>
  <c r="G150" i="46"/>
  <c r="G149" i="46"/>
  <c r="G148" i="46"/>
  <c r="G147" i="46"/>
  <c r="G146" i="46"/>
  <c r="G145" i="46"/>
  <c r="G144" i="46"/>
  <c r="G143" i="46"/>
  <c r="G142" i="46"/>
  <c r="G141" i="46"/>
  <c r="G140" i="46"/>
  <c r="G139" i="46"/>
  <c r="G138" i="46"/>
  <c r="G137" i="46"/>
  <c r="G136" i="46"/>
  <c r="G135" i="46"/>
  <c r="G134" i="46"/>
  <c r="G133" i="46"/>
  <c r="G132" i="46"/>
  <c r="G131" i="46"/>
  <c r="G130" i="46"/>
  <c r="G129" i="46"/>
  <c r="G128" i="46"/>
  <c r="G127" i="46"/>
  <c r="G126" i="46"/>
  <c r="G125" i="46"/>
  <c r="G124" i="46"/>
  <c r="G123" i="46"/>
  <c r="G122" i="46"/>
  <c r="G121" i="46"/>
  <c r="G120" i="46"/>
  <c r="G119" i="46"/>
  <c r="G118" i="46"/>
  <c r="G117" i="46"/>
  <c r="G116" i="46"/>
  <c r="G115" i="46"/>
  <c r="G114" i="46"/>
  <c r="G113" i="46"/>
  <c r="G112" i="46"/>
  <c r="G111" i="46"/>
  <c r="G110" i="46"/>
  <c r="G109" i="46"/>
  <c r="G108" i="46"/>
  <c r="G107" i="46"/>
  <c r="G106" i="46"/>
  <c r="G105" i="46"/>
  <c r="G104" i="46"/>
  <c r="G103" i="46"/>
  <c r="G102" i="46"/>
  <c r="G101" i="46"/>
  <c r="G100" i="46"/>
  <c r="G99" i="46"/>
  <c r="G98" i="46"/>
  <c r="G97" i="46"/>
  <c r="G96" i="46"/>
  <c r="G95" i="46"/>
  <c r="G94" i="46"/>
  <c r="G93" i="46"/>
  <c r="G92" i="46"/>
  <c r="G91" i="46"/>
  <c r="G90" i="46"/>
  <c r="G89" i="46"/>
  <c r="G88" i="46"/>
  <c r="G87" i="46"/>
  <c r="G86" i="46"/>
  <c r="G85" i="46"/>
  <c r="G84" i="46"/>
  <c r="G83" i="46"/>
  <c r="G82" i="46"/>
  <c r="G81" i="46"/>
  <c r="G80" i="46"/>
  <c r="G79" i="46"/>
  <c r="G78" i="46"/>
  <c r="G77" i="46"/>
  <c r="G76" i="46"/>
  <c r="G75" i="46"/>
  <c r="G74" i="46"/>
  <c r="G73" i="46"/>
  <c r="G72" i="46"/>
  <c r="G71" i="46"/>
  <c r="G70" i="46"/>
  <c r="G69" i="46"/>
  <c r="G68" i="46"/>
  <c r="G67" i="46"/>
  <c r="G66" i="46"/>
  <c r="G65" i="46"/>
  <c r="G64" i="46"/>
  <c r="G63" i="46"/>
  <c r="G62" i="46"/>
  <c r="G61" i="46"/>
  <c r="G60" i="46"/>
  <c r="G59" i="46"/>
  <c r="G58" i="46"/>
  <c r="G57" i="46"/>
  <c r="G56" i="46"/>
  <c r="G55" i="46"/>
  <c r="G54" i="46"/>
  <c r="G53" i="46"/>
  <c r="G52" i="46"/>
  <c r="G51" i="46"/>
  <c r="G50" i="46"/>
  <c r="G49" i="46"/>
  <c r="G48" i="46"/>
  <c r="G47" i="46"/>
  <c r="G46" i="46"/>
  <c r="G45" i="46"/>
  <c r="G44" i="46"/>
  <c r="G43" i="46"/>
  <c r="G42" i="46"/>
  <c r="G41" i="46"/>
  <c r="G40" i="46"/>
  <c r="G39" i="46"/>
  <c r="G38" i="46"/>
  <c r="G37" i="46"/>
  <c r="G36" i="46"/>
  <c r="G35" i="46"/>
  <c r="G34" i="46"/>
  <c r="G33" i="46"/>
  <c r="G32" i="46"/>
  <c r="G31" i="46"/>
  <c r="G30" i="46"/>
  <c r="G29" i="46"/>
  <c r="G28" i="46"/>
  <c r="G27" i="46"/>
  <c r="G26" i="46"/>
  <c r="G25" i="46"/>
  <c r="G24" i="46"/>
  <c r="G23" i="46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E1070" i="46"/>
  <c r="G1070" i="46" s="1"/>
  <c r="D1070" i="46"/>
  <c r="C1070" i="46"/>
  <c r="B1070" i="46"/>
  <c r="E33" i="3" l="1"/>
  <c r="H5" i="48"/>
  <c r="Q40" i="3" s="1"/>
  <c r="S7" i="3"/>
  <c r="Q53" i="3"/>
  <c r="Q52" i="3"/>
  <c r="Q41" i="3"/>
  <c r="AA12" i="3"/>
  <c r="Q57" i="3"/>
  <c r="AA10" i="3"/>
  <c r="Q44" i="3"/>
  <c r="Q51" i="3"/>
  <c r="E51" i="3" s="1"/>
  <c r="Q39" i="3"/>
  <c r="Q38" i="3"/>
  <c r="AA31" i="3"/>
  <c r="AA35" i="3" s="1"/>
  <c r="AA11" i="3"/>
  <c r="Q37" i="3"/>
  <c r="Q23" i="3"/>
  <c r="Q22" i="3"/>
  <c r="Q16" i="3"/>
  <c r="Q11" i="3"/>
  <c r="Q20" i="3"/>
  <c r="Q14" i="3"/>
  <c r="Q15" i="3"/>
  <c r="AB11" i="3"/>
  <c r="AB10" i="3"/>
  <c r="AB31" i="3"/>
  <c r="AB35" i="3" s="1"/>
  <c r="S34" i="3" s="1"/>
  <c r="AB12" i="3"/>
  <c r="S50" i="3"/>
  <c r="S59" i="3"/>
  <c r="S49" i="3"/>
  <c r="S39" i="3"/>
  <c r="S46" i="3"/>
  <c r="S45" i="3"/>
  <c r="S44" i="3"/>
  <c r="S52" i="3"/>
  <c r="S40" i="3"/>
  <c r="S57" i="3"/>
  <c r="S38" i="3"/>
  <c r="S56" i="3"/>
  <c r="S37" i="3"/>
  <c r="S53" i="3"/>
  <c r="S51" i="3"/>
  <c r="S41" i="3"/>
  <c r="S25" i="3"/>
  <c r="S15" i="3"/>
  <c r="S24" i="3"/>
  <c r="S14" i="3"/>
  <c r="S23" i="3"/>
  <c r="S22" i="3"/>
  <c r="S11" i="3"/>
  <c r="S21" i="3"/>
  <c r="S27" i="3"/>
  <c r="S20" i="3"/>
  <c r="S8" i="3"/>
  <c r="S26" i="3"/>
  <c r="S16" i="3"/>
  <c r="U49" i="3"/>
  <c r="K49" i="3" s="1"/>
  <c r="U37" i="3"/>
  <c r="K37" i="3" s="1"/>
  <c r="U26" i="3"/>
  <c r="K26" i="3" s="1"/>
  <c r="U15" i="3"/>
  <c r="K15" i="3" s="1"/>
  <c r="U7" i="3"/>
  <c r="K7" i="3" s="1"/>
  <c r="U50" i="3"/>
  <c r="K50" i="3" s="1"/>
  <c r="U59" i="3"/>
  <c r="K59" i="3" s="1"/>
  <c r="U46" i="3"/>
  <c r="K46" i="3" s="1"/>
  <c r="U25" i="3"/>
  <c r="K25" i="3" s="1"/>
  <c r="U14" i="3"/>
  <c r="K14" i="3" s="1"/>
  <c r="U22" i="3"/>
  <c r="K22" i="3" s="1"/>
  <c r="U40" i="3"/>
  <c r="K40" i="3" s="1"/>
  <c r="U20" i="3"/>
  <c r="K20" i="3" s="1"/>
  <c r="U57" i="3"/>
  <c r="K57" i="3" s="1"/>
  <c r="U45" i="3"/>
  <c r="K45" i="3" s="1"/>
  <c r="U24" i="3"/>
  <c r="K24" i="3" s="1"/>
  <c r="U11" i="3"/>
  <c r="K11" i="3" s="1"/>
  <c r="K12" i="3" s="1"/>
  <c r="U41" i="3"/>
  <c r="K41" i="3" s="1"/>
  <c r="U21" i="3"/>
  <c r="K21" i="3" s="1"/>
  <c r="U39" i="3"/>
  <c r="K39" i="3" s="1"/>
  <c r="U27" i="3"/>
  <c r="K27" i="3" s="1"/>
  <c r="U56" i="3"/>
  <c r="K56" i="3" s="1"/>
  <c r="U44" i="3"/>
  <c r="K44" i="3" s="1"/>
  <c r="U23" i="3"/>
  <c r="K23" i="3" s="1"/>
  <c r="U8" i="3"/>
  <c r="K8" i="3" s="1"/>
  <c r="U53" i="3"/>
  <c r="K53" i="3" s="1"/>
  <c r="U52" i="3"/>
  <c r="K52" i="3" s="1"/>
  <c r="U51" i="3"/>
  <c r="K51" i="3" s="1"/>
  <c r="U38" i="3"/>
  <c r="K38" i="3" s="1"/>
  <c r="U16" i="3"/>
  <c r="K16" i="3" s="1"/>
  <c r="AC31" i="3"/>
  <c r="U33" i="3"/>
  <c r="AC12" i="3"/>
  <c r="AC11" i="3"/>
  <c r="AC10" i="3"/>
  <c r="I25" i="3" l="1"/>
  <c r="Q26" i="3"/>
  <c r="G26" i="3" s="1"/>
  <c r="Q21" i="3"/>
  <c r="G21" i="3" s="1"/>
  <c r="Q46" i="3"/>
  <c r="G46" i="3" s="1"/>
  <c r="Q56" i="3"/>
  <c r="G56" i="3" s="1"/>
  <c r="Q45" i="3"/>
  <c r="H26" i="49"/>
  <c r="Q25" i="3"/>
  <c r="G25" i="3" s="1"/>
  <c r="Q8" i="3"/>
  <c r="G8" i="3" s="1"/>
  <c r="Q59" i="3"/>
  <c r="G59" i="3" s="1"/>
  <c r="Q49" i="3"/>
  <c r="E49" i="3" s="1"/>
  <c r="Q7" i="3"/>
  <c r="G7" i="3" s="1"/>
  <c r="G11" i="3"/>
  <c r="Q27" i="3"/>
  <c r="G27" i="3" s="1"/>
  <c r="Q24" i="3"/>
  <c r="G24" i="3" s="1"/>
  <c r="Q50" i="3"/>
  <c r="E50" i="3" s="1"/>
  <c r="O40" i="3"/>
  <c r="E40" i="3" s="1"/>
  <c r="O52" i="3"/>
  <c r="O15" i="3"/>
  <c r="E15" i="3" s="1"/>
  <c r="G39" i="3"/>
  <c r="G38" i="3"/>
  <c r="G57" i="3"/>
  <c r="G40" i="3"/>
  <c r="G51" i="3"/>
  <c r="G41" i="3"/>
  <c r="G52" i="3"/>
  <c r="G53" i="3"/>
  <c r="Q42" i="3"/>
  <c r="G37" i="3"/>
  <c r="G44" i="3"/>
  <c r="Q34" i="3"/>
  <c r="AA37" i="3"/>
  <c r="AA15" i="3"/>
  <c r="Q31" i="3" s="1"/>
  <c r="Q60" i="3"/>
  <c r="Q17" i="3"/>
  <c r="G14" i="3"/>
  <c r="G22" i="3"/>
  <c r="G15" i="3"/>
  <c r="G16" i="3"/>
  <c r="G12" i="3"/>
  <c r="Q12" i="3"/>
  <c r="G20" i="3"/>
  <c r="G23" i="3"/>
  <c r="K33" i="3"/>
  <c r="I33" i="3"/>
  <c r="I20" i="3"/>
  <c r="I50" i="3"/>
  <c r="I26" i="3"/>
  <c r="I23" i="3"/>
  <c r="I46" i="3"/>
  <c r="AB15" i="3"/>
  <c r="S31" i="3" s="1"/>
  <c r="I21" i="3"/>
  <c r="S28" i="3"/>
  <c r="I41" i="3"/>
  <c r="I52" i="3"/>
  <c r="I11" i="3"/>
  <c r="I12" i="3" s="1"/>
  <c r="S12" i="3"/>
  <c r="I51" i="3"/>
  <c r="S47" i="3"/>
  <c r="I44" i="3"/>
  <c r="I27" i="3"/>
  <c r="I16" i="3"/>
  <c r="I22" i="3"/>
  <c r="I53" i="3"/>
  <c r="I45" i="3"/>
  <c r="I37" i="3"/>
  <c r="S42" i="3"/>
  <c r="I7" i="3"/>
  <c r="S9" i="3"/>
  <c r="S17" i="3"/>
  <c r="I14" i="3"/>
  <c r="S60" i="3"/>
  <c r="I39" i="3"/>
  <c r="I8" i="3"/>
  <c r="I24" i="3"/>
  <c r="I38" i="3"/>
  <c r="I49" i="3"/>
  <c r="S54" i="3"/>
  <c r="I15" i="3"/>
  <c r="I57" i="3"/>
  <c r="I59" i="3"/>
  <c r="I40" i="3"/>
  <c r="K60" i="3"/>
  <c r="K28" i="3"/>
  <c r="K42" i="3"/>
  <c r="K47" i="3"/>
  <c r="K9" i="3"/>
  <c r="K17" i="3"/>
  <c r="K54" i="3"/>
  <c r="O38" i="3" l="1"/>
  <c r="E38" i="3" s="1"/>
  <c r="H7" i="50"/>
  <c r="O23" i="3"/>
  <c r="E23" i="3" s="1"/>
  <c r="O14" i="3"/>
  <c r="E14" i="3" s="1"/>
  <c r="Z10" i="3"/>
  <c r="O45" i="3"/>
  <c r="E45" i="3" s="1"/>
  <c r="O41" i="3"/>
  <c r="E41" i="3" s="1"/>
  <c r="G49" i="3"/>
  <c r="O27" i="3"/>
  <c r="E27" i="3" s="1"/>
  <c r="Q54" i="3"/>
  <c r="Q47" i="3"/>
  <c r="O37" i="3"/>
  <c r="E37" i="3" s="1"/>
  <c r="O16" i="3"/>
  <c r="E16" i="3" s="1"/>
  <c r="G50" i="3"/>
  <c r="O21" i="3"/>
  <c r="E21" i="3" s="1"/>
  <c r="Z31" i="3"/>
  <c r="Z35" i="3" s="1"/>
  <c r="G45" i="3"/>
  <c r="G47" i="3" s="1"/>
  <c r="O59" i="3"/>
  <c r="E59" i="3" s="1"/>
  <c r="O22" i="3"/>
  <c r="E22" i="3" s="1"/>
  <c r="O39" i="3"/>
  <c r="E39" i="3" s="1"/>
  <c r="O26" i="3"/>
  <c r="E26" i="3" s="1"/>
  <c r="Z11" i="3"/>
  <c r="O44" i="3"/>
  <c r="E44" i="3" s="1"/>
  <c r="O7" i="3"/>
  <c r="E7" i="3" s="1"/>
  <c r="O20" i="3"/>
  <c r="E20" i="3" s="1"/>
  <c r="G9" i="3"/>
  <c r="Z12" i="3"/>
  <c r="O56" i="3"/>
  <c r="E56" i="3" s="1"/>
  <c r="O8" i="3"/>
  <c r="E8" i="3" s="1"/>
  <c r="O53" i="3"/>
  <c r="E53" i="3" s="1"/>
  <c r="Q28" i="3"/>
  <c r="O11" i="3"/>
  <c r="O12" i="3" s="1"/>
  <c r="O46" i="3"/>
  <c r="E46" i="3" s="1"/>
  <c r="O25" i="3"/>
  <c r="E25" i="3" s="1"/>
  <c r="O57" i="3"/>
  <c r="E57" i="3" s="1"/>
  <c r="O24" i="3"/>
  <c r="E24" i="3" s="1"/>
  <c r="Q9" i="3"/>
  <c r="G60" i="3"/>
  <c r="E52" i="3"/>
  <c r="G42" i="3"/>
  <c r="G54" i="3"/>
  <c r="G31" i="3"/>
  <c r="Q35" i="3"/>
  <c r="G34" i="3"/>
  <c r="G17" i="3"/>
  <c r="G28" i="3"/>
  <c r="I9" i="3"/>
  <c r="S35" i="3"/>
  <c r="I60" i="3"/>
  <c r="I42" i="3"/>
  <c r="I17" i="3"/>
  <c r="I54" i="3"/>
  <c r="S29" i="3"/>
  <c r="T60" i="3" s="1"/>
  <c r="I47" i="3"/>
  <c r="I28" i="3"/>
  <c r="AC13" i="3"/>
  <c r="AC15" i="3" s="1"/>
  <c r="U31" i="3" s="1"/>
  <c r="K31" i="3" s="1"/>
  <c r="K29" i="3"/>
  <c r="L47" i="3" s="1"/>
  <c r="M53" i="3" l="1"/>
  <c r="C53" i="3" s="1"/>
  <c r="M7" i="3"/>
  <c r="M14" i="3"/>
  <c r="M59" i="3"/>
  <c r="C59" i="3" s="1"/>
  <c r="M27" i="3"/>
  <c r="C27" i="3" s="1"/>
  <c r="Y10" i="3"/>
  <c r="M44" i="3"/>
  <c r="M57" i="3"/>
  <c r="C57" i="3" s="1"/>
  <c r="M40" i="3"/>
  <c r="C40" i="3" s="1"/>
  <c r="M37" i="3"/>
  <c r="M25" i="3"/>
  <c r="C25" i="3" s="1"/>
  <c r="M8" i="3"/>
  <c r="M21" i="3"/>
  <c r="Y12" i="3"/>
  <c r="M24" i="3"/>
  <c r="C24" i="3" s="1"/>
  <c r="M45" i="3"/>
  <c r="C45" i="3" s="1"/>
  <c r="Y11" i="3"/>
  <c r="M26" i="3"/>
  <c r="C26" i="3" s="1"/>
  <c r="M38" i="3"/>
  <c r="C38" i="3" s="1"/>
  <c r="M46" i="3"/>
  <c r="C46" i="3" s="1"/>
  <c r="M52" i="3"/>
  <c r="M11" i="3"/>
  <c r="M39" i="3"/>
  <c r="C39" i="3" s="1"/>
  <c r="M15" i="3"/>
  <c r="C15" i="3" s="1"/>
  <c r="M41" i="3"/>
  <c r="C41" i="3" s="1"/>
  <c r="M22" i="3"/>
  <c r="C22" i="3" s="1"/>
  <c r="M23" i="3"/>
  <c r="C23" i="3" s="1"/>
  <c r="M16" i="3"/>
  <c r="C16" i="3" s="1"/>
  <c r="M56" i="3"/>
  <c r="Y31" i="3"/>
  <c r="Y35" i="3" s="1"/>
  <c r="M34" i="3" s="1"/>
  <c r="Q29" i="3"/>
  <c r="R31" i="3" s="1"/>
  <c r="E17" i="3"/>
  <c r="E42" i="3"/>
  <c r="E9" i="3"/>
  <c r="O17" i="3"/>
  <c r="Z15" i="3"/>
  <c r="O31" i="3" s="1"/>
  <c r="E31" i="3" s="1"/>
  <c r="O42" i="3"/>
  <c r="E54" i="3"/>
  <c r="O54" i="3"/>
  <c r="O34" i="3"/>
  <c r="E34" i="3" s="1"/>
  <c r="Z37" i="3"/>
  <c r="E28" i="3"/>
  <c r="O47" i="3"/>
  <c r="E47" i="3"/>
  <c r="O9" i="3"/>
  <c r="E11" i="3"/>
  <c r="E12" i="3" s="1"/>
  <c r="E60" i="3"/>
  <c r="O28" i="3"/>
  <c r="O60" i="3"/>
  <c r="T54" i="3"/>
  <c r="T47" i="3"/>
  <c r="T42" i="3"/>
  <c r="R54" i="3"/>
  <c r="Q61" i="3"/>
  <c r="G35" i="3"/>
  <c r="T31" i="3"/>
  <c r="G29" i="3"/>
  <c r="H47" i="3" s="1"/>
  <c r="I31" i="3"/>
  <c r="I29" i="3"/>
  <c r="J47" i="3" s="1"/>
  <c r="T35" i="3"/>
  <c r="T28" i="3"/>
  <c r="T33" i="3"/>
  <c r="T32" i="3"/>
  <c r="T34" i="3"/>
  <c r="S61" i="3"/>
  <c r="T29" i="3"/>
  <c r="T7" i="3"/>
  <c r="T8" i="3"/>
  <c r="T9" i="3"/>
  <c r="T12" i="3"/>
  <c r="T17" i="3"/>
  <c r="L31" i="3"/>
  <c r="L54" i="3"/>
  <c r="L17" i="3"/>
  <c r="L60" i="3"/>
  <c r="L42" i="3"/>
  <c r="L28" i="3"/>
  <c r="L33" i="3"/>
  <c r="L32" i="3"/>
  <c r="L29" i="3"/>
  <c r="L7" i="3"/>
  <c r="L12" i="3"/>
  <c r="L8" i="3"/>
  <c r="L9" i="3"/>
  <c r="AC35" i="3"/>
  <c r="U34" i="3" s="1"/>
  <c r="C44" i="3" l="1"/>
  <c r="C47" i="3" s="1"/>
  <c r="M47" i="3"/>
  <c r="C34" i="3"/>
  <c r="M12" i="3"/>
  <c r="C11" i="3"/>
  <c r="C12" i="3" s="1"/>
  <c r="Y15" i="3"/>
  <c r="M31" i="3" s="1"/>
  <c r="M60" i="3"/>
  <c r="C56" i="3"/>
  <c r="C60" i="3" s="1"/>
  <c r="C52" i="3"/>
  <c r="C54" i="3" s="1"/>
  <c r="M54" i="3"/>
  <c r="C21" i="3"/>
  <c r="C28" i="3" s="1"/>
  <c r="M28" i="3"/>
  <c r="C8" i="3"/>
  <c r="C14" i="3"/>
  <c r="C17" i="3" s="1"/>
  <c r="M17" i="3"/>
  <c r="C37" i="3"/>
  <c r="C42" i="3" s="1"/>
  <c r="M42" i="3"/>
  <c r="M9" i="3"/>
  <c r="C7" i="3"/>
  <c r="R60" i="3"/>
  <c r="R42" i="3"/>
  <c r="R7" i="3"/>
  <c r="R35" i="3"/>
  <c r="R47" i="3"/>
  <c r="R29" i="3"/>
  <c r="R61" i="3"/>
  <c r="R33" i="3"/>
  <c r="R17" i="3"/>
  <c r="R32" i="3"/>
  <c r="R9" i="3"/>
  <c r="R28" i="3"/>
  <c r="R8" i="3"/>
  <c r="R12" i="3"/>
  <c r="R34" i="3"/>
  <c r="E35" i="3"/>
  <c r="E61" i="3" s="1"/>
  <c r="O29" i="3"/>
  <c r="P9" i="3" s="1"/>
  <c r="O35" i="3"/>
  <c r="O61" i="3" s="1"/>
  <c r="H31" i="3"/>
  <c r="H42" i="3"/>
  <c r="H60" i="3"/>
  <c r="S62" i="3"/>
  <c r="T62" i="3" s="1"/>
  <c r="T61" i="3"/>
  <c r="H54" i="3"/>
  <c r="Q62" i="3"/>
  <c r="R62" i="3" s="1"/>
  <c r="H35" i="3"/>
  <c r="G61" i="3"/>
  <c r="H61" i="3" s="1"/>
  <c r="H32" i="3"/>
  <c r="H33" i="3"/>
  <c r="H34" i="3"/>
  <c r="H7" i="3"/>
  <c r="H28" i="3"/>
  <c r="H12" i="3"/>
  <c r="H17" i="3"/>
  <c r="H29" i="3"/>
  <c r="H8" i="3"/>
  <c r="H9" i="3"/>
  <c r="K34" i="3"/>
  <c r="L34" i="3" s="1"/>
  <c r="I34" i="3"/>
  <c r="I35" i="3" s="1"/>
  <c r="I61" i="3" s="1"/>
  <c r="J60" i="3"/>
  <c r="J12" i="3"/>
  <c r="J54" i="3"/>
  <c r="J31" i="3"/>
  <c r="J29" i="3"/>
  <c r="J17" i="3"/>
  <c r="J28" i="3"/>
  <c r="J9" i="3"/>
  <c r="J7" i="3"/>
  <c r="J32" i="3"/>
  <c r="J42" i="3"/>
  <c r="J33" i="3"/>
  <c r="J8" i="3"/>
  <c r="U12" i="3"/>
  <c r="U28" i="3"/>
  <c r="U60" i="3"/>
  <c r="U9" i="3"/>
  <c r="U47" i="3"/>
  <c r="U42" i="3"/>
  <c r="M35" i="3" l="1"/>
  <c r="C31" i="3"/>
  <c r="C9" i="3"/>
  <c r="M29" i="3"/>
  <c r="N9" i="3" s="1"/>
  <c r="P31" i="3"/>
  <c r="P17" i="3"/>
  <c r="P12" i="3"/>
  <c r="P28" i="3"/>
  <c r="P32" i="3"/>
  <c r="P33" i="3"/>
  <c r="P7" i="3"/>
  <c r="O62" i="3"/>
  <c r="E29" i="3"/>
  <c r="F8" i="3" s="1"/>
  <c r="P29" i="3"/>
  <c r="P35" i="3"/>
  <c r="P34" i="3"/>
  <c r="P8" i="3"/>
  <c r="G62" i="3"/>
  <c r="H62" i="3" s="1"/>
  <c r="I62" i="3"/>
  <c r="J62" i="3" s="1"/>
  <c r="J61" i="3"/>
  <c r="J34" i="3"/>
  <c r="J35" i="3"/>
  <c r="U17" i="3"/>
  <c r="U54" i="3"/>
  <c r="N12" i="3" l="1"/>
  <c r="N29" i="3"/>
  <c r="N32" i="3"/>
  <c r="N33" i="3"/>
  <c r="C29" i="3"/>
  <c r="N7" i="3"/>
  <c r="N34" i="3"/>
  <c r="N8" i="3"/>
  <c r="N17" i="3"/>
  <c r="N31" i="3"/>
  <c r="C35" i="3"/>
  <c r="N28" i="3"/>
  <c r="M61" i="3"/>
  <c r="M62" i="3" s="1"/>
  <c r="N35" i="3"/>
  <c r="F29" i="3"/>
  <c r="F12" i="3"/>
  <c r="F42" i="3"/>
  <c r="F35" i="3"/>
  <c r="F9" i="3"/>
  <c r="F31" i="3"/>
  <c r="F33" i="3"/>
  <c r="F34" i="3"/>
  <c r="F32" i="3"/>
  <c r="F60" i="3"/>
  <c r="F28" i="3"/>
  <c r="F17" i="3"/>
  <c r="F61" i="3"/>
  <c r="E62" i="3"/>
  <c r="F62" i="3" s="1"/>
  <c r="F7" i="3"/>
  <c r="F47" i="3"/>
  <c r="F54" i="3"/>
  <c r="U29" i="3"/>
  <c r="D9" i="3" l="1"/>
  <c r="D47" i="3"/>
  <c r="D60" i="3"/>
  <c r="D42" i="3"/>
  <c r="D54" i="3"/>
  <c r="D33" i="3"/>
  <c r="D29" i="3"/>
  <c r="D32" i="3"/>
  <c r="D28" i="3"/>
  <c r="D34" i="3"/>
  <c r="D17" i="3"/>
  <c r="D8" i="3"/>
  <c r="D7" i="3"/>
  <c r="D35" i="3"/>
  <c r="C61" i="3"/>
  <c r="D31" i="3"/>
  <c r="V42" i="3"/>
  <c r="V60" i="3"/>
  <c r="V47" i="3"/>
  <c r="V54" i="3"/>
  <c r="V29" i="3"/>
  <c r="V7" i="3"/>
  <c r="V33" i="3"/>
  <c r="V8" i="3"/>
  <c r="V31" i="3"/>
  <c r="V34" i="3"/>
  <c r="V12" i="3"/>
  <c r="V9" i="3"/>
  <c r="V17" i="3"/>
  <c r="U35" i="3"/>
  <c r="V35" i="3" s="1"/>
  <c r="C62" i="3" l="1"/>
  <c r="D62" i="3" s="1"/>
  <c r="D61" i="3"/>
  <c r="U61" i="3"/>
  <c r="V61" i="3" s="1"/>
  <c r="U62" i="3" l="1"/>
  <c r="V62" i="3" s="1"/>
  <c r="K35" i="3" l="1"/>
  <c r="L35" i="3" s="1"/>
  <c r="K61" i="3" l="1"/>
  <c r="L61" i="3" s="1"/>
  <c r="K62" i="3" l="1"/>
  <c r="L62" i="3" s="1"/>
</calcChain>
</file>

<file path=xl/sharedStrings.xml><?xml version="1.0" encoding="utf-8"?>
<sst xmlns="http://schemas.openxmlformats.org/spreadsheetml/2006/main" count="8998" uniqueCount="1659">
  <si>
    <t>Particulars</t>
  </si>
  <si>
    <t>%</t>
  </si>
  <si>
    <t>Revenue from operations</t>
  </si>
  <si>
    <t>Inventory at the beginning of the year:</t>
  </si>
  <si>
    <t>Sale of finished goods</t>
  </si>
  <si>
    <t>Opening Stock of Raw material</t>
  </si>
  <si>
    <t>Sale of traded goods</t>
  </si>
  <si>
    <t>Opening Stock of Packing material</t>
  </si>
  <si>
    <t>Total Revenue from operations</t>
  </si>
  <si>
    <t>Add: Purchase of raw materials</t>
  </si>
  <si>
    <t>Income from Jobwork charges</t>
  </si>
  <si>
    <t>Add: Purchase of packing materials</t>
  </si>
  <si>
    <t>Total Sales of services</t>
  </si>
  <si>
    <t>Add: Purchase expenses</t>
  </si>
  <si>
    <t>Other operating revenue</t>
  </si>
  <si>
    <t>Closing Stock of Raw material</t>
  </si>
  <si>
    <t>Export incentives</t>
  </si>
  <si>
    <t>Closing Stock of Packing material</t>
  </si>
  <si>
    <t>Commission income</t>
  </si>
  <si>
    <t>Total Cost of material consumed</t>
  </si>
  <si>
    <t>Sales - Waste &amp; Scrape</t>
  </si>
  <si>
    <t>Total Other operating revenue</t>
  </si>
  <si>
    <t>Changes in inventory of finished goods and work-in-progress</t>
  </si>
  <si>
    <t>Other income</t>
  </si>
  <si>
    <t>Interest income:</t>
  </si>
  <si>
    <t>Opening Work-in-progress</t>
  </si>
  <si>
    <t>- on fixed deposits with Banks</t>
  </si>
  <si>
    <t>Opening Stock of Finished goods</t>
  </si>
  <si>
    <t>Wind mill income</t>
  </si>
  <si>
    <t>Rent Income</t>
  </si>
  <si>
    <t>Less:Inventory at the end of the year:</t>
  </si>
  <si>
    <t>Advance License Utilization</t>
  </si>
  <si>
    <t>Closing Stock of Finished goods</t>
  </si>
  <si>
    <t>Profit on sale of fixed assets</t>
  </si>
  <si>
    <t>Closing Work-in-progress</t>
  </si>
  <si>
    <t>Profit on sale of investments</t>
  </si>
  <si>
    <t>Net change in inventory</t>
  </si>
  <si>
    <t>Sundry balance written off</t>
  </si>
  <si>
    <t>Miscellaneous income</t>
  </si>
  <si>
    <t>Stores, Spares &amp; Consumables</t>
  </si>
  <si>
    <t>Total Other income</t>
  </si>
  <si>
    <t>Total Turnover</t>
  </si>
  <si>
    <t>Opening Stock of Consumables</t>
  </si>
  <si>
    <t>Cost of Goods</t>
  </si>
  <si>
    <t>Cost of materials consumed</t>
  </si>
  <si>
    <t>Add: Purchase of Stores, Spares &amp; Consumables</t>
  </si>
  <si>
    <t>Purchase of stock-in-trade</t>
  </si>
  <si>
    <t>Less:</t>
  </si>
  <si>
    <t>Closing Stock of Consumables</t>
  </si>
  <si>
    <t xml:space="preserve">Total Cost of goods </t>
  </si>
  <si>
    <t>Cost of Consumables</t>
  </si>
  <si>
    <t>Employee benefit expenses</t>
  </si>
  <si>
    <t xml:space="preserve">Salaries, wages and  bonus </t>
  </si>
  <si>
    <t>Contribution to provident and other funds</t>
  </si>
  <si>
    <t>Gratuity Expenses</t>
  </si>
  <si>
    <t>Staff welfare expenses</t>
  </si>
  <si>
    <t>Labour charges</t>
  </si>
  <si>
    <t>Total Employee benefit expenses</t>
  </si>
  <si>
    <t>Manufacturing Expenses</t>
  </si>
  <si>
    <t>Power and fuel</t>
  </si>
  <si>
    <t xml:space="preserve">Jobwork charges </t>
  </si>
  <si>
    <t>Other Manufacturing Expenses</t>
  </si>
  <si>
    <t>Total Manufacturing Expenses</t>
  </si>
  <si>
    <t>Selling and Distribution Expenses</t>
  </si>
  <si>
    <t>Advertising and sales promotion expense</t>
  </si>
  <si>
    <t>Travelling expense</t>
  </si>
  <si>
    <t>Brokerage &amp; commission</t>
  </si>
  <si>
    <t>Conveyance, vehicle running and traveling expenses</t>
  </si>
  <si>
    <t>Freight Outward and C &amp; F Charges</t>
  </si>
  <si>
    <t>Total Selling and Distribution Expenses</t>
  </si>
  <si>
    <t>Administrative Expenses</t>
  </si>
  <si>
    <t>Insurance</t>
  </si>
  <si>
    <t>Other Administrative Expenses</t>
  </si>
  <si>
    <t>Common Expenses</t>
  </si>
  <si>
    <t>Exchange Rate Difference</t>
  </si>
  <si>
    <t>Total Administrative Expenses</t>
  </si>
  <si>
    <t>Total Cost of goods sold</t>
  </si>
  <si>
    <t>EBDITA</t>
  </si>
  <si>
    <t>Raw Material</t>
  </si>
  <si>
    <t>op.Stock</t>
  </si>
  <si>
    <t>Finesh Material</t>
  </si>
  <si>
    <t>Stores Spares</t>
  </si>
  <si>
    <t>Perticulars</t>
  </si>
  <si>
    <t>Acs Composites SARL</t>
  </si>
  <si>
    <t>Not Applicable</t>
  </si>
  <si>
    <t>Advance Salary Paid</t>
  </si>
  <si>
    <t>Air Compressor</t>
  </si>
  <si>
    <t>Air Conditioners</t>
  </si>
  <si>
    <t>Agroszemek Kft</t>
  </si>
  <si>
    <t>Akshara Graphics</t>
  </si>
  <si>
    <t>Allbags Sp. Z O.O.</t>
  </si>
  <si>
    <t>Alluminium Ladder</t>
  </si>
  <si>
    <t>Alluminium Pipe &amp; Fitting</t>
  </si>
  <si>
    <t>Almatis  Alumina Private Limited</t>
  </si>
  <si>
    <t>APB Industries Private Limited</t>
  </si>
  <si>
    <t>Ambica Sales</t>
  </si>
  <si>
    <t>Ambiflex S.R.O</t>
  </si>
  <si>
    <t>Arysta Lifescience India Ltd</t>
  </si>
  <si>
    <t>Asco Italia Sas</t>
  </si>
  <si>
    <t>Auto Bag Cleaning Machine</t>
  </si>
  <si>
    <t>Balcon Enterprises Inc.</t>
  </si>
  <si>
    <t>Bank CA BOB 26160500000026</t>
  </si>
  <si>
    <t>Bank CA HDFC 60330005840</t>
  </si>
  <si>
    <t>Bank CA HDFC 60330005874</t>
  </si>
  <si>
    <t>Bank CA SBI 31342060288</t>
  </si>
  <si>
    <t>Bank CA SBI EEFC USD 40471492269</t>
  </si>
  <si>
    <t>Bank CA SCB 23305127882</t>
  </si>
  <si>
    <t>Bank CA SCB 23305216958</t>
  </si>
  <si>
    <t>Bank CA SCB 23391238420</t>
  </si>
  <si>
    <t>Ashapura International Limited</t>
  </si>
  <si>
    <t>Atlantis Products Pvt Ltd</t>
  </si>
  <si>
    <t>Bank EEFC SCB 23305153697</t>
  </si>
  <si>
    <t>Belt Die</t>
  </si>
  <si>
    <t>Bluepack A/S</t>
  </si>
  <si>
    <t>BPS Logistics Private Limited</t>
  </si>
  <si>
    <t>Car - Maruti New Dzire Vxi BSvi-DRR4DVA00</t>
  </si>
  <si>
    <t>Card Scan Executive  - 800C</t>
  </si>
  <si>
    <t>Cash in Hand-Factory</t>
  </si>
  <si>
    <t>Cash in Hand-HO</t>
  </si>
  <si>
    <t>CCTV Camera &amp; Accessories</t>
  </si>
  <si>
    <t>Cesur Ambalaj Sanayi Ve Ticaret A.S.</t>
  </si>
  <si>
    <t>Cesur Packaging Bulgaria Ltd.</t>
  </si>
  <si>
    <t>Cesur Usa, Llc</t>
  </si>
  <si>
    <t>CGST Input</t>
  </si>
  <si>
    <t>Cheese Pipes (Tape Plant)</t>
  </si>
  <si>
    <t>Cheese Winders</t>
  </si>
  <si>
    <t>CID Products LLP</t>
  </si>
  <si>
    <t>Circular Loom - Std Confg - Sby - 850X6S</t>
  </si>
  <si>
    <t>Circular Weaving Machine</t>
  </si>
  <si>
    <t>Chandresh Cables Ltd Unit-2- Sales</t>
  </si>
  <si>
    <t>Clutch Motor</t>
  </si>
  <si>
    <t>Clutch Motor 1 Hp Single Phase  2800 Rmp</t>
  </si>
  <si>
    <t>Cobalt Holdings Ltd</t>
  </si>
  <si>
    <t>Codefine International SA</t>
  </si>
  <si>
    <t>Comercial Pra Cafe Ltda - Espirito Santos</t>
  </si>
  <si>
    <t>Comercial Pra Cafe Ltda - Manaus</t>
  </si>
  <si>
    <t>Computers &amp; Printers</t>
  </si>
  <si>
    <t>Condepols, S.A.</t>
  </si>
  <si>
    <t>Conitex Sonoco USA</t>
  </si>
  <si>
    <t>Cooling Tower Model No Ac-22</t>
  </si>
  <si>
    <t>Cooling Tower New</t>
  </si>
  <si>
    <t>Cooling Tower Of 50Tr Capacity Model No.Md-50</t>
  </si>
  <si>
    <t>Coromandel International Ltd (Dahej)</t>
  </si>
  <si>
    <t>Coromandel International Ltd-Sarigam</t>
  </si>
  <si>
    <t>Cycle</t>
  </si>
  <si>
    <t>Deposit - Legal Suit</t>
  </si>
  <si>
    <t>Dbl Stn Winder-1.2 Mtr-Unfld Dvc &amp; Thrm Cuter</t>
  </si>
  <si>
    <t>DG Set</t>
  </si>
  <si>
    <t>Digital Camera</t>
  </si>
  <si>
    <t>Digital Conditioning Chamber</t>
  </si>
  <si>
    <t>Deepwell</t>
  </si>
  <si>
    <t>Drill Machine A/C</t>
  </si>
  <si>
    <t>DS SafetyWear Arbeitsschutzprodukte GmbH</t>
  </si>
  <si>
    <t>Duty Clearing Account</t>
  </si>
  <si>
    <t>El-Fedawy Pack For Import And Export</t>
  </si>
  <si>
    <t>Electric Installation</t>
  </si>
  <si>
    <t>Electric Motors</t>
  </si>
  <si>
    <t>Export Advance Licence Benifit Accured</t>
  </si>
  <si>
    <t>Express Trade Ltd</t>
  </si>
  <si>
    <t>Fa Cutter Single  Ymp Plant</t>
  </si>
  <si>
    <t>Fa- Tapeline 350Kg-Sjpl-Z-110X33-12X10</t>
  </si>
  <si>
    <t>Fa-Tape Line 650Kg-Sjpl-Z-120X32-1500X10</t>
  </si>
  <si>
    <t>Fabric Cutting Machine</t>
  </si>
  <si>
    <t>Face &amp; Fingerprint M/C (Punching M/C)</t>
  </si>
  <si>
    <t>Face Recognistaion  System</t>
  </si>
  <si>
    <t>Exim Handelsonderneming Rotterdam Bv</t>
  </si>
  <si>
    <t>Factory Building</t>
  </si>
  <si>
    <t>Factory Building - WIP</t>
  </si>
  <si>
    <t>Fan, Cooler, Heater &amp; Blowers</t>
  </si>
  <si>
    <t>Fibco Plastic Industry Llc</t>
  </si>
  <si>
    <t>Fibrilltor Pin Roll Shaft</t>
  </si>
  <si>
    <t>Filler Machine</t>
  </si>
  <si>
    <t>Fire Hydrant / Safety System</t>
  </si>
  <si>
    <t>Fire Safety Extinguisher</t>
  </si>
  <si>
    <t>Flexibox Container Gmbh</t>
  </si>
  <si>
    <t>Fork Lift - Ace</t>
  </si>
  <si>
    <t>Forklift Diesel Operated</t>
  </si>
  <si>
    <t>Forklift Truck, Toyota</t>
  </si>
  <si>
    <t>Forklift Voltas</t>
  </si>
  <si>
    <t>Furniture &amp; Fixtures</t>
  </si>
  <si>
    <t>Fastrack Dealcomm Pvt Ltd</t>
  </si>
  <si>
    <t>Ganpatraj Chandanmal Salecha</t>
  </si>
  <si>
    <t>Gear Box With Motor  Disc</t>
  </si>
  <si>
    <t>Giri Organic Village Pvt Ltd</t>
  </si>
  <si>
    <t>Glory Duty Free Marine Shops Ltd</t>
  </si>
  <si>
    <t>Global Pak, Inc</t>
  </si>
  <si>
    <t>Gopala Polyplast Limited - Sales</t>
  </si>
  <si>
    <t>Granule Mixer Cum Online Dryer</t>
  </si>
  <si>
    <t>GST Credit-Non Eligible</t>
  </si>
  <si>
    <t>Hampidjan Canada Ltd</t>
  </si>
  <si>
    <t>Hanchang Ind. Co., Ltd.</t>
  </si>
  <si>
    <t>Hand Grinder Machine</t>
  </si>
  <si>
    <t>Guru Rajendra Metalloys India Pvt Ltd</t>
  </si>
  <si>
    <t>H Polesy &amp; Co Pty Ltd</t>
  </si>
  <si>
    <t>Greif Embalagens Industriais Do Brasil LTDA</t>
  </si>
  <si>
    <t>Haydraulic Trolly</t>
  </si>
  <si>
    <t>HCP Enterprise Ltd-Sales</t>
  </si>
  <si>
    <t>HCP Plastene Bulkpack Limited - Sales</t>
  </si>
  <si>
    <t>HCP Plastene Bulkpack Ltd (Unit-III) - Sales</t>
  </si>
  <si>
    <t>Hellagro S.A.</t>
  </si>
  <si>
    <t>Hidden Gold LLC</t>
  </si>
  <si>
    <t>Hindustan Gunny Bags And Allied Suppliers</t>
  </si>
  <si>
    <t>Hopper Loader</t>
  </si>
  <si>
    <t>House Rent Deposit</t>
  </si>
  <si>
    <t>Hydraulic Baffle And Round Punching Machine</t>
  </si>
  <si>
    <t>Hydraulic Baling Machine</t>
  </si>
  <si>
    <t>Hydraulic Hand Pallet Truck</t>
  </si>
  <si>
    <t>Hydraulic Lift Machine</t>
  </si>
  <si>
    <t>IGST Refund Receivable Under Rebate</t>
  </si>
  <si>
    <t>IGST Input</t>
  </si>
  <si>
    <t>IMBB - Sales</t>
  </si>
  <si>
    <t>Indralok Fabrics Pvt Ltd - Sales</t>
  </si>
  <si>
    <t>Investment In Shares Of Gopala Polyplast Limited</t>
  </si>
  <si>
    <t>Jain Bulk Pack - Sales</t>
  </si>
  <si>
    <t>Jay Viru Plast</t>
  </si>
  <si>
    <t>Jet Tech Pvt Ltd</t>
  </si>
  <si>
    <t>Jhunjhunwala Polyplast Private Ltd</t>
  </si>
  <si>
    <t>Jmj Bulk Packaging</t>
  </si>
  <si>
    <t>Jumbo Sack Corporation</t>
  </si>
  <si>
    <t>Juta A.S.</t>
  </si>
  <si>
    <t>Jyot Overseas Pvt Ltd</t>
  </si>
  <si>
    <t>K.P. Woven Pvt Ltd - Unit 2 -Sales</t>
  </si>
  <si>
    <t>K.P. Woven Pvt Ltd - Unit 3 -Sales</t>
  </si>
  <si>
    <t>K.P. Woven Pvt Ltd-Sales</t>
  </si>
  <si>
    <t>Karapatsias Ltd</t>
  </si>
  <si>
    <t>Kamadur Industrial Knives B.V.</t>
  </si>
  <si>
    <t>Khushboo Enterprises - Gujarat</t>
  </si>
  <si>
    <t>Km Obaly S.R.O.</t>
  </si>
  <si>
    <t>Knitting &amp; Braiding Machine</t>
  </si>
  <si>
    <t>Labdhi Plastic</t>
  </si>
  <si>
    <t>Lafarge Calcinor Maroc</t>
  </si>
  <si>
    <t>Land A/c</t>
  </si>
  <si>
    <t>Licenses DFIA (Stock)</t>
  </si>
  <si>
    <t>Licenses MEIS (Stock)</t>
  </si>
  <si>
    <t>Macfil Industries - Sales</t>
  </si>
  <si>
    <t>Louis Blockx Nv</t>
  </si>
  <si>
    <t>M B And Sons</t>
  </si>
  <si>
    <t>Mehjal Adhesive Tapes Pvt. Ltd. - Sales</t>
  </si>
  <si>
    <t>Mercados Mundiales Import Export, S.A.U</t>
  </si>
  <si>
    <t>Mikitos Ind E Com De Gen Alim Do Amazonas Ltda</t>
  </si>
  <si>
    <t>MEIS Receivable</t>
  </si>
  <si>
    <t>Minini Spa</t>
  </si>
  <si>
    <t>Mobile &amp; Telephone Instrument</t>
  </si>
  <si>
    <t>Modus Granum LLC</t>
  </si>
  <si>
    <t>Mixing Machine</t>
  </si>
  <si>
    <t>Motorcycle Bajaj Platina AL Motor Cycle</t>
  </si>
  <si>
    <t>Motorcycle Hero Honda-Gj 2A 2384</t>
  </si>
  <si>
    <t>Motorcycle Hero Honda-Gj2A 2405</t>
  </si>
  <si>
    <t>Movable Ramp</t>
  </si>
  <si>
    <t>Multi Negoce</t>
  </si>
  <si>
    <t>Needle Loom Machine</t>
  </si>
  <si>
    <t>Nikhil Packagers</t>
  </si>
  <si>
    <t>NNZ Bv</t>
  </si>
  <si>
    <t>NNZ GMBH</t>
  </si>
  <si>
    <t>NNZ Gmbh (Austria)</t>
  </si>
  <si>
    <t>NNZ Scandinavia Aps</t>
  </si>
  <si>
    <t>NNZ The Packaging Network (PTY) Ltd South Africa</t>
  </si>
  <si>
    <t>North Atlantic Marine Supplies &amp; Services Inc</t>
  </si>
  <si>
    <t>Office Equipments</t>
  </si>
  <si>
    <t>Olega S A</t>
  </si>
  <si>
    <t>Oliva Garden S.A.</t>
  </si>
  <si>
    <t>Omnicor - Manufacturas Internacionais De Cordoarias Lda</t>
  </si>
  <si>
    <t>Oswal Extrusion Ltd - HO-Sales</t>
  </si>
  <si>
    <t>Oswal Extrusion Ltd - Unit 3-Sales</t>
  </si>
  <si>
    <t>Oswal Extrusion Ltd - Unit 5-Sales</t>
  </si>
  <si>
    <t>Oswal Extrusion Ltd - Unit 7-Sales</t>
  </si>
  <si>
    <t>Oswal Extrusion Ltd - Unit 8-Sales</t>
  </si>
  <si>
    <t>Oswal Extrusion Ltd- KASEZ-Sales</t>
  </si>
  <si>
    <t>P. Nikiforakis H. Fasourakis Ltd</t>
  </si>
  <si>
    <t>Pacific Trading &amp; Distribution Limited</t>
  </si>
  <si>
    <t>Pacific Trading Nz Lp</t>
  </si>
  <si>
    <t>Padmanabh Alloys And Polymers Ltd.</t>
  </si>
  <si>
    <t>Parekh Bulk Pack - Sales</t>
  </si>
  <si>
    <t>Parikh Enterprises Private Limited</t>
  </si>
  <si>
    <t>Passos &amp; Oliveira, Lda.</t>
  </si>
  <si>
    <t>Paramount Rice Pvt Ltd</t>
  </si>
  <si>
    <t>Plant &amp; Machinery</t>
  </si>
  <si>
    <t>Plastene India Ltd - Ho-For Gst Balance Only</t>
  </si>
  <si>
    <t>Plastene India ltd - HO-Sales</t>
  </si>
  <si>
    <t>Plastene India ltd - Unit 1-Sales</t>
  </si>
  <si>
    <t>Plastene India ltd - Unit 3-Sales</t>
  </si>
  <si>
    <t>Plastene India ltd - Unit 6-Sales</t>
  </si>
  <si>
    <t>Plastene India ltd - Unit 8-Sales</t>
  </si>
  <si>
    <t>Plastene Infrastructure Ltd</t>
  </si>
  <si>
    <t>Plastene Polyfilms Ltd-Sales</t>
  </si>
  <si>
    <t>Plastic Carates - For Carrying Bobbins</t>
  </si>
  <si>
    <t>Porastek, LLC</t>
  </si>
  <si>
    <t>Prepaid Insurance</t>
  </si>
  <si>
    <t>Puh Ram Paulina Baran.</t>
  </si>
  <si>
    <t>Printing Machine</t>
  </si>
  <si>
    <t>Procon Pacific Llc</t>
  </si>
  <si>
    <t>Qpac Packaging LLP</t>
  </si>
  <si>
    <t>Rajkumar &amp; Sons</t>
  </si>
  <si>
    <t>Raficon Trade Srl</t>
  </si>
  <si>
    <t>Ravitaillement International Inc.</t>
  </si>
  <si>
    <t>Relianz Ag</t>
  </si>
  <si>
    <t>RO Plant</t>
  </si>
  <si>
    <t>Rocheux International</t>
  </si>
  <si>
    <t>Round Cutter Gsm</t>
  </si>
  <si>
    <t>Rudra Enterprise</t>
  </si>
  <si>
    <t>Rugo Bags Gmbh</t>
  </si>
  <si>
    <t>Saccheria F.Lli Franceschetti SPA</t>
  </si>
  <si>
    <t>Sagar Sales Agency</t>
  </si>
  <si>
    <t>SARL Bazelle</t>
  </si>
  <si>
    <t>SAS Emballage Industrie Concept - Bazelle</t>
  </si>
  <si>
    <t>Scrubber Cum Dryer  Machine</t>
  </si>
  <si>
    <t>Serra Sacos Y Gestion Sl</t>
  </si>
  <si>
    <t>SGST Input</t>
  </si>
  <si>
    <t>Security &amp; Deposits Paid</t>
  </si>
  <si>
    <t>Security Deposit - Excle Markeing Gas</t>
  </si>
  <si>
    <t>Security deposit- Electricity- Maljibhai S Rabari</t>
  </si>
  <si>
    <t>Security deposit- House Rent- Maljibhai S Rabari</t>
  </si>
  <si>
    <t>Security deposit- House Rent-Desai Jitendrakumar Ganesh</t>
  </si>
  <si>
    <t>Shiv Enterprise - 24CNIPS9979P1ZL</t>
  </si>
  <si>
    <t>Shivam Traders - Sales (24AGUPS9760R1ZZ)</t>
  </si>
  <si>
    <t>Shri Narayan Enterprise</t>
  </si>
  <si>
    <t>Sikotar Traders</t>
  </si>
  <si>
    <t>Solar Power Plant &amp; Accessories</t>
  </si>
  <si>
    <t>Somlo-Zsak Kender-Juta Kft</t>
  </si>
  <si>
    <t>SP Group Global Ltd</t>
  </si>
  <si>
    <t>Staff Loan</t>
  </si>
  <si>
    <t>Star Tatabas(Staff Bus)</t>
  </si>
  <si>
    <t>Stitching Machine</t>
  </si>
  <si>
    <t>Stitching Machine With Table Orsan-4000H</t>
  </si>
  <si>
    <t>Stock In Hand- Temp Ledger</t>
  </si>
  <si>
    <t>Strapping Machine</t>
  </si>
  <si>
    <t>Stretch Wrapping Machine</t>
  </si>
  <si>
    <t>Submarsible Pump</t>
  </si>
  <si>
    <t>Surendra Kumar &amp; Sons</t>
  </si>
  <si>
    <t>TCS on Purchase</t>
  </si>
  <si>
    <t>TCS on Purchase 17-18</t>
  </si>
  <si>
    <t>TCS On Purchase 19-20</t>
  </si>
  <si>
    <t>TCS On Purchase 20-21</t>
  </si>
  <si>
    <t>TCS On Purchase 21-22</t>
  </si>
  <si>
    <t>TCS On Purchase 22-23</t>
  </si>
  <si>
    <t>TCS On Purchase 23-24</t>
  </si>
  <si>
    <t>TDS Receivable 2018-19</t>
  </si>
  <si>
    <t>TDS Receivable 2019-20</t>
  </si>
  <si>
    <t>TDS Receivable 2020-21</t>
  </si>
  <si>
    <t>TDS Receivable 2021-22</t>
  </si>
  <si>
    <t>TDS Receivable 2022-23</t>
  </si>
  <si>
    <t>TDS Receivable 2023-24</t>
  </si>
  <si>
    <t>Technopac Austria Gmbh</t>
  </si>
  <si>
    <t>Technopac Gmbh</t>
  </si>
  <si>
    <t>Superb Packaging Inc.</t>
  </si>
  <si>
    <t>Television</t>
  </si>
  <si>
    <t>Testing Machine</t>
  </si>
  <si>
    <t>Tisser, LDA</t>
  </si>
  <si>
    <t>Tools &amp; Implements</t>
  </si>
  <si>
    <t>Uab Achempak</t>
  </si>
  <si>
    <t>Upl Limited - Jhagadia</t>
  </si>
  <si>
    <t>Upl Limited - Unit 1</t>
  </si>
  <si>
    <t>Upper Trade Importacao E Exportacao Ltda</t>
  </si>
  <si>
    <t>Volta Biotech</t>
  </si>
  <si>
    <t>Wall Air Circulator</t>
  </si>
  <si>
    <t>Water Softening Plant</t>
  </si>
  <si>
    <t>Water Tank</t>
  </si>
  <si>
    <t>Web Alinger Air Sensor</t>
  </si>
  <si>
    <t>Web Camera</t>
  </si>
  <si>
    <t>Weightment Scale</t>
  </si>
  <si>
    <t>Welding Machine</t>
  </si>
  <si>
    <t>Western Grain Trading Inc</t>
  </si>
  <si>
    <t>Wind Mill 1.5 MW</t>
  </si>
  <si>
    <t>Winder Ms Cone</t>
  </si>
  <si>
    <t>Yuan Da Plastic Fabric Corporation</t>
  </si>
  <si>
    <t>Werba S.A.</t>
  </si>
  <si>
    <t>West India Forklift Services</t>
  </si>
  <si>
    <t>Star Belting</t>
  </si>
  <si>
    <t>Yuni Filaments</t>
  </si>
  <si>
    <t>Wwl India Private Limited</t>
  </si>
  <si>
    <t>Welar Corporation</t>
  </si>
  <si>
    <t>Vimla Enterprise</t>
  </si>
  <si>
    <t>Vir Engineers</t>
  </si>
  <si>
    <t>Virambhai Gamanbhai Rabari</t>
  </si>
  <si>
    <t>Visat Dairy Farm</t>
  </si>
  <si>
    <t>Vodafone Idea Limited</t>
  </si>
  <si>
    <t>Uttar Gujarat Vij Company Ltd</t>
  </si>
  <si>
    <t>Vaibhavee Enterprises</t>
  </si>
  <si>
    <t>Valco Melton Engineering India Pvt Ltd</t>
  </si>
  <si>
    <t>Vardhman Communication</t>
  </si>
  <si>
    <t>Varsha Printing Inks Mfg. Co.</t>
  </si>
  <si>
    <t>Veechem Global Fzco</t>
  </si>
  <si>
    <t>Veeshna Polypack Pvt Ltd - Purchase</t>
  </si>
  <si>
    <t>Umiya Enterprise</t>
  </si>
  <si>
    <t>Unique Techno Services Pvt Ltd</t>
  </si>
  <si>
    <t>United Raw Material Pte Ltd</t>
  </si>
  <si>
    <t>Universal Pipe Traders</t>
  </si>
  <si>
    <t>Unnati Steel</t>
  </si>
  <si>
    <t>Tradelink</t>
  </si>
  <si>
    <t>Tritha Graphics</t>
  </si>
  <si>
    <t>Tulsi Dyechem Pvt Ltd - Purchase</t>
  </si>
  <si>
    <t>The New India Assurance Co. Ltd</t>
  </si>
  <si>
    <t>The Professional Couriers Pvt Ltd</t>
  </si>
  <si>
    <t>Ten Plus</t>
  </si>
  <si>
    <t>Suqian Unitecommerce Co. Ltd</t>
  </si>
  <si>
    <t>TCS on Sales 20-21</t>
  </si>
  <si>
    <t>TCS On Sales 21-22</t>
  </si>
  <si>
    <t>TCS On Sales 22-23</t>
  </si>
  <si>
    <t>TCS On Sales 23-24</t>
  </si>
  <si>
    <t>TDS -192 (Salary)</t>
  </si>
  <si>
    <t>TDS -194C (Contractor)</t>
  </si>
  <si>
    <t>TDS -194J (Professional)</t>
  </si>
  <si>
    <t>TDS -194Q (Goods)</t>
  </si>
  <si>
    <t>Tapan Manpower Solutions</t>
  </si>
  <si>
    <t>Tashkent Oil Company Pvt Ltd</t>
  </si>
  <si>
    <t>Surya Cls Pvt Ltd</t>
  </si>
  <si>
    <t>Susmatex Machinery</t>
  </si>
  <si>
    <t>Spectrum Lubricants Private Limited</t>
  </si>
  <si>
    <t>Sonal Industries - Amraiwadi</t>
  </si>
  <si>
    <t>Rt Wovensack Machinery Solutions</t>
  </si>
  <si>
    <t>Sensation Pest Control Services</t>
  </si>
  <si>
    <t>Soltex Petro Products Limited - Silvassa</t>
  </si>
  <si>
    <t>Sohanlal Shantilal &amp; Brothers</t>
  </si>
  <si>
    <t>Shri Parmeshwar Granite And Marble</t>
  </si>
  <si>
    <t>Shrinath Adhesive Product Pvt.Ltd.</t>
  </si>
  <si>
    <t>Shubh Engineering</t>
  </si>
  <si>
    <t>Siddheshwar Enterprise</t>
  </si>
  <si>
    <t>Shree Ram Motor Rewinding</t>
  </si>
  <si>
    <t>Shree Rang Packaging</t>
  </si>
  <si>
    <t>Shree Saibaba Petroleum</t>
  </si>
  <si>
    <t>Shree Tex</t>
  </si>
  <si>
    <t>Shreena Roadways</t>
  </si>
  <si>
    <t>Shri Lalshah Papers Pvt Ltd</t>
  </si>
  <si>
    <t>Shree Krishna Transformers</t>
  </si>
  <si>
    <t>Shree Meter &amp; Heater</t>
  </si>
  <si>
    <t>Shree Rajasthan Syntex Limited</t>
  </si>
  <si>
    <t>Shree Ambica Sales Corporation</t>
  </si>
  <si>
    <t>Shree Balaad Handling Works</t>
  </si>
  <si>
    <t>Shree Ganesh Associates</t>
  </si>
  <si>
    <t>Shree Ganesh Stereo</t>
  </si>
  <si>
    <t>Shree Industries</t>
  </si>
  <si>
    <t>Shiv Shakti Enterprise</t>
  </si>
  <si>
    <t>Shivam Enterprise - 24ABSFS6360C1Z1</t>
  </si>
  <si>
    <t>Shivam Gears</t>
  </si>
  <si>
    <t>SGST Output A/c</t>
  </si>
  <si>
    <t>Shah Sewing Machine Co.</t>
  </si>
  <si>
    <t>Sham Construction</t>
  </si>
  <si>
    <t>Shanghai Zhaohui Pressure Apparatus Co Ltd</t>
  </si>
  <si>
    <t>Sharma Roadlines</t>
  </si>
  <si>
    <t>Sheetal Engineering Services</t>
  </si>
  <si>
    <t>Shil Technologies Pvt Ltd</t>
  </si>
  <si>
    <t>Seabox Shipping &amp; Logistics Pvt Ltd</t>
  </si>
  <si>
    <t>Sar Transport Systems Pvt Ltd - Maharastra</t>
  </si>
  <si>
    <t>Sales Bill Discounted Exports - Drip capital</t>
  </si>
  <si>
    <t>Sales Bill Discounted Exports - India Factoring</t>
  </si>
  <si>
    <t>Sales Bill Discounted Exports - SBI</t>
  </si>
  <si>
    <t>Sales Bill Discounted Exports - SCB</t>
  </si>
  <si>
    <t>Samkit Enterprises</t>
  </si>
  <si>
    <t>Sandip Kumar Maurya</t>
  </si>
  <si>
    <t>Satyam Stationery Mart</t>
  </si>
  <si>
    <t>Saurabh Enterprise</t>
  </si>
  <si>
    <t>Sayona Engineers</t>
  </si>
  <si>
    <t>Schmetz India Pvt Ltd</t>
  </si>
  <si>
    <t>S.R.Sewing Tech</t>
  </si>
  <si>
    <t>S.S Tea Company</t>
  </si>
  <si>
    <t>Salary &amp; Wages Payable</t>
  </si>
  <si>
    <t>S.R. Roadways</t>
  </si>
  <si>
    <t>Repsol Quimica S.A</t>
  </si>
  <si>
    <t>Rex Steam Products Pvt Ltd</t>
  </si>
  <si>
    <t>Riddhi Electric Industries</t>
  </si>
  <si>
    <t>Riya Engineering</t>
  </si>
  <si>
    <t>Rajiv Petrochemical Pvt Ltd -  Purchase</t>
  </si>
  <si>
    <t>Reliance Industries Ltd-Gujarat</t>
  </si>
  <si>
    <t>Reliance Industries Ltd-Jamnagar SEZ</t>
  </si>
  <si>
    <t>Reliance Jio Infocomm Limited</t>
  </si>
  <si>
    <t>Ragni Devi Navin Singh</t>
  </si>
  <si>
    <t>Raj Asbestos Co</t>
  </si>
  <si>
    <t>Raj Filters And Wiremesh Pvt Ltd</t>
  </si>
  <si>
    <t>Rajat Impex</t>
  </si>
  <si>
    <t>Rajshakti Roadways</t>
  </si>
  <si>
    <t>Rapid Engineering</t>
  </si>
  <si>
    <t>Ravindra</t>
  </si>
  <si>
    <t>Ravishankar Maurya</t>
  </si>
  <si>
    <t>Qwik Supply Chain Private Limited</t>
  </si>
  <si>
    <t>R C Prajapati</t>
  </si>
  <si>
    <t>R. B. Tapes Pvt Ltd</t>
  </si>
  <si>
    <t>R.R. Crane Service</t>
  </si>
  <si>
    <t>Rabari Jigneshkumar Ganeshbhai</t>
  </si>
  <si>
    <t>Radhesham Raviprakash Timbers Pvt Ltd</t>
  </si>
  <si>
    <t>Radix Electrosystems Pvt Ltd</t>
  </si>
  <si>
    <t>Punit Trading Co</t>
  </si>
  <si>
    <t>Puran Electric &amp; Power Tools</t>
  </si>
  <si>
    <t>Purbanchal Lumbers Pvt Ltd</t>
  </si>
  <si>
    <t>Pramukh Enterprise</t>
  </si>
  <si>
    <t>Premier India Bearing Ltd.</t>
  </si>
  <si>
    <t>Professional Tax Liability A/c</t>
  </si>
  <si>
    <t>Profit &amp; Loss - R&amp;S</t>
  </si>
  <si>
    <t>Protea Retails Private Limited</t>
  </si>
  <si>
    <t>Provision For Depreciation</t>
  </si>
  <si>
    <t>Provision For Expenses</t>
  </si>
  <si>
    <t>Provision for Gratuaity</t>
  </si>
  <si>
    <t>Provision For Interest</t>
  </si>
  <si>
    <t>Provision For Leave Encashment</t>
  </si>
  <si>
    <t>Plus Logistics Ltd.</t>
  </si>
  <si>
    <t>Poly Texmach</t>
  </si>
  <si>
    <t>Polyone Polymers India Private Limited - Gujarat</t>
  </si>
  <si>
    <t>Plastene Polyfilms Ltd-ICD</t>
  </si>
  <si>
    <t>Plastene Polyfilms Ltd-Purchase</t>
  </si>
  <si>
    <t>Plastene India ltd - Unit 8-Purchase</t>
  </si>
  <si>
    <t>Plastene India ltd - Unit 5-Purchase</t>
  </si>
  <si>
    <t>Plastene India ltd - Unit 6-Purchase</t>
  </si>
  <si>
    <t>Plastene India ltd - Unit 3-Purchase</t>
  </si>
  <si>
    <t>Plastene India ltd - Unit 1-Purchase</t>
  </si>
  <si>
    <t>Plastene India ltd - HO-ICD</t>
  </si>
  <si>
    <t>Plastene India ltd - HO-Purchase</t>
  </si>
  <si>
    <t>Plastene India Limited - Trading Unit 1</t>
  </si>
  <si>
    <t>Peoples Mind</t>
  </si>
  <si>
    <t>Perfect Belts Private Limited</t>
  </si>
  <si>
    <t>Patel Transport - 24ABAFP1601P1ZD</t>
  </si>
  <si>
    <t>Paymate India Pvt Ltd</t>
  </si>
  <si>
    <t>Parshwanath Enterprise</t>
  </si>
  <si>
    <t>Parth Poly Coat Yarn Pvt Ltd</t>
  </si>
  <si>
    <t>Oswal Lumbers Pvt Ltd</t>
  </si>
  <si>
    <t>Oswal Extrusion Ltd - Unit 6-Purchase</t>
  </si>
  <si>
    <t>Oswal Extrusion Ltd - Unit 2-Purchase</t>
  </si>
  <si>
    <t>Jose Maria Camargo</t>
  </si>
  <si>
    <t>ONGC Petro Addition Ltd</t>
  </si>
  <si>
    <t>OQ Marketing LLC</t>
  </si>
  <si>
    <t>Oswal Extrusion Ltd - HO-Purchase</t>
  </si>
  <si>
    <t>Om Construction</t>
  </si>
  <si>
    <t>Om Enterprises Delhi</t>
  </si>
  <si>
    <t>Omicron Marketing</t>
  </si>
  <si>
    <t>Nrs Industrial Products</t>
  </si>
  <si>
    <t>Nu-Vu Conair Private Limited</t>
  </si>
  <si>
    <t>Nutron Systems Private Limited</t>
  </si>
  <si>
    <t>O R Maloo &amp; Co</t>
  </si>
  <si>
    <t>Oak Tradeklink</t>
  </si>
  <si>
    <t>OCI (Hongkong) Limited</t>
  </si>
  <si>
    <t>Nil Services</t>
  </si>
  <si>
    <t>Nishith Enterprise</t>
  </si>
  <si>
    <t>New Arm</t>
  </si>
  <si>
    <t>New Dharti Agency</t>
  </si>
  <si>
    <t>Nada Poly Plast</t>
  </si>
  <si>
    <t>Najumiya Umarmiya Malek</t>
  </si>
  <si>
    <t>Nandishwari Packaging</t>
  </si>
  <si>
    <t>Narahari Singh</t>
  </si>
  <si>
    <t>Muni Enterprises</t>
  </si>
  <si>
    <t>Msc Mediterranean Shipping Company S.A</t>
  </si>
  <si>
    <t>Mukesh Kumar Yadav</t>
  </si>
  <si>
    <t>Mukund Steels</t>
  </si>
  <si>
    <t>Mount-Fab Packaging LLP - Purchase</t>
  </si>
  <si>
    <t>MK Enterprises</t>
  </si>
  <si>
    <t>Mittal Enterprises</t>
  </si>
  <si>
    <t>Mohan Lal</t>
  </si>
  <si>
    <t>Mohanbhai Reshambhai Taral</t>
  </si>
  <si>
    <t>Monit Trading Pvt Ltd</t>
  </si>
  <si>
    <t>Metalex Agencies</t>
  </si>
  <si>
    <t>Midas Yarn Processors Pvt Ltd</t>
  </si>
  <si>
    <t>Mehjal Adhesive Tapes Pvt. Ltd.</t>
  </si>
  <si>
    <t>Maruti Traders - Purchase</t>
  </si>
  <si>
    <t>Lubgraf Products</t>
  </si>
  <si>
    <t>Macgray Solutions Pvt Ltd</t>
  </si>
  <si>
    <t>Maersk Line India Pvt Ltd</t>
  </si>
  <si>
    <t>Mahakali Trading Company</t>
  </si>
  <si>
    <t>Mahavir Industries</t>
  </si>
  <si>
    <t>Mahavir Technovations</t>
  </si>
  <si>
    <t>Mantram Technofab Pvt Ltd</t>
  </si>
  <si>
    <t>Lohia Corp Limited - Gujarat</t>
  </si>
  <si>
    <t>Lohia Global Solutions - Gujarat - (A Div of Lohia Corp Ltd)</t>
  </si>
  <si>
    <t>Lohia Global Solutions - UP - (A Div of Lohia Corp Ltd)</t>
  </si>
  <si>
    <t>Lankhorst Eurunete Portugal Sa</t>
  </si>
  <si>
    <t>Lala Ram Punama Ram</t>
  </si>
  <si>
    <t>Kothari Packaging Industries</t>
  </si>
  <si>
    <t>Krishna Enterprise - Ashram Road, Ahmedabad</t>
  </si>
  <si>
    <t>Krishna Enterprise - Navrangpura</t>
  </si>
  <si>
    <t>Labbdhi Paper Tubes Pvt Ltd</t>
  </si>
  <si>
    <t>Labdhi Engineering Pvt Ltd</t>
  </si>
  <si>
    <t>Kirti Engineering Enterprise - 24ACRPP5435B1ZM</t>
  </si>
  <si>
    <t>Kamaldeep Xerox And Stationers</t>
  </si>
  <si>
    <t>Kamini Freeze Service</t>
  </si>
  <si>
    <t>Kan Power Rubber Industries</t>
  </si>
  <si>
    <t>Karnavati Polyblends Pvt Ltd</t>
  </si>
  <si>
    <t>KDR Engineers</t>
  </si>
  <si>
    <t>Keshav Manpower Solutions</t>
  </si>
  <si>
    <t>Kabra Electricals</t>
  </si>
  <si>
    <t>Kailash Enterprise</t>
  </si>
  <si>
    <t>K.P. Woven Pvt Ltd-Purchase</t>
  </si>
  <si>
    <t>K.P. Woven Pvt Ltd - Unit 3 -Purchase</t>
  </si>
  <si>
    <t>K P Enterprise - (GST 24BHQPV2994G1ZM)</t>
  </si>
  <si>
    <t>K Patel Drives Systems</t>
  </si>
  <si>
    <t>K.P. Woven Pvt Ltd - Unit 2 -Purchase</t>
  </si>
  <si>
    <t>Jikuji Maganji Parmar</t>
  </si>
  <si>
    <t>Jayshree R. Desai</t>
  </si>
  <si>
    <t>Jalam Singh</t>
  </si>
  <si>
    <t>Jay Jagannath Industries - Prop Umeshbhai Kantilal Panchal</t>
  </si>
  <si>
    <t>Jay Mataji Roadlines</t>
  </si>
  <si>
    <t>Jay Meldi Engineering Works</t>
  </si>
  <si>
    <t>Ishan Plastic LLP</t>
  </si>
  <si>
    <t>ISSGF India Private Limited</t>
  </si>
  <si>
    <t>J B Packaging</t>
  </si>
  <si>
    <t>J J Plastalloy Pvt Ltd</t>
  </si>
  <si>
    <t>J P Extrusiontech Private Limited</t>
  </si>
  <si>
    <t>Jain Bulk Pack - Rajkot</t>
  </si>
  <si>
    <t>Industrial Steel Corporatoion</t>
  </si>
  <si>
    <t>Infotek Software &amp; Systems Pvt Ltd</t>
  </si>
  <si>
    <t>IGST Output A/c</t>
  </si>
  <si>
    <t>Indian Institute Of Packaging - Ahmedabad</t>
  </si>
  <si>
    <t>Indian Oil Corporation -Paradip</t>
  </si>
  <si>
    <t>Indian Oil Corporation Ltd. ( Ahmedabad )</t>
  </si>
  <si>
    <t>Indralok Fabrics Pvt Ltd - Purchase</t>
  </si>
  <si>
    <t>Ikon Instruments</t>
  </si>
  <si>
    <t>IMBB - Purchase</t>
  </si>
  <si>
    <t>ICICI Lombard General Insurance Co Ltd</t>
  </si>
  <si>
    <t>Huzhou Unifull Industrial Fibre Co., Ltd.</t>
  </si>
  <si>
    <t>Hellmann Worldwide Logistics India Private Limited</t>
  </si>
  <si>
    <t>HDFC Bank Bus Loan A/C No 83215550</t>
  </si>
  <si>
    <t>HDFC Bank- Forklift Loan A/C 86245787</t>
  </si>
  <si>
    <t>HDFC Bank- Forklift Loan A/C 86496959</t>
  </si>
  <si>
    <t>HDFC Car Loan Agreement No. 117652724 - Swift Dezire</t>
  </si>
  <si>
    <t>HELCON STEEL CORPORATION</t>
  </si>
  <si>
    <t>HCP Plastene Bulkpack Ltd (Unit-III) - Purchase</t>
  </si>
  <si>
    <t>HCP Plastene Bulkpack Limited - Purchase</t>
  </si>
  <si>
    <t>HCP Enterprise Ltd-Purchase</t>
  </si>
  <si>
    <t>H.N.Dave Forklifts</t>
  </si>
  <si>
    <t>Hapag-Lloyd India Pvt Ltd</t>
  </si>
  <si>
    <t>Harish B Trivedi</t>
  </si>
  <si>
    <t>Harsiddhi Creation</t>
  </si>
  <si>
    <t>Hasti Petro Chemical And Shipping Ltd.</t>
  </si>
  <si>
    <t>Gujarat Energy Transmission Corporation Limited</t>
  </si>
  <si>
    <t>Guru Marketing</t>
  </si>
  <si>
    <t>Green Traders</t>
  </si>
  <si>
    <t>Globelink WW India Pvt Ltd</t>
  </si>
  <si>
    <t>Go Digit General Insurance Limited</t>
  </si>
  <si>
    <t>Global Industries</t>
  </si>
  <si>
    <t>Ginza Machinery Mfg.Co.</t>
  </si>
  <si>
    <t>Gaurav Trans Engineers Private Limited</t>
  </si>
  <si>
    <t>Full &amp; Final Settlement Payable</t>
  </si>
  <si>
    <t>Galaxy Enterprise</t>
  </si>
  <si>
    <t>Galaxy Heat Products</t>
  </si>
  <si>
    <t>Gandhi Tyres</t>
  </si>
  <si>
    <t>Fortune Shipping Private Limited</t>
  </si>
  <si>
    <t>Firojkhan.A.Pathan</t>
  </si>
  <si>
    <t>Flesha Paints &amp; Chemicals</t>
  </si>
  <si>
    <t>Fine Tech Corporation Pvt Ltd - Surat</t>
  </si>
  <si>
    <t>Fast And Fair Shipping And Logistics</t>
  </si>
  <si>
    <t>Fairdeal Multifilament Pvt Ltd</t>
  </si>
  <si>
    <t>Excel Office Solution</t>
  </si>
  <si>
    <t>Employees Contribution to PF - Factory</t>
  </si>
  <si>
    <t>Erhardt + Leimer (India) Pvt Ltd</t>
  </si>
  <si>
    <t>Everplus Plastics Pvt Ltd</t>
  </si>
  <si>
    <t>Dwarkesh Water Supply</t>
  </si>
  <si>
    <t>Dynamic Wooltex</t>
  </si>
  <si>
    <t>Ekta Cargo Movers</t>
  </si>
  <si>
    <t>Dsv Air &amp; Sea Private Limited</t>
  </si>
  <si>
    <t>Deluxe Plastic Works</t>
  </si>
  <si>
    <t>Dodiya Vishal Shyamlal</t>
  </si>
  <si>
    <t>Drasti Power Tools &amp; Electricals</t>
  </si>
  <si>
    <t>Din Engineering Works</t>
  </si>
  <si>
    <t>Diamond Rubber Industries</t>
  </si>
  <si>
    <t>Deccan Sales &amp; Service Pvt Ltd</t>
  </si>
  <si>
    <t>Container Corporation Of India Ltd (CKB)</t>
  </si>
  <si>
    <t>Desai Janak Kumar Ganeshbhai</t>
  </si>
  <si>
    <t>Desai Jitendar Kumar Ganeshbhai</t>
  </si>
  <si>
    <t>Desai Rajendar Kumar Ganeshbhai</t>
  </si>
  <si>
    <t>Dev Automation</t>
  </si>
  <si>
    <t>Cosco Shipping Lines (India) Private Limited- Gujarat</t>
  </si>
  <si>
    <t>Crave International</t>
  </si>
  <si>
    <t>Comet Chemicals</t>
  </si>
  <si>
    <t>Cma Cgm Agencies (India) Pvt Ltd</t>
  </si>
  <si>
    <t>Ckb Global Logistics Private Limited</t>
  </si>
  <si>
    <t>Chhavi Enterprise</t>
  </si>
  <si>
    <t>Chinubhai Kalidass &amp; Bros - Gujarat</t>
  </si>
  <si>
    <t>Chirag Engineering Works</t>
  </si>
  <si>
    <t>Chiragkumar Prahaladbhai</t>
  </si>
  <si>
    <t>CGST Output A/c</t>
  </si>
  <si>
    <t>Cess Technology Company</t>
  </si>
  <si>
    <t>C B Logistics</t>
  </si>
  <si>
    <t>CC ICICI Manish Banthia 40004</t>
  </si>
  <si>
    <t>CC ICICI Parin Upadhyay 39006</t>
  </si>
  <si>
    <t>CC ICICI Tarachand Purohit 38008</t>
  </si>
  <si>
    <t>Brahmani Graphics</t>
  </si>
  <si>
    <t>Brahmani Labels</t>
  </si>
  <si>
    <t>Brahmani Printers</t>
  </si>
  <si>
    <t>Bonus Payable</t>
  </si>
  <si>
    <t>Bonus Plastics Private Limited - Purchase</t>
  </si>
  <si>
    <t>BP Lubricants Pvt Ltd</t>
  </si>
  <si>
    <t>Agarwal Enterprise</t>
  </si>
  <si>
    <t>Bright Rubber</t>
  </si>
  <si>
    <t>Bombay Fire Safety</t>
  </si>
  <si>
    <t>Aum Enterprise</t>
  </si>
  <si>
    <t>Aum Polypack</t>
  </si>
  <si>
    <t>Beta Computronics Pvt Ltd</t>
  </si>
  <si>
    <t>Bhavani International</t>
  </si>
  <si>
    <t>Bhushn Kumar</t>
  </si>
  <si>
    <t>Bill Of Exchange - M1 Exchange</t>
  </si>
  <si>
    <t>Bill of Exchange-SBI</t>
  </si>
  <si>
    <t>Bill of Exchange-SCB</t>
  </si>
  <si>
    <t>Blackstone Shipping Private Limited - Maharashtra</t>
  </si>
  <si>
    <t>Blaze Net Ltd.</t>
  </si>
  <si>
    <t>Bank EPC BOB 25380700000034</t>
  </si>
  <si>
    <t>Bank EPC SBI 36741261522</t>
  </si>
  <si>
    <t>Bank EPC SBI 40448753388</t>
  </si>
  <si>
    <t>Bank EPC SCB</t>
  </si>
  <si>
    <t>Bank PCFC SBI - EURO</t>
  </si>
  <si>
    <t>Bank PCFC SBI - USD</t>
  </si>
  <si>
    <t>Bank PCFC SBI 31718812533</t>
  </si>
  <si>
    <t>Basell International Trading Fze</t>
  </si>
  <si>
    <t>Baviskar Sales &amp; Service</t>
  </si>
  <si>
    <t>Bdp Ugl Global Logistics (India) Pvt Ltd</t>
  </si>
  <si>
    <t>Ashapura Roadlines</t>
  </si>
  <si>
    <t>Ashirwad Infocom</t>
  </si>
  <si>
    <t>Ashutosh Power Transbelts Ltd.</t>
  </si>
  <si>
    <t>Bank Cash Credit BOB 25380500000128</t>
  </si>
  <si>
    <t>Bank Cash Credit INDUSIND 650001188162</t>
  </si>
  <si>
    <t>Bank Cash Credit SBI 66000073295</t>
  </si>
  <si>
    <t>Avadh Manpower Solutions</t>
  </si>
  <si>
    <t>Avee Electro Engineers</t>
  </si>
  <si>
    <t>Avin Enterprise</t>
  </si>
  <si>
    <t>Axle Steel &amp; Fasteners</t>
  </si>
  <si>
    <t>Ayush Enterprise</t>
  </si>
  <si>
    <t>B.C.Saraiya &amp; Co</t>
  </si>
  <si>
    <t>B.K. Roadways</t>
  </si>
  <si>
    <t>Bahucharaji Office Solution</t>
  </si>
  <si>
    <t>Asha Mica Traders</t>
  </si>
  <si>
    <t>Ameya Perfomatt Private Limited (Maharashtra)</t>
  </si>
  <si>
    <t>Amit Engineering</t>
  </si>
  <si>
    <t>Arihant Fire &amp; Safety Services</t>
  </si>
  <si>
    <t>Arihant Roadlines</t>
  </si>
  <si>
    <t>Armaan Security Services</t>
  </si>
  <si>
    <t>Armstrong</t>
  </si>
  <si>
    <t>Arth Indane</t>
  </si>
  <si>
    <t>Aryan Security Services</t>
  </si>
  <si>
    <t>Amtek Instruments Pvt Ltd</t>
  </si>
  <si>
    <t>Anar Rubtech Pvt Ltd</t>
  </si>
  <si>
    <t>Ap Enterprise</t>
  </si>
  <si>
    <t>Alok Master Batches Private Limited- Dadra</t>
  </si>
  <si>
    <t>Alok Master Batches Private Limited- Surangi</t>
  </si>
  <si>
    <t>Akshara Graphics - Purchase</t>
  </si>
  <si>
    <t>Alankar Automotives Pvt Ltd</t>
  </si>
  <si>
    <t>Ahmedabad Cotton Waste Co.</t>
  </si>
  <si>
    <t>Airlift Trans Pacific Private Limited</t>
  </si>
  <si>
    <t>Ajanta Chemicals</t>
  </si>
  <si>
    <t>Akshar Polypack Llp</t>
  </si>
  <si>
    <t>Active Cargo Movers</t>
  </si>
  <si>
    <t>Adani Cma Mundra Terminal Private Limited</t>
  </si>
  <si>
    <t>Adani International Container Terminal Pvt Ltd</t>
  </si>
  <si>
    <t>Adani Ports And Special Economic Zone Limited</t>
  </si>
  <si>
    <t>Addon Envirotech</t>
  </si>
  <si>
    <t>A N Satyam Enterprise</t>
  </si>
  <si>
    <t>Aareha Elastin Fibc Private Limited</t>
  </si>
  <si>
    <t>Aarth Industries</t>
  </si>
  <si>
    <t>Accurate Rub Tech</t>
  </si>
  <si>
    <t>Balance Written Back Income</t>
  </si>
  <si>
    <t>Branch Transfer Out - Raw Material</t>
  </si>
  <si>
    <t>Sale of Finished Goods</t>
  </si>
  <si>
    <t>Income From Wind Mill</t>
  </si>
  <si>
    <t>Job Work Income</t>
  </si>
  <si>
    <t>Sales - Direct Export - Mfg - U/B</t>
  </si>
  <si>
    <t>Sales - Export - Third Party</t>
  </si>
  <si>
    <t>Sales - Interstate - Manufactured Goods</t>
  </si>
  <si>
    <t>Sale of Traded Goods</t>
  </si>
  <si>
    <t>Sales - Kasez - Mfg - U/B</t>
  </si>
  <si>
    <t>Sales - Within State  Manufactured Goods</t>
  </si>
  <si>
    <t>Sales - Within State - Traded Goods</t>
  </si>
  <si>
    <t>Salaries Expense</t>
  </si>
  <si>
    <t>Security Expenses</t>
  </si>
  <si>
    <t>Repairs &amp; Maintenance Exp - Building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</si>
  <si>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</si>
  <si>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</si>
  <si>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</si>
  <si>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</si>
  <si>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</si>
  <si>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Rent Expense - Colony</t>
  </si>
  <si>
    <t>Round Off</t>
  </si>
  <si>
    <t>Round Off - Purchases</t>
  </si>
  <si>
    <t>Purchase - Urd - Stores, Spares &amp; Consumable</t>
  </si>
  <si>
    <t>Purchase Interstate - Raw Material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</si>
  <si>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</si>
  <si>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</si>
  <si>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</si>
  <si>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</si>
  <si>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Withinstate - Raw Material</t>
  </si>
  <si>
    <t>Purchase Withinstate- Packing Material</t>
  </si>
  <si>
    <t>Purchase Withinstate- Stores, Spares &amp; Consumable</t>
  </si>
  <si>
    <t>Purchase-Import - Third Party</t>
  </si>
  <si>
    <t>Professional &amp; Consultancy Fees</t>
  </si>
  <si>
    <t>Mobile &amp; Telephone Expense</t>
  </si>
  <si>
    <t>Office Expenses</t>
  </si>
  <si>
    <t>Notice Pay Deduction</t>
  </si>
  <si>
    <t>Other Deduction</t>
  </si>
  <si>
    <t>Packing Forwading &amp; Cartage Expense</t>
  </si>
  <si>
    <t>P.F. Admin. Charge</t>
  </si>
  <si>
    <t>P.F. Contribution - Employer</t>
  </si>
  <si>
    <t>Petrol &amp; Diesel Expense - Other Vehicles</t>
  </si>
  <si>
    <t>Postage &amp; Courier Expense</t>
  </si>
  <si>
    <t>Power Expense</t>
  </si>
  <si>
    <t>Printing &amp; Stationery Expense</t>
  </si>
  <si>
    <t>Staff Welfare Expense</t>
  </si>
  <si>
    <t>Stamp Duty Expense</t>
  </si>
  <si>
    <t>Testing Charges</t>
  </si>
  <si>
    <t>Vehicle Hire Charges - RCM</t>
  </si>
  <si>
    <t>Water Charges</t>
  </si>
  <si>
    <t>Weighment Expense</t>
  </si>
  <si>
    <t>Insurance Exp - Vehicles</t>
  </si>
  <si>
    <t>Insurance Expenses - Marine</t>
  </si>
  <si>
    <t>Insurance Expenses - Other</t>
  </si>
  <si>
    <t>Interest Expense - Factoring</t>
  </si>
  <si>
    <t>Interest Expense - Other</t>
  </si>
  <si>
    <t>Interest Expense - Vehicle Loan</t>
  </si>
  <si>
    <t>Job Charges</t>
  </si>
  <si>
    <t>Labour Charges</t>
  </si>
  <si>
    <t>Leave Encashment</t>
  </si>
  <si>
    <t>Legal Expense</t>
  </si>
  <si>
    <t>Loading &amp; Unloading Expense</t>
  </si>
  <si>
    <t>Medical Expense</t>
  </si>
  <si>
    <t>Miscellaneous Expense</t>
  </si>
  <si>
    <t>Factory Expense</t>
  </si>
  <si>
    <t>Factoring Charges</t>
  </si>
  <si>
    <t>Freight Inward Expense (RCM)</t>
  </si>
  <si>
    <t>Freight Inward Expense (With GST)</t>
  </si>
  <si>
    <t>Freight Outward Expense  - Export</t>
  </si>
  <si>
    <t>Freight Outward Expense (RCM)</t>
  </si>
  <si>
    <t>Freight Outward Expense (With GST)</t>
  </si>
  <si>
    <t>Freight outward Expenses (RCM_Withinstate)</t>
  </si>
  <si>
    <t>Fumigation Charges</t>
  </si>
  <si>
    <t>Gratuity Expense</t>
  </si>
  <si>
    <t>House Keeping Expense</t>
  </si>
  <si>
    <t>Incentive Expense - Production</t>
  </si>
  <si>
    <t>Brokerage &amp; Commission Expense</t>
  </si>
  <si>
    <t>Branch Transfer In - Packing Material</t>
  </si>
  <si>
    <t>Branch Transfer In - Raw Material</t>
  </si>
  <si>
    <t>Branch Transfer In - Stores, Spares &amp; Consumable</t>
  </si>
  <si>
    <t>Canteen Expense - Factory</t>
  </si>
  <si>
    <t>C &amp; F  Charges  - Import</t>
  </si>
  <si>
    <t>C &amp; F  Charges - Export</t>
  </si>
  <si>
    <t>Consumables, Tools &amp; Spare Expense</t>
  </si>
  <si>
    <t>Custom Duty &amp; Charges</t>
  </si>
  <si>
    <t>Conveyance Expenses</t>
  </si>
  <si>
    <t>Discount &amp; Rate Difference - Purchase</t>
  </si>
  <si>
    <t>Discount &amp; Rate Difference - Sales</t>
  </si>
  <si>
    <t>Exchange Rate Difference - Creditor</t>
  </si>
  <si>
    <t>Exchange Rate Difference - Debtors</t>
  </si>
  <si>
    <t>Electrical Expense</t>
  </si>
  <si>
    <t>Electricity Exp (Staff Colony)</t>
  </si>
  <si>
    <t>Balance Written Off Expense</t>
  </si>
  <si>
    <t>Bank Charges -  Export Collection</t>
  </si>
  <si>
    <t>Bank Charges - Import</t>
  </si>
  <si>
    <t>Bank Charges - Postage &amp; Swift</t>
  </si>
  <si>
    <t>Bank Charges- Others</t>
  </si>
  <si>
    <t>Att. Bonus (Salary Part)</t>
  </si>
  <si>
    <t>Bonus Expense</t>
  </si>
  <si>
    <t>Advocate Fees Expense</t>
  </si>
  <si>
    <t>Allowance - Books &amp; Periodicals</t>
  </si>
  <si>
    <t>Allowance - Canteen</t>
  </si>
  <si>
    <t>Allowance - Children Education &amp; Hostel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</si>
  <si>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</si>
  <si>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</si>
  <si>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</si>
  <si>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</si>
  <si>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</si>
  <si>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</si>
  <si>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Transport</t>
  </si>
  <si>
    <t>Allowance - Uniform / Attire</t>
  </si>
  <si>
    <t>Allowance - Washing</t>
  </si>
  <si>
    <t>Profit And Loss Account</t>
  </si>
  <si>
    <t>Hd Microns Limited</t>
  </si>
  <si>
    <t>N S Traders</t>
  </si>
  <si>
    <t>Panchvati Tools Co.</t>
  </si>
  <si>
    <t>Alps Polytex - Purchase</t>
  </si>
  <si>
    <t>Safesack Finland Oy</t>
  </si>
  <si>
    <t>Tradex Petroproducts LLP</t>
  </si>
  <si>
    <t>Alaris Polymers - Purchase</t>
  </si>
  <si>
    <t>Cir-Q-Tech Tako Technologies Pvt. Ltd.</t>
  </si>
  <si>
    <t>LC Packaging Covrom Srl</t>
  </si>
  <si>
    <t>Tata Aig General Insurance Co. Ltd.-Maharastra</t>
  </si>
  <si>
    <t>Sunrise Metal</t>
  </si>
  <si>
    <t>Seabridge Marine Agencies Pvt Ltd</t>
  </si>
  <si>
    <t>Raman Roadways Private Limited</t>
  </si>
  <si>
    <t>Raj Furnishing</t>
  </si>
  <si>
    <t>Mewar Microns</t>
  </si>
  <si>
    <t>Kunj Enterprise</t>
  </si>
  <si>
    <t>Kutch Ratnam Roadways</t>
  </si>
  <si>
    <t>Colman Polychem Llp</t>
  </si>
  <si>
    <t>CC ICICI Prakash Parekh 6006</t>
  </si>
  <si>
    <t>Vehicle Hire Charges - With Gst</t>
  </si>
  <si>
    <t>TIGI Kramer Am LLC</t>
  </si>
  <si>
    <t>Surbhi Shipping &amp; Logistics</t>
  </si>
  <si>
    <t>Star Conveyors</t>
  </si>
  <si>
    <t>Everplus Plastics Private Limited-Ahmedabad.</t>
  </si>
  <si>
    <t>Desai Pinkeeben Jitendrakumar</t>
  </si>
  <si>
    <t>CC HDFC Anil Goyal 3385</t>
  </si>
  <si>
    <t>Ashok Kumar Prajapati</t>
  </si>
  <si>
    <t>Ambica Kirana Stores</t>
  </si>
  <si>
    <t>Insurance Expenses - Plant</t>
  </si>
  <si>
    <t>Sunglow Colorants Corporation</t>
  </si>
  <si>
    <t>Shubh Polyfab Pvt Ltd</t>
  </si>
  <si>
    <t>Reliable Enterprise</t>
  </si>
  <si>
    <t>Rajukhan Munnekhan</t>
  </si>
  <si>
    <t>Pooja Enterprises-Odhav.</t>
  </si>
  <si>
    <t>Om Corporation</t>
  </si>
  <si>
    <t>M G Mehta And Sons</t>
  </si>
  <si>
    <t>Gayatri Engineering Works</t>
  </si>
  <si>
    <t>Cesur Latam Sac</t>
  </si>
  <si>
    <t>Cesur Packaging Benelux Bv</t>
  </si>
  <si>
    <t>Egyptian Agriculture Services &amp; Trade Co</t>
  </si>
  <si>
    <t>Vedant Enteprises</t>
  </si>
  <si>
    <t>Synpack Slide N Zip Pvt. Ltd.</t>
  </si>
  <si>
    <t>Rajhans Plastic Machinery Pvt Ltd</t>
  </si>
  <si>
    <t>R. K. Cosultants</t>
  </si>
  <si>
    <t>Excel Marketing</t>
  </si>
  <si>
    <t>DHL Logistics Pvt Ltd</t>
  </si>
  <si>
    <t>Cc Hdfc Plastene India Limited 6042</t>
  </si>
  <si>
    <t>CC ICICI Tarachand Purohit 4007</t>
  </si>
  <si>
    <t>Baldevbhai Nagjibhai Prajapati</t>
  </si>
  <si>
    <t>Stock sheet  from Apr-24 to Mar-24</t>
  </si>
  <si>
    <t>Tds Receivable 2024-25</t>
  </si>
  <si>
    <t>V-Trans (India) Ltd. - Maharashtra</t>
  </si>
  <si>
    <t>Raj Cooling System</t>
  </si>
  <si>
    <t>Pooja Enterprise</t>
  </si>
  <si>
    <t>Patel Sales &amp; Services</t>
  </si>
  <si>
    <t>Mundra International Container Terminal Pvt. Ltd.</t>
  </si>
  <si>
    <t>Lyft Logistics Llp-Gujarat</t>
  </si>
  <si>
    <t>M.D Kathawala</t>
  </si>
  <si>
    <t>Lohia Corp Limited - Kanpur</t>
  </si>
  <si>
    <t>Lohia Global Solutions Pvt Ltd, Gujarat</t>
  </si>
  <si>
    <t>ISSGF India Private Limited - Maharashtra</t>
  </si>
  <si>
    <t>Purchase Return - Inter State - Raw Material</t>
  </si>
  <si>
    <t>Ganesh Plastics</t>
  </si>
  <si>
    <t>Ronak Polypack</t>
  </si>
  <si>
    <t>Saeed Ali Godhran Plastic Pipe Factory</t>
  </si>
  <si>
    <t>Royal Trading</t>
  </si>
  <si>
    <t>Swastik Sales</t>
  </si>
  <si>
    <t>Vishal Packaging</t>
  </si>
  <si>
    <t>V-Trans (India) Ltd. - Gujarat</t>
  </si>
  <si>
    <t>Shree Nakodaji Computerised Weigh-Bridge- DJEPP2502L</t>
  </si>
  <si>
    <t>Sanjay Trade And Industries</t>
  </si>
  <si>
    <t>Hemraj P. Chaudhary</t>
  </si>
  <si>
    <t>Cresco It Systems Pvt Ltd</t>
  </si>
  <si>
    <t>Classic Adhesive Tapes Mig Co.</t>
  </si>
  <si>
    <t>CC Indusind Bank Limited 4147 5276 9673 3698</t>
  </si>
  <si>
    <t>Anshita Trading Co.Pvt Ltd-Purchase</t>
  </si>
  <si>
    <t>Abhi Roadline</t>
  </si>
  <si>
    <t>Branch Transfer Out - Trading</t>
  </si>
  <si>
    <t>Export related Certification Charges</t>
  </si>
  <si>
    <t>Asahi Songwon Colors Ltd.- Sales</t>
  </si>
  <si>
    <t>Vyankatesh Udyog (I) Pvt Ltd - Purchase</t>
  </si>
  <si>
    <t>Tech Plastfeb Private Limited</t>
  </si>
  <si>
    <t>S.D.Systems</t>
  </si>
  <si>
    <t>Lohia Corp Limited - 09AAKCK2932Q1ZU - UP</t>
  </si>
  <si>
    <t>Lohia Corp Limited - 24AAKCK2932Q1Z2 - Guj</t>
  </si>
  <si>
    <t>Hmt Ceramics &amp; Engineering</t>
  </si>
  <si>
    <t>Hcp Plastene Bulkpack Plt-Malaysia</t>
  </si>
  <si>
    <t>Go Digit General Insurance Ltd.-Maharastra</t>
  </si>
  <si>
    <t>Excellent Material</t>
  </si>
  <si>
    <t>CC ICICI Manish Banthia 3009</t>
  </si>
  <si>
    <t>Sales - Direct Export - Mfg - U/R</t>
  </si>
  <si>
    <t>Aareha Elastin Fibc Private Limited - Sales</t>
  </si>
  <si>
    <t>Security deposit- Rent</t>
  </si>
  <si>
    <t>V-Trans (India) Ltd.-Mp</t>
  </si>
  <si>
    <t>Shree Sharda Impex</t>
  </si>
  <si>
    <t>Riddhi Mech-Fab Engineering</t>
  </si>
  <si>
    <t>L N Engineering</t>
  </si>
  <si>
    <t>Innovative Roller Solutions</t>
  </si>
  <si>
    <t>DC Power Systems</t>
  </si>
  <si>
    <t>MAY</t>
  </si>
  <si>
    <t>july.24</t>
  </si>
  <si>
    <t>Global Import</t>
  </si>
  <si>
    <t>Rataan Fabtex Private Limited - Unit 2</t>
  </si>
  <si>
    <t>Zhejiang Guxiandao Polyester Dope Dyed Yarn Co.,Ltd</t>
  </si>
  <si>
    <t>Vishal Engineering And Fabricators</t>
  </si>
  <si>
    <t>Unifeeder Agencies India Private Limited</t>
  </si>
  <si>
    <t>Sumitra</t>
  </si>
  <si>
    <t>Jay Enterprise-Kadi</t>
  </si>
  <si>
    <t>Hi Flex Hydraulics Pvt Ltd</t>
  </si>
  <si>
    <t>G P Industries</t>
  </si>
  <si>
    <t>Cc Icici Tarachand Purohit 8009</t>
  </si>
  <si>
    <t>Branch Transfer In - Trading</t>
  </si>
  <si>
    <t>Avocab India Private Limited</t>
  </si>
  <si>
    <t>Corpack Solutions Pvt Ltd</t>
  </si>
  <si>
    <t>Kal Tire Recycling Chile Spa</t>
  </si>
  <si>
    <t>Technobeat Projects</t>
  </si>
  <si>
    <t>TDS -194I (Rent)</t>
  </si>
  <si>
    <t>Bhalchandra Traders</t>
  </si>
  <si>
    <t>Auroma Geotex Pvt Ltd - Sales</t>
  </si>
  <si>
    <t>Big Bags Disaka S.L.</t>
  </si>
  <si>
    <t>Century Fibc</t>
  </si>
  <si>
    <t>LC Packaging SAS, France</t>
  </si>
  <si>
    <t>Watair Envisol Consultancy Co</t>
  </si>
  <si>
    <t>Rushabh Fastech Llp</t>
  </si>
  <si>
    <t>Palgotta Steels</t>
  </si>
  <si>
    <t>New Bikaner Cargo Carrier</t>
  </si>
  <si>
    <t>Mahendra Kumar</t>
  </si>
  <si>
    <t>Krishna Traders</t>
  </si>
  <si>
    <t>Krunal Enterprise</t>
  </si>
  <si>
    <t>Jiabur Rahman</t>
  </si>
  <si>
    <t>Cess Automation India LLP</t>
  </si>
  <si>
    <t>Auroma Geotex Pvt Ltd - Purchase</t>
  </si>
  <si>
    <t>Astha International</t>
  </si>
  <si>
    <t>Anl Singapore Pte Limited</t>
  </si>
  <si>
    <t>Mobelchem Specialty Private Limited</t>
  </si>
  <si>
    <t>Lalji Mulji Transport Co.</t>
  </si>
  <si>
    <t>Dhanraj Harjibhai Rabari</t>
  </si>
  <si>
    <t>Diagonal Engineers Private Limited</t>
  </si>
  <si>
    <t>Bank PCFC BOB-25380700000040- USD</t>
  </si>
  <si>
    <t>Anik Engineering</t>
  </si>
  <si>
    <t>Aadhya Shakti Forklift</t>
  </si>
  <si>
    <t>Bank Charges - LC</t>
  </si>
  <si>
    <t>PI Polyblendz Private Limited</t>
  </si>
  <si>
    <t>Prakash H. Parekh (Dr)</t>
  </si>
  <si>
    <t>Superform Chemistries Limited Jhagadia- PL85</t>
  </si>
  <si>
    <t>Swayam Poly Plast Private Limited - Purchase</t>
  </si>
  <si>
    <t>Supertech Water Solution</t>
  </si>
  <si>
    <t>Rfbl Flexi Pack Limited</t>
  </si>
  <si>
    <t>Procon Technologies Pvt Ltd</t>
  </si>
  <si>
    <t>Ascom  Carbonate And Chemicals Manufacturing</t>
  </si>
  <si>
    <t>Apex Electrocare Llp</t>
  </si>
  <si>
    <t>Ankit Telecom &amp; Electricals</t>
  </si>
  <si>
    <t>Travelling Expense</t>
  </si>
  <si>
    <t>Bulkliner Logistics Pvt Ltd-Kerala</t>
  </si>
  <si>
    <t>Chandresh Cables Ltd - (Unit-3)</t>
  </si>
  <si>
    <t>Jay Vijay Polymers</t>
  </si>
  <si>
    <t>Pamnani International</t>
  </si>
  <si>
    <t>Surya Enegy Kutch</t>
  </si>
  <si>
    <t>Shree Salareshwar Wood Packers Private Limited.</t>
  </si>
  <si>
    <t>Sales Bill Discounted Exports - Mogli Labs Asia Private Limited</t>
  </si>
  <si>
    <t>Paramount Calibration Centre</t>
  </si>
  <si>
    <t>Omega Fire &amp; Safety Products</t>
  </si>
  <si>
    <t>Milin Tubes</t>
  </si>
  <si>
    <t>Jain Caterers</t>
  </si>
  <si>
    <t>Gujarat EPM Services</t>
  </si>
  <si>
    <t>Rafia Industrial S.A.</t>
  </si>
  <si>
    <t>Swayam Poly Plast Pvt Ltd</t>
  </si>
  <si>
    <t>Winco Automation</t>
  </si>
  <si>
    <t>Vihaan Telecommunication Private Limited</t>
  </si>
  <si>
    <t>Sales Bill Discounted Exports - Volo Fin Pvt. Ltd.</t>
  </si>
  <si>
    <t>Punya Transport Corporation</t>
  </si>
  <si>
    <t>Maruti Polymers</t>
  </si>
  <si>
    <t>M B And Sons- Supplier</t>
  </si>
  <si>
    <t>Infinity Ocean Line Llp-24Aasfk3341g1zc</t>
  </si>
  <si>
    <t>Shreeshakti Syn Bags Private Limited</t>
  </si>
  <si>
    <t>Stellar Distribution Llc</t>
  </si>
  <si>
    <t>Vashi Integrated Solutions Limited</t>
  </si>
  <si>
    <t>V-Trans (India) Ltd. - Rajasthan</t>
  </si>
  <si>
    <t>Unique Marketing - 24ABEPK2505M1ZU</t>
  </si>
  <si>
    <t>Srivasavi Adhesive Tapes Limited - Vadodara</t>
  </si>
  <si>
    <t>Shubham Roadlines</t>
  </si>
  <si>
    <t>Rubberking Tyre Pvt Ltd</t>
  </si>
  <si>
    <t>Rajendra Traders</t>
  </si>
  <si>
    <t>Premium Paper Products</t>
  </si>
  <si>
    <t>Mustufamiyan Divanmiyan Malek</t>
  </si>
  <si>
    <t>Mohsin Rasulmiya Malek</t>
  </si>
  <si>
    <t>Kion India Private Limited</t>
  </si>
  <si>
    <t>Iliyas Gulabmiyam Malek</t>
  </si>
  <si>
    <t>Evergreen Shipping Agency (India) Pvt Ltd</t>
  </si>
  <si>
    <t>Dweej Healthcare</t>
  </si>
  <si>
    <t>Dilipmiya Chandmiya Malek</t>
  </si>
  <si>
    <t>Cc Bob Prakash Parekh Card No 1579</t>
  </si>
  <si>
    <t>Cc Hdfc Anil Goyal 2981</t>
  </si>
  <si>
    <t>Sales - Merchant Export</t>
  </si>
  <si>
    <t>Rent Expense Colony With Gst</t>
  </si>
  <si>
    <t>Swift Cargo Private Limited</t>
  </si>
  <si>
    <t>july.2</t>
  </si>
  <si>
    <t>Bmw 320Ld Sedan</t>
  </si>
  <si>
    <t>Hcp Plastene Bulkpack Ltd (Unit Iv) - Sales</t>
  </si>
  <si>
    <t>Meet Corporation</t>
  </si>
  <si>
    <t>Shubh Polyfab Pvt Ltd-Sales</t>
  </si>
  <si>
    <t>Tcs On Purchase 24-25</t>
  </si>
  <si>
    <t>Tds Receivable 2025-26</t>
  </si>
  <si>
    <t>Veeshna Polypack Pvt Ltd - Sales</t>
  </si>
  <si>
    <t>Prakash H. Parekh (Cr)</t>
  </si>
  <si>
    <t>Uron Oms Llp</t>
  </si>
  <si>
    <t>Tcs On Sales 25-26</t>
  </si>
  <si>
    <t>Shiv Trading Co.</t>
  </si>
  <si>
    <t>Shini Plastics Technologies India Pvt Ltd</t>
  </si>
  <si>
    <t>S A Automation Pvt Ltd</t>
  </si>
  <si>
    <t>Raj Cooling World Private Limited</t>
  </si>
  <si>
    <t>Panchal Machinery</t>
  </si>
  <si>
    <t>Oswal Overseas - Purchase</t>
  </si>
  <si>
    <t>Kohinoor Electric &amp; Febrication Works</t>
  </si>
  <si>
    <t>Jay Jagannath Industries- 24GKEPP9703F1Z1</t>
  </si>
  <si>
    <t>Fcs Itech</t>
  </si>
  <si>
    <t>Energemech Incorporation</t>
  </si>
  <si>
    <t>Diamond Logistic</t>
  </si>
  <si>
    <t>Bmw Car Loan Indian Bank -7990123376</t>
  </si>
  <si>
    <t>Bank PCFC BOB - EURO</t>
  </si>
  <si>
    <t>Barun Ghorai</t>
  </si>
  <si>
    <t>Active Pumps Pvt Ltd</t>
  </si>
  <si>
    <t>Rent Expense - Factory</t>
  </si>
  <si>
    <t>Petrol &amp; Diesel Expense - Car</t>
  </si>
  <si>
    <t>C &amp; F Charges - Detention Outward</t>
  </si>
  <si>
    <t>Dineshkumar Shantilal &amp; Co.</t>
  </si>
  <si>
    <t>Galeb Jameel Dwaikat</t>
  </si>
  <si>
    <t>Gopikishan Polyplast Pvt Ltd - Sales</t>
  </si>
  <si>
    <t>Maruti Bitumen Private Limited</t>
  </si>
  <si>
    <t>Narayandas Murlidhar</t>
  </si>
  <si>
    <t>P And G Screap Traders</t>
  </si>
  <si>
    <t>Wireventure Electrical Works</t>
  </si>
  <si>
    <t>TRIRANGA INFRA PROJECTS PRIVATE LIMITED</t>
  </si>
  <si>
    <t>V Trans (India) Ltd - Karnataka</t>
  </si>
  <si>
    <t>Transorient Shipping Pvt Ltd</t>
  </si>
  <si>
    <t>Stavian Chemical Joint Stock Company</t>
  </si>
  <si>
    <t>Shree Siddheshwar Enterprise - 24BKSPT6940B1ZV</t>
  </si>
  <si>
    <t>Shree Nilkanth Polytex</t>
  </si>
  <si>
    <t>Shree Goods Carriers</t>
  </si>
  <si>
    <t>Shaans Cargo Pvt.Ltd.</t>
  </si>
  <si>
    <t>SHAM ENTERPRISE</t>
  </si>
  <si>
    <t>Satyanarayan Rubber And Plastic Industries</t>
  </si>
  <si>
    <t>Schenker India Pvt Ltd</t>
  </si>
  <si>
    <t>S.B. AGENCIES</t>
  </si>
  <si>
    <t>Prasham Greens</t>
  </si>
  <si>
    <t>Mahakali Electronics</t>
  </si>
  <si>
    <t>Marbonize Microns Pvt Ltd</t>
  </si>
  <si>
    <t>Hermione Renewables Private Limited</t>
  </si>
  <si>
    <t>Bajaj Allianz General Insurance Company Ltd.</t>
  </si>
  <si>
    <t>Ashapura Logistics Limited- 24AADCA4633M1ZP</t>
  </si>
  <si>
    <t>Ashapura  Roadlines</t>
  </si>
  <si>
    <t>Discount -Early Payment - Purchase</t>
  </si>
  <si>
    <t>Sales - Interstate - Traded Goods</t>
  </si>
  <si>
    <t>Sales - Kasez - Trading - U/B</t>
  </si>
  <si>
    <t>Freight Detention Charges</t>
  </si>
  <si>
    <t>Alaris Polymers - Sales</t>
  </si>
  <si>
    <t>Enrich Works</t>
  </si>
  <si>
    <t>Meshtech India- Sales</t>
  </si>
  <si>
    <t>Sun Mark Tubes &amp; Pipes Private Limited</t>
  </si>
  <si>
    <t>Vikas Plastic Emporium</t>
  </si>
  <si>
    <t>Shri Nakoda Transmission &amp; Electric Co.</t>
  </si>
  <si>
    <t>Shyam Shipping Services - 24BNVPS6390A1ZL</t>
  </si>
  <si>
    <t>S.K.Enterprises</t>
  </si>
  <si>
    <t>Perfect Belts Private Limited (Gujarat)</t>
  </si>
  <si>
    <t>Orient Star Transport International Pvt Ltd</t>
  </si>
  <si>
    <t>Metalon Marketing Services</t>
  </si>
  <si>
    <t>Meshtech India- Creditor</t>
  </si>
  <si>
    <t>Magma General Insurance Limited</t>
  </si>
  <si>
    <t>Kbm Plastic Machinery Llp</t>
  </si>
  <si>
    <t>Gopikishan Polyplast Pvt Ltd - Purchase</t>
  </si>
  <si>
    <t>Bhumi Chem (India)</t>
  </si>
  <si>
    <t>Aqua Air Engineering</t>
  </si>
  <si>
    <t>A R Enterprise</t>
  </si>
  <si>
    <t>Sales - High Seas</t>
  </si>
  <si>
    <t>Jas Exims 24AACPG5586D1ZY</t>
  </si>
  <si>
    <t>Tcs On Purchase 25-26</t>
  </si>
  <si>
    <t>V.S.Enterprise</t>
  </si>
  <si>
    <t>Veer Enterprise</t>
  </si>
  <si>
    <t>Upasana Metals</t>
  </si>
  <si>
    <t>Sterling Tradex</t>
  </si>
  <si>
    <t>Shivshakti Enterprise</t>
  </si>
  <si>
    <t>Shashibala Sagar</t>
  </si>
  <si>
    <t>Pramod Kumar</t>
  </si>
  <si>
    <t>P J Translifters</t>
  </si>
  <si>
    <t>New Balaji Cargo Movers</t>
  </si>
  <si>
    <t>Navin Salecha</t>
  </si>
  <si>
    <t>Meldi Transport</t>
  </si>
  <si>
    <t>Jalaram Steel Corporation</t>
  </si>
  <si>
    <t>Ion Exchange (India) Ltd</t>
  </si>
  <si>
    <t>Indrajeet Construction Chemicals</t>
  </si>
  <si>
    <t>Hcp Plastene Bulkpack Ltd (Unit-Iv) - Purchase</t>
  </si>
  <si>
    <t>Grip Gears</t>
  </si>
  <si>
    <t>Garuda Pumps Private Limited</t>
  </si>
  <si>
    <t>Gabbar Engineering Co.</t>
  </si>
  <si>
    <t>Crest Container Lines Pvt Ltd.</t>
  </si>
  <si>
    <t>Core Electricals</t>
  </si>
  <si>
    <t>Chamunda Eot Crane Service</t>
  </si>
  <si>
    <t>Apco Agencies</t>
  </si>
  <si>
    <t>Ahan Shipping Services-24AAZFA5323K1Z4</t>
  </si>
  <si>
    <t>Accurate Power Control</t>
  </si>
  <si>
    <t>Labour Welfare Fund Exp</t>
  </si>
  <si>
    <t>Shree Balaji Enterprises</t>
  </si>
  <si>
    <t>A To Z Filter Works</t>
  </si>
  <si>
    <t>Acme Yarns Private Limited</t>
  </si>
  <si>
    <t>Chemline India Ltd</t>
  </si>
  <si>
    <t>Dyesun Liva Chemicals</t>
  </si>
  <si>
    <t>Galaxy Logistics</t>
  </si>
  <si>
    <t>Isubmiya Umarmiya Malek</t>
  </si>
  <si>
    <t>Jinneng Chemical (Qingdao) Co Ltd</t>
  </si>
  <si>
    <t>RSR Trade Link</t>
  </si>
  <si>
    <t>Textro Electronics</t>
  </si>
  <si>
    <t>Paresh N Patel</t>
  </si>
  <si>
    <t>Shree Chamunda Transport And Cargo</t>
  </si>
  <si>
    <t>Sparx Shipping India Private Limited</t>
  </si>
  <si>
    <t>Arun Ghorai</t>
  </si>
  <si>
    <t>Faisal Khan</t>
  </si>
  <si>
    <t>Nishaben Parmar</t>
  </si>
  <si>
    <t>RR Services</t>
  </si>
  <si>
    <t>Dev Polyplast</t>
  </si>
  <si>
    <t>Madi Sp. z.o.o.</t>
  </si>
  <si>
    <t>Dev Valves And Boiler Mountings</t>
  </si>
  <si>
    <t>Industrial Rubber Company</t>
  </si>
  <si>
    <t>Jaldevi Engineering Works</t>
  </si>
  <si>
    <t>Jamnagar Button  House</t>
  </si>
  <si>
    <t>Janta Engineering Co.(Pumpwala)</t>
  </si>
  <si>
    <t>Jaydeep Machinery Pvt. Ltd.</t>
  </si>
  <si>
    <t>Jigar Pallet Industries</t>
  </si>
  <si>
    <t>Max Spare Limited</t>
  </si>
  <si>
    <t>P &amp; D Industries</t>
  </si>
  <si>
    <t>Shreeji PU And Castor Wheels LLP</t>
  </si>
  <si>
    <t>Siddheshwar Filaments</t>
  </si>
  <si>
    <t>Simandhar Technology</t>
  </si>
  <si>
    <t>Vora Controls</t>
  </si>
  <si>
    <t>Clearfast Air Cargo Agencies Pvt. Ltd 27AAACC7987K1Z1</t>
  </si>
  <si>
    <t>Glottis  Ltd</t>
  </si>
  <si>
    <t>Sanjay Forwarders Pvt LTD</t>
  </si>
  <si>
    <t>Clean Fino Chem Limited</t>
  </si>
  <si>
    <t>Ever Bags Packaging Private Limited</t>
  </si>
  <si>
    <t>Goldmine Multitrade Pvt Ltd</t>
  </si>
  <si>
    <t>Keshav Chemtech</t>
  </si>
  <si>
    <t>Shribalaji Additives Private Limited</t>
  </si>
  <si>
    <t>Zhejiang Unifull Industrial Fibre Co Ltd</t>
  </si>
  <si>
    <t>DHL Express (India) Pvt Ltd - Delhi</t>
  </si>
  <si>
    <t>Globizz Synergy Pvt  Ltd</t>
  </si>
  <si>
    <t>Gold Star Lines Ltd</t>
  </si>
  <si>
    <t>Imrankhan Ayubkhan Ghori</t>
  </si>
  <si>
    <t>Maruti Plastic  24ACBFM1584C1ZM</t>
  </si>
  <si>
    <t>Monu Chauhan</t>
  </si>
  <si>
    <t>P.S. Labour Organisation</t>
  </si>
  <si>
    <t>Priyanka Dubey</t>
  </si>
  <si>
    <t>Rajendra kumar Bharadia</t>
  </si>
  <si>
    <t>Royal Sundaram General Insurance Co LtdMaharashtra</t>
  </si>
  <si>
    <t>Shanti Service</t>
  </si>
  <si>
    <t>Thakor Khodabhai Chandubhai</t>
  </si>
  <si>
    <t>Unique Power Technologies</t>
  </si>
  <si>
    <t>Bank Cash Credit Indian Bank 8049829692</t>
  </si>
  <si>
    <t>Purchase Return - Within State - Raw Material</t>
  </si>
  <si>
    <t>Purchase - Import - Stores, Spares &amp; Consumable</t>
  </si>
  <si>
    <t>Asian Metal Industries</t>
  </si>
  <si>
    <t>Himanshu Enterprise</t>
  </si>
  <si>
    <t>Mahakali Enertprise 24EPJPD1320A1ZT</t>
  </si>
  <si>
    <t>Pack Seals Industries</t>
  </si>
  <si>
    <t>Rajratan Electricals Pvt Ltd</t>
  </si>
  <si>
    <t>Smarhling Sales Agency</t>
  </si>
  <si>
    <t>Spark Electricals</t>
  </si>
  <si>
    <t>Vihaan Enterprise</t>
  </si>
  <si>
    <t>Dachser India Private Limited</t>
  </si>
  <si>
    <t>Sikotar Roadways</t>
  </si>
  <si>
    <t>J P Pharmachem</t>
  </si>
  <si>
    <t>Ashapura Maritime Pvt Ltd 24AAUCA8478K1ZT</t>
  </si>
  <si>
    <t>Cholamandalam Ms General Insurance Co Ltd</t>
  </si>
  <si>
    <t>Dinesh Kumar Jain</t>
  </si>
  <si>
    <t>Mahakali Enterprise 24AAXFM9233E1ZY</t>
  </si>
  <si>
    <t>Minilec India Private Limited</t>
  </si>
  <si>
    <t>Sunil Singh Ramlayak Singh</t>
  </si>
  <si>
    <t>Vishwakarma Devnath</t>
  </si>
  <si>
    <t>Whaleship Logistic</t>
  </si>
  <si>
    <t>Branch Transfer Out - Stores, Spares &amp; Consumable</t>
  </si>
  <si>
    <t>Bansal Enterprises</t>
  </si>
  <si>
    <t>Alishan Sales</t>
  </si>
  <si>
    <t>Ap Trade Solutions</t>
  </si>
  <si>
    <t>Chamunda Industries 24DDAPP9222D1ZT</t>
  </si>
  <si>
    <t>Circlelife Environment Pvt Ltd</t>
  </si>
  <si>
    <t>Ganesh Poly Graph</t>
  </si>
  <si>
    <t>Harsh Engineering</t>
  </si>
  <si>
    <t>Improve Engineering</t>
  </si>
  <si>
    <t>Jain Electro Tech</t>
  </si>
  <si>
    <t>Jawana Ram</t>
  </si>
  <si>
    <t>Krishna Sales</t>
  </si>
  <si>
    <t>Kyros Compressors Llp</t>
  </si>
  <si>
    <t>Maa Bhavani Enterprise</t>
  </si>
  <si>
    <t>Mantri  Industries</t>
  </si>
  <si>
    <t>Navrang Machinery Pvt Ltd</t>
  </si>
  <si>
    <t>Sea Marine Logistics Pvt Ltd</t>
  </si>
  <si>
    <t>Arbuda Roadways</t>
  </si>
  <si>
    <t>CC Amex Anil Goyal 61002 Platinium</t>
  </si>
  <si>
    <t>Narayani Enterprise - 24AACHL1775K2Z3</t>
  </si>
  <si>
    <t>Vishvakarma Raju Devman</t>
  </si>
  <si>
    <t>Purchase Interstate - Traded Goods</t>
  </si>
  <si>
    <t>Interest Expense - Late Payment</t>
  </si>
  <si>
    <t>Tec Papers Pvt Ltd</t>
  </si>
  <si>
    <t>Aarya Packthread Private Limited</t>
  </si>
  <si>
    <t>Aptus Solutions</t>
  </si>
  <si>
    <t>Bold Arm</t>
  </si>
  <si>
    <t>BTC Engineering</t>
  </si>
  <si>
    <t>Chandan Electric Store</t>
  </si>
  <si>
    <t>Fine Industries</t>
  </si>
  <si>
    <t>Khator Enterprises</t>
  </si>
  <si>
    <t>Mechtech Enterprise</t>
  </si>
  <si>
    <t>Padam Shree Impex</t>
  </si>
  <si>
    <t>Sai Logistics</t>
  </si>
  <si>
    <t>Shivam Logistic</t>
  </si>
  <si>
    <t>Smart Chem Solution</t>
  </si>
  <si>
    <t>Indev Infra Private Limited</t>
  </si>
  <si>
    <t>Nippon Express  India  Private Limited</t>
  </si>
  <si>
    <t>Shree Ram Transport Co</t>
  </si>
  <si>
    <t>Indian Institute Of Packaging</t>
  </si>
  <si>
    <t>Mahendra Haribhai Dantani</t>
  </si>
  <si>
    <t>Sadbhav Calibration Services (Opc) Pvt Ltd 24ABLCS8055N1ZN</t>
  </si>
  <si>
    <t>Shivshankar Gulabbhai Prajapati</t>
  </si>
  <si>
    <t>Thar Logistics_24AASFT9702A1Z6</t>
  </si>
  <si>
    <t>Vipulkumar Shankarbhai Patel</t>
  </si>
  <si>
    <t>Advance Licence Fee Expense</t>
  </si>
  <si>
    <t>Bank CA BOB 25380200000233</t>
  </si>
  <si>
    <t>Mahendra Haribhai Dantani - Colony Deposit</t>
  </si>
  <si>
    <t>Formosa Synthetics Pvt . Ltd</t>
  </si>
  <si>
    <t>Arabian Pipeline &amp; Services Co. Ltd (Anabeeb)</t>
  </si>
  <si>
    <t>Agro Sales Agency</t>
  </si>
  <si>
    <t>Akmake Engineering</t>
  </si>
  <si>
    <t>APB Industries Private Limited - Purchase</t>
  </si>
  <si>
    <t>Arbuda Engineering</t>
  </si>
  <si>
    <t>Argo Furniture</t>
  </si>
  <si>
    <t>C.H. Wirenetting Works</t>
  </si>
  <si>
    <t>Gitaben Jitendrakumar Rabari</t>
  </si>
  <si>
    <t>Gopi Plastics</t>
  </si>
  <si>
    <t>J Patel Shipping And Logistics</t>
  </si>
  <si>
    <t>J&amp;D Industries</t>
  </si>
  <si>
    <t>Royal Air Component</t>
  </si>
  <si>
    <t>Sheetal Enterprises</t>
  </si>
  <si>
    <t>Tec Papers Pvt Ltd Purchase</t>
  </si>
  <si>
    <t>Yen Traders</t>
  </si>
  <si>
    <t>Yogi Enterprise</t>
  </si>
  <si>
    <t>Ceva Freight India Private Limited</t>
  </si>
  <si>
    <t>Terramag India Private Limited</t>
  </si>
  <si>
    <t>Bheem Sen</t>
  </si>
  <si>
    <t>Harsh Industrial Services</t>
  </si>
  <si>
    <t>Savitaben Shankarji Thakor</t>
  </si>
  <si>
    <t>The New India Assurance Co. Ltd-09AAACN4165C4ZM</t>
  </si>
  <si>
    <t>Freight Inward Expense (Without Gst)</t>
  </si>
  <si>
    <t>Purchase Return - Stores, Spares &amp; Consumable</t>
  </si>
  <si>
    <t>Corporate social responsibility</t>
  </si>
  <si>
    <t>Membership &amp; Subscription Fees</t>
  </si>
  <si>
    <t>Marudhar Polymers - Sales</t>
  </si>
  <si>
    <t>Tcs On Sales 24-25</t>
  </si>
  <si>
    <t>Ahmedabad Lock House</t>
  </si>
  <si>
    <t>Cess Controls</t>
  </si>
  <si>
    <t>Chandresh Cables Ltd - Purchase</t>
  </si>
  <si>
    <t>Mamta Enterprise</t>
  </si>
  <si>
    <t>Rajal Office Solution</t>
  </si>
  <si>
    <t>The Shipping Corporation Of India Ltd.</t>
  </si>
  <si>
    <t>Zdenek Prochazka</t>
  </si>
  <si>
    <t>Gopala Polyplast Limited - Purchase</t>
  </si>
  <si>
    <t>Alpine Fibc Pvt Ltd - Purchase</t>
  </si>
  <si>
    <t>GROUP</t>
  </si>
  <si>
    <t>Golden Precision Products Pvt. Ltd.</t>
  </si>
  <si>
    <t>Mohta Electric And Engineering Co</t>
  </si>
  <si>
    <t>Pramod Kumar Gupta</t>
  </si>
  <si>
    <t>Siddhivinayak Krupa</t>
  </si>
  <si>
    <t>Gayatri Microns Ltd</t>
  </si>
  <si>
    <t>Ranjan Plastics Pvt Ltd</t>
  </si>
  <si>
    <t>Shri Pipleshwar Traders</t>
  </si>
  <si>
    <t>Atlantis Products Pvt Ltd - Aslali</t>
  </si>
  <si>
    <t>Sacos Durcal S.A</t>
  </si>
  <si>
    <t>Hcp Plastene Bulkpack Ltd Vadodara</t>
  </si>
  <si>
    <t>Kayel Syntex Limited - Sales</t>
  </si>
  <si>
    <t>Cesur France</t>
  </si>
  <si>
    <t>Alpha Electricals</t>
  </si>
  <si>
    <t>Global Fillers &amp; Consolidators Private Limited</t>
  </si>
  <si>
    <t>H D Industries</t>
  </si>
  <si>
    <t>Itoyj</t>
  </si>
  <si>
    <t>Leschaco India Pvt Ltd</t>
  </si>
  <si>
    <t>Mor Techfab Pvt .Ltd.</t>
  </si>
  <si>
    <t>Multi Enterprise</t>
  </si>
  <si>
    <t>Sagun Logistics</t>
  </si>
  <si>
    <t>Shiv Industrial Products</t>
  </si>
  <si>
    <t>Shiv Shakti Rubtech</t>
  </si>
  <si>
    <t>Shree Kdk Enterprise</t>
  </si>
  <si>
    <t>Tek Calibration Centre</t>
  </si>
  <si>
    <t>Vishwakarma Industries - Chhatral</t>
  </si>
  <si>
    <t>Dns Global Logistics LLP - 24AAYFD6424H1Z5</t>
  </si>
  <si>
    <t>Hitech Engineering Solutions</t>
  </si>
  <si>
    <t>Premshankar Dubey</t>
  </si>
  <si>
    <t>Vaghela Ashokkumar Rajpatsingh</t>
  </si>
  <si>
    <t>Alpine Fibc Pvt Ltd - Sales</t>
  </si>
  <si>
    <t>FPS Flexibles Chile Spa</t>
  </si>
  <si>
    <t>Ashirvad Paper Solution</t>
  </si>
  <si>
    <t>Kijeka Engineers Pvt Ltd.</t>
  </si>
  <si>
    <t>Sigma Air Source</t>
  </si>
  <si>
    <t>Aargus Global Logistics Pvt Ltd</t>
  </si>
  <si>
    <t>Aditya Enterprise 24ABXPD1674M1Z6</t>
  </si>
  <si>
    <t>Ambica Sales Corporation</t>
  </si>
  <si>
    <t>Ashish Singh Rambahadur Singh</t>
  </si>
  <si>
    <t>Hkp Steel Pvt Ltd</t>
  </si>
  <si>
    <t>Ivc Pumps Pvt Ltd</t>
  </si>
  <si>
    <t>Max Control</t>
  </si>
  <si>
    <t>Pascal Hydraulics</t>
  </si>
  <si>
    <t>Prasad Koch Technic Pvt Ltd</t>
  </si>
  <si>
    <t>Protek Enterprises</t>
  </si>
  <si>
    <t>Rhenus A &amp; O India Pvt Ltd.- Gujarat</t>
  </si>
  <si>
    <t>S R Plast</t>
  </si>
  <si>
    <t>Sigma Enterprise</t>
  </si>
  <si>
    <t>Sunrise Marine</t>
  </si>
  <si>
    <t>Surneha Services</t>
  </si>
  <si>
    <t>Asia Shipping Internationaltransport Private Ltd.</t>
  </si>
  <si>
    <t>Blackstone Shipping Private Limited - Gujarat</t>
  </si>
  <si>
    <t>Dwarkesh Roadways</t>
  </si>
  <si>
    <t>Real Roadlines - Udaipur</t>
  </si>
  <si>
    <t>Cc Rbl Manish Banthia 3265</t>
  </si>
  <si>
    <t>Cc Rbl Manish Banthia 4681</t>
  </si>
  <si>
    <t>Dongguan Saipu Electromechanical Device Co. Ltd</t>
  </si>
  <si>
    <t>Variofil Industries</t>
  </si>
  <si>
    <t>4S Electricals</t>
  </si>
  <si>
    <t>Cc Hdfc Plastene India Limited 1126</t>
  </si>
  <si>
    <t>Devikrupa Mobility Services</t>
  </si>
  <si>
    <t>Fretlog India Pvt Ltd</t>
  </si>
  <si>
    <t>Jay Laxmi Poly Plast (Job)</t>
  </si>
  <si>
    <t>Shree Pardarshak Polypack - Purchase</t>
  </si>
  <si>
    <t>Tata Aig General Insurance Co. Ltd.-GUJ</t>
  </si>
  <si>
    <t>Merit Polymers Private Limited</t>
  </si>
  <si>
    <t>YTD APRIL.26</t>
  </si>
  <si>
    <t>APRIL.26</t>
  </si>
  <si>
    <t>Name of the Company : - PIL II (2026-27)</t>
  </si>
  <si>
    <t>26-27</t>
  </si>
  <si>
    <t>Op,stock 01.04.26</t>
  </si>
  <si>
    <t>MAY.26</t>
  </si>
  <si>
    <t>Plastene India Limited (Unit -II)</t>
  </si>
  <si>
    <t>01-Apr-2026 30-Apr-2026</t>
  </si>
  <si>
    <t>Opening</t>
  </si>
  <si>
    <t>Transaction</t>
  </si>
  <si>
    <t>Closing</t>
  </si>
  <si>
    <t>Debit</t>
  </si>
  <si>
    <t>Credit</t>
  </si>
  <si>
    <t>Tds Receivable 2026-27</t>
  </si>
  <si>
    <t>A.F.Traders</t>
  </si>
  <si>
    <t>Aayush Plastic</t>
  </si>
  <si>
    <t>Bhavik International</t>
  </si>
  <si>
    <t>Brahmani Printers - Sales</t>
  </si>
  <si>
    <t>Chandresh Marketing Private Limited</t>
  </si>
  <si>
    <t>Colorobbia Chemicals India Pvt Ltd</t>
  </si>
  <si>
    <t>Deep Worldwide LLP</t>
  </si>
  <si>
    <t>Everplus Plastics Pvt Ltd.- Sales</t>
  </si>
  <si>
    <t>Fairdeal Jumbo Packaging Pvt Ltd - Sales</t>
  </si>
  <si>
    <t>Halai Plastic Bhandar</t>
  </si>
  <si>
    <t>Isbir Mewar Bulk Bag Private Limited</t>
  </si>
  <si>
    <t>Lorenz Snacks India Private Limited</t>
  </si>
  <si>
    <t>Mytri International</t>
  </si>
  <si>
    <t>Pinnacle Enterprise</t>
  </si>
  <si>
    <t>Plastene India ltd - Unit 4-Sales</t>
  </si>
  <si>
    <t>S P Singla Constructions Pvt Ltd</t>
  </si>
  <si>
    <t>Shree Khodiyar Trading Company</t>
  </si>
  <si>
    <t>Shree Ram Enterprise - Ahmedabad</t>
  </si>
  <si>
    <t>Umasree Texplast Pvt Ltd - Sales</t>
  </si>
  <si>
    <t>Commercial Packaging Company</t>
  </si>
  <si>
    <t>Gelpac Bags Inc.</t>
  </si>
  <si>
    <t>Karl Weiterer Sack- und Planenfabrik GmbH</t>
  </si>
  <si>
    <t>Sadleirs Packaging</t>
  </si>
  <si>
    <t>Satucesa Europa, S.L.U.</t>
  </si>
  <si>
    <t>Tcs On Sales 26-27</t>
  </si>
  <si>
    <t>Navdeep Traders</t>
  </si>
  <si>
    <t>Pravin Timber Works (Unit II)</t>
  </si>
  <si>
    <t>Saanvi Pallets</t>
  </si>
  <si>
    <t>A.V.R. Corporation</t>
  </si>
  <si>
    <t>Airmax Pneumatic Automation</t>
  </si>
  <si>
    <t>Almonard P Limited Ahmedabad</t>
  </si>
  <si>
    <t>Anand Engineering Works</t>
  </si>
  <si>
    <t>Anny Petroleum</t>
  </si>
  <si>
    <t>August Technocrat</t>
  </si>
  <si>
    <t>Automation &amp; Engineering Services</t>
  </si>
  <si>
    <t>Bst Eltromat India Private Limited</t>
  </si>
  <si>
    <t>Dhanlaxmi Trading Corporation</t>
  </si>
  <si>
    <t>Essen Electromech</t>
  </si>
  <si>
    <t>Gayatri Trading Company</t>
  </si>
  <si>
    <t>Grippon Infrastructures</t>
  </si>
  <si>
    <t>Hindustan Acid Supply Co.</t>
  </si>
  <si>
    <t>Indian Safety Solution</t>
  </si>
  <si>
    <t>J.J.Petroleum</t>
  </si>
  <si>
    <t>Kishan Traders - Gandhidham</t>
  </si>
  <si>
    <t>Krishna Engineering Works - Ahmedabad</t>
  </si>
  <si>
    <t>Krishna Enterprise (Asarwa)</t>
  </si>
  <si>
    <t>Lalwani Agency</t>
  </si>
  <si>
    <t>Lubi Electronics</t>
  </si>
  <si>
    <t>Milestone Pneumatics</t>
  </si>
  <si>
    <t>Moolchand Agencies</t>
  </si>
  <si>
    <t>Neer Industries</t>
  </si>
  <si>
    <t>New Manu Engineering &amp; Co.</t>
  </si>
  <si>
    <t>Nordson India Private Limited</t>
  </si>
  <si>
    <t>Nylopick Industries</t>
  </si>
  <si>
    <t>P P Patel &amp; Co.</t>
  </si>
  <si>
    <t>Prisam Engitech Private Limited</t>
  </si>
  <si>
    <t>Roltech Infotech</t>
  </si>
  <si>
    <t>Rotek Engineers</t>
  </si>
  <si>
    <t>Shreeji Marketing Corporation</t>
  </si>
  <si>
    <t>Shri Siddheshwari Hydraulic</t>
  </si>
  <si>
    <t>Sky Air Cooler</t>
  </si>
  <si>
    <t>Srv Global</t>
  </si>
  <si>
    <t>Sukan Industries</t>
  </si>
  <si>
    <t>Synpack Zipper Bags Pvt Ltd</t>
  </si>
  <si>
    <t>Toyota Material Handling India Pvt Ltd</t>
  </si>
  <si>
    <t>Valley Textile</t>
  </si>
  <si>
    <t>Vedant Enterprise</t>
  </si>
  <si>
    <t>Aanjana Steel Traders</t>
  </si>
  <si>
    <t>Aries Industries</t>
  </si>
  <si>
    <t>Creditors - TCS</t>
  </si>
  <si>
    <t>D N Enterprise</t>
  </si>
  <si>
    <t>Hamburg Sud India Pvt Ltd</t>
  </si>
  <si>
    <t>Mahavir Marketing</t>
  </si>
  <si>
    <t>Maven Automation</t>
  </si>
  <si>
    <t>Mount-Polyfab Llp - Purchase</t>
  </si>
  <si>
    <t>New Nilkanth Submersible Pump Service</t>
  </si>
  <si>
    <t>Siriram Filteration &amp; Engg. Co</t>
  </si>
  <si>
    <t>Umiya Stretch Industries</t>
  </si>
  <si>
    <t>Unity Engineering Works</t>
  </si>
  <si>
    <t>Vishal Shipping Global Logistics Llp</t>
  </si>
  <si>
    <t>Dart Global Logistics Private Limited</t>
  </si>
  <si>
    <t>Fedex Trade Networks Transport &amp; Brokerage Private Limited - Maharashtra</t>
  </si>
  <si>
    <t>Fortune Shipping Services Pvt Ltd</t>
  </si>
  <si>
    <t>Msc Agency (India) Private Limited</t>
  </si>
  <si>
    <t>Sar Transport Systems Pvt Ltd - Gujarat</t>
  </si>
  <si>
    <t>Glasnost India - Purchase</t>
  </si>
  <si>
    <t>Hexagon Globe</t>
  </si>
  <si>
    <t>Macfil Industries - Purchase</t>
  </si>
  <si>
    <t>Nobletex Industries Ltd</t>
  </si>
  <si>
    <t>Ongc Petro Additions Limited- DTA ( Domestic )</t>
  </si>
  <si>
    <t>Oswal Commodities Private Limited - Purchase</t>
  </si>
  <si>
    <t>Oswal Extrusion Ltd- KASEZ-Purchase</t>
  </si>
  <si>
    <t>Shree Jalaram Chem Trade</t>
  </si>
  <si>
    <t>Shri Radhika Nonwoven Pvt Ltd</t>
  </si>
  <si>
    <t>Sinopec Chemical Commercial Holding (Hong Kong) Company Limited</t>
  </si>
  <si>
    <t>CC ICICI Prakash Parekh 37000</t>
  </si>
  <si>
    <t>Vijaybhai Khodabhai Vaghari</t>
  </si>
  <si>
    <t>Grand Total</t>
  </si>
  <si>
    <t>Provisin</t>
  </si>
  <si>
    <t>Total</t>
  </si>
  <si>
    <t>Group Name</t>
  </si>
  <si>
    <t xml:space="preserve">Merit Polymers Private </t>
  </si>
  <si>
    <t>YTD MAY.26</t>
  </si>
  <si>
    <t>01-Apr-2026 31-May-2026</t>
  </si>
  <si>
    <t>RODTEP SCRIPT</t>
  </si>
  <si>
    <t>Asia Bulk Sack Pvt Ltd - Sales</t>
  </si>
  <si>
    <t>Hoganas India Pvt Ltd</t>
  </si>
  <si>
    <t>Kalavati Packaging</t>
  </si>
  <si>
    <t>M.S.Woven Sacks</t>
  </si>
  <si>
    <t>Nij Plastics- Sale</t>
  </si>
  <si>
    <t>Shakti Polyplast</t>
  </si>
  <si>
    <t>Yogeswar Traders</t>
  </si>
  <si>
    <t>Nortebag Industria De Embalagens Eireli</t>
  </si>
  <si>
    <t>Presinox Impex</t>
  </si>
  <si>
    <t>Aksha Medical &amp; Provison Stores</t>
  </si>
  <si>
    <t>Evolution Elektrotech Pvt Ltd</t>
  </si>
  <si>
    <t>Maa Durga Engineering</t>
  </si>
  <si>
    <t>Reycor India Services</t>
  </si>
  <si>
    <t>Siddheshwari Industries</t>
  </si>
  <si>
    <t>Umiya Crimpers</t>
  </si>
  <si>
    <t>Volga Agency</t>
  </si>
  <si>
    <t>Gayatri Plastics Pvt Ltd</t>
  </si>
  <si>
    <t>Hiten Trading Co</t>
  </si>
  <si>
    <t>JPI Printing Machinery Pvt Ltd</t>
  </si>
  <si>
    <t>Kushal Cargo Movers</t>
  </si>
  <si>
    <t>Maple Enterprise</t>
  </si>
  <si>
    <t>Pariflex Fibc Private Limited</t>
  </si>
  <si>
    <t>Pima Controls Pvt Ltd</t>
  </si>
  <si>
    <t>Polymart Private Limited</t>
  </si>
  <si>
    <t>S.V.Industries</t>
  </si>
  <si>
    <t>Sahajanand Transmission</t>
  </si>
  <si>
    <t>Tech Aid Systems Pvt Ltd</t>
  </si>
  <si>
    <t>Tekhsol</t>
  </si>
  <si>
    <t>Tube Corporation</t>
  </si>
  <si>
    <t>Abreco Freight Pvt Ltd-27AATCA3993L1ZS</t>
  </si>
  <si>
    <t>Bravin Logistics LLP</t>
  </si>
  <si>
    <t>Grasim Industries Limited</t>
  </si>
  <si>
    <t>Kpr Enterprise</t>
  </si>
  <si>
    <t>Olive Industries</t>
  </si>
  <si>
    <t>Polymart Private Limited - Maharashtra</t>
  </si>
  <si>
    <t>Warner Industries</t>
  </si>
  <si>
    <t>Purohit Caterers</t>
  </si>
  <si>
    <t>Sales Bill Discounted Exports - Shinhan</t>
  </si>
  <si>
    <t>Ground Rent Charges</t>
  </si>
  <si>
    <t>king</t>
  </si>
  <si>
    <t>JUNE.26</t>
  </si>
  <si>
    <t>YTD JUNE.26</t>
  </si>
  <si>
    <t>01-Apr-2026 30-Jun-2026</t>
  </si>
  <si>
    <t>IGST INPUT</t>
  </si>
  <si>
    <t>Coromandel International Ltd-Ankleshwar</t>
  </si>
  <si>
    <t>Heer Plastics</t>
  </si>
  <si>
    <t>Kamdhenu Industries</t>
  </si>
  <si>
    <t>M R Brothers</t>
  </si>
  <si>
    <t>Ratnam Polymers</t>
  </si>
  <si>
    <t>Rotex Fabric Pvt Ltd</t>
  </si>
  <si>
    <t>T G V Sraac Limited</t>
  </si>
  <si>
    <t>Tulsi Dyechem Pvt.Ltd - Sales</t>
  </si>
  <si>
    <t>Anil Goyal</t>
  </si>
  <si>
    <t>Aflon Engineering Corporation</t>
  </si>
  <si>
    <t>Bhagvati Electrical</t>
  </si>
  <si>
    <t>Espee Electricals</t>
  </si>
  <si>
    <t>Indiana Bearings Private Limited</t>
  </si>
  <si>
    <t>Kailash Sales Corporation</t>
  </si>
  <si>
    <t>Kant Plastology</t>
  </si>
  <si>
    <t>Kashvi Pharma-Tech Engineering</t>
  </si>
  <si>
    <t>Keshar Automation</t>
  </si>
  <si>
    <t>Mahavir Enterprise</t>
  </si>
  <si>
    <t>Manoj Tyres</t>
  </si>
  <si>
    <t>Murlidhar Paper Tube</t>
  </si>
  <si>
    <t>Onecall Electricals</t>
  </si>
  <si>
    <t>Shah Sewing Machine Company - 24AFWFS0831G1ZT</t>
  </si>
  <si>
    <t>Shree Fire Engineers</t>
  </si>
  <si>
    <t>Shree Prem Industries</t>
  </si>
  <si>
    <t>Tanmay Engitech</t>
  </si>
  <si>
    <t>V K Print Pack</t>
  </si>
  <si>
    <t>Aditya Elastomer</t>
  </si>
  <si>
    <t>Inar company Private Limited (formaly Tumi Enterprise Pvt Ltd)</t>
  </si>
  <si>
    <t>Khodiyar Water Suppliers</t>
  </si>
  <si>
    <t>Pankaj Sales Corporation</t>
  </si>
  <si>
    <t>Rainox Wiremesh Private Limited</t>
  </si>
  <si>
    <t>Worldwide Logistics (India) Pvt Ltd-06AAACW3529P1ZX</t>
  </si>
  <si>
    <t>Cfl Logistic</t>
  </si>
  <si>
    <t>Parker Shipping</t>
  </si>
  <si>
    <t>Cc Indusind Bank Pritesh Parekh - 377151978582829</t>
  </si>
  <si>
    <t>Big Bag Essentials</t>
  </si>
  <si>
    <t>Cc Hdfc Plastene Polyfilms Limited 9891</t>
  </si>
  <si>
    <t>Rahul Kumar</t>
  </si>
  <si>
    <t>Ramnihal Rambaran</t>
  </si>
  <si>
    <t>Tamir Uddin</t>
  </si>
  <si>
    <t>Advance License Income</t>
  </si>
  <si>
    <t>Interest On TDS</t>
  </si>
  <si>
    <t>YTD JULY.26</t>
  </si>
  <si>
    <t>JULY.26</t>
  </si>
  <si>
    <t>01-Apr-2026 31-Jul-2026</t>
  </si>
  <si>
    <t>Tcs On Purchase 26-27</t>
  </si>
  <si>
    <t>Chamunda Scrap Traders</t>
  </si>
  <si>
    <t>Hcp Plastene Bulkpack Ltd Vadodara-Sales</t>
  </si>
  <si>
    <t>Paras Overseas</t>
  </si>
  <si>
    <t>Safal Poly Products</t>
  </si>
  <si>
    <t>Water Tanker</t>
  </si>
  <si>
    <t>Destiny Creator</t>
  </si>
  <si>
    <t>Excelsior Engineering Enterprise</t>
  </si>
  <si>
    <t>Exzakta Meccanica Ltd</t>
  </si>
  <si>
    <t>Mahavir Business Solutions</t>
  </si>
  <si>
    <t>Marwadi Infosys Inc.</t>
  </si>
  <si>
    <t>Milan Auto Parts</t>
  </si>
  <si>
    <t>Ravi Sunrise Industries- Supplier</t>
  </si>
  <si>
    <t>Sunscrap Solar Recycle Llp</t>
  </si>
  <si>
    <t>Swastik Sales - 24BQOPP5837M1Z2</t>
  </si>
  <si>
    <t>Euro Premium Solar System (India) Private Limited</t>
  </si>
  <si>
    <t>Exds Engineering</t>
  </si>
  <si>
    <t>Ishaan Enterprise</t>
  </si>
  <si>
    <t>Nilkamal Limited-Silvassa</t>
  </si>
  <si>
    <t>Spcx Private Ltd 24ABACS7251D1ZN Guj-Purchase</t>
  </si>
  <si>
    <t>Vibrant Metal And Tube</t>
  </si>
  <si>
    <t>Accuracy Shipping Limited</t>
  </si>
  <si>
    <t>Aquasky Logistics Private Limited-23AAVCA7265M1ZZ</t>
  </si>
  <si>
    <t>D R Logistics</t>
  </si>
  <si>
    <t>P J Logistic</t>
  </si>
  <si>
    <t>CC Amex Madhu Parekh 1003 Platinium</t>
  </si>
  <si>
    <t>CC Axis Flipkart Madhu Parekh 6057</t>
  </si>
  <si>
    <t>Cc Prakash Pareskh Amex 2008</t>
  </si>
  <si>
    <t>Cc Rbl Manish Banthia 8378</t>
  </si>
  <si>
    <t>CC SBI Madhu Parekh 7085</t>
  </si>
  <si>
    <t>Hcp Plastene Bulkpack Ltd Vadodara Purchase</t>
  </si>
  <si>
    <t>Atlantis Products Pvt Ltd - Purchase</t>
  </si>
  <si>
    <t>Export Inspection Agency_24AAAGE1592G1ZP</t>
  </si>
  <si>
    <t>P J Cargo Movers</t>
  </si>
  <si>
    <t>Vikki Singh</t>
  </si>
  <si>
    <t>Zunaidul Isalm</t>
  </si>
  <si>
    <t>Vanik Finance Private Limited</t>
  </si>
  <si>
    <t>Internal Transportation Expense / Reimbursement</t>
  </si>
  <si>
    <t>Donation &amp; Charity A/C</t>
  </si>
  <si>
    <t xml:space="preserve">Merit Polymers </t>
  </si>
  <si>
    <t>AUG.26</t>
  </si>
  <si>
    <t>YTD AUG.26</t>
  </si>
  <si>
    <t>01-Apr-2026 31-Aug-2026</t>
  </si>
  <si>
    <t>RoDtep Receivable</t>
  </si>
  <si>
    <t>Lohia Corp Limited 19AAKCK2932Q1ZT</t>
  </si>
  <si>
    <t>Abhinandan Plastopack</t>
  </si>
  <si>
    <t>Geeta Hardware Store</t>
  </si>
  <si>
    <t>JG Enterprise</t>
  </si>
  <si>
    <t>National Electronics Centre</t>
  </si>
  <si>
    <t>Nk Services</t>
  </si>
  <si>
    <t>Powertech Equipments</t>
  </si>
  <si>
    <t>Siddhi Corporation</t>
  </si>
  <si>
    <t>Varun Engineers</t>
  </si>
  <si>
    <t>A K Synthetics</t>
  </si>
  <si>
    <t>Asia Bulk Sacks Pvt Ltd - Purchase</t>
  </si>
  <si>
    <t>Ignazio Messina (India) Private  Ltd - 24AAICI0387H1ZK</t>
  </si>
  <si>
    <t>Cc Indusind Madhu Prakash 3578</t>
  </si>
  <si>
    <t>CC SCB Anil Goyal 2769</t>
  </si>
  <si>
    <t>Keyaan Microns Pvt Ltd</t>
  </si>
  <si>
    <t>Lila Polymers Pvt. Ltd. - Gujarat</t>
  </si>
  <si>
    <t>Desai Bharatbhai Ghabhubhai</t>
  </si>
  <si>
    <t>Ignazio Messina  &amp; C.S.P.A. - 24AAACI6932L1ZG</t>
  </si>
  <si>
    <t>Jay Vihat Construction</t>
  </si>
  <si>
    <t>Prabhu Nath</t>
  </si>
  <si>
    <t>Sales Return - Within  State</t>
  </si>
  <si>
    <t>Miscellaneous Income</t>
  </si>
  <si>
    <t>Merit Polymers Private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</si>
</sst>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[$-409]mmm\-yy;@"/>
    <numFmt numFmtId="167" formatCode="_-* #,##0_-;\-* #,##0_-;_-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9" fillId="0" borderId="0" xfId="0" applyFont="1"/>
    <xf numFmtId="0" fontId="9" fillId="0" borderId="1" xfId="0" applyFont="1" applyBorder="1"/>
    <xf numFmtId="0" fontId="11" fillId="0" borderId="0" xfId="0" applyFont="1" applyFill="1" applyAlignment="1">
      <alignment vertical="center"/>
    </xf>
    <xf numFmtId="164" fontId="11" fillId="0" borderId="0" xfId="1" applyFont="1" applyFill="1">
      <alignment vertical="center"/>
    </xf>
    <xf numFmtId="0" fontId="12" fillId="0" borderId="1" xfId="0" applyFont="1" applyFill="1" applyBorder="1" applyAlignment="1">
      <alignment vertical="center"/>
    </xf>
    <xf numFmtId="164" fontId="12" fillId="0" borderId="1" xfId="1" applyFont="1" applyFill="1" applyBorder="1">
      <alignment vertical="center"/>
    </xf>
    <xf numFmtId="165" fontId="11" fillId="0" borderId="1" xfId="1" applyNumberFormat="1" applyFont="1" applyFill="1" applyBorder="1">
      <alignment vertical="center"/>
    </xf>
    <xf numFmtId="0" fontId="11" fillId="0" borderId="1" xfId="0" applyFont="1" applyFill="1" applyBorder="1" applyAlignment="1">
      <alignment vertical="center"/>
    </xf>
    <xf numFmtId="165" fontId="11" fillId="0" borderId="0" xfId="0" applyNumberFormat="1" applyFont="1" applyFill="1" applyAlignment="1">
      <alignment vertical="center"/>
    </xf>
    <xf numFmtId="0" fontId="13" fillId="0" borderId="1" xfId="0" applyFont="1" applyFill="1" applyBorder="1" applyAlignment="1">
      <alignment horizontal="left" indent="1"/>
    </xf>
    <xf numFmtId="165" fontId="14" fillId="0" borderId="1" xfId="1" applyNumberFormat="1" applyFont="1" applyFill="1" applyBorder="1" applyAlignment="1"/>
    <xf numFmtId="0" fontId="14" fillId="0" borderId="1" xfId="0" applyFont="1" applyFill="1" applyBorder="1" applyAlignment="1"/>
    <xf numFmtId="164" fontId="14" fillId="0" borderId="1" xfId="1" applyFont="1" applyFill="1" applyBorder="1" applyAlignment="1"/>
    <xf numFmtId="165" fontId="15" fillId="0" borderId="1" xfId="1" applyNumberFormat="1" applyFont="1" applyFill="1" applyBorder="1" applyAlignment="1"/>
    <xf numFmtId="164" fontId="12" fillId="0" borderId="1" xfId="1" applyNumberFormat="1" applyFont="1" applyFill="1" applyBorder="1">
      <alignment vertical="center"/>
    </xf>
    <xf numFmtId="0" fontId="12" fillId="0" borderId="0" xfId="0" applyFont="1" applyFill="1" applyBorder="1" applyAlignment="1">
      <alignment vertical="center"/>
    </xf>
    <xf numFmtId="164" fontId="12" fillId="0" borderId="0" xfId="1" applyFont="1" applyFill="1" applyBorder="1">
      <alignment vertical="center"/>
    </xf>
    <xf numFmtId="165" fontId="12" fillId="0" borderId="0" xfId="1" applyNumberFormat="1" applyFont="1" applyFill="1" applyBorder="1">
      <alignment vertical="center"/>
    </xf>
    <xf numFmtId="0" fontId="16" fillId="0" borderId="1" xfId="0" applyFont="1" applyFill="1" applyBorder="1" applyAlignment="1"/>
    <xf numFmtId="165" fontId="16" fillId="0" borderId="1" xfId="1" applyNumberFormat="1" applyFont="1" applyFill="1" applyBorder="1" applyAlignment="1"/>
    <xf numFmtId="0" fontId="15" fillId="0" borderId="1" xfId="0" applyFont="1" applyFill="1" applyBorder="1" applyAlignment="1"/>
    <xf numFmtId="0" fontId="14" fillId="0" borderId="1" xfId="0" applyFont="1" applyFill="1" applyBorder="1" applyAlignment="1">
      <alignment vertical="center" wrapText="1"/>
    </xf>
    <xf numFmtId="165" fontId="14" fillId="0" borderId="1" xfId="1" applyNumberFormat="1" applyFont="1" applyFill="1" applyBorder="1" applyAlignment="1">
      <alignment vertical="center" wrapText="1"/>
    </xf>
    <xf numFmtId="165" fontId="11" fillId="0" borderId="0" xfId="1" applyNumberFormat="1" applyFont="1" applyFill="1" applyBorder="1">
      <alignment vertical="center"/>
    </xf>
    <xf numFmtId="1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1" xfId="0" applyFont="1" applyFill="1" applyBorder="1"/>
    <xf numFmtId="9" fontId="9" fillId="0" borderId="1" xfId="2" applyFont="1" applyFill="1" applyBorder="1" applyAlignment="1"/>
    <xf numFmtId="0" fontId="10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/>
    <xf numFmtId="0" fontId="12" fillId="2" borderId="1" xfId="0" applyFont="1" applyFill="1" applyBorder="1" applyAlignment="1">
      <alignment vertical="center"/>
    </xf>
    <xf numFmtId="9" fontId="12" fillId="2" borderId="1" xfId="2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43" fontId="12" fillId="0" borderId="0" xfId="1" applyNumberFormat="1" applyFont="1" applyFill="1" applyBorder="1">
      <alignment vertical="center"/>
    </xf>
    <xf numFmtId="165" fontId="11" fillId="0" borderId="1" xfId="0" applyNumberFormat="1" applyFont="1" applyFill="1" applyBorder="1" applyAlignment="1">
      <alignment vertical="center"/>
    </xf>
    <xf numFmtId="165" fontId="9" fillId="0" borderId="1" xfId="0" applyNumberFormat="1" applyFont="1" applyBorder="1"/>
    <xf numFmtId="165" fontId="9" fillId="0" borderId="1" xfId="1" applyNumberFormat="1" applyFont="1" applyBorder="1" applyAlignment="1"/>
    <xf numFmtId="165" fontId="9" fillId="0" borderId="0" xfId="1" applyNumberFormat="1" applyFont="1" applyAlignment="1"/>
    <xf numFmtId="165" fontId="19" fillId="0" borderId="1" xfId="1" applyNumberFormat="1" applyFont="1" applyBorder="1" applyAlignment="1">
      <alignment horizontal="center"/>
    </xf>
    <xf numFmtId="0" fontId="9" fillId="2" borderId="0" xfId="0" applyFont="1" applyFill="1"/>
    <xf numFmtId="166" fontId="9" fillId="0" borderId="1" xfId="0" applyNumberFormat="1" applyFont="1" applyBorder="1"/>
    <xf numFmtId="165" fontId="9" fillId="0" borderId="0" xfId="0" applyNumberFormat="1" applyFont="1"/>
    <xf numFmtId="165" fontId="11" fillId="0" borderId="0" xfId="1" applyNumberFormat="1" applyFont="1" applyFill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9" fillId="0" borderId="1" xfId="1" applyNumberFormat="1" applyFont="1" applyBorder="1" applyAlignment="1">
      <alignment horizontal="center"/>
    </xf>
    <xf numFmtId="1" fontId="9" fillId="0" borderId="1" xfId="0" applyNumberFormat="1" applyFont="1" applyBorder="1"/>
    <xf numFmtId="0" fontId="19" fillId="0" borderId="1" xfId="0" applyFont="1" applyBorder="1"/>
    <xf numFmtId="166" fontId="19" fillId="0" borderId="1" xfId="0" applyNumberFormat="1" applyFont="1" applyBorder="1"/>
    <xf numFmtId="0" fontId="20" fillId="0" borderId="0" xfId="0" applyFont="1" applyAlignment="1">
      <alignment horizontal="center" vertical="center"/>
    </xf>
    <xf numFmtId="165" fontId="20" fillId="0" borderId="1" xfId="1" applyNumberFormat="1" applyFont="1" applyFill="1" applyBorder="1">
      <alignment vertical="center"/>
    </xf>
    <xf numFmtId="165" fontId="21" fillId="0" borderId="1" xfId="1" applyNumberFormat="1" applyFont="1" applyBorder="1" applyAlignment="1"/>
    <xf numFmtId="165" fontId="19" fillId="0" borderId="1" xfId="1" applyNumberFormat="1" applyFont="1" applyBorder="1" applyAlignment="1">
      <alignment horizontal="right"/>
    </xf>
    <xf numFmtId="0" fontId="22" fillId="2" borderId="0" xfId="0" applyFont="1" applyFill="1"/>
    <xf numFmtId="0" fontId="23" fillId="2" borderId="0" xfId="0" applyFont="1" applyFill="1"/>
    <xf numFmtId="0" fontId="9" fillId="0" borderId="2" xfId="0" applyFont="1" applyBorder="1"/>
    <xf numFmtId="0" fontId="19" fillId="0" borderId="2" xfId="0" applyFont="1" applyBorder="1" applyAlignment="1">
      <alignment horizontal="left" indent="2"/>
    </xf>
    <xf numFmtId="0" fontId="10" fillId="0" borderId="1" xfId="0" applyFont="1" applyBorder="1" applyAlignment="1"/>
    <xf numFmtId="0" fontId="10" fillId="0" borderId="1" xfId="0" applyFont="1" applyBorder="1" applyAlignment="1">
      <alignment wrapText="1"/>
    </xf>
    <xf numFmtId="165" fontId="9" fillId="0" borderId="0" xfId="0" applyNumberFormat="1" applyFont="1" applyFill="1"/>
    <xf numFmtId="0" fontId="9" fillId="0" borderId="2" xfId="17" applyFont="1" applyBorder="1"/>
    <xf numFmtId="0" fontId="19" fillId="0" borderId="2" xfId="17" applyFont="1" applyBorder="1" applyAlignment="1">
      <alignment horizontal="left" indent="2"/>
    </xf>
    <xf numFmtId="0" fontId="19" fillId="0" borderId="1" xfId="17" applyFont="1" applyBorder="1" applyAlignment="1">
      <alignment horizontal="left" indent="2"/>
    </xf>
    <xf numFmtId="0" fontId="10" fillId="0" borderId="1" xfId="17" applyFont="1" applyBorder="1" applyAlignment="1"/>
    <xf numFmtId="0" fontId="10" fillId="0" borderId="1" xfId="17" applyFont="1" applyBorder="1" applyAlignment="1">
      <alignment wrapText="1"/>
    </xf>
    <xf numFmtId="165" fontId="19" fillId="0" borderId="3" xfId="1" applyNumberFormat="1" applyFont="1" applyBorder="1" applyAlignment="1">
      <alignment vertical="center"/>
    </xf>
    <xf numFmtId="165" fontId="19" fillId="0" borderId="1" xfId="1" applyNumberFormat="1" applyFont="1" applyBorder="1" applyAlignment="1">
      <alignment vertical="center"/>
    </xf>
    <xf numFmtId="165" fontId="9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/>
    <xf numFmtId="165" fontId="15" fillId="0" borderId="1" xfId="0" applyNumberFormat="1" applyFont="1" applyFill="1" applyBorder="1" applyAlignment="1"/>
    <xf numFmtId="165" fontId="19" fillId="0" borderId="1" xfId="1" applyNumberFormat="1" applyFont="1" applyBorder="1" applyAlignment="1">
      <alignment horizontal="center" vertical="center"/>
    </xf>
    <xf numFmtId="3" fontId="19" fillId="0" borderId="1" xfId="1" applyNumberFormat="1" applyFont="1" applyBorder="1" applyAlignment="1">
      <alignment vertical="center"/>
    </xf>
    <xf numFmtId="3" fontId="9" fillId="0" borderId="0" xfId="1" applyNumberFormat="1" applyFont="1" applyAlignment="1"/>
    <xf numFmtId="3" fontId="10" fillId="0" borderId="1" xfId="1" applyNumberFormat="1" applyFont="1" applyBorder="1" applyAlignment="1"/>
    <xf numFmtId="0" fontId="19" fillId="0" borderId="1" xfId="0" applyFont="1" applyBorder="1" applyAlignment="1">
      <alignment horizontal="left" indent="2"/>
    </xf>
    <xf numFmtId="165" fontId="24" fillId="0" borderId="1" xfId="1" applyNumberFormat="1" applyFont="1" applyBorder="1" applyAlignment="1"/>
    <xf numFmtId="0" fontId="19" fillId="0" borderId="1" xfId="0" applyFont="1" applyBorder="1" applyAlignment="1">
      <alignment horizontal="center" vertical="center"/>
    </xf>
    <xf numFmtId="165" fontId="9" fillId="0" borderId="1" xfId="1" applyNumberFormat="1" applyFont="1" applyFill="1" applyBorder="1" applyAlignment="1"/>
    <xf numFmtId="165" fontId="9" fillId="0" borderId="1" xfId="2" applyNumberFormat="1" applyFont="1" applyFill="1" applyBorder="1" applyAlignment="1"/>
    <xf numFmtId="165" fontId="19" fillId="0" borderId="1" xfId="1" applyNumberFormat="1" applyFont="1" applyBorder="1" applyAlignment="1">
      <alignment horizontal="center" vertical="center"/>
    </xf>
    <xf numFmtId="165" fontId="12" fillId="0" borderId="1" xfId="1" applyNumberFormat="1" applyFont="1" applyFill="1" applyBorder="1" applyAlignment="1">
      <alignment vertical="center"/>
    </xf>
    <xf numFmtId="165" fontId="11" fillId="0" borderId="1" xfId="1" applyNumberFormat="1" applyFont="1" applyFill="1" applyBorder="1" applyAlignment="1">
      <alignment vertical="center"/>
    </xf>
    <xf numFmtId="165" fontId="10" fillId="0" borderId="1" xfId="1" applyNumberFormat="1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horizontal="left" indent="1"/>
    </xf>
    <xf numFmtId="165" fontId="9" fillId="0" borderId="0" xfId="1" applyNumberFormat="1" applyFont="1" applyFill="1" applyBorder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165" fontId="12" fillId="0" borderId="0" xfId="1" applyNumberFormat="1" applyFont="1" applyFill="1" applyAlignment="1">
      <alignment vertical="center"/>
    </xf>
    <xf numFmtId="167" fontId="9" fillId="0" borderId="2" xfId="1" applyNumberFormat="1" applyFont="1" applyBorder="1" applyAlignment="1"/>
    <xf numFmtId="167" fontId="9" fillId="0" borderId="0" xfId="1" applyNumberFormat="1" applyFont="1" applyAlignment="1"/>
    <xf numFmtId="167" fontId="19" fillId="0" borderId="2" xfId="1" applyNumberFormat="1" applyFont="1" applyBorder="1" applyAlignment="1">
      <alignment horizontal="left" indent="2"/>
    </xf>
    <xf numFmtId="167" fontId="10" fillId="0" borderId="1" xfId="1" applyNumberFormat="1" applyFont="1" applyBorder="1" applyAlignment="1"/>
    <xf numFmtId="167" fontId="9" fillId="0" borderId="1" xfId="1" applyNumberFormat="1" applyFont="1" applyBorder="1" applyAlignment="1"/>
    <xf numFmtId="167" fontId="19" fillId="0" borderId="1" xfId="1" applyNumberFormat="1" applyFont="1" applyBorder="1" applyAlignment="1">
      <alignment horizontal="left" indent="2"/>
    </xf>
    <xf numFmtId="167" fontId="10" fillId="0" borderId="0" xfId="1" applyNumberFormat="1" applyFont="1" applyBorder="1" applyAlignment="1"/>
    <xf numFmtId="3" fontId="10" fillId="0" borderId="0" xfId="1" applyNumberFormat="1" applyFont="1" applyBorder="1" applyAlignment="1"/>
    <xf numFmtId="167" fontId="9" fillId="0" borderId="0" xfId="1" applyNumberFormat="1" applyFont="1" applyBorder="1" applyAlignment="1"/>
    <xf numFmtId="0" fontId="9" fillId="0" borderId="0" xfId="0" applyFont="1" applyBorder="1"/>
    <xf numFmtId="165" fontId="9" fillId="0" borderId="0" xfId="1" applyNumberFormat="1" applyFont="1" applyBorder="1" applyAlignment="1"/>
    <xf numFmtId="165" fontId="12" fillId="0" borderId="0" xfId="0" applyNumberFormat="1" applyFont="1" applyFill="1" applyBorder="1" applyAlignment="1">
      <alignment vertical="center"/>
    </xf>
    <xf numFmtId="165" fontId="19" fillId="0" borderId="1" xfId="1" applyNumberFormat="1" applyFont="1" applyBorder="1" applyAlignment="1">
      <alignment horizontal="center" vertical="center"/>
    </xf>
    <xf numFmtId="165" fontId="19" fillId="0" borderId="1" xfId="1" applyNumberFormat="1" applyFont="1" applyBorder="1" applyAlignment="1"/>
    <xf numFmtId="165" fontId="20" fillId="0" borderId="1" xfId="0" applyNumberFormat="1" applyFont="1" applyFill="1" applyBorder="1" applyAlignment="1">
      <alignment vertical="center"/>
    </xf>
    <xf numFmtId="165" fontId="19" fillId="0" borderId="1" xfId="1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65" fontId="19" fillId="0" borderId="3" xfId="1" applyNumberFormat="1" applyFont="1" applyBorder="1" applyAlignment="1">
      <alignment horizontal="center" vertical="center"/>
    </xf>
    <xf numFmtId="165" fontId="19" fillId="0" borderId="1" xfId="1" applyNumberFormat="1" applyFont="1" applyBorder="1" applyAlignment="1">
      <alignment horizontal="center" vertical="center"/>
    </xf>
    <xf numFmtId="3" fontId="19" fillId="0" borderId="1" xfId="1" applyNumberFormat="1" applyFont="1" applyBorder="1" applyAlignment="1">
      <alignment horizontal="center" vertical="center"/>
    </xf>
    <xf numFmtId="167" fontId="19" fillId="0" borderId="1" xfId="1" applyNumberFormat="1" applyFont="1" applyBorder="1" applyAlignment="1">
      <alignment horizontal="center" vertical="center"/>
    </xf>
  </cellXfs>
  <cellStyles count="19">
    <cellStyle name="Comma" xfId="1" builtinId="3"/>
    <cellStyle name="Comma 2" xfId="4"/>
    <cellStyle name="Comma 3" xfId="6"/>
    <cellStyle name="Comma 4" xfId="8"/>
    <cellStyle name="Comma 5" xfId="10"/>
    <cellStyle name="Comma 6" xfId="12"/>
    <cellStyle name="Comma 7" xfId="14"/>
    <cellStyle name="Comma 8" xfId="16"/>
    <cellStyle name="Comma 9" xfId="18"/>
    <cellStyle name="Normal" xfId="0" builtinId="0"/>
    <cellStyle name="Normal 2" xfId="3"/>
    <cellStyle name="Normal 3" xfId="5"/>
    <cellStyle name="Normal 4" xfId="7"/>
    <cellStyle name="Normal 5" xfId="9"/>
    <cellStyle name="Normal 6" xfId="11"/>
    <cellStyle name="Normal 7" xfId="13"/>
    <cellStyle name="Normal 8" xfId="15"/>
    <cellStyle name="Normal 9" xfId="17"/>
    <cellStyle name="Percent" xfId="2" builtinId="5"/>
  </cellStyles>
  <dxfs count="3">
    <dxf>
      <font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D71"/>
  <sheetViews>
    <sheetView tabSelected="1" topLeftCell="A3" zoomScaleNormal="100" workbookViewId="0">
      <selection activeCell="B7" sqref="B7"/>
    </sheetView>
  </sheetViews>
  <sheetFormatPr defaultColWidth="9" defaultRowHeight="12.75"/>
  <cols>
    <col min="1" max="1" width="4.5703125" style="33" customWidth="1"/>
    <col min="2" max="2" width="41.7109375" style="3" customWidth="1"/>
    <col min="3" max="3" width="15.140625" style="3" customWidth="1"/>
    <col min="4" max="4" width="7.85546875" style="3" customWidth="1"/>
    <col min="5" max="5" width="13.85546875" style="3" customWidth="1"/>
    <col min="6" max="6" width="7" style="3" customWidth="1"/>
    <col min="7" max="7" width="11.85546875" style="3" hidden="1" customWidth="1"/>
    <col min="8" max="8" width="7.28515625" style="3" hidden="1" customWidth="1"/>
    <col min="9" max="9" width="14.28515625" style="3" hidden="1" customWidth="1"/>
    <col min="10" max="10" width="7.28515625" style="3" hidden="1" customWidth="1"/>
    <col min="11" max="11" width="16.28515625" style="3" hidden="1" customWidth="1"/>
    <col min="12" max="12" width="9" style="3" hidden="1" customWidth="1"/>
    <col min="13" max="13" width="14.28515625" style="3" customWidth="1"/>
    <col min="14" max="14" width="5.7109375" style="3" customWidth="1"/>
    <col min="15" max="15" width="13.42578125" style="3" customWidth="1"/>
    <col min="16" max="16" width="7.85546875" style="3" customWidth="1"/>
    <col min="17" max="17" width="13.140625" style="48" hidden="1" customWidth="1"/>
    <col min="18" max="18" width="9" style="48" hidden="1" customWidth="1"/>
    <col min="19" max="19" width="14.42578125" style="3" hidden="1" customWidth="1"/>
    <col min="20" max="20" width="5.85546875" style="3" hidden="1" customWidth="1"/>
    <col min="21" max="21" width="13.28515625" style="4" hidden="1" customWidth="1"/>
    <col min="22" max="22" width="9" style="33" hidden="1" customWidth="1"/>
    <col min="23" max="23" width="9" style="33"/>
    <col min="24" max="24" width="38.140625" style="3" customWidth="1"/>
    <col min="25" max="25" width="15.85546875" style="48" customWidth="1"/>
    <col min="26" max="27" width="16" style="48" customWidth="1"/>
    <col min="28" max="28" width="15.7109375" style="3" hidden="1" customWidth="1"/>
    <col min="29" max="29" width="15.42578125" style="48" hidden="1" customWidth="1"/>
    <col min="30" max="30" width="9.7109375" style="33" bestFit="1" customWidth="1"/>
    <col min="31" max="16384" width="9" style="33"/>
  </cols>
  <sheetData>
    <row r="1" spans="2:29" hidden="1"/>
    <row r="2" spans="2:29" hidden="1"/>
    <row r="3" spans="2:29" ht="21">
      <c r="B3" s="108" t="s">
        <v>1386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5" spans="2:29">
      <c r="B5" s="34" t="s">
        <v>0</v>
      </c>
      <c r="C5" s="36" t="s">
        <v>1632</v>
      </c>
      <c r="D5" s="35" t="s">
        <v>1</v>
      </c>
      <c r="E5" s="36" t="s">
        <v>1590</v>
      </c>
      <c r="F5" s="35" t="s">
        <v>1</v>
      </c>
      <c r="G5" s="36" t="s">
        <v>1543</v>
      </c>
      <c r="H5" s="35" t="s">
        <v>1</v>
      </c>
      <c r="I5" s="36" t="s">
        <v>1389</v>
      </c>
      <c r="J5" s="35" t="s">
        <v>1</v>
      </c>
      <c r="K5" s="36" t="s">
        <v>1385</v>
      </c>
      <c r="L5" s="35" t="s">
        <v>1</v>
      </c>
      <c r="M5" s="36" t="s">
        <v>1633</v>
      </c>
      <c r="N5" s="35" t="s">
        <v>1</v>
      </c>
      <c r="O5" s="36" t="s">
        <v>1589</v>
      </c>
      <c r="P5" s="35" t="s">
        <v>1</v>
      </c>
      <c r="Q5" s="36" t="s">
        <v>1544</v>
      </c>
      <c r="R5" s="35" t="s">
        <v>1</v>
      </c>
      <c r="S5" s="36" t="s">
        <v>1500</v>
      </c>
      <c r="T5" s="35" t="s">
        <v>1</v>
      </c>
      <c r="U5" s="36" t="s">
        <v>1384</v>
      </c>
      <c r="V5" s="35" t="s">
        <v>1</v>
      </c>
      <c r="X5" s="37" t="s">
        <v>0</v>
      </c>
      <c r="Y5" s="36" t="s">
        <v>1632</v>
      </c>
      <c r="Z5" s="36" t="s">
        <v>1590</v>
      </c>
      <c r="AA5" s="36" t="s">
        <v>1543</v>
      </c>
      <c r="AB5" s="36" t="s">
        <v>1389</v>
      </c>
      <c r="AC5" s="36" t="s">
        <v>1385</v>
      </c>
    </row>
    <row r="6" spans="2:29"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85"/>
      <c r="R6" s="85"/>
      <c r="S6" s="5"/>
      <c r="T6" s="5"/>
      <c r="U6" s="6"/>
      <c r="V6" s="29"/>
      <c r="X6" s="19" t="s">
        <v>3</v>
      </c>
      <c r="Y6" s="20"/>
      <c r="Z6" s="20"/>
      <c r="AA6" s="20"/>
      <c r="AB6" s="19"/>
      <c r="AC6" s="20"/>
    </row>
    <row r="7" spans="2:29">
      <c r="B7" s="8" t="s">
        <v>4</v>
      </c>
      <c r="C7" s="40">
        <f>M7-O7</f>
        <v>175761395.13000005</v>
      </c>
      <c r="D7" s="30">
        <f t="shared" ref="D7:D9" si="0">(C7/$C$29)</f>
        <v>0.9395557284923084</v>
      </c>
      <c r="E7" s="40">
        <f>O7-Q7</f>
        <v>125302004.25</v>
      </c>
      <c r="F7" s="30">
        <f t="shared" ref="F7:F9" si="1">(E7/$E$29)</f>
        <v>0.87134388555165221</v>
      </c>
      <c r="G7" s="40">
        <f>Q7-S7</f>
        <v>148695680.49000001</v>
      </c>
      <c r="H7" s="30">
        <f t="shared" ref="H7:H9" si="2">(G7/$G$29)</f>
        <v>0.85856398091393327</v>
      </c>
      <c r="I7" s="40">
        <f>S7-U7</f>
        <v>105465009.91000001</v>
      </c>
      <c r="J7" s="30">
        <f t="shared" ref="J7:J9" si="3">(I7/$I$29)</f>
        <v>0.79593019249429042</v>
      </c>
      <c r="K7" s="40">
        <f>U7</f>
        <v>101672912.89</v>
      </c>
      <c r="L7" s="30">
        <f t="shared" ref="L7:L9" si="4">(K7/$K$29)</f>
        <v>0.86065216454661941</v>
      </c>
      <c r="M7" s="82">
        <f>-SUMIF('TB AUG'!H:H,EBIDTA!B7,'TB AUG'!G:G)</f>
        <v>656897002.67000008</v>
      </c>
      <c r="N7" s="30">
        <f t="shared" ref="N7:N9" si="5">(M7/$M$29)</f>
        <v>0.87040463873665741</v>
      </c>
      <c r="O7" s="82">
        <f>-SUMIF('TB JULY'!H:H,EBIDTA!B7,'TB JULY'!G:G)</f>
        <v>481135607.54000002</v>
      </c>
      <c r="P7" s="30">
        <f t="shared" ref="P7:P9" si="6">(O7/$O$29)</f>
        <v>0.84761532352658986</v>
      </c>
      <c r="Q7" s="82">
        <f>-SUMIF('TB JUNE'!H:H,EBIDTA!B7,'TB JUNE'!G:G)-3481490</f>
        <v>355833603.29000002</v>
      </c>
      <c r="R7" s="30">
        <f t="shared" ref="R7:R9" si="7">(Q7/$Q$29)</f>
        <v>0.83956437787131211</v>
      </c>
      <c r="S7" s="82">
        <f>-SUMIF('TB MAy'!H:H,EBIDTA!B7,'TB MAy'!G:G)</f>
        <v>207137922.80000001</v>
      </c>
      <c r="T7" s="30">
        <f t="shared" ref="T7:T9" si="8">(S7/$S$29)</f>
        <v>0.82643573941310611</v>
      </c>
      <c r="U7" s="7">
        <f>-SUMIF('TB April'!H:H,EBIDTA!B7,'TB April'!G:G)</f>
        <v>101672912.89</v>
      </c>
      <c r="V7" s="30">
        <f>(U7/$U$29)</f>
        <v>0.86065216454661941</v>
      </c>
      <c r="X7" s="21" t="s">
        <v>5</v>
      </c>
      <c r="Y7" s="14">
        <f>Z7</f>
        <v>77707440.417999998</v>
      </c>
      <c r="Z7" s="14">
        <f>AA7</f>
        <v>77707440.417999998</v>
      </c>
      <c r="AA7" s="14">
        <f>AB7</f>
        <v>77707440.417999998</v>
      </c>
      <c r="AB7" s="74">
        <f>AC7</f>
        <v>77707440.417999998</v>
      </c>
      <c r="AC7" s="14">
        <f>'Stock Sheet'!O7</f>
        <v>77707440.417999998</v>
      </c>
    </row>
    <row r="8" spans="2:29">
      <c r="B8" s="8" t="s">
        <v>6</v>
      </c>
      <c r="C8" s="40">
        <f>M8-O8</f>
        <v>9952350.5600000024</v>
      </c>
      <c r="D8" s="30">
        <f t="shared" si="0"/>
        <v>5.3201603080673232E-2</v>
      </c>
      <c r="E8" s="40">
        <f>O8-Q8</f>
        <v>12225702.5</v>
      </c>
      <c r="F8" s="30">
        <f t="shared" si="1"/>
        <v>8.5016925177783406E-2</v>
      </c>
      <c r="G8" s="40">
        <f>Q8-S8</f>
        <v>10882374.91</v>
      </c>
      <c r="H8" s="30">
        <f t="shared" si="2"/>
        <v>6.2834475714012766E-2</v>
      </c>
      <c r="I8" s="40">
        <f t="shared" ref="I8" si="9">S8-U8</f>
        <v>10072599.77</v>
      </c>
      <c r="J8" s="30">
        <f t="shared" si="3"/>
        <v>7.6016550709050654E-2</v>
      </c>
      <c r="K8" s="40">
        <f>U8</f>
        <v>11569329.68</v>
      </c>
      <c r="L8" s="30">
        <f t="shared" si="4"/>
        <v>9.7933346733343973E-2</v>
      </c>
      <c r="M8" s="82">
        <f>-SUMIF('TB AUG'!H:H,EBIDTA!B8,'TB AUG'!G:G)</f>
        <v>54702357.420000002</v>
      </c>
      <c r="N8" s="30">
        <f t="shared" si="5"/>
        <v>7.2481965140154023E-2</v>
      </c>
      <c r="O8" s="82">
        <f>-SUMIF('TB JULY'!H:H,EBIDTA!B8,'TB JULY'!G:G)</f>
        <v>44750006.859999999</v>
      </c>
      <c r="P8" s="30">
        <f t="shared" si="6"/>
        <v>7.8835968379876303E-2</v>
      </c>
      <c r="Q8" s="82">
        <f>-SUMIF('TB JUNE'!H:H,EBIDTA!B8,'TB JUNE'!G:G)</f>
        <v>32524304.359999999</v>
      </c>
      <c r="R8" s="30">
        <f t="shared" si="7"/>
        <v>7.6738810228235657E-2</v>
      </c>
      <c r="S8" s="82">
        <f>-SUMIF('TB MAy'!H:H,EBIDTA!B8,'TB MAy'!G:G)</f>
        <v>21641929.449999999</v>
      </c>
      <c r="T8" s="30">
        <f t="shared" si="8"/>
        <v>8.6346641530273313E-2</v>
      </c>
      <c r="U8" s="7">
        <f>-SUMIF('TB April'!H:H,EBIDTA!B8,'TB April'!G:G)</f>
        <v>11569329.68</v>
      </c>
      <c r="V8" s="30">
        <f t="shared" ref="V8:V9" si="10">(U8/$U$29)</f>
        <v>9.7933346733343973E-2</v>
      </c>
      <c r="X8" s="21" t="s">
        <v>7</v>
      </c>
      <c r="Y8" s="14"/>
      <c r="Z8" s="14"/>
      <c r="AA8" s="14"/>
      <c r="AB8" s="21"/>
      <c r="AC8" s="14">
        <v>0</v>
      </c>
    </row>
    <row r="9" spans="2:29">
      <c r="B9" s="5" t="s">
        <v>8</v>
      </c>
      <c r="C9" s="55">
        <f>SUM(C7:C8)</f>
        <v>185713745.69000006</v>
      </c>
      <c r="D9" s="30">
        <f t="shared" si="0"/>
        <v>0.99275733157298163</v>
      </c>
      <c r="E9" s="55">
        <f>SUM(E7:E8)</f>
        <v>137527706.75</v>
      </c>
      <c r="F9" s="30">
        <f t="shared" si="1"/>
        <v>0.95636081072943568</v>
      </c>
      <c r="G9" s="55">
        <f>SUM(G7:G8)</f>
        <v>159578055.40000001</v>
      </c>
      <c r="H9" s="30">
        <f t="shared" si="2"/>
        <v>0.92139845662794606</v>
      </c>
      <c r="I9" s="55">
        <f>SUM(I7:I8)</f>
        <v>115537609.68000001</v>
      </c>
      <c r="J9" s="30">
        <f t="shared" si="3"/>
        <v>0.87194674320334098</v>
      </c>
      <c r="K9" s="55">
        <f>SUM(K7:K8)</f>
        <v>113242242.56999999</v>
      </c>
      <c r="L9" s="30">
        <f t="shared" si="4"/>
        <v>0.95858551127996339</v>
      </c>
      <c r="M9" s="55">
        <f>SUM(M7:M8)</f>
        <v>711599360.09000003</v>
      </c>
      <c r="N9" s="30">
        <f t="shared" si="5"/>
        <v>0.94288660387681134</v>
      </c>
      <c r="O9" s="55">
        <f>SUM(O7:O8)</f>
        <v>525885614.40000004</v>
      </c>
      <c r="P9" s="30">
        <f t="shared" si="6"/>
        <v>0.92645129190646625</v>
      </c>
      <c r="Q9" s="55">
        <f>SUM(Q7:Q8)</f>
        <v>388357907.65000004</v>
      </c>
      <c r="R9" s="30">
        <f t="shared" si="7"/>
        <v>0.91630318809954769</v>
      </c>
      <c r="S9" s="55">
        <f>SUM(S7:S8)</f>
        <v>228779852.25</v>
      </c>
      <c r="T9" s="30">
        <f t="shared" si="8"/>
        <v>0.91278238094337938</v>
      </c>
      <c r="U9" s="55">
        <f>SUM(U7:U8)</f>
        <v>113242242.56999999</v>
      </c>
      <c r="V9" s="30">
        <f t="shared" si="10"/>
        <v>0.95858551127996339</v>
      </c>
      <c r="X9" s="21"/>
      <c r="Y9" s="14"/>
      <c r="Z9" s="14"/>
      <c r="AA9" s="14"/>
      <c r="AB9" s="21"/>
      <c r="AC9" s="14"/>
    </row>
    <row r="10" spans="2:29">
      <c r="B10" s="5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85"/>
      <c r="R10" s="85"/>
      <c r="S10" s="5"/>
      <c r="T10" s="5"/>
      <c r="U10" s="6"/>
      <c r="V10" s="29"/>
      <c r="X10" s="21" t="s">
        <v>9</v>
      </c>
      <c r="Y10" s="14">
        <f>SUMIF('TB AUG'!H:H,EBIDTA!X10,'TB AUG'!G:G)</f>
        <v>516624324.85000002</v>
      </c>
      <c r="Z10" s="14">
        <f>SUMIF('TB JULY'!H:H,EBIDTA!X10,'TB JULY'!G:G)</f>
        <v>400211166.64999998</v>
      </c>
      <c r="AA10" s="14">
        <f>SUMIF('TB JUNE'!H:H,EBIDTA!X10,'TB JUNE'!G:G)</f>
        <v>287473827.62</v>
      </c>
      <c r="AB10" s="14">
        <f>SUMIF('TB MAy'!H:H,EBIDTA!X10,'TB MAy'!G:G)</f>
        <v>157567029.92000002</v>
      </c>
      <c r="AC10" s="14">
        <f>SUMIF('TB April'!H:H,EBIDTA!X10,'TB April'!G:G)</f>
        <v>80181243.420000002</v>
      </c>
    </row>
    <row r="11" spans="2:29">
      <c r="B11" s="8" t="s">
        <v>10</v>
      </c>
      <c r="C11" s="40">
        <f>M11-O11</f>
        <v>0</v>
      </c>
      <c r="D11" s="8"/>
      <c r="E11" s="40">
        <f>O11-Q11</f>
        <v>4751781.320000004</v>
      </c>
      <c r="F11" s="8"/>
      <c r="G11" s="40">
        <f>Q11-S11</f>
        <v>11688561.440000001</v>
      </c>
      <c r="H11" s="8"/>
      <c r="I11" s="40">
        <f t="shared" ref="I11" si="11">S11-U11</f>
        <v>15809571.799999999</v>
      </c>
      <c r="J11" s="8"/>
      <c r="K11" s="40">
        <f>U11</f>
        <v>3826534.53</v>
      </c>
      <c r="L11" s="8"/>
      <c r="M11" s="82">
        <f>-SUMIF('TB AUG'!H:H,EBIDTA!B11,'TB AUG'!G:G)</f>
        <v>36076449.090000004</v>
      </c>
      <c r="N11" s="8"/>
      <c r="O11" s="82">
        <f>-SUMIF('TB JULY'!H:H,EBIDTA!B11,'TB JULY'!G:G)</f>
        <v>36076449.090000004</v>
      </c>
      <c r="P11" s="8"/>
      <c r="Q11" s="82">
        <f>-SUMIF('TB JUNE'!H:H,EBIDTA!B11,'TB JUNE'!G:G)</f>
        <v>31324667.77</v>
      </c>
      <c r="R11" s="86"/>
      <c r="S11" s="82">
        <f>-SUMIF('TB MAy'!H:H,EBIDTA!B11,'TB MAy'!G:G)</f>
        <v>19636106.329999998</v>
      </c>
      <c r="T11" s="8"/>
      <c r="U11" s="7">
        <f>-SUMIF('TB April'!H:H,EBIDTA!B11,'TB April'!G:G)</f>
        <v>3826534.53</v>
      </c>
      <c r="V11" s="29"/>
      <c r="X11" s="21" t="s">
        <v>11</v>
      </c>
      <c r="Y11" s="14">
        <f>SUMIF('TB AUG'!H:H,EBIDTA!X11,'TB AUG'!G:G)</f>
        <v>4772132.05</v>
      </c>
      <c r="Z11" s="14">
        <f>SUMIF('TB JULY'!H:H,EBIDTA!X11,'TB JULY'!G:G)</f>
        <v>3303596.49</v>
      </c>
      <c r="AA11" s="14">
        <f>SUMIF('TB JUNE'!H:H,EBIDTA!X11,'TB JUNE'!G:G)</f>
        <v>2396644.77</v>
      </c>
      <c r="AB11" s="14">
        <f>SUMIF('TB MAy'!H:H,EBIDTA!X11,'TB MAy'!G:G)</f>
        <v>1107541.5</v>
      </c>
      <c r="AC11" s="14">
        <f>SUMIF('TB April'!H:H,EBIDTA!X11,'TB April'!G:G)</f>
        <v>242543</v>
      </c>
    </row>
    <row r="12" spans="2:29">
      <c r="B12" s="5" t="s">
        <v>12</v>
      </c>
      <c r="C12" s="55">
        <f>SUM(C11:C11)</f>
        <v>0</v>
      </c>
      <c r="D12" s="5"/>
      <c r="E12" s="55">
        <f>SUM(E11:E11)</f>
        <v>4751781.320000004</v>
      </c>
      <c r="F12" s="30">
        <f t="shared" ref="F12" si="12">(E12/$E$29)</f>
        <v>3.3043650206900518E-2</v>
      </c>
      <c r="G12" s="55">
        <f>SUM(G11:G11)</f>
        <v>11688561.440000001</v>
      </c>
      <c r="H12" s="30">
        <f t="shared" ref="H12" si="13">(G12/$G$29)</f>
        <v>6.7489370289800663E-2</v>
      </c>
      <c r="I12" s="55">
        <f>SUM(I11:I11)</f>
        <v>15809571.799999999</v>
      </c>
      <c r="J12" s="30">
        <f t="shared" ref="J12" si="14">(I12/$I$29)</f>
        <v>0.11931270415433939</v>
      </c>
      <c r="K12" s="55">
        <f>SUM(K11:K11)</f>
        <v>3826534.53</v>
      </c>
      <c r="L12" s="30">
        <f t="shared" ref="L12" si="15">(K12/$K$29)</f>
        <v>3.2391274453992688E-2</v>
      </c>
      <c r="M12" s="55">
        <f>SUM(M11:M11)</f>
        <v>36076449.090000004</v>
      </c>
      <c r="N12" s="30">
        <f t="shared" ref="N12" si="16">(M12/$M$29)</f>
        <v>4.7802179808175471E-2</v>
      </c>
      <c r="O12" s="55">
        <f>SUM(O11:O11)</f>
        <v>36076449.090000004</v>
      </c>
      <c r="P12" s="30">
        <f t="shared" ref="P12" si="17">(O12/$O$29)</f>
        <v>6.3555784664240778E-2</v>
      </c>
      <c r="Q12" s="55">
        <f>SUM(Q11:Q11)</f>
        <v>31324667.77</v>
      </c>
      <c r="R12" s="30">
        <f t="shared" ref="R12" si="18">(Q12/$Q$29)</f>
        <v>7.3908352008318245E-2</v>
      </c>
      <c r="S12" s="55">
        <f>SUM(S11:S11)</f>
        <v>19636106.329999998</v>
      </c>
      <c r="T12" s="30">
        <f t="shared" ref="T12" si="19">(S12/$S$29)</f>
        <v>7.8343838900502491E-2</v>
      </c>
      <c r="U12" s="55">
        <f>SUM(U11:U11)</f>
        <v>3826534.53</v>
      </c>
      <c r="V12" s="30">
        <f t="shared" ref="V12" si="20">(U12/$U$29)</f>
        <v>3.2391274453992688E-2</v>
      </c>
      <c r="X12" s="21" t="s">
        <v>13</v>
      </c>
      <c r="Y12" s="14">
        <f>SUMIF('TB AUG'!H:H,EBIDTA!X12,'TB AUG'!G:G)</f>
        <v>-4951292.13</v>
      </c>
      <c r="Z12" s="14">
        <f>SUMIF('TB JULY'!H:H,EBIDTA!X12,'TB JULY'!G:G)</f>
        <v>-5173159.5199999996</v>
      </c>
      <c r="AA12" s="14">
        <f>SUMIF('TB JUNE'!H:H,EBIDTA!X12,'TB JUNE'!G:G)</f>
        <v>-5279942.79</v>
      </c>
      <c r="AB12" s="14">
        <f>SUMIF('TB MAy'!H:H,EBIDTA!X12,'TB MAy'!G:G)</f>
        <v>-5071469.4000000004</v>
      </c>
      <c r="AC12" s="14">
        <f>SUMIF('TB April'!H:H,EBIDTA!X12,'TB April'!G:G)</f>
        <v>-343851.1</v>
      </c>
    </row>
    <row r="13" spans="2:29">
      <c r="B13" s="5" t="s">
        <v>14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85"/>
      <c r="R13" s="85"/>
      <c r="S13" s="5"/>
      <c r="T13" s="5"/>
      <c r="U13" s="6"/>
      <c r="V13" s="29"/>
      <c r="X13" s="21" t="s">
        <v>15</v>
      </c>
      <c r="Y13" s="14">
        <f>'Stock Sheet'!T7</f>
        <v>74301595.011000022</v>
      </c>
      <c r="Z13" s="14">
        <f>'Stock Sheet'!S7</f>
        <v>94257895.335999995</v>
      </c>
      <c r="AA13" s="14">
        <f>'Stock Sheet'!R7</f>
        <v>113665358.92000002</v>
      </c>
      <c r="AB13" s="21">
        <f>'Stock Sheet'!Q7</f>
        <v>86126945.022999972</v>
      </c>
      <c r="AC13" s="14">
        <f>'Stock Sheet'!P7</f>
        <v>78518480.854999989</v>
      </c>
    </row>
    <row r="14" spans="2:29">
      <c r="B14" s="8" t="s">
        <v>16</v>
      </c>
      <c r="C14" s="40">
        <f t="shared" ref="C14:C16" si="21">M14-O14</f>
        <v>0</v>
      </c>
      <c r="D14" s="8"/>
      <c r="E14" s="40">
        <f t="shared" ref="E14:E16" si="22">O14-Q14</f>
        <v>0</v>
      </c>
      <c r="F14" s="8"/>
      <c r="G14" s="40">
        <f t="shared" ref="G14:G16" si="23">Q14-S14</f>
        <v>0</v>
      </c>
      <c r="H14" s="8"/>
      <c r="I14" s="40">
        <f t="shared" ref="I14:I16" si="24">S14-U14</f>
        <v>0</v>
      </c>
      <c r="J14" s="8"/>
      <c r="K14" s="40">
        <f t="shared" ref="K14:K16" si="25">U14</f>
        <v>0</v>
      </c>
      <c r="L14" s="8"/>
      <c r="M14" s="82">
        <f>-SUMIF('TB AUG'!H:H,EBIDTA!B14,'TB AUG'!G:G)</f>
        <v>0</v>
      </c>
      <c r="N14" s="8"/>
      <c r="O14" s="82">
        <f>-SUMIF('TB JULY'!H:H,EBIDTA!B14,'TB JULY'!G:G)</f>
        <v>0</v>
      </c>
      <c r="P14" s="8"/>
      <c r="Q14" s="82">
        <f>-SUMIF('TB JUNE'!H:H,EBIDTA!B14,'TB JUNE'!G:G)</f>
        <v>0</v>
      </c>
      <c r="R14" s="86"/>
      <c r="S14" s="82">
        <f>-SUMIF('TB MAy'!H:H,EBIDTA!B14,'TB MAy'!G:G)</f>
        <v>0</v>
      </c>
      <c r="T14" s="8"/>
      <c r="U14" s="7">
        <f>-SUMIF('TB April'!H:H,EBIDTA!B14,'TB April'!G:G)</f>
        <v>0</v>
      </c>
      <c r="V14" s="29"/>
      <c r="X14" s="21" t="s">
        <v>17</v>
      </c>
      <c r="Y14" s="14"/>
      <c r="Z14" s="14"/>
      <c r="AA14" s="14"/>
      <c r="AB14" s="21"/>
      <c r="AC14" s="14">
        <v>0</v>
      </c>
    </row>
    <row r="15" spans="2:29">
      <c r="B15" s="8" t="s">
        <v>18</v>
      </c>
      <c r="C15" s="40">
        <f t="shared" si="21"/>
        <v>0</v>
      </c>
      <c r="D15" s="8"/>
      <c r="E15" s="40">
        <f t="shared" si="22"/>
        <v>0</v>
      </c>
      <c r="F15" s="8"/>
      <c r="G15" s="40">
        <f t="shared" si="23"/>
        <v>0</v>
      </c>
      <c r="H15" s="8"/>
      <c r="I15" s="40">
        <f t="shared" si="24"/>
        <v>0</v>
      </c>
      <c r="J15" s="8"/>
      <c r="K15" s="40">
        <f t="shared" si="25"/>
        <v>0</v>
      </c>
      <c r="L15" s="8"/>
      <c r="M15" s="82">
        <f>-SUMIF('TB AUG'!H:H,EBIDTA!B15,'TB AUG'!G:G)</f>
        <v>0</v>
      </c>
      <c r="N15" s="8"/>
      <c r="O15" s="82">
        <f>-SUMIF('TB JULY'!H:H,EBIDTA!B15,'TB JULY'!G:G)</f>
        <v>0</v>
      </c>
      <c r="P15" s="8"/>
      <c r="Q15" s="82">
        <f>-SUMIF('TB JUNE'!H:H,EBIDTA!B15,'TB JUNE'!G:G)</f>
        <v>0</v>
      </c>
      <c r="R15" s="86"/>
      <c r="S15" s="82">
        <f>-SUMIF('TB MAy'!H:H,EBIDTA!B15,'TB MAy'!G:G)</f>
        <v>0</v>
      </c>
      <c r="T15" s="8"/>
      <c r="U15" s="7">
        <f>-SUMIF('TB April'!H:H,EBIDTA!B15,'TB April'!G:G)</f>
        <v>0</v>
      </c>
      <c r="V15" s="29"/>
      <c r="X15" s="19" t="s">
        <v>19</v>
      </c>
      <c r="Y15" s="55">
        <f>Y7+Y8+Y10+Y11+Y12-Y13</f>
        <v>519851010.17699993</v>
      </c>
      <c r="Z15" s="55">
        <f>Z7+Z8+Z10+Z11+Z12-Z13</f>
        <v>381791148.70200002</v>
      </c>
      <c r="AA15" s="55">
        <f>AA7+AA8+AA10+AA11+AA12-AA13</f>
        <v>248632611.09799993</v>
      </c>
      <c r="AB15" s="55">
        <f>AB7+AB8+AB10+AB11+AB12-AB13</f>
        <v>145183597.41500002</v>
      </c>
      <c r="AC15" s="55">
        <f>AC7+AC8+AC10+AC11+AC12-AC13</f>
        <v>79268894.883000016</v>
      </c>
    </row>
    <row r="16" spans="2:29">
      <c r="B16" s="31" t="s">
        <v>20</v>
      </c>
      <c r="C16" s="40">
        <f t="shared" si="21"/>
        <v>15360</v>
      </c>
      <c r="D16" s="31"/>
      <c r="E16" s="40">
        <f t="shared" si="22"/>
        <v>87210</v>
      </c>
      <c r="F16" s="31"/>
      <c r="G16" s="40">
        <f t="shared" si="23"/>
        <v>175750</v>
      </c>
      <c r="H16" s="31"/>
      <c r="I16" s="40">
        <f t="shared" si="24"/>
        <v>33000</v>
      </c>
      <c r="J16" s="31"/>
      <c r="K16" s="40">
        <f t="shared" si="25"/>
        <v>141100</v>
      </c>
      <c r="L16" s="31"/>
      <c r="M16" s="82">
        <f>-SUMIF('TB AUG'!H:H,EBIDTA!B16,'TB AUG'!G:G)</f>
        <v>452420</v>
      </c>
      <c r="N16" s="31"/>
      <c r="O16" s="82">
        <f>-SUMIF('TB JULY'!H:H,EBIDTA!B16,'TB JULY'!G:G)</f>
        <v>437060</v>
      </c>
      <c r="P16" s="31"/>
      <c r="Q16" s="82">
        <f>-SUMIF('TB JUNE'!H:H,EBIDTA!B16,'TB JUNE'!G:G)</f>
        <v>349850</v>
      </c>
      <c r="R16" s="87"/>
      <c r="S16" s="82">
        <f>-SUMIF('TB MAy'!H:H,EBIDTA!B16,'TB MAy'!G:G)</f>
        <v>174100</v>
      </c>
      <c r="T16" s="31"/>
      <c r="U16" s="7">
        <f>-SUMIF('TB April'!H:H,EBIDTA!B16,'TB April'!G:G)</f>
        <v>141100</v>
      </c>
      <c r="V16" s="30"/>
      <c r="X16" s="21"/>
      <c r="Y16" s="14"/>
      <c r="Z16" s="14"/>
      <c r="AA16" s="14"/>
      <c r="AB16" s="21"/>
      <c r="AC16" s="14"/>
    </row>
    <row r="17" spans="2:30" ht="27" customHeight="1">
      <c r="B17" s="5" t="s">
        <v>21</v>
      </c>
      <c r="C17" s="55">
        <f>SUM(C14:C16)</f>
        <v>15360</v>
      </c>
      <c r="D17" s="30">
        <f t="shared" ref="D17" si="26">(C17/$C$29)</f>
        <v>8.2108906674117465E-5</v>
      </c>
      <c r="E17" s="55">
        <f>SUM(E14:E16)</f>
        <v>87210</v>
      </c>
      <c r="F17" s="30">
        <f t="shared" ref="F17" si="27">(E17/$E$29)</f>
        <v>6.0645398861574544E-4</v>
      </c>
      <c r="G17" s="55">
        <f>SUM(G14:G16)</f>
        <v>175750</v>
      </c>
      <c r="H17" s="30">
        <f t="shared" ref="H17" si="28">(G17/$G$29)</f>
        <v>1.0147747341979548E-3</v>
      </c>
      <c r="I17" s="55">
        <f>SUM(I14:I16)</f>
        <v>33000</v>
      </c>
      <c r="J17" s="30">
        <f t="shared" ref="J17" si="29">(I17/$I$29)</f>
        <v>2.4904654515014763E-4</v>
      </c>
      <c r="K17" s="55">
        <f>SUM(K14:K16)</f>
        <v>141100</v>
      </c>
      <c r="L17" s="30">
        <f t="shared" ref="L17" si="30">(K17/$K$29)</f>
        <v>1.1943989501796992E-3</v>
      </c>
      <c r="M17" s="55">
        <f>SUM(M14:M16)</f>
        <v>452420</v>
      </c>
      <c r="N17" s="30">
        <f t="shared" ref="N17" si="31">(M17/$M$29)</f>
        <v>5.9946759546269815E-4</v>
      </c>
      <c r="O17" s="55">
        <f>SUM(O14:O16)</f>
        <v>437060</v>
      </c>
      <c r="P17" s="30">
        <f t="shared" ref="P17" si="32">(O17/$O$29)</f>
        <v>7.69967442639823E-4</v>
      </c>
      <c r="Q17" s="55">
        <f>SUM(Q14:Q16)</f>
        <v>349850</v>
      </c>
      <c r="R17" s="30">
        <f t="shared" ref="R17" si="33">(Q17/$Q$29)</f>
        <v>8.2544648645479113E-4</v>
      </c>
      <c r="S17" s="55">
        <f>SUM(S14:S16)</f>
        <v>174100</v>
      </c>
      <c r="T17" s="30">
        <f t="shared" ref="T17" si="34">(S17/$S$29)</f>
        <v>6.9462153664032872E-4</v>
      </c>
      <c r="U17" s="55">
        <f>SUM(U14:U16)</f>
        <v>141100</v>
      </c>
      <c r="V17" s="30">
        <f t="shared" ref="V17" si="35">(U17/$U$29)</f>
        <v>1.1943989501796992E-3</v>
      </c>
      <c r="X17" s="22" t="s">
        <v>22</v>
      </c>
      <c r="Y17" s="23"/>
      <c r="Z17" s="23"/>
      <c r="AA17" s="23"/>
      <c r="AB17" s="22"/>
      <c r="AC17" s="23"/>
    </row>
    <row r="18" spans="2:30">
      <c r="B18" s="5" t="s">
        <v>23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85"/>
      <c r="R18" s="85"/>
      <c r="S18" s="5"/>
      <c r="T18" s="5"/>
      <c r="U18" s="6"/>
      <c r="V18" s="29"/>
      <c r="X18" s="21" t="s">
        <v>3</v>
      </c>
      <c r="Y18" s="14"/>
      <c r="Z18" s="14"/>
      <c r="AA18" s="14"/>
      <c r="AB18" s="21"/>
      <c r="AC18" s="14"/>
    </row>
    <row r="19" spans="2:30">
      <c r="B19" s="8" t="s">
        <v>24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6"/>
      <c r="R19" s="86"/>
      <c r="S19" s="8"/>
      <c r="T19" s="8"/>
      <c r="U19" s="7"/>
      <c r="V19" s="29"/>
      <c r="X19" s="21" t="s">
        <v>25</v>
      </c>
      <c r="Y19" s="14"/>
      <c r="Z19" s="14"/>
      <c r="AA19" s="14"/>
      <c r="AB19" s="21"/>
      <c r="AC19" s="14">
        <v>0</v>
      </c>
    </row>
    <row r="20" spans="2:30">
      <c r="B20" s="8" t="s">
        <v>26</v>
      </c>
      <c r="C20" s="8"/>
      <c r="D20" s="8"/>
      <c r="E20" s="40">
        <f t="shared" ref="E20:E27" si="36">O20-Q20</f>
        <v>0</v>
      </c>
      <c r="F20" s="8"/>
      <c r="G20" s="40">
        <f t="shared" ref="C20:G29" si="37">Q20-S20</f>
        <v>0</v>
      </c>
      <c r="H20" s="8"/>
      <c r="I20" s="40">
        <f t="shared" ref="I20:I27" si="38">S20-U20</f>
        <v>0</v>
      </c>
      <c r="J20" s="8"/>
      <c r="K20" s="40">
        <f t="shared" ref="K20:K27" si="39">U20</f>
        <v>0</v>
      </c>
      <c r="L20" s="8"/>
      <c r="M20" s="8"/>
      <c r="N20" s="8"/>
      <c r="O20" s="82">
        <f>-SUMIF('TB JULY'!H:H,EBIDTA!B20,'TB JULY'!G:G)</f>
        <v>0</v>
      </c>
      <c r="P20" s="8"/>
      <c r="Q20" s="82">
        <f>-SUMIF('TB JUNE'!H:H,EBIDTA!B20,'TB JUNE'!G:G)</f>
        <v>0</v>
      </c>
      <c r="R20" s="86"/>
      <c r="S20" s="82">
        <f>-SUMIF('TB MAy'!H:H,EBIDTA!B20,'TB MAy'!G:G)</f>
        <v>0</v>
      </c>
      <c r="T20" s="8"/>
      <c r="U20" s="7">
        <f>-SUMIF('TB April'!H:H,EBIDTA!B20,'TB April'!G:G)</f>
        <v>0</v>
      </c>
      <c r="V20" s="29"/>
      <c r="X20" s="21" t="s">
        <v>27</v>
      </c>
      <c r="Y20" s="14">
        <f>Z20</f>
        <v>148327565.30999994</v>
      </c>
      <c r="Z20" s="14">
        <f>AA20</f>
        <v>148327565.30999994</v>
      </c>
      <c r="AA20" s="14">
        <f>AB20</f>
        <v>148327565.30999994</v>
      </c>
      <c r="AB20" s="74">
        <f>AC20</f>
        <v>148327565.30999994</v>
      </c>
      <c r="AC20" s="14">
        <f>'Stock Sheet'!O12</f>
        <v>148327565.30999994</v>
      </c>
    </row>
    <row r="21" spans="2:30">
      <c r="B21" s="10" t="s">
        <v>28</v>
      </c>
      <c r="C21" s="40">
        <f t="shared" ref="C21:C27" si="40">M21-O21</f>
        <v>1339516</v>
      </c>
      <c r="D21" s="10"/>
      <c r="E21" s="40">
        <f t="shared" si="36"/>
        <v>1436462</v>
      </c>
      <c r="F21" s="10"/>
      <c r="G21" s="40">
        <f t="shared" si="37"/>
        <v>1748780</v>
      </c>
      <c r="H21" s="10"/>
      <c r="I21" s="40">
        <f t="shared" si="38"/>
        <v>1125170</v>
      </c>
      <c r="J21" s="10"/>
      <c r="K21" s="40">
        <f t="shared" si="39"/>
        <v>924855</v>
      </c>
      <c r="L21" s="10"/>
      <c r="M21" s="82">
        <f>-SUMIF('TB AUG'!H:H,EBIDTA!B21,'TB AUG'!G:G)</f>
        <v>6574783</v>
      </c>
      <c r="N21" s="10"/>
      <c r="O21" s="82">
        <f>-SUMIF('TB JULY'!H:H,EBIDTA!B21,'TB JULY'!G:G)</f>
        <v>5235267</v>
      </c>
      <c r="P21" s="10"/>
      <c r="Q21" s="82">
        <f>-SUMIF('TB JUNE'!H:H,EBIDTA!B21,'TB JUNE'!G:G)</f>
        <v>3798805</v>
      </c>
      <c r="R21" s="88"/>
      <c r="S21" s="82">
        <f>-SUMIF('TB MAy'!H:H,EBIDTA!B21,'TB MAy'!G:G)</f>
        <v>2050025</v>
      </c>
      <c r="T21" s="10"/>
      <c r="U21" s="7">
        <f>-SUMIF('TB April'!H:H,EBIDTA!B21,'TB April'!G:G)</f>
        <v>924855</v>
      </c>
      <c r="V21" s="29"/>
      <c r="X21" s="21"/>
      <c r="Y21" s="14"/>
      <c r="Z21" s="14"/>
      <c r="AA21" s="14"/>
      <c r="AB21" s="21"/>
      <c r="AC21" s="14"/>
    </row>
    <row r="22" spans="2:30">
      <c r="B22" s="8" t="s">
        <v>29</v>
      </c>
      <c r="C22" s="40">
        <f t="shared" si="40"/>
        <v>0</v>
      </c>
      <c r="D22" s="8"/>
      <c r="E22" s="40">
        <f t="shared" si="36"/>
        <v>0</v>
      </c>
      <c r="F22" s="8"/>
      <c r="G22" s="40">
        <f t="shared" si="37"/>
        <v>0</v>
      </c>
      <c r="H22" s="8"/>
      <c r="I22" s="40">
        <f t="shared" si="38"/>
        <v>0</v>
      </c>
      <c r="J22" s="8"/>
      <c r="K22" s="40">
        <f t="shared" si="39"/>
        <v>0</v>
      </c>
      <c r="L22" s="8"/>
      <c r="M22" s="82">
        <f>-SUMIF('TB AUG'!H:H,EBIDTA!B22,'TB AUG'!G:G)</f>
        <v>0</v>
      </c>
      <c r="N22" s="8"/>
      <c r="O22" s="82">
        <f>-SUMIF('TB JULY'!H:H,EBIDTA!B22,'TB JULY'!G:G)</f>
        <v>0</v>
      </c>
      <c r="P22" s="8"/>
      <c r="Q22" s="82">
        <f>-SUMIF('TB JUNE'!H:H,EBIDTA!B22,'TB JUNE'!G:G)</f>
        <v>0</v>
      </c>
      <c r="R22" s="86"/>
      <c r="S22" s="82">
        <f>-SUMIF('TB MAy'!H:H,EBIDTA!B22,'TB MAy'!G:G)</f>
        <v>0</v>
      </c>
      <c r="T22" s="8"/>
      <c r="U22" s="7">
        <f>-SUMIF('TB April'!H:H,EBIDTA!B22,'TB April'!G:G)</f>
        <v>0</v>
      </c>
      <c r="V22" s="29"/>
      <c r="X22" s="19" t="s">
        <v>30</v>
      </c>
      <c r="Y22" s="20"/>
      <c r="Z22" s="20"/>
      <c r="AA22" s="20"/>
      <c r="AB22" s="19"/>
      <c r="AC22" s="20"/>
    </row>
    <row r="23" spans="2:30">
      <c r="B23" s="8" t="s">
        <v>31</v>
      </c>
      <c r="C23" s="40">
        <f t="shared" si="40"/>
        <v>0</v>
      </c>
      <c r="D23" s="8"/>
      <c r="E23" s="40">
        <f t="shared" si="36"/>
        <v>0</v>
      </c>
      <c r="F23" s="8"/>
      <c r="G23" s="40">
        <f t="shared" si="37"/>
        <v>0</v>
      </c>
      <c r="H23" s="8"/>
      <c r="I23" s="40">
        <f t="shared" si="38"/>
        <v>0</v>
      </c>
      <c r="J23" s="8"/>
      <c r="K23" s="40">
        <f t="shared" si="39"/>
        <v>0</v>
      </c>
      <c r="L23" s="8"/>
      <c r="M23" s="82">
        <f>-SUMIF('TB AUG'!H:H,EBIDTA!B23,'TB AUG'!G:G)</f>
        <v>0</v>
      </c>
      <c r="N23" s="8"/>
      <c r="O23" s="82">
        <f>-SUMIF('TB JULY'!H:H,EBIDTA!B23,'TB JULY'!G:G)</f>
        <v>0</v>
      </c>
      <c r="P23" s="8"/>
      <c r="Q23" s="82">
        <f>-SUMIF('TB JUNE'!H:H,EBIDTA!B23,'TB JUNE'!G:G)</f>
        <v>0</v>
      </c>
      <c r="R23" s="86"/>
      <c r="S23" s="82">
        <f>-SUMIF('TB MAy'!H:H,EBIDTA!B23,'TB MAy'!G:G)</f>
        <v>0</v>
      </c>
      <c r="T23" s="8"/>
      <c r="U23" s="7">
        <f>-SUMIF('TB April'!H:H,EBIDTA!B23,'TB April'!G:G)</f>
        <v>0</v>
      </c>
      <c r="V23" s="29"/>
      <c r="X23" s="21" t="s">
        <v>32</v>
      </c>
      <c r="Y23" s="14">
        <f>'Stock Sheet'!T12</f>
        <v>168277895.56999993</v>
      </c>
      <c r="Z23" s="14">
        <f>'Stock Sheet'!S12</f>
        <v>164978889.33999994</v>
      </c>
      <c r="AA23" s="14">
        <f>'Stock Sheet'!R12</f>
        <v>126348635.34999996</v>
      </c>
      <c r="AB23" s="21">
        <f>'Stock Sheet'!Q12</f>
        <v>148589896.81999999</v>
      </c>
      <c r="AC23" s="14">
        <f>'Stock Sheet'!P12</f>
        <v>164073549.10999995</v>
      </c>
    </row>
    <row r="24" spans="2:30">
      <c r="B24" s="8" t="s">
        <v>33</v>
      </c>
      <c r="C24" s="40">
        <f t="shared" si="40"/>
        <v>0</v>
      </c>
      <c r="D24" s="8"/>
      <c r="E24" s="40">
        <f t="shared" si="36"/>
        <v>0</v>
      </c>
      <c r="F24" s="8"/>
      <c r="G24" s="40">
        <f t="shared" si="37"/>
        <v>0</v>
      </c>
      <c r="H24" s="8"/>
      <c r="I24" s="40">
        <f t="shared" si="38"/>
        <v>0</v>
      </c>
      <c r="J24" s="8"/>
      <c r="K24" s="40">
        <f t="shared" si="39"/>
        <v>0</v>
      </c>
      <c r="L24" s="8"/>
      <c r="M24" s="82">
        <f>-SUMIF('TB AUG'!H:H,EBIDTA!B24,'TB AUG'!G:G)</f>
        <v>0</v>
      </c>
      <c r="N24" s="8"/>
      <c r="O24" s="82">
        <f>-SUMIF('TB JULY'!H:H,EBIDTA!B24,'TB JULY'!G:G)</f>
        <v>0</v>
      </c>
      <c r="P24" s="8"/>
      <c r="Q24" s="82">
        <f>-SUMIF('TB JUNE'!H:H,EBIDTA!B24,'TB JUNE'!G:G)</f>
        <v>0</v>
      </c>
      <c r="R24" s="86"/>
      <c r="S24" s="82">
        <f>-SUMIF('TB MAy'!H:H,EBIDTA!B24,'TB MAy'!G:G)</f>
        <v>0</v>
      </c>
      <c r="T24" s="8"/>
      <c r="U24" s="7">
        <f>-SUMIF('TB April'!H:H,EBIDTA!B24,'TB April'!G:G)</f>
        <v>0</v>
      </c>
      <c r="V24" s="29"/>
      <c r="X24" s="21" t="s">
        <v>34</v>
      </c>
      <c r="Y24" s="14"/>
      <c r="Z24" s="14"/>
      <c r="AA24" s="14"/>
      <c r="AB24" s="21"/>
      <c r="AC24" s="14"/>
    </row>
    <row r="25" spans="2:30">
      <c r="B25" s="8" t="s">
        <v>35</v>
      </c>
      <c r="C25" s="40">
        <f t="shared" si="40"/>
        <v>0</v>
      </c>
      <c r="D25" s="8"/>
      <c r="E25" s="40">
        <f t="shared" si="36"/>
        <v>0</v>
      </c>
      <c r="F25" s="8"/>
      <c r="G25" s="40">
        <f t="shared" si="37"/>
        <v>0</v>
      </c>
      <c r="H25" s="8"/>
      <c r="I25" s="40">
        <f t="shared" si="38"/>
        <v>0</v>
      </c>
      <c r="J25" s="8"/>
      <c r="K25" s="40">
        <f t="shared" si="39"/>
        <v>0</v>
      </c>
      <c r="L25" s="8"/>
      <c r="M25" s="82">
        <f>-SUMIF('TB AUG'!H:H,EBIDTA!B25,'TB AUG'!G:G)</f>
        <v>0</v>
      </c>
      <c r="N25" s="8"/>
      <c r="O25" s="82">
        <f>-SUMIF('TB JULY'!H:H,EBIDTA!B25,'TB JULY'!G:G)</f>
        <v>0</v>
      </c>
      <c r="P25" s="8"/>
      <c r="Q25" s="82">
        <f>-SUMIF('TB JUNE'!H:H,EBIDTA!B25,'TB JUNE'!G:G)</f>
        <v>0</v>
      </c>
      <c r="R25" s="86"/>
      <c r="S25" s="82">
        <f>-SUMIF('TB MAy'!H:H,EBIDTA!B25,'TB MAy'!G:G)</f>
        <v>0</v>
      </c>
      <c r="T25" s="8"/>
      <c r="U25" s="7">
        <f>-SUMIF('TB April'!H:H,EBIDTA!B25,'TB April'!G:G)</f>
        <v>0</v>
      </c>
      <c r="V25" s="29"/>
      <c r="X25" s="19" t="s">
        <v>36</v>
      </c>
      <c r="Y25" s="55">
        <f>(Y19+Y20)-(Y23+Y24)</f>
        <v>-19950330.25999999</v>
      </c>
      <c r="Z25" s="55">
        <f>(Z19+Z20)-(Z23+Z24)</f>
        <v>-16651324.030000001</v>
      </c>
      <c r="AA25" s="55">
        <f>(AA19+AA20)-(AA23+AA24)</f>
        <v>21978929.959999979</v>
      </c>
      <c r="AB25" s="55">
        <f>(AB19+AB20)-(AB23+AB24)</f>
        <v>-262331.51000005007</v>
      </c>
      <c r="AC25" s="55">
        <f>(AC19+AC20)-(AC23+AC24)</f>
        <v>-15745983.800000012</v>
      </c>
    </row>
    <row r="26" spans="2:30">
      <c r="B26" s="8" t="s">
        <v>37</v>
      </c>
      <c r="C26" s="40">
        <f t="shared" si="40"/>
        <v>0</v>
      </c>
      <c r="D26" s="8"/>
      <c r="E26" s="40">
        <f t="shared" si="36"/>
        <v>0</v>
      </c>
      <c r="F26" s="8"/>
      <c r="G26" s="40">
        <f t="shared" si="37"/>
        <v>0</v>
      </c>
      <c r="H26" s="8"/>
      <c r="I26" s="40">
        <f t="shared" si="38"/>
        <v>0</v>
      </c>
      <c r="J26" s="8"/>
      <c r="K26" s="40">
        <f t="shared" si="39"/>
        <v>0</v>
      </c>
      <c r="L26" s="8"/>
      <c r="M26" s="82">
        <f>-SUMIF('TB AUG'!H:H,EBIDTA!B26,'TB AUG'!G:G)</f>
        <v>0</v>
      </c>
      <c r="N26" s="8"/>
      <c r="O26" s="82">
        <f>-SUMIF('TB JULY'!H:H,EBIDTA!B26,'TB JULY'!G:G)</f>
        <v>0</v>
      </c>
      <c r="P26" s="8"/>
      <c r="Q26" s="82">
        <f>-SUMIF('TB JUNE'!H:H,EBIDTA!B26,'TB JUNE'!G:G)</f>
        <v>0</v>
      </c>
      <c r="R26" s="86"/>
      <c r="S26" s="82">
        <f>-SUMIF('TB MAy'!H:H,EBIDTA!B26,'TB MAy'!G:G)</f>
        <v>0</v>
      </c>
      <c r="T26" s="8"/>
      <c r="U26" s="7">
        <f>-SUMIF('TB April'!H:H,EBIDTA!B26,'TB April'!G:G)</f>
        <v>0</v>
      </c>
      <c r="V26" s="29"/>
      <c r="X26" s="21"/>
      <c r="Y26" s="14"/>
      <c r="Z26" s="14"/>
      <c r="AA26" s="14"/>
      <c r="AB26" s="21"/>
      <c r="AC26" s="14"/>
    </row>
    <row r="27" spans="2:30">
      <c r="B27" s="8" t="s">
        <v>38</v>
      </c>
      <c r="C27" s="40">
        <f t="shared" si="40"/>
        <v>0</v>
      </c>
      <c r="D27" s="8"/>
      <c r="E27" s="40">
        <f t="shared" si="36"/>
        <v>0</v>
      </c>
      <c r="F27" s="8"/>
      <c r="G27" s="40">
        <f t="shared" si="37"/>
        <v>0</v>
      </c>
      <c r="H27" s="8"/>
      <c r="I27" s="40">
        <f t="shared" si="38"/>
        <v>0</v>
      </c>
      <c r="J27" s="8"/>
      <c r="K27" s="40">
        <f t="shared" si="39"/>
        <v>0</v>
      </c>
      <c r="L27" s="8"/>
      <c r="M27" s="82">
        <f>-SUMIF('TB AUG'!H:H,EBIDTA!B27,'TB AUG'!G:G)</f>
        <v>0</v>
      </c>
      <c r="N27" s="8"/>
      <c r="O27" s="82">
        <f>-SUMIF('TB JULY'!H:H,EBIDTA!B27,'TB JULY'!G:G)</f>
        <v>0</v>
      </c>
      <c r="P27" s="8"/>
      <c r="Q27" s="82">
        <f>-SUMIF('TB JUNE'!H:H,EBIDTA!B27,'TB JUNE'!G:G)</f>
        <v>0</v>
      </c>
      <c r="R27" s="86"/>
      <c r="S27" s="82">
        <f>-SUMIF('TB MAy'!H:H,EBIDTA!B27,'TB MAy'!G:G)</f>
        <v>0</v>
      </c>
      <c r="T27" s="8"/>
      <c r="U27" s="7">
        <f>-SUMIF('TB April'!H:H,EBIDTA!B27,'TB April'!G:G)</f>
        <v>0</v>
      </c>
      <c r="V27" s="29"/>
      <c r="X27" s="12" t="s">
        <v>39</v>
      </c>
      <c r="Y27" s="11"/>
      <c r="Z27" s="11"/>
      <c r="AA27" s="11"/>
      <c r="AB27" s="12"/>
      <c r="AC27" s="11"/>
    </row>
    <row r="28" spans="2:30">
      <c r="B28" s="5" t="s">
        <v>40</v>
      </c>
      <c r="C28" s="55">
        <f>SUM(C21:C27)</f>
        <v>1339516</v>
      </c>
      <c r="D28" s="30">
        <f t="shared" ref="D28" si="41">(C28/$C$29)</f>
        <v>7.1605595203442134E-3</v>
      </c>
      <c r="E28" s="55">
        <f>SUM(E21:E27)</f>
        <v>1436462</v>
      </c>
      <c r="F28" s="30">
        <f t="shared" ref="F28" si="42">(E28/$E$29)</f>
        <v>9.9890850750481708E-3</v>
      </c>
      <c r="G28" s="55">
        <f>SUM(G21:G27)</f>
        <v>1748780</v>
      </c>
      <c r="H28" s="30">
        <f t="shared" ref="H28" si="43">(G28/$G$29)</f>
        <v>1.0097398348055189E-2</v>
      </c>
      <c r="I28" s="55">
        <f>SUM(I21:I27)</f>
        <v>1125170</v>
      </c>
      <c r="J28" s="30">
        <f t="shared" ref="J28" si="44">(I28/$I$29)</f>
        <v>8.491506097169442E-3</v>
      </c>
      <c r="K28" s="55">
        <f>SUM(K21:K27)</f>
        <v>924855</v>
      </c>
      <c r="L28" s="30">
        <f t="shared" ref="L28" si="45">(K28/$K$29)</f>
        <v>7.8288153158642508E-3</v>
      </c>
      <c r="M28" s="55">
        <f>SUM(M21:M27)</f>
        <v>6574783</v>
      </c>
      <c r="N28" s="30">
        <f t="shared" ref="N28" si="46">(M28/$M$29)</f>
        <v>8.7117487195504714E-3</v>
      </c>
      <c r="O28" s="55">
        <f>SUM(O21:O27)</f>
        <v>5235267</v>
      </c>
      <c r="P28" s="30">
        <f t="shared" ref="P28" si="47">(O28/$O$29)</f>
        <v>9.2229559866532241E-3</v>
      </c>
      <c r="Q28" s="55">
        <f>SUM(Q21:Q27)</f>
        <v>3798805</v>
      </c>
      <c r="R28" s="30">
        <f t="shared" ref="R28" si="48">(Q28/$Q$29)</f>
        <v>8.9630134056792703E-3</v>
      </c>
      <c r="S28" s="55">
        <f>SUM(S21:S27)</f>
        <v>2050025</v>
      </c>
      <c r="T28" s="30">
        <f t="shared" ref="T28" si="49">(S28/$S$29)</f>
        <v>8.1791586194778273E-3</v>
      </c>
      <c r="U28" s="55">
        <f>SUM(U21:U27)</f>
        <v>924855</v>
      </c>
      <c r="V28" s="30"/>
      <c r="X28" s="21" t="s">
        <v>3</v>
      </c>
      <c r="Y28" s="14"/>
      <c r="Z28" s="14"/>
      <c r="AA28" s="14"/>
      <c r="AB28" s="21"/>
      <c r="AC28" s="14"/>
    </row>
    <row r="29" spans="2:30">
      <c r="B29" s="5" t="s">
        <v>41</v>
      </c>
      <c r="C29" s="106">
        <f t="shared" si="37"/>
        <v>187068621.69000006</v>
      </c>
      <c r="D29" s="30">
        <f>(C29/$C$29)</f>
        <v>1</v>
      </c>
      <c r="E29" s="106">
        <f t="shared" si="37"/>
        <v>143803160.06999999</v>
      </c>
      <c r="F29" s="30">
        <f>(E29/$E$29)</f>
        <v>1</v>
      </c>
      <c r="G29" s="106">
        <f t="shared" si="37"/>
        <v>173191146.84000003</v>
      </c>
      <c r="H29" s="30">
        <f>(G29/$G$29)</f>
        <v>1</v>
      </c>
      <c r="I29" s="55">
        <f>I9+I12+I17+I28</f>
        <v>132505351.48</v>
      </c>
      <c r="J29" s="30">
        <f>(I29/$I$29)</f>
        <v>1</v>
      </c>
      <c r="K29" s="55">
        <f>K9+K12+K17+K28</f>
        <v>118134732.09999999</v>
      </c>
      <c r="L29" s="30">
        <f>(K29/$K$29)</f>
        <v>1</v>
      </c>
      <c r="M29" s="55">
        <f>M9+M12+M17+M28</f>
        <v>754703012.18000007</v>
      </c>
      <c r="N29" s="30">
        <f>(M29/$M$29)</f>
        <v>1</v>
      </c>
      <c r="O29" s="55">
        <f>O9+O12+O17+O28</f>
        <v>567634390.49000001</v>
      </c>
      <c r="P29" s="30">
        <f>(O29/$O$29)</f>
        <v>1</v>
      </c>
      <c r="Q29" s="55">
        <f>Q9+Q12+Q17+Q28</f>
        <v>423831230.42000002</v>
      </c>
      <c r="R29" s="30">
        <f>(Q29/$Q$29)</f>
        <v>1</v>
      </c>
      <c r="S29" s="55">
        <f>S9+S12+S17+S28</f>
        <v>250640083.57999998</v>
      </c>
      <c r="T29" s="30">
        <f>(S29/$S$29)</f>
        <v>1</v>
      </c>
      <c r="U29" s="55">
        <f>U9+U12+U17+U28</f>
        <v>118134732.09999999</v>
      </c>
      <c r="V29" s="30">
        <f>(U29/$U$29)</f>
        <v>1</v>
      </c>
      <c r="X29" s="21" t="s">
        <v>42</v>
      </c>
      <c r="Y29" s="14">
        <f>Z29</f>
        <v>12016717.750000002</v>
      </c>
      <c r="Z29" s="14">
        <f>AA29</f>
        <v>12016717.750000002</v>
      </c>
      <c r="AA29" s="14">
        <f>AB29</f>
        <v>12016717.750000002</v>
      </c>
      <c r="AB29" s="74">
        <f>AC29</f>
        <v>12016717.750000002</v>
      </c>
      <c r="AC29" s="14">
        <f>'Stock Sheet'!O18</f>
        <v>12016717.750000002</v>
      </c>
    </row>
    <row r="30" spans="2:30">
      <c r="B30" s="12" t="s">
        <v>43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1"/>
      <c r="R30" s="11"/>
      <c r="S30" s="12"/>
      <c r="T30" s="12"/>
      <c r="U30" s="13"/>
      <c r="V30" s="29"/>
      <c r="X30" s="21"/>
      <c r="Y30" s="14"/>
      <c r="Z30" s="14"/>
      <c r="AA30" s="14"/>
      <c r="AB30" s="21"/>
      <c r="AC30" s="14"/>
    </row>
    <row r="31" spans="2:30">
      <c r="B31" s="8" t="s">
        <v>44</v>
      </c>
      <c r="C31" s="40">
        <f t="shared" ref="C31:C34" si="50">M31-O31</f>
        <v>138059861.4749999</v>
      </c>
      <c r="D31" s="30">
        <f t="shared" ref="D31:D35" si="51">(C31/$C$29)</f>
        <v>0.7380172058133041</v>
      </c>
      <c r="E31" s="40">
        <f>O31-Q31</f>
        <v>133158537.60400009</v>
      </c>
      <c r="F31" s="30">
        <f t="shared" ref="F31:F35" si="52">(E31/$E$29)</f>
        <v>0.92597782648991611</v>
      </c>
      <c r="G31" s="40">
        <f>Q31-S31</f>
        <v>103449013.68299991</v>
      </c>
      <c r="H31" s="30">
        <f t="shared" ref="H31:H35" si="53">(G31/$G$29)</f>
        <v>0.59731121117045138</v>
      </c>
      <c r="I31" s="40">
        <f>S31-U31</f>
        <v>65914702.532000005</v>
      </c>
      <c r="J31" s="30">
        <f t="shared" ref="J31:J35" si="54">(I31/$I$29)</f>
        <v>0.49744936182406935</v>
      </c>
      <c r="K31" s="40">
        <f t="shared" ref="K31:K34" si="55">U31</f>
        <v>79268894.883000016</v>
      </c>
      <c r="L31" s="30">
        <f t="shared" ref="L31:L35" si="56">(K31/$K$29)</f>
        <v>0.67100414479206338</v>
      </c>
      <c r="M31" s="83">
        <f>Y15</f>
        <v>519851010.17699993</v>
      </c>
      <c r="N31" s="30">
        <f t="shared" ref="N31:N35" si="57">(M31/$M$29)</f>
        <v>0.68881533767220893</v>
      </c>
      <c r="O31" s="83">
        <f>Z15</f>
        <v>381791148.70200002</v>
      </c>
      <c r="P31" s="30">
        <f t="shared" ref="P31:P35" si="58">(O31/$O$29)</f>
        <v>0.67260045391616563</v>
      </c>
      <c r="Q31" s="82">
        <f>AA15</f>
        <v>248632611.09799993</v>
      </c>
      <c r="R31" s="30">
        <f t="shared" ref="R31:R35" si="59">(Q31/$Q$29)</f>
        <v>0.58663117121316144</v>
      </c>
      <c r="S31" s="83">
        <f>AB15</f>
        <v>145183597.41500002</v>
      </c>
      <c r="T31" s="30">
        <f t="shared" ref="T31:T35" si="60">(S31/$S$29)</f>
        <v>0.57925131264433183</v>
      </c>
      <c r="U31" s="14">
        <f>AC15</f>
        <v>79268894.883000016</v>
      </c>
      <c r="V31" s="30">
        <f>(U31/$U$29)</f>
        <v>0.67100414479206338</v>
      </c>
      <c r="X31" s="21" t="s">
        <v>45</v>
      </c>
      <c r="Y31" s="14">
        <f>SUMIF('TB AUG'!H:H,EBIDTA!X31,'TB AUG'!G:G)</f>
        <v>12959544.689999999</v>
      </c>
      <c r="Z31" s="14">
        <f>SUMIF('TB JULY'!H:H,EBIDTA!X31,'TB JULY'!G:G)</f>
        <v>9666619.3399999999</v>
      </c>
      <c r="AA31" s="14">
        <f>SUMIF('TB JUNE'!H:H,EBIDTA!X31,'TB JUNE'!G:G)</f>
        <v>6631758.1699999999</v>
      </c>
      <c r="AB31" s="14">
        <f>SUMIF('TB MAy'!H:H,EBIDTA!X31,'TB MAy'!G:G)</f>
        <v>4416212.6100000003</v>
      </c>
      <c r="AC31" s="14">
        <f>SUMIF('TB April'!H:H,EBIDTA!X31,'TB April'!G:G)</f>
        <v>2842163.06</v>
      </c>
      <c r="AD31" s="64"/>
    </row>
    <row r="32" spans="2:30">
      <c r="B32" s="8" t="s">
        <v>46</v>
      </c>
      <c r="C32" s="40">
        <f t="shared" si="50"/>
        <v>0</v>
      </c>
      <c r="D32" s="30">
        <f t="shared" si="51"/>
        <v>0</v>
      </c>
      <c r="E32" s="40">
        <f>O32-Q32</f>
        <v>0</v>
      </c>
      <c r="F32" s="30">
        <f t="shared" si="52"/>
        <v>0</v>
      </c>
      <c r="G32" s="40">
        <f t="shared" ref="G32:G34" si="61">Q32-S32</f>
        <v>0</v>
      </c>
      <c r="H32" s="30">
        <f t="shared" si="53"/>
        <v>0</v>
      </c>
      <c r="I32" s="40">
        <f>S32-U32</f>
        <v>0</v>
      </c>
      <c r="J32" s="30">
        <f t="shared" si="54"/>
        <v>0</v>
      </c>
      <c r="K32" s="40">
        <f t="shared" si="55"/>
        <v>0</v>
      </c>
      <c r="L32" s="30">
        <f t="shared" si="56"/>
        <v>0</v>
      </c>
      <c r="M32" s="30">
        <v>0</v>
      </c>
      <c r="N32" s="30">
        <f t="shared" si="57"/>
        <v>0</v>
      </c>
      <c r="O32" s="30">
        <v>0</v>
      </c>
      <c r="P32" s="30">
        <f t="shared" si="58"/>
        <v>0</v>
      </c>
      <c r="Q32" s="82">
        <v>0</v>
      </c>
      <c r="R32" s="30">
        <f t="shared" si="59"/>
        <v>0</v>
      </c>
      <c r="S32" s="30">
        <v>0</v>
      </c>
      <c r="T32" s="30">
        <f t="shared" si="60"/>
        <v>0</v>
      </c>
      <c r="U32" s="15">
        <v>0</v>
      </c>
      <c r="V32" s="30"/>
      <c r="X32" s="21"/>
      <c r="Y32" s="14"/>
      <c r="Z32" s="14"/>
      <c r="AA32" s="14"/>
      <c r="AB32" s="21"/>
      <c r="AC32" s="14"/>
    </row>
    <row r="33" spans="2:30">
      <c r="B33" s="8" t="s">
        <v>22</v>
      </c>
      <c r="C33" s="40">
        <f t="shared" si="50"/>
        <v>-3299006.2299999893</v>
      </c>
      <c r="D33" s="30">
        <f t="shared" si="51"/>
        <v>-1.7635273089609452E-2</v>
      </c>
      <c r="E33" s="40">
        <f>O33-Q33</f>
        <v>-38630253.98999998</v>
      </c>
      <c r="F33" s="30">
        <f t="shared" si="52"/>
        <v>-0.26863285877164089</v>
      </c>
      <c r="G33" s="40">
        <f t="shared" si="61"/>
        <v>22241261.470000029</v>
      </c>
      <c r="H33" s="30">
        <f t="shared" si="53"/>
        <v>0.12842031406228446</v>
      </c>
      <c r="I33" s="40">
        <f>S33-U33</f>
        <v>15483652.289999962</v>
      </c>
      <c r="J33" s="30">
        <f t="shared" si="54"/>
        <v>0.11685303361002006</v>
      </c>
      <c r="K33" s="40">
        <f t="shared" si="55"/>
        <v>-15745983.800000012</v>
      </c>
      <c r="L33" s="30">
        <f t="shared" si="56"/>
        <v>-0.13328835237609188</v>
      </c>
      <c r="M33" s="83">
        <f>Y25</f>
        <v>-19950330.25999999</v>
      </c>
      <c r="N33" s="30">
        <f t="shared" si="57"/>
        <v>-2.6434676870272972E-2</v>
      </c>
      <c r="O33" s="83">
        <f>Z25</f>
        <v>-16651324.030000001</v>
      </c>
      <c r="P33" s="30">
        <f t="shared" si="58"/>
        <v>-2.9334593373784225E-2</v>
      </c>
      <c r="Q33" s="82">
        <f>AA25</f>
        <v>21978929.959999979</v>
      </c>
      <c r="R33" s="30">
        <f t="shared" si="59"/>
        <v>5.1857740493119697E-2</v>
      </c>
      <c r="S33" s="83">
        <f>AB25</f>
        <v>-262331.51000005007</v>
      </c>
      <c r="T33" s="30">
        <f t="shared" si="60"/>
        <v>-1.0466462756198308E-3</v>
      </c>
      <c r="U33" s="14">
        <f>AC25</f>
        <v>-15745983.800000012</v>
      </c>
      <c r="V33" s="30">
        <f>(U33/$U$29)</f>
        <v>-0.13328835237609188</v>
      </c>
      <c r="X33" s="21" t="s">
        <v>47</v>
      </c>
      <c r="Y33" s="14"/>
      <c r="Z33" s="14"/>
      <c r="AA33" s="14"/>
      <c r="AB33" s="21"/>
      <c r="AC33" s="14"/>
    </row>
    <row r="34" spans="2:30">
      <c r="B34" s="8" t="s">
        <v>39</v>
      </c>
      <c r="C34" s="40">
        <f t="shared" si="50"/>
        <v>2990934.299999997</v>
      </c>
      <c r="D34" s="30">
        <f t="shared" si="51"/>
        <v>1.5988433939265401E-2</v>
      </c>
      <c r="E34" s="40">
        <f>O34-Q34</f>
        <v>2629987.4800000023</v>
      </c>
      <c r="F34" s="30">
        <f t="shared" si="52"/>
        <v>1.8288801711449084E-2</v>
      </c>
      <c r="G34" s="40">
        <f t="shared" si="61"/>
        <v>2569804.7599999979</v>
      </c>
      <c r="H34" s="30">
        <f t="shared" si="53"/>
        <v>1.4837968377067636E-2</v>
      </c>
      <c r="I34" s="40">
        <f>S34-U34</f>
        <v>1450495.2700000014</v>
      </c>
      <c r="J34" s="30">
        <f t="shared" si="54"/>
        <v>1.0946691992428209E-2</v>
      </c>
      <c r="K34" s="40">
        <f t="shared" si="55"/>
        <v>3033090.1500000022</v>
      </c>
      <c r="L34" s="30">
        <f t="shared" si="56"/>
        <v>2.5674838348408141E-2</v>
      </c>
      <c r="M34" s="83">
        <f>Y35</f>
        <v>12674311.960000001</v>
      </c>
      <c r="N34" s="30">
        <f t="shared" si="57"/>
        <v>1.6793774180640372E-2</v>
      </c>
      <c r="O34" s="83">
        <f>Z35</f>
        <v>9683377.6600000039</v>
      </c>
      <c r="P34" s="30">
        <f t="shared" si="58"/>
        <v>1.7059180737166058E-2</v>
      </c>
      <c r="Q34" s="82">
        <f>AA35</f>
        <v>7053390.1800000016</v>
      </c>
      <c r="R34" s="30">
        <f t="shared" si="59"/>
        <v>1.6641978395528736E-2</v>
      </c>
      <c r="S34" s="83">
        <f>AB35</f>
        <v>4483585.4200000037</v>
      </c>
      <c r="T34" s="30">
        <f t="shared" si="60"/>
        <v>1.7888541034454773E-2</v>
      </c>
      <c r="U34" s="14">
        <f>AC35</f>
        <v>3033090.1500000022</v>
      </c>
      <c r="V34" s="30">
        <f>(U34/$U$29)</f>
        <v>2.5674838348408141E-2</v>
      </c>
      <c r="X34" s="21" t="s">
        <v>48</v>
      </c>
      <c r="Y34" s="14">
        <f>'Stock Sheet'!T18</f>
        <v>12301950.48</v>
      </c>
      <c r="Z34" s="14">
        <f>'Stock Sheet'!S18</f>
        <v>11999959.43</v>
      </c>
      <c r="AA34" s="14">
        <f>'Stock Sheet'!R18</f>
        <v>11595085.74</v>
      </c>
      <c r="AB34" s="21">
        <f>'Stock Sheet'!Q18</f>
        <v>11949344.939999999</v>
      </c>
      <c r="AC34" s="14">
        <f>'Stock Sheet'!P18</f>
        <v>11825790.66</v>
      </c>
      <c r="AD34" s="64"/>
    </row>
    <row r="35" spans="2:30">
      <c r="B35" s="5" t="s">
        <v>49</v>
      </c>
      <c r="C35" s="55">
        <f>C31+C33+C34</f>
        <v>137751789.5449999</v>
      </c>
      <c r="D35" s="30">
        <f t="shared" si="51"/>
        <v>0.73637036666295996</v>
      </c>
      <c r="E35" s="55">
        <f>E31+E33+E34</f>
        <v>97158271.094000116</v>
      </c>
      <c r="F35" s="30">
        <f t="shared" si="52"/>
        <v>0.67563376942972431</v>
      </c>
      <c r="G35" s="55">
        <f>G31+G33+G34</f>
        <v>128260079.91299993</v>
      </c>
      <c r="H35" s="30">
        <f t="shared" si="53"/>
        <v>0.7405694936098034</v>
      </c>
      <c r="I35" s="55">
        <f>I31+I33+I34</f>
        <v>82848850.091999963</v>
      </c>
      <c r="J35" s="30">
        <f t="shared" si="54"/>
        <v>0.62524908742651752</v>
      </c>
      <c r="K35" s="55">
        <f>K31+K33+K34</f>
        <v>66556001.23300001</v>
      </c>
      <c r="L35" s="30">
        <f t="shared" si="56"/>
        <v>0.56339063076437967</v>
      </c>
      <c r="M35" s="55">
        <f>M31+M33+M34</f>
        <v>512574991.87699991</v>
      </c>
      <c r="N35" s="30">
        <f t="shared" si="57"/>
        <v>0.67917443498257624</v>
      </c>
      <c r="O35" s="55">
        <f>O31+O33+O34</f>
        <v>374823202.33200008</v>
      </c>
      <c r="P35" s="30">
        <f t="shared" si="58"/>
        <v>0.66032504127954761</v>
      </c>
      <c r="Q35" s="55">
        <f>Q31+Q33+Q34</f>
        <v>277664931.23799992</v>
      </c>
      <c r="R35" s="30">
        <f t="shared" si="59"/>
        <v>0.65513089010180992</v>
      </c>
      <c r="S35" s="55">
        <f>S31+S33+S34</f>
        <v>149404851.32499999</v>
      </c>
      <c r="T35" s="30">
        <f t="shared" si="60"/>
        <v>0.59609320740316674</v>
      </c>
      <c r="U35" s="55">
        <f>U31+U33+U34</f>
        <v>66556001.23300001</v>
      </c>
      <c r="V35" s="30">
        <f>(U35/$U$29)</f>
        <v>0.56339063076437967</v>
      </c>
      <c r="X35" s="19" t="s">
        <v>50</v>
      </c>
      <c r="Y35" s="55">
        <f>Y29+Y31-Y34</f>
        <v>12674311.960000001</v>
      </c>
      <c r="Z35" s="55">
        <f t="shared" ref="Z35:AC35" si="62">Z29+Z31-Z34</f>
        <v>9683377.6600000039</v>
      </c>
      <c r="AA35" s="55">
        <f t="shared" si="62"/>
        <v>7053390.1800000016</v>
      </c>
      <c r="AB35" s="55">
        <f t="shared" si="62"/>
        <v>4483585.4200000037</v>
      </c>
      <c r="AC35" s="55">
        <f t="shared" si="62"/>
        <v>3033090.1500000022</v>
      </c>
    </row>
    <row r="36" spans="2:30">
      <c r="B36" s="5" t="s">
        <v>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85"/>
      <c r="R36" s="85"/>
      <c r="S36" s="5"/>
      <c r="T36" s="5"/>
      <c r="U36" s="6"/>
      <c r="V36" s="29"/>
    </row>
    <row r="37" spans="2:30">
      <c r="B37" s="8" t="s">
        <v>52</v>
      </c>
      <c r="C37" s="40">
        <f t="shared" ref="C37:C41" si="63">M37-O37</f>
        <v>11740568</v>
      </c>
      <c r="D37" s="8"/>
      <c r="E37" s="40">
        <f t="shared" ref="E37:E41" si="64">O37-Q37</f>
        <v>10633350</v>
      </c>
      <c r="F37" s="8"/>
      <c r="G37" s="40">
        <f t="shared" ref="G37:G41" si="65">Q37-S37</f>
        <v>9187414</v>
      </c>
      <c r="H37" s="8"/>
      <c r="I37" s="40">
        <f>S37-U37</f>
        <v>8858477</v>
      </c>
      <c r="J37" s="8"/>
      <c r="K37" s="40">
        <f t="shared" ref="K37:K41" si="66">U37</f>
        <v>9680145</v>
      </c>
      <c r="L37" s="8"/>
      <c r="M37" s="82">
        <f>SUMIF('TB AUG'!H:H,EBIDTA!B37,'TB AUG'!G:G)</f>
        <v>50099954</v>
      </c>
      <c r="N37" s="8"/>
      <c r="O37" s="82">
        <f>SUMIF('TB JULY'!H:H,EBIDTA!B37,'TB JULY'!G:G)</f>
        <v>38359386</v>
      </c>
      <c r="P37" s="8"/>
      <c r="Q37" s="82">
        <f>SUMIF('TB JUNE'!H:H,EBIDTA!B37,'TB JUNE'!G:G)</f>
        <v>27726036</v>
      </c>
      <c r="R37" s="86"/>
      <c r="S37" s="82">
        <f>SUMIF('TB MAy'!H:H,EBIDTA!B37,'TB MAy'!G:G)</f>
        <v>18538622</v>
      </c>
      <c r="T37" s="8"/>
      <c r="U37" s="7">
        <f>SUMIF('TB April'!H:H,EBIDTA!B37,'TB April'!G:G)</f>
        <v>9680145</v>
      </c>
      <c r="V37" s="30"/>
      <c r="Z37" s="48">
        <f>+Z35-AA35</f>
        <v>2629987.4800000023</v>
      </c>
      <c r="AA37" s="48">
        <f>+AA35-AB35</f>
        <v>2569804.7599999979</v>
      </c>
    </row>
    <row r="38" spans="2:30">
      <c r="B38" s="8" t="s">
        <v>53</v>
      </c>
      <c r="C38" s="40">
        <f t="shared" si="63"/>
        <v>363996</v>
      </c>
      <c r="D38" s="8"/>
      <c r="E38" s="40">
        <f t="shared" si="64"/>
        <v>318445</v>
      </c>
      <c r="F38" s="8"/>
      <c r="G38" s="40">
        <f t="shared" si="65"/>
        <v>274895</v>
      </c>
      <c r="H38" s="8"/>
      <c r="I38" s="40">
        <f t="shared" ref="I38:I41" si="67">S38-U38</f>
        <v>300205</v>
      </c>
      <c r="J38" s="8"/>
      <c r="K38" s="40">
        <f t="shared" si="66"/>
        <v>336927</v>
      </c>
      <c r="L38" s="8"/>
      <c r="M38" s="82">
        <f>SUMIF('TB AUG'!H:H,EBIDTA!B38,'TB AUG'!G:G)</f>
        <v>1594468</v>
      </c>
      <c r="N38" s="8"/>
      <c r="O38" s="82">
        <f>SUMIF('TB JULY'!H:H,EBIDTA!B38,'TB JULY'!G:G)</f>
        <v>1230472</v>
      </c>
      <c r="P38" s="8"/>
      <c r="Q38" s="82">
        <f>SUMIF('TB JUNE'!H:H,EBIDTA!B38,'TB JUNE'!G:G)</f>
        <v>912027</v>
      </c>
      <c r="R38" s="86"/>
      <c r="S38" s="82">
        <f>SUMIF('TB MAy'!H:H,EBIDTA!B38,'TB MAy'!G:G)</f>
        <v>637132</v>
      </c>
      <c r="T38" s="8"/>
      <c r="U38" s="7">
        <f>SUMIF('TB April'!H:H,EBIDTA!B38,'TB April'!G:G)</f>
        <v>336927</v>
      </c>
      <c r="V38" s="30"/>
    </row>
    <row r="39" spans="2:30">
      <c r="B39" s="8" t="s">
        <v>54</v>
      </c>
      <c r="C39" s="40">
        <f t="shared" si="63"/>
        <v>0</v>
      </c>
      <c r="D39" s="8"/>
      <c r="E39" s="40">
        <f t="shared" si="64"/>
        <v>0</v>
      </c>
      <c r="F39" s="8"/>
      <c r="G39" s="40">
        <f t="shared" si="65"/>
        <v>0</v>
      </c>
      <c r="H39" s="8"/>
      <c r="I39" s="40">
        <f t="shared" si="67"/>
        <v>0</v>
      </c>
      <c r="J39" s="8"/>
      <c r="K39" s="40">
        <f t="shared" si="66"/>
        <v>0</v>
      </c>
      <c r="L39" s="8"/>
      <c r="M39" s="82">
        <f>SUMIF('TB AUG'!H:H,EBIDTA!B39,'TB AUG'!G:G)</f>
        <v>0</v>
      </c>
      <c r="N39" s="8"/>
      <c r="O39" s="82">
        <f>SUMIF('TB JULY'!H:H,EBIDTA!B39,'TB JULY'!G:G)</f>
        <v>0</v>
      </c>
      <c r="P39" s="8"/>
      <c r="Q39" s="82">
        <f>SUMIF('TB JUNE'!H:H,EBIDTA!B39,'TB JUNE'!G:G)</f>
        <v>0</v>
      </c>
      <c r="R39" s="86"/>
      <c r="S39" s="82">
        <f>SUMIF('TB MAy'!H:H,EBIDTA!B39,'TB MAy'!G:G)</f>
        <v>0</v>
      </c>
      <c r="T39" s="8"/>
      <c r="U39" s="7">
        <f>SUMIF('TB April'!H:H,EBIDTA!B39,'TB April'!G:G)</f>
        <v>0</v>
      </c>
      <c r="V39" s="30"/>
    </row>
    <row r="40" spans="2:30">
      <c r="B40" s="8" t="s">
        <v>55</v>
      </c>
      <c r="C40" s="40">
        <f t="shared" si="63"/>
        <v>346099</v>
      </c>
      <c r="D40" s="8"/>
      <c r="E40" s="40">
        <f t="shared" si="64"/>
        <v>277118.19999999995</v>
      </c>
      <c r="F40" s="8"/>
      <c r="G40" s="40">
        <f t="shared" si="65"/>
        <v>249437.09999999998</v>
      </c>
      <c r="H40" s="8"/>
      <c r="I40" s="40">
        <f t="shared" si="67"/>
        <v>230048.90000000002</v>
      </c>
      <c r="J40" s="8"/>
      <c r="K40" s="40">
        <f t="shared" si="66"/>
        <v>217546</v>
      </c>
      <c r="L40" s="8"/>
      <c r="M40" s="82">
        <f>SUMIF('TB AUG'!H:H,EBIDTA!B40,'TB AUG'!G:G)</f>
        <v>1320249.2</v>
      </c>
      <c r="N40" s="8"/>
      <c r="O40" s="82">
        <f>SUMIF('TB JULY'!H:H,EBIDTA!B40,'TB JULY'!G:G)</f>
        <v>974150.2</v>
      </c>
      <c r="P40" s="8"/>
      <c r="Q40" s="82">
        <f>SUMIF('TB JUNE'!H:H,EBIDTA!B40,'TB JUNE'!G:G)</f>
        <v>697032</v>
      </c>
      <c r="R40" s="86"/>
      <c r="S40" s="82">
        <f>SUMIF('TB MAy'!H:H,EBIDTA!B40,'TB MAy'!G:G)</f>
        <v>447594.9</v>
      </c>
      <c r="T40" s="8"/>
      <c r="U40" s="7">
        <f>SUMIF('TB April'!H:H,EBIDTA!B40,'TB April'!G:G)</f>
        <v>217546</v>
      </c>
      <c r="V40" s="30"/>
    </row>
    <row r="41" spans="2:30">
      <c r="B41" s="8" t="s">
        <v>56</v>
      </c>
      <c r="C41" s="40">
        <f t="shared" si="63"/>
        <v>12679628.200000003</v>
      </c>
      <c r="D41" s="8"/>
      <c r="E41" s="40">
        <f t="shared" si="64"/>
        <v>11226592.060000002</v>
      </c>
      <c r="F41" s="8"/>
      <c r="G41" s="40">
        <f t="shared" si="65"/>
        <v>8715902.1399999969</v>
      </c>
      <c r="H41" s="8"/>
      <c r="I41" s="40">
        <f t="shared" si="67"/>
        <v>6926989.8000000007</v>
      </c>
      <c r="J41" s="8"/>
      <c r="K41" s="40">
        <f t="shared" si="66"/>
        <v>8006908</v>
      </c>
      <c r="L41" s="8"/>
      <c r="M41" s="82">
        <f>SUMIF('TB AUG'!H:H,EBIDTA!B41,'TB AUG'!G:G)</f>
        <v>47556020.200000003</v>
      </c>
      <c r="N41" s="8"/>
      <c r="O41" s="82">
        <f>SUMIF('TB JULY'!H:H,EBIDTA!B41,'TB JULY'!G:G)</f>
        <v>34876392</v>
      </c>
      <c r="P41" s="8"/>
      <c r="Q41" s="82">
        <f>SUMIF('TB JUNE'!H:H,EBIDTA!B41,'TB JUNE'!G:G)</f>
        <v>23649799.939999998</v>
      </c>
      <c r="R41" s="86"/>
      <c r="S41" s="82">
        <f>SUMIF('TB MAy'!H:H,EBIDTA!B41,'TB MAy'!G:G)</f>
        <v>14933897.800000001</v>
      </c>
      <c r="T41" s="8"/>
      <c r="U41" s="7">
        <f>SUMIF('TB April'!H:H,EBIDTA!B41,'TB April'!G:G)</f>
        <v>8006908</v>
      </c>
      <c r="V41" s="30"/>
    </row>
    <row r="42" spans="2:30">
      <c r="B42" s="5" t="s">
        <v>57</v>
      </c>
      <c r="C42" s="55">
        <f>SUM(C37:C41)</f>
        <v>25130291.200000003</v>
      </c>
      <c r="D42" s="30">
        <f t="shared" ref="D42" si="68">(C42/$C$29)</f>
        <v>0.13433728742410128</v>
      </c>
      <c r="E42" s="55">
        <f>SUM(E37:E41)</f>
        <v>22455505.260000002</v>
      </c>
      <c r="F42" s="30">
        <f t="shared" ref="F42" si="69">(E42/$E$29)</f>
        <v>0.15615446314996967</v>
      </c>
      <c r="G42" s="55">
        <f>SUM(G37:G41)</f>
        <v>18427648.239999995</v>
      </c>
      <c r="H42" s="30">
        <f t="shared" ref="H42" si="70">(G42/$G$29)</f>
        <v>0.10640063638486148</v>
      </c>
      <c r="I42" s="55">
        <f>SUM(I37:I41)</f>
        <v>16315720.700000001</v>
      </c>
      <c r="J42" s="30">
        <f t="shared" ref="J42" si="71">(I42/$I$29)</f>
        <v>0.12313254157484085</v>
      </c>
      <c r="K42" s="55">
        <f>SUM(K37:K41)</f>
        <v>18241526</v>
      </c>
      <c r="L42" s="30">
        <f t="shared" ref="L42" si="72">(K42/$K$29)</f>
        <v>0.15441289513873627</v>
      </c>
      <c r="M42" s="55">
        <f>SUM(M37:M41)</f>
        <v>100570691.40000001</v>
      </c>
      <c r="N42" s="30"/>
      <c r="O42" s="55">
        <f>SUM(O37:O41)</f>
        <v>75440400.200000003</v>
      </c>
      <c r="P42" s="30"/>
      <c r="Q42" s="55">
        <f>SUM(Q37:Q41)</f>
        <v>52984894.939999998</v>
      </c>
      <c r="R42" s="30">
        <f t="shared" ref="R42" si="73">(Q42/$Q$29)</f>
        <v>0.12501413566785546</v>
      </c>
      <c r="S42" s="55">
        <f>SUM(S37:S41)</f>
        <v>34557246.700000003</v>
      </c>
      <c r="T42" s="30">
        <f t="shared" ref="T42" si="74">(S42/$S$29)</f>
        <v>0.13787597820110814</v>
      </c>
      <c r="U42" s="55">
        <f>SUM(U37:U41)</f>
        <v>18241526</v>
      </c>
      <c r="V42" s="30">
        <f>(U42/$U$29)</f>
        <v>0.15441289513873627</v>
      </c>
    </row>
    <row r="43" spans="2:30">
      <c r="B43" s="5" t="s">
        <v>58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85"/>
      <c r="R43" s="85"/>
      <c r="S43" s="5"/>
      <c r="T43" s="5"/>
      <c r="U43" s="6"/>
      <c r="V43" s="29"/>
      <c r="X43" s="9"/>
      <c r="AB43" s="9"/>
    </row>
    <row r="44" spans="2:30">
      <c r="B44" s="8" t="s">
        <v>59</v>
      </c>
      <c r="C44" s="40">
        <f t="shared" ref="C44:C46" si="75">M44-O44</f>
        <v>5126920</v>
      </c>
      <c r="D44" s="8"/>
      <c r="E44" s="40">
        <f t="shared" ref="E44:E46" si="76">O44-Q44</f>
        <v>3784365</v>
      </c>
      <c r="F44" s="8"/>
      <c r="G44" s="40">
        <f t="shared" ref="G44:G46" si="77">Q44-S44</f>
        <v>3378096</v>
      </c>
      <c r="H44" s="8"/>
      <c r="I44" s="40">
        <f t="shared" ref="I44:I46" si="78">S44-U44</f>
        <v>3601098</v>
      </c>
      <c r="J44" s="8"/>
      <c r="K44" s="40">
        <f t="shared" ref="K44:K46" si="79">U44</f>
        <v>4561154</v>
      </c>
      <c r="L44" s="8"/>
      <c r="M44" s="82">
        <f>SUMIF('TB AUG'!H:H,EBIDTA!B44,'TB AUG'!G:G)</f>
        <v>20451633</v>
      </c>
      <c r="N44" s="8"/>
      <c r="O44" s="82">
        <f>SUMIF('TB JULY'!H:H,EBIDTA!B44,'TB JULY'!G:G)</f>
        <v>15324713</v>
      </c>
      <c r="P44" s="8"/>
      <c r="Q44" s="82">
        <f>SUMIF('TB JUNE'!H:H,EBIDTA!B44,'TB JUNE'!G:G)</f>
        <v>11540348</v>
      </c>
      <c r="R44" s="86"/>
      <c r="S44" s="82">
        <f>SUMIF('TB MAy'!H:H,EBIDTA!B44,'TB MAy'!G:G)</f>
        <v>8162252</v>
      </c>
      <c r="T44" s="8"/>
      <c r="U44" s="7">
        <f>SUMIF('TB April'!H:H,EBIDTA!B44,'TB April'!G:G)</f>
        <v>4561154</v>
      </c>
      <c r="V44" s="30"/>
    </row>
    <row r="45" spans="2:30">
      <c r="B45" s="8" t="s">
        <v>60</v>
      </c>
      <c r="C45" s="40">
        <f t="shared" si="75"/>
        <v>3038769.5</v>
      </c>
      <c r="D45" s="8"/>
      <c r="E45" s="40">
        <f t="shared" si="76"/>
        <v>3518704.7700000005</v>
      </c>
      <c r="F45" s="8"/>
      <c r="G45" s="40">
        <f t="shared" si="77"/>
        <v>2570212.38</v>
      </c>
      <c r="H45" s="8"/>
      <c r="I45" s="40">
        <f t="shared" si="78"/>
        <v>4043206.0600000005</v>
      </c>
      <c r="J45" s="8"/>
      <c r="K45" s="40">
        <f t="shared" si="79"/>
        <v>1673485.51</v>
      </c>
      <c r="L45" s="8"/>
      <c r="M45" s="82">
        <f>SUMIF('TB AUG'!H:H,EBIDTA!B45,'TB AUG'!G:G)</f>
        <v>14844378.220000001</v>
      </c>
      <c r="N45" s="8"/>
      <c r="O45" s="82">
        <f>SUMIF('TB JULY'!H:H,EBIDTA!B45,'TB JULY'!G:G)</f>
        <v>11805608.720000001</v>
      </c>
      <c r="P45" s="8"/>
      <c r="Q45" s="82">
        <f>SUMIF('TB JUNE'!H:H,EBIDTA!B45,'TB JUNE'!G:G)</f>
        <v>8286903.9500000002</v>
      </c>
      <c r="R45" s="86"/>
      <c r="S45" s="82">
        <f>SUMIF('TB MAy'!H:H,EBIDTA!B45,'TB MAy'!G:G)</f>
        <v>5716691.5700000003</v>
      </c>
      <c r="T45" s="8"/>
      <c r="U45" s="7">
        <f>SUMIF('TB April'!H:H,EBIDTA!B45,'TB April'!G:G)</f>
        <v>1673485.51</v>
      </c>
      <c r="V45" s="30"/>
    </row>
    <row r="46" spans="2:30">
      <c r="B46" s="8" t="s">
        <v>61</v>
      </c>
      <c r="C46" s="40">
        <f t="shared" si="75"/>
        <v>665253.79999999981</v>
      </c>
      <c r="D46" s="8"/>
      <c r="E46" s="40">
        <f t="shared" si="76"/>
        <v>596522.86000000034</v>
      </c>
      <c r="F46" s="8"/>
      <c r="G46" s="40">
        <f t="shared" si="77"/>
        <v>744633.06</v>
      </c>
      <c r="H46" s="8"/>
      <c r="I46" s="40">
        <f t="shared" si="78"/>
        <v>781911.44</v>
      </c>
      <c r="J46" s="8"/>
      <c r="K46" s="40">
        <f t="shared" si="79"/>
        <v>953241.04</v>
      </c>
      <c r="L46" s="8"/>
      <c r="M46" s="82">
        <f>SUMIF('TB AUG'!H:H,EBIDTA!B46,'TB AUG'!G:G)</f>
        <v>3741562.2</v>
      </c>
      <c r="N46" s="8"/>
      <c r="O46" s="82">
        <f>SUMIF('TB JULY'!H:H,EBIDTA!B46,'TB JULY'!G:G)</f>
        <v>3076308.4000000004</v>
      </c>
      <c r="P46" s="8"/>
      <c r="Q46" s="82">
        <f>SUMIF('TB JUNE'!H:H,EBIDTA!B46,'TB JUNE'!G:G)</f>
        <v>2479785.54</v>
      </c>
      <c r="R46" s="86"/>
      <c r="S46" s="82">
        <f>SUMIF('TB MAy'!H:H,EBIDTA!B46,'TB MAy'!G:G)</f>
        <v>1735152.48</v>
      </c>
      <c r="T46" s="8"/>
      <c r="U46" s="7">
        <f>SUMIF('TB April'!H:H,EBIDTA!B46,'TB April'!G:G)</f>
        <v>953241.04</v>
      </c>
      <c r="V46" s="30"/>
      <c r="X46" s="9"/>
      <c r="AB46" s="9"/>
    </row>
    <row r="47" spans="2:30">
      <c r="B47" s="5" t="s">
        <v>62</v>
      </c>
      <c r="C47" s="55">
        <f>SUM(C44:C46)</f>
        <v>8830943.3000000007</v>
      </c>
      <c r="D47" s="30">
        <f t="shared" ref="D47" si="80">(C47/$C$29)</f>
        <v>4.7206972608341335E-2</v>
      </c>
      <c r="E47" s="55">
        <f>SUM(E44:E46)</f>
        <v>7899592.6300000008</v>
      </c>
      <c r="F47" s="30">
        <f t="shared" ref="F47" si="81">(E47/$E$29)</f>
        <v>5.4933372995104313E-2</v>
      </c>
      <c r="G47" s="55">
        <f>SUM(G44:G46)</f>
        <v>6692941.4399999995</v>
      </c>
      <c r="H47" s="30">
        <f t="shared" ref="H47" si="82">(G47/$G$29)</f>
        <v>3.8644824300304276E-2</v>
      </c>
      <c r="I47" s="55">
        <f>SUM(I44:I46)</f>
        <v>8426215.5</v>
      </c>
      <c r="J47" s="30">
        <f t="shared" ref="J47" si="83">(I47/$I$29)</f>
        <v>6.3591510877746171E-2</v>
      </c>
      <c r="K47" s="55">
        <f>SUM(K44:K46)</f>
        <v>7187880.5499999998</v>
      </c>
      <c r="L47" s="30">
        <f t="shared" ref="L47" si="84">(K47/$K$29)</f>
        <v>6.0844769545975043E-2</v>
      </c>
      <c r="M47" s="55">
        <f>SUM(M44:M46)</f>
        <v>39037573.420000002</v>
      </c>
      <c r="N47" s="30"/>
      <c r="O47" s="55">
        <f>SUM(O44:O46)</f>
        <v>30206630.119999997</v>
      </c>
      <c r="P47" s="30"/>
      <c r="Q47" s="55">
        <f>SUM(Q44:Q46)</f>
        <v>22307037.489999998</v>
      </c>
      <c r="R47" s="30">
        <f t="shared" ref="R47" si="85">(Q47/$Q$29)</f>
        <v>5.2631887149737891E-2</v>
      </c>
      <c r="S47" s="55">
        <f>SUM(S44:S46)</f>
        <v>15614096.050000001</v>
      </c>
      <c r="T47" s="30">
        <f t="shared" ref="T47" si="86">(S47/$S$29)</f>
        <v>6.2296883351526056E-2</v>
      </c>
      <c r="U47" s="55">
        <f>SUM(U44:U46)</f>
        <v>7187880.5499999998</v>
      </c>
      <c r="V47" s="30">
        <f>(U47/$U$29)</f>
        <v>6.0844769545975043E-2</v>
      </c>
      <c r="X47" s="18"/>
      <c r="Y47" s="18"/>
      <c r="Z47" s="18"/>
      <c r="AA47" s="18"/>
      <c r="AB47" s="18"/>
      <c r="AC47" s="18"/>
    </row>
    <row r="48" spans="2:30">
      <c r="B48" s="5" t="s">
        <v>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85"/>
      <c r="R48" s="85"/>
      <c r="S48" s="5"/>
      <c r="T48" s="5"/>
      <c r="U48" s="6"/>
      <c r="V48" s="29"/>
      <c r="X48" s="24"/>
      <c r="Y48" s="24"/>
      <c r="Z48" s="24"/>
      <c r="AA48" s="24"/>
      <c r="AB48" s="24"/>
      <c r="AC48" s="24"/>
    </row>
    <row r="49" spans="2:29">
      <c r="B49" s="8" t="s">
        <v>64</v>
      </c>
      <c r="C49" s="40">
        <f t="shared" ref="C49:C53" si="87">M49-O49</f>
        <v>0</v>
      </c>
      <c r="D49" s="8"/>
      <c r="E49" s="40">
        <f t="shared" ref="E49:E53" si="88">O49-Q49</f>
        <v>0</v>
      </c>
      <c r="F49" s="8"/>
      <c r="G49" s="40">
        <f t="shared" ref="G49:G53" si="89">Q49-S49</f>
        <v>0</v>
      </c>
      <c r="H49" s="8"/>
      <c r="I49" s="40">
        <f t="shared" ref="I49:I53" si="90">S49-U49</f>
        <v>0</v>
      </c>
      <c r="J49" s="8"/>
      <c r="K49" s="40">
        <f t="shared" ref="K49:K53" si="91">U49</f>
        <v>0</v>
      </c>
      <c r="L49" s="8"/>
      <c r="M49" s="8"/>
      <c r="N49" s="8"/>
      <c r="O49" s="8"/>
      <c r="P49" s="8"/>
      <c r="Q49" s="82">
        <f>SUMIF('TB JUNE'!H:H,EBIDTA!B49,'TB JUNE'!G:G)</f>
        <v>0</v>
      </c>
      <c r="R49" s="86"/>
      <c r="S49" s="82">
        <f>SUMIF('TB MAy'!H:H,EBIDTA!B49,'TB MAy'!G:G)</f>
        <v>0</v>
      </c>
      <c r="T49" s="8"/>
      <c r="U49" s="7">
        <f>SUMIF('TB April'!H:H,EBIDTA!B49,'TB April'!G:G)</f>
        <v>0</v>
      </c>
      <c r="V49" s="29"/>
      <c r="X49" s="24"/>
      <c r="Y49" s="24"/>
      <c r="Z49" s="24"/>
      <c r="AA49" s="24"/>
      <c r="AB49" s="24"/>
      <c r="AC49" s="24"/>
    </row>
    <row r="50" spans="2:29">
      <c r="B50" s="8" t="s">
        <v>65</v>
      </c>
      <c r="C50" s="40">
        <f t="shared" si="87"/>
        <v>0</v>
      </c>
      <c r="D50" s="8"/>
      <c r="E50" s="40">
        <f t="shared" si="88"/>
        <v>0</v>
      </c>
      <c r="F50" s="8"/>
      <c r="G50" s="40">
        <f t="shared" si="89"/>
        <v>0</v>
      </c>
      <c r="H50" s="8"/>
      <c r="I50" s="40">
        <f t="shared" si="90"/>
        <v>0</v>
      </c>
      <c r="J50" s="8"/>
      <c r="K50" s="40">
        <f t="shared" si="91"/>
        <v>0</v>
      </c>
      <c r="L50" s="8"/>
      <c r="M50" s="8"/>
      <c r="N50" s="8"/>
      <c r="O50" s="8"/>
      <c r="P50" s="8"/>
      <c r="Q50" s="82">
        <f>SUMIF('TB JUNE'!H:H,EBIDTA!B50,'TB JUNE'!G:G)</f>
        <v>0</v>
      </c>
      <c r="R50" s="86"/>
      <c r="S50" s="82">
        <f>SUMIF('TB MAy'!H:H,EBIDTA!B50,'TB MAy'!G:G)</f>
        <v>0</v>
      </c>
      <c r="T50" s="8"/>
      <c r="U50" s="7">
        <f>SUMIF('TB April'!H:H,EBIDTA!B50,'TB April'!G:G)</f>
        <v>0</v>
      </c>
      <c r="V50" s="29"/>
      <c r="X50" s="24"/>
      <c r="Y50" s="24"/>
      <c r="Z50" s="24"/>
      <c r="AA50" s="24"/>
      <c r="AB50" s="24"/>
      <c r="AC50" s="24"/>
    </row>
    <row r="51" spans="2:29">
      <c r="B51" s="8" t="s">
        <v>66</v>
      </c>
      <c r="C51" s="40">
        <f t="shared" si="87"/>
        <v>0</v>
      </c>
      <c r="D51" s="8"/>
      <c r="E51" s="40">
        <f t="shared" si="88"/>
        <v>0</v>
      </c>
      <c r="F51" s="8"/>
      <c r="G51" s="40">
        <f t="shared" si="89"/>
        <v>0</v>
      </c>
      <c r="H51" s="8"/>
      <c r="I51" s="40">
        <f t="shared" si="90"/>
        <v>0</v>
      </c>
      <c r="J51" s="8"/>
      <c r="K51" s="40">
        <f t="shared" si="91"/>
        <v>0</v>
      </c>
      <c r="L51" s="8"/>
      <c r="M51" s="8"/>
      <c r="N51" s="8"/>
      <c r="O51" s="8"/>
      <c r="P51" s="8"/>
      <c r="Q51" s="82">
        <f>SUMIF('TB JUNE'!H:H,EBIDTA!B51,'TB JUNE'!G:G)</f>
        <v>0</v>
      </c>
      <c r="R51" s="86"/>
      <c r="S51" s="82">
        <f>SUMIF('TB MAy'!H:H,EBIDTA!B51,'TB MAy'!G:G)</f>
        <v>0</v>
      </c>
      <c r="T51" s="8"/>
      <c r="U51" s="7">
        <f>SUMIF('TB April'!H:H,EBIDTA!B51,'TB April'!G:G)</f>
        <v>0</v>
      </c>
      <c r="V51" s="30"/>
      <c r="X51" s="25"/>
      <c r="Y51" s="49"/>
      <c r="Z51" s="49"/>
      <c r="AA51" s="49"/>
      <c r="AB51" s="25"/>
      <c r="AC51" s="49"/>
    </row>
    <row r="52" spans="2:29">
      <c r="B52" s="8" t="s">
        <v>67</v>
      </c>
      <c r="C52" s="40">
        <f t="shared" si="87"/>
        <v>680060</v>
      </c>
      <c r="D52" s="8"/>
      <c r="E52" s="40">
        <f t="shared" si="88"/>
        <v>615110</v>
      </c>
      <c r="F52" s="8"/>
      <c r="G52" s="40">
        <f t="shared" si="89"/>
        <v>610069.99999999988</v>
      </c>
      <c r="H52" s="8"/>
      <c r="I52" s="40">
        <f t="shared" si="90"/>
        <v>619365</v>
      </c>
      <c r="J52" s="8"/>
      <c r="K52" s="40">
        <f t="shared" si="91"/>
        <v>254923.84</v>
      </c>
      <c r="L52" s="8"/>
      <c r="M52" s="82">
        <f>SUMIF('TB AUG'!H:H,EBIDTA!B52,'TB AUG'!G:G)</f>
        <v>2779528.84</v>
      </c>
      <c r="N52" s="8"/>
      <c r="O52" s="82">
        <f>SUMIF('TB JULY'!H:H,EBIDTA!B52,'TB JULY'!G:G)</f>
        <v>2099468.84</v>
      </c>
      <c r="P52" s="8"/>
      <c r="Q52" s="82">
        <f>SUMIF('TB JUNE'!H:H,EBIDTA!B52,'TB JUNE'!G:G)</f>
        <v>1484358.8399999999</v>
      </c>
      <c r="R52" s="86"/>
      <c r="S52" s="82">
        <f>SUMIF('TB MAy'!H:H,EBIDTA!B52,'TB MAy'!G:G)</f>
        <v>874288.84</v>
      </c>
      <c r="T52" s="8"/>
      <c r="U52" s="7">
        <f>SUMIF('TB April'!H:H,EBIDTA!B52,'TB April'!G:G)</f>
        <v>254923.84</v>
      </c>
      <c r="V52" s="30"/>
      <c r="X52" s="26"/>
      <c r="Y52" s="49"/>
      <c r="Z52" s="49"/>
      <c r="AA52" s="49"/>
      <c r="AB52" s="26"/>
      <c r="AC52" s="49"/>
    </row>
    <row r="53" spans="2:29">
      <c r="B53" s="8" t="s">
        <v>68</v>
      </c>
      <c r="C53" s="40">
        <f t="shared" si="87"/>
        <v>659489.78999999911</v>
      </c>
      <c r="D53" s="8"/>
      <c r="E53" s="40">
        <f t="shared" si="88"/>
        <v>293037.39999999944</v>
      </c>
      <c r="F53" s="8"/>
      <c r="G53" s="40">
        <f t="shared" si="89"/>
        <v>1252384.5499999998</v>
      </c>
      <c r="H53" s="8"/>
      <c r="I53" s="40">
        <f t="shared" si="90"/>
        <v>902745.03000000026</v>
      </c>
      <c r="J53" s="8"/>
      <c r="K53" s="40">
        <f t="shared" si="91"/>
        <v>2806161.38</v>
      </c>
      <c r="L53" s="8"/>
      <c r="M53" s="82">
        <f>SUMIF('TB AUG'!H:H,EBIDTA!B53,'TB AUG'!G:G)</f>
        <v>5913818.1499999985</v>
      </c>
      <c r="N53" s="8"/>
      <c r="O53" s="82">
        <f>SUMIF('TB JULY'!H:H,EBIDTA!B53,'TB JULY'!G:G)</f>
        <v>5254328.3599999994</v>
      </c>
      <c r="P53" s="8"/>
      <c r="Q53" s="82">
        <f>SUMIF('TB JUNE'!H:H,EBIDTA!B53,'TB JUNE'!G:G)</f>
        <v>4961290.96</v>
      </c>
      <c r="R53" s="86"/>
      <c r="S53" s="82">
        <f>SUMIF('TB MAy'!H:H,EBIDTA!B53,'TB MAy'!G:G)</f>
        <v>3708906.41</v>
      </c>
      <c r="T53" s="8"/>
      <c r="U53" s="7">
        <f>SUMIF('TB April'!H:H,EBIDTA!B53,'TB April'!G:G)</f>
        <v>2806161.38</v>
      </c>
      <c r="V53" s="30"/>
      <c r="X53" s="24"/>
      <c r="Y53" s="24"/>
      <c r="Z53" s="24"/>
      <c r="AA53" s="24"/>
      <c r="AB53" s="24"/>
      <c r="AC53" s="24"/>
    </row>
    <row r="54" spans="2:29">
      <c r="B54" s="5" t="s">
        <v>69</v>
      </c>
      <c r="C54" s="55">
        <f>SUM(C49:C53)</f>
        <v>1339549.7899999991</v>
      </c>
      <c r="D54" s="30">
        <f t="shared" ref="D54" si="92">(C54/$C$29)</f>
        <v>7.1607401492476278E-3</v>
      </c>
      <c r="E54" s="55">
        <f>SUM(E49:E53)</f>
        <v>908147.39999999944</v>
      </c>
      <c r="F54" s="30">
        <f t="shared" ref="F54" si="93">(E54/$E$29)</f>
        <v>6.3152117071553554E-3</v>
      </c>
      <c r="G54" s="55">
        <f>SUM(G49:G53)</f>
        <v>1862454.5499999998</v>
      </c>
      <c r="H54" s="30">
        <f t="shared" ref="H54" si="94">(G54/$G$29)</f>
        <v>1.0753751470452469E-2</v>
      </c>
      <c r="I54" s="55">
        <f>SUM(I49:I53)</f>
        <v>1522110.0300000003</v>
      </c>
      <c r="J54" s="30">
        <f t="shared" ref="J54" si="95">(I54/$I$29)</f>
        <v>1.1487158918481443E-2</v>
      </c>
      <c r="K54" s="55">
        <f>SUM(K49:K53)</f>
        <v>3061085.2199999997</v>
      </c>
      <c r="L54" s="30">
        <f t="shared" ref="L54" si="96">(K54/$K$29)</f>
        <v>2.5911814125999952E-2</v>
      </c>
      <c r="M54" s="55">
        <f>SUM(M49:M53)</f>
        <v>8693346.9899999984</v>
      </c>
      <c r="N54" s="30"/>
      <c r="O54" s="55">
        <f>SUM(O49:O53)</f>
        <v>7353797.1999999993</v>
      </c>
      <c r="P54" s="30"/>
      <c r="Q54" s="55">
        <f>SUM(Q49:Q53)</f>
        <v>6445649.7999999998</v>
      </c>
      <c r="R54" s="30">
        <f t="shared" ref="R54" si="97">(Q54/$Q$29)</f>
        <v>1.5208057682801278E-2</v>
      </c>
      <c r="S54" s="55">
        <f>SUM(S49:S53)</f>
        <v>4583195.25</v>
      </c>
      <c r="T54" s="30">
        <f t="shared" ref="T54" si="98">(S54/$S$29)</f>
        <v>1.8285962821813068E-2</v>
      </c>
      <c r="U54" s="55">
        <f>SUM(U49:U53)</f>
        <v>3061085.2199999997</v>
      </c>
      <c r="V54" s="30">
        <f>(U54/$U$29)</f>
        <v>2.5911814125999952E-2</v>
      </c>
      <c r="X54" s="24"/>
      <c r="Y54" s="24"/>
      <c r="Z54" s="24"/>
      <c r="AA54" s="24"/>
      <c r="AB54" s="24"/>
      <c r="AC54" s="24"/>
    </row>
    <row r="55" spans="2:29">
      <c r="B55" s="5" t="s">
        <v>70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85"/>
      <c r="R55" s="85"/>
      <c r="S55" s="5"/>
      <c r="T55" s="5"/>
      <c r="U55" s="6"/>
      <c r="V55" s="29"/>
      <c r="X55" s="24"/>
      <c r="Y55" s="24"/>
      <c r="Z55" s="24"/>
      <c r="AA55" s="24"/>
      <c r="AB55" s="24"/>
      <c r="AC55" s="24"/>
    </row>
    <row r="56" spans="2:29">
      <c r="B56" s="8" t="s">
        <v>71</v>
      </c>
      <c r="C56" s="40">
        <f t="shared" ref="C56:C59" si="99">M56-O56</f>
        <v>51957.200000000012</v>
      </c>
      <c r="D56" s="8"/>
      <c r="E56" s="40">
        <f t="shared" ref="E56" si="100">O56-Q56</f>
        <v>400209.31</v>
      </c>
      <c r="F56" s="8"/>
      <c r="G56" s="40">
        <f t="shared" ref="G56" si="101">Q56-S56</f>
        <v>-19409.54</v>
      </c>
      <c r="H56" s="8"/>
      <c r="I56" s="8"/>
      <c r="J56" s="8"/>
      <c r="K56" s="40">
        <f t="shared" ref="K56:K59" si="102">U56</f>
        <v>0</v>
      </c>
      <c r="L56" s="8"/>
      <c r="M56" s="82">
        <f>SUMIF('TB AUG'!H:H,EBIDTA!B56,'TB AUG'!G:G)</f>
        <v>459726.01</v>
      </c>
      <c r="N56" s="8"/>
      <c r="O56" s="82">
        <f>SUMIF('TB JULY'!H:H,EBIDTA!B56,'TB JULY'!G:G)</f>
        <v>407768.81</v>
      </c>
      <c r="P56" s="8"/>
      <c r="Q56" s="82">
        <f>SUMIF('TB JUNE'!H:H,EBIDTA!B56,'TB JUNE'!G:G)</f>
        <v>7559.5</v>
      </c>
      <c r="R56" s="86"/>
      <c r="S56" s="82">
        <f>SUMIF('TB MAy'!H:H,EBIDTA!B56,'TB MAy'!G:G)</f>
        <v>26969.040000000001</v>
      </c>
      <c r="T56" s="8"/>
      <c r="U56" s="7">
        <f>SUMIF('TB April'!H:H,EBIDTA!B56,'TB April'!G:G)</f>
        <v>0</v>
      </c>
      <c r="V56" s="30"/>
      <c r="X56" s="24"/>
      <c r="Y56" s="24"/>
      <c r="Z56" s="24"/>
      <c r="AA56" s="24"/>
      <c r="AB56" s="24"/>
      <c r="AC56" s="24"/>
    </row>
    <row r="57" spans="2:29">
      <c r="B57" s="8" t="s">
        <v>72</v>
      </c>
      <c r="C57" s="40">
        <f t="shared" si="99"/>
        <v>2498575.0599999968</v>
      </c>
      <c r="D57" s="8"/>
      <c r="E57" s="40">
        <f t="shared" ref="E57:E59" si="103">O57-Q57</f>
        <v>3030329.0900000017</v>
      </c>
      <c r="F57" s="8"/>
      <c r="G57" s="40">
        <f t="shared" ref="G57:G59" si="104">Q57-S57</f>
        <v>2042406.6500000004</v>
      </c>
      <c r="H57" s="8"/>
      <c r="I57" s="40">
        <f t="shared" ref="I57:I59" si="105">S57-U57</f>
        <v>2271759.7700000005</v>
      </c>
      <c r="J57" s="8"/>
      <c r="K57" s="40">
        <f t="shared" si="102"/>
        <v>2308880.29</v>
      </c>
      <c r="L57" s="8"/>
      <c r="M57" s="82">
        <f>SUMIF('TB AUG'!H:H,EBIDTA!B57,'TB AUG'!G:G)</f>
        <v>12151950.859999999</v>
      </c>
      <c r="N57" s="8"/>
      <c r="O57" s="82">
        <f>SUMIF('TB JULY'!H:H,EBIDTA!B57,'TB JULY'!G:G)</f>
        <v>9653375.8000000026</v>
      </c>
      <c r="P57" s="8"/>
      <c r="Q57" s="82">
        <f>SUMIF('TB JUNE'!H:H,EBIDTA!B57,'TB JUNE'!G:G)</f>
        <v>6623046.7100000009</v>
      </c>
      <c r="R57" s="86"/>
      <c r="S57" s="82">
        <f>SUMIF('TB MAy'!H:H,EBIDTA!B57,'TB MAy'!G:G)</f>
        <v>4580640.0600000005</v>
      </c>
      <c r="T57" s="8"/>
      <c r="U57" s="7">
        <f>SUMIF('TB April'!H:H,EBIDTA!B57,'TB April'!G:G)</f>
        <v>2308880.29</v>
      </c>
      <c r="V57" s="30"/>
      <c r="X57" s="24"/>
      <c r="Y57" s="24"/>
      <c r="Z57" s="24"/>
      <c r="AA57" s="24"/>
      <c r="AB57" s="24"/>
      <c r="AC57" s="24"/>
    </row>
    <row r="58" spans="2:29">
      <c r="B58" s="8" t="s">
        <v>73</v>
      </c>
      <c r="C58" s="40">
        <f t="shared" si="99"/>
        <v>500000</v>
      </c>
      <c r="D58" s="8"/>
      <c r="E58" s="40">
        <f t="shared" si="103"/>
        <v>500000</v>
      </c>
      <c r="F58" s="8"/>
      <c r="G58" s="40">
        <f t="shared" si="104"/>
        <v>500000</v>
      </c>
      <c r="H58" s="8"/>
      <c r="I58" s="40">
        <f t="shared" si="105"/>
        <v>500000</v>
      </c>
      <c r="J58" s="8"/>
      <c r="K58" s="40">
        <f t="shared" si="102"/>
        <v>500000</v>
      </c>
      <c r="L58" s="8"/>
      <c r="M58" s="82">
        <v>2500000</v>
      </c>
      <c r="N58" s="8"/>
      <c r="O58" s="8">
        <v>2000000</v>
      </c>
      <c r="P58" s="8"/>
      <c r="Q58" s="82">
        <v>1500000</v>
      </c>
      <c r="R58" s="86"/>
      <c r="S58" s="82">
        <v>1000000</v>
      </c>
      <c r="T58" s="8"/>
      <c r="U58" s="7">
        <v>500000</v>
      </c>
      <c r="V58" s="30"/>
      <c r="X58" s="27"/>
      <c r="AB58" s="27"/>
    </row>
    <row r="59" spans="2:29">
      <c r="B59" s="32" t="s">
        <v>74</v>
      </c>
      <c r="C59" s="40">
        <f t="shared" si="99"/>
        <v>-4295614.0999999978</v>
      </c>
      <c r="D59" s="32"/>
      <c r="E59" s="40">
        <f t="shared" si="103"/>
        <v>-5275642.91</v>
      </c>
      <c r="F59" s="32"/>
      <c r="G59" s="40">
        <f t="shared" si="104"/>
        <v>-8483076.2300000004</v>
      </c>
      <c r="H59" s="32"/>
      <c r="I59" s="40">
        <f t="shared" si="105"/>
        <v>-3227221.56</v>
      </c>
      <c r="J59" s="32"/>
      <c r="K59" s="40">
        <f t="shared" si="102"/>
        <v>-2817210.44</v>
      </c>
      <c r="L59" s="32"/>
      <c r="M59" s="82">
        <f>SUMIF('TB AUG'!H:H,EBIDTA!B59,'TB AUG'!G:G)</f>
        <v>-24098765.239999998</v>
      </c>
      <c r="N59" s="32"/>
      <c r="O59" s="82">
        <f>SUMIF('TB JULY'!H:H,EBIDTA!B59,'TB JULY'!G:G)</f>
        <v>-19803151.140000001</v>
      </c>
      <c r="P59" s="32"/>
      <c r="Q59" s="82">
        <f>SUMIF('TB JUNE'!H:H,EBIDTA!B59,'TB JUNE'!G:G)</f>
        <v>-14527508.23</v>
      </c>
      <c r="R59" s="89"/>
      <c r="S59" s="82">
        <f>SUMIF('TB MAy'!H:H,EBIDTA!B59,'TB MAy'!G:G)</f>
        <v>-6044432</v>
      </c>
      <c r="T59" s="30"/>
      <c r="U59" s="7">
        <f>SUMIF('TB April'!H:H,EBIDTA!B59,'TB April'!G:G)</f>
        <v>-2817210.44</v>
      </c>
      <c r="V59" s="30"/>
    </row>
    <row r="60" spans="2:29">
      <c r="B60" s="5" t="s">
        <v>75</v>
      </c>
      <c r="C60" s="55">
        <f>SUM(C56:C59)</f>
        <v>-1245081.8400000008</v>
      </c>
      <c r="D60" s="30">
        <f t="shared" ref="D60:D62" si="106">(C60/$C$29)</f>
        <v>-6.6557492579556324E-3</v>
      </c>
      <c r="E60" s="55">
        <f>SUM(E56:E59)</f>
        <v>-1345104.5099999984</v>
      </c>
      <c r="F60" s="30">
        <f t="shared" ref="F60:F62" si="107">(E60/$E$29)</f>
        <v>-9.3537896479133926E-3</v>
      </c>
      <c r="G60" s="55">
        <f>SUM(G56:G59)</f>
        <v>-5960079.1200000001</v>
      </c>
      <c r="H60" s="30">
        <f t="shared" ref="H60:H62" si="108">(G60/$G$29)</f>
        <v>-3.4413301307520801E-2</v>
      </c>
      <c r="I60" s="55">
        <f>SUM(I56:I59)</f>
        <v>-455461.78999999957</v>
      </c>
      <c r="J60" s="30">
        <f t="shared" ref="J60:J62" si="109">(I60/$I$29)</f>
        <v>-3.4373086438606649E-3</v>
      </c>
      <c r="K60" s="55">
        <f>SUM(K56:K59)</f>
        <v>-8330.1499999999069</v>
      </c>
      <c r="L60" s="30">
        <f t="shared" ref="L60:L62" si="110">(K60/$K$29)</f>
        <v>-7.0513978843652082E-5</v>
      </c>
      <c r="M60" s="55">
        <f>SUM(M56:M59)</f>
        <v>-8987088.3699999992</v>
      </c>
      <c r="N60" s="30"/>
      <c r="O60" s="55">
        <f>SUM(O56:O59)</f>
        <v>-7742006.5299999975</v>
      </c>
      <c r="P60" s="30"/>
      <c r="Q60" s="55">
        <f>SUM(Q56:Q59)</f>
        <v>-6396902.0199999996</v>
      </c>
      <c r="R60" s="30">
        <f t="shared" ref="R60:R62" si="111">(Q60/$Q$29)</f>
        <v>-1.5093040722036747E-2</v>
      </c>
      <c r="S60" s="55">
        <f>SUM(S56:S59)</f>
        <v>-436822.89999999944</v>
      </c>
      <c r="T60" s="30">
        <f t="shared" ref="T60:T62" si="112">(S60/$S$29)</f>
        <v>-1.7428293741394844E-3</v>
      </c>
      <c r="U60" s="55">
        <f>SUM(U56:U59)</f>
        <v>-8330.1499999999069</v>
      </c>
      <c r="V60" s="30">
        <f>(U60/$U$29)</f>
        <v>-7.0513978843652082E-5</v>
      </c>
    </row>
    <row r="61" spans="2:29">
      <c r="B61" s="5" t="s">
        <v>76</v>
      </c>
      <c r="C61" s="55">
        <f>C35+C42+C47+C54+C60</f>
        <v>171807491.99499989</v>
      </c>
      <c r="D61" s="30">
        <f t="shared" si="106"/>
        <v>0.91841961758669455</v>
      </c>
      <c r="E61" s="55">
        <f>E35+E42+E47+E54+E60</f>
        <v>127076411.87400012</v>
      </c>
      <c r="F61" s="30">
        <f t="shared" si="107"/>
        <v>0.88368302763404027</v>
      </c>
      <c r="G61" s="55">
        <f>G35+G42+G47+G54+G60</f>
        <v>149283045.02299994</v>
      </c>
      <c r="H61" s="30">
        <f t="shared" si="108"/>
        <v>0.86195540445790098</v>
      </c>
      <c r="I61" s="55">
        <f>I35+I42+I47+I54+I60</f>
        <v>108657434.53199996</v>
      </c>
      <c r="J61" s="30">
        <f t="shared" si="109"/>
        <v>0.82002299015372537</v>
      </c>
      <c r="K61" s="55">
        <f>K35+K42+K47+K54+K60</f>
        <v>95038162.853</v>
      </c>
      <c r="L61" s="30">
        <f t="shared" si="110"/>
        <v>0.80448959559624722</v>
      </c>
      <c r="M61" s="55">
        <f>M35+M42+M47+M54+M60</f>
        <v>651889515.31699991</v>
      </c>
      <c r="N61" s="30"/>
      <c r="O61" s="55">
        <f>O35+O42+O47+O54+O60</f>
        <v>480082023.32200009</v>
      </c>
      <c r="P61" s="30"/>
      <c r="Q61" s="55">
        <f>Q35+Q42+Q47+Q54+Q60</f>
        <v>353005611.44799995</v>
      </c>
      <c r="R61" s="30">
        <f t="shared" si="111"/>
        <v>0.83289192988016791</v>
      </c>
      <c r="S61" s="55">
        <f>S35+S42+S47+S54+S60</f>
        <v>203722566.42499998</v>
      </c>
      <c r="T61" s="30">
        <f t="shared" si="112"/>
        <v>0.81280920240347454</v>
      </c>
      <c r="U61" s="55">
        <f>U35+U42+U47+U54+U60</f>
        <v>95038162.853</v>
      </c>
      <c r="V61" s="30">
        <f>(U61/$U$29)</f>
        <v>0.80448959559624722</v>
      </c>
    </row>
    <row r="62" spans="2:29">
      <c r="B62" s="5" t="s">
        <v>77</v>
      </c>
      <c r="C62" s="55">
        <f>C29-C61</f>
        <v>15261129.695000172</v>
      </c>
      <c r="D62" s="30">
        <f t="shared" si="106"/>
        <v>8.1580382413305452E-2</v>
      </c>
      <c r="E62" s="55">
        <f>E29-E61</f>
        <v>16726748.195999876</v>
      </c>
      <c r="F62" s="30">
        <f t="shared" si="107"/>
        <v>0.11631697236595975</v>
      </c>
      <c r="G62" s="55">
        <f>G29-G61</f>
        <v>23908101.817000091</v>
      </c>
      <c r="H62" s="30">
        <f t="shared" si="108"/>
        <v>0.13804459554209905</v>
      </c>
      <c r="I62" s="55">
        <f>I29-I61</f>
        <v>23847916.948000044</v>
      </c>
      <c r="J62" s="30">
        <f t="shared" si="109"/>
        <v>0.17997700984627465</v>
      </c>
      <c r="K62" s="55">
        <f>K29-K61</f>
        <v>23096569.246999994</v>
      </c>
      <c r="L62" s="30">
        <f t="shared" si="110"/>
        <v>0.19551040440375278</v>
      </c>
      <c r="M62" s="55">
        <f>M29-M61</f>
        <v>102813496.86300015</v>
      </c>
      <c r="N62" s="30"/>
      <c r="O62" s="55">
        <f>O29-O61</f>
        <v>87552367.167999923</v>
      </c>
      <c r="P62" s="30"/>
      <c r="Q62" s="55">
        <f>Q29-Q61</f>
        <v>70825618.972000062</v>
      </c>
      <c r="R62" s="30">
        <f t="shared" si="111"/>
        <v>0.16710807011983206</v>
      </c>
      <c r="S62" s="55">
        <f>S29-S61</f>
        <v>46917517.155000001</v>
      </c>
      <c r="T62" s="30">
        <f t="shared" si="112"/>
        <v>0.18719079759652546</v>
      </c>
      <c r="U62" s="55">
        <f>U29-U61</f>
        <v>23096569.246999994</v>
      </c>
      <c r="V62" s="30">
        <f>(U62/$U$29)</f>
        <v>0.19551040440375278</v>
      </c>
    </row>
    <row r="63" spans="2:29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90"/>
      <c r="R63" s="90"/>
      <c r="S63" s="16"/>
      <c r="T63" s="16"/>
      <c r="U63" s="17"/>
    </row>
    <row r="64" spans="2:29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03"/>
      <c r="P64" s="16"/>
      <c r="Q64" s="90"/>
      <c r="R64" s="90"/>
      <c r="S64" s="16"/>
      <c r="T64" s="16"/>
      <c r="U64" s="39"/>
    </row>
    <row r="65" spans="2:21">
      <c r="B65" s="16"/>
      <c r="C65" s="16"/>
      <c r="D65" s="16"/>
      <c r="E65" s="10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90"/>
      <c r="R65" s="90"/>
      <c r="S65" s="16"/>
      <c r="T65" s="16"/>
      <c r="U65" s="17"/>
    </row>
    <row r="66" spans="2:21">
      <c r="B66" s="16"/>
      <c r="C66" s="16"/>
      <c r="D66" s="16"/>
      <c r="E66" s="16"/>
      <c r="F66" s="16"/>
      <c r="G66" s="103"/>
      <c r="H66" s="16"/>
      <c r="I66" s="16"/>
      <c r="J66" s="16"/>
      <c r="K66" s="16"/>
      <c r="L66" s="16"/>
      <c r="M66" s="16"/>
      <c r="N66" s="16"/>
      <c r="O66" s="16"/>
      <c r="P66" s="16"/>
      <c r="Q66" s="90"/>
      <c r="R66" s="90"/>
      <c r="S66" s="16"/>
      <c r="T66" s="16"/>
      <c r="U66" s="17"/>
    </row>
    <row r="67" spans="2:21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90"/>
      <c r="R67" s="90"/>
      <c r="S67" s="16"/>
      <c r="T67" s="16"/>
      <c r="U67" s="17"/>
    </row>
    <row r="68" spans="2:21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90"/>
      <c r="R68" s="90"/>
      <c r="S68" s="16"/>
      <c r="T68" s="16"/>
      <c r="U68" s="17"/>
    </row>
    <row r="69" spans="2:21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90"/>
      <c r="R69" s="90"/>
      <c r="S69" s="16"/>
      <c r="T69" s="16"/>
      <c r="U69" s="17"/>
    </row>
    <row r="71" spans="2:2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91"/>
      <c r="R71" s="91"/>
      <c r="S71" s="28"/>
      <c r="T71" s="28"/>
    </row>
  </sheetData>
  <mergeCells count="1">
    <mergeCell ref="B3:V3"/>
  </mergeCells>
  <conditionalFormatting sqref="B21 L21 T21 J21 R21 H21 P21 F21 N21 D21">
    <cfRule type="expression" dxfId="2" priority="4" stopIfTrue="1">
      <formula>AND(COUNTIF(#REF!,B21)+COUNTIF(#REF!,B21)&gt;1,NOT(ISBLANK(B21)))</formula>
    </cfRule>
    <cfRule type="expression" dxfId="1" priority="5" stopIfTrue="1">
      <formula>AND(COUNTIF(#REF!,B21)+COUNTIF(#REF!,B21)&gt;1,NOT(ISBLANK(B21)))</formula>
    </cfRule>
    <cfRule type="expression" dxfId="0" priority="6" stopIfTrue="1">
      <formula>AND(COUNTIF(#REF!,B21)+COUNTIF(#REF!,B21)&gt;1,NOT(ISBLANK(B21)))</formula>
    </cfRule>
  </conditionalFormatting>
  <pageMargins left="0.70866141732283472" right="0.70866141732283472" top="0.19685039370078741" bottom="0.15748031496062992" header="0.31496062992125984" footer="0.31496062992125984"/>
  <pageSetup paperSize="9" scale="7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AA23"/>
  <sheetViews>
    <sheetView workbookViewId="0">
      <selection activeCell="T7" sqref="T7"/>
    </sheetView>
  </sheetViews>
  <sheetFormatPr defaultColWidth="9" defaultRowHeight="12.75"/>
  <cols>
    <col min="1" max="1" width="5.42578125" style="1" customWidth="1"/>
    <col min="2" max="2" width="31.7109375" style="1" customWidth="1"/>
    <col min="3" max="3" width="28.85546875" style="1" hidden="1" customWidth="1"/>
    <col min="4" max="4" width="10.7109375" style="43" hidden="1" customWidth="1"/>
    <col min="5" max="5" width="10.7109375" style="1" hidden="1" customWidth="1"/>
    <col min="6" max="6" width="10.7109375" style="43" hidden="1" customWidth="1"/>
    <col min="7" max="7" width="12" style="1" hidden="1" customWidth="1"/>
    <col min="8" max="8" width="11.7109375" style="43" hidden="1" customWidth="1"/>
    <col min="9" max="9" width="10.7109375" style="1" hidden="1" customWidth="1"/>
    <col min="10" max="10" width="12" style="1" hidden="1" customWidth="1"/>
    <col min="11" max="11" width="12.5703125" style="1" hidden="1" customWidth="1"/>
    <col min="12" max="12" width="14.28515625" style="43" hidden="1" customWidth="1"/>
    <col min="13" max="13" width="13.28515625" style="1" hidden="1" customWidth="1"/>
    <col min="14" max="14" width="11" style="1" hidden="1" customWidth="1"/>
    <col min="15" max="15" width="15.28515625" style="1" bestFit="1" customWidth="1"/>
    <col min="16" max="16" width="13.5703125" style="1" customWidth="1"/>
    <col min="17" max="17" width="12.85546875" style="1" customWidth="1"/>
    <col min="18" max="18" width="12.5703125" style="1" customWidth="1"/>
    <col min="19" max="19" width="11.5703125" style="1" customWidth="1"/>
    <col min="20" max="20" width="12.140625" style="1" customWidth="1"/>
    <col min="21" max="21" width="11.140625" style="1" customWidth="1"/>
    <col min="22" max="22" width="12.7109375" style="1" customWidth="1"/>
    <col min="23" max="23" width="12.85546875" style="1" customWidth="1"/>
    <col min="24" max="24" width="11.85546875" style="43" customWidth="1"/>
    <col min="25" max="25" width="11.7109375" style="1" customWidth="1"/>
    <col min="26" max="26" width="12" style="1" customWidth="1"/>
    <col min="27" max="27" width="13.28515625" style="43" customWidth="1"/>
    <col min="28" max="16384" width="9" style="1"/>
  </cols>
  <sheetData>
    <row r="3" spans="2:27">
      <c r="C3" s="1" t="s">
        <v>904</v>
      </c>
    </row>
    <row r="5" spans="2:27" ht="18.75">
      <c r="B5" s="58" t="s">
        <v>78</v>
      </c>
      <c r="C5" s="45"/>
      <c r="O5" s="54" t="s">
        <v>1387</v>
      </c>
    </row>
    <row r="6" spans="2:27">
      <c r="B6" s="38" t="s">
        <v>79</v>
      </c>
      <c r="C6" s="46">
        <v>45383</v>
      </c>
      <c r="D6" s="42" t="s">
        <v>954</v>
      </c>
      <c r="E6" s="46">
        <v>45444</v>
      </c>
      <c r="F6" s="50" t="s">
        <v>955</v>
      </c>
      <c r="G6" s="46">
        <v>45505</v>
      </c>
      <c r="H6" s="46">
        <v>45536</v>
      </c>
      <c r="I6" s="46">
        <v>45566</v>
      </c>
      <c r="J6" s="46">
        <v>45597</v>
      </c>
      <c r="K6" s="46">
        <v>45627</v>
      </c>
      <c r="L6" s="46">
        <v>45658</v>
      </c>
      <c r="M6" s="46">
        <v>45689</v>
      </c>
      <c r="N6" s="46">
        <v>45717</v>
      </c>
      <c r="O6" s="52" t="s">
        <v>1388</v>
      </c>
      <c r="P6" s="53">
        <v>46113</v>
      </c>
      <c r="Q6" s="57" t="s">
        <v>1389</v>
      </c>
      <c r="R6" s="53">
        <v>46174</v>
      </c>
      <c r="S6" s="44" t="s">
        <v>1051</v>
      </c>
      <c r="T6" s="53">
        <v>46235</v>
      </c>
      <c r="U6" s="53">
        <v>46266</v>
      </c>
      <c r="V6" s="53">
        <v>46296</v>
      </c>
      <c r="W6" s="53">
        <v>46327</v>
      </c>
      <c r="X6" s="53">
        <v>46357</v>
      </c>
      <c r="Y6" s="53">
        <v>46388</v>
      </c>
      <c r="Z6" s="53">
        <v>46419</v>
      </c>
      <c r="AA6" s="53">
        <v>46447</v>
      </c>
    </row>
    <row r="7" spans="2:27" ht="15.75">
      <c r="B7" s="42"/>
      <c r="C7" s="42">
        <v>40885501.605000012</v>
      </c>
      <c r="D7" s="42">
        <v>44690514.835000008</v>
      </c>
      <c r="E7" s="41">
        <v>59879822.875000007</v>
      </c>
      <c r="F7" s="42">
        <v>58718632.770800009</v>
      </c>
      <c r="G7" s="2">
        <v>60867855.018399999</v>
      </c>
      <c r="H7" s="42">
        <v>58655299.173999995</v>
      </c>
      <c r="I7" s="51">
        <v>49973632</v>
      </c>
      <c r="J7" s="2">
        <v>52326500.23300001</v>
      </c>
      <c r="K7" s="51">
        <v>51493051.423</v>
      </c>
      <c r="L7" s="42">
        <v>44011789.521000005</v>
      </c>
      <c r="M7" s="42">
        <v>61248777.813530013</v>
      </c>
      <c r="N7" s="2">
        <v>59069209.876000002</v>
      </c>
      <c r="O7" s="56">
        <v>77707440.417999998</v>
      </c>
      <c r="P7" s="42">
        <v>78518480.854999989</v>
      </c>
      <c r="Q7" s="42">
        <v>86126945.022999972</v>
      </c>
      <c r="R7" s="42">
        <v>113665358.92000002</v>
      </c>
      <c r="S7" s="42">
        <v>94257895.335999995</v>
      </c>
      <c r="T7" s="42">
        <v>74301595.011000022</v>
      </c>
      <c r="U7" s="42"/>
      <c r="V7" s="42"/>
      <c r="W7" s="42"/>
      <c r="X7" s="42"/>
      <c r="Y7" s="42"/>
      <c r="Z7" s="42"/>
      <c r="AA7" s="42"/>
    </row>
    <row r="8" spans="2:27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2"/>
      <c r="P8" s="2"/>
      <c r="Q8" s="2"/>
      <c r="R8" s="2"/>
      <c r="S8" s="2"/>
      <c r="T8" s="2"/>
      <c r="U8" s="2"/>
      <c r="V8" s="2"/>
      <c r="W8" s="2"/>
      <c r="X8" s="42"/>
      <c r="Y8" s="2"/>
      <c r="Z8" s="2"/>
      <c r="AA8" s="42"/>
    </row>
    <row r="10" spans="2:27" ht="18.75">
      <c r="B10" s="58" t="s">
        <v>80</v>
      </c>
      <c r="C10" s="45"/>
    </row>
    <row r="11" spans="2:27">
      <c r="B11" s="38" t="s">
        <v>79</v>
      </c>
      <c r="C11" s="46">
        <v>45383</v>
      </c>
      <c r="D11" s="42" t="s">
        <v>954</v>
      </c>
      <c r="E11" s="46">
        <v>45444</v>
      </c>
      <c r="F11" s="50" t="s">
        <v>955</v>
      </c>
      <c r="G11" s="46">
        <v>45505</v>
      </c>
      <c r="H11" s="46">
        <v>45536</v>
      </c>
      <c r="I11" s="46">
        <v>45566</v>
      </c>
      <c r="J11" s="46">
        <v>45597</v>
      </c>
      <c r="K11" s="46">
        <v>45627</v>
      </c>
      <c r="L11" s="46">
        <v>45658</v>
      </c>
      <c r="M11" s="46">
        <v>45689</v>
      </c>
      <c r="N11" s="46">
        <v>45717</v>
      </c>
      <c r="O11" s="52" t="s">
        <v>1388</v>
      </c>
      <c r="P11" s="53">
        <v>46113</v>
      </c>
      <c r="Q11" s="57" t="s">
        <v>1389</v>
      </c>
      <c r="R11" s="53">
        <v>46174</v>
      </c>
      <c r="S11" s="44" t="s">
        <v>1051</v>
      </c>
      <c r="T11" s="53">
        <v>46235</v>
      </c>
      <c r="U11" s="53">
        <v>46266</v>
      </c>
      <c r="V11" s="53">
        <v>46296</v>
      </c>
      <c r="W11" s="53">
        <v>46327</v>
      </c>
      <c r="X11" s="53">
        <v>46357</v>
      </c>
      <c r="Y11" s="53">
        <v>46388</v>
      </c>
      <c r="Z11" s="53">
        <v>46419</v>
      </c>
      <c r="AA11" s="53">
        <v>46447</v>
      </c>
    </row>
    <row r="12" spans="2:27" ht="15.75">
      <c r="B12" s="42"/>
      <c r="C12" s="42">
        <v>76985433.601999998</v>
      </c>
      <c r="D12" s="42">
        <v>73682752.429999992</v>
      </c>
      <c r="E12" s="41">
        <v>84421688.929999977</v>
      </c>
      <c r="F12" s="42">
        <v>87270138.169999987</v>
      </c>
      <c r="G12" s="2">
        <v>98165149.530000001</v>
      </c>
      <c r="H12" s="42">
        <v>114814124.31000002</v>
      </c>
      <c r="I12" s="51">
        <v>109540747</v>
      </c>
      <c r="J12" s="2">
        <v>92932582.599999994</v>
      </c>
      <c r="K12" s="51">
        <v>108764369.09000003</v>
      </c>
      <c r="L12" s="42">
        <v>116927959.07750003</v>
      </c>
      <c r="M12" s="51">
        <v>120356295.24000001</v>
      </c>
      <c r="N12" s="2">
        <v>124090516.08</v>
      </c>
      <c r="O12" s="56">
        <v>148327565.30999994</v>
      </c>
      <c r="P12" s="42">
        <v>164073549.10999995</v>
      </c>
      <c r="Q12" s="42">
        <v>148589896.81999999</v>
      </c>
      <c r="R12" s="42">
        <v>126348635.34999996</v>
      </c>
      <c r="S12" s="42">
        <v>164978889.33999994</v>
      </c>
      <c r="T12" s="42">
        <v>168277895.56999993</v>
      </c>
      <c r="U12" s="2"/>
      <c r="V12" s="42"/>
      <c r="W12" s="42"/>
      <c r="X12" s="42"/>
      <c r="Y12" s="42"/>
      <c r="Z12" s="42"/>
      <c r="AA12" s="42"/>
    </row>
    <row r="13" spans="2:27" s="43" customFormat="1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2"/>
      <c r="Q13" s="2"/>
      <c r="R13" s="2"/>
      <c r="S13" s="2"/>
      <c r="T13" s="2"/>
      <c r="U13" s="2"/>
      <c r="V13" s="2"/>
      <c r="W13" s="2"/>
      <c r="X13" s="42"/>
      <c r="Y13" s="2"/>
      <c r="Z13" s="2"/>
      <c r="AA13" s="42"/>
    </row>
    <row r="15" spans="2:27" ht="21">
      <c r="B15" s="59" t="s">
        <v>81</v>
      </c>
      <c r="C15" s="45"/>
    </row>
    <row r="16" spans="2:27">
      <c r="B16" s="38" t="s">
        <v>79</v>
      </c>
      <c r="C16" s="46">
        <v>45383</v>
      </c>
      <c r="D16" s="42" t="s">
        <v>954</v>
      </c>
      <c r="E16" s="46">
        <v>45444</v>
      </c>
      <c r="F16" s="50" t="s">
        <v>955</v>
      </c>
      <c r="G16" s="46">
        <v>45505</v>
      </c>
      <c r="H16" s="46">
        <v>45536</v>
      </c>
      <c r="I16" s="46">
        <v>45566</v>
      </c>
      <c r="J16" s="46">
        <v>45597</v>
      </c>
      <c r="K16" s="46">
        <v>45627</v>
      </c>
      <c r="L16" s="46">
        <v>45658</v>
      </c>
      <c r="M16" s="46">
        <v>45689</v>
      </c>
      <c r="N16" s="46">
        <v>45717</v>
      </c>
      <c r="O16" s="52" t="s">
        <v>1388</v>
      </c>
      <c r="P16" s="53">
        <v>46113</v>
      </c>
      <c r="Q16" s="57" t="s">
        <v>1389</v>
      </c>
      <c r="R16" s="53">
        <v>46174</v>
      </c>
      <c r="S16" s="44" t="s">
        <v>1051</v>
      </c>
      <c r="T16" s="53">
        <v>46235</v>
      </c>
      <c r="U16" s="53">
        <v>46266</v>
      </c>
      <c r="V16" s="53">
        <v>46296</v>
      </c>
      <c r="W16" s="53">
        <v>46327</v>
      </c>
      <c r="X16" s="53">
        <v>46357</v>
      </c>
      <c r="Y16" s="53">
        <v>46388</v>
      </c>
      <c r="Z16" s="53">
        <v>46419</v>
      </c>
      <c r="AA16" s="53">
        <v>46447</v>
      </c>
    </row>
    <row r="17" spans="2:27">
      <c r="B17" s="2"/>
      <c r="C17" s="2"/>
      <c r="D17" s="42"/>
      <c r="E17" s="2"/>
      <c r="F17" s="42"/>
      <c r="G17" s="2"/>
      <c r="H17" s="42"/>
      <c r="I17" s="2"/>
      <c r="J17" s="2"/>
      <c r="K17" s="2"/>
      <c r="L17" s="4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2"/>
      <c r="Y17" s="2"/>
      <c r="Z17" s="2"/>
      <c r="AA17" s="42"/>
    </row>
    <row r="18" spans="2:27" s="43" customFormat="1" ht="15.75">
      <c r="B18" s="42"/>
      <c r="C18" s="42">
        <v>11212573.930000002</v>
      </c>
      <c r="D18" s="42">
        <v>11398462.649999999</v>
      </c>
      <c r="E18" s="42">
        <v>11966097.779999999</v>
      </c>
      <c r="F18" s="42">
        <v>11807893</v>
      </c>
      <c r="G18" s="42">
        <v>12281942.99</v>
      </c>
      <c r="H18" s="42">
        <v>11290715.950000001</v>
      </c>
      <c r="I18" s="42">
        <v>11937270</v>
      </c>
      <c r="J18" s="42">
        <v>11725252.43</v>
      </c>
      <c r="K18" s="42">
        <v>11462964.34</v>
      </c>
      <c r="L18" s="42">
        <v>10929458.960000001</v>
      </c>
      <c r="M18" s="42">
        <v>11096994.66</v>
      </c>
      <c r="N18" s="42">
        <v>10973563.710000001</v>
      </c>
      <c r="O18" s="56">
        <v>12016717.750000002</v>
      </c>
      <c r="P18" s="42">
        <v>11825790.66</v>
      </c>
      <c r="Q18" s="42">
        <v>11949344.939999999</v>
      </c>
      <c r="R18" s="42">
        <v>11595085.74</v>
      </c>
      <c r="S18" s="42">
        <v>11999959.43</v>
      </c>
      <c r="T18" s="42">
        <v>12301950.48</v>
      </c>
      <c r="U18" s="2"/>
      <c r="V18" s="42"/>
      <c r="W18" s="42"/>
      <c r="X18" s="42"/>
      <c r="Y18" s="42"/>
      <c r="Z18" s="42"/>
      <c r="AA18" s="42"/>
    </row>
    <row r="20" spans="2:27">
      <c r="B20" s="47"/>
      <c r="C20" s="47"/>
      <c r="J20" s="47"/>
      <c r="K20" s="47"/>
    </row>
    <row r="21" spans="2:27">
      <c r="O21" s="47"/>
      <c r="P21" s="43"/>
    </row>
    <row r="22" spans="2:27">
      <c r="K22" s="47"/>
      <c r="O22" s="47"/>
    </row>
    <row r="23" spans="2:27">
      <c r="P23" s="4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1:B1298"/>
  <sheetViews>
    <sheetView workbookViewId="0">
      <selection activeCell="A1307" sqref="A1307"/>
    </sheetView>
  </sheetViews>
  <sheetFormatPr defaultRowHeight="12.75"/>
  <cols>
    <col min="1" max="1" width="42.5703125" style="1" customWidth="1"/>
    <col min="2" max="2" width="43.85546875" style="1" customWidth="1"/>
    <col min="3" max="16384" width="9.140625" style="1"/>
  </cols>
  <sheetData>
    <row r="1" spans="1:2">
      <c r="A1" s="60"/>
    </row>
    <row r="2" spans="1:2">
      <c r="A2" s="61"/>
    </row>
    <row r="3" spans="1:2">
      <c r="A3" s="60"/>
    </row>
    <row r="4" spans="1:2">
      <c r="A4" s="38" t="s">
        <v>82</v>
      </c>
      <c r="B4" s="38" t="s">
        <v>1318</v>
      </c>
    </row>
    <row r="5" spans="1:2" hidden="1">
      <c r="A5" s="62" t="s">
        <v>153</v>
      </c>
      <c r="B5" s="2" t="s">
        <v>84</v>
      </c>
    </row>
    <row r="6" spans="1:2" hidden="1">
      <c r="A6" s="62" t="s">
        <v>107</v>
      </c>
      <c r="B6" s="2" t="s">
        <v>84</v>
      </c>
    </row>
    <row r="7" spans="1:2" hidden="1">
      <c r="A7" s="62" t="s">
        <v>108</v>
      </c>
      <c r="B7" s="2" t="s">
        <v>84</v>
      </c>
    </row>
    <row r="8" spans="1:2" hidden="1">
      <c r="A8" s="62" t="s">
        <v>111</v>
      </c>
      <c r="B8" s="2" t="s">
        <v>84</v>
      </c>
    </row>
    <row r="9" spans="1:2" hidden="1">
      <c r="A9" s="62" t="s">
        <v>106</v>
      </c>
      <c r="B9" s="2" t="s">
        <v>84</v>
      </c>
    </row>
    <row r="10" spans="1:2" hidden="1">
      <c r="A10" s="62" t="s">
        <v>105</v>
      </c>
      <c r="B10" s="2" t="s">
        <v>84</v>
      </c>
    </row>
    <row r="11" spans="1:2" hidden="1">
      <c r="A11" s="62" t="s">
        <v>104</v>
      </c>
      <c r="B11" s="2" t="s">
        <v>84</v>
      </c>
    </row>
    <row r="12" spans="1:2" hidden="1">
      <c r="A12" s="62" t="s">
        <v>103</v>
      </c>
      <c r="B12" s="2" t="s">
        <v>84</v>
      </c>
    </row>
    <row r="13" spans="1:2" hidden="1">
      <c r="A13" s="62" t="s">
        <v>102</v>
      </c>
      <c r="B13" s="2" t="s">
        <v>84</v>
      </c>
    </row>
    <row r="14" spans="1:2" hidden="1">
      <c r="A14" s="62" t="s">
        <v>123</v>
      </c>
      <c r="B14" s="2" t="s">
        <v>84</v>
      </c>
    </row>
    <row r="15" spans="1:2" hidden="1">
      <c r="A15" s="62" t="s">
        <v>101</v>
      </c>
      <c r="B15" s="2" t="s">
        <v>84</v>
      </c>
    </row>
    <row r="16" spans="1:2" hidden="1">
      <c r="A16" s="62" t="s">
        <v>1278</v>
      </c>
      <c r="B16" s="2" t="s">
        <v>84</v>
      </c>
    </row>
    <row r="17" spans="1:2" hidden="1">
      <c r="A17" s="62" t="s">
        <v>1057</v>
      </c>
      <c r="B17" s="2" t="s">
        <v>84</v>
      </c>
    </row>
    <row r="18" spans="1:2" hidden="1">
      <c r="A18" s="62" t="s">
        <v>905</v>
      </c>
      <c r="B18" s="2" t="s">
        <v>84</v>
      </c>
    </row>
    <row r="19" spans="1:2" hidden="1">
      <c r="A19" s="62" t="s">
        <v>341</v>
      </c>
      <c r="B19" s="2" t="s">
        <v>84</v>
      </c>
    </row>
    <row r="20" spans="1:2" hidden="1">
      <c r="A20" s="62" t="s">
        <v>340</v>
      </c>
      <c r="B20" s="2" t="s">
        <v>84</v>
      </c>
    </row>
    <row r="21" spans="1:2" hidden="1">
      <c r="A21" s="62" t="s">
        <v>232</v>
      </c>
      <c r="B21" s="2" t="s">
        <v>84</v>
      </c>
    </row>
    <row r="22" spans="1:2" hidden="1">
      <c r="A22" s="62" t="s">
        <v>339</v>
      </c>
      <c r="B22" s="2" t="s">
        <v>84</v>
      </c>
    </row>
    <row r="23" spans="1:2" hidden="1">
      <c r="A23" s="62" t="s">
        <v>338</v>
      </c>
      <c r="B23" s="2" t="s">
        <v>84</v>
      </c>
    </row>
    <row r="24" spans="1:2" hidden="1">
      <c r="A24" s="62" t="s">
        <v>337</v>
      </c>
      <c r="B24" s="2" t="s">
        <v>84</v>
      </c>
    </row>
    <row r="25" spans="1:2" hidden="1">
      <c r="A25" s="62" t="s">
        <v>336</v>
      </c>
      <c r="B25" s="2" t="s">
        <v>84</v>
      </c>
    </row>
    <row r="26" spans="1:2" hidden="1">
      <c r="A26" s="62" t="s">
        <v>203</v>
      </c>
      <c r="B26" s="2" t="s">
        <v>84</v>
      </c>
    </row>
    <row r="27" spans="1:2" hidden="1">
      <c r="A27" s="62" t="s">
        <v>1130</v>
      </c>
      <c r="B27" s="2" t="s">
        <v>84</v>
      </c>
    </row>
    <row r="28" spans="1:2" hidden="1">
      <c r="A28" s="62" t="s">
        <v>283</v>
      </c>
      <c r="B28" s="2" t="s">
        <v>84</v>
      </c>
    </row>
    <row r="29" spans="1:2" hidden="1">
      <c r="A29" s="62" t="s">
        <v>308</v>
      </c>
      <c r="B29" s="2" t="s">
        <v>84</v>
      </c>
    </row>
    <row r="30" spans="1:2" hidden="1">
      <c r="A30" s="62" t="s">
        <v>309</v>
      </c>
      <c r="B30" s="2" t="s">
        <v>84</v>
      </c>
    </row>
    <row r="31" spans="1:2" hidden="1">
      <c r="A31" s="62" t="s">
        <v>310</v>
      </c>
      <c r="B31" s="2" t="s">
        <v>84</v>
      </c>
    </row>
    <row r="32" spans="1:2" hidden="1">
      <c r="A32" s="62" t="s">
        <v>311</v>
      </c>
      <c r="B32" s="2" t="s">
        <v>84</v>
      </c>
    </row>
    <row r="33" spans="1:2" hidden="1">
      <c r="A33" s="62" t="s">
        <v>312</v>
      </c>
      <c r="B33" s="2" t="s">
        <v>84</v>
      </c>
    </row>
    <row r="34" spans="1:2" hidden="1">
      <c r="A34" s="62" t="s">
        <v>947</v>
      </c>
      <c r="B34" s="2" t="s">
        <v>84</v>
      </c>
    </row>
    <row r="35" spans="1:2" hidden="1">
      <c r="A35" s="62" t="s">
        <v>1056</v>
      </c>
      <c r="B35" s="2" t="s">
        <v>84</v>
      </c>
    </row>
    <row r="36" spans="1:2" hidden="1">
      <c r="A36" s="62" t="s">
        <v>335</v>
      </c>
      <c r="B36" s="2" t="s">
        <v>84</v>
      </c>
    </row>
    <row r="37" spans="1:2" hidden="1">
      <c r="A37" s="62" t="s">
        <v>334</v>
      </c>
      <c r="B37" s="2" t="s">
        <v>84</v>
      </c>
    </row>
    <row r="38" spans="1:2" hidden="1">
      <c r="A38" s="62" t="s">
        <v>333</v>
      </c>
      <c r="B38" s="2" t="s">
        <v>84</v>
      </c>
    </row>
    <row r="39" spans="1:2" hidden="1">
      <c r="A39" s="62" t="s">
        <v>332</v>
      </c>
      <c r="B39" s="2" t="s">
        <v>84</v>
      </c>
    </row>
    <row r="40" spans="1:2" hidden="1">
      <c r="A40" s="62" t="s">
        <v>331</v>
      </c>
      <c r="B40" s="2" t="s">
        <v>84</v>
      </c>
    </row>
    <row r="41" spans="1:2" hidden="1">
      <c r="A41" s="62" t="s">
        <v>330</v>
      </c>
      <c r="B41" s="2" t="s">
        <v>84</v>
      </c>
    </row>
    <row r="42" spans="1:2" hidden="1">
      <c r="A42" s="62" t="s">
        <v>329</v>
      </c>
      <c r="B42" s="2" t="s">
        <v>84</v>
      </c>
    </row>
    <row r="43" spans="1:2" hidden="1">
      <c r="A43" s="62" t="s">
        <v>118</v>
      </c>
      <c r="B43" s="2" t="s">
        <v>84</v>
      </c>
    </row>
    <row r="44" spans="1:2" hidden="1">
      <c r="A44" s="62" t="s">
        <v>324</v>
      </c>
      <c r="B44" s="2" t="s">
        <v>84</v>
      </c>
    </row>
    <row r="45" spans="1:2" hidden="1">
      <c r="A45" s="62" t="s">
        <v>212</v>
      </c>
      <c r="B45" s="2" t="s">
        <v>84</v>
      </c>
    </row>
    <row r="46" spans="1:2" hidden="1">
      <c r="A46" s="62" t="s">
        <v>233</v>
      </c>
      <c r="B46" s="2" t="s">
        <v>84</v>
      </c>
    </row>
    <row r="47" spans="1:2" hidden="1">
      <c r="A47" s="62" t="s">
        <v>188</v>
      </c>
      <c r="B47" s="2" t="s">
        <v>84</v>
      </c>
    </row>
    <row r="48" spans="1:2" hidden="1">
      <c r="A48" s="62" t="s">
        <v>209</v>
      </c>
      <c r="B48" s="2" t="s">
        <v>84</v>
      </c>
    </row>
    <row r="49" spans="1:2" hidden="1">
      <c r="A49" s="62" t="s">
        <v>307</v>
      </c>
      <c r="B49" s="2" t="s">
        <v>84</v>
      </c>
    </row>
    <row r="50" spans="1:2" hidden="1">
      <c r="A50" s="62" t="s">
        <v>208</v>
      </c>
      <c r="B50" s="2" t="s">
        <v>84</v>
      </c>
    </row>
    <row r="51" spans="1:2" hidden="1">
      <c r="A51" s="62" t="s">
        <v>1233</v>
      </c>
      <c r="B51" s="2" t="s">
        <v>84</v>
      </c>
    </row>
    <row r="52" spans="1:2" hidden="1">
      <c r="A52" s="62" t="s">
        <v>277</v>
      </c>
      <c r="B52" s="2" t="s">
        <v>84</v>
      </c>
    </row>
    <row r="53" spans="1:2" hidden="1">
      <c r="A53" s="62" t="s">
        <v>157</v>
      </c>
      <c r="B53" s="2" t="s">
        <v>84</v>
      </c>
    </row>
    <row r="54" spans="1:2" hidden="1">
      <c r="A54" s="62" t="s">
        <v>975</v>
      </c>
      <c r="B54" s="2" t="s">
        <v>84</v>
      </c>
    </row>
    <row r="55" spans="1:2" hidden="1">
      <c r="A55" s="62" t="s">
        <v>1009</v>
      </c>
      <c r="B55" s="2" t="s">
        <v>84</v>
      </c>
    </row>
    <row r="56" spans="1:2" hidden="1">
      <c r="A56" s="62" t="s">
        <v>129</v>
      </c>
      <c r="B56" s="2" t="s">
        <v>84</v>
      </c>
    </row>
    <row r="57" spans="1:2" hidden="1">
      <c r="A57" s="62" t="s">
        <v>142</v>
      </c>
      <c r="B57" s="2" t="s">
        <v>84</v>
      </c>
    </row>
    <row r="58" spans="1:2" hidden="1">
      <c r="A58" s="62" t="s">
        <v>143</v>
      </c>
      <c r="B58" s="2" t="s">
        <v>84</v>
      </c>
    </row>
    <row r="59" spans="1:2" hidden="1">
      <c r="A59" s="62" t="s">
        <v>968</v>
      </c>
      <c r="B59" s="2" t="s">
        <v>84</v>
      </c>
    </row>
    <row r="60" spans="1:2" hidden="1">
      <c r="A60" s="62" t="s">
        <v>240</v>
      </c>
      <c r="B60" s="2" t="s">
        <v>84</v>
      </c>
    </row>
    <row r="61" spans="1:2" hidden="1">
      <c r="A61" s="62" t="s">
        <v>181</v>
      </c>
      <c r="B61" s="2" t="s">
        <v>84</v>
      </c>
    </row>
    <row r="62" spans="1:2" hidden="1">
      <c r="A62" s="62" t="s">
        <v>1111</v>
      </c>
      <c r="B62" s="2" t="s">
        <v>84</v>
      </c>
    </row>
    <row r="63" spans="1:2" hidden="1">
      <c r="A63" s="62" t="s">
        <v>287</v>
      </c>
      <c r="B63" s="2" t="s">
        <v>84</v>
      </c>
    </row>
    <row r="64" spans="1:2" hidden="1">
      <c r="A64" s="62" t="s">
        <v>145</v>
      </c>
      <c r="B64" s="2" t="s">
        <v>84</v>
      </c>
    </row>
    <row r="65" spans="1:2" hidden="1">
      <c r="A65" s="62" t="s">
        <v>917</v>
      </c>
      <c r="B65" s="2" t="s">
        <v>84</v>
      </c>
    </row>
    <row r="66" spans="1:2" hidden="1">
      <c r="A66" s="62" t="s">
        <v>183</v>
      </c>
      <c r="B66" s="2" t="s">
        <v>84</v>
      </c>
    </row>
    <row r="67" spans="1:2" hidden="1">
      <c r="A67" s="62" t="s">
        <v>186</v>
      </c>
      <c r="B67" s="2" t="s">
        <v>84</v>
      </c>
    </row>
    <row r="68" spans="1:2" hidden="1">
      <c r="A68" s="62" t="s">
        <v>1082</v>
      </c>
      <c r="B68" s="2" t="s">
        <v>84</v>
      </c>
    </row>
    <row r="69" spans="1:2" hidden="1">
      <c r="A69" s="62" t="s">
        <v>192</v>
      </c>
      <c r="B69" s="2" t="s">
        <v>84</v>
      </c>
    </row>
    <row r="70" spans="1:2" hidden="1">
      <c r="A70" s="62" t="s">
        <v>196</v>
      </c>
      <c r="B70" s="2" t="s">
        <v>84</v>
      </c>
    </row>
    <row r="71" spans="1:2" hidden="1">
      <c r="A71" s="62" t="s">
        <v>197</v>
      </c>
      <c r="B71" s="2" t="s">
        <v>84</v>
      </c>
    </row>
    <row r="72" spans="1:2" hidden="1">
      <c r="A72" s="62" t="s">
        <v>1053</v>
      </c>
      <c r="B72" s="2" t="s">
        <v>84</v>
      </c>
    </row>
    <row r="73" spans="1:2" hidden="1">
      <c r="A73" s="62" t="s">
        <v>198</v>
      </c>
      <c r="B73" s="2" t="s">
        <v>84</v>
      </c>
    </row>
    <row r="74" spans="1:2" hidden="1">
      <c r="A74" s="62" t="s">
        <v>1328</v>
      </c>
      <c r="B74" s="2" t="s">
        <v>84</v>
      </c>
    </row>
    <row r="75" spans="1:2" hidden="1">
      <c r="A75" s="62" t="s">
        <v>855</v>
      </c>
      <c r="B75" s="2" t="s">
        <v>84</v>
      </c>
    </row>
    <row r="76" spans="1:2" hidden="1">
      <c r="A76" s="62" t="s">
        <v>201</v>
      </c>
      <c r="B76" s="2" t="s">
        <v>84</v>
      </c>
    </row>
    <row r="77" spans="1:2" hidden="1">
      <c r="A77" s="62" t="s">
        <v>210</v>
      </c>
      <c r="B77" s="2" t="s">
        <v>84</v>
      </c>
    </row>
    <row r="78" spans="1:2" hidden="1">
      <c r="A78" s="62" t="s">
        <v>211</v>
      </c>
      <c r="B78" s="2" t="s">
        <v>84</v>
      </c>
    </row>
    <row r="79" spans="1:2" hidden="1">
      <c r="A79" s="62" t="s">
        <v>1279</v>
      </c>
      <c r="B79" s="2" t="s">
        <v>84</v>
      </c>
    </row>
    <row r="80" spans="1:2" hidden="1">
      <c r="A80" s="62" t="s">
        <v>85</v>
      </c>
      <c r="B80" s="2" t="s">
        <v>84</v>
      </c>
    </row>
    <row r="81" spans="1:2" hidden="1">
      <c r="A81" s="62" t="s">
        <v>320</v>
      </c>
      <c r="B81" s="2" t="s">
        <v>84</v>
      </c>
    </row>
    <row r="82" spans="1:2" hidden="1">
      <c r="A82" s="62" t="s">
        <v>946</v>
      </c>
      <c r="B82" s="2" t="s">
        <v>84</v>
      </c>
    </row>
    <row r="83" spans="1:2" hidden="1">
      <c r="A83" s="62" t="s">
        <v>117</v>
      </c>
      <c r="B83" s="2" t="s">
        <v>84</v>
      </c>
    </row>
    <row r="84" spans="1:2" hidden="1">
      <c r="A84" s="62" t="s">
        <v>97</v>
      </c>
      <c r="B84" s="2" t="s">
        <v>84</v>
      </c>
    </row>
    <row r="85" spans="1:2" hidden="1">
      <c r="A85" s="62" t="s">
        <v>934</v>
      </c>
      <c r="B85" s="2" t="s">
        <v>84</v>
      </c>
    </row>
    <row r="86" spans="1:2" hidden="1">
      <c r="A86" s="62" t="s">
        <v>109</v>
      </c>
      <c r="B86" s="2" t="s">
        <v>84</v>
      </c>
    </row>
    <row r="87" spans="1:2" hidden="1">
      <c r="A87" s="62" t="s">
        <v>110</v>
      </c>
      <c r="B87" s="2" t="s">
        <v>84</v>
      </c>
    </row>
    <row r="88" spans="1:2" hidden="1">
      <c r="A88" s="62" t="s">
        <v>1326</v>
      </c>
      <c r="B88" s="2" t="s">
        <v>84</v>
      </c>
    </row>
    <row r="89" spans="1:2" hidden="1">
      <c r="A89" s="62" t="s">
        <v>973</v>
      </c>
      <c r="B89" s="2" t="s">
        <v>84</v>
      </c>
    </row>
    <row r="90" spans="1:2" hidden="1">
      <c r="A90" s="62" t="s">
        <v>967</v>
      </c>
      <c r="B90" s="2" t="s">
        <v>84</v>
      </c>
    </row>
    <row r="91" spans="1:2" hidden="1">
      <c r="A91" s="62" t="s">
        <v>229</v>
      </c>
      <c r="B91" s="2" t="s">
        <v>84</v>
      </c>
    </row>
    <row r="92" spans="1:2" hidden="1">
      <c r="A92" s="62" t="s">
        <v>236</v>
      </c>
      <c r="B92" s="2" t="s">
        <v>84</v>
      </c>
    </row>
    <row r="93" spans="1:2" hidden="1">
      <c r="A93" s="62" t="s">
        <v>234</v>
      </c>
      <c r="B93" s="2" t="s">
        <v>84</v>
      </c>
    </row>
    <row r="94" spans="1:2" hidden="1">
      <c r="A94" s="62" t="s">
        <v>1307</v>
      </c>
      <c r="B94" s="2" t="s">
        <v>84</v>
      </c>
    </row>
    <row r="95" spans="1:2" hidden="1">
      <c r="A95" s="62" t="s">
        <v>1083</v>
      </c>
      <c r="B95" s="2" t="s">
        <v>84</v>
      </c>
    </row>
    <row r="96" spans="1:2" hidden="1">
      <c r="A96" s="62" t="s">
        <v>1054</v>
      </c>
      <c r="B96" s="2" t="s">
        <v>84</v>
      </c>
    </row>
    <row r="97" spans="1:2" hidden="1">
      <c r="A97" s="62" t="s">
        <v>237</v>
      </c>
      <c r="B97" s="2" t="s">
        <v>84</v>
      </c>
    </row>
    <row r="98" spans="1:2" hidden="1">
      <c r="A98" s="62" t="s">
        <v>1112</v>
      </c>
      <c r="B98" s="2" t="s">
        <v>84</v>
      </c>
    </row>
    <row r="99" spans="1:2" hidden="1">
      <c r="A99" s="62" t="s">
        <v>114</v>
      </c>
      <c r="B99" s="2" t="s">
        <v>84</v>
      </c>
    </row>
    <row r="100" spans="1:2" hidden="1">
      <c r="A100" s="62" t="s">
        <v>1008</v>
      </c>
      <c r="B100" s="2" t="s">
        <v>84</v>
      </c>
    </row>
    <row r="101" spans="1:2" hidden="1">
      <c r="A101" s="62" t="s">
        <v>1173</v>
      </c>
      <c r="B101" s="2" t="s">
        <v>84</v>
      </c>
    </row>
    <row r="102" spans="1:2" hidden="1">
      <c r="A102" s="62" t="s">
        <v>1080</v>
      </c>
      <c r="B102" s="2" t="s">
        <v>84</v>
      </c>
    </row>
    <row r="103" spans="1:2" hidden="1">
      <c r="A103" s="62" t="s">
        <v>180</v>
      </c>
      <c r="B103" s="2" t="s">
        <v>84</v>
      </c>
    </row>
    <row r="104" spans="1:2" hidden="1">
      <c r="A104" s="62" t="s">
        <v>1280</v>
      </c>
      <c r="B104" s="2" t="s">
        <v>84</v>
      </c>
    </row>
    <row r="105" spans="1:2" hidden="1">
      <c r="A105" s="62" t="s">
        <v>89</v>
      </c>
      <c r="B105" s="2" t="s">
        <v>84</v>
      </c>
    </row>
    <row r="106" spans="1:2" hidden="1">
      <c r="A106" s="62" t="s">
        <v>1110</v>
      </c>
      <c r="B106" s="2" t="s">
        <v>84</v>
      </c>
    </row>
    <row r="107" spans="1:2" hidden="1">
      <c r="A107" s="62" t="s">
        <v>93</v>
      </c>
      <c r="B107" s="2" t="s">
        <v>84</v>
      </c>
    </row>
    <row r="108" spans="1:2" hidden="1">
      <c r="A108" s="62" t="s">
        <v>1348</v>
      </c>
      <c r="B108" s="2" t="s">
        <v>84</v>
      </c>
    </row>
    <row r="109" spans="1:2" hidden="1">
      <c r="A109" s="62" t="s">
        <v>95</v>
      </c>
      <c r="B109" s="2" t="s">
        <v>84</v>
      </c>
    </row>
    <row r="110" spans="1:2" hidden="1">
      <c r="A110" s="62" t="s">
        <v>94</v>
      </c>
      <c r="B110" s="2" t="s">
        <v>84</v>
      </c>
    </row>
    <row r="111" spans="1:2" hidden="1">
      <c r="A111" s="62" t="s">
        <v>220</v>
      </c>
      <c r="B111" s="2" t="s">
        <v>84</v>
      </c>
    </row>
    <row r="112" spans="1:2" hidden="1">
      <c r="A112" s="62" t="s">
        <v>221</v>
      </c>
      <c r="B112" s="2" t="s">
        <v>84</v>
      </c>
    </row>
    <row r="113" spans="1:2" hidden="1">
      <c r="A113" s="62" t="s">
        <v>997</v>
      </c>
      <c r="B113" s="2" t="s">
        <v>84</v>
      </c>
    </row>
    <row r="114" spans="1:2" hidden="1">
      <c r="A114" s="62" t="s">
        <v>278</v>
      </c>
      <c r="B114" s="2" t="s">
        <v>84</v>
      </c>
    </row>
    <row r="115" spans="1:2" hidden="1">
      <c r="A115" s="62" t="s">
        <v>279</v>
      </c>
      <c r="B115" s="2" t="s">
        <v>84</v>
      </c>
    </row>
    <row r="116" spans="1:2" hidden="1">
      <c r="A116" s="62" t="s">
        <v>280</v>
      </c>
      <c r="B116" s="2" t="s">
        <v>84</v>
      </c>
    </row>
    <row r="117" spans="1:2" hidden="1">
      <c r="A117" s="62" t="s">
        <v>281</v>
      </c>
      <c r="B117" s="2" t="s">
        <v>84</v>
      </c>
    </row>
    <row r="118" spans="1:2" hidden="1">
      <c r="A118" s="62" t="s">
        <v>282</v>
      </c>
      <c r="B118" s="2" t="s">
        <v>84</v>
      </c>
    </row>
    <row r="119" spans="1:2" hidden="1">
      <c r="A119" s="62" t="s">
        <v>284</v>
      </c>
      <c r="B119" s="2" t="s">
        <v>84</v>
      </c>
    </row>
    <row r="120" spans="1:2" hidden="1">
      <c r="A120" s="62" t="s">
        <v>998</v>
      </c>
      <c r="B120" s="2" t="s">
        <v>84</v>
      </c>
    </row>
    <row r="121" spans="1:2" hidden="1">
      <c r="A121" s="62" t="s">
        <v>222</v>
      </c>
      <c r="B121" s="2" t="s">
        <v>84</v>
      </c>
    </row>
    <row r="122" spans="1:2" hidden="1">
      <c r="A122" s="62" t="s">
        <v>223</v>
      </c>
      <c r="B122" s="2" t="s">
        <v>84</v>
      </c>
    </row>
    <row r="123" spans="1:2" hidden="1">
      <c r="A123" s="62" t="s">
        <v>1329</v>
      </c>
      <c r="B123" s="2" t="s">
        <v>84</v>
      </c>
    </row>
    <row r="124" spans="1:2" hidden="1">
      <c r="A124" s="62" t="s">
        <v>226</v>
      </c>
      <c r="B124" s="2" t="s">
        <v>84</v>
      </c>
    </row>
    <row r="125" spans="1:2" hidden="1">
      <c r="A125" s="62" t="s">
        <v>856</v>
      </c>
      <c r="B125" s="2" t="s">
        <v>84</v>
      </c>
    </row>
    <row r="126" spans="1:2" hidden="1">
      <c r="A126" s="62" t="s">
        <v>1084</v>
      </c>
      <c r="B126" s="2" t="s">
        <v>84</v>
      </c>
    </row>
    <row r="127" spans="1:2" hidden="1">
      <c r="A127" s="62" t="s">
        <v>251</v>
      </c>
      <c r="B127" s="2" t="s">
        <v>84</v>
      </c>
    </row>
    <row r="128" spans="1:2" hidden="1">
      <c r="A128" s="62" t="s">
        <v>262</v>
      </c>
      <c r="B128" s="2" t="s">
        <v>84</v>
      </c>
    </row>
    <row r="129" spans="1:2" hidden="1">
      <c r="A129" s="62" t="s">
        <v>263</v>
      </c>
      <c r="B129" s="2" t="s">
        <v>84</v>
      </c>
    </row>
    <row r="130" spans="1:2" hidden="1">
      <c r="A130" s="62" t="s">
        <v>264</v>
      </c>
      <c r="B130" s="2" t="s">
        <v>84</v>
      </c>
    </row>
    <row r="131" spans="1:2" hidden="1">
      <c r="A131" s="62" t="s">
        <v>265</v>
      </c>
      <c r="B131" s="2" t="s">
        <v>84</v>
      </c>
    </row>
    <row r="132" spans="1:2" hidden="1">
      <c r="A132" s="62" t="s">
        <v>213</v>
      </c>
      <c r="B132" s="2" t="s">
        <v>84</v>
      </c>
    </row>
    <row r="133" spans="1:2" hidden="1">
      <c r="A133" s="62" t="s">
        <v>1129</v>
      </c>
      <c r="B133" s="2" t="s">
        <v>84</v>
      </c>
    </row>
    <row r="134" spans="1:2" hidden="1">
      <c r="A134" s="62" t="s">
        <v>316</v>
      </c>
      <c r="B134" s="2" t="s">
        <v>84</v>
      </c>
    </row>
    <row r="135" spans="1:2" hidden="1">
      <c r="A135" s="62" t="s">
        <v>1030</v>
      </c>
      <c r="B135" s="2" t="s">
        <v>84</v>
      </c>
    </row>
    <row r="136" spans="1:2" hidden="1">
      <c r="A136" s="62" t="s">
        <v>1113</v>
      </c>
      <c r="B136" s="2" t="s">
        <v>84</v>
      </c>
    </row>
    <row r="137" spans="1:2" hidden="1">
      <c r="A137" s="62" t="s">
        <v>884</v>
      </c>
      <c r="B137" s="2" t="s">
        <v>84</v>
      </c>
    </row>
    <row r="138" spans="1:2" hidden="1">
      <c r="A138" s="62" t="s">
        <v>999</v>
      </c>
      <c r="B138" s="2" t="s">
        <v>84</v>
      </c>
    </row>
    <row r="139" spans="1:2" hidden="1">
      <c r="A139" s="62" t="s">
        <v>328</v>
      </c>
      <c r="B139" s="2" t="s">
        <v>84</v>
      </c>
    </row>
    <row r="140" spans="1:2" hidden="1">
      <c r="A140" s="62" t="s">
        <v>921</v>
      </c>
      <c r="B140" s="2" t="s">
        <v>84</v>
      </c>
    </row>
    <row r="141" spans="1:2" hidden="1">
      <c r="A141" s="62" t="s">
        <v>1021</v>
      </c>
      <c r="B141" s="2" t="s">
        <v>84</v>
      </c>
    </row>
    <row r="142" spans="1:2" hidden="1">
      <c r="A142" s="62" t="s">
        <v>1255</v>
      </c>
      <c r="B142" s="2" t="s">
        <v>84</v>
      </c>
    </row>
    <row r="143" spans="1:2" hidden="1">
      <c r="A143" s="62" t="s">
        <v>1010</v>
      </c>
      <c r="B143" s="2" t="s">
        <v>84</v>
      </c>
    </row>
    <row r="144" spans="1:2" hidden="1">
      <c r="A144" s="62" t="s">
        <v>214</v>
      </c>
      <c r="B144" s="2" t="s">
        <v>84</v>
      </c>
    </row>
    <row r="145" spans="1:2" hidden="1">
      <c r="A145" s="62" t="s">
        <v>215</v>
      </c>
      <c r="B145" s="2" t="s">
        <v>84</v>
      </c>
    </row>
    <row r="146" spans="1:2" hidden="1">
      <c r="A146" s="62" t="s">
        <v>266</v>
      </c>
      <c r="B146" s="2" t="s">
        <v>84</v>
      </c>
    </row>
    <row r="147" spans="1:2" hidden="1">
      <c r="A147" s="62" t="s">
        <v>83</v>
      </c>
      <c r="B147" s="2" t="s">
        <v>84</v>
      </c>
    </row>
    <row r="148" spans="1:2" hidden="1">
      <c r="A148" s="62" t="s">
        <v>88</v>
      </c>
      <c r="B148" s="2" t="s">
        <v>84</v>
      </c>
    </row>
    <row r="149" spans="1:2" hidden="1">
      <c r="A149" s="62" t="s">
        <v>90</v>
      </c>
      <c r="B149" s="2" t="s">
        <v>84</v>
      </c>
    </row>
    <row r="150" spans="1:2" hidden="1">
      <c r="A150" s="62" t="s">
        <v>96</v>
      </c>
      <c r="B150" s="2" t="s">
        <v>84</v>
      </c>
    </row>
    <row r="151" spans="1:2" hidden="1">
      <c r="A151" s="62" t="s">
        <v>1281</v>
      </c>
      <c r="B151" s="2" t="s">
        <v>84</v>
      </c>
    </row>
    <row r="152" spans="1:2" hidden="1">
      <c r="A152" s="62" t="s">
        <v>98</v>
      </c>
      <c r="B152" s="2" t="s">
        <v>84</v>
      </c>
    </row>
    <row r="153" spans="1:2" hidden="1">
      <c r="A153" s="62" t="s">
        <v>100</v>
      </c>
      <c r="B153" s="2" t="s">
        <v>84</v>
      </c>
    </row>
    <row r="154" spans="1:2" hidden="1">
      <c r="A154" s="62" t="s">
        <v>974</v>
      </c>
      <c r="B154" s="2" t="s">
        <v>84</v>
      </c>
    </row>
    <row r="155" spans="1:2" hidden="1">
      <c r="A155" s="62" t="s">
        <v>113</v>
      </c>
      <c r="B155" s="2" t="s">
        <v>84</v>
      </c>
    </row>
    <row r="156" spans="1:2" hidden="1">
      <c r="A156" s="62" t="s">
        <v>120</v>
      </c>
      <c r="B156" s="2" t="s">
        <v>84</v>
      </c>
    </row>
    <row r="157" spans="1:2" hidden="1">
      <c r="A157" s="62" t="s">
        <v>1330</v>
      </c>
      <c r="B157" s="2" t="s">
        <v>84</v>
      </c>
    </row>
    <row r="158" spans="1:2" hidden="1">
      <c r="A158" s="62" t="s">
        <v>892</v>
      </c>
      <c r="B158" s="2" t="s">
        <v>84</v>
      </c>
    </row>
    <row r="159" spans="1:2" hidden="1">
      <c r="A159" s="62" t="s">
        <v>893</v>
      </c>
      <c r="B159" s="2" t="s">
        <v>84</v>
      </c>
    </row>
    <row r="160" spans="1:2" hidden="1">
      <c r="A160" s="62" t="s">
        <v>121</v>
      </c>
      <c r="B160" s="2" t="s">
        <v>84</v>
      </c>
    </row>
    <row r="161" spans="1:2" hidden="1">
      <c r="A161" s="62" t="s">
        <v>122</v>
      </c>
      <c r="B161" s="2" t="s">
        <v>84</v>
      </c>
    </row>
    <row r="162" spans="1:2" hidden="1">
      <c r="A162" s="62" t="s">
        <v>1085</v>
      </c>
      <c r="B162" s="2" t="s">
        <v>84</v>
      </c>
    </row>
    <row r="163" spans="1:2" hidden="1">
      <c r="A163" s="62" t="s">
        <v>216</v>
      </c>
      <c r="B163" s="2" t="s">
        <v>84</v>
      </c>
    </row>
    <row r="164" spans="1:2" hidden="1">
      <c r="A164" s="62" t="s">
        <v>273</v>
      </c>
      <c r="B164" s="2" t="s">
        <v>84</v>
      </c>
    </row>
    <row r="165" spans="1:2" hidden="1">
      <c r="A165" s="62" t="s">
        <v>292</v>
      </c>
      <c r="B165" s="2" t="s">
        <v>84</v>
      </c>
    </row>
    <row r="166" spans="1:2" hidden="1">
      <c r="A166" s="62" t="s">
        <v>957</v>
      </c>
      <c r="B166" s="2" t="s">
        <v>84</v>
      </c>
    </row>
    <row r="167" spans="1:2" hidden="1">
      <c r="A167" s="62" t="s">
        <v>1002</v>
      </c>
      <c r="B167" s="2" t="s">
        <v>84</v>
      </c>
    </row>
    <row r="168" spans="1:2" hidden="1">
      <c r="A168" s="62" t="s">
        <v>138</v>
      </c>
      <c r="B168" s="2" t="s">
        <v>84</v>
      </c>
    </row>
    <row r="169" spans="1:2" hidden="1">
      <c r="A169" s="62" t="s">
        <v>152</v>
      </c>
      <c r="B169" s="2" t="s">
        <v>84</v>
      </c>
    </row>
    <row r="170" spans="1:2" hidden="1">
      <c r="A170" s="62" t="s">
        <v>894</v>
      </c>
      <c r="B170" s="2" t="s">
        <v>84</v>
      </c>
    </row>
    <row r="171" spans="1:2" hidden="1">
      <c r="A171" s="62" t="s">
        <v>154</v>
      </c>
      <c r="B171" s="2" t="s">
        <v>84</v>
      </c>
    </row>
    <row r="172" spans="1:2" hidden="1">
      <c r="A172" s="62" t="s">
        <v>165</v>
      </c>
      <c r="B172" s="2" t="s">
        <v>84</v>
      </c>
    </row>
    <row r="173" spans="1:2" hidden="1">
      <c r="A173" s="62" t="s">
        <v>158</v>
      </c>
      <c r="B173" s="2" t="s">
        <v>84</v>
      </c>
    </row>
    <row r="174" spans="1:2" hidden="1">
      <c r="A174" s="62" t="s">
        <v>169</v>
      </c>
      <c r="B174" s="2" t="s">
        <v>84</v>
      </c>
    </row>
    <row r="175" spans="1:2" hidden="1">
      <c r="A175" s="62" t="s">
        <v>174</v>
      </c>
      <c r="B175" s="2" t="s">
        <v>84</v>
      </c>
    </row>
    <row r="176" spans="1:2" hidden="1">
      <c r="A176" s="62" t="s">
        <v>1349</v>
      </c>
      <c r="B176" s="2" t="s">
        <v>84</v>
      </c>
    </row>
    <row r="177" spans="1:2" hidden="1">
      <c r="A177" s="62" t="s">
        <v>1081</v>
      </c>
      <c r="B177" s="2" t="s">
        <v>84</v>
      </c>
    </row>
    <row r="178" spans="1:2" hidden="1">
      <c r="A178" s="62" t="s">
        <v>956</v>
      </c>
      <c r="B178" s="2" t="s">
        <v>84</v>
      </c>
    </row>
    <row r="179" spans="1:2" hidden="1">
      <c r="A179" s="62" t="s">
        <v>185</v>
      </c>
      <c r="B179" s="2" t="s">
        <v>84</v>
      </c>
    </row>
    <row r="180" spans="1:2" hidden="1">
      <c r="A180" s="62" t="s">
        <v>184</v>
      </c>
      <c r="B180" s="2" t="s">
        <v>84</v>
      </c>
    </row>
    <row r="181" spans="1:2" hidden="1">
      <c r="A181" s="62" t="s">
        <v>194</v>
      </c>
      <c r="B181" s="2" t="s">
        <v>84</v>
      </c>
    </row>
    <row r="182" spans="1:2" hidden="1">
      <c r="A182" s="62" t="s">
        <v>193</v>
      </c>
      <c r="B182" s="2" t="s">
        <v>84</v>
      </c>
    </row>
    <row r="183" spans="1:2" hidden="1">
      <c r="A183" s="62" t="s">
        <v>189</v>
      </c>
      <c r="B183" s="2" t="s">
        <v>84</v>
      </c>
    </row>
    <row r="184" spans="1:2" hidden="1">
      <c r="A184" s="62" t="s">
        <v>190</v>
      </c>
      <c r="B184" s="2" t="s">
        <v>84</v>
      </c>
    </row>
    <row r="185" spans="1:2" hidden="1">
      <c r="A185" s="62" t="s">
        <v>199</v>
      </c>
      <c r="B185" s="2" t="s">
        <v>84</v>
      </c>
    </row>
    <row r="186" spans="1:2" hidden="1">
      <c r="A186" s="62" t="s">
        <v>200</v>
      </c>
      <c r="B186" s="2" t="s">
        <v>84</v>
      </c>
    </row>
    <row r="187" spans="1:2" hidden="1">
      <c r="A187" s="62" t="s">
        <v>217</v>
      </c>
      <c r="B187" s="2" t="s">
        <v>84</v>
      </c>
    </row>
    <row r="188" spans="1:2" hidden="1">
      <c r="A188" s="62" t="s">
        <v>218</v>
      </c>
      <c r="B188" s="2" t="s">
        <v>84</v>
      </c>
    </row>
    <row r="189" spans="1:2" hidden="1">
      <c r="A189" s="62" t="s">
        <v>219</v>
      </c>
      <c r="B189" s="2" t="s">
        <v>84</v>
      </c>
    </row>
    <row r="190" spans="1:2" hidden="1">
      <c r="A190" s="62" t="s">
        <v>969</v>
      </c>
      <c r="B190" s="2" t="s">
        <v>84</v>
      </c>
    </row>
    <row r="191" spans="1:2" hidden="1">
      <c r="A191" s="62" t="s">
        <v>225</v>
      </c>
      <c r="B191" s="2" t="s">
        <v>84</v>
      </c>
    </row>
    <row r="192" spans="1:2" hidden="1">
      <c r="A192" s="62" t="s">
        <v>224</v>
      </c>
      <c r="B192" s="2" t="s">
        <v>84</v>
      </c>
    </row>
    <row r="193" spans="1:2" hidden="1">
      <c r="A193" s="62" t="s">
        <v>227</v>
      </c>
      <c r="B193" s="2" t="s">
        <v>84</v>
      </c>
    </row>
    <row r="194" spans="1:2" hidden="1">
      <c r="A194" s="62" t="s">
        <v>230</v>
      </c>
      <c r="B194" s="2" t="s">
        <v>84</v>
      </c>
    </row>
    <row r="195" spans="1:2" hidden="1">
      <c r="A195" s="62" t="s">
        <v>863</v>
      </c>
      <c r="B195" s="2" t="s">
        <v>84</v>
      </c>
    </row>
    <row r="196" spans="1:2" hidden="1">
      <c r="A196" s="62" t="s">
        <v>976</v>
      </c>
      <c r="B196" s="2" t="s">
        <v>84</v>
      </c>
    </row>
    <row r="197" spans="1:2" hidden="1">
      <c r="A197" s="62" t="s">
        <v>235</v>
      </c>
      <c r="B197" s="2" t="s">
        <v>84</v>
      </c>
    </row>
    <row r="198" spans="1:2" hidden="1">
      <c r="A198" s="62" t="s">
        <v>1174</v>
      </c>
      <c r="B198" s="2" t="s">
        <v>84</v>
      </c>
    </row>
    <row r="199" spans="1:2" hidden="1">
      <c r="A199" s="62" t="s">
        <v>238</v>
      </c>
      <c r="B199" s="2" t="s">
        <v>84</v>
      </c>
    </row>
    <row r="200" spans="1:2" hidden="1">
      <c r="A200" s="62" t="s">
        <v>918</v>
      </c>
      <c r="B200" s="2" t="s">
        <v>84</v>
      </c>
    </row>
    <row r="201" spans="1:2" hidden="1">
      <c r="A201" s="62" t="s">
        <v>920</v>
      </c>
      <c r="B201" s="2" t="s">
        <v>84</v>
      </c>
    </row>
    <row r="202" spans="1:2" hidden="1">
      <c r="A202" s="62" t="s">
        <v>299</v>
      </c>
      <c r="B202" s="2" t="s">
        <v>84</v>
      </c>
    </row>
    <row r="203" spans="1:2" hidden="1">
      <c r="A203" s="62" t="s">
        <v>302</v>
      </c>
      <c r="B203" s="2" t="s">
        <v>84</v>
      </c>
    </row>
    <row r="204" spans="1:2" hidden="1">
      <c r="A204" s="62" t="s">
        <v>313</v>
      </c>
      <c r="B204" s="2" t="s">
        <v>84</v>
      </c>
    </row>
    <row r="205" spans="1:2" hidden="1">
      <c r="A205" s="62" t="s">
        <v>314</v>
      </c>
      <c r="B205" s="2" t="s">
        <v>84</v>
      </c>
    </row>
    <row r="206" spans="1:2" hidden="1">
      <c r="A206" s="62" t="s">
        <v>1156</v>
      </c>
      <c r="B206" s="2" t="s">
        <v>84</v>
      </c>
    </row>
    <row r="207" spans="1:2" hidden="1">
      <c r="A207" s="62" t="s">
        <v>1029</v>
      </c>
      <c r="B207" s="2" t="s">
        <v>84</v>
      </c>
    </row>
    <row r="208" spans="1:2" hidden="1">
      <c r="A208" s="62" t="s">
        <v>315</v>
      </c>
      <c r="B208" s="2" t="s">
        <v>84</v>
      </c>
    </row>
    <row r="209" spans="1:2" hidden="1">
      <c r="A209" s="62" t="s">
        <v>1055</v>
      </c>
      <c r="B209" s="2" t="s">
        <v>84</v>
      </c>
    </row>
    <row r="210" spans="1:2" hidden="1">
      <c r="A210" s="62" t="s">
        <v>350</v>
      </c>
      <c r="B210" s="2" t="s">
        <v>84</v>
      </c>
    </row>
    <row r="211" spans="1:2" hidden="1">
      <c r="A211" s="62" t="s">
        <v>351</v>
      </c>
      <c r="B211" s="2" t="s">
        <v>84</v>
      </c>
    </row>
    <row r="212" spans="1:2" hidden="1">
      <c r="A212" s="62" t="s">
        <v>1058</v>
      </c>
      <c r="B212" s="2" t="s">
        <v>84</v>
      </c>
    </row>
    <row r="213" spans="1:2" hidden="1">
      <c r="A213" s="62" t="s">
        <v>922</v>
      </c>
      <c r="B213" s="2" t="s">
        <v>84</v>
      </c>
    </row>
    <row r="214" spans="1:2" hidden="1">
      <c r="A214" s="62" t="s">
        <v>271</v>
      </c>
      <c r="B214" s="2" t="s">
        <v>84</v>
      </c>
    </row>
    <row r="215" spans="1:2" hidden="1">
      <c r="A215" s="62" t="s">
        <v>1011</v>
      </c>
      <c r="B215" s="2" t="s">
        <v>84</v>
      </c>
    </row>
    <row r="216" spans="1:2" hidden="1">
      <c r="A216" s="62" t="s">
        <v>275</v>
      </c>
      <c r="B216" s="2" t="s">
        <v>84</v>
      </c>
    </row>
    <row r="217" spans="1:2" hidden="1">
      <c r="A217" s="62" t="s">
        <v>272</v>
      </c>
      <c r="B217" s="2" t="s">
        <v>84</v>
      </c>
    </row>
    <row r="218" spans="1:2" hidden="1">
      <c r="A218" s="62" t="s">
        <v>134</v>
      </c>
      <c r="B218" s="2" t="s">
        <v>84</v>
      </c>
    </row>
    <row r="219" spans="1:2" hidden="1">
      <c r="A219" s="62" t="s">
        <v>135</v>
      </c>
      <c r="B219" s="2" t="s">
        <v>84</v>
      </c>
    </row>
    <row r="220" spans="1:2" hidden="1">
      <c r="A220" s="62" t="s">
        <v>137</v>
      </c>
      <c r="B220" s="2" t="s">
        <v>84</v>
      </c>
    </row>
    <row r="221" spans="1:2" hidden="1">
      <c r="A221" s="62" t="s">
        <v>126</v>
      </c>
      <c r="B221" s="2" t="s">
        <v>84</v>
      </c>
    </row>
    <row r="222" spans="1:2" hidden="1">
      <c r="A222" s="62" t="s">
        <v>132</v>
      </c>
      <c r="B222" s="2" t="s">
        <v>84</v>
      </c>
    </row>
    <row r="223" spans="1:2" hidden="1">
      <c r="A223" s="62" t="s">
        <v>133</v>
      </c>
      <c r="B223" s="2" t="s">
        <v>84</v>
      </c>
    </row>
    <row r="224" spans="1:2" hidden="1">
      <c r="A224" s="62" t="s">
        <v>239</v>
      </c>
      <c r="B224" s="2" t="s">
        <v>84</v>
      </c>
    </row>
    <row r="225" spans="1:2" hidden="1">
      <c r="A225" s="62" t="s">
        <v>241</v>
      </c>
      <c r="B225" s="2" t="s">
        <v>84</v>
      </c>
    </row>
    <row r="226" spans="1:2" hidden="1">
      <c r="A226" s="62" t="s">
        <v>243</v>
      </c>
      <c r="B226" s="2" t="s">
        <v>84</v>
      </c>
    </row>
    <row r="227" spans="1:2" hidden="1">
      <c r="A227" s="62" t="s">
        <v>249</v>
      </c>
      <c r="B227" s="2" t="s">
        <v>84</v>
      </c>
    </row>
    <row r="228" spans="1:2" hidden="1">
      <c r="A228" s="62" t="s">
        <v>252</v>
      </c>
      <c r="B228" s="2" t="s">
        <v>84</v>
      </c>
    </row>
    <row r="229" spans="1:2" hidden="1">
      <c r="A229" s="62" t="s">
        <v>253</v>
      </c>
      <c r="B229" s="2" t="s">
        <v>84</v>
      </c>
    </row>
    <row r="230" spans="1:2" hidden="1">
      <c r="A230" s="62" t="s">
        <v>254</v>
      </c>
      <c r="B230" s="2" t="s">
        <v>84</v>
      </c>
    </row>
    <row r="231" spans="1:2" hidden="1">
      <c r="A231" s="62" t="s">
        <v>255</v>
      </c>
      <c r="B231" s="2" t="s">
        <v>84</v>
      </c>
    </row>
    <row r="232" spans="1:2" hidden="1">
      <c r="A232" s="62" t="s">
        <v>256</v>
      </c>
      <c r="B232" s="2" t="s">
        <v>84</v>
      </c>
    </row>
    <row r="233" spans="1:2" hidden="1">
      <c r="A233" s="62" t="s">
        <v>257</v>
      </c>
      <c r="B233" s="2" t="s">
        <v>84</v>
      </c>
    </row>
    <row r="234" spans="1:2" hidden="1">
      <c r="A234" s="62" t="s">
        <v>259</v>
      </c>
      <c r="B234" s="2" t="s">
        <v>84</v>
      </c>
    </row>
    <row r="235" spans="1:2" hidden="1">
      <c r="A235" s="62" t="s">
        <v>260</v>
      </c>
      <c r="B235" s="2" t="s">
        <v>84</v>
      </c>
    </row>
    <row r="236" spans="1:2" hidden="1">
      <c r="A236" s="62" t="s">
        <v>261</v>
      </c>
      <c r="B236" s="2" t="s">
        <v>84</v>
      </c>
    </row>
    <row r="237" spans="1:2" hidden="1">
      <c r="A237" s="62" t="s">
        <v>267</v>
      </c>
      <c r="B237" s="2" t="s">
        <v>84</v>
      </c>
    </row>
    <row r="238" spans="1:2" hidden="1">
      <c r="A238" s="62" t="s">
        <v>268</v>
      </c>
      <c r="B238" s="2" t="s">
        <v>84</v>
      </c>
    </row>
    <row r="239" spans="1:2" hidden="1">
      <c r="A239" s="62" t="s">
        <v>269</v>
      </c>
      <c r="B239" s="2" t="s">
        <v>84</v>
      </c>
    </row>
    <row r="240" spans="1:2" hidden="1">
      <c r="A240" s="62" t="s">
        <v>270</v>
      </c>
      <c r="B240" s="2" t="s">
        <v>84</v>
      </c>
    </row>
    <row r="241" spans="1:2" hidden="1">
      <c r="A241" s="62" t="s">
        <v>274</v>
      </c>
      <c r="B241" s="2" t="s">
        <v>84</v>
      </c>
    </row>
    <row r="242" spans="1:2" hidden="1">
      <c r="A242" s="62" t="s">
        <v>286</v>
      </c>
      <c r="B242" s="2" t="s">
        <v>84</v>
      </c>
    </row>
    <row r="243" spans="1:2" hidden="1">
      <c r="A243" s="62" t="s">
        <v>290</v>
      </c>
      <c r="B243" s="2" t="s">
        <v>84</v>
      </c>
    </row>
    <row r="244" spans="1:2" hidden="1">
      <c r="A244" s="62" t="s">
        <v>288</v>
      </c>
      <c r="B244" s="2" t="s">
        <v>84</v>
      </c>
    </row>
    <row r="245" spans="1:2" hidden="1">
      <c r="A245" s="62" t="s">
        <v>291</v>
      </c>
      <c r="B245" s="2" t="s">
        <v>84</v>
      </c>
    </row>
    <row r="246" spans="1:2" hidden="1">
      <c r="A246" s="62" t="s">
        <v>1020</v>
      </c>
      <c r="B246" s="2" t="s">
        <v>84</v>
      </c>
    </row>
    <row r="247" spans="1:2" hidden="1">
      <c r="A247" s="62" t="s">
        <v>293</v>
      </c>
      <c r="B247" s="2" t="s">
        <v>84</v>
      </c>
    </row>
    <row r="248" spans="1:2" hidden="1">
      <c r="A248" s="62" t="s">
        <v>294</v>
      </c>
      <c r="B248" s="2" t="s">
        <v>84</v>
      </c>
    </row>
    <row r="249" spans="1:2" hidden="1">
      <c r="A249" s="62" t="s">
        <v>295</v>
      </c>
      <c r="B249" s="2" t="s">
        <v>84</v>
      </c>
    </row>
    <row r="250" spans="1:2" hidden="1">
      <c r="A250" s="62" t="s">
        <v>297</v>
      </c>
      <c r="B250" s="2" t="s">
        <v>84</v>
      </c>
    </row>
    <row r="251" spans="1:2" hidden="1">
      <c r="A251" s="62" t="s">
        <v>300</v>
      </c>
      <c r="B251" s="2" t="s">
        <v>84</v>
      </c>
    </row>
    <row r="252" spans="1:2" hidden="1">
      <c r="A252" s="62" t="s">
        <v>301</v>
      </c>
      <c r="B252" s="2" t="s">
        <v>84</v>
      </c>
    </row>
    <row r="253" spans="1:2" hidden="1">
      <c r="A253" s="62" t="s">
        <v>1327</v>
      </c>
      <c r="B253" s="2" t="s">
        <v>84</v>
      </c>
    </row>
    <row r="254" spans="1:2" hidden="1">
      <c r="A254" s="62" t="s">
        <v>919</v>
      </c>
      <c r="B254" s="2" t="s">
        <v>84</v>
      </c>
    </row>
    <row r="255" spans="1:2" hidden="1">
      <c r="A255" s="62" t="s">
        <v>859</v>
      </c>
      <c r="B255" s="2" t="s">
        <v>84</v>
      </c>
    </row>
    <row r="256" spans="1:2" hidden="1">
      <c r="A256" s="62" t="s">
        <v>303</v>
      </c>
      <c r="B256" s="2" t="s">
        <v>84</v>
      </c>
    </row>
    <row r="257" spans="1:2" hidden="1">
      <c r="A257" s="62" t="s">
        <v>304</v>
      </c>
      <c r="B257" s="2" t="s">
        <v>84</v>
      </c>
    </row>
    <row r="258" spans="1:2" hidden="1">
      <c r="A258" s="62" t="s">
        <v>306</v>
      </c>
      <c r="B258" s="2" t="s">
        <v>84</v>
      </c>
    </row>
    <row r="259" spans="1:2" hidden="1">
      <c r="A259" s="62" t="s">
        <v>318</v>
      </c>
      <c r="B259" s="2" t="s">
        <v>84</v>
      </c>
    </row>
    <row r="260" spans="1:2" hidden="1">
      <c r="A260" s="62" t="s">
        <v>319</v>
      </c>
      <c r="B260" s="2" t="s">
        <v>84</v>
      </c>
    </row>
    <row r="261" spans="1:2" hidden="1">
      <c r="A261" s="62" t="s">
        <v>344</v>
      </c>
      <c r="B261" s="2" t="s">
        <v>84</v>
      </c>
    </row>
    <row r="262" spans="1:2" hidden="1">
      <c r="A262" s="62" t="s">
        <v>343</v>
      </c>
      <c r="B262" s="2" t="s">
        <v>84</v>
      </c>
    </row>
    <row r="263" spans="1:2" hidden="1">
      <c r="A263" s="62" t="s">
        <v>875</v>
      </c>
      <c r="B263" s="2" t="s">
        <v>84</v>
      </c>
    </row>
    <row r="264" spans="1:2" hidden="1">
      <c r="A264" s="62" t="s">
        <v>347</v>
      </c>
      <c r="B264" s="2" t="s">
        <v>84</v>
      </c>
    </row>
    <row r="265" spans="1:2" hidden="1">
      <c r="A265" s="62" t="s">
        <v>349</v>
      </c>
      <c r="B265" s="2" t="s">
        <v>84</v>
      </c>
    </row>
    <row r="266" spans="1:2" hidden="1">
      <c r="A266" s="62" t="s">
        <v>352</v>
      </c>
      <c r="B266" s="2" t="s">
        <v>84</v>
      </c>
    </row>
    <row r="267" spans="1:2" hidden="1">
      <c r="A267" s="62" t="s">
        <v>353</v>
      </c>
      <c r="B267" s="2" t="s">
        <v>84</v>
      </c>
    </row>
    <row r="268" spans="1:2" hidden="1">
      <c r="A268" s="62" t="s">
        <v>365</v>
      </c>
      <c r="B268" s="2" t="s">
        <v>84</v>
      </c>
    </row>
    <row r="269" spans="1:2" hidden="1">
      <c r="A269" s="62" t="s">
        <v>361</v>
      </c>
      <c r="B269" s="2" t="s">
        <v>84</v>
      </c>
    </row>
    <row r="270" spans="1:2" hidden="1">
      <c r="A270" s="62" t="s">
        <v>364</v>
      </c>
      <c r="B270" s="2" t="s">
        <v>84</v>
      </c>
    </row>
    <row r="271" spans="1:2" hidden="1">
      <c r="A271" s="62" t="s">
        <v>167</v>
      </c>
      <c r="B271" s="2" t="s">
        <v>84</v>
      </c>
    </row>
    <row r="272" spans="1:2" hidden="1">
      <c r="A272" s="62" t="s">
        <v>179</v>
      </c>
      <c r="B272" s="2" t="s">
        <v>84</v>
      </c>
    </row>
    <row r="273" spans="1:2" hidden="1">
      <c r="A273" s="62" t="s">
        <v>166</v>
      </c>
      <c r="B273" s="2" t="s">
        <v>84</v>
      </c>
    </row>
    <row r="274" spans="1:2" hidden="1">
      <c r="A274" s="62" t="s">
        <v>231</v>
      </c>
      <c r="B274" s="2" t="s">
        <v>84</v>
      </c>
    </row>
    <row r="275" spans="1:2" hidden="1">
      <c r="A275" s="62" t="s">
        <v>116</v>
      </c>
      <c r="B275" s="2" t="s">
        <v>84</v>
      </c>
    </row>
    <row r="276" spans="1:2" hidden="1">
      <c r="A276" s="62" t="s">
        <v>163</v>
      </c>
      <c r="B276" s="2" t="s">
        <v>84</v>
      </c>
    </row>
    <row r="277" spans="1:2" hidden="1">
      <c r="A277" s="62" t="s">
        <v>164</v>
      </c>
      <c r="B277" s="2" t="s">
        <v>84</v>
      </c>
    </row>
    <row r="278" spans="1:2" hidden="1">
      <c r="A278" s="62" t="s">
        <v>242</v>
      </c>
      <c r="B278" s="2" t="s">
        <v>84</v>
      </c>
    </row>
    <row r="279" spans="1:2" hidden="1">
      <c r="A279" s="62" t="s">
        <v>258</v>
      </c>
      <c r="B279" s="2" t="s">
        <v>84</v>
      </c>
    </row>
    <row r="280" spans="1:2" hidden="1">
      <c r="A280" s="62" t="s">
        <v>296</v>
      </c>
      <c r="B280" s="2" t="s">
        <v>84</v>
      </c>
    </row>
    <row r="281" spans="1:2" hidden="1">
      <c r="A281" s="62" t="s">
        <v>345</v>
      </c>
      <c r="B281" s="2" t="s">
        <v>84</v>
      </c>
    </row>
    <row r="282" spans="1:2" hidden="1">
      <c r="A282" s="62" t="s">
        <v>87</v>
      </c>
      <c r="B282" s="2" t="s">
        <v>84</v>
      </c>
    </row>
    <row r="283" spans="1:2" hidden="1">
      <c r="A283" s="62" t="s">
        <v>150</v>
      </c>
      <c r="B283" s="2" t="s">
        <v>84</v>
      </c>
    </row>
    <row r="284" spans="1:2" hidden="1">
      <c r="A284" s="62" t="s">
        <v>119</v>
      </c>
      <c r="B284" s="2" t="s">
        <v>84</v>
      </c>
    </row>
    <row r="285" spans="1:2" hidden="1">
      <c r="A285" s="62" t="s">
        <v>148</v>
      </c>
      <c r="B285" s="2" t="s">
        <v>84</v>
      </c>
    </row>
    <row r="286" spans="1:2" hidden="1">
      <c r="A286" s="62" t="s">
        <v>358</v>
      </c>
      <c r="B286" s="2" t="s">
        <v>84</v>
      </c>
    </row>
    <row r="287" spans="1:2" hidden="1">
      <c r="A287" s="62" t="s">
        <v>127</v>
      </c>
      <c r="B287" s="2" t="s">
        <v>84</v>
      </c>
    </row>
    <row r="288" spans="1:2" hidden="1">
      <c r="A288" s="62" t="s">
        <v>128</v>
      </c>
      <c r="B288" s="2" t="s">
        <v>84</v>
      </c>
    </row>
    <row r="289" spans="1:2" hidden="1">
      <c r="A289" s="62" t="s">
        <v>363</v>
      </c>
      <c r="B289" s="2" t="s">
        <v>84</v>
      </c>
    </row>
    <row r="290" spans="1:2" hidden="1">
      <c r="A290" s="62" t="s">
        <v>131</v>
      </c>
      <c r="B290" s="2" t="s">
        <v>84</v>
      </c>
    </row>
    <row r="291" spans="1:2" hidden="1">
      <c r="A291" s="62" t="s">
        <v>155</v>
      </c>
      <c r="B291" s="2" t="s">
        <v>84</v>
      </c>
    </row>
    <row r="292" spans="1:2" hidden="1">
      <c r="A292" s="62" t="s">
        <v>156</v>
      </c>
      <c r="B292" s="2" t="s">
        <v>84</v>
      </c>
    </row>
    <row r="293" spans="1:2" hidden="1">
      <c r="A293" s="62" t="s">
        <v>168</v>
      </c>
      <c r="B293" s="2" t="s">
        <v>84</v>
      </c>
    </row>
    <row r="294" spans="1:2" hidden="1">
      <c r="A294" s="62" t="s">
        <v>182</v>
      </c>
      <c r="B294" s="2" t="s">
        <v>84</v>
      </c>
    </row>
    <row r="295" spans="1:2" hidden="1">
      <c r="A295" s="62" t="s">
        <v>99</v>
      </c>
      <c r="B295" s="2" t="s">
        <v>84</v>
      </c>
    </row>
    <row r="296" spans="1:2" hidden="1">
      <c r="A296" s="62" t="s">
        <v>112</v>
      </c>
      <c r="B296" s="2" t="s">
        <v>84</v>
      </c>
    </row>
    <row r="297" spans="1:2" hidden="1">
      <c r="A297" s="62" t="s">
        <v>162</v>
      </c>
      <c r="B297" s="2" t="s">
        <v>84</v>
      </c>
    </row>
    <row r="298" spans="1:2" hidden="1">
      <c r="A298" s="62" t="s">
        <v>204</v>
      </c>
      <c r="B298" s="2" t="s">
        <v>84</v>
      </c>
    </row>
    <row r="299" spans="1:2" hidden="1">
      <c r="A299" s="62" t="s">
        <v>205</v>
      </c>
      <c r="B299" s="2" t="s">
        <v>84</v>
      </c>
    </row>
    <row r="300" spans="1:2" hidden="1">
      <c r="A300" s="62" t="s">
        <v>326</v>
      </c>
      <c r="B300" s="2" t="s">
        <v>84</v>
      </c>
    </row>
    <row r="301" spans="1:2" hidden="1">
      <c r="A301" s="62" t="s">
        <v>171</v>
      </c>
      <c r="B301" s="2" t="s">
        <v>84</v>
      </c>
    </row>
    <row r="302" spans="1:2" hidden="1">
      <c r="A302" s="62" t="s">
        <v>149</v>
      </c>
      <c r="B302" s="2" t="s">
        <v>84</v>
      </c>
    </row>
    <row r="303" spans="1:2" hidden="1">
      <c r="A303" s="62" t="s">
        <v>298</v>
      </c>
      <c r="B303" s="2" t="s">
        <v>84</v>
      </c>
    </row>
    <row r="304" spans="1:2" hidden="1">
      <c r="A304" s="62" t="s">
        <v>346</v>
      </c>
      <c r="B304" s="2" t="s">
        <v>84</v>
      </c>
    </row>
    <row r="305" spans="1:2" hidden="1">
      <c r="A305" s="62" t="s">
        <v>357</v>
      </c>
      <c r="B305" s="2" t="s">
        <v>84</v>
      </c>
    </row>
    <row r="306" spans="1:2" hidden="1">
      <c r="A306" s="62" t="s">
        <v>206</v>
      </c>
      <c r="B306" s="2" t="s">
        <v>84</v>
      </c>
    </row>
    <row r="307" spans="1:2" hidden="1">
      <c r="A307" s="62" t="s">
        <v>207</v>
      </c>
      <c r="B307" s="2" t="s">
        <v>84</v>
      </c>
    </row>
    <row r="308" spans="1:2" hidden="1">
      <c r="A308" s="62" t="s">
        <v>248</v>
      </c>
      <c r="B308" s="2" t="s">
        <v>84</v>
      </c>
    </row>
    <row r="309" spans="1:2" hidden="1">
      <c r="A309" s="62" t="s">
        <v>285</v>
      </c>
      <c r="B309" s="2" t="s">
        <v>84</v>
      </c>
    </row>
    <row r="310" spans="1:2" hidden="1">
      <c r="A310" s="62" t="s">
        <v>228</v>
      </c>
      <c r="B310" s="2" t="s">
        <v>84</v>
      </c>
    </row>
    <row r="311" spans="1:2" hidden="1">
      <c r="A311" s="62" t="s">
        <v>250</v>
      </c>
      <c r="B311" s="2" t="s">
        <v>84</v>
      </c>
    </row>
    <row r="312" spans="1:2" hidden="1">
      <c r="A312" s="62" t="s">
        <v>130</v>
      </c>
      <c r="B312" s="2" t="s">
        <v>84</v>
      </c>
    </row>
    <row r="313" spans="1:2" hidden="1">
      <c r="A313" s="62" t="s">
        <v>172</v>
      </c>
      <c r="B313" s="2" t="s">
        <v>84</v>
      </c>
    </row>
    <row r="314" spans="1:2" hidden="1">
      <c r="A314" s="62" t="s">
        <v>173</v>
      </c>
      <c r="B314" s="2" t="s">
        <v>84</v>
      </c>
    </row>
    <row r="315" spans="1:2" hidden="1">
      <c r="A315" s="62" t="s">
        <v>276</v>
      </c>
      <c r="B315" s="2" t="s">
        <v>84</v>
      </c>
    </row>
    <row r="316" spans="1:2" hidden="1">
      <c r="A316" s="62" t="s">
        <v>317</v>
      </c>
      <c r="B316" s="2" t="s">
        <v>84</v>
      </c>
    </row>
    <row r="317" spans="1:2" hidden="1">
      <c r="A317" s="62" t="s">
        <v>348</v>
      </c>
      <c r="B317" s="2" t="s">
        <v>84</v>
      </c>
    </row>
    <row r="318" spans="1:2" hidden="1">
      <c r="A318" s="62" t="s">
        <v>147</v>
      </c>
      <c r="B318" s="2" t="s">
        <v>84</v>
      </c>
    </row>
    <row r="319" spans="1:2" hidden="1">
      <c r="A319" s="62" t="s">
        <v>362</v>
      </c>
      <c r="B319" s="2" t="s">
        <v>84</v>
      </c>
    </row>
    <row r="320" spans="1:2" hidden="1">
      <c r="A320" s="62" t="s">
        <v>289</v>
      </c>
      <c r="B320" s="2" t="s">
        <v>84</v>
      </c>
    </row>
    <row r="321" spans="1:2" hidden="1">
      <c r="A321" s="62" t="s">
        <v>322</v>
      </c>
      <c r="B321" s="2" t="s">
        <v>84</v>
      </c>
    </row>
    <row r="322" spans="1:2" hidden="1">
      <c r="A322" s="62" t="s">
        <v>323</v>
      </c>
      <c r="B322" s="2" t="s">
        <v>84</v>
      </c>
    </row>
    <row r="323" spans="1:2" hidden="1">
      <c r="A323" s="62" t="s">
        <v>92</v>
      </c>
      <c r="B323" s="2" t="s">
        <v>84</v>
      </c>
    </row>
    <row r="324" spans="1:2" hidden="1">
      <c r="A324" s="62" t="s">
        <v>124</v>
      </c>
      <c r="B324" s="2" t="s">
        <v>84</v>
      </c>
    </row>
    <row r="325" spans="1:2" hidden="1">
      <c r="A325" s="62" t="s">
        <v>125</v>
      </c>
      <c r="B325" s="2" t="s">
        <v>84</v>
      </c>
    </row>
    <row r="326" spans="1:2" hidden="1">
      <c r="A326" s="62" t="s">
        <v>159</v>
      </c>
      <c r="B326" s="2" t="s">
        <v>84</v>
      </c>
    </row>
    <row r="327" spans="1:2" hidden="1">
      <c r="A327" s="62" t="s">
        <v>160</v>
      </c>
      <c r="B327" s="2" t="s">
        <v>84</v>
      </c>
    </row>
    <row r="328" spans="1:2" hidden="1">
      <c r="A328" s="62" t="s">
        <v>161</v>
      </c>
      <c r="B328" s="2" t="s">
        <v>84</v>
      </c>
    </row>
    <row r="329" spans="1:2" hidden="1">
      <c r="A329" s="62" t="s">
        <v>170</v>
      </c>
      <c r="B329" s="2" t="s">
        <v>84</v>
      </c>
    </row>
    <row r="330" spans="1:2" hidden="1">
      <c r="A330" s="62" t="s">
        <v>187</v>
      </c>
      <c r="B330" s="2" t="s">
        <v>84</v>
      </c>
    </row>
    <row r="331" spans="1:2" hidden="1">
      <c r="A331" s="62" t="s">
        <v>202</v>
      </c>
      <c r="B331" s="2" t="s">
        <v>84</v>
      </c>
    </row>
    <row r="332" spans="1:2" hidden="1">
      <c r="A332" s="62" t="s">
        <v>244</v>
      </c>
      <c r="B332" s="2" t="s">
        <v>84</v>
      </c>
    </row>
    <row r="333" spans="1:2" hidden="1">
      <c r="A333" s="62" t="s">
        <v>325</v>
      </c>
      <c r="B333" s="2" t="s">
        <v>84</v>
      </c>
    </row>
    <row r="334" spans="1:2" hidden="1">
      <c r="A334" s="62" t="s">
        <v>86</v>
      </c>
      <c r="B334" s="2" t="s">
        <v>84</v>
      </c>
    </row>
    <row r="335" spans="1:2" hidden="1">
      <c r="A335" s="62" t="s">
        <v>139</v>
      </c>
      <c r="B335" s="2" t="s">
        <v>84</v>
      </c>
    </row>
    <row r="336" spans="1:2" hidden="1">
      <c r="A336" s="62" t="s">
        <v>140</v>
      </c>
      <c r="B336" s="2" t="s">
        <v>84</v>
      </c>
    </row>
    <row r="337" spans="1:2" hidden="1">
      <c r="A337" s="62" t="s">
        <v>141</v>
      </c>
      <c r="B337" s="2" t="s">
        <v>84</v>
      </c>
    </row>
    <row r="338" spans="1:2" hidden="1">
      <c r="A338" s="62" t="s">
        <v>91</v>
      </c>
      <c r="B338" s="2" t="s">
        <v>84</v>
      </c>
    </row>
    <row r="339" spans="1:2" hidden="1">
      <c r="A339" s="62" t="s">
        <v>146</v>
      </c>
      <c r="B339" s="2" t="s">
        <v>84</v>
      </c>
    </row>
    <row r="340" spans="1:2" hidden="1">
      <c r="A340" s="62" t="s">
        <v>151</v>
      </c>
      <c r="B340" s="2" t="s">
        <v>84</v>
      </c>
    </row>
    <row r="341" spans="1:2" hidden="1">
      <c r="A341" s="62" t="s">
        <v>191</v>
      </c>
      <c r="B341" s="2" t="s">
        <v>84</v>
      </c>
    </row>
    <row r="342" spans="1:2" hidden="1">
      <c r="A342" s="62" t="s">
        <v>195</v>
      </c>
      <c r="B342" s="2" t="s">
        <v>84</v>
      </c>
    </row>
    <row r="343" spans="1:2" hidden="1">
      <c r="A343" s="62" t="s">
        <v>305</v>
      </c>
      <c r="B343" s="2" t="s">
        <v>84</v>
      </c>
    </row>
    <row r="344" spans="1:2" hidden="1">
      <c r="A344" s="62" t="s">
        <v>327</v>
      </c>
      <c r="B344" s="2" t="s">
        <v>84</v>
      </c>
    </row>
    <row r="345" spans="1:2" hidden="1">
      <c r="A345" s="62" t="s">
        <v>354</v>
      </c>
      <c r="B345" s="2" t="s">
        <v>84</v>
      </c>
    </row>
    <row r="346" spans="1:2" hidden="1">
      <c r="A346" s="62" t="s">
        <v>355</v>
      </c>
      <c r="B346" s="2" t="s">
        <v>84</v>
      </c>
    </row>
    <row r="347" spans="1:2" hidden="1">
      <c r="A347" s="62" t="s">
        <v>356</v>
      </c>
      <c r="B347" s="2" t="s">
        <v>84</v>
      </c>
    </row>
    <row r="348" spans="1:2" hidden="1">
      <c r="A348" s="62" t="s">
        <v>359</v>
      </c>
      <c r="B348" s="2" t="s">
        <v>84</v>
      </c>
    </row>
    <row r="349" spans="1:2" hidden="1">
      <c r="A349" s="62" t="s">
        <v>360</v>
      </c>
      <c r="B349" s="2" t="s">
        <v>84</v>
      </c>
    </row>
    <row r="350" spans="1:2" hidden="1">
      <c r="A350" s="62" t="s">
        <v>136</v>
      </c>
      <c r="B350" s="2" t="s">
        <v>84</v>
      </c>
    </row>
    <row r="351" spans="1:2" hidden="1">
      <c r="A351" s="62" t="s">
        <v>1052</v>
      </c>
      <c r="B351" s="2" t="s">
        <v>84</v>
      </c>
    </row>
    <row r="352" spans="1:2" hidden="1">
      <c r="A352" s="62" t="s">
        <v>115</v>
      </c>
      <c r="B352" s="2" t="s">
        <v>84</v>
      </c>
    </row>
    <row r="353" spans="1:2" hidden="1">
      <c r="A353" s="62" t="s">
        <v>144</v>
      </c>
      <c r="B353" s="2" t="s">
        <v>84</v>
      </c>
    </row>
    <row r="354" spans="1:2" hidden="1">
      <c r="A354" s="62" t="s">
        <v>245</v>
      </c>
      <c r="B354" s="2" t="s">
        <v>84</v>
      </c>
    </row>
    <row r="355" spans="1:2" hidden="1">
      <c r="A355" s="62" t="s">
        <v>246</v>
      </c>
      <c r="B355" s="2" t="s">
        <v>84</v>
      </c>
    </row>
    <row r="356" spans="1:2" hidden="1">
      <c r="A356" s="62" t="s">
        <v>247</v>
      </c>
      <c r="B356" s="2" t="s">
        <v>84</v>
      </c>
    </row>
    <row r="357" spans="1:2" hidden="1">
      <c r="A357" s="62" t="s">
        <v>175</v>
      </c>
      <c r="B357" s="2" t="s">
        <v>84</v>
      </c>
    </row>
    <row r="358" spans="1:2" hidden="1">
      <c r="A358" s="62" t="s">
        <v>176</v>
      </c>
      <c r="B358" s="2" t="s">
        <v>84</v>
      </c>
    </row>
    <row r="359" spans="1:2" hidden="1">
      <c r="A359" s="62" t="s">
        <v>177</v>
      </c>
      <c r="B359" s="2" t="s">
        <v>84</v>
      </c>
    </row>
    <row r="360" spans="1:2" hidden="1">
      <c r="A360" s="62" t="s">
        <v>178</v>
      </c>
      <c r="B360" s="2" t="s">
        <v>84</v>
      </c>
    </row>
    <row r="361" spans="1:2" hidden="1">
      <c r="A361" s="62" t="s">
        <v>321</v>
      </c>
      <c r="B361" s="2" t="s">
        <v>84</v>
      </c>
    </row>
    <row r="362" spans="1:2" hidden="1">
      <c r="A362" s="62" t="s">
        <v>486</v>
      </c>
      <c r="B362" s="2" t="s">
        <v>84</v>
      </c>
    </row>
    <row r="363" spans="1:2" hidden="1">
      <c r="A363" s="62" t="s">
        <v>664</v>
      </c>
      <c r="B363" s="2" t="s">
        <v>84</v>
      </c>
    </row>
    <row r="364" spans="1:2" hidden="1">
      <c r="A364" s="62" t="s">
        <v>595</v>
      </c>
      <c r="B364" s="2" t="s">
        <v>84</v>
      </c>
    </row>
    <row r="365" spans="1:2" hidden="1">
      <c r="A365" s="62" t="s">
        <v>434</v>
      </c>
      <c r="B365" s="2" t="s">
        <v>84</v>
      </c>
    </row>
    <row r="366" spans="1:2" hidden="1">
      <c r="A366" s="62" t="s">
        <v>485</v>
      </c>
      <c r="B366" s="2" t="s">
        <v>84</v>
      </c>
    </row>
    <row r="367" spans="1:2" hidden="1">
      <c r="A367" s="62" t="s">
        <v>395</v>
      </c>
      <c r="B367" s="2" t="s">
        <v>84</v>
      </c>
    </row>
    <row r="368" spans="1:2" hidden="1">
      <c r="A368" s="62" t="s">
        <v>396</v>
      </c>
      <c r="B368" s="2" t="s">
        <v>84</v>
      </c>
    </row>
    <row r="369" spans="1:2" hidden="1">
      <c r="A369" s="62" t="s">
        <v>397</v>
      </c>
      <c r="B369" s="2" t="s">
        <v>84</v>
      </c>
    </row>
    <row r="370" spans="1:2" hidden="1">
      <c r="A370" s="62" t="s">
        <v>398</v>
      </c>
      <c r="B370" s="2" t="s">
        <v>84</v>
      </c>
    </row>
    <row r="371" spans="1:2" hidden="1">
      <c r="A371" s="62" t="s">
        <v>1308</v>
      </c>
      <c r="B371" s="2" t="s">
        <v>84</v>
      </c>
    </row>
    <row r="372" spans="1:2" hidden="1">
      <c r="A372" s="62" t="s">
        <v>1061</v>
      </c>
      <c r="B372" s="2" t="s">
        <v>84</v>
      </c>
    </row>
    <row r="373" spans="1:2" hidden="1">
      <c r="A373" s="62" t="s">
        <v>399</v>
      </c>
      <c r="B373" s="2" t="s">
        <v>84</v>
      </c>
    </row>
    <row r="374" spans="1:2" hidden="1">
      <c r="A374" s="62" t="s">
        <v>400</v>
      </c>
      <c r="B374" s="2" t="s">
        <v>84</v>
      </c>
    </row>
    <row r="375" spans="1:2" hidden="1">
      <c r="A375" s="62" t="s">
        <v>971</v>
      </c>
      <c r="B375" s="2" t="s">
        <v>84</v>
      </c>
    </row>
    <row r="376" spans="1:2" hidden="1">
      <c r="A376" s="62" t="s">
        <v>401</v>
      </c>
      <c r="B376" s="2" t="s">
        <v>84</v>
      </c>
    </row>
    <row r="377" spans="1:2" hidden="1">
      <c r="A377" s="62" t="s">
        <v>402</v>
      </c>
      <c r="B377" s="2" t="s">
        <v>84</v>
      </c>
    </row>
    <row r="378" spans="1:2" hidden="1">
      <c r="A378" s="62" t="s">
        <v>673</v>
      </c>
      <c r="B378" s="2" t="s">
        <v>84</v>
      </c>
    </row>
    <row r="379" spans="1:2" hidden="1">
      <c r="A379" s="62" t="s">
        <v>637</v>
      </c>
      <c r="B379" s="2" t="s">
        <v>84</v>
      </c>
    </row>
    <row r="380" spans="1:2" hidden="1">
      <c r="A380" s="62" t="s">
        <v>626</v>
      </c>
      <c r="B380" s="2" t="s">
        <v>84</v>
      </c>
    </row>
    <row r="381" spans="1:2" hidden="1">
      <c r="A381" s="62" t="s">
        <v>455</v>
      </c>
      <c r="B381" s="2" t="s">
        <v>84</v>
      </c>
    </row>
    <row r="382" spans="1:2" hidden="1">
      <c r="A382" s="62" t="s">
        <v>1284</v>
      </c>
      <c r="B382" s="2" t="s">
        <v>84</v>
      </c>
    </row>
    <row r="383" spans="1:2" hidden="1">
      <c r="A383" s="62" t="s">
        <v>1350</v>
      </c>
      <c r="B383" s="2" t="s">
        <v>84</v>
      </c>
    </row>
    <row r="384" spans="1:2" hidden="1">
      <c r="A384" s="62" t="s">
        <v>644</v>
      </c>
      <c r="B384" s="2" t="s">
        <v>84</v>
      </c>
    </row>
    <row r="385" spans="1:2" hidden="1">
      <c r="A385" s="62" t="s">
        <v>565</v>
      </c>
      <c r="B385" s="2" t="s">
        <v>84</v>
      </c>
    </row>
    <row r="386" spans="1:2" hidden="1">
      <c r="A386" s="62" t="s">
        <v>1038</v>
      </c>
      <c r="B386" s="2" t="s">
        <v>84</v>
      </c>
    </row>
    <row r="387" spans="1:2" hidden="1">
      <c r="A387" s="62" t="s">
        <v>482</v>
      </c>
      <c r="B387" s="2" t="s">
        <v>84</v>
      </c>
    </row>
    <row r="388" spans="1:2" hidden="1">
      <c r="A388" s="62" t="s">
        <v>478</v>
      </c>
      <c r="B388" s="2" t="s">
        <v>84</v>
      </c>
    </row>
    <row r="389" spans="1:2" hidden="1">
      <c r="A389" s="62" t="s">
        <v>431</v>
      </c>
      <c r="B389" s="2" t="s">
        <v>84</v>
      </c>
    </row>
    <row r="390" spans="1:2" hidden="1">
      <c r="A390" s="62" t="s">
        <v>418</v>
      </c>
      <c r="B390" s="2" t="s">
        <v>84</v>
      </c>
    </row>
    <row r="391" spans="1:2" hidden="1">
      <c r="A391" s="62" t="s">
        <v>416</v>
      </c>
      <c r="B391" s="2" t="s">
        <v>84</v>
      </c>
    </row>
    <row r="392" spans="1:2" hidden="1">
      <c r="A392" s="62" t="s">
        <v>377</v>
      </c>
      <c r="B392" s="2" t="s">
        <v>84</v>
      </c>
    </row>
    <row r="393" spans="1:2" hidden="1">
      <c r="A393" s="62" t="s">
        <v>382</v>
      </c>
      <c r="B393" s="2" t="s">
        <v>84</v>
      </c>
    </row>
    <row r="394" spans="1:2" hidden="1">
      <c r="A394" s="62" t="s">
        <v>995</v>
      </c>
      <c r="B394" s="2" t="s">
        <v>84</v>
      </c>
    </row>
    <row r="395" spans="1:2" hidden="1">
      <c r="A395" s="62" t="s">
        <v>740</v>
      </c>
      <c r="B395" s="2" t="s">
        <v>84</v>
      </c>
    </row>
    <row r="396" spans="1:2" hidden="1">
      <c r="A396" s="62" t="s">
        <v>741</v>
      </c>
      <c r="B396" s="2" t="s">
        <v>84</v>
      </c>
    </row>
    <row r="397" spans="1:2" hidden="1">
      <c r="A397" s="62" t="s">
        <v>737</v>
      </c>
      <c r="B397" s="2" t="s">
        <v>84</v>
      </c>
    </row>
    <row r="398" spans="1:2" hidden="1">
      <c r="A398" s="62" t="s">
        <v>676</v>
      </c>
      <c r="B398" s="2" t="s">
        <v>84</v>
      </c>
    </row>
    <row r="399" spans="1:2" hidden="1">
      <c r="A399" s="62" t="s">
        <v>729</v>
      </c>
      <c r="B399" s="2" t="s">
        <v>84</v>
      </c>
    </row>
    <row r="400" spans="1:2" hidden="1">
      <c r="A400" s="62" t="s">
        <v>731</v>
      </c>
      <c r="B400" s="2" t="s">
        <v>84</v>
      </c>
    </row>
    <row r="401" spans="1:2" hidden="1">
      <c r="A401" s="62" t="s">
        <v>727</v>
      </c>
      <c r="B401" s="2" t="s">
        <v>84</v>
      </c>
    </row>
    <row r="402" spans="1:2" hidden="1">
      <c r="A402" s="62" t="s">
        <v>1234</v>
      </c>
      <c r="B402" s="2" t="s">
        <v>84</v>
      </c>
    </row>
    <row r="403" spans="1:2" hidden="1">
      <c r="A403" s="62" t="s">
        <v>726</v>
      </c>
      <c r="B403" s="2" t="s">
        <v>84</v>
      </c>
    </row>
    <row r="404" spans="1:2" hidden="1">
      <c r="A404" s="62" t="s">
        <v>1331</v>
      </c>
      <c r="B404" s="2" t="s">
        <v>84</v>
      </c>
    </row>
    <row r="405" spans="1:2" hidden="1">
      <c r="A405" s="62" t="s">
        <v>1317</v>
      </c>
      <c r="B405" s="2" t="s">
        <v>84</v>
      </c>
    </row>
    <row r="406" spans="1:2" hidden="1">
      <c r="A406" s="62" t="s">
        <v>714</v>
      </c>
      <c r="B406" s="2" t="s">
        <v>84</v>
      </c>
    </row>
    <row r="407" spans="1:2" hidden="1">
      <c r="A407" s="62" t="s">
        <v>715</v>
      </c>
      <c r="B407" s="2" t="s">
        <v>84</v>
      </c>
    </row>
    <row r="408" spans="1:2" hidden="1">
      <c r="A408" s="62" t="s">
        <v>722</v>
      </c>
      <c r="B408" s="2" t="s">
        <v>84</v>
      </c>
    </row>
    <row r="409" spans="1:2" hidden="1">
      <c r="A409" s="62" t="s">
        <v>723</v>
      </c>
      <c r="B409" s="2" t="s">
        <v>84</v>
      </c>
    </row>
    <row r="410" spans="1:2" hidden="1">
      <c r="A410" s="62" t="s">
        <v>724</v>
      </c>
      <c r="B410" s="2" t="s">
        <v>84</v>
      </c>
    </row>
    <row r="411" spans="1:2" hidden="1">
      <c r="A411" s="62" t="s">
        <v>1152</v>
      </c>
      <c r="B411" s="2" t="s">
        <v>84</v>
      </c>
    </row>
    <row r="412" spans="1:2" hidden="1">
      <c r="A412" s="62" t="s">
        <v>1005</v>
      </c>
      <c r="B412" s="2" t="s">
        <v>84</v>
      </c>
    </row>
    <row r="413" spans="1:2" hidden="1">
      <c r="A413" s="62" t="s">
        <v>1257</v>
      </c>
      <c r="B413" s="2" t="s">
        <v>84</v>
      </c>
    </row>
    <row r="414" spans="1:2" hidden="1">
      <c r="A414" s="62" t="s">
        <v>1126</v>
      </c>
      <c r="B414" s="2" t="s">
        <v>84</v>
      </c>
    </row>
    <row r="415" spans="1:2" hidden="1">
      <c r="A415" s="62" t="s">
        <v>719</v>
      </c>
      <c r="B415" s="2" t="s">
        <v>84</v>
      </c>
    </row>
    <row r="416" spans="1:2" hidden="1">
      <c r="A416" s="62" t="s">
        <v>720</v>
      </c>
      <c r="B416" s="2" t="s">
        <v>84</v>
      </c>
    </row>
    <row r="417" spans="1:2" hidden="1">
      <c r="A417" s="62" t="s">
        <v>713</v>
      </c>
      <c r="B417" s="2" t="s">
        <v>84</v>
      </c>
    </row>
    <row r="418" spans="1:2" hidden="1">
      <c r="A418" s="62" t="s">
        <v>700</v>
      </c>
      <c r="B418" s="2" t="s">
        <v>84</v>
      </c>
    </row>
    <row r="419" spans="1:2" hidden="1">
      <c r="A419" s="62" t="s">
        <v>701</v>
      </c>
      <c r="B419" s="2" t="s">
        <v>84</v>
      </c>
    </row>
    <row r="420" spans="1:2" hidden="1">
      <c r="A420" s="62" t="s">
        <v>987</v>
      </c>
      <c r="B420" s="2" t="s">
        <v>84</v>
      </c>
    </row>
    <row r="421" spans="1:2" hidden="1">
      <c r="A421" s="62" t="s">
        <v>679</v>
      </c>
      <c r="B421" s="2" t="s">
        <v>84</v>
      </c>
    </row>
    <row r="422" spans="1:2" hidden="1">
      <c r="A422" s="62" t="s">
        <v>680</v>
      </c>
      <c r="B422" s="2" t="s">
        <v>84</v>
      </c>
    </row>
    <row r="423" spans="1:2" hidden="1">
      <c r="A423" s="62" t="s">
        <v>706</v>
      </c>
      <c r="B423" s="2" t="s">
        <v>84</v>
      </c>
    </row>
    <row r="424" spans="1:2" hidden="1">
      <c r="A424" s="62" t="s">
        <v>707</v>
      </c>
      <c r="B424" s="2" t="s">
        <v>84</v>
      </c>
    </row>
    <row r="425" spans="1:2" hidden="1">
      <c r="A425" s="62" t="s">
        <v>708</v>
      </c>
      <c r="B425" s="2" t="s">
        <v>84</v>
      </c>
    </row>
    <row r="426" spans="1:2" hidden="1">
      <c r="A426" s="62" t="s">
        <v>710</v>
      </c>
      <c r="B426" s="2" t="s">
        <v>84</v>
      </c>
    </row>
    <row r="427" spans="1:2" hidden="1">
      <c r="A427" s="62" t="s">
        <v>712</v>
      </c>
      <c r="B427" s="2" t="s">
        <v>84</v>
      </c>
    </row>
    <row r="428" spans="1:2" hidden="1">
      <c r="A428" s="62" t="s">
        <v>697</v>
      </c>
      <c r="B428" s="2" t="s">
        <v>84</v>
      </c>
    </row>
    <row r="429" spans="1:2" hidden="1">
      <c r="A429" s="62" t="s">
        <v>682</v>
      </c>
      <c r="B429" s="2" t="s">
        <v>84</v>
      </c>
    </row>
    <row r="430" spans="1:2" hidden="1">
      <c r="A430" s="62" t="s">
        <v>678</v>
      </c>
      <c r="B430" s="2" t="s">
        <v>84</v>
      </c>
    </row>
    <row r="431" spans="1:2" hidden="1">
      <c r="A431" s="62" t="s">
        <v>675</v>
      </c>
      <c r="B431" s="2" t="s">
        <v>84</v>
      </c>
    </row>
    <row r="432" spans="1:2" hidden="1">
      <c r="A432" s="62" t="s">
        <v>670</v>
      </c>
      <c r="B432" s="2" t="s">
        <v>84</v>
      </c>
    </row>
    <row r="433" spans="1:2" hidden="1">
      <c r="A433" s="62" t="s">
        <v>671</v>
      </c>
      <c r="B433" s="2" t="s">
        <v>84</v>
      </c>
    </row>
    <row r="434" spans="1:2" hidden="1">
      <c r="A434" s="62" t="s">
        <v>672</v>
      </c>
      <c r="B434" s="2" t="s">
        <v>84</v>
      </c>
    </row>
    <row r="435" spans="1:2" hidden="1">
      <c r="A435" s="62" t="s">
        <v>677</v>
      </c>
      <c r="B435" s="2" t="s">
        <v>84</v>
      </c>
    </row>
    <row r="436" spans="1:2" hidden="1">
      <c r="A436" s="62" t="s">
        <v>1259</v>
      </c>
      <c r="B436" s="2" t="s">
        <v>84</v>
      </c>
    </row>
    <row r="437" spans="1:2" hidden="1">
      <c r="A437" s="62" t="s">
        <v>1287</v>
      </c>
      <c r="B437" s="2" t="s">
        <v>84</v>
      </c>
    </row>
    <row r="438" spans="1:2" hidden="1">
      <c r="A438" s="62" t="s">
        <v>1310</v>
      </c>
      <c r="B438" s="2" t="s">
        <v>84</v>
      </c>
    </row>
    <row r="439" spans="1:2" hidden="1">
      <c r="A439" s="62" t="s">
        <v>1260</v>
      </c>
      <c r="B439" s="2" t="s">
        <v>84</v>
      </c>
    </row>
    <row r="440" spans="1:2" hidden="1">
      <c r="A440" s="62" t="s">
        <v>1159</v>
      </c>
      <c r="B440" s="2" t="s">
        <v>84</v>
      </c>
    </row>
    <row r="441" spans="1:2" hidden="1">
      <c r="A441" s="62" t="s">
        <v>662</v>
      </c>
      <c r="B441" s="2" t="s">
        <v>84</v>
      </c>
    </row>
    <row r="442" spans="1:2" hidden="1">
      <c r="A442" s="62" t="s">
        <v>862</v>
      </c>
      <c r="B442" s="2" t="s">
        <v>84</v>
      </c>
    </row>
    <row r="443" spans="1:2" hidden="1">
      <c r="A443" s="62" t="s">
        <v>657</v>
      </c>
      <c r="B443" s="2" t="s">
        <v>84</v>
      </c>
    </row>
    <row r="444" spans="1:2" hidden="1">
      <c r="A444" s="62" t="s">
        <v>953</v>
      </c>
      <c r="B444" s="2" t="s">
        <v>84</v>
      </c>
    </row>
    <row r="445" spans="1:2" hidden="1">
      <c r="A445" s="62" t="s">
        <v>992</v>
      </c>
      <c r="B445" s="2" t="s">
        <v>84</v>
      </c>
    </row>
    <row r="446" spans="1:2" hidden="1">
      <c r="A446" s="62" t="s">
        <v>648</v>
      </c>
      <c r="B446" s="2" t="s">
        <v>84</v>
      </c>
    </row>
    <row r="447" spans="1:2" hidden="1">
      <c r="A447" s="62" t="s">
        <v>647</v>
      </c>
      <c r="B447" s="2" t="s">
        <v>84</v>
      </c>
    </row>
    <row r="448" spans="1:2" hidden="1">
      <c r="A448" s="62" t="s">
        <v>1044</v>
      </c>
      <c r="B448" s="2" t="s">
        <v>84</v>
      </c>
    </row>
    <row r="449" spans="1:2" hidden="1">
      <c r="A449" s="62" t="s">
        <v>1160</v>
      </c>
      <c r="B449" s="2" t="s">
        <v>84</v>
      </c>
    </row>
    <row r="450" spans="1:2" hidden="1">
      <c r="A450" s="62" t="s">
        <v>641</v>
      </c>
      <c r="B450" s="2" t="s">
        <v>84</v>
      </c>
    </row>
    <row r="451" spans="1:2" hidden="1">
      <c r="A451" s="62" t="s">
        <v>639</v>
      </c>
      <c r="B451" s="2" t="s">
        <v>84</v>
      </c>
    </row>
    <row r="452" spans="1:2" hidden="1">
      <c r="A452" s="62" t="s">
        <v>899</v>
      </c>
      <c r="B452" s="2" t="s">
        <v>84</v>
      </c>
    </row>
    <row r="453" spans="1:2" hidden="1">
      <c r="A453" s="62" t="s">
        <v>636</v>
      </c>
      <c r="B453" s="2" t="s">
        <v>84</v>
      </c>
    </row>
    <row r="454" spans="1:2" hidden="1">
      <c r="A454" s="62" t="s">
        <v>943</v>
      </c>
      <c r="B454" s="2" t="s">
        <v>84</v>
      </c>
    </row>
    <row r="455" spans="1:2" hidden="1">
      <c r="A455" s="62" t="s">
        <v>632</v>
      </c>
      <c r="B455" s="2" t="s">
        <v>84</v>
      </c>
    </row>
    <row r="456" spans="1:2" hidden="1">
      <c r="A456" s="62" t="s">
        <v>1148</v>
      </c>
      <c r="B456" s="2" t="s">
        <v>84</v>
      </c>
    </row>
    <row r="457" spans="1:2" hidden="1">
      <c r="A457" s="62" t="s">
        <v>627</v>
      </c>
      <c r="B457" s="2" t="s">
        <v>84</v>
      </c>
    </row>
    <row r="458" spans="1:2" hidden="1">
      <c r="A458" s="62" t="s">
        <v>629</v>
      </c>
      <c r="B458" s="2" t="s">
        <v>84</v>
      </c>
    </row>
    <row r="459" spans="1:2" hidden="1">
      <c r="A459" s="62" t="s">
        <v>1238</v>
      </c>
      <c r="B459" s="2" t="s">
        <v>84</v>
      </c>
    </row>
    <row r="460" spans="1:2" hidden="1">
      <c r="A460" s="62" t="s">
        <v>625</v>
      </c>
      <c r="B460" s="2" t="s">
        <v>84</v>
      </c>
    </row>
    <row r="461" spans="1:2" hidden="1">
      <c r="A461" s="62" t="s">
        <v>891</v>
      </c>
      <c r="B461" s="2" t="s">
        <v>84</v>
      </c>
    </row>
    <row r="462" spans="1:2" hidden="1">
      <c r="A462" s="62" t="s">
        <v>624</v>
      </c>
      <c r="B462" s="2" t="s">
        <v>84</v>
      </c>
    </row>
    <row r="463" spans="1:2" hidden="1">
      <c r="A463" s="62" t="s">
        <v>623</v>
      </c>
      <c r="B463" s="2" t="s">
        <v>84</v>
      </c>
    </row>
    <row r="464" spans="1:2" hidden="1">
      <c r="A464" s="62" t="s">
        <v>1289</v>
      </c>
      <c r="B464" s="2" t="s">
        <v>84</v>
      </c>
    </row>
    <row r="465" spans="1:2" hidden="1">
      <c r="A465" s="62" t="s">
        <v>620</v>
      </c>
      <c r="B465" s="2" t="s">
        <v>84</v>
      </c>
    </row>
    <row r="466" spans="1:2" hidden="1">
      <c r="A466" s="62" t="s">
        <v>619</v>
      </c>
      <c r="B466" s="2" t="s">
        <v>84</v>
      </c>
    </row>
    <row r="467" spans="1:2" hidden="1">
      <c r="A467" s="62" t="s">
        <v>613</v>
      </c>
      <c r="B467" s="2" t="s">
        <v>84</v>
      </c>
    </row>
    <row r="468" spans="1:2" hidden="1">
      <c r="A468" s="62" t="s">
        <v>616</v>
      </c>
      <c r="B468" s="2" t="s">
        <v>84</v>
      </c>
    </row>
    <row r="469" spans="1:2" hidden="1">
      <c r="A469" s="62" t="s">
        <v>963</v>
      </c>
      <c r="B469" s="2" t="s">
        <v>84</v>
      </c>
    </row>
    <row r="470" spans="1:2" hidden="1">
      <c r="A470" s="62" t="s">
        <v>1214</v>
      </c>
      <c r="B470" s="2" t="s">
        <v>84</v>
      </c>
    </row>
    <row r="471" spans="1:2" hidden="1">
      <c r="A471" s="62" t="s">
        <v>940</v>
      </c>
      <c r="B471" s="2" t="s">
        <v>84</v>
      </c>
    </row>
    <row r="472" spans="1:2" hidden="1">
      <c r="A472" s="62" t="s">
        <v>600</v>
      </c>
      <c r="B472" s="2" t="s">
        <v>84</v>
      </c>
    </row>
    <row r="473" spans="1:2" hidden="1">
      <c r="A473" s="62" t="s">
        <v>594</v>
      </c>
      <c r="B473" s="2" t="s">
        <v>84</v>
      </c>
    </row>
    <row r="474" spans="1:2" hidden="1">
      <c r="A474" s="62" t="s">
        <v>587</v>
      </c>
      <c r="B474" s="2" t="s">
        <v>84</v>
      </c>
    </row>
    <row r="475" spans="1:2" hidden="1">
      <c r="A475" s="62" t="s">
        <v>1334</v>
      </c>
      <c r="B475" s="2" t="s">
        <v>84</v>
      </c>
    </row>
    <row r="476" spans="1:2" hidden="1">
      <c r="A476" s="62" t="s">
        <v>591</v>
      </c>
      <c r="B476" s="2" t="s">
        <v>84</v>
      </c>
    </row>
    <row r="477" spans="1:2" hidden="1">
      <c r="A477" s="62" t="s">
        <v>1241</v>
      </c>
      <c r="B477" s="2" t="s">
        <v>84</v>
      </c>
    </row>
    <row r="478" spans="1:2" hidden="1">
      <c r="A478" s="62" t="s">
        <v>1179</v>
      </c>
      <c r="B478" s="2" t="s">
        <v>84</v>
      </c>
    </row>
    <row r="479" spans="1:2" hidden="1">
      <c r="A479" s="62" t="s">
        <v>584</v>
      </c>
      <c r="B479" s="2" t="s">
        <v>84</v>
      </c>
    </row>
    <row r="480" spans="1:2" hidden="1">
      <c r="A480" s="62" t="s">
        <v>1069</v>
      </c>
      <c r="B480" s="2" t="s">
        <v>84</v>
      </c>
    </row>
    <row r="481" spans="1:2" hidden="1">
      <c r="A481" s="62" t="s">
        <v>586</v>
      </c>
      <c r="B481" s="2" t="s">
        <v>84</v>
      </c>
    </row>
    <row r="482" spans="1:2" hidden="1">
      <c r="A482" s="62" t="s">
        <v>1180</v>
      </c>
      <c r="B482" s="2" t="s">
        <v>84</v>
      </c>
    </row>
    <row r="483" spans="1:2" hidden="1">
      <c r="A483" s="62" t="s">
        <v>579</v>
      </c>
      <c r="B483" s="2" t="s">
        <v>84</v>
      </c>
    </row>
    <row r="484" spans="1:2" hidden="1">
      <c r="A484" s="62" t="s">
        <v>574</v>
      </c>
      <c r="B484" s="2" t="s">
        <v>84</v>
      </c>
    </row>
    <row r="485" spans="1:2" hidden="1">
      <c r="A485" s="62" t="s">
        <v>575</v>
      </c>
      <c r="B485" s="2" t="s">
        <v>84</v>
      </c>
    </row>
    <row r="486" spans="1:2" hidden="1">
      <c r="A486" s="62" t="s">
        <v>568</v>
      </c>
      <c r="B486" s="2" t="s">
        <v>84</v>
      </c>
    </row>
    <row r="487" spans="1:2" hidden="1">
      <c r="A487" s="62" t="s">
        <v>570</v>
      </c>
      <c r="B487" s="2" t="s">
        <v>84</v>
      </c>
    </row>
    <row r="488" spans="1:2" hidden="1">
      <c r="A488" s="62" t="s">
        <v>572</v>
      </c>
      <c r="B488" s="2" t="s">
        <v>84</v>
      </c>
    </row>
    <row r="489" spans="1:2" hidden="1">
      <c r="A489" s="62" t="s">
        <v>1262</v>
      </c>
      <c r="B489" s="2" t="s">
        <v>84</v>
      </c>
    </row>
    <row r="490" spans="1:2" hidden="1">
      <c r="A490" s="62" t="s">
        <v>1351</v>
      </c>
      <c r="B490" s="2" t="s">
        <v>84</v>
      </c>
    </row>
    <row r="491" spans="1:2" hidden="1">
      <c r="A491" s="62" t="s">
        <v>562</v>
      </c>
      <c r="B491" s="2" t="s">
        <v>84</v>
      </c>
    </row>
    <row r="492" spans="1:2" hidden="1">
      <c r="A492" s="62" t="s">
        <v>563</v>
      </c>
      <c r="B492" s="2" t="s">
        <v>84</v>
      </c>
    </row>
    <row r="493" spans="1:2" hidden="1">
      <c r="A493" s="62" t="s">
        <v>564</v>
      </c>
      <c r="B493" s="2" t="s">
        <v>84</v>
      </c>
    </row>
    <row r="494" spans="1:2" hidden="1">
      <c r="A494" s="62" t="s">
        <v>982</v>
      </c>
      <c r="B494" s="2" t="s">
        <v>84</v>
      </c>
    </row>
    <row r="495" spans="1:2" hidden="1">
      <c r="A495" s="62" t="s">
        <v>983</v>
      </c>
      <c r="B495" s="2" t="s">
        <v>84</v>
      </c>
    </row>
    <row r="496" spans="1:2" hidden="1">
      <c r="A496" s="62" t="s">
        <v>870</v>
      </c>
      <c r="B496" s="2" t="s">
        <v>84</v>
      </c>
    </row>
    <row r="497" spans="1:2" hidden="1">
      <c r="A497" s="62" t="s">
        <v>566</v>
      </c>
      <c r="B497" s="2" t="s">
        <v>84</v>
      </c>
    </row>
    <row r="498" spans="1:2" hidden="1">
      <c r="A498" s="62" t="s">
        <v>938</v>
      </c>
      <c r="B498" s="2" t="s">
        <v>84</v>
      </c>
    </row>
    <row r="499" spans="1:2" hidden="1">
      <c r="A499" s="62" t="s">
        <v>939</v>
      </c>
      <c r="B499" s="2" t="s">
        <v>84</v>
      </c>
    </row>
    <row r="500" spans="1:2" hidden="1">
      <c r="A500" s="62" t="s">
        <v>558</v>
      </c>
      <c r="B500" s="2" t="s">
        <v>84</v>
      </c>
    </row>
    <row r="501" spans="1:2" hidden="1">
      <c r="A501" s="62" t="s">
        <v>559</v>
      </c>
      <c r="B501" s="2" t="s">
        <v>84</v>
      </c>
    </row>
    <row r="502" spans="1:2" hidden="1">
      <c r="A502" s="62" t="s">
        <v>914</v>
      </c>
      <c r="B502" s="2" t="s">
        <v>84</v>
      </c>
    </row>
    <row r="503" spans="1:2" hidden="1">
      <c r="A503" s="62" t="s">
        <v>550</v>
      </c>
      <c r="B503" s="2" t="s">
        <v>84</v>
      </c>
    </row>
    <row r="504" spans="1:2" hidden="1">
      <c r="A504" s="62" t="s">
        <v>890</v>
      </c>
      <c r="B504" s="2" t="s">
        <v>84</v>
      </c>
    </row>
    <row r="505" spans="1:2" hidden="1">
      <c r="A505" s="62" t="s">
        <v>912</v>
      </c>
      <c r="B505" s="2" t="s">
        <v>84</v>
      </c>
    </row>
    <row r="506" spans="1:2" hidden="1">
      <c r="A506" s="62" t="s">
        <v>553</v>
      </c>
      <c r="B506" s="2" t="s">
        <v>84</v>
      </c>
    </row>
    <row r="507" spans="1:2" hidden="1">
      <c r="A507" s="62" t="s">
        <v>1182</v>
      </c>
      <c r="B507" s="2" t="s">
        <v>84</v>
      </c>
    </row>
    <row r="508" spans="1:2" hidden="1">
      <c r="A508" s="62" t="s">
        <v>548</v>
      </c>
      <c r="B508" s="2" t="s">
        <v>84</v>
      </c>
    </row>
    <row r="509" spans="1:2" hidden="1">
      <c r="A509" s="62" t="s">
        <v>1121</v>
      </c>
      <c r="B509" s="2" t="s">
        <v>84</v>
      </c>
    </row>
    <row r="510" spans="1:2" hidden="1">
      <c r="A510" s="62" t="s">
        <v>546</v>
      </c>
      <c r="B510" s="2" t="s">
        <v>84</v>
      </c>
    </row>
    <row r="511" spans="1:2" hidden="1">
      <c r="A511" s="62" t="s">
        <v>1017</v>
      </c>
      <c r="B511" s="2" t="s">
        <v>84</v>
      </c>
    </row>
    <row r="512" spans="1:2" hidden="1">
      <c r="A512" s="62" t="s">
        <v>1320</v>
      </c>
      <c r="B512" s="2" t="s">
        <v>84</v>
      </c>
    </row>
    <row r="513" spans="1:2" hidden="1">
      <c r="A513" s="62" t="s">
        <v>539</v>
      </c>
      <c r="B513" s="2" t="s">
        <v>84</v>
      </c>
    </row>
    <row r="514" spans="1:2" hidden="1">
      <c r="A514" s="62" t="s">
        <v>1337</v>
      </c>
      <c r="B514" s="2" t="s">
        <v>84</v>
      </c>
    </row>
    <row r="515" spans="1:2" hidden="1">
      <c r="A515" s="62" t="s">
        <v>536</v>
      </c>
      <c r="B515" s="2" t="s">
        <v>84</v>
      </c>
    </row>
    <row r="516" spans="1:2" hidden="1">
      <c r="A516" s="62" t="s">
        <v>532</v>
      </c>
      <c r="B516" s="2" t="s">
        <v>84</v>
      </c>
    </row>
    <row r="517" spans="1:2" hidden="1">
      <c r="A517" s="62" t="s">
        <v>1247</v>
      </c>
      <c r="B517" s="2" t="s">
        <v>84</v>
      </c>
    </row>
    <row r="518" spans="1:2" hidden="1">
      <c r="A518" s="62" t="s">
        <v>530</v>
      </c>
      <c r="B518" s="2" t="s">
        <v>84</v>
      </c>
    </row>
    <row r="519" spans="1:2" hidden="1">
      <c r="A519" s="62" t="s">
        <v>529</v>
      </c>
      <c r="B519" s="2" t="s">
        <v>84</v>
      </c>
    </row>
    <row r="520" spans="1:2" hidden="1">
      <c r="A520" s="62" t="s">
        <v>522</v>
      </c>
      <c r="B520" s="2" t="s">
        <v>84</v>
      </c>
    </row>
    <row r="521" spans="1:2" hidden="1">
      <c r="A521" s="62" t="s">
        <v>523</v>
      </c>
      <c r="B521" s="2" t="s">
        <v>84</v>
      </c>
    </row>
    <row r="522" spans="1:2" hidden="1">
      <c r="A522" s="62" t="s">
        <v>526</v>
      </c>
      <c r="B522" s="2" t="s">
        <v>84</v>
      </c>
    </row>
    <row r="523" spans="1:2" hidden="1">
      <c r="A523" s="62" t="s">
        <v>520</v>
      </c>
      <c r="B523" s="2" t="s">
        <v>84</v>
      </c>
    </row>
    <row r="524" spans="1:2" hidden="1">
      <c r="A524" s="62" t="s">
        <v>1016</v>
      </c>
      <c r="B524" s="2" t="s">
        <v>84</v>
      </c>
    </row>
    <row r="525" spans="1:2" hidden="1">
      <c r="A525" s="62" t="s">
        <v>521</v>
      </c>
      <c r="B525" s="2" t="s">
        <v>84</v>
      </c>
    </row>
    <row r="526" spans="1:2" hidden="1">
      <c r="A526" s="62" t="s">
        <v>512</v>
      </c>
      <c r="B526" s="2" t="s">
        <v>84</v>
      </c>
    </row>
    <row r="527" spans="1:2" hidden="1">
      <c r="A527" s="62" t="s">
        <v>1183</v>
      </c>
      <c r="B527" s="2" t="s">
        <v>84</v>
      </c>
    </row>
    <row r="528" spans="1:2" hidden="1">
      <c r="A528" s="62" t="s">
        <v>979</v>
      </c>
      <c r="B528" s="2" t="s">
        <v>84</v>
      </c>
    </row>
    <row r="529" spans="1:2" hidden="1">
      <c r="A529" s="62" t="s">
        <v>857</v>
      </c>
      <c r="B529" s="2" t="s">
        <v>84</v>
      </c>
    </row>
    <row r="530" spans="1:2" hidden="1">
      <c r="A530" s="62" t="s">
        <v>1118</v>
      </c>
      <c r="B530" s="2" t="s">
        <v>84</v>
      </c>
    </row>
    <row r="531" spans="1:2" hidden="1">
      <c r="A531" s="62" t="s">
        <v>493</v>
      </c>
      <c r="B531" s="2" t="s">
        <v>84</v>
      </c>
    </row>
    <row r="532" spans="1:2" hidden="1">
      <c r="A532" s="62" t="s">
        <v>888</v>
      </c>
      <c r="B532" s="2" t="s">
        <v>84</v>
      </c>
    </row>
    <row r="533" spans="1:2" hidden="1">
      <c r="A533" s="62" t="s">
        <v>483</v>
      </c>
      <c r="B533" s="2" t="s">
        <v>84</v>
      </c>
    </row>
    <row r="534" spans="1:2" hidden="1">
      <c r="A534" s="62" t="s">
        <v>1099</v>
      </c>
      <c r="B534" s="2" t="s">
        <v>84</v>
      </c>
    </row>
    <row r="535" spans="1:2" hidden="1">
      <c r="A535" s="62" t="s">
        <v>484</v>
      </c>
      <c r="B535" s="2" t="s">
        <v>84</v>
      </c>
    </row>
    <row r="536" spans="1:2" hidden="1">
      <c r="A536" s="62" t="s">
        <v>1003</v>
      </c>
      <c r="B536" s="2" t="s">
        <v>84</v>
      </c>
    </row>
    <row r="537" spans="1:2" hidden="1">
      <c r="A537" s="62" t="s">
        <v>481</v>
      </c>
      <c r="B537" s="2" t="s">
        <v>84</v>
      </c>
    </row>
    <row r="538" spans="1:2" hidden="1">
      <c r="A538" s="62" t="s">
        <v>475</v>
      </c>
      <c r="B538" s="2" t="s">
        <v>84</v>
      </c>
    </row>
    <row r="539" spans="1:2" hidden="1">
      <c r="A539" s="62" t="s">
        <v>466</v>
      </c>
      <c r="B539" s="2" t="s">
        <v>84</v>
      </c>
    </row>
    <row r="540" spans="1:2" hidden="1">
      <c r="A540" s="62" t="s">
        <v>907</v>
      </c>
      <c r="B540" s="2" t="s">
        <v>84</v>
      </c>
    </row>
    <row r="541" spans="1:2" hidden="1">
      <c r="A541" s="62" t="s">
        <v>467</v>
      </c>
      <c r="B541" s="2" t="s">
        <v>84</v>
      </c>
    </row>
    <row r="542" spans="1:2" hidden="1">
      <c r="A542" s="62" t="s">
        <v>868</v>
      </c>
      <c r="B542" s="2" t="s">
        <v>84</v>
      </c>
    </row>
    <row r="543" spans="1:2" hidden="1">
      <c r="A543" s="62" t="s">
        <v>1037</v>
      </c>
      <c r="B543" s="2" t="s">
        <v>84</v>
      </c>
    </row>
    <row r="544" spans="1:2" hidden="1">
      <c r="A544" s="62" t="s">
        <v>897</v>
      </c>
      <c r="B544" s="2" t="s">
        <v>84</v>
      </c>
    </row>
    <row r="545" spans="1:2" hidden="1">
      <c r="A545" s="62" t="s">
        <v>1217</v>
      </c>
      <c r="B545" s="2" t="s">
        <v>84</v>
      </c>
    </row>
    <row r="546" spans="1:2" hidden="1">
      <c r="A546" s="62" t="s">
        <v>886</v>
      </c>
      <c r="B546" s="2" t="s">
        <v>84</v>
      </c>
    </row>
    <row r="547" spans="1:2" hidden="1">
      <c r="A547" s="62" t="s">
        <v>459</v>
      </c>
      <c r="B547" s="2" t="s">
        <v>84</v>
      </c>
    </row>
    <row r="548" spans="1:2" hidden="1">
      <c r="A548" s="62" t="s">
        <v>950</v>
      </c>
      <c r="B548" s="2" t="s">
        <v>84</v>
      </c>
    </row>
    <row r="549" spans="1:2" hidden="1">
      <c r="A549" s="62" t="s">
        <v>1164</v>
      </c>
      <c r="B549" s="2" t="s">
        <v>84</v>
      </c>
    </row>
    <row r="550" spans="1:2" hidden="1">
      <c r="A550" s="62" t="s">
        <v>409</v>
      </c>
      <c r="B550" s="2" t="s">
        <v>84</v>
      </c>
    </row>
    <row r="551" spans="1:2" hidden="1">
      <c r="A551" s="62" t="s">
        <v>1036</v>
      </c>
      <c r="B551" s="2" t="s">
        <v>84</v>
      </c>
    </row>
    <row r="552" spans="1:2" hidden="1">
      <c r="A552" s="62" t="s">
        <v>978</v>
      </c>
      <c r="B552" s="2" t="s">
        <v>84</v>
      </c>
    </row>
    <row r="553" spans="1:2" hidden="1">
      <c r="A553" s="62" t="s">
        <v>937</v>
      </c>
      <c r="B553" s="2" t="s">
        <v>84</v>
      </c>
    </row>
    <row r="554" spans="1:2" hidden="1">
      <c r="A554" s="62" t="s">
        <v>453</v>
      </c>
      <c r="B554" s="2" t="s">
        <v>84</v>
      </c>
    </row>
    <row r="555" spans="1:2" hidden="1">
      <c r="A555" s="62" t="s">
        <v>449</v>
      </c>
      <c r="B555" s="2" t="s">
        <v>84</v>
      </c>
    </row>
    <row r="556" spans="1:2" hidden="1">
      <c r="A556" s="62" t="s">
        <v>1096</v>
      </c>
      <c r="B556" s="2" t="s">
        <v>84</v>
      </c>
    </row>
    <row r="557" spans="1:2" hidden="1">
      <c r="A557" s="62" t="s">
        <v>450</v>
      </c>
      <c r="B557" s="2" t="s">
        <v>84</v>
      </c>
    </row>
    <row r="558" spans="1:2" hidden="1">
      <c r="A558" s="62" t="s">
        <v>451</v>
      </c>
      <c r="B558" s="2" t="s">
        <v>84</v>
      </c>
    </row>
    <row r="559" spans="1:2" hidden="1">
      <c r="A559" s="62" t="s">
        <v>452</v>
      </c>
      <c r="B559" s="2" t="s">
        <v>84</v>
      </c>
    </row>
    <row r="560" spans="1:2" hidden="1">
      <c r="A560" s="62" t="s">
        <v>435</v>
      </c>
      <c r="B560" s="2" t="s">
        <v>84</v>
      </c>
    </row>
    <row r="561" spans="1:2" hidden="1">
      <c r="A561" s="62" t="s">
        <v>439</v>
      </c>
      <c r="B561" s="2" t="s">
        <v>84</v>
      </c>
    </row>
    <row r="562" spans="1:2" hidden="1">
      <c r="A562" s="62" t="s">
        <v>440</v>
      </c>
      <c r="B562" s="2" t="s">
        <v>84</v>
      </c>
    </row>
    <row r="563" spans="1:2" hidden="1">
      <c r="A563" s="62" t="s">
        <v>1063</v>
      </c>
      <c r="B563" s="2" t="s">
        <v>84</v>
      </c>
    </row>
    <row r="564" spans="1:2" hidden="1">
      <c r="A564" s="62" t="s">
        <v>1339</v>
      </c>
      <c r="B564" s="2" t="s">
        <v>84</v>
      </c>
    </row>
    <row r="565" spans="1:2" hidden="1">
      <c r="A565" s="62" t="s">
        <v>1062</v>
      </c>
      <c r="B565" s="2" t="s">
        <v>84</v>
      </c>
    </row>
    <row r="566" spans="1:2" hidden="1">
      <c r="A566" s="62" t="s">
        <v>432</v>
      </c>
      <c r="B566" s="2" t="s">
        <v>84</v>
      </c>
    </row>
    <row r="567" spans="1:2" hidden="1">
      <c r="A567" s="62" t="s">
        <v>433</v>
      </c>
      <c r="B567" s="2" t="s">
        <v>84</v>
      </c>
    </row>
    <row r="568" spans="1:2" hidden="1">
      <c r="A568" s="62" t="s">
        <v>1135</v>
      </c>
      <c r="B568" s="2" t="s">
        <v>84</v>
      </c>
    </row>
    <row r="569" spans="1:2" hidden="1">
      <c r="A569" s="62" t="s">
        <v>427</v>
      </c>
      <c r="B569" s="2" t="s">
        <v>84</v>
      </c>
    </row>
    <row r="570" spans="1:2" hidden="1">
      <c r="A570" s="62" t="s">
        <v>429</v>
      </c>
      <c r="B570" s="2" t="s">
        <v>84</v>
      </c>
    </row>
    <row r="571" spans="1:2" hidden="1">
      <c r="A571" s="62" t="s">
        <v>1341</v>
      </c>
      <c r="B571" s="2" t="s">
        <v>84</v>
      </c>
    </row>
    <row r="572" spans="1:2" hidden="1">
      <c r="A572" s="62" t="s">
        <v>423</v>
      </c>
      <c r="B572" s="2" t="s">
        <v>84</v>
      </c>
    </row>
    <row r="573" spans="1:2" hidden="1">
      <c r="A573" s="62" t="s">
        <v>424</v>
      </c>
      <c r="B573" s="2" t="s">
        <v>84</v>
      </c>
    </row>
    <row r="574" spans="1:2" hidden="1">
      <c r="A574" s="62" t="s">
        <v>1013</v>
      </c>
      <c r="B574" s="2" t="s">
        <v>84</v>
      </c>
    </row>
    <row r="575" spans="1:2" hidden="1">
      <c r="A575" s="62" t="s">
        <v>949</v>
      </c>
      <c r="B575" s="2" t="s">
        <v>84</v>
      </c>
    </row>
    <row r="576" spans="1:2" hidden="1">
      <c r="A576" s="62" t="s">
        <v>420</v>
      </c>
      <c r="B576" s="2" t="s">
        <v>84</v>
      </c>
    </row>
    <row r="577" spans="1:2" hidden="1">
      <c r="A577" s="62" t="s">
        <v>1184</v>
      </c>
      <c r="B577" s="2" t="s">
        <v>84</v>
      </c>
    </row>
    <row r="578" spans="1:2" hidden="1">
      <c r="A578" s="62" t="s">
        <v>422</v>
      </c>
      <c r="B578" s="2" t="s">
        <v>84</v>
      </c>
    </row>
    <row r="579" spans="1:2" hidden="1">
      <c r="A579" s="62" t="s">
        <v>1115</v>
      </c>
      <c r="B579" s="2" t="s">
        <v>84</v>
      </c>
    </row>
    <row r="580" spans="1:2" hidden="1">
      <c r="A580" s="62" t="s">
        <v>415</v>
      </c>
      <c r="B580" s="2" t="s">
        <v>84</v>
      </c>
    </row>
    <row r="581" spans="1:2" hidden="1">
      <c r="A581" s="62" t="s">
        <v>1322</v>
      </c>
      <c r="B581" s="2" t="s">
        <v>84</v>
      </c>
    </row>
    <row r="582" spans="1:2" hidden="1">
      <c r="A582" s="62" t="s">
        <v>1352</v>
      </c>
      <c r="B582" s="2" t="s">
        <v>84</v>
      </c>
    </row>
    <row r="583" spans="1:2" hidden="1">
      <c r="A583" s="62" t="s">
        <v>1218</v>
      </c>
      <c r="B583" s="2" t="s">
        <v>84</v>
      </c>
    </row>
    <row r="584" spans="1:2" hidden="1">
      <c r="A584" s="62" t="s">
        <v>1267</v>
      </c>
      <c r="B584" s="2" t="s">
        <v>84</v>
      </c>
    </row>
    <row r="585" spans="1:2" hidden="1">
      <c r="A585" s="62" t="s">
        <v>412</v>
      </c>
      <c r="B585" s="2" t="s">
        <v>84</v>
      </c>
    </row>
    <row r="586" spans="1:2" hidden="1">
      <c r="A586" s="62" t="s">
        <v>408</v>
      </c>
      <c r="B586" s="2" t="s">
        <v>84</v>
      </c>
    </row>
    <row r="587" spans="1:2" hidden="1">
      <c r="A587" s="62" t="s">
        <v>407</v>
      </c>
      <c r="B587" s="2" t="s">
        <v>84</v>
      </c>
    </row>
    <row r="588" spans="1:2" hidden="1">
      <c r="A588" s="62" t="s">
        <v>1034</v>
      </c>
      <c r="B588" s="2" t="s">
        <v>84</v>
      </c>
    </row>
    <row r="589" spans="1:2" hidden="1">
      <c r="A589" s="62" t="s">
        <v>367</v>
      </c>
      <c r="B589" s="2" t="s">
        <v>84</v>
      </c>
    </row>
    <row r="590" spans="1:2" hidden="1">
      <c r="A590" s="62" t="s">
        <v>877</v>
      </c>
      <c r="B590" s="2" t="s">
        <v>84</v>
      </c>
    </row>
    <row r="591" spans="1:2" hidden="1">
      <c r="A591" s="62" t="s">
        <v>1001</v>
      </c>
      <c r="B591" s="2" t="s">
        <v>84</v>
      </c>
    </row>
    <row r="592" spans="1:2" hidden="1">
      <c r="A592" s="62" t="s">
        <v>405</v>
      </c>
      <c r="B592" s="2" t="s">
        <v>84</v>
      </c>
    </row>
    <row r="593" spans="1:2" hidden="1">
      <c r="A593" s="62" t="s">
        <v>406</v>
      </c>
      <c r="B593" s="2" t="s">
        <v>84</v>
      </c>
    </row>
    <row r="594" spans="1:2" hidden="1">
      <c r="A594" s="62" t="s">
        <v>896</v>
      </c>
      <c r="B594" s="2" t="s">
        <v>84</v>
      </c>
    </row>
    <row r="595" spans="1:2" hidden="1">
      <c r="A595" s="62" t="s">
        <v>404</v>
      </c>
      <c r="B595" s="2" t="s">
        <v>84</v>
      </c>
    </row>
    <row r="596" spans="1:2" hidden="1">
      <c r="A596" s="62" t="s">
        <v>1165</v>
      </c>
      <c r="B596" s="2" t="s">
        <v>84</v>
      </c>
    </row>
    <row r="597" spans="1:2" hidden="1">
      <c r="A597" s="62" t="s">
        <v>388</v>
      </c>
      <c r="B597" s="2" t="s">
        <v>84</v>
      </c>
    </row>
    <row r="598" spans="1:2" hidden="1">
      <c r="A598" s="62" t="s">
        <v>389</v>
      </c>
      <c r="B598" s="2" t="s">
        <v>84</v>
      </c>
    </row>
    <row r="599" spans="1:2" hidden="1">
      <c r="A599" s="62" t="s">
        <v>384</v>
      </c>
      <c r="B599" s="2" t="s">
        <v>84</v>
      </c>
    </row>
    <row r="600" spans="1:2" hidden="1">
      <c r="A600" s="62" t="s">
        <v>386</v>
      </c>
      <c r="B600" s="2" t="s">
        <v>84</v>
      </c>
    </row>
    <row r="601" spans="1:2" hidden="1">
      <c r="A601" s="62" t="s">
        <v>387</v>
      </c>
      <c r="B601" s="2" t="s">
        <v>84</v>
      </c>
    </row>
    <row r="602" spans="1:2" hidden="1">
      <c r="A602" s="62" t="s">
        <v>1131</v>
      </c>
      <c r="B602" s="2" t="s">
        <v>84</v>
      </c>
    </row>
    <row r="603" spans="1:2" hidden="1">
      <c r="A603" s="62" t="s">
        <v>378</v>
      </c>
      <c r="B603" s="2" t="s">
        <v>84</v>
      </c>
    </row>
    <row r="604" spans="1:2" hidden="1">
      <c r="A604" s="62" t="s">
        <v>1031</v>
      </c>
      <c r="B604" s="2" t="s">
        <v>84</v>
      </c>
    </row>
    <row r="605" spans="1:2" hidden="1">
      <c r="A605" s="62" t="s">
        <v>1220</v>
      </c>
      <c r="B605" s="2" t="s">
        <v>84</v>
      </c>
    </row>
    <row r="606" spans="1:2" hidden="1">
      <c r="A606" s="62" t="s">
        <v>1114</v>
      </c>
      <c r="B606" s="2" t="s">
        <v>84</v>
      </c>
    </row>
    <row r="607" spans="1:2" hidden="1">
      <c r="A607" s="62" t="s">
        <v>959</v>
      </c>
      <c r="B607" s="2" t="s">
        <v>84</v>
      </c>
    </row>
    <row r="608" spans="1:2" hidden="1">
      <c r="A608" s="62" t="s">
        <v>935</v>
      </c>
      <c r="B608" s="2" t="s">
        <v>84</v>
      </c>
    </row>
    <row r="609" spans="1:2" hidden="1">
      <c r="A609" s="62" t="s">
        <v>370</v>
      </c>
      <c r="B609" s="2" t="s">
        <v>84</v>
      </c>
    </row>
    <row r="610" spans="1:2" hidden="1">
      <c r="A610" s="62" t="s">
        <v>366</v>
      </c>
      <c r="B610" s="2" t="s">
        <v>84</v>
      </c>
    </row>
    <row r="611" spans="1:2" hidden="1">
      <c r="A611" s="62" t="s">
        <v>1295</v>
      </c>
      <c r="B611" s="2" t="s">
        <v>84</v>
      </c>
    </row>
    <row r="612" spans="1:2" hidden="1">
      <c r="A612" s="62" t="s">
        <v>738</v>
      </c>
      <c r="B612" s="2" t="s">
        <v>84</v>
      </c>
    </row>
    <row r="613" spans="1:2" hidden="1">
      <c r="A613" s="62" t="s">
        <v>1127</v>
      </c>
      <c r="B613" s="2" t="s">
        <v>84</v>
      </c>
    </row>
    <row r="614" spans="1:2" hidden="1">
      <c r="A614" s="62" t="s">
        <v>1157</v>
      </c>
      <c r="B614" s="2" t="s">
        <v>84</v>
      </c>
    </row>
    <row r="615" spans="1:2" hidden="1">
      <c r="A615" s="62" t="s">
        <v>1353</v>
      </c>
      <c r="B615" s="2" t="s">
        <v>84</v>
      </c>
    </row>
    <row r="616" spans="1:2" hidden="1">
      <c r="A616" s="62" t="s">
        <v>1256</v>
      </c>
      <c r="B616" s="2" t="s">
        <v>84</v>
      </c>
    </row>
    <row r="617" spans="1:2" hidden="1">
      <c r="A617" s="62" t="s">
        <v>1154</v>
      </c>
      <c r="B617" s="2" t="s">
        <v>84</v>
      </c>
    </row>
    <row r="618" spans="1:2" hidden="1">
      <c r="A618" s="62" t="s">
        <v>1158</v>
      </c>
      <c r="B618" s="2" t="s">
        <v>84</v>
      </c>
    </row>
    <row r="619" spans="1:2" hidden="1">
      <c r="A619" s="62" t="s">
        <v>1076</v>
      </c>
      <c r="B619" s="2" t="s">
        <v>84</v>
      </c>
    </row>
    <row r="620" spans="1:2" hidden="1">
      <c r="A620" s="62" t="s">
        <v>1354</v>
      </c>
      <c r="B620" s="2" t="s">
        <v>84</v>
      </c>
    </row>
    <row r="621" spans="1:2" hidden="1">
      <c r="A621" s="62" t="s">
        <v>1282</v>
      </c>
      <c r="B621" s="2" t="s">
        <v>84</v>
      </c>
    </row>
    <row r="622" spans="1:2" hidden="1">
      <c r="A622" s="62" t="s">
        <v>1309</v>
      </c>
      <c r="B622" s="2" t="s">
        <v>84</v>
      </c>
    </row>
    <row r="623" spans="1:2" hidden="1">
      <c r="A623" s="62" t="s">
        <v>1283</v>
      </c>
      <c r="B623" s="2" t="s">
        <v>84</v>
      </c>
    </row>
    <row r="624" spans="1:2" hidden="1">
      <c r="A624" s="62" t="s">
        <v>728</v>
      </c>
      <c r="B624" s="2" t="s">
        <v>84</v>
      </c>
    </row>
    <row r="625" spans="1:2" hidden="1">
      <c r="A625" s="62" t="s">
        <v>1355</v>
      </c>
      <c r="B625" s="2" t="s">
        <v>84</v>
      </c>
    </row>
    <row r="626" spans="1:2" hidden="1">
      <c r="A626" s="62" t="s">
        <v>1006</v>
      </c>
      <c r="B626" s="2" t="s">
        <v>84</v>
      </c>
    </row>
    <row r="627" spans="1:2" hidden="1">
      <c r="A627" s="62" t="s">
        <v>930</v>
      </c>
      <c r="B627" s="2" t="s">
        <v>84</v>
      </c>
    </row>
    <row r="628" spans="1:2" hidden="1">
      <c r="A628" s="62" t="s">
        <v>1235</v>
      </c>
      <c r="B628" s="2" t="s">
        <v>84</v>
      </c>
    </row>
    <row r="629" spans="1:2" hidden="1">
      <c r="A629" s="62" t="s">
        <v>1285</v>
      </c>
      <c r="B629" s="2" t="s">
        <v>84</v>
      </c>
    </row>
    <row r="630" spans="1:2" hidden="1">
      <c r="A630" s="62" t="s">
        <v>1286</v>
      </c>
      <c r="B630" s="2" t="s">
        <v>84</v>
      </c>
    </row>
    <row r="631" spans="1:2" hidden="1">
      <c r="A631" s="62" t="s">
        <v>716</v>
      </c>
      <c r="B631" s="2" t="s">
        <v>84</v>
      </c>
    </row>
    <row r="632" spans="1:2" hidden="1">
      <c r="A632" s="62" t="s">
        <v>1104</v>
      </c>
      <c r="B632" s="2" t="s">
        <v>84</v>
      </c>
    </row>
    <row r="633" spans="1:2" hidden="1">
      <c r="A633" s="62" t="s">
        <v>1356</v>
      </c>
      <c r="B633" s="2" t="s">
        <v>84</v>
      </c>
    </row>
    <row r="634" spans="1:2" hidden="1">
      <c r="A634" s="62" t="s">
        <v>1213</v>
      </c>
      <c r="B634" s="2" t="s">
        <v>84</v>
      </c>
    </row>
    <row r="635" spans="1:2" hidden="1">
      <c r="A635" s="62" t="s">
        <v>986</v>
      </c>
      <c r="B635" s="2" t="s">
        <v>84</v>
      </c>
    </row>
    <row r="636" spans="1:2" hidden="1">
      <c r="A636" s="62" t="s">
        <v>709</v>
      </c>
      <c r="B636" s="2" t="s">
        <v>84</v>
      </c>
    </row>
    <row r="637" spans="1:2" hidden="1">
      <c r="A637" s="62" t="s">
        <v>1075</v>
      </c>
      <c r="B637" s="2" t="s">
        <v>84</v>
      </c>
    </row>
    <row r="638" spans="1:2" hidden="1">
      <c r="A638" s="62" t="s">
        <v>681</v>
      </c>
      <c r="B638" s="2" t="s">
        <v>84</v>
      </c>
    </row>
    <row r="639" spans="1:2" hidden="1">
      <c r="A639" s="62" t="s">
        <v>972</v>
      </c>
      <c r="B639" s="2" t="s">
        <v>84</v>
      </c>
    </row>
    <row r="640" spans="1:2" hidden="1">
      <c r="A640" s="62" t="s">
        <v>1125</v>
      </c>
      <c r="B640" s="2" t="s">
        <v>84</v>
      </c>
    </row>
    <row r="641" spans="1:2" hidden="1">
      <c r="A641" s="62" t="s">
        <v>1258</v>
      </c>
      <c r="B641" s="2" t="s">
        <v>84</v>
      </c>
    </row>
    <row r="642" spans="1:2" hidden="1">
      <c r="A642" s="62" t="s">
        <v>944</v>
      </c>
      <c r="B642" s="2" t="s">
        <v>84</v>
      </c>
    </row>
    <row r="643" spans="1:2" hidden="1">
      <c r="A643" s="62" t="s">
        <v>873</v>
      </c>
      <c r="B643" s="2" t="s">
        <v>84</v>
      </c>
    </row>
    <row r="644" spans="1:2" hidden="1">
      <c r="A644" s="62" t="s">
        <v>902</v>
      </c>
      <c r="B644" s="2" t="s">
        <v>84</v>
      </c>
    </row>
    <row r="645" spans="1:2" hidden="1">
      <c r="A645" s="62" t="s">
        <v>985</v>
      </c>
      <c r="B645" s="2" t="s">
        <v>84</v>
      </c>
    </row>
    <row r="646" spans="1:2" hidden="1">
      <c r="A646" s="62" t="s">
        <v>1236</v>
      </c>
      <c r="B646" s="2" t="s">
        <v>84</v>
      </c>
    </row>
    <row r="647" spans="1:2" hidden="1">
      <c r="A647" s="62" t="s">
        <v>1311</v>
      </c>
      <c r="B647" s="2" t="s">
        <v>84</v>
      </c>
    </row>
    <row r="648" spans="1:2" hidden="1">
      <c r="A648" s="62" t="s">
        <v>660</v>
      </c>
      <c r="B648" s="2" t="s">
        <v>84</v>
      </c>
    </row>
    <row r="649" spans="1:2" hidden="1">
      <c r="A649" s="62" t="s">
        <v>1237</v>
      </c>
      <c r="B649" s="2" t="s">
        <v>84</v>
      </c>
    </row>
    <row r="650" spans="1:2" hidden="1">
      <c r="A650" s="62" t="s">
        <v>659</v>
      </c>
      <c r="B650" s="2" t="s">
        <v>84</v>
      </c>
    </row>
    <row r="651" spans="1:2" hidden="1">
      <c r="A651" s="62" t="s">
        <v>928</v>
      </c>
      <c r="B651" s="2" t="s">
        <v>84</v>
      </c>
    </row>
    <row r="652" spans="1:2" hidden="1">
      <c r="A652" s="62" t="s">
        <v>1150</v>
      </c>
      <c r="B652" s="2" t="s">
        <v>84</v>
      </c>
    </row>
    <row r="653" spans="1:2" hidden="1">
      <c r="A653" s="62" t="s">
        <v>656</v>
      </c>
      <c r="B653" s="2" t="s">
        <v>84</v>
      </c>
    </row>
    <row r="654" spans="1:2" hidden="1">
      <c r="A654" s="62" t="s">
        <v>927</v>
      </c>
      <c r="B654" s="2" t="s">
        <v>84</v>
      </c>
    </row>
    <row r="655" spans="1:2" hidden="1">
      <c r="A655" s="62" t="s">
        <v>651</v>
      </c>
      <c r="B655" s="2" t="s">
        <v>84</v>
      </c>
    </row>
    <row r="656" spans="1:2" hidden="1">
      <c r="A656" s="62" t="s">
        <v>652</v>
      </c>
      <c r="B656" s="2" t="s">
        <v>84</v>
      </c>
    </row>
    <row r="657" spans="1:2" hidden="1">
      <c r="A657" s="62" t="s">
        <v>653</v>
      </c>
      <c r="B657" s="2" t="s">
        <v>84</v>
      </c>
    </row>
    <row r="658" spans="1:2" hidden="1">
      <c r="A658" s="62" t="s">
        <v>1175</v>
      </c>
      <c r="B658" s="2" t="s">
        <v>84</v>
      </c>
    </row>
    <row r="659" spans="1:2" hidden="1">
      <c r="A659" s="62" t="s">
        <v>1045</v>
      </c>
      <c r="B659" s="2" t="s">
        <v>84</v>
      </c>
    </row>
    <row r="660" spans="1:2" hidden="1">
      <c r="A660" s="62" t="s">
        <v>646</v>
      </c>
      <c r="B660" s="2" t="s">
        <v>84</v>
      </c>
    </row>
    <row r="661" spans="1:2" hidden="1">
      <c r="A661" s="62" t="s">
        <v>640</v>
      </c>
      <c r="B661" s="2" t="s">
        <v>84</v>
      </c>
    </row>
    <row r="662" spans="1:2" hidden="1">
      <c r="A662" s="62" t="s">
        <v>642</v>
      </c>
      <c r="B662" s="2" t="s">
        <v>84</v>
      </c>
    </row>
    <row r="663" spans="1:2" hidden="1">
      <c r="A663" s="62" t="s">
        <v>1071</v>
      </c>
      <c r="B663" s="2" t="s">
        <v>84</v>
      </c>
    </row>
    <row r="664" spans="1:2" hidden="1">
      <c r="A664" s="62" t="s">
        <v>638</v>
      </c>
      <c r="B664" s="2" t="s">
        <v>84</v>
      </c>
    </row>
    <row r="665" spans="1:2" hidden="1">
      <c r="A665" s="62" t="s">
        <v>1070</v>
      </c>
      <c r="B665" s="2" t="s">
        <v>84</v>
      </c>
    </row>
    <row r="666" spans="1:2" hidden="1">
      <c r="A666" s="62" t="s">
        <v>1261</v>
      </c>
      <c r="B666" s="2" t="s">
        <v>84</v>
      </c>
    </row>
    <row r="667" spans="1:2" hidden="1">
      <c r="A667" s="62" t="s">
        <v>628</v>
      </c>
      <c r="B667" s="2" t="s">
        <v>84</v>
      </c>
    </row>
    <row r="668" spans="1:2" hidden="1">
      <c r="A668" s="62" t="s">
        <v>1161</v>
      </c>
      <c r="B668" s="2" t="s">
        <v>84</v>
      </c>
    </row>
    <row r="669" spans="1:2" hidden="1">
      <c r="A669" s="62" t="s">
        <v>1147</v>
      </c>
      <c r="B669" s="2" t="s">
        <v>84</v>
      </c>
    </row>
    <row r="670" spans="1:2" hidden="1">
      <c r="A670" s="62" t="s">
        <v>1288</v>
      </c>
      <c r="B670" s="2" t="s">
        <v>84</v>
      </c>
    </row>
    <row r="671" spans="1:2" hidden="1">
      <c r="A671" s="62" t="s">
        <v>1332</v>
      </c>
      <c r="B671" s="2" t="s">
        <v>84</v>
      </c>
    </row>
    <row r="672" spans="1:2" hidden="1">
      <c r="A672" s="62" t="s">
        <v>1319</v>
      </c>
      <c r="B672" s="2" t="s">
        <v>84</v>
      </c>
    </row>
    <row r="673" spans="1:2" hidden="1">
      <c r="A673" s="62" t="s">
        <v>1124</v>
      </c>
      <c r="B673" s="2" t="s">
        <v>84</v>
      </c>
    </row>
    <row r="674" spans="1:2" hidden="1">
      <c r="A674" s="62" t="s">
        <v>1333</v>
      </c>
      <c r="B674" s="2" t="s">
        <v>84</v>
      </c>
    </row>
    <row r="675" spans="1:2" hidden="1">
      <c r="A675" s="62" t="s">
        <v>1239</v>
      </c>
      <c r="B675" s="2" t="s">
        <v>84</v>
      </c>
    </row>
    <row r="676" spans="1:2" hidden="1">
      <c r="A676" s="62" t="s">
        <v>612</v>
      </c>
      <c r="B676" s="2" t="s">
        <v>84</v>
      </c>
    </row>
    <row r="677" spans="1:2" hidden="1">
      <c r="A677" s="62" t="s">
        <v>611</v>
      </c>
      <c r="B677" s="2" t="s">
        <v>84</v>
      </c>
    </row>
    <row r="678" spans="1:2" hidden="1">
      <c r="A678" s="62" t="s">
        <v>609</v>
      </c>
      <c r="B678" s="2" t="s">
        <v>84</v>
      </c>
    </row>
    <row r="679" spans="1:2" hidden="1">
      <c r="A679" s="62" t="s">
        <v>1102</v>
      </c>
      <c r="B679" s="2" t="s">
        <v>84</v>
      </c>
    </row>
    <row r="680" spans="1:2" hidden="1">
      <c r="A680" s="62" t="s">
        <v>1357</v>
      </c>
      <c r="B680" s="2" t="s">
        <v>84</v>
      </c>
    </row>
    <row r="681" spans="1:2" hidden="1">
      <c r="A681" s="62" t="s">
        <v>1042</v>
      </c>
      <c r="B681" s="2" t="s">
        <v>84</v>
      </c>
    </row>
    <row r="682" spans="1:2" hidden="1">
      <c r="A682" s="62" t="s">
        <v>1240</v>
      </c>
      <c r="B682" s="2" t="s">
        <v>84</v>
      </c>
    </row>
    <row r="683" spans="1:2" hidden="1">
      <c r="A683" s="62" t="s">
        <v>596</v>
      </c>
      <c r="B683" s="2" t="s">
        <v>84</v>
      </c>
    </row>
    <row r="684" spans="1:2" hidden="1">
      <c r="A684" s="62" t="s">
        <v>1144</v>
      </c>
      <c r="B684" s="2" t="s">
        <v>84</v>
      </c>
    </row>
    <row r="685" spans="1:2" hidden="1">
      <c r="A685" s="62" t="s">
        <v>599</v>
      </c>
      <c r="B685" s="2" t="s">
        <v>84</v>
      </c>
    </row>
    <row r="686" spans="1:2" hidden="1">
      <c r="A686" s="62" t="s">
        <v>1176</v>
      </c>
      <c r="B686" s="2" t="s">
        <v>84</v>
      </c>
    </row>
    <row r="687" spans="1:2" hidden="1">
      <c r="A687" s="62" t="s">
        <v>593</v>
      </c>
      <c r="B687" s="2" t="s">
        <v>84</v>
      </c>
    </row>
    <row r="688" spans="1:2" hidden="1">
      <c r="A688" s="62" t="s">
        <v>1028</v>
      </c>
      <c r="B688" s="2" t="s">
        <v>84</v>
      </c>
    </row>
    <row r="689" spans="1:2" hidden="1">
      <c r="A689" s="62" t="s">
        <v>952</v>
      </c>
      <c r="B689" s="2" t="s">
        <v>84</v>
      </c>
    </row>
    <row r="690" spans="1:2" hidden="1">
      <c r="A690" s="62" t="s">
        <v>1143</v>
      </c>
      <c r="B690" s="2" t="s">
        <v>84</v>
      </c>
    </row>
    <row r="691" spans="1:2" hidden="1">
      <c r="A691" s="62" t="s">
        <v>1162</v>
      </c>
      <c r="B691" s="2" t="s">
        <v>84</v>
      </c>
    </row>
    <row r="692" spans="1:2" hidden="1">
      <c r="A692" s="62" t="s">
        <v>1358</v>
      </c>
      <c r="B692" s="2" t="s">
        <v>84</v>
      </c>
    </row>
    <row r="693" spans="1:2" hidden="1">
      <c r="A693" s="62" t="s">
        <v>1290</v>
      </c>
      <c r="B693" s="2" t="s">
        <v>84</v>
      </c>
    </row>
    <row r="694" spans="1:2" hidden="1">
      <c r="A694" s="62" t="s">
        <v>1291</v>
      </c>
      <c r="B694" s="2" t="s">
        <v>84</v>
      </c>
    </row>
    <row r="695" spans="1:2" hidden="1">
      <c r="A695" s="62" t="s">
        <v>592</v>
      </c>
      <c r="B695" s="2" t="s">
        <v>84</v>
      </c>
    </row>
    <row r="696" spans="1:2" hidden="1">
      <c r="A696" s="62" t="s">
        <v>1142</v>
      </c>
      <c r="B696" s="2" t="s">
        <v>84</v>
      </c>
    </row>
    <row r="697" spans="1:2" hidden="1">
      <c r="A697" s="62" t="s">
        <v>1177</v>
      </c>
      <c r="B697" s="2" t="s">
        <v>84</v>
      </c>
    </row>
    <row r="698" spans="1:2" hidden="1">
      <c r="A698" s="62" t="s">
        <v>1178</v>
      </c>
      <c r="B698" s="2" t="s">
        <v>84</v>
      </c>
    </row>
    <row r="699" spans="1:2" hidden="1">
      <c r="A699" s="62" t="s">
        <v>1242</v>
      </c>
      <c r="B699" s="2" t="s">
        <v>84</v>
      </c>
    </row>
    <row r="700" spans="1:2" hidden="1">
      <c r="A700" s="62" t="s">
        <v>984</v>
      </c>
      <c r="B700" s="2" t="s">
        <v>84</v>
      </c>
    </row>
    <row r="701" spans="1:2" hidden="1">
      <c r="A701" s="62" t="s">
        <v>1181</v>
      </c>
      <c r="B701" s="2" t="s">
        <v>84</v>
      </c>
    </row>
    <row r="702" spans="1:2" hidden="1">
      <c r="A702" s="62" t="s">
        <v>1163</v>
      </c>
      <c r="B702" s="2" t="s">
        <v>84</v>
      </c>
    </row>
    <row r="703" spans="1:2" hidden="1">
      <c r="A703" s="62" t="s">
        <v>578</v>
      </c>
      <c r="B703" s="2" t="s">
        <v>84</v>
      </c>
    </row>
    <row r="704" spans="1:2" hidden="1">
      <c r="A704" s="62" t="s">
        <v>580</v>
      </c>
      <c r="B704" s="2" t="s">
        <v>84</v>
      </c>
    </row>
    <row r="705" spans="1:2" hidden="1">
      <c r="A705" s="62" t="s">
        <v>577</v>
      </c>
      <c r="B705" s="2" t="s">
        <v>84</v>
      </c>
    </row>
    <row r="706" spans="1:2" hidden="1">
      <c r="A706" s="62" t="s">
        <v>576</v>
      </c>
      <c r="B706" s="2" t="s">
        <v>84</v>
      </c>
    </row>
    <row r="707" spans="1:2" hidden="1">
      <c r="A707" s="62" t="s">
        <v>1123</v>
      </c>
      <c r="B707" s="2" t="s">
        <v>84</v>
      </c>
    </row>
    <row r="708" spans="1:2" hidden="1">
      <c r="A708" s="62" t="s">
        <v>1041</v>
      </c>
      <c r="B708" s="2" t="s">
        <v>84</v>
      </c>
    </row>
    <row r="709" spans="1:2" hidden="1">
      <c r="A709" s="62" t="s">
        <v>567</v>
      </c>
      <c r="B709" s="2" t="s">
        <v>84</v>
      </c>
    </row>
    <row r="710" spans="1:2" hidden="1">
      <c r="A710" s="62" t="s">
        <v>1068</v>
      </c>
      <c r="B710" s="2" t="s">
        <v>84</v>
      </c>
    </row>
    <row r="711" spans="1:2" hidden="1">
      <c r="A711" s="62" t="s">
        <v>1243</v>
      </c>
      <c r="B711" s="2" t="s">
        <v>84</v>
      </c>
    </row>
    <row r="712" spans="1:2" hidden="1">
      <c r="A712" s="62" t="s">
        <v>1244</v>
      </c>
      <c r="B712" s="2" t="s">
        <v>84</v>
      </c>
    </row>
    <row r="713" spans="1:2" hidden="1">
      <c r="A713" s="62" t="s">
        <v>951</v>
      </c>
      <c r="B713" s="2" t="s">
        <v>84</v>
      </c>
    </row>
    <row r="714" spans="1:2" hidden="1">
      <c r="A714" s="62" t="s">
        <v>1335</v>
      </c>
      <c r="B714" s="2" t="s">
        <v>84</v>
      </c>
    </row>
    <row r="715" spans="1:2" hidden="1">
      <c r="A715" s="62" t="s">
        <v>557</v>
      </c>
      <c r="B715" s="2" t="s">
        <v>84</v>
      </c>
    </row>
    <row r="716" spans="1:2" hidden="1">
      <c r="A716" s="62" t="s">
        <v>913</v>
      </c>
      <c r="B716" s="2" t="s">
        <v>84</v>
      </c>
    </row>
    <row r="717" spans="1:2" hidden="1">
      <c r="A717" s="62" t="s">
        <v>911</v>
      </c>
      <c r="B717" s="2" t="s">
        <v>84</v>
      </c>
    </row>
    <row r="718" spans="1:2" hidden="1">
      <c r="A718" s="62" t="s">
        <v>1027</v>
      </c>
      <c r="B718" s="2" t="s">
        <v>84</v>
      </c>
    </row>
    <row r="719" spans="1:2" hidden="1">
      <c r="A719" s="62" t="s">
        <v>1245</v>
      </c>
      <c r="B719" s="2" t="s">
        <v>84</v>
      </c>
    </row>
    <row r="720" spans="1:2" hidden="1">
      <c r="A720" s="62" t="s">
        <v>552</v>
      </c>
      <c r="B720" s="2" t="s">
        <v>84</v>
      </c>
    </row>
    <row r="721" spans="1:2" hidden="1">
      <c r="A721" s="62" t="s">
        <v>1100</v>
      </c>
      <c r="B721" s="2" t="s">
        <v>84</v>
      </c>
    </row>
    <row r="722" spans="1:2" hidden="1">
      <c r="A722" s="62" t="s">
        <v>1215</v>
      </c>
      <c r="B722" s="2" t="s">
        <v>84</v>
      </c>
    </row>
    <row r="723" spans="1:2" hidden="1">
      <c r="A723" s="62" t="s">
        <v>554</v>
      </c>
      <c r="B723" s="2" t="s">
        <v>84</v>
      </c>
    </row>
    <row r="724" spans="1:2" hidden="1">
      <c r="A724" s="62" t="s">
        <v>555</v>
      </c>
      <c r="B724" s="2" t="s">
        <v>84</v>
      </c>
    </row>
    <row r="725" spans="1:2" hidden="1">
      <c r="A725" s="62" t="s">
        <v>1312</v>
      </c>
      <c r="B725" s="2" t="s">
        <v>84</v>
      </c>
    </row>
    <row r="726" spans="1:2" hidden="1">
      <c r="A726" s="62" t="s">
        <v>1246</v>
      </c>
      <c r="B726" s="2" t="s">
        <v>84</v>
      </c>
    </row>
    <row r="727" spans="1:2" hidden="1">
      <c r="A727" s="62" t="s">
        <v>1101</v>
      </c>
      <c r="B727" s="2" t="s">
        <v>84</v>
      </c>
    </row>
    <row r="728" spans="1:2" hidden="1">
      <c r="A728" s="62" t="s">
        <v>549</v>
      </c>
      <c r="B728" s="2" t="s">
        <v>84</v>
      </c>
    </row>
    <row r="729" spans="1:2" hidden="1">
      <c r="A729" s="62" t="s">
        <v>1359</v>
      </c>
      <c r="B729" s="2" t="s">
        <v>84</v>
      </c>
    </row>
    <row r="730" spans="1:2" hidden="1">
      <c r="A730" s="62" t="s">
        <v>1263</v>
      </c>
      <c r="B730" s="2" t="s">
        <v>84</v>
      </c>
    </row>
    <row r="731" spans="1:2" hidden="1">
      <c r="A731" s="62" t="s">
        <v>1120</v>
      </c>
      <c r="B731" s="2" t="s">
        <v>84</v>
      </c>
    </row>
    <row r="732" spans="1:2" hidden="1">
      <c r="A732" s="62" t="s">
        <v>869</v>
      </c>
      <c r="B732" s="2" t="s">
        <v>84</v>
      </c>
    </row>
    <row r="733" spans="1:2" hidden="1">
      <c r="A733" s="62" t="s">
        <v>541</v>
      </c>
      <c r="B733" s="2" t="s">
        <v>84</v>
      </c>
    </row>
    <row r="734" spans="1:2" hidden="1">
      <c r="A734" s="62" t="s">
        <v>543</v>
      </c>
      <c r="B734" s="2" t="s">
        <v>84</v>
      </c>
    </row>
    <row r="735" spans="1:2" hidden="1">
      <c r="A735" s="62" t="s">
        <v>1040</v>
      </c>
      <c r="B735" s="2" t="s">
        <v>84</v>
      </c>
    </row>
    <row r="736" spans="1:2" hidden="1">
      <c r="A736" s="62" t="s">
        <v>1336</v>
      </c>
      <c r="B736" s="2" t="s">
        <v>84</v>
      </c>
    </row>
    <row r="737" spans="1:2" hidden="1">
      <c r="A737" s="62" t="s">
        <v>1039</v>
      </c>
      <c r="B737" s="2" t="s">
        <v>84</v>
      </c>
    </row>
    <row r="738" spans="1:2" hidden="1">
      <c r="A738" s="62" t="s">
        <v>980</v>
      </c>
      <c r="B738" s="2" t="s">
        <v>84</v>
      </c>
    </row>
    <row r="739" spans="1:2" hidden="1">
      <c r="A739" s="62" t="s">
        <v>531</v>
      </c>
      <c r="B739" s="2" t="s">
        <v>84</v>
      </c>
    </row>
    <row r="740" spans="1:2" hidden="1">
      <c r="A740" s="62" t="s">
        <v>524</v>
      </c>
      <c r="B740" s="2" t="s">
        <v>84</v>
      </c>
    </row>
    <row r="741" spans="1:2" hidden="1">
      <c r="A741" s="62" t="s">
        <v>519</v>
      </c>
      <c r="B741" s="2" t="s">
        <v>84</v>
      </c>
    </row>
    <row r="742" spans="1:2" hidden="1">
      <c r="A742" s="62" t="s">
        <v>518</v>
      </c>
      <c r="B742" s="2" t="s">
        <v>84</v>
      </c>
    </row>
    <row r="743" spans="1:2" hidden="1">
      <c r="A743" s="62" t="s">
        <v>514</v>
      </c>
      <c r="B743" s="2" t="s">
        <v>84</v>
      </c>
    </row>
    <row r="744" spans="1:2" hidden="1">
      <c r="A744" s="62" t="s">
        <v>513</v>
      </c>
      <c r="B744" s="2" t="s">
        <v>84</v>
      </c>
    </row>
    <row r="745" spans="1:2" hidden="1">
      <c r="A745" s="62" t="s">
        <v>1216</v>
      </c>
      <c r="B745" s="2" t="s">
        <v>84</v>
      </c>
    </row>
    <row r="746" spans="1:2" hidden="1">
      <c r="A746" s="62" t="s">
        <v>1264</v>
      </c>
      <c r="B746" s="2" t="s">
        <v>84</v>
      </c>
    </row>
    <row r="747" spans="1:2" hidden="1">
      <c r="A747" s="62" t="s">
        <v>1066</v>
      </c>
      <c r="B747" s="2" t="s">
        <v>84</v>
      </c>
    </row>
    <row r="748" spans="1:2" hidden="1">
      <c r="A748" s="62" t="s">
        <v>510</v>
      </c>
      <c r="B748" s="2" t="s">
        <v>84</v>
      </c>
    </row>
    <row r="749" spans="1:2" hidden="1">
      <c r="A749" s="62" t="s">
        <v>1360</v>
      </c>
      <c r="B749" s="2" t="s">
        <v>84</v>
      </c>
    </row>
    <row r="750" spans="1:2" hidden="1">
      <c r="A750" s="62" t="s">
        <v>909</v>
      </c>
      <c r="B750" s="2" t="s">
        <v>84</v>
      </c>
    </row>
    <row r="751" spans="1:2" hidden="1">
      <c r="A751" s="62" t="s">
        <v>506</v>
      </c>
      <c r="B751" s="2" t="s">
        <v>84</v>
      </c>
    </row>
    <row r="752" spans="1:2" hidden="1">
      <c r="A752" s="62" t="s">
        <v>507</v>
      </c>
      <c r="B752" s="2" t="s">
        <v>84</v>
      </c>
    </row>
    <row r="753" spans="1:2" hidden="1">
      <c r="A753" s="62" t="s">
        <v>505</v>
      </c>
      <c r="B753" s="2" t="s">
        <v>84</v>
      </c>
    </row>
    <row r="754" spans="1:2" hidden="1">
      <c r="A754" s="62" t="s">
        <v>504</v>
      </c>
      <c r="B754" s="2" t="s">
        <v>84</v>
      </c>
    </row>
    <row r="755" spans="1:2" hidden="1">
      <c r="A755" s="62" t="s">
        <v>502</v>
      </c>
      <c r="B755" s="2" t="s">
        <v>84</v>
      </c>
    </row>
    <row r="756" spans="1:2" hidden="1">
      <c r="A756" s="62" t="s">
        <v>501</v>
      </c>
      <c r="B756" s="2" t="s">
        <v>84</v>
      </c>
    </row>
    <row r="757" spans="1:2" hidden="1">
      <c r="A757" s="62" t="s">
        <v>499</v>
      </c>
      <c r="B757" s="2" t="s">
        <v>84</v>
      </c>
    </row>
    <row r="758" spans="1:2" hidden="1">
      <c r="A758" s="62" t="s">
        <v>500</v>
      </c>
      <c r="B758" s="2" t="s">
        <v>84</v>
      </c>
    </row>
    <row r="759" spans="1:2" hidden="1">
      <c r="A759" s="62" t="s">
        <v>498</v>
      </c>
      <c r="B759" s="2" t="s">
        <v>84</v>
      </c>
    </row>
    <row r="760" spans="1:2" hidden="1">
      <c r="A760" s="62" t="s">
        <v>497</v>
      </c>
      <c r="B760" s="2" t="s">
        <v>84</v>
      </c>
    </row>
    <row r="761" spans="1:2" hidden="1">
      <c r="A761" s="62" t="s">
        <v>494</v>
      </c>
      <c r="B761" s="2" t="s">
        <v>84</v>
      </c>
    </row>
    <row r="762" spans="1:2" hidden="1">
      <c r="A762" s="62" t="s">
        <v>908</v>
      </c>
      <c r="B762" s="2" t="s">
        <v>84</v>
      </c>
    </row>
    <row r="763" spans="1:2" hidden="1">
      <c r="A763" s="62" t="s">
        <v>1059</v>
      </c>
      <c r="B763" s="2" t="s">
        <v>84</v>
      </c>
    </row>
    <row r="764" spans="1:2" hidden="1">
      <c r="A764" s="62" t="s">
        <v>1321</v>
      </c>
      <c r="B764" s="2" t="s">
        <v>84</v>
      </c>
    </row>
    <row r="765" spans="1:2" hidden="1">
      <c r="A765" s="62" t="s">
        <v>1361</v>
      </c>
      <c r="B765" s="2" t="s">
        <v>84</v>
      </c>
    </row>
    <row r="766" spans="1:2" hidden="1">
      <c r="A766" s="62" t="s">
        <v>487</v>
      </c>
      <c r="B766" s="2" t="s">
        <v>84</v>
      </c>
    </row>
    <row r="767" spans="1:2" hidden="1">
      <c r="A767" s="62" t="s">
        <v>1362</v>
      </c>
      <c r="B767" s="2" t="s">
        <v>84</v>
      </c>
    </row>
    <row r="768" spans="1:2" hidden="1">
      <c r="A768" s="62" t="s">
        <v>480</v>
      </c>
      <c r="B768" s="2" t="s">
        <v>84</v>
      </c>
    </row>
    <row r="769" spans="1:2" hidden="1">
      <c r="A769" s="62" t="s">
        <v>474</v>
      </c>
      <c r="B769" s="2" t="s">
        <v>84</v>
      </c>
    </row>
    <row r="770" spans="1:2" hidden="1">
      <c r="A770" s="62" t="s">
        <v>898</v>
      </c>
      <c r="B770" s="2" t="s">
        <v>84</v>
      </c>
    </row>
    <row r="771" spans="1:2" hidden="1">
      <c r="A771" s="62" t="s">
        <v>476</v>
      </c>
      <c r="B771" s="2" t="s">
        <v>84</v>
      </c>
    </row>
    <row r="772" spans="1:2" hidden="1">
      <c r="A772" s="62" t="s">
        <v>479</v>
      </c>
      <c r="B772" s="2" t="s">
        <v>84</v>
      </c>
    </row>
    <row r="773" spans="1:2" hidden="1">
      <c r="A773" s="62" t="s">
        <v>1065</v>
      </c>
      <c r="B773" s="2" t="s">
        <v>84</v>
      </c>
    </row>
    <row r="774" spans="1:2" hidden="1">
      <c r="A774" s="62" t="s">
        <v>1313</v>
      </c>
      <c r="B774" s="2" t="s">
        <v>84</v>
      </c>
    </row>
    <row r="775" spans="1:2" hidden="1">
      <c r="A775" s="62" t="s">
        <v>468</v>
      </c>
      <c r="B775" s="2" t="s">
        <v>84</v>
      </c>
    </row>
    <row r="776" spans="1:2" hidden="1">
      <c r="A776" s="62" t="s">
        <v>887</v>
      </c>
      <c r="B776" s="2" t="s">
        <v>84</v>
      </c>
    </row>
    <row r="777" spans="1:2" hidden="1">
      <c r="A777" s="62" t="s">
        <v>470</v>
      </c>
      <c r="B777" s="2" t="s">
        <v>84</v>
      </c>
    </row>
    <row r="778" spans="1:2" hidden="1">
      <c r="A778" s="62" t="s">
        <v>458</v>
      </c>
      <c r="B778" s="2" t="s">
        <v>84</v>
      </c>
    </row>
    <row r="779" spans="1:2" hidden="1">
      <c r="A779" s="62" t="s">
        <v>1363</v>
      </c>
      <c r="B779" s="2" t="s">
        <v>84</v>
      </c>
    </row>
    <row r="780" spans="1:2" hidden="1">
      <c r="A780" s="62" t="s">
        <v>1292</v>
      </c>
      <c r="B780" s="2" t="s">
        <v>84</v>
      </c>
    </row>
    <row r="781" spans="1:2" hidden="1">
      <c r="A781" s="62" t="s">
        <v>1064</v>
      </c>
      <c r="B781" s="2" t="s">
        <v>84</v>
      </c>
    </row>
    <row r="782" spans="1:2" hidden="1">
      <c r="A782" s="62" t="s">
        <v>1364</v>
      </c>
      <c r="B782" s="2" t="s">
        <v>84</v>
      </c>
    </row>
    <row r="783" spans="1:2" hidden="1">
      <c r="A783" s="62" t="s">
        <v>1098</v>
      </c>
      <c r="B783" s="2" t="s">
        <v>84</v>
      </c>
    </row>
    <row r="784" spans="1:2" hidden="1">
      <c r="A784" s="62" t="s">
        <v>1117</v>
      </c>
      <c r="B784" s="2" t="s">
        <v>84</v>
      </c>
    </row>
    <row r="785" spans="1:2" hidden="1">
      <c r="A785" s="62" t="s">
        <v>454</v>
      </c>
      <c r="B785" s="2" t="s">
        <v>84</v>
      </c>
    </row>
    <row r="786" spans="1:2" hidden="1">
      <c r="A786" s="62" t="s">
        <v>1338</v>
      </c>
      <c r="B786" s="2" t="s">
        <v>84</v>
      </c>
    </row>
    <row r="787" spans="1:2" hidden="1">
      <c r="A787" s="62" t="s">
        <v>1265</v>
      </c>
      <c r="B787" s="2" t="s">
        <v>84</v>
      </c>
    </row>
    <row r="788" spans="1:2" hidden="1">
      <c r="A788" s="62" t="s">
        <v>448</v>
      </c>
      <c r="B788" s="2" t="s">
        <v>84</v>
      </c>
    </row>
    <row r="789" spans="1:2" hidden="1">
      <c r="A789" s="62" t="s">
        <v>925</v>
      </c>
      <c r="B789" s="2" t="s">
        <v>84</v>
      </c>
    </row>
    <row r="790" spans="1:2" hidden="1">
      <c r="A790" s="62" t="s">
        <v>1248</v>
      </c>
      <c r="B790" s="2" t="s">
        <v>84</v>
      </c>
    </row>
    <row r="791" spans="1:2" hidden="1">
      <c r="A791" s="62" t="s">
        <v>410</v>
      </c>
      <c r="B791" s="2" t="s">
        <v>84</v>
      </c>
    </row>
    <row r="792" spans="1:2" hidden="1">
      <c r="A792" s="62" t="s">
        <v>1095</v>
      </c>
      <c r="B792" s="2" t="s">
        <v>84</v>
      </c>
    </row>
    <row r="793" spans="1:2" hidden="1">
      <c r="A793" s="62" t="s">
        <v>1293</v>
      </c>
      <c r="B793" s="2" t="s">
        <v>84</v>
      </c>
    </row>
    <row r="794" spans="1:2" hidden="1">
      <c r="A794" s="62" t="s">
        <v>1340</v>
      </c>
      <c r="B794" s="2" t="s">
        <v>84</v>
      </c>
    </row>
    <row r="795" spans="1:2" hidden="1">
      <c r="A795" s="62" t="s">
        <v>1266</v>
      </c>
      <c r="B795" s="2" t="s">
        <v>84</v>
      </c>
    </row>
    <row r="796" spans="1:2" hidden="1">
      <c r="A796" s="62" t="s">
        <v>430</v>
      </c>
      <c r="B796" s="2" t="s">
        <v>84</v>
      </c>
    </row>
    <row r="797" spans="1:2" hidden="1">
      <c r="A797" s="62" t="s">
        <v>1091</v>
      </c>
      <c r="B797" s="2" t="s">
        <v>84</v>
      </c>
    </row>
    <row r="798" spans="1:2" hidden="1">
      <c r="A798" s="62" t="s">
        <v>413</v>
      </c>
      <c r="B798" s="2" t="s">
        <v>84</v>
      </c>
    </row>
    <row r="799" spans="1:2" hidden="1">
      <c r="A799" s="62" t="s">
        <v>1325</v>
      </c>
      <c r="B799" s="2" t="s">
        <v>84</v>
      </c>
    </row>
    <row r="800" spans="1:2" hidden="1">
      <c r="A800" s="62" t="s">
        <v>414</v>
      </c>
      <c r="B800" s="2" t="s">
        <v>84</v>
      </c>
    </row>
    <row r="801" spans="1:2" hidden="1">
      <c r="A801" s="62" t="s">
        <v>1185</v>
      </c>
      <c r="B801" s="2" t="s">
        <v>84</v>
      </c>
    </row>
    <row r="802" spans="1:2" hidden="1">
      <c r="A802" s="62" t="s">
        <v>1365</v>
      </c>
      <c r="B802" s="2" t="s">
        <v>84</v>
      </c>
    </row>
    <row r="803" spans="1:2" hidden="1">
      <c r="A803" s="62" t="s">
        <v>1186</v>
      </c>
      <c r="B803" s="2" t="s">
        <v>84</v>
      </c>
    </row>
    <row r="804" spans="1:2" hidden="1">
      <c r="A804" s="62" t="s">
        <v>1219</v>
      </c>
      <c r="B804" s="2" t="s">
        <v>84</v>
      </c>
    </row>
    <row r="805" spans="1:2" hidden="1">
      <c r="A805" s="62" t="s">
        <v>1134</v>
      </c>
      <c r="B805" s="2" t="s">
        <v>84</v>
      </c>
    </row>
    <row r="806" spans="1:2" hidden="1">
      <c r="A806" s="62" t="s">
        <v>961</v>
      </c>
      <c r="B806" s="2" t="s">
        <v>84</v>
      </c>
    </row>
    <row r="807" spans="1:2" hidden="1">
      <c r="A807" s="62" t="s">
        <v>1366</v>
      </c>
      <c r="B807" s="2" t="s">
        <v>84</v>
      </c>
    </row>
    <row r="808" spans="1:2" hidden="1">
      <c r="A808" s="62" t="s">
        <v>865</v>
      </c>
      <c r="B808" s="2" t="s">
        <v>84</v>
      </c>
    </row>
    <row r="809" spans="1:2" hidden="1">
      <c r="A809" s="62" t="s">
        <v>1367</v>
      </c>
      <c r="B809" s="2" t="s">
        <v>84</v>
      </c>
    </row>
    <row r="810" spans="1:2" hidden="1">
      <c r="A810" s="62" t="s">
        <v>1050</v>
      </c>
      <c r="B810" s="2" t="s">
        <v>84</v>
      </c>
    </row>
    <row r="811" spans="1:2" hidden="1">
      <c r="A811" s="62" t="s">
        <v>1294</v>
      </c>
      <c r="B811" s="2" t="s">
        <v>84</v>
      </c>
    </row>
    <row r="812" spans="1:2" hidden="1">
      <c r="A812" s="62" t="s">
        <v>936</v>
      </c>
      <c r="B812" s="2" t="s">
        <v>84</v>
      </c>
    </row>
    <row r="813" spans="1:2" hidden="1">
      <c r="A813" s="62" t="s">
        <v>970</v>
      </c>
      <c r="B813" s="2" t="s">
        <v>84</v>
      </c>
    </row>
    <row r="814" spans="1:2" hidden="1">
      <c r="A814" s="62" t="s">
        <v>342</v>
      </c>
      <c r="B814" s="2" t="s">
        <v>84</v>
      </c>
    </row>
    <row r="815" spans="1:2" hidden="1">
      <c r="A815" s="62" t="s">
        <v>1342</v>
      </c>
      <c r="B815" s="2" t="s">
        <v>84</v>
      </c>
    </row>
    <row r="816" spans="1:2" hidden="1">
      <c r="A816" s="62" t="s">
        <v>391</v>
      </c>
      <c r="B816" s="2" t="s">
        <v>84</v>
      </c>
    </row>
    <row r="817" spans="1:2" hidden="1">
      <c r="A817" s="62" t="s">
        <v>392</v>
      </c>
      <c r="B817" s="2" t="s">
        <v>84</v>
      </c>
    </row>
    <row r="818" spans="1:2" hidden="1">
      <c r="A818" s="62" t="s">
        <v>1087</v>
      </c>
      <c r="B818" s="2" t="s">
        <v>84</v>
      </c>
    </row>
    <row r="819" spans="1:2" hidden="1">
      <c r="A819" s="62" t="s">
        <v>383</v>
      </c>
      <c r="B819" s="2" t="s">
        <v>84</v>
      </c>
    </row>
    <row r="820" spans="1:2" hidden="1">
      <c r="A820" s="62" t="s">
        <v>1033</v>
      </c>
      <c r="B820" s="2" t="s">
        <v>84</v>
      </c>
    </row>
    <row r="821" spans="1:2" hidden="1">
      <c r="A821" s="62" t="s">
        <v>1133</v>
      </c>
      <c r="B821" s="2" t="s">
        <v>84</v>
      </c>
    </row>
    <row r="822" spans="1:2" hidden="1">
      <c r="A822" s="62" t="s">
        <v>1060</v>
      </c>
      <c r="B822" s="2" t="s">
        <v>84</v>
      </c>
    </row>
    <row r="823" spans="1:2" hidden="1">
      <c r="A823" s="62" t="s">
        <v>895</v>
      </c>
      <c r="B823" s="2" t="s">
        <v>84</v>
      </c>
    </row>
    <row r="824" spans="1:2" hidden="1">
      <c r="A824" s="62" t="s">
        <v>1132</v>
      </c>
      <c r="B824" s="2" t="s">
        <v>84</v>
      </c>
    </row>
    <row r="825" spans="1:2" hidden="1">
      <c r="A825" s="62" t="s">
        <v>371</v>
      </c>
      <c r="B825" s="2" t="s">
        <v>84</v>
      </c>
    </row>
    <row r="826" spans="1:2" hidden="1">
      <c r="A826" s="62" t="s">
        <v>372</v>
      </c>
      <c r="B826" s="2" t="s">
        <v>84</v>
      </c>
    </row>
    <row r="827" spans="1:2" hidden="1">
      <c r="A827" s="62" t="s">
        <v>1343</v>
      </c>
      <c r="B827" s="2" t="s">
        <v>84</v>
      </c>
    </row>
    <row r="828" spans="1:2" hidden="1">
      <c r="A828" s="62" t="s">
        <v>1187</v>
      </c>
      <c r="B828" s="2" t="s">
        <v>84</v>
      </c>
    </row>
    <row r="829" spans="1:2" hidden="1">
      <c r="A829" s="62" t="s">
        <v>1022</v>
      </c>
      <c r="B829" s="2" t="s">
        <v>84</v>
      </c>
    </row>
    <row r="830" spans="1:2" hidden="1">
      <c r="A830" s="62" t="s">
        <v>1086</v>
      </c>
      <c r="B830" s="2" t="s">
        <v>84</v>
      </c>
    </row>
    <row r="831" spans="1:2" hidden="1">
      <c r="A831" s="62" t="s">
        <v>1296</v>
      </c>
      <c r="B831" s="2" t="s">
        <v>84</v>
      </c>
    </row>
    <row r="832" spans="1:2" hidden="1">
      <c r="A832" s="62" t="s">
        <v>733</v>
      </c>
      <c r="B832" s="2" t="s">
        <v>84</v>
      </c>
    </row>
    <row r="833" spans="1:2" hidden="1">
      <c r="A833" s="62" t="s">
        <v>734</v>
      </c>
      <c r="B833" s="2" t="s">
        <v>84</v>
      </c>
    </row>
    <row r="834" spans="1:2" hidden="1">
      <c r="A834" s="62" t="s">
        <v>736</v>
      </c>
      <c r="B834" s="2" t="s">
        <v>84</v>
      </c>
    </row>
    <row r="835" spans="1:2" hidden="1">
      <c r="A835" s="62" t="s">
        <v>1153</v>
      </c>
      <c r="B835" s="2" t="s">
        <v>84</v>
      </c>
    </row>
    <row r="836" spans="1:2" hidden="1">
      <c r="A836" s="62" t="s">
        <v>730</v>
      </c>
      <c r="B836" s="2" t="s">
        <v>84</v>
      </c>
    </row>
    <row r="837" spans="1:2" hidden="1">
      <c r="A837" s="62" t="s">
        <v>988</v>
      </c>
      <c r="B837" s="2" t="s">
        <v>84</v>
      </c>
    </row>
    <row r="838" spans="1:2" hidden="1">
      <c r="A838" s="62" t="s">
        <v>1249</v>
      </c>
      <c r="B838" s="2" t="s">
        <v>84</v>
      </c>
    </row>
    <row r="839" spans="1:2" hidden="1">
      <c r="A839" s="62" t="s">
        <v>717</v>
      </c>
      <c r="B839" s="2" t="s">
        <v>84</v>
      </c>
    </row>
    <row r="840" spans="1:2" hidden="1">
      <c r="A840" s="62" t="s">
        <v>699</v>
      </c>
      <c r="B840" s="2" t="s">
        <v>84</v>
      </c>
    </row>
    <row r="841" spans="1:2" hidden="1">
      <c r="A841" s="62" t="s">
        <v>1368</v>
      </c>
      <c r="B841" s="2" t="s">
        <v>84</v>
      </c>
    </row>
    <row r="842" spans="1:2" hidden="1">
      <c r="A842" s="62" t="s">
        <v>711</v>
      </c>
      <c r="B842" s="2" t="s">
        <v>84</v>
      </c>
    </row>
    <row r="843" spans="1:2" hidden="1">
      <c r="A843" s="62" t="s">
        <v>698</v>
      </c>
      <c r="B843" s="2" t="s">
        <v>84</v>
      </c>
    </row>
    <row r="844" spans="1:2" hidden="1">
      <c r="A844" s="62" t="s">
        <v>1369</v>
      </c>
      <c r="B844" s="2" t="s">
        <v>84</v>
      </c>
    </row>
    <row r="845" spans="1:2" hidden="1">
      <c r="A845" s="62" t="s">
        <v>687</v>
      </c>
      <c r="B845" s="2" t="s">
        <v>84</v>
      </c>
    </row>
    <row r="846" spans="1:2" hidden="1">
      <c r="A846" s="62" t="s">
        <v>666</v>
      </c>
      <c r="B846" s="2" t="s">
        <v>84</v>
      </c>
    </row>
    <row r="847" spans="1:2" hidden="1">
      <c r="A847" s="62" t="s">
        <v>1297</v>
      </c>
      <c r="B847" s="2" t="s">
        <v>84</v>
      </c>
    </row>
    <row r="848" spans="1:2" hidden="1">
      <c r="A848" s="62" t="s">
        <v>661</v>
      </c>
      <c r="B848" s="2" t="s">
        <v>84</v>
      </c>
    </row>
    <row r="849" spans="1:2" hidden="1">
      <c r="A849" s="62" t="s">
        <v>1188</v>
      </c>
      <c r="B849" s="2" t="s">
        <v>84</v>
      </c>
    </row>
    <row r="850" spans="1:2" hidden="1">
      <c r="A850" s="62" t="s">
        <v>658</v>
      </c>
      <c r="B850" s="2" t="s">
        <v>84</v>
      </c>
    </row>
    <row r="851" spans="1:2" hidden="1">
      <c r="A851" s="62" t="s">
        <v>650</v>
      </c>
      <c r="B851" s="2" t="s">
        <v>84</v>
      </c>
    </row>
    <row r="852" spans="1:2" hidden="1">
      <c r="A852" s="62" t="s">
        <v>655</v>
      </c>
      <c r="B852" s="2" t="s">
        <v>84</v>
      </c>
    </row>
    <row r="853" spans="1:2" hidden="1">
      <c r="A853" s="62" t="s">
        <v>1149</v>
      </c>
      <c r="B853" s="2" t="s">
        <v>84</v>
      </c>
    </row>
    <row r="854" spans="1:2" hidden="1">
      <c r="A854" s="62" t="s">
        <v>1221</v>
      </c>
      <c r="B854" s="2" t="s">
        <v>84</v>
      </c>
    </row>
    <row r="855" spans="1:2" hidden="1">
      <c r="A855" s="62" t="s">
        <v>1072</v>
      </c>
      <c r="B855" s="2" t="s">
        <v>84</v>
      </c>
    </row>
    <row r="856" spans="1:2" hidden="1">
      <c r="A856" s="62" t="s">
        <v>643</v>
      </c>
      <c r="B856" s="2" t="s">
        <v>84</v>
      </c>
    </row>
    <row r="857" spans="1:2" hidden="1">
      <c r="A857" s="62" t="s">
        <v>1370</v>
      </c>
      <c r="B857" s="2" t="s">
        <v>84</v>
      </c>
    </row>
    <row r="858" spans="1:2" hidden="1">
      <c r="A858" s="62" t="s">
        <v>1043</v>
      </c>
      <c r="B858" s="2" t="s">
        <v>84</v>
      </c>
    </row>
    <row r="859" spans="1:2" hidden="1">
      <c r="A859" s="62" t="s">
        <v>634</v>
      </c>
      <c r="B859" s="2" t="s">
        <v>84</v>
      </c>
    </row>
    <row r="860" spans="1:2" hidden="1">
      <c r="A860" s="62" t="s">
        <v>633</v>
      </c>
      <c r="B860" s="2" t="s">
        <v>84</v>
      </c>
    </row>
    <row r="861" spans="1:2" hidden="1">
      <c r="A861" s="62" t="s">
        <v>630</v>
      </c>
      <c r="B861" s="2" t="s">
        <v>84</v>
      </c>
    </row>
    <row r="862" spans="1:2" hidden="1">
      <c r="A862" s="62" t="s">
        <v>621</v>
      </c>
      <c r="B862" s="2" t="s">
        <v>84</v>
      </c>
    </row>
    <row r="863" spans="1:2" hidden="1">
      <c r="A863" s="62" t="s">
        <v>1189</v>
      </c>
      <c r="B863" s="2" t="s">
        <v>84</v>
      </c>
    </row>
    <row r="864" spans="1:2" hidden="1">
      <c r="A864" s="62" t="s">
        <v>617</v>
      </c>
      <c r="B864" s="2" t="s">
        <v>84</v>
      </c>
    </row>
    <row r="865" spans="1:2" hidden="1">
      <c r="A865" s="62" t="s">
        <v>604</v>
      </c>
      <c r="B865" s="2" t="s">
        <v>84</v>
      </c>
    </row>
    <row r="866" spans="1:2" hidden="1">
      <c r="A866" s="62" t="s">
        <v>1268</v>
      </c>
      <c r="B866" s="2" t="s">
        <v>84</v>
      </c>
    </row>
    <row r="867" spans="1:2" hidden="1">
      <c r="A867" s="62" t="s">
        <v>585</v>
      </c>
      <c r="B867" s="2" t="s">
        <v>84</v>
      </c>
    </row>
    <row r="868" spans="1:2" hidden="1">
      <c r="A868" s="62" t="s">
        <v>990</v>
      </c>
      <c r="B868" s="2" t="s">
        <v>84</v>
      </c>
    </row>
    <row r="869" spans="1:2" hidden="1">
      <c r="A869" s="62" t="s">
        <v>1141</v>
      </c>
      <c r="B869" s="2" t="s">
        <v>84</v>
      </c>
    </row>
    <row r="870" spans="1:2" hidden="1">
      <c r="A870" s="62" t="s">
        <v>537</v>
      </c>
      <c r="B870" s="2" t="s">
        <v>84</v>
      </c>
    </row>
    <row r="871" spans="1:2" hidden="1">
      <c r="A871" s="62" t="s">
        <v>910</v>
      </c>
      <c r="B871" s="2" t="s">
        <v>84</v>
      </c>
    </row>
    <row r="872" spans="1:2" hidden="1">
      <c r="A872" s="62" t="s">
        <v>1139</v>
      </c>
      <c r="B872" s="2" t="s">
        <v>84</v>
      </c>
    </row>
    <row r="873" spans="1:2" hidden="1">
      <c r="A873" s="62" t="s">
        <v>1269</v>
      </c>
      <c r="B873" s="2" t="s">
        <v>84</v>
      </c>
    </row>
    <row r="874" spans="1:2" hidden="1">
      <c r="A874" s="62" t="s">
        <v>1119</v>
      </c>
      <c r="B874" s="2" t="s">
        <v>84</v>
      </c>
    </row>
    <row r="875" spans="1:2" hidden="1">
      <c r="A875" s="62" t="s">
        <v>1138</v>
      </c>
      <c r="B875" s="2" t="s">
        <v>84</v>
      </c>
    </row>
    <row r="876" spans="1:2" hidden="1">
      <c r="A876" s="62" t="s">
        <v>1166</v>
      </c>
      <c r="B876" s="2" t="s">
        <v>84</v>
      </c>
    </row>
    <row r="877" spans="1:2" hidden="1">
      <c r="A877" s="62" t="s">
        <v>508</v>
      </c>
      <c r="B877" s="2" t="s">
        <v>84</v>
      </c>
    </row>
    <row r="878" spans="1:2" hidden="1">
      <c r="A878" s="62" t="s">
        <v>473</v>
      </c>
      <c r="B878" s="2" t="s">
        <v>84</v>
      </c>
    </row>
    <row r="879" spans="1:2" hidden="1">
      <c r="A879" s="62" t="s">
        <v>1371</v>
      </c>
      <c r="B879" s="2" t="s">
        <v>84</v>
      </c>
    </row>
    <row r="880" spans="1:2" hidden="1">
      <c r="A880" s="62" t="s">
        <v>1190</v>
      </c>
      <c r="B880" s="2" t="s">
        <v>84</v>
      </c>
    </row>
    <row r="881" spans="1:2" hidden="1">
      <c r="A881" s="62" t="s">
        <v>442</v>
      </c>
      <c r="B881" s="2" t="s">
        <v>84</v>
      </c>
    </row>
    <row r="882" spans="1:2" hidden="1">
      <c r="A882" s="62" t="s">
        <v>441</v>
      </c>
      <c r="B882" s="2" t="s">
        <v>84</v>
      </c>
    </row>
    <row r="883" spans="1:2" hidden="1">
      <c r="A883" s="62" t="s">
        <v>438</v>
      </c>
      <c r="B883" s="2" t="s">
        <v>84</v>
      </c>
    </row>
    <row r="884" spans="1:2" hidden="1">
      <c r="A884" s="62" t="s">
        <v>1167</v>
      </c>
      <c r="B884" s="2" t="s">
        <v>84</v>
      </c>
    </row>
    <row r="885" spans="1:2" hidden="1">
      <c r="A885" s="62" t="s">
        <v>1093</v>
      </c>
      <c r="B885" s="2" t="s">
        <v>84</v>
      </c>
    </row>
    <row r="886" spans="1:2" hidden="1">
      <c r="A886" s="62" t="s">
        <v>1270</v>
      </c>
      <c r="B886" s="2" t="s">
        <v>84</v>
      </c>
    </row>
    <row r="887" spans="1:2" hidden="1">
      <c r="A887" s="62" t="s">
        <v>421</v>
      </c>
      <c r="B887" s="2" t="s">
        <v>84</v>
      </c>
    </row>
    <row r="888" spans="1:2" hidden="1">
      <c r="A888" s="62" t="s">
        <v>1035</v>
      </c>
      <c r="B888" s="2" t="s">
        <v>84</v>
      </c>
    </row>
    <row r="889" spans="1:2" hidden="1">
      <c r="A889" s="62" t="s">
        <v>1116</v>
      </c>
      <c r="B889" s="2" t="s">
        <v>84</v>
      </c>
    </row>
    <row r="890" spans="1:2" hidden="1">
      <c r="A890" s="62" t="s">
        <v>1222</v>
      </c>
      <c r="B890" s="2" t="s">
        <v>84</v>
      </c>
    </row>
    <row r="891" spans="1:2" hidden="1">
      <c r="A891" s="62" t="s">
        <v>1168</v>
      </c>
      <c r="B891" s="2" t="s">
        <v>84</v>
      </c>
    </row>
    <row r="892" spans="1:2" hidden="1">
      <c r="A892" s="62" t="s">
        <v>876</v>
      </c>
      <c r="B892" s="2" t="s">
        <v>84</v>
      </c>
    </row>
    <row r="893" spans="1:2" hidden="1">
      <c r="A893" s="62" t="s">
        <v>1314</v>
      </c>
      <c r="B893" s="2" t="s">
        <v>84</v>
      </c>
    </row>
    <row r="894" spans="1:2" hidden="1">
      <c r="A894" s="62" t="s">
        <v>960</v>
      </c>
      <c r="B894" s="2" t="s">
        <v>84</v>
      </c>
    </row>
    <row r="895" spans="1:2" hidden="1">
      <c r="A895" s="62" t="s">
        <v>1088</v>
      </c>
      <c r="B895" s="2" t="s">
        <v>84</v>
      </c>
    </row>
    <row r="896" spans="1:2" hidden="1">
      <c r="A896" s="62" t="s">
        <v>923</v>
      </c>
      <c r="B896" s="2" t="s">
        <v>84</v>
      </c>
    </row>
    <row r="897" spans="1:2" hidden="1">
      <c r="A897" s="62" t="s">
        <v>1032</v>
      </c>
      <c r="B897" s="2" t="s">
        <v>84</v>
      </c>
    </row>
    <row r="898" spans="1:2" hidden="1">
      <c r="A898" s="62" t="s">
        <v>948</v>
      </c>
      <c r="B898" s="2" t="s">
        <v>84</v>
      </c>
    </row>
    <row r="899" spans="1:2" hidden="1">
      <c r="A899" s="62" t="s">
        <v>1250</v>
      </c>
      <c r="B899" s="2" t="s">
        <v>84</v>
      </c>
    </row>
    <row r="900" spans="1:2" hidden="1">
      <c r="A900" s="62" t="s">
        <v>1046</v>
      </c>
      <c r="B900" s="2" t="s">
        <v>84</v>
      </c>
    </row>
    <row r="901" spans="1:2" hidden="1">
      <c r="A901" s="62" t="s">
        <v>1047</v>
      </c>
      <c r="B901" s="2" t="s">
        <v>84</v>
      </c>
    </row>
    <row r="902" spans="1:2" hidden="1">
      <c r="A902" s="62" t="s">
        <v>880</v>
      </c>
      <c r="B902" s="2" t="s">
        <v>84</v>
      </c>
    </row>
    <row r="903" spans="1:2" hidden="1">
      <c r="A903" s="62" t="s">
        <v>901</v>
      </c>
      <c r="B903" s="2" t="s">
        <v>84</v>
      </c>
    </row>
    <row r="904" spans="1:2" hidden="1">
      <c r="A904" s="62" t="s">
        <v>667</v>
      </c>
      <c r="B904" s="2" t="s">
        <v>84</v>
      </c>
    </row>
    <row r="905" spans="1:2" hidden="1">
      <c r="A905" s="62" t="s">
        <v>668</v>
      </c>
      <c r="B905" s="2" t="s">
        <v>84</v>
      </c>
    </row>
    <row r="906" spans="1:2" hidden="1">
      <c r="A906" s="62" t="s">
        <v>669</v>
      </c>
      <c r="B906" s="2" t="s">
        <v>84</v>
      </c>
    </row>
    <row r="907" spans="1:2" hidden="1">
      <c r="A907" s="62" t="s">
        <v>929</v>
      </c>
      <c r="B907" s="2" t="s">
        <v>84</v>
      </c>
    </row>
    <row r="908" spans="1:2" hidden="1">
      <c r="A908" s="62" t="s">
        <v>1372</v>
      </c>
      <c r="B908" s="2" t="s">
        <v>84</v>
      </c>
    </row>
    <row r="909" spans="1:2" hidden="1">
      <c r="A909" s="62" t="s">
        <v>1373</v>
      </c>
      <c r="B909" s="2" t="s">
        <v>84</v>
      </c>
    </row>
    <row r="910" spans="1:2" hidden="1">
      <c r="A910" s="62" t="s">
        <v>1004</v>
      </c>
      <c r="B910" s="2" t="s">
        <v>84</v>
      </c>
    </row>
    <row r="911" spans="1:2" hidden="1">
      <c r="A911" s="62" t="s">
        <v>1374</v>
      </c>
      <c r="B911" s="2" t="s">
        <v>84</v>
      </c>
    </row>
    <row r="912" spans="1:2" hidden="1">
      <c r="A912" s="62" t="s">
        <v>515</v>
      </c>
      <c r="B912" s="2" t="s">
        <v>84</v>
      </c>
    </row>
    <row r="913" spans="1:2" hidden="1">
      <c r="A913" s="62" t="s">
        <v>437</v>
      </c>
      <c r="B913" s="2" t="s">
        <v>84</v>
      </c>
    </row>
    <row r="914" spans="1:2" hidden="1">
      <c r="A914" s="62" t="s">
        <v>1315</v>
      </c>
      <c r="B914" s="2" t="s">
        <v>84</v>
      </c>
    </row>
    <row r="915" spans="1:2" hidden="1">
      <c r="A915" s="62" t="s">
        <v>725</v>
      </c>
      <c r="B915" s="2" t="s">
        <v>84</v>
      </c>
    </row>
    <row r="916" spans="1:2" hidden="1">
      <c r="A916" s="62" t="s">
        <v>696</v>
      </c>
      <c r="B916" s="2" t="s">
        <v>84</v>
      </c>
    </row>
    <row r="917" spans="1:2" hidden="1">
      <c r="A917" s="62" t="s">
        <v>674</v>
      </c>
      <c r="B917" s="2" t="s">
        <v>84</v>
      </c>
    </row>
    <row r="918" spans="1:2" hidden="1">
      <c r="A918" s="62" t="s">
        <v>1191</v>
      </c>
      <c r="B918" s="2" t="s">
        <v>84</v>
      </c>
    </row>
    <row r="919" spans="1:2" hidden="1">
      <c r="A919" s="62" t="s">
        <v>872</v>
      </c>
      <c r="B919" s="2" t="s">
        <v>84</v>
      </c>
    </row>
    <row r="920" spans="1:2" hidden="1">
      <c r="A920" s="62" t="s">
        <v>1192</v>
      </c>
      <c r="B920" s="2" t="s">
        <v>84</v>
      </c>
    </row>
    <row r="921" spans="1:2" hidden="1">
      <c r="A921" s="62" t="s">
        <v>878</v>
      </c>
      <c r="B921" s="2" t="s">
        <v>84</v>
      </c>
    </row>
    <row r="922" spans="1:2" hidden="1">
      <c r="A922" s="62" t="s">
        <v>635</v>
      </c>
      <c r="B922" s="2" t="s">
        <v>84</v>
      </c>
    </row>
    <row r="923" spans="1:2" hidden="1">
      <c r="A923" s="62" t="s">
        <v>1323</v>
      </c>
      <c r="B923" s="2" t="s">
        <v>84</v>
      </c>
    </row>
    <row r="924" spans="1:2" hidden="1">
      <c r="A924" s="62" t="s">
        <v>1193</v>
      </c>
      <c r="B924" s="2" t="s">
        <v>84</v>
      </c>
    </row>
    <row r="925" spans="1:2" hidden="1">
      <c r="A925" s="62" t="s">
        <v>1316</v>
      </c>
      <c r="B925" s="2" t="s">
        <v>84</v>
      </c>
    </row>
    <row r="926" spans="1:2" hidden="1">
      <c r="A926" s="62" t="s">
        <v>610</v>
      </c>
      <c r="B926" s="2" t="s">
        <v>84</v>
      </c>
    </row>
    <row r="927" spans="1:2" hidden="1">
      <c r="A927" s="62" t="s">
        <v>1145</v>
      </c>
      <c r="B927" s="2" t="s">
        <v>84</v>
      </c>
    </row>
    <row r="928" spans="1:2" hidden="1">
      <c r="A928" s="62" t="s">
        <v>603</v>
      </c>
      <c r="B928" s="2" t="s">
        <v>84</v>
      </c>
    </row>
    <row r="929" spans="1:2" hidden="1">
      <c r="A929" s="62" t="s">
        <v>601</v>
      </c>
      <c r="B929" s="2" t="s">
        <v>84</v>
      </c>
    </row>
    <row r="930" spans="1:2" hidden="1">
      <c r="A930" s="62" t="s">
        <v>597</v>
      </c>
      <c r="B930" s="2" t="s">
        <v>84</v>
      </c>
    </row>
    <row r="931" spans="1:2" hidden="1">
      <c r="A931" s="62" t="s">
        <v>598</v>
      </c>
      <c r="B931" s="2" t="s">
        <v>84</v>
      </c>
    </row>
    <row r="932" spans="1:2" hidden="1">
      <c r="A932" s="62" t="s">
        <v>1223</v>
      </c>
      <c r="B932" s="2" t="s">
        <v>84</v>
      </c>
    </row>
    <row r="933" spans="1:2" hidden="1">
      <c r="A933" s="62" t="s">
        <v>1194</v>
      </c>
      <c r="B933" s="2" t="s">
        <v>84</v>
      </c>
    </row>
    <row r="934" spans="1:2" hidden="1">
      <c r="A934" s="62" t="s">
        <v>560</v>
      </c>
      <c r="B934" s="2" t="s">
        <v>84</v>
      </c>
    </row>
    <row r="935" spans="1:2" hidden="1">
      <c r="A935" s="63" t="s">
        <v>1383</v>
      </c>
      <c r="B935" s="2" t="s">
        <v>84</v>
      </c>
    </row>
    <row r="936" spans="1:2" hidden="1">
      <c r="A936" s="62" t="s">
        <v>542</v>
      </c>
      <c r="B936" s="2" t="s">
        <v>84</v>
      </c>
    </row>
    <row r="937" spans="1:2" hidden="1">
      <c r="A937" s="62" t="s">
        <v>989</v>
      </c>
      <c r="B937" s="2" t="s">
        <v>84</v>
      </c>
    </row>
    <row r="938" spans="1:2" hidden="1">
      <c r="A938" s="62" t="s">
        <v>545</v>
      </c>
      <c r="B938" s="2" t="s">
        <v>84</v>
      </c>
    </row>
    <row r="939" spans="1:2" hidden="1">
      <c r="A939" s="62" t="s">
        <v>1251</v>
      </c>
      <c r="B939" s="2" t="s">
        <v>84</v>
      </c>
    </row>
    <row r="940" spans="1:2" hidden="1">
      <c r="A940" s="62" t="s">
        <v>527</v>
      </c>
      <c r="B940" s="2" t="s">
        <v>84</v>
      </c>
    </row>
    <row r="941" spans="1:2" hidden="1">
      <c r="A941" s="62" t="s">
        <v>889</v>
      </c>
      <c r="B941" s="2" t="s">
        <v>84</v>
      </c>
    </row>
    <row r="942" spans="1:2" hidden="1">
      <c r="A942" s="62" t="s">
        <v>516</v>
      </c>
      <c r="B942" s="2" t="s">
        <v>84</v>
      </c>
    </row>
    <row r="943" spans="1:2" hidden="1">
      <c r="A943" s="62" t="s">
        <v>517</v>
      </c>
      <c r="B943" s="2" t="s">
        <v>84</v>
      </c>
    </row>
    <row r="944" spans="1:2" hidden="1">
      <c r="A944" s="62" t="s">
        <v>1067</v>
      </c>
      <c r="B944" s="2" t="s">
        <v>84</v>
      </c>
    </row>
    <row r="945" spans="1:2" hidden="1">
      <c r="A945" s="62" t="s">
        <v>511</v>
      </c>
      <c r="B945" s="2" t="s">
        <v>84</v>
      </c>
    </row>
    <row r="946" spans="1:2" hidden="1">
      <c r="A946" s="62" t="s">
        <v>495</v>
      </c>
      <c r="B946" s="2" t="s">
        <v>84</v>
      </c>
    </row>
    <row r="947" spans="1:2" hidden="1">
      <c r="A947" s="62" t="s">
        <v>461</v>
      </c>
      <c r="B947" s="2" t="s">
        <v>84</v>
      </c>
    </row>
    <row r="948" spans="1:2" hidden="1">
      <c r="A948" s="62" t="s">
        <v>462</v>
      </c>
      <c r="B948" s="2" t="s">
        <v>84</v>
      </c>
    </row>
    <row r="949" spans="1:2" hidden="1">
      <c r="A949" s="62" t="s">
        <v>463</v>
      </c>
      <c r="B949" s="2" t="s">
        <v>84</v>
      </c>
    </row>
    <row r="950" spans="1:2" hidden="1">
      <c r="A950" s="62" t="s">
        <v>457</v>
      </c>
      <c r="B950" s="2" t="s">
        <v>84</v>
      </c>
    </row>
    <row r="951" spans="1:2" hidden="1">
      <c r="A951" s="62" t="s">
        <v>419</v>
      </c>
      <c r="B951" s="2" t="s">
        <v>84</v>
      </c>
    </row>
    <row r="952" spans="1:2" hidden="1">
      <c r="A952" s="62" t="s">
        <v>1195</v>
      </c>
      <c r="B952" s="2" t="s">
        <v>84</v>
      </c>
    </row>
    <row r="953" spans="1:2" hidden="1">
      <c r="A953" s="62" t="s">
        <v>411</v>
      </c>
      <c r="B953" s="2" t="s">
        <v>84</v>
      </c>
    </row>
    <row r="954" spans="1:2" hidden="1">
      <c r="A954" s="62" t="s">
        <v>1090</v>
      </c>
      <c r="B954" s="2" t="s">
        <v>84</v>
      </c>
    </row>
    <row r="955" spans="1:2" hidden="1">
      <c r="A955" s="62" t="s">
        <v>394</v>
      </c>
      <c r="B955" s="2" t="s">
        <v>84</v>
      </c>
    </row>
    <row r="956" spans="1:2" hidden="1">
      <c r="A956" s="62" t="s">
        <v>1000</v>
      </c>
      <c r="B956" s="2" t="s">
        <v>84</v>
      </c>
    </row>
    <row r="957" spans="1:2" hidden="1">
      <c r="A957" s="62" t="s">
        <v>1298</v>
      </c>
      <c r="B957" s="2" t="s">
        <v>84</v>
      </c>
    </row>
    <row r="958" spans="1:2" hidden="1">
      <c r="A958" s="62" t="s">
        <v>860</v>
      </c>
      <c r="B958" s="2" t="s">
        <v>84</v>
      </c>
    </row>
    <row r="959" spans="1:2" hidden="1">
      <c r="A959" s="62" t="s">
        <v>390</v>
      </c>
      <c r="B959" s="2" t="s">
        <v>84</v>
      </c>
    </row>
    <row r="960" spans="1:2" hidden="1">
      <c r="A960" s="62" t="s">
        <v>385</v>
      </c>
      <c r="B960" s="2" t="s">
        <v>84</v>
      </c>
    </row>
    <row r="961" spans="1:2" hidden="1">
      <c r="A961" s="62" t="s">
        <v>1375</v>
      </c>
      <c r="B961" s="2" t="s">
        <v>84</v>
      </c>
    </row>
    <row r="962" spans="1:2" hidden="1">
      <c r="A962" s="62" t="s">
        <v>380</v>
      </c>
      <c r="B962" s="2" t="s">
        <v>84</v>
      </c>
    </row>
    <row r="963" spans="1:2" hidden="1">
      <c r="A963" s="62" t="s">
        <v>381</v>
      </c>
      <c r="B963" s="2" t="s">
        <v>84</v>
      </c>
    </row>
    <row r="964" spans="1:2" hidden="1">
      <c r="A964" s="62" t="s">
        <v>368</v>
      </c>
      <c r="B964" s="2" t="s">
        <v>84</v>
      </c>
    </row>
    <row r="965" spans="1:2" hidden="1">
      <c r="A965" s="62" t="s">
        <v>958</v>
      </c>
      <c r="B965" s="2" t="s">
        <v>84</v>
      </c>
    </row>
    <row r="966" spans="1:2" hidden="1">
      <c r="A966" s="62" t="s">
        <v>1196</v>
      </c>
      <c r="B966" s="2" t="s">
        <v>84</v>
      </c>
    </row>
    <row r="967" spans="1:2" hidden="1">
      <c r="A967" s="62" t="s">
        <v>1376</v>
      </c>
      <c r="B967" s="2" t="s">
        <v>84</v>
      </c>
    </row>
    <row r="968" spans="1:2" hidden="1">
      <c r="A968" s="62" t="s">
        <v>739</v>
      </c>
      <c r="B968" s="2" t="s">
        <v>84</v>
      </c>
    </row>
    <row r="969" spans="1:2" hidden="1">
      <c r="A969" s="62" t="s">
        <v>931</v>
      </c>
      <c r="B969" s="2" t="s">
        <v>84</v>
      </c>
    </row>
    <row r="970" spans="1:2" hidden="1">
      <c r="A970" s="62" t="s">
        <v>735</v>
      </c>
      <c r="B970" s="2" t="s">
        <v>84</v>
      </c>
    </row>
    <row r="971" spans="1:2" hidden="1">
      <c r="A971" s="62" t="s">
        <v>732</v>
      </c>
      <c r="B971" s="2" t="s">
        <v>84</v>
      </c>
    </row>
    <row r="972" spans="1:2" hidden="1">
      <c r="A972" s="62" t="s">
        <v>861</v>
      </c>
      <c r="B972" s="2" t="s">
        <v>84</v>
      </c>
    </row>
    <row r="973" spans="1:2" hidden="1">
      <c r="A973" s="62" t="s">
        <v>858</v>
      </c>
      <c r="B973" s="2" t="s">
        <v>84</v>
      </c>
    </row>
    <row r="974" spans="1:2" hidden="1">
      <c r="A974" s="62" t="s">
        <v>882</v>
      </c>
      <c r="B974" s="2" t="s">
        <v>84</v>
      </c>
    </row>
    <row r="975" spans="1:2" hidden="1">
      <c r="A975" s="62" t="s">
        <v>994</v>
      </c>
      <c r="B975" s="2" t="s">
        <v>84</v>
      </c>
    </row>
    <row r="976" spans="1:2" hidden="1">
      <c r="A976" s="62" t="s">
        <v>718</v>
      </c>
      <c r="B976" s="2" t="s">
        <v>84</v>
      </c>
    </row>
    <row r="977" spans="1:2" hidden="1">
      <c r="A977" s="62" t="s">
        <v>1169</v>
      </c>
      <c r="B977" s="2" t="s">
        <v>84</v>
      </c>
    </row>
    <row r="978" spans="1:2" hidden="1">
      <c r="A978" s="62" t="s">
        <v>721</v>
      </c>
      <c r="B978" s="2" t="s">
        <v>84</v>
      </c>
    </row>
    <row r="979" spans="1:2" hidden="1">
      <c r="A979" s="62" t="s">
        <v>1105</v>
      </c>
      <c r="B979" s="2" t="s">
        <v>84</v>
      </c>
    </row>
    <row r="980" spans="1:2" hidden="1">
      <c r="A980" s="62" t="s">
        <v>1224</v>
      </c>
      <c r="B980" s="2" t="s">
        <v>84</v>
      </c>
    </row>
    <row r="981" spans="1:2" hidden="1">
      <c r="A981" s="62" t="s">
        <v>881</v>
      </c>
      <c r="B981" s="2" t="s">
        <v>84</v>
      </c>
    </row>
    <row r="982" spans="1:2" hidden="1">
      <c r="A982" s="62" t="s">
        <v>705</v>
      </c>
      <c r="B982" s="2" t="s">
        <v>84</v>
      </c>
    </row>
    <row r="983" spans="1:2" hidden="1">
      <c r="A983" s="62" t="s">
        <v>1103</v>
      </c>
      <c r="B983" s="2" t="s">
        <v>84</v>
      </c>
    </row>
    <row r="984" spans="1:2" hidden="1">
      <c r="A984" s="62" t="s">
        <v>903</v>
      </c>
      <c r="B984" s="2" t="s">
        <v>84</v>
      </c>
    </row>
    <row r="985" spans="1:2" hidden="1">
      <c r="A985" s="62" t="s">
        <v>1299</v>
      </c>
      <c r="B985" s="2" t="s">
        <v>84</v>
      </c>
    </row>
    <row r="986" spans="1:2" hidden="1">
      <c r="A986" s="62" t="s">
        <v>683</v>
      </c>
      <c r="B986" s="2" t="s">
        <v>84</v>
      </c>
    </row>
    <row r="987" spans="1:2" hidden="1">
      <c r="A987" s="62" t="s">
        <v>688</v>
      </c>
      <c r="B987" s="2" t="s">
        <v>84</v>
      </c>
    </row>
    <row r="988" spans="1:2" hidden="1">
      <c r="A988" s="62" t="s">
        <v>1377</v>
      </c>
      <c r="B988" s="2" t="s">
        <v>84</v>
      </c>
    </row>
    <row r="989" spans="1:2" hidden="1">
      <c r="A989" s="62" t="s">
        <v>965</v>
      </c>
      <c r="B989" s="2" t="s">
        <v>84</v>
      </c>
    </row>
    <row r="990" spans="1:2" hidden="1">
      <c r="A990" s="62" t="s">
        <v>665</v>
      </c>
      <c r="B990" s="2" t="s">
        <v>84</v>
      </c>
    </row>
    <row r="991" spans="1:2" hidden="1">
      <c r="A991" s="62" t="s">
        <v>1151</v>
      </c>
      <c r="B991" s="2" t="s">
        <v>84</v>
      </c>
    </row>
    <row r="992" spans="1:2" hidden="1">
      <c r="A992" s="62" t="s">
        <v>663</v>
      </c>
      <c r="B992" s="2" t="s">
        <v>84</v>
      </c>
    </row>
    <row r="993" spans="1:2" hidden="1">
      <c r="A993" s="62" t="s">
        <v>1225</v>
      </c>
      <c r="B993" s="2" t="s">
        <v>84</v>
      </c>
    </row>
    <row r="994" spans="1:2" hidden="1">
      <c r="A994" s="62" t="s">
        <v>649</v>
      </c>
      <c r="B994" s="2" t="s">
        <v>84</v>
      </c>
    </row>
    <row r="995" spans="1:2" hidden="1">
      <c r="A995" s="62" t="s">
        <v>879</v>
      </c>
      <c r="B995" s="2" t="s">
        <v>84</v>
      </c>
    </row>
    <row r="996" spans="1:2" hidden="1">
      <c r="A996" s="62" t="s">
        <v>654</v>
      </c>
      <c r="B996" s="2" t="s">
        <v>84</v>
      </c>
    </row>
    <row r="997" spans="1:2" hidden="1">
      <c r="A997" s="62" t="s">
        <v>1378</v>
      </c>
      <c r="B997" s="2" t="s">
        <v>84</v>
      </c>
    </row>
    <row r="998" spans="1:2" hidden="1">
      <c r="A998" s="62" t="s">
        <v>991</v>
      </c>
      <c r="B998" s="2" t="s">
        <v>84</v>
      </c>
    </row>
    <row r="999" spans="1:2" hidden="1">
      <c r="A999" s="62" t="s">
        <v>1197</v>
      </c>
      <c r="B999" s="2" t="s">
        <v>84</v>
      </c>
    </row>
    <row r="1000" spans="1:2" hidden="1">
      <c r="A1000" s="62" t="s">
        <v>900</v>
      </c>
      <c r="B1000" s="2" t="s">
        <v>84</v>
      </c>
    </row>
    <row r="1001" spans="1:2" hidden="1">
      <c r="A1001" s="62" t="s">
        <v>1226</v>
      </c>
      <c r="B1001" s="2" t="s">
        <v>84</v>
      </c>
    </row>
    <row r="1002" spans="1:2" hidden="1">
      <c r="A1002" s="62" t="s">
        <v>1344</v>
      </c>
      <c r="B1002" s="2" t="s">
        <v>84</v>
      </c>
    </row>
    <row r="1003" spans="1:2" hidden="1">
      <c r="A1003" s="62" t="s">
        <v>645</v>
      </c>
      <c r="B1003" s="2" t="s">
        <v>84</v>
      </c>
    </row>
    <row r="1004" spans="1:2" hidden="1">
      <c r="A1004" s="62" t="s">
        <v>1170</v>
      </c>
      <c r="B1004" s="2" t="s">
        <v>84</v>
      </c>
    </row>
    <row r="1005" spans="1:2" hidden="1">
      <c r="A1005" s="62" t="s">
        <v>631</v>
      </c>
      <c r="B1005" s="2" t="s">
        <v>84</v>
      </c>
    </row>
    <row r="1006" spans="1:2" hidden="1">
      <c r="A1006" s="62" t="s">
        <v>1379</v>
      </c>
      <c r="B1006" s="2" t="s">
        <v>84</v>
      </c>
    </row>
    <row r="1007" spans="1:2" hidden="1">
      <c r="A1007" s="62" t="s">
        <v>964</v>
      </c>
      <c r="B1007" s="2" t="s">
        <v>84</v>
      </c>
    </row>
    <row r="1008" spans="1:2" hidden="1">
      <c r="A1008" s="62" t="s">
        <v>1198</v>
      </c>
      <c r="B1008" s="2" t="s">
        <v>84</v>
      </c>
    </row>
    <row r="1009" spans="1:2" hidden="1">
      <c r="A1009" s="62" t="s">
        <v>622</v>
      </c>
      <c r="B1009" s="2" t="s">
        <v>84</v>
      </c>
    </row>
    <row r="1010" spans="1:2" hidden="1">
      <c r="A1010" s="62" t="s">
        <v>942</v>
      </c>
      <c r="B1010" s="2" t="s">
        <v>84</v>
      </c>
    </row>
    <row r="1011" spans="1:2" hidden="1">
      <c r="A1011" s="62" t="s">
        <v>1199</v>
      </c>
      <c r="B1011" s="2" t="s">
        <v>84</v>
      </c>
    </row>
    <row r="1012" spans="1:2" hidden="1">
      <c r="A1012" s="62" t="s">
        <v>1146</v>
      </c>
      <c r="B1012" s="2" t="s">
        <v>84</v>
      </c>
    </row>
    <row r="1013" spans="1:2" hidden="1">
      <c r="A1013" s="62" t="s">
        <v>618</v>
      </c>
      <c r="B1013" s="2" t="s">
        <v>84</v>
      </c>
    </row>
    <row r="1014" spans="1:2" hidden="1">
      <c r="A1014" s="62" t="s">
        <v>1019</v>
      </c>
      <c r="B1014" s="2" t="s">
        <v>84</v>
      </c>
    </row>
    <row r="1015" spans="1:2" hidden="1">
      <c r="A1015" s="62" t="s">
        <v>614</v>
      </c>
      <c r="B1015" s="2" t="s">
        <v>84</v>
      </c>
    </row>
    <row r="1016" spans="1:2" hidden="1">
      <c r="A1016" s="62" t="s">
        <v>615</v>
      </c>
      <c r="B1016" s="2" t="s">
        <v>84</v>
      </c>
    </row>
    <row r="1017" spans="1:2" hidden="1">
      <c r="A1017" s="62" t="s">
        <v>1300</v>
      </c>
      <c r="B1017" s="2" t="s">
        <v>84</v>
      </c>
    </row>
    <row r="1018" spans="1:2" hidden="1">
      <c r="A1018" s="62" t="s">
        <v>941</v>
      </c>
      <c r="B1018" s="2" t="s">
        <v>84</v>
      </c>
    </row>
    <row r="1019" spans="1:2" hidden="1">
      <c r="A1019" s="62" t="s">
        <v>926</v>
      </c>
      <c r="B1019" s="2" t="s">
        <v>84</v>
      </c>
    </row>
    <row r="1020" spans="1:2" hidden="1">
      <c r="A1020" s="62" t="s">
        <v>1345</v>
      </c>
      <c r="B1020" s="2" t="s">
        <v>84</v>
      </c>
    </row>
    <row r="1021" spans="1:2" hidden="1">
      <c r="A1021" s="62" t="s">
        <v>602</v>
      </c>
      <c r="B1021" s="2" t="s">
        <v>84</v>
      </c>
    </row>
    <row r="1022" spans="1:2" hidden="1">
      <c r="A1022" s="62" t="s">
        <v>1200</v>
      </c>
      <c r="B1022" s="2" t="s">
        <v>84</v>
      </c>
    </row>
    <row r="1023" spans="1:2" hidden="1">
      <c r="A1023" s="62" t="s">
        <v>1271</v>
      </c>
      <c r="B1023" s="2" t="s">
        <v>84</v>
      </c>
    </row>
    <row r="1024" spans="1:2" hidden="1">
      <c r="A1024" s="62" t="s">
        <v>588</v>
      </c>
      <c r="B1024" s="2" t="s">
        <v>84</v>
      </c>
    </row>
    <row r="1025" spans="1:2" hidden="1">
      <c r="A1025" s="62" t="s">
        <v>915</v>
      </c>
      <c r="B1025" s="2" t="s">
        <v>84</v>
      </c>
    </row>
    <row r="1026" spans="1:2" hidden="1">
      <c r="A1026" s="62" t="s">
        <v>589</v>
      </c>
      <c r="B1026" s="2" t="s">
        <v>84</v>
      </c>
    </row>
    <row r="1027" spans="1:2" hidden="1">
      <c r="A1027" s="62" t="s">
        <v>590</v>
      </c>
      <c r="B1027" s="2" t="s">
        <v>84</v>
      </c>
    </row>
    <row r="1028" spans="1:2" hidden="1">
      <c r="A1028" s="62" t="s">
        <v>1018</v>
      </c>
      <c r="B1028" s="2" t="s">
        <v>84</v>
      </c>
    </row>
    <row r="1029" spans="1:2" hidden="1">
      <c r="A1029" s="62" t="s">
        <v>583</v>
      </c>
      <c r="B1029" s="2" t="s">
        <v>84</v>
      </c>
    </row>
    <row r="1030" spans="1:2" hidden="1">
      <c r="A1030" s="62" t="s">
        <v>962</v>
      </c>
      <c r="B1030" s="2" t="s">
        <v>84</v>
      </c>
    </row>
    <row r="1031" spans="1:2" hidden="1">
      <c r="A1031" s="62" t="s">
        <v>1380</v>
      </c>
      <c r="B1031" s="2" t="s">
        <v>84</v>
      </c>
    </row>
    <row r="1032" spans="1:2" hidden="1">
      <c r="A1032" s="62" t="s">
        <v>582</v>
      </c>
      <c r="B1032" s="2" t="s">
        <v>84</v>
      </c>
    </row>
    <row r="1033" spans="1:2" hidden="1">
      <c r="A1033" s="62" t="s">
        <v>581</v>
      </c>
      <c r="B1033" s="2" t="s">
        <v>84</v>
      </c>
    </row>
    <row r="1034" spans="1:2" hidden="1">
      <c r="A1034" s="62" t="s">
        <v>569</v>
      </c>
      <c r="B1034" s="2" t="s">
        <v>84</v>
      </c>
    </row>
    <row r="1035" spans="1:2" hidden="1">
      <c r="A1035" s="62" t="s">
        <v>571</v>
      </c>
      <c r="B1035" s="2" t="s">
        <v>84</v>
      </c>
    </row>
    <row r="1036" spans="1:2" hidden="1">
      <c r="A1036" s="62" t="s">
        <v>573</v>
      </c>
      <c r="B1036" s="2" t="s">
        <v>84</v>
      </c>
    </row>
    <row r="1037" spans="1:2" hidden="1">
      <c r="A1037" s="62" t="s">
        <v>871</v>
      </c>
      <c r="B1037" s="2" t="s">
        <v>84</v>
      </c>
    </row>
    <row r="1038" spans="1:2" hidden="1">
      <c r="A1038" s="62" t="s">
        <v>561</v>
      </c>
      <c r="B1038" s="2" t="s">
        <v>84</v>
      </c>
    </row>
    <row r="1039" spans="1:2" hidden="1">
      <c r="A1039" s="62" t="s">
        <v>551</v>
      </c>
      <c r="B1039" s="2" t="s">
        <v>84</v>
      </c>
    </row>
    <row r="1040" spans="1:2" hidden="1">
      <c r="A1040" s="62" t="s">
        <v>1122</v>
      </c>
      <c r="B1040" s="2" t="s">
        <v>84</v>
      </c>
    </row>
    <row r="1041" spans="1:2" hidden="1">
      <c r="A1041" s="62" t="s">
        <v>1227</v>
      </c>
      <c r="B1041" s="2" t="s">
        <v>84</v>
      </c>
    </row>
    <row r="1042" spans="1:2" hidden="1">
      <c r="A1042" s="62" t="s">
        <v>1272</v>
      </c>
      <c r="B1042" s="2" t="s">
        <v>84</v>
      </c>
    </row>
    <row r="1043" spans="1:2" hidden="1">
      <c r="A1043" s="62" t="s">
        <v>981</v>
      </c>
      <c r="B1043" s="2" t="s">
        <v>84</v>
      </c>
    </row>
    <row r="1044" spans="1:2" hidden="1">
      <c r="A1044" s="62" t="s">
        <v>556</v>
      </c>
      <c r="B1044" s="2" t="s">
        <v>84</v>
      </c>
    </row>
    <row r="1045" spans="1:2" hidden="1">
      <c r="A1045" s="62" t="s">
        <v>1201</v>
      </c>
      <c r="B1045" s="2" t="s">
        <v>84</v>
      </c>
    </row>
    <row r="1046" spans="1:2" hidden="1">
      <c r="A1046" s="62" t="s">
        <v>1026</v>
      </c>
      <c r="B1046" s="2" t="s">
        <v>84</v>
      </c>
    </row>
    <row r="1047" spans="1:2" hidden="1">
      <c r="A1047" s="62" t="s">
        <v>547</v>
      </c>
      <c r="B1047" s="2" t="s">
        <v>84</v>
      </c>
    </row>
    <row r="1048" spans="1:2" hidden="1">
      <c r="A1048" s="62" t="s">
        <v>1228</v>
      </c>
      <c r="B1048" s="2" t="s">
        <v>84</v>
      </c>
    </row>
    <row r="1049" spans="1:2" hidden="1">
      <c r="A1049" s="62" t="s">
        <v>544</v>
      </c>
      <c r="B1049" s="2" t="s">
        <v>84</v>
      </c>
    </row>
    <row r="1050" spans="1:2" hidden="1">
      <c r="A1050" s="62" t="s">
        <v>1202</v>
      </c>
      <c r="B1050" s="2" t="s">
        <v>84</v>
      </c>
    </row>
    <row r="1051" spans="1:2" hidden="1">
      <c r="A1051" s="62" t="s">
        <v>540</v>
      </c>
      <c r="B1051" s="2" t="s">
        <v>84</v>
      </c>
    </row>
    <row r="1052" spans="1:2" hidden="1">
      <c r="A1052" s="62" t="s">
        <v>538</v>
      </c>
      <c r="B1052" s="2" t="s">
        <v>84</v>
      </c>
    </row>
    <row r="1053" spans="1:2" hidden="1">
      <c r="A1053" s="62" t="s">
        <v>533</v>
      </c>
      <c r="B1053" s="2" t="s">
        <v>84</v>
      </c>
    </row>
    <row r="1054" spans="1:2" hidden="1">
      <c r="A1054" s="62" t="s">
        <v>534</v>
      </c>
      <c r="B1054" s="2" t="s">
        <v>84</v>
      </c>
    </row>
    <row r="1055" spans="1:2" hidden="1">
      <c r="A1055" s="62" t="s">
        <v>535</v>
      </c>
      <c r="B1055" s="2" t="s">
        <v>84</v>
      </c>
    </row>
    <row r="1056" spans="1:2" hidden="1">
      <c r="A1056" s="62" t="s">
        <v>1140</v>
      </c>
      <c r="B1056" s="2" t="s">
        <v>84</v>
      </c>
    </row>
    <row r="1057" spans="1:2" hidden="1">
      <c r="A1057" s="62" t="s">
        <v>528</v>
      </c>
      <c r="B1057" s="2" t="s">
        <v>84</v>
      </c>
    </row>
    <row r="1058" spans="1:2" hidden="1">
      <c r="A1058" s="62" t="s">
        <v>1171</v>
      </c>
      <c r="B1058" s="2" t="s">
        <v>84</v>
      </c>
    </row>
    <row r="1059" spans="1:2" hidden="1">
      <c r="A1059" s="62" t="s">
        <v>525</v>
      </c>
      <c r="B1059" s="2" t="s">
        <v>84</v>
      </c>
    </row>
    <row r="1060" spans="1:2" hidden="1">
      <c r="A1060" s="62" t="s">
        <v>1203</v>
      </c>
      <c r="B1060" s="2" t="s">
        <v>84</v>
      </c>
    </row>
    <row r="1061" spans="1:2" hidden="1">
      <c r="A1061" s="62" t="s">
        <v>1015</v>
      </c>
      <c r="B1061" s="2" t="s">
        <v>84</v>
      </c>
    </row>
    <row r="1062" spans="1:2" hidden="1">
      <c r="A1062" s="62" t="s">
        <v>509</v>
      </c>
      <c r="B1062" s="2" t="s">
        <v>84</v>
      </c>
    </row>
    <row r="1063" spans="1:2" hidden="1">
      <c r="A1063" s="62" t="s">
        <v>1137</v>
      </c>
      <c r="B1063" s="2" t="s">
        <v>84</v>
      </c>
    </row>
    <row r="1064" spans="1:2" hidden="1">
      <c r="A1064" s="62" t="s">
        <v>1346</v>
      </c>
      <c r="B1064" s="2" t="s">
        <v>84</v>
      </c>
    </row>
    <row r="1065" spans="1:2" hidden="1">
      <c r="A1065" s="62" t="s">
        <v>1204</v>
      </c>
      <c r="B1065" s="2" t="s">
        <v>84</v>
      </c>
    </row>
    <row r="1066" spans="1:2" hidden="1">
      <c r="A1066" s="62" t="s">
        <v>1025</v>
      </c>
      <c r="B1066" s="2" t="s">
        <v>84</v>
      </c>
    </row>
    <row r="1067" spans="1:2" hidden="1">
      <c r="A1067" s="62" t="s">
        <v>477</v>
      </c>
      <c r="B1067" s="2" t="s">
        <v>84</v>
      </c>
    </row>
    <row r="1068" spans="1:2" hidden="1">
      <c r="A1068" s="62" t="s">
        <v>465</v>
      </c>
      <c r="B1068" s="2" t="s">
        <v>84</v>
      </c>
    </row>
    <row r="1069" spans="1:2" hidden="1">
      <c r="A1069" s="62" t="s">
        <v>1205</v>
      </c>
      <c r="B1069" s="2" t="s">
        <v>84</v>
      </c>
    </row>
    <row r="1070" spans="1:2" hidden="1">
      <c r="A1070" s="62" t="s">
        <v>469</v>
      </c>
      <c r="B1070" s="2" t="s">
        <v>84</v>
      </c>
    </row>
    <row r="1071" spans="1:2" hidden="1">
      <c r="A1071" s="62" t="s">
        <v>867</v>
      </c>
      <c r="B1071" s="2" t="s">
        <v>84</v>
      </c>
    </row>
    <row r="1072" spans="1:2" hidden="1">
      <c r="A1072" s="62" t="s">
        <v>1324</v>
      </c>
      <c r="B1072" s="2" t="s">
        <v>84</v>
      </c>
    </row>
    <row r="1073" spans="1:2" hidden="1">
      <c r="A1073" s="62" t="s">
        <v>471</v>
      </c>
      <c r="B1073" s="2" t="s">
        <v>84</v>
      </c>
    </row>
    <row r="1074" spans="1:2" hidden="1">
      <c r="A1074" s="62" t="s">
        <v>472</v>
      </c>
      <c r="B1074" s="2" t="s">
        <v>84</v>
      </c>
    </row>
    <row r="1075" spans="1:2" hidden="1">
      <c r="A1075" s="62" t="s">
        <v>464</v>
      </c>
      <c r="B1075" s="2" t="s">
        <v>84</v>
      </c>
    </row>
    <row r="1076" spans="1:2" hidden="1">
      <c r="A1076" s="62" t="s">
        <v>460</v>
      </c>
      <c r="B1076" s="2" t="s">
        <v>84</v>
      </c>
    </row>
    <row r="1077" spans="1:2" hidden="1">
      <c r="A1077" s="62" t="s">
        <v>1206</v>
      </c>
      <c r="B1077" s="2" t="s">
        <v>84</v>
      </c>
    </row>
    <row r="1078" spans="1:2" hidden="1">
      <c r="A1078" s="62" t="s">
        <v>1172</v>
      </c>
      <c r="B1078" s="2" t="s">
        <v>84</v>
      </c>
    </row>
    <row r="1079" spans="1:2" hidden="1">
      <c r="A1079" s="62" t="s">
        <v>456</v>
      </c>
      <c r="B1079" s="2" t="s">
        <v>84</v>
      </c>
    </row>
    <row r="1080" spans="1:2" hidden="1">
      <c r="A1080" s="62" t="s">
        <v>1273</v>
      </c>
      <c r="B1080" s="2" t="s">
        <v>84</v>
      </c>
    </row>
    <row r="1081" spans="1:2" hidden="1">
      <c r="A1081" s="62" t="s">
        <v>447</v>
      </c>
      <c r="B1081" s="2" t="s">
        <v>84</v>
      </c>
    </row>
    <row r="1082" spans="1:2" hidden="1">
      <c r="A1082" s="62" t="s">
        <v>1301</v>
      </c>
      <c r="B1082" s="2" t="s">
        <v>84</v>
      </c>
    </row>
    <row r="1083" spans="1:2" hidden="1">
      <c r="A1083" s="62" t="s">
        <v>1097</v>
      </c>
      <c r="B1083" s="2" t="s">
        <v>84</v>
      </c>
    </row>
    <row r="1084" spans="1:2" hidden="1">
      <c r="A1084" s="62" t="s">
        <v>866</v>
      </c>
      <c r="B1084" s="2" t="s">
        <v>84</v>
      </c>
    </row>
    <row r="1085" spans="1:2" hidden="1">
      <c r="A1085" s="62" t="s">
        <v>1094</v>
      </c>
      <c r="B1085" s="2" t="s">
        <v>84</v>
      </c>
    </row>
    <row r="1086" spans="1:2" hidden="1">
      <c r="A1086" s="62" t="s">
        <v>436</v>
      </c>
      <c r="B1086" s="2" t="s">
        <v>84</v>
      </c>
    </row>
    <row r="1087" spans="1:2" hidden="1">
      <c r="A1087" s="62" t="s">
        <v>1207</v>
      </c>
      <c r="B1087" s="2" t="s">
        <v>84</v>
      </c>
    </row>
    <row r="1088" spans="1:2" hidden="1">
      <c r="A1088" s="62" t="s">
        <v>1136</v>
      </c>
      <c r="B1088" s="2" t="s">
        <v>84</v>
      </c>
    </row>
    <row r="1089" spans="1:2" hidden="1">
      <c r="A1089" s="62" t="s">
        <v>1274</v>
      </c>
      <c r="B1089" s="2" t="s">
        <v>84</v>
      </c>
    </row>
    <row r="1090" spans="1:2" hidden="1">
      <c r="A1090" s="62" t="s">
        <v>426</v>
      </c>
      <c r="B1090" s="2" t="s">
        <v>84</v>
      </c>
    </row>
    <row r="1091" spans="1:2" hidden="1">
      <c r="A1091" s="62" t="s">
        <v>428</v>
      </c>
      <c r="B1091" s="2" t="s">
        <v>84</v>
      </c>
    </row>
    <row r="1092" spans="1:2" hidden="1">
      <c r="A1092" s="62" t="s">
        <v>924</v>
      </c>
      <c r="B1092" s="2" t="s">
        <v>84</v>
      </c>
    </row>
    <row r="1093" spans="1:2" hidden="1">
      <c r="A1093" s="62" t="s">
        <v>1092</v>
      </c>
      <c r="B1093" s="2" t="s">
        <v>84</v>
      </c>
    </row>
    <row r="1094" spans="1:2" hidden="1">
      <c r="A1094" s="62" t="s">
        <v>1381</v>
      </c>
      <c r="B1094" s="2" t="s">
        <v>84</v>
      </c>
    </row>
    <row r="1095" spans="1:2" hidden="1">
      <c r="A1095" s="62" t="s">
        <v>425</v>
      </c>
      <c r="B1095" s="2" t="s">
        <v>84</v>
      </c>
    </row>
    <row r="1096" spans="1:2" hidden="1">
      <c r="A1096" s="62" t="s">
        <v>417</v>
      </c>
      <c r="B1096" s="2" t="s">
        <v>84</v>
      </c>
    </row>
    <row r="1097" spans="1:2" hidden="1">
      <c r="A1097" s="62" t="s">
        <v>885</v>
      </c>
      <c r="B1097" s="2" t="s">
        <v>84</v>
      </c>
    </row>
    <row r="1098" spans="1:2" hidden="1">
      <c r="A1098" s="62" t="s">
        <v>1229</v>
      </c>
      <c r="B1098" s="2" t="s">
        <v>84</v>
      </c>
    </row>
    <row r="1099" spans="1:2" hidden="1">
      <c r="A1099" s="62" t="s">
        <v>1012</v>
      </c>
      <c r="B1099" s="2" t="s">
        <v>84</v>
      </c>
    </row>
    <row r="1100" spans="1:2" hidden="1">
      <c r="A1100" s="62" t="s">
        <v>403</v>
      </c>
      <c r="B1100" s="2" t="s">
        <v>84</v>
      </c>
    </row>
    <row r="1101" spans="1:2" hidden="1">
      <c r="A1101" s="62" t="s">
        <v>1382</v>
      </c>
      <c r="B1101" s="2" t="s">
        <v>84</v>
      </c>
    </row>
    <row r="1102" spans="1:2" hidden="1">
      <c r="A1102" s="62" t="s">
        <v>864</v>
      </c>
      <c r="B1102" s="2" t="s">
        <v>84</v>
      </c>
    </row>
    <row r="1103" spans="1:2" hidden="1">
      <c r="A1103" s="62" t="s">
        <v>393</v>
      </c>
      <c r="B1103" s="2" t="s">
        <v>84</v>
      </c>
    </row>
    <row r="1104" spans="1:2" hidden="1">
      <c r="A1104" s="62" t="s">
        <v>1208</v>
      </c>
      <c r="B1104" s="2" t="s">
        <v>84</v>
      </c>
    </row>
    <row r="1105" spans="1:2" hidden="1">
      <c r="A1105" s="62" t="s">
        <v>1275</v>
      </c>
      <c r="B1105" s="2" t="s">
        <v>84</v>
      </c>
    </row>
    <row r="1106" spans="1:2" hidden="1">
      <c r="A1106" s="62" t="s">
        <v>1302</v>
      </c>
      <c r="B1106" s="2" t="s">
        <v>84</v>
      </c>
    </row>
    <row r="1107" spans="1:2" hidden="1">
      <c r="A1107" s="62" t="s">
        <v>1089</v>
      </c>
      <c r="B1107" s="2" t="s">
        <v>84</v>
      </c>
    </row>
    <row r="1108" spans="1:2" hidden="1">
      <c r="A1108" s="62" t="s">
        <v>1209</v>
      </c>
      <c r="B1108" s="2" t="s">
        <v>84</v>
      </c>
    </row>
    <row r="1109" spans="1:2" hidden="1">
      <c r="A1109" s="62" t="s">
        <v>376</v>
      </c>
      <c r="B1109" s="2" t="s">
        <v>84</v>
      </c>
    </row>
    <row r="1110" spans="1:2" hidden="1">
      <c r="A1110" s="62" t="s">
        <v>906</v>
      </c>
      <c r="B1110" s="2" t="s">
        <v>84</v>
      </c>
    </row>
    <row r="1111" spans="1:2" hidden="1">
      <c r="A1111" s="62" t="s">
        <v>1347</v>
      </c>
      <c r="B1111" s="2" t="s">
        <v>84</v>
      </c>
    </row>
    <row r="1112" spans="1:2" hidden="1">
      <c r="A1112" s="62" t="s">
        <v>379</v>
      </c>
      <c r="B1112" s="2" t="s">
        <v>84</v>
      </c>
    </row>
    <row r="1113" spans="1:2" hidden="1">
      <c r="A1113" s="62" t="s">
        <v>1023</v>
      </c>
      <c r="B1113" s="2" t="s">
        <v>84</v>
      </c>
    </row>
    <row r="1114" spans="1:2" hidden="1">
      <c r="A1114" s="62" t="s">
        <v>1276</v>
      </c>
      <c r="B1114" s="2" t="s">
        <v>84</v>
      </c>
    </row>
    <row r="1115" spans="1:2" hidden="1">
      <c r="A1115" s="62" t="s">
        <v>373</v>
      </c>
      <c r="B1115" s="2" t="s">
        <v>84</v>
      </c>
    </row>
    <row r="1116" spans="1:2" hidden="1">
      <c r="A1116" s="62" t="s">
        <v>374</v>
      </c>
      <c r="B1116" s="2" t="s">
        <v>84</v>
      </c>
    </row>
    <row r="1117" spans="1:2" hidden="1">
      <c r="A1117" s="62" t="s">
        <v>1252</v>
      </c>
      <c r="B1117" s="2" t="s">
        <v>84</v>
      </c>
    </row>
    <row r="1118" spans="1:2" hidden="1">
      <c r="A1118" s="62" t="s">
        <v>1230</v>
      </c>
      <c r="B1118" s="2" t="s">
        <v>84</v>
      </c>
    </row>
    <row r="1119" spans="1:2" hidden="1">
      <c r="A1119" s="62" t="s">
        <v>375</v>
      </c>
      <c r="B1119" s="2" t="s">
        <v>84</v>
      </c>
    </row>
    <row r="1120" spans="1:2" hidden="1">
      <c r="A1120" s="62" t="s">
        <v>977</v>
      </c>
      <c r="B1120" s="2" t="s">
        <v>84</v>
      </c>
    </row>
    <row r="1121" spans="1:2" hidden="1">
      <c r="A1121" s="62" t="s">
        <v>1231</v>
      </c>
      <c r="B1121" s="2" t="s">
        <v>84</v>
      </c>
    </row>
    <row r="1122" spans="1:2" hidden="1">
      <c r="A1122" s="62" t="s">
        <v>369</v>
      </c>
      <c r="B1122" s="2" t="s">
        <v>84</v>
      </c>
    </row>
    <row r="1123" spans="1:2" hidden="1">
      <c r="A1123" s="62" t="s">
        <v>702</v>
      </c>
      <c r="B1123" s="2" t="s">
        <v>84</v>
      </c>
    </row>
    <row r="1124" spans="1:2" hidden="1">
      <c r="A1124" s="62" t="s">
        <v>1210</v>
      </c>
      <c r="B1124" s="2" t="s">
        <v>84</v>
      </c>
    </row>
    <row r="1125" spans="1:2" hidden="1">
      <c r="A1125" s="62" t="s">
        <v>703</v>
      </c>
      <c r="B1125" s="2" t="s">
        <v>84</v>
      </c>
    </row>
    <row r="1126" spans="1:2" hidden="1">
      <c r="A1126" s="62" t="s">
        <v>704</v>
      </c>
      <c r="B1126" s="2" t="s">
        <v>84</v>
      </c>
    </row>
    <row r="1127" spans="1:2" hidden="1">
      <c r="A1127" s="62" t="s">
        <v>695</v>
      </c>
      <c r="B1127" s="2" t="s">
        <v>84</v>
      </c>
    </row>
    <row r="1128" spans="1:2" hidden="1">
      <c r="A1128" s="62" t="s">
        <v>689</v>
      </c>
      <c r="B1128" s="2" t="s">
        <v>84</v>
      </c>
    </row>
    <row r="1129" spans="1:2" hidden="1">
      <c r="A1129" s="62" t="s">
        <v>690</v>
      </c>
      <c r="B1129" s="2" t="s">
        <v>84</v>
      </c>
    </row>
    <row r="1130" spans="1:2" hidden="1">
      <c r="A1130" s="62" t="s">
        <v>691</v>
      </c>
      <c r="B1130" s="2" t="s">
        <v>84</v>
      </c>
    </row>
    <row r="1131" spans="1:2" hidden="1">
      <c r="A1131" s="62" t="s">
        <v>692</v>
      </c>
      <c r="B1131" s="2" t="s">
        <v>84</v>
      </c>
    </row>
    <row r="1132" spans="1:2" hidden="1">
      <c r="A1132" s="62" t="s">
        <v>1073</v>
      </c>
      <c r="B1132" s="2" t="s">
        <v>84</v>
      </c>
    </row>
    <row r="1133" spans="1:2" hidden="1">
      <c r="A1133" s="62" t="s">
        <v>605</v>
      </c>
      <c r="B1133" s="2" t="s">
        <v>84</v>
      </c>
    </row>
    <row r="1134" spans="1:2" hidden="1">
      <c r="A1134" s="62" t="s">
        <v>606</v>
      </c>
      <c r="B1134" s="2" t="s">
        <v>84</v>
      </c>
    </row>
    <row r="1135" spans="1:2" hidden="1">
      <c r="A1135" s="62" t="s">
        <v>607</v>
      </c>
      <c r="B1135" s="2" t="s">
        <v>84</v>
      </c>
    </row>
    <row r="1136" spans="1:2" hidden="1">
      <c r="A1136" s="62" t="s">
        <v>608</v>
      </c>
      <c r="B1136" s="2" t="s">
        <v>84</v>
      </c>
    </row>
    <row r="1137" spans="1:2" hidden="1">
      <c r="A1137" s="62" t="s">
        <v>1074</v>
      </c>
      <c r="B1137" s="2" t="s">
        <v>84</v>
      </c>
    </row>
    <row r="1138" spans="1:2" hidden="1">
      <c r="A1138" s="62" t="s">
        <v>993</v>
      </c>
      <c r="B1138" s="2" t="s">
        <v>84</v>
      </c>
    </row>
    <row r="1139" spans="1:2" hidden="1">
      <c r="A1139" s="62" t="s">
        <v>693</v>
      </c>
      <c r="B1139" s="2" t="s">
        <v>84</v>
      </c>
    </row>
    <row r="1140" spans="1:2" hidden="1">
      <c r="A1140" s="62" t="s">
        <v>694</v>
      </c>
      <c r="B1140" s="2" t="s">
        <v>84</v>
      </c>
    </row>
    <row r="1141" spans="1:2" hidden="1">
      <c r="A1141" s="62" t="s">
        <v>684</v>
      </c>
      <c r="B1141" s="2" t="s">
        <v>84</v>
      </c>
    </row>
    <row r="1142" spans="1:2" hidden="1">
      <c r="A1142" s="62" t="s">
        <v>685</v>
      </c>
      <c r="B1142" s="2" t="s">
        <v>84</v>
      </c>
    </row>
    <row r="1143" spans="1:2" hidden="1">
      <c r="A1143" s="62" t="s">
        <v>686</v>
      </c>
      <c r="B1143" s="2" t="s">
        <v>84</v>
      </c>
    </row>
    <row r="1144" spans="1:2" hidden="1">
      <c r="A1144" s="62" t="s">
        <v>443</v>
      </c>
      <c r="B1144" s="2" t="s">
        <v>84</v>
      </c>
    </row>
    <row r="1145" spans="1:2" hidden="1">
      <c r="A1145" s="62" t="s">
        <v>444</v>
      </c>
      <c r="B1145" s="2" t="s">
        <v>84</v>
      </c>
    </row>
    <row r="1146" spans="1:2" hidden="1">
      <c r="A1146" s="62" t="s">
        <v>1014</v>
      </c>
      <c r="B1146" s="2" t="s">
        <v>84</v>
      </c>
    </row>
    <row r="1147" spans="1:2" hidden="1">
      <c r="A1147" s="62" t="s">
        <v>445</v>
      </c>
      <c r="B1147" s="2" t="s">
        <v>84</v>
      </c>
    </row>
    <row r="1148" spans="1:2" hidden="1">
      <c r="A1148" s="62" t="s">
        <v>446</v>
      </c>
      <c r="B1148" s="2" t="s">
        <v>84</v>
      </c>
    </row>
    <row r="1149" spans="1:2" hidden="1">
      <c r="A1149" s="62" t="s">
        <v>1024</v>
      </c>
      <c r="B1149" s="2" t="s">
        <v>84</v>
      </c>
    </row>
    <row r="1150" spans="1:2" hidden="1">
      <c r="A1150" s="62" t="s">
        <v>503</v>
      </c>
      <c r="B1150" s="2" t="s">
        <v>84</v>
      </c>
    </row>
    <row r="1151" spans="1:2" hidden="1">
      <c r="A1151" s="62" t="s">
        <v>496</v>
      </c>
      <c r="B1151" s="2" t="s">
        <v>84</v>
      </c>
    </row>
    <row r="1152" spans="1:2" hidden="1">
      <c r="A1152" s="62" t="s">
        <v>488</v>
      </c>
      <c r="B1152" s="2" t="s">
        <v>84</v>
      </c>
    </row>
    <row r="1153" spans="1:2" hidden="1">
      <c r="A1153" s="62" t="s">
        <v>489</v>
      </c>
      <c r="B1153" s="2" t="s">
        <v>84</v>
      </c>
    </row>
    <row r="1154" spans="1:2" hidden="1">
      <c r="A1154" s="62" t="s">
        <v>490</v>
      </c>
      <c r="B1154" s="2" t="s">
        <v>84</v>
      </c>
    </row>
    <row r="1155" spans="1:2" hidden="1">
      <c r="A1155" s="62" t="s">
        <v>491</v>
      </c>
      <c r="B1155" s="2" t="s">
        <v>84</v>
      </c>
    </row>
    <row r="1156" spans="1:2" hidden="1">
      <c r="A1156" s="62" t="s">
        <v>492</v>
      </c>
      <c r="B1156" s="2" t="s">
        <v>84</v>
      </c>
    </row>
    <row r="1157" spans="1:2" hidden="1">
      <c r="A1157" s="62" t="s">
        <v>751</v>
      </c>
      <c r="B1157" s="2" t="s">
        <v>744</v>
      </c>
    </row>
    <row r="1158" spans="1:2" hidden="1">
      <c r="A1158" s="62" t="s">
        <v>749</v>
      </c>
      <c r="B1158" s="2" t="s">
        <v>744</v>
      </c>
    </row>
    <row r="1159" spans="1:2" hidden="1">
      <c r="A1159" s="62" t="s">
        <v>1048</v>
      </c>
      <c r="B1159" s="2" t="s">
        <v>4</v>
      </c>
    </row>
    <row r="1160" spans="1:2" hidden="1">
      <c r="A1160" s="62" t="s">
        <v>752</v>
      </c>
      <c r="B1160" s="2" t="s">
        <v>744</v>
      </c>
    </row>
    <row r="1161" spans="1:2" hidden="1">
      <c r="A1161" s="62" t="s">
        <v>747</v>
      </c>
      <c r="B1161" s="2" t="s">
        <v>744</v>
      </c>
    </row>
    <row r="1162" spans="1:2" hidden="1">
      <c r="A1162" s="62" t="s">
        <v>945</v>
      </c>
      <c r="B1162" s="2" t="s">
        <v>744</v>
      </c>
    </row>
    <row r="1163" spans="1:2" hidden="1">
      <c r="A1163" s="62" t="s">
        <v>746</v>
      </c>
      <c r="B1163" s="2" t="s">
        <v>10</v>
      </c>
    </row>
    <row r="1164" spans="1:2" hidden="1">
      <c r="A1164" s="62" t="s">
        <v>743</v>
      </c>
      <c r="B1164" s="2" t="s">
        <v>744</v>
      </c>
    </row>
    <row r="1165" spans="1:2" hidden="1">
      <c r="A1165" s="62" t="s">
        <v>1232</v>
      </c>
      <c r="B1165" s="2" t="s">
        <v>6</v>
      </c>
    </row>
    <row r="1166" spans="1:2" hidden="1">
      <c r="A1166" s="62" t="s">
        <v>932</v>
      </c>
      <c r="B1166" s="2" t="s">
        <v>6</v>
      </c>
    </row>
    <row r="1167" spans="1:2" hidden="1">
      <c r="A1167" s="62" t="s">
        <v>1128</v>
      </c>
      <c r="B1167" s="2" t="s">
        <v>4</v>
      </c>
    </row>
    <row r="1168" spans="1:2" hidden="1">
      <c r="A1168" s="62" t="s">
        <v>1108</v>
      </c>
      <c r="B1168" s="2" t="s">
        <v>6</v>
      </c>
    </row>
    <row r="1169" spans="1:2" hidden="1">
      <c r="A1169" s="62" t="s">
        <v>748</v>
      </c>
      <c r="B1169" s="2" t="s">
        <v>744</v>
      </c>
    </row>
    <row r="1170" spans="1:2" hidden="1">
      <c r="A1170" s="62" t="s">
        <v>1107</v>
      </c>
      <c r="B1170" s="2" t="s">
        <v>6</v>
      </c>
    </row>
    <row r="1171" spans="1:2" hidden="1">
      <c r="A1171" s="62" t="s">
        <v>753</v>
      </c>
      <c r="B1171" s="2" t="s">
        <v>750</v>
      </c>
    </row>
    <row r="1172" spans="1:2" hidden="1">
      <c r="A1172" s="62" t="s">
        <v>20</v>
      </c>
      <c r="B1172" s="2" t="s">
        <v>20</v>
      </c>
    </row>
    <row r="1173" spans="1:2" hidden="1">
      <c r="A1173" s="62" t="s">
        <v>1106</v>
      </c>
      <c r="B1173" s="2" t="s">
        <v>9</v>
      </c>
    </row>
    <row r="1174" spans="1:2" hidden="1">
      <c r="A1174" s="62" t="s">
        <v>745</v>
      </c>
      <c r="B1174" s="2" t="s">
        <v>28</v>
      </c>
    </row>
    <row r="1175" spans="1:2" hidden="1">
      <c r="A1175" s="62" t="s">
        <v>742</v>
      </c>
      <c r="B1175" s="2" t="s">
        <v>37</v>
      </c>
    </row>
    <row r="1176" spans="1:2" hidden="1">
      <c r="A1176" s="62" t="s">
        <v>828</v>
      </c>
      <c r="B1176" s="2" t="s">
        <v>13</v>
      </c>
    </row>
    <row r="1177" spans="1:2" hidden="1">
      <c r="A1177" s="62" t="s">
        <v>780</v>
      </c>
      <c r="B1177" s="2" t="s">
        <v>13</v>
      </c>
    </row>
    <row r="1178" spans="1:2" hidden="1">
      <c r="A1178" s="62" t="s">
        <v>764</v>
      </c>
      <c r="B1178" s="2" t="s">
        <v>84</v>
      </c>
    </row>
    <row r="1179" spans="1:2" hidden="1">
      <c r="A1179" s="62" t="s">
        <v>823</v>
      </c>
      <c r="B1179" s="2" t="s">
        <v>13</v>
      </c>
    </row>
    <row r="1180" spans="1:2" hidden="1">
      <c r="A1180" s="62" t="s">
        <v>826</v>
      </c>
      <c r="B1180" s="2" t="s">
        <v>13</v>
      </c>
    </row>
    <row r="1181" spans="1:2" hidden="1">
      <c r="A1181" s="62" t="s">
        <v>808</v>
      </c>
      <c r="B1181" s="2" t="s">
        <v>13</v>
      </c>
    </row>
    <row r="1182" spans="1:2" hidden="1">
      <c r="A1182" s="62" t="s">
        <v>809</v>
      </c>
      <c r="B1182" s="2" t="s">
        <v>13</v>
      </c>
    </row>
    <row r="1183" spans="1:2" hidden="1">
      <c r="A1183" s="62" t="s">
        <v>1303</v>
      </c>
      <c r="B1183" s="2" t="s">
        <v>13</v>
      </c>
    </row>
    <row r="1184" spans="1:2" hidden="1">
      <c r="A1184" s="62" t="s">
        <v>1277</v>
      </c>
      <c r="B1184" s="2" t="s">
        <v>84</v>
      </c>
    </row>
    <row r="1185" spans="1:2" hidden="1">
      <c r="A1185" s="62" t="s">
        <v>825</v>
      </c>
      <c r="B1185" s="2" t="s">
        <v>45</v>
      </c>
    </row>
    <row r="1186" spans="1:2" hidden="1">
      <c r="A1186" s="62" t="s">
        <v>833</v>
      </c>
      <c r="B1186" s="2" t="s">
        <v>72</v>
      </c>
    </row>
    <row r="1187" spans="1:2" hidden="1">
      <c r="A1187" s="62" t="s">
        <v>806</v>
      </c>
      <c r="B1187" s="2" t="s">
        <v>72</v>
      </c>
    </row>
    <row r="1188" spans="1:2" hidden="1">
      <c r="A1188" s="62" t="s">
        <v>800</v>
      </c>
      <c r="B1188" s="2" t="s">
        <v>56</v>
      </c>
    </row>
    <row r="1189" spans="1:2" hidden="1">
      <c r="A1189" s="62" t="s">
        <v>785</v>
      </c>
      <c r="B1189" s="2" t="s">
        <v>59</v>
      </c>
    </row>
    <row r="1190" spans="1:2" hidden="1">
      <c r="A1190" s="62" t="s">
        <v>762</v>
      </c>
      <c r="B1190" s="2" t="s">
        <v>72</v>
      </c>
    </row>
    <row r="1191" spans="1:2" hidden="1">
      <c r="A1191" s="62" t="s">
        <v>1077</v>
      </c>
      <c r="B1191" s="2" t="s">
        <v>72</v>
      </c>
    </row>
    <row r="1192" spans="1:2" hidden="1">
      <c r="A1192" s="62" t="s">
        <v>1049</v>
      </c>
      <c r="B1192" s="2" t="s">
        <v>72</v>
      </c>
    </row>
    <row r="1193" spans="1:2" hidden="1">
      <c r="A1193" s="62" t="s">
        <v>830</v>
      </c>
      <c r="B1193" s="2" t="s">
        <v>84</v>
      </c>
    </row>
    <row r="1194" spans="1:2" hidden="1">
      <c r="A1194" s="62" t="s">
        <v>883</v>
      </c>
      <c r="B1194" s="2" t="s">
        <v>84</v>
      </c>
    </row>
    <row r="1195" spans="1:2" hidden="1">
      <c r="A1195" s="62" t="s">
        <v>799</v>
      </c>
      <c r="B1195" s="2" t="s">
        <v>60</v>
      </c>
    </row>
    <row r="1196" spans="1:2" hidden="1">
      <c r="A1196" s="62" t="s">
        <v>803</v>
      </c>
      <c r="B1196" s="2" t="s">
        <v>68</v>
      </c>
    </row>
    <row r="1197" spans="1:2" hidden="1">
      <c r="A1197" s="62" t="s">
        <v>789</v>
      </c>
      <c r="B1197" s="2" t="s">
        <v>61</v>
      </c>
    </row>
    <row r="1198" spans="1:2" hidden="1">
      <c r="A1198" s="62" t="s">
        <v>791</v>
      </c>
      <c r="B1198" s="2" t="s">
        <v>72</v>
      </c>
    </row>
    <row r="1199" spans="1:2" hidden="1">
      <c r="A1199" s="62" t="s">
        <v>792</v>
      </c>
      <c r="B1199" s="2" t="s">
        <v>61</v>
      </c>
    </row>
    <row r="1200" spans="1:2" hidden="1">
      <c r="A1200" s="62" t="s">
        <v>761</v>
      </c>
      <c r="B1200" s="2" t="s">
        <v>61</v>
      </c>
    </row>
    <row r="1201" spans="1:2" hidden="1">
      <c r="A1201" s="62" t="s">
        <v>819</v>
      </c>
      <c r="B1201" s="2" t="s">
        <v>11</v>
      </c>
    </row>
    <row r="1202" spans="1:2" hidden="1">
      <c r="A1202" s="62" t="s">
        <v>820</v>
      </c>
      <c r="B1202" s="2" t="s">
        <v>9</v>
      </c>
    </row>
    <row r="1203" spans="1:2" hidden="1">
      <c r="A1203" s="62" t="s">
        <v>821</v>
      </c>
      <c r="B1203" s="2" t="s">
        <v>1542</v>
      </c>
    </row>
    <row r="1204" spans="1:2" hidden="1">
      <c r="A1204" s="62" t="s">
        <v>966</v>
      </c>
      <c r="B1204" s="2" t="s">
        <v>45</v>
      </c>
    </row>
    <row r="1205" spans="1:2" hidden="1">
      <c r="A1205" s="62" t="s">
        <v>769</v>
      </c>
      <c r="B1205" s="2" t="s">
        <v>9</v>
      </c>
    </row>
    <row r="1206" spans="1:2" hidden="1">
      <c r="A1206" s="62" t="s">
        <v>767</v>
      </c>
      <c r="B1206" s="2" t="s">
        <v>11</v>
      </c>
    </row>
    <row r="1207" spans="1:2" hidden="1">
      <c r="A1207" s="62" t="s">
        <v>772</v>
      </c>
      <c r="B1207" s="2" t="s">
        <v>11</v>
      </c>
    </row>
    <row r="1208" spans="1:2" hidden="1">
      <c r="A1208" s="62" t="s">
        <v>766</v>
      </c>
      <c r="B1208" s="2" t="s">
        <v>9</v>
      </c>
    </row>
    <row r="1209" spans="1:2" hidden="1">
      <c r="A1209" s="62" t="s">
        <v>916</v>
      </c>
      <c r="B1209" s="2" t="s">
        <v>9</v>
      </c>
    </row>
    <row r="1210" spans="1:2" hidden="1">
      <c r="A1210" s="62" t="s">
        <v>1211</v>
      </c>
      <c r="B1210" s="2" t="s">
        <v>9</v>
      </c>
    </row>
    <row r="1211" spans="1:2" hidden="1">
      <c r="A1211" s="62" t="s">
        <v>771</v>
      </c>
      <c r="B1211" s="2" t="s">
        <v>9</v>
      </c>
    </row>
    <row r="1212" spans="1:2" hidden="1">
      <c r="A1212" s="62" t="s">
        <v>1212</v>
      </c>
      <c r="B1212" s="2" t="s">
        <v>45</v>
      </c>
    </row>
    <row r="1213" spans="1:2" hidden="1">
      <c r="A1213" s="62" t="s">
        <v>765</v>
      </c>
      <c r="B1213" s="2" t="s">
        <v>45</v>
      </c>
    </row>
    <row r="1214" spans="1:2" hidden="1">
      <c r="A1214" s="62" t="s">
        <v>768</v>
      </c>
      <c r="B1214" s="2" t="s">
        <v>45</v>
      </c>
    </row>
    <row r="1215" spans="1:2" hidden="1">
      <c r="A1215" s="62" t="s">
        <v>1304</v>
      </c>
      <c r="B1215" s="2" t="s">
        <v>45</v>
      </c>
    </row>
    <row r="1216" spans="1:2" hidden="1">
      <c r="A1216" s="62" t="s">
        <v>773</v>
      </c>
      <c r="B1216" s="2" t="s">
        <v>45</v>
      </c>
    </row>
    <row r="1217" spans="1:2" hidden="1">
      <c r="A1217" s="62" t="s">
        <v>1253</v>
      </c>
      <c r="B1217" s="2" t="s">
        <v>9</v>
      </c>
    </row>
    <row r="1218" spans="1:2" hidden="1">
      <c r="A1218" s="62" t="s">
        <v>774</v>
      </c>
      <c r="B1218" s="2" t="s">
        <v>9</v>
      </c>
    </row>
    <row r="1219" spans="1:2" hidden="1">
      <c r="A1219" s="62" t="s">
        <v>770</v>
      </c>
      <c r="B1219" s="2" t="s">
        <v>9</v>
      </c>
    </row>
    <row r="1220" spans="1:2" hidden="1">
      <c r="A1220" s="62" t="s">
        <v>827</v>
      </c>
      <c r="B1220" s="2" t="s">
        <v>67</v>
      </c>
    </row>
    <row r="1221" spans="1:2" hidden="1">
      <c r="A1221" s="62" t="s">
        <v>1305</v>
      </c>
      <c r="B1221" s="2" t="s">
        <v>72</v>
      </c>
    </row>
    <row r="1222" spans="1:2" hidden="1">
      <c r="A1222" s="62" t="s">
        <v>832</v>
      </c>
      <c r="B1222" s="2" t="s">
        <v>72</v>
      </c>
    </row>
    <row r="1223" spans="1:2" hidden="1">
      <c r="A1223" s="62" t="s">
        <v>1109</v>
      </c>
      <c r="B1223" s="2" t="s">
        <v>68</v>
      </c>
    </row>
    <row r="1224" spans="1:2" hidden="1">
      <c r="A1224" s="62" t="s">
        <v>816</v>
      </c>
      <c r="B1224" s="2" t="s">
        <v>61</v>
      </c>
    </row>
    <row r="1225" spans="1:2" hidden="1">
      <c r="A1225" s="62" t="s">
        <v>793</v>
      </c>
      <c r="B1225" s="2" t="s">
        <v>71</v>
      </c>
    </row>
    <row r="1226" spans="1:2" hidden="1">
      <c r="A1226" s="62" t="s">
        <v>1306</v>
      </c>
      <c r="B1226" s="2" t="s">
        <v>72</v>
      </c>
    </row>
    <row r="1227" spans="1:2" hidden="1">
      <c r="A1227" s="62" t="s">
        <v>805</v>
      </c>
      <c r="B1227" s="2" t="s">
        <v>72</v>
      </c>
    </row>
    <row r="1228" spans="1:2" hidden="1">
      <c r="A1228" s="62" t="s">
        <v>776</v>
      </c>
      <c r="B1228" s="2" t="s">
        <v>72</v>
      </c>
    </row>
    <row r="1229" spans="1:2" hidden="1">
      <c r="A1229" s="62" t="s">
        <v>777</v>
      </c>
      <c r="B1229" s="2" t="s">
        <v>72</v>
      </c>
    </row>
    <row r="1230" spans="1:2" hidden="1">
      <c r="A1230" s="62" t="s">
        <v>1078</v>
      </c>
      <c r="B1230" s="2" t="s">
        <v>72</v>
      </c>
    </row>
    <row r="1231" spans="1:2" hidden="1">
      <c r="A1231" s="62" t="s">
        <v>783</v>
      </c>
      <c r="B1231" s="2" t="s">
        <v>67</v>
      </c>
    </row>
    <row r="1232" spans="1:2" hidden="1">
      <c r="A1232" s="62" t="s">
        <v>784</v>
      </c>
      <c r="B1232" s="2" t="s">
        <v>72</v>
      </c>
    </row>
    <row r="1233" spans="1:2" hidden="1">
      <c r="A1233" s="62" t="s">
        <v>786</v>
      </c>
      <c r="B1233" s="2" t="s">
        <v>72</v>
      </c>
    </row>
    <row r="1234" spans="1:2" hidden="1">
      <c r="A1234" s="62" t="s">
        <v>763</v>
      </c>
      <c r="B1234" s="2" t="s">
        <v>84</v>
      </c>
    </row>
    <row r="1235" spans="1:2" hidden="1">
      <c r="A1235" s="62" t="s">
        <v>755</v>
      </c>
      <c r="B1235" s="2" t="s">
        <v>72</v>
      </c>
    </row>
    <row r="1236" spans="1:2" hidden="1">
      <c r="A1236" s="62" t="s">
        <v>1007</v>
      </c>
      <c r="B1236" s="2" t="s">
        <v>72</v>
      </c>
    </row>
    <row r="1237" spans="1:2" hidden="1">
      <c r="A1237" s="62" t="s">
        <v>756</v>
      </c>
      <c r="B1237" s="2" t="s">
        <v>72</v>
      </c>
    </row>
    <row r="1238" spans="1:2" hidden="1">
      <c r="A1238" s="62" t="s">
        <v>757</v>
      </c>
      <c r="B1238" s="2" t="s">
        <v>72</v>
      </c>
    </row>
    <row r="1239" spans="1:2" hidden="1">
      <c r="A1239" s="62" t="s">
        <v>758</v>
      </c>
      <c r="B1239" s="2" t="s">
        <v>72</v>
      </c>
    </row>
    <row r="1240" spans="1:2" hidden="1">
      <c r="A1240" s="62" t="s">
        <v>759</v>
      </c>
      <c r="B1240" s="2" t="s">
        <v>67</v>
      </c>
    </row>
    <row r="1241" spans="1:2" hidden="1">
      <c r="A1241" s="62" t="s">
        <v>760</v>
      </c>
      <c r="B1241" s="2" t="s">
        <v>72</v>
      </c>
    </row>
    <row r="1242" spans="1:2" hidden="1">
      <c r="A1242" s="62" t="s">
        <v>790</v>
      </c>
      <c r="B1242" s="2" t="s">
        <v>67</v>
      </c>
    </row>
    <row r="1243" spans="1:2" hidden="1">
      <c r="A1243" s="62" t="s">
        <v>874</v>
      </c>
      <c r="B1243" s="2" t="s">
        <v>67</v>
      </c>
    </row>
    <row r="1244" spans="1:2" hidden="1">
      <c r="A1244" s="62" t="s">
        <v>781</v>
      </c>
      <c r="B1244" s="2" t="s">
        <v>53</v>
      </c>
    </row>
    <row r="1245" spans="1:2" hidden="1">
      <c r="A1245" s="62" t="s">
        <v>782</v>
      </c>
      <c r="B1245" s="2" t="s">
        <v>53</v>
      </c>
    </row>
    <row r="1246" spans="1:2" hidden="1">
      <c r="A1246" s="62" t="s">
        <v>842</v>
      </c>
      <c r="B1246" s="2" t="s">
        <v>52</v>
      </c>
    </row>
    <row r="1247" spans="1:2" hidden="1">
      <c r="A1247" s="62" t="s">
        <v>843</v>
      </c>
      <c r="B1247" s="2" t="s">
        <v>52</v>
      </c>
    </row>
    <row r="1248" spans="1:2" hidden="1">
      <c r="A1248" s="62" t="s">
        <v>844</v>
      </c>
      <c r="B1248" s="2" t="s">
        <v>52</v>
      </c>
    </row>
    <row r="1249" spans="1:2" hidden="1">
      <c r="A1249" s="62" t="s">
        <v>845</v>
      </c>
      <c r="B1249" s="2" t="s">
        <v>52</v>
      </c>
    </row>
    <row r="1250" spans="1:2" hidden="1">
      <c r="A1250" s="62" t="s">
        <v>846</v>
      </c>
      <c r="B1250" s="2" t="s">
        <v>52</v>
      </c>
    </row>
    <row r="1251" spans="1:2" hidden="1">
      <c r="A1251" s="62" t="s">
        <v>847</v>
      </c>
      <c r="B1251" s="2" t="s">
        <v>52</v>
      </c>
    </row>
    <row r="1252" spans="1:2" hidden="1">
      <c r="A1252" s="62" t="s">
        <v>848</v>
      </c>
      <c r="B1252" s="2" t="s">
        <v>52</v>
      </c>
    </row>
    <row r="1253" spans="1:2" hidden="1">
      <c r="A1253" s="62" t="s">
        <v>849</v>
      </c>
      <c r="B1253" s="2" t="s">
        <v>52</v>
      </c>
    </row>
    <row r="1254" spans="1:2" hidden="1">
      <c r="A1254" s="62" t="s">
        <v>850</v>
      </c>
      <c r="B1254" s="2" t="s">
        <v>52</v>
      </c>
    </row>
    <row r="1255" spans="1:2" hidden="1">
      <c r="A1255" s="62" t="s">
        <v>851</v>
      </c>
      <c r="B1255" s="2" t="s">
        <v>52</v>
      </c>
    </row>
    <row r="1256" spans="1:2" hidden="1">
      <c r="A1256" s="62" t="s">
        <v>852</v>
      </c>
      <c r="B1256" s="2" t="s">
        <v>52</v>
      </c>
    </row>
    <row r="1257" spans="1:2" hidden="1">
      <c r="A1257" s="62" t="s">
        <v>853</v>
      </c>
      <c r="B1257" s="2" t="s">
        <v>52</v>
      </c>
    </row>
    <row r="1258" spans="1:2" hidden="1">
      <c r="A1258" s="62" t="s">
        <v>839</v>
      </c>
      <c r="B1258" s="2" t="s">
        <v>52</v>
      </c>
    </row>
    <row r="1259" spans="1:2" hidden="1">
      <c r="A1259" s="62" t="s">
        <v>840</v>
      </c>
      <c r="B1259" s="2" t="s">
        <v>52</v>
      </c>
    </row>
    <row r="1260" spans="1:2" hidden="1">
      <c r="A1260" s="62" t="s">
        <v>815</v>
      </c>
      <c r="B1260" s="2" t="s">
        <v>52</v>
      </c>
    </row>
    <row r="1261" spans="1:2" hidden="1">
      <c r="A1261" s="62" t="s">
        <v>817</v>
      </c>
      <c r="B1261" s="2" t="s">
        <v>52</v>
      </c>
    </row>
    <row r="1262" spans="1:2" hidden="1">
      <c r="A1262" s="62" t="s">
        <v>801</v>
      </c>
      <c r="B1262" s="2" t="s">
        <v>52</v>
      </c>
    </row>
    <row r="1263" spans="1:2" hidden="1">
      <c r="A1263" s="62" t="s">
        <v>778</v>
      </c>
      <c r="B1263" s="2" t="s">
        <v>52</v>
      </c>
    </row>
    <row r="1264" spans="1:2" hidden="1">
      <c r="A1264" s="62" t="s">
        <v>779</v>
      </c>
      <c r="B1264" s="2" t="s">
        <v>52</v>
      </c>
    </row>
    <row r="1265" spans="1:2" hidden="1">
      <c r="A1265" s="62" t="s">
        <v>754</v>
      </c>
      <c r="B1265" s="2" t="s">
        <v>52</v>
      </c>
    </row>
    <row r="1266" spans="1:2" hidden="1">
      <c r="A1266" s="62" t="s">
        <v>787</v>
      </c>
      <c r="B1266" s="2" t="s">
        <v>55</v>
      </c>
    </row>
    <row r="1267" spans="1:2" hidden="1">
      <c r="A1267" s="62" t="s">
        <v>822</v>
      </c>
      <c r="B1267" s="2" t="s">
        <v>55</v>
      </c>
    </row>
    <row r="1268" spans="1:2" hidden="1">
      <c r="A1268" s="62" t="s">
        <v>1155</v>
      </c>
      <c r="B1268" s="2" t="s">
        <v>52</v>
      </c>
    </row>
    <row r="1269" spans="1:2" hidden="1">
      <c r="A1269" s="62" t="s">
        <v>804</v>
      </c>
      <c r="B1269" s="2" t="s">
        <v>55</v>
      </c>
    </row>
    <row r="1270" spans="1:2" hidden="1">
      <c r="A1270" s="62" t="s">
        <v>835</v>
      </c>
      <c r="B1270" s="2" t="s">
        <v>84</v>
      </c>
    </row>
    <row r="1271" spans="1:2" hidden="1">
      <c r="A1271" s="62" t="s">
        <v>836</v>
      </c>
      <c r="B1271" s="2" t="s">
        <v>84</v>
      </c>
    </row>
    <row r="1272" spans="1:2" hidden="1">
      <c r="A1272" s="62" t="s">
        <v>996</v>
      </c>
      <c r="B1272" s="2" t="s">
        <v>84</v>
      </c>
    </row>
    <row r="1273" spans="1:2" hidden="1">
      <c r="A1273" s="62" t="s">
        <v>837</v>
      </c>
      <c r="B1273" s="2" t="s">
        <v>84</v>
      </c>
    </row>
    <row r="1274" spans="1:2" hidden="1">
      <c r="A1274" s="62" t="s">
        <v>838</v>
      </c>
      <c r="B1274" s="2" t="s">
        <v>84</v>
      </c>
    </row>
    <row r="1275" spans="1:2" hidden="1">
      <c r="A1275" s="62" t="s">
        <v>831</v>
      </c>
      <c r="B1275" s="2" t="s">
        <v>74</v>
      </c>
    </row>
    <row r="1276" spans="1:2" hidden="1">
      <c r="A1276" s="62" t="s">
        <v>798</v>
      </c>
      <c r="B1276" s="2" t="s">
        <v>84</v>
      </c>
    </row>
    <row r="1277" spans="1:2">
      <c r="A1277" s="62" t="s">
        <v>807</v>
      </c>
      <c r="B1277" s="2" t="s">
        <v>84</v>
      </c>
    </row>
    <row r="1278" spans="1:2" hidden="1">
      <c r="A1278" s="62" t="s">
        <v>796</v>
      </c>
      <c r="B1278" s="2" t="s">
        <v>84</v>
      </c>
    </row>
    <row r="1279" spans="1:2" hidden="1">
      <c r="A1279" s="62" t="s">
        <v>1254</v>
      </c>
      <c r="B1279" s="2" t="s">
        <v>84</v>
      </c>
    </row>
    <row r="1280" spans="1:2" hidden="1">
      <c r="A1280" s="62" t="s">
        <v>797</v>
      </c>
      <c r="B1280" s="2" t="s">
        <v>72</v>
      </c>
    </row>
    <row r="1281" spans="1:2" hidden="1">
      <c r="A1281" s="62" t="s">
        <v>788</v>
      </c>
      <c r="B1281" s="2" t="s">
        <v>72</v>
      </c>
    </row>
    <row r="1282" spans="1:2" hidden="1">
      <c r="A1282" s="62" t="s">
        <v>795</v>
      </c>
      <c r="B1282" s="2" t="s">
        <v>71</v>
      </c>
    </row>
    <row r="1283" spans="1:2" hidden="1">
      <c r="A1283" s="62" t="s">
        <v>841</v>
      </c>
      <c r="B1283" s="2" t="s">
        <v>72</v>
      </c>
    </row>
    <row r="1284" spans="1:2" hidden="1">
      <c r="A1284" s="62" t="s">
        <v>802</v>
      </c>
      <c r="B1284" s="2" t="s">
        <v>72</v>
      </c>
    </row>
    <row r="1285" spans="1:2" hidden="1">
      <c r="A1285" s="62" t="s">
        <v>775</v>
      </c>
      <c r="B1285" s="2" t="s">
        <v>72</v>
      </c>
    </row>
    <row r="1286" spans="1:2" hidden="1">
      <c r="A1286" s="62" t="s">
        <v>834</v>
      </c>
      <c r="B1286" s="2" t="s">
        <v>72</v>
      </c>
    </row>
    <row r="1287" spans="1:2" hidden="1">
      <c r="A1287" s="62" t="s">
        <v>818</v>
      </c>
      <c r="B1287" s="2" t="s">
        <v>66</v>
      </c>
    </row>
    <row r="1288" spans="1:2" hidden="1">
      <c r="A1288" s="62" t="s">
        <v>824</v>
      </c>
      <c r="B1288" s="2" t="s">
        <v>68</v>
      </c>
    </row>
    <row r="1289" spans="1:2" hidden="1">
      <c r="A1289" s="62" t="s">
        <v>1079</v>
      </c>
      <c r="B1289" s="2" t="s">
        <v>68</v>
      </c>
    </row>
    <row r="1290" spans="1:2" hidden="1">
      <c r="A1290" s="62" t="s">
        <v>829</v>
      </c>
      <c r="B1290" s="2" t="s">
        <v>744</v>
      </c>
    </row>
    <row r="1291" spans="1:2" hidden="1">
      <c r="A1291" s="62" t="s">
        <v>933</v>
      </c>
      <c r="B1291" s="2" t="s">
        <v>72</v>
      </c>
    </row>
    <row r="1292" spans="1:2" hidden="1">
      <c r="A1292" s="62" t="s">
        <v>810</v>
      </c>
      <c r="B1292" s="2" t="s">
        <v>68</v>
      </c>
    </row>
    <row r="1293" spans="1:2" hidden="1">
      <c r="A1293" s="62" t="s">
        <v>811</v>
      </c>
      <c r="B1293" s="2" t="s">
        <v>68</v>
      </c>
    </row>
    <row r="1294" spans="1:2" hidden="1">
      <c r="A1294" s="62" t="s">
        <v>812</v>
      </c>
      <c r="B1294" s="2" t="s">
        <v>68</v>
      </c>
    </row>
    <row r="1295" spans="1:2" hidden="1">
      <c r="A1295" s="62" t="s">
        <v>813</v>
      </c>
      <c r="B1295" s="2" t="s">
        <v>68</v>
      </c>
    </row>
    <row r="1296" spans="1:2" hidden="1">
      <c r="A1296" s="62" t="s">
        <v>814</v>
      </c>
      <c r="B1296" s="2" t="s">
        <v>72</v>
      </c>
    </row>
    <row r="1297" spans="1:2" hidden="1">
      <c r="A1297" s="62" t="s">
        <v>794</v>
      </c>
      <c r="B1297" s="2" t="s">
        <v>84</v>
      </c>
    </row>
    <row r="1298" spans="1:2" hidden="1">
      <c r="A1298" s="62" t="s">
        <v>854</v>
      </c>
      <c r="B1298" s="2" t="s">
        <v>84</v>
      </c>
    </row>
  </sheetData>
  <autoFilter ref="A4:B1298">
    <filterColumn colId="0">
      <filters>
        <filter val="Factoring Charg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071"/>
  <sheetViews>
    <sheetView workbookViewId="0">
      <selection activeCell="A4" sqref="A4:H4"/>
    </sheetView>
  </sheetViews>
  <sheetFormatPr defaultRowHeight="12.75"/>
  <cols>
    <col min="1" max="1" width="33" style="1" customWidth="1"/>
    <col min="2" max="2" width="14.7109375" style="43" customWidth="1"/>
    <col min="3" max="3" width="14.28515625" style="43" bestFit="1" customWidth="1"/>
    <col min="4" max="4" width="14.85546875" style="43" bestFit="1" customWidth="1"/>
    <col min="5" max="5" width="16.85546875" style="43" bestFit="1" customWidth="1"/>
    <col min="6" max="6" width="10.85546875" style="1" customWidth="1"/>
    <col min="7" max="7" width="14.42578125" style="1" bestFit="1" customWidth="1"/>
    <col min="8" max="8" width="27.42578125" style="1" customWidth="1"/>
    <col min="9" max="16384" width="9.140625" style="1"/>
  </cols>
  <sheetData>
    <row r="1" spans="1:8">
      <c r="A1" s="65"/>
      <c r="B1" s="110" t="s">
        <v>1390</v>
      </c>
      <c r="C1" s="110"/>
      <c r="D1" s="110"/>
      <c r="E1" s="110"/>
    </row>
    <row r="2" spans="1:8">
      <c r="A2" s="66"/>
      <c r="B2" s="110" t="s">
        <v>1391</v>
      </c>
      <c r="C2" s="110"/>
      <c r="D2" s="110"/>
      <c r="E2" s="110"/>
    </row>
    <row r="3" spans="1:8">
      <c r="A3" s="65"/>
      <c r="B3" s="70"/>
      <c r="C3" s="109" t="s">
        <v>1393</v>
      </c>
      <c r="D3" s="109"/>
      <c r="E3" s="70">
        <v>0</v>
      </c>
    </row>
    <row r="4" spans="1:8">
      <c r="A4" s="67" t="s">
        <v>82</v>
      </c>
      <c r="B4" s="71" t="s">
        <v>1392</v>
      </c>
      <c r="C4" s="72" t="s">
        <v>1395</v>
      </c>
      <c r="D4" s="72" t="s">
        <v>1396</v>
      </c>
      <c r="E4" s="71" t="s">
        <v>1394</v>
      </c>
      <c r="F4" s="2" t="s">
        <v>1496</v>
      </c>
      <c r="G4" s="2" t="s">
        <v>1497</v>
      </c>
      <c r="H4" s="2" t="s">
        <v>1498</v>
      </c>
    </row>
    <row r="5" spans="1:8">
      <c r="A5" s="68" t="s">
        <v>153</v>
      </c>
      <c r="B5" s="73"/>
      <c r="C5" s="73"/>
      <c r="D5" s="73"/>
      <c r="E5" s="73">
        <v>0</v>
      </c>
      <c r="F5" s="42">
        <v>0</v>
      </c>
      <c r="G5" s="42">
        <f>+E5+F5</f>
        <v>0</v>
      </c>
      <c r="H5" s="2" t="str">
        <f>VLOOKUP(A5,'MASTER 26 27'!A:B,2,0)</f>
        <v>Not Applicable</v>
      </c>
    </row>
    <row r="6" spans="1:8">
      <c r="A6" s="68" t="s">
        <v>329</v>
      </c>
      <c r="B6" s="73">
        <v>127789.26</v>
      </c>
      <c r="C6" s="73"/>
      <c r="D6" s="73"/>
      <c r="E6" s="73">
        <v>127789.26</v>
      </c>
      <c r="F6" s="42">
        <v>0</v>
      </c>
      <c r="G6" s="42">
        <f t="shared" ref="G6" si="0">+E6+F6</f>
        <v>127789.26</v>
      </c>
      <c r="H6" s="2" t="str">
        <f>VLOOKUP(A6,'MASTER 26 27'!A:B,2,0)</f>
        <v>Not Applicable</v>
      </c>
    </row>
    <row r="7" spans="1:8">
      <c r="A7" s="68" t="s">
        <v>330</v>
      </c>
      <c r="B7" s="73">
        <v>650</v>
      </c>
      <c r="C7" s="73"/>
      <c r="D7" s="73"/>
      <c r="E7" s="73">
        <v>650</v>
      </c>
      <c r="F7" s="42">
        <v>0</v>
      </c>
      <c r="G7" s="42">
        <f t="shared" ref="G7:G70" si="1">+E7+F7</f>
        <v>650</v>
      </c>
      <c r="H7" s="2" t="str">
        <f>VLOOKUP(A7,'MASTER 26 27'!A:B,2,0)</f>
        <v>Not Applicable</v>
      </c>
    </row>
    <row r="8" spans="1:8">
      <c r="A8" s="68" t="s">
        <v>331</v>
      </c>
      <c r="B8" s="73">
        <v>6228</v>
      </c>
      <c r="C8" s="73"/>
      <c r="D8" s="73"/>
      <c r="E8" s="73">
        <v>6228</v>
      </c>
      <c r="F8" s="42">
        <v>0</v>
      </c>
      <c r="G8" s="42">
        <f t="shared" si="1"/>
        <v>6228</v>
      </c>
      <c r="H8" s="2" t="str">
        <f>VLOOKUP(A8,'MASTER 26 27'!A:B,2,0)</f>
        <v>Not Applicable</v>
      </c>
    </row>
    <row r="9" spans="1:8">
      <c r="A9" s="68" t="s">
        <v>332</v>
      </c>
      <c r="B9" s="73">
        <v>473797.97</v>
      </c>
      <c r="C9" s="73"/>
      <c r="D9" s="73"/>
      <c r="E9" s="73">
        <v>473797.97</v>
      </c>
      <c r="F9" s="42">
        <v>0</v>
      </c>
      <c r="G9" s="42">
        <f t="shared" si="1"/>
        <v>473797.97</v>
      </c>
      <c r="H9" s="2" t="str">
        <f>VLOOKUP(A9,'MASTER 26 27'!A:B,2,0)</f>
        <v>Not Applicable</v>
      </c>
    </row>
    <row r="10" spans="1:8">
      <c r="A10" s="68" t="s">
        <v>333</v>
      </c>
      <c r="B10" s="73">
        <v>196345.38</v>
      </c>
      <c r="C10" s="73"/>
      <c r="D10" s="73"/>
      <c r="E10" s="73">
        <v>196345.38</v>
      </c>
      <c r="F10" s="42">
        <v>0</v>
      </c>
      <c r="G10" s="42">
        <f t="shared" si="1"/>
        <v>196345.38</v>
      </c>
      <c r="H10" s="2" t="str">
        <f>VLOOKUP(A10,'MASTER 26 27'!A:B,2,0)</f>
        <v>Not Applicable</v>
      </c>
    </row>
    <row r="11" spans="1:8">
      <c r="A11" s="68" t="s">
        <v>334</v>
      </c>
      <c r="B11" s="73">
        <v>8936.56</v>
      </c>
      <c r="C11" s="73"/>
      <c r="D11" s="73"/>
      <c r="E11" s="73">
        <v>8936.56</v>
      </c>
      <c r="F11" s="42">
        <v>0</v>
      </c>
      <c r="G11" s="42">
        <f t="shared" si="1"/>
        <v>8936.56</v>
      </c>
      <c r="H11" s="2" t="str">
        <f>VLOOKUP(A11,'MASTER 26 27'!A:B,2,0)</f>
        <v>Not Applicable</v>
      </c>
    </row>
    <row r="12" spans="1:8">
      <c r="A12" s="68" t="s">
        <v>335</v>
      </c>
      <c r="B12" s="73">
        <v>8213.7099999999991</v>
      </c>
      <c r="C12" s="73"/>
      <c r="D12" s="73"/>
      <c r="E12" s="73">
        <v>8213.7099999999991</v>
      </c>
      <c r="F12" s="42">
        <v>0</v>
      </c>
      <c r="G12" s="42">
        <f t="shared" si="1"/>
        <v>8213.7099999999991</v>
      </c>
      <c r="H12" s="2" t="str">
        <f>VLOOKUP(A12,'MASTER 26 27'!A:B,2,0)</f>
        <v>Not Applicable</v>
      </c>
    </row>
    <row r="13" spans="1:8">
      <c r="A13" s="68" t="s">
        <v>1130</v>
      </c>
      <c r="B13" s="73">
        <v>1806.82</v>
      </c>
      <c r="C13" s="73"/>
      <c r="D13" s="73"/>
      <c r="E13" s="73">
        <v>1806.82</v>
      </c>
      <c r="F13" s="42">
        <v>0</v>
      </c>
      <c r="G13" s="42">
        <f t="shared" si="1"/>
        <v>1806.82</v>
      </c>
      <c r="H13" s="2" t="str">
        <f>VLOOKUP(A13,'MASTER 26 27'!A:B,2,0)</f>
        <v>Not Applicable</v>
      </c>
    </row>
    <row r="14" spans="1:8">
      <c r="A14" s="68" t="s">
        <v>336</v>
      </c>
      <c r="B14" s="73">
        <v>681686</v>
      </c>
      <c r="C14" s="73"/>
      <c r="D14" s="73"/>
      <c r="E14" s="73">
        <v>681686</v>
      </c>
      <c r="F14" s="42">
        <v>0</v>
      </c>
      <c r="G14" s="42">
        <f t="shared" si="1"/>
        <v>681686</v>
      </c>
      <c r="H14" s="2" t="str">
        <f>VLOOKUP(A14,'MASTER 26 27'!A:B,2,0)</f>
        <v>Not Applicable</v>
      </c>
    </row>
    <row r="15" spans="1:8">
      <c r="A15" s="68" t="s">
        <v>337</v>
      </c>
      <c r="B15" s="73">
        <v>157074.42000000001</v>
      </c>
      <c r="C15" s="73"/>
      <c r="D15" s="73"/>
      <c r="E15" s="73">
        <v>157074.42000000001</v>
      </c>
      <c r="F15" s="42">
        <v>0</v>
      </c>
      <c r="G15" s="42">
        <f t="shared" si="1"/>
        <v>157074.42000000001</v>
      </c>
      <c r="H15" s="2" t="str">
        <f>VLOOKUP(A15,'MASTER 26 27'!A:B,2,0)</f>
        <v>Not Applicable</v>
      </c>
    </row>
    <row r="16" spans="1:8">
      <c r="A16" s="68" t="s">
        <v>338</v>
      </c>
      <c r="B16" s="73">
        <v>167632.97</v>
      </c>
      <c r="C16" s="73"/>
      <c r="D16" s="73"/>
      <c r="E16" s="73">
        <v>167632.97</v>
      </c>
      <c r="F16" s="42">
        <v>0</v>
      </c>
      <c r="G16" s="42">
        <f t="shared" si="1"/>
        <v>167632.97</v>
      </c>
      <c r="H16" s="2" t="str">
        <f>VLOOKUP(A16,'MASTER 26 27'!A:B,2,0)</f>
        <v>Not Applicable</v>
      </c>
    </row>
    <row r="17" spans="1:8">
      <c r="A17" s="68" t="s">
        <v>339</v>
      </c>
      <c r="B17" s="73">
        <v>256416</v>
      </c>
      <c r="C17" s="73"/>
      <c r="D17" s="73"/>
      <c r="E17" s="73">
        <v>256416</v>
      </c>
      <c r="F17" s="42">
        <v>0</v>
      </c>
      <c r="G17" s="42">
        <f t="shared" si="1"/>
        <v>256416</v>
      </c>
      <c r="H17" s="2" t="str">
        <f>VLOOKUP(A17,'MASTER 26 27'!A:B,2,0)</f>
        <v>Not Applicable</v>
      </c>
    </row>
    <row r="18" spans="1:8">
      <c r="A18" s="68" t="s">
        <v>340</v>
      </c>
      <c r="B18" s="73">
        <v>822958.41</v>
      </c>
      <c r="C18" s="73"/>
      <c r="D18" s="73"/>
      <c r="E18" s="73">
        <v>822958.41</v>
      </c>
      <c r="F18" s="42">
        <v>0</v>
      </c>
      <c r="G18" s="42">
        <f t="shared" si="1"/>
        <v>822958.41</v>
      </c>
      <c r="H18" s="2" t="str">
        <f>VLOOKUP(A18,'MASTER 26 27'!A:B,2,0)</f>
        <v>Not Applicable</v>
      </c>
    </row>
    <row r="19" spans="1:8">
      <c r="A19" s="68" t="s">
        <v>341</v>
      </c>
      <c r="B19" s="73">
        <v>723178.82</v>
      </c>
      <c r="C19" s="73"/>
      <c r="D19" s="73"/>
      <c r="E19" s="73">
        <v>723178.82</v>
      </c>
      <c r="F19" s="42">
        <v>0</v>
      </c>
      <c r="G19" s="42">
        <f t="shared" si="1"/>
        <v>723178.82</v>
      </c>
      <c r="H19" s="2" t="str">
        <f>VLOOKUP(A19,'MASTER 26 27'!A:B,2,0)</f>
        <v>Not Applicable</v>
      </c>
    </row>
    <row r="20" spans="1:8">
      <c r="A20" s="68" t="s">
        <v>905</v>
      </c>
      <c r="B20" s="73">
        <v>753208.69</v>
      </c>
      <c r="C20" s="73"/>
      <c r="D20" s="73"/>
      <c r="E20" s="73">
        <v>753208.69</v>
      </c>
      <c r="F20" s="42">
        <v>0</v>
      </c>
      <c r="G20" s="42">
        <f t="shared" si="1"/>
        <v>753208.69</v>
      </c>
      <c r="H20" s="2" t="str">
        <f>VLOOKUP(A20,'MASTER 26 27'!A:B,2,0)</f>
        <v>Not Applicable</v>
      </c>
    </row>
    <row r="21" spans="1:8">
      <c r="A21" s="68" t="s">
        <v>1057</v>
      </c>
      <c r="B21" s="73">
        <v>2359808.65</v>
      </c>
      <c r="C21" s="73"/>
      <c r="D21" s="73"/>
      <c r="E21" s="73">
        <v>2359808.65</v>
      </c>
      <c r="F21" s="42">
        <v>0</v>
      </c>
      <c r="G21" s="42">
        <f t="shared" si="1"/>
        <v>2359808.65</v>
      </c>
      <c r="H21" s="2" t="str">
        <f>VLOOKUP(A21,'MASTER 26 27'!A:B,2,0)</f>
        <v>Not Applicable</v>
      </c>
    </row>
    <row r="22" spans="1:8">
      <c r="A22" s="68" t="s">
        <v>1397</v>
      </c>
      <c r="B22" s="73"/>
      <c r="C22" s="73">
        <v>116856.4</v>
      </c>
      <c r="D22" s="73"/>
      <c r="E22" s="73">
        <v>116856.4</v>
      </c>
      <c r="F22" s="42">
        <v>0</v>
      </c>
      <c r="G22" s="42">
        <f t="shared" si="1"/>
        <v>116856.4</v>
      </c>
      <c r="H22" s="2" t="s">
        <v>84</v>
      </c>
    </row>
    <row r="23" spans="1:8">
      <c r="A23" s="68" t="s">
        <v>1278</v>
      </c>
      <c r="B23" s="73">
        <v>-185354</v>
      </c>
      <c r="C23" s="73"/>
      <c r="D23" s="73"/>
      <c r="E23" s="73">
        <v>-185354</v>
      </c>
      <c r="F23" s="42">
        <v>0</v>
      </c>
      <c r="G23" s="42">
        <f t="shared" si="1"/>
        <v>-185354</v>
      </c>
      <c r="H23" s="2" t="str">
        <f>VLOOKUP(A23,'MASTER 26 27'!A:B,2,0)</f>
        <v>Not Applicable</v>
      </c>
    </row>
    <row r="24" spans="1:8">
      <c r="A24" s="68" t="s">
        <v>101</v>
      </c>
      <c r="B24" s="73">
        <v>-3371751972.54</v>
      </c>
      <c r="C24" s="73">
        <v>57955874.560000002</v>
      </c>
      <c r="D24" s="73">
        <v>103156833.34999999</v>
      </c>
      <c r="E24" s="73">
        <v>-3416952931.3299999</v>
      </c>
      <c r="F24" s="42">
        <v>0</v>
      </c>
      <c r="G24" s="42">
        <f t="shared" si="1"/>
        <v>-3416952931.3299999</v>
      </c>
      <c r="H24" s="2" t="str">
        <f>VLOOKUP(A24,'MASTER 26 27'!A:B,2,0)</f>
        <v>Not Applicable</v>
      </c>
    </row>
    <row r="25" spans="1:8">
      <c r="A25" s="68" t="s">
        <v>102</v>
      </c>
      <c r="B25" s="73">
        <v>-33335574.710000001</v>
      </c>
      <c r="C25" s="73"/>
      <c r="D25" s="73"/>
      <c r="E25" s="73">
        <v>-33335574.710000001</v>
      </c>
      <c r="F25" s="42">
        <v>0</v>
      </c>
      <c r="G25" s="42">
        <f t="shared" si="1"/>
        <v>-33335574.710000001</v>
      </c>
      <c r="H25" s="2" t="str">
        <f>VLOOKUP(A25,'MASTER 26 27'!A:B,2,0)</f>
        <v>Not Applicable</v>
      </c>
    </row>
    <row r="26" spans="1:8">
      <c r="A26" s="68" t="s">
        <v>103</v>
      </c>
      <c r="B26" s="73">
        <v>-973216365.96000004</v>
      </c>
      <c r="C26" s="73"/>
      <c r="D26" s="73"/>
      <c r="E26" s="73">
        <v>-973216365.96000004</v>
      </c>
      <c r="F26" s="42">
        <v>0</v>
      </c>
      <c r="G26" s="42">
        <f t="shared" si="1"/>
        <v>-973216365.96000004</v>
      </c>
      <c r="H26" s="2" t="str">
        <f>VLOOKUP(A26,'MASTER 26 27'!A:B,2,0)</f>
        <v>Not Applicable</v>
      </c>
    </row>
    <row r="27" spans="1:8">
      <c r="A27" s="68" t="s">
        <v>104</v>
      </c>
      <c r="B27" s="73">
        <v>-141619453.02000001</v>
      </c>
      <c r="C27" s="73"/>
      <c r="D27" s="73"/>
      <c r="E27" s="73">
        <v>-141619453.02000001</v>
      </c>
      <c r="F27" s="42">
        <v>0</v>
      </c>
      <c r="G27" s="42">
        <f t="shared" si="1"/>
        <v>-141619453.02000001</v>
      </c>
      <c r="H27" s="2" t="str">
        <f>VLOOKUP(A27,'MASTER 26 27'!A:B,2,0)</f>
        <v>Not Applicable</v>
      </c>
    </row>
    <row r="28" spans="1:8">
      <c r="A28" s="68" t="s">
        <v>105</v>
      </c>
      <c r="B28" s="73">
        <v>103939525.25</v>
      </c>
      <c r="C28" s="73">
        <v>3246442.1</v>
      </c>
      <c r="D28" s="73"/>
      <c r="E28" s="73">
        <v>107185967.34999999</v>
      </c>
      <c r="F28" s="42">
        <v>0</v>
      </c>
      <c r="G28" s="42">
        <f t="shared" si="1"/>
        <v>107185967.34999999</v>
      </c>
      <c r="H28" s="2" t="str">
        <f>VLOOKUP(A28,'MASTER 26 27'!A:B,2,0)</f>
        <v>Not Applicable</v>
      </c>
    </row>
    <row r="29" spans="1:8">
      <c r="A29" s="68" t="s">
        <v>106</v>
      </c>
      <c r="B29" s="73">
        <v>417606643.33999997</v>
      </c>
      <c r="C29" s="73"/>
      <c r="D29" s="73"/>
      <c r="E29" s="73">
        <v>417606643.33999997</v>
      </c>
      <c r="F29" s="42">
        <v>0</v>
      </c>
      <c r="G29" s="42">
        <f t="shared" si="1"/>
        <v>417606643.33999997</v>
      </c>
      <c r="H29" s="2" t="str">
        <f>VLOOKUP(A29,'MASTER 26 27'!A:B,2,0)</f>
        <v>Not Applicable</v>
      </c>
    </row>
    <row r="30" spans="1:8">
      <c r="A30" s="68" t="s">
        <v>107</v>
      </c>
      <c r="B30" s="73">
        <v>-154365251.06999999</v>
      </c>
      <c r="C30" s="73"/>
      <c r="D30" s="73"/>
      <c r="E30" s="73">
        <v>-154365251.06999999</v>
      </c>
      <c r="F30" s="42">
        <v>0</v>
      </c>
      <c r="G30" s="42">
        <f t="shared" si="1"/>
        <v>-154365251.06999999</v>
      </c>
      <c r="H30" s="2" t="str">
        <f>VLOOKUP(A30,'MASTER 26 27'!A:B,2,0)</f>
        <v>Not Applicable</v>
      </c>
    </row>
    <row r="31" spans="1:8">
      <c r="A31" s="68" t="s">
        <v>108</v>
      </c>
      <c r="B31" s="73">
        <v>1070438.6000000001</v>
      </c>
      <c r="C31" s="73"/>
      <c r="D31" s="73"/>
      <c r="E31" s="73">
        <v>1070438.6000000001</v>
      </c>
      <c r="F31" s="42">
        <v>0</v>
      </c>
      <c r="G31" s="42">
        <f t="shared" si="1"/>
        <v>1070438.6000000001</v>
      </c>
      <c r="H31" s="2" t="str">
        <f>VLOOKUP(A31,'MASTER 26 27'!A:B,2,0)</f>
        <v>Not Applicable</v>
      </c>
    </row>
    <row r="32" spans="1:8">
      <c r="A32" s="68" t="s">
        <v>111</v>
      </c>
      <c r="B32" s="73">
        <v>6687573.29</v>
      </c>
      <c r="C32" s="73"/>
      <c r="D32" s="73"/>
      <c r="E32" s="73">
        <v>6687573.29</v>
      </c>
      <c r="F32" s="42">
        <v>0</v>
      </c>
      <c r="G32" s="42">
        <f t="shared" si="1"/>
        <v>6687573.29</v>
      </c>
      <c r="H32" s="2" t="str">
        <f>VLOOKUP(A32,'MASTER 26 27'!A:B,2,0)</f>
        <v>Not Applicable</v>
      </c>
    </row>
    <row r="33" spans="1:8">
      <c r="A33" s="68" t="s">
        <v>117</v>
      </c>
      <c r="B33" s="73">
        <v>7980.76</v>
      </c>
      <c r="C33" s="73">
        <v>300000</v>
      </c>
      <c r="D33" s="73">
        <v>200041</v>
      </c>
      <c r="E33" s="73">
        <v>107939.76</v>
      </c>
      <c r="F33" s="42">
        <v>0</v>
      </c>
      <c r="G33" s="42">
        <f t="shared" si="1"/>
        <v>107939.76</v>
      </c>
      <c r="H33" s="2" t="str">
        <f>VLOOKUP(A33,'MASTER 26 27'!A:B,2,0)</f>
        <v>Not Applicable</v>
      </c>
    </row>
    <row r="34" spans="1:8">
      <c r="A34" s="68" t="s">
        <v>118</v>
      </c>
      <c r="B34" s="73">
        <v>4950</v>
      </c>
      <c r="C34" s="73"/>
      <c r="D34" s="73"/>
      <c r="E34" s="73">
        <v>4950</v>
      </c>
      <c r="F34" s="42">
        <v>0</v>
      </c>
      <c r="G34" s="42">
        <f t="shared" si="1"/>
        <v>4950</v>
      </c>
      <c r="H34" s="2" t="str">
        <f>VLOOKUP(A34,'MASTER 26 27'!A:B,2,0)</f>
        <v>Not Applicable</v>
      </c>
    </row>
    <row r="35" spans="1:8">
      <c r="A35" s="68" t="s">
        <v>324</v>
      </c>
      <c r="B35" s="73">
        <v>178885102</v>
      </c>
      <c r="C35" s="73"/>
      <c r="D35" s="73"/>
      <c r="E35" s="73">
        <v>178885102</v>
      </c>
      <c r="F35" s="42">
        <v>0</v>
      </c>
      <c r="G35" s="42">
        <f t="shared" si="1"/>
        <v>178885102</v>
      </c>
      <c r="H35" s="2" t="str">
        <f>VLOOKUP(A35,'MASTER 26 27'!A:B,2,0)</f>
        <v>Not Applicable</v>
      </c>
    </row>
    <row r="36" spans="1:8">
      <c r="A36" s="68" t="s">
        <v>212</v>
      </c>
      <c r="B36" s="73">
        <v>5000000</v>
      </c>
      <c r="C36" s="73"/>
      <c r="D36" s="73"/>
      <c r="E36" s="73">
        <v>5000000</v>
      </c>
      <c r="F36" s="42">
        <v>0</v>
      </c>
      <c r="G36" s="42">
        <f t="shared" si="1"/>
        <v>5000000</v>
      </c>
      <c r="H36" s="2" t="str">
        <f>VLOOKUP(A36,'MASTER 26 27'!A:B,2,0)</f>
        <v>Not Applicable</v>
      </c>
    </row>
    <row r="37" spans="1:8">
      <c r="A37" s="68" t="s">
        <v>233</v>
      </c>
      <c r="B37" s="73">
        <v>-2993657.11</v>
      </c>
      <c r="C37" s="73"/>
      <c r="D37" s="73"/>
      <c r="E37" s="73">
        <v>-2993657.11</v>
      </c>
      <c r="F37" s="42">
        <v>0</v>
      </c>
      <c r="G37" s="42">
        <f t="shared" si="1"/>
        <v>-2993657.11</v>
      </c>
      <c r="H37" s="2" t="str">
        <f>VLOOKUP(A37,'MASTER 26 27'!A:B,2,0)</f>
        <v>Not Applicable</v>
      </c>
    </row>
    <row r="38" spans="1:8">
      <c r="A38" s="68" t="s">
        <v>123</v>
      </c>
      <c r="B38" s="73">
        <v>59787.81</v>
      </c>
      <c r="C38" s="73">
        <v>3988156.5</v>
      </c>
      <c r="D38" s="73"/>
      <c r="E38" s="73">
        <v>4047944.31</v>
      </c>
      <c r="F38" s="42">
        <v>0</v>
      </c>
      <c r="G38" s="42">
        <f t="shared" si="1"/>
        <v>4047944.31</v>
      </c>
      <c r="H38" s="2" t="str">
        <f>VLOOKUP(A38,'MASTER 26 27'!A:B,2,0)</f>
        <v>Not Applicable</v>
      </c>
    </row>
    <row r="39" spans="1:8">
      <c r="A39" s="68" t="s">
        <v>188</v>
      </c>
      <c r="B39" s="73"/>
      <c r="C39" s="73"/>
      <c r="D39" s="73"/>
      <c r="E39" s="73">
        <v>0</v>
      </c>
      <c r="F39" s="42">
        <v>0</v>
      </c>
      <c r="G39" s="42">
        <f t="shared" si="1"/>
        <v>0</v>
      </c>
      <c r="H39" s="2" t="str">
        <f>VLOOKUP(A39,'MASTER 26 27'!A:B,2,0)</f>
        <v>Not Applicable</v>
      </c>
    </row>
    <row r="40" spans="1:8">
      <c r="A40" s="68" t="s">
        <v>209</v>
      </c>
      <c r="B40" s="73">
        <v>0.04</v>
      </c>
      <c r="C40" s="73">
        <v>136374.48000000001</v>
      </c>
      <c r="D40" s="73"/>
      <c r="E40" s="73">
        <v>136374.51999999999</v>
      </c>
      <c r="F40" s="42">
        <v>0</v>
      </c>
      <c r="G40" s="42">
        <f t="shared" si="1"/>
        <v>136374.51999999999</v>
      </c>
      <c r="H40" s="2" t="str">
        <f>VLOOKUP(A40,'MASTER 26 27'!A:B,2,0)</f>
        <v>Not Applicable</v>
      </c>
    </row>
    <row r="41" spans="1:8">
      <c r="A41" s="68" t="s">
        <v>307</v>
      </c>
      <c r="B41" s="73">
        <v>59787.81</v>
      </c>
      <c r="C41" s="73">
        <v>3988156.5</v>
      </c>
      <c r="D41" s="73"/>
      <c r="E41" s="73">
        <v>4047944.31</v>
      </c>
      <c r="F41" s="42">
        <v>0</v>
      </c>
      <c r="G41" s="42">
        <f t="shared" si="1"/>
        <v>4047944.31</v>
      </c>
      <c r="H41" s="2" t="str">
        <f>VLOOKUP(A41,'MASTER 26 27'!A:B,2,0)</f>
        <v>Not Applicable</v>
      </c>
    </row>
    <row r="42" spans="1:8">
      <c r="A42" s="68" t="s">
        <v>208</v>
      </c>
      <c r="B42" s="73">
        <v>1259702.33</v>
      </c>
      <c r="C42" s="73"/>
      <c r="D42" s="73"/>
      <c r="E42" s="73">
        <v>1259702.33</v>
      </c>
      <c r="F42" s="42">
        <v>0</v>
      </c>
      <c r="G42" s="42">
        <f t="shared" si="1"/>
        <v>1259702.33</v>
      </c>
      <c r="H42" s="2" t="str">
        <f>VLOOKUP(A42,'MASTER 26 27'!A:B,2,0)</f>
        <v>Not Applicable</v>
      </c>
    </row>
    <row r="43" spans="1:8">
      <c r="A43" s="68" t="s">
        <v>277</v>
      </c>
      <c r="B43" s="73">
        <v>20043511.34</v>
      </c>
      <c r="C43" s="73"/>
      <c r="D43" s="73"/>
      <c r="E43" s="73">
        <v>20043511.34</v>
      </c>
      <c r="F43" s="42">
        <v>0</v>
      </c>
      <c r="G43" s="42">
        <f t="shared" si="1"/>
        <v>20043511.34</v>
      </c>
      <c r="H43" s="2" t="str">
        <f>VLOOKUP(A43,'MASTER 26 27'!A:B,2,0)</f>
        <v>Not Applicable</v>
      </c>
    </row>
    <row r="44" spans="1:8">
      <c r="A44" s="68" t="s">
        <v>157</v>
      </c>
      <c r="B44" s="73">
        <v>6083898</v>
      </c>
      <c r="C44" s="73"/>
      <c r="D44" s="73"/>
      <c r="E44" s="73">
        <v>6083898</v>
      </c>
      <c r="F44" s="42">
        <v>0</v>
      </c>
      <c r="G44" s="42">
        <f t="shared" si="1"/>
        <v>6083898</v>
      </c>
      <c r="H44" s="2" t="str">
        <f>VLOOKUP(A44,'MASTER 26 27'!A:B,2,0)</f>
        <v>Not Applicable</v>
      </c>
    </row>
    <row r="45" spans="1:8">
      <c r="A45" s="68" t="s">
        <v>232</v>
      </c>
      <c r="B45" s="73">
        <v>-484344</v>
      </c>
      <c r="C45" s="73"/>
      <c r="D45" s="73"/>
      <c r="E45" s="73">
        <v>-484344</v>
      </c>
      <c r="F45" s="42">
        <v>0</v>
      </c>
      <c r="G45" s="42">
        <f t="shared" si="1"/>
        <v>-484344</v>
      </c>
      <c r="H45" s="2" t="str">
        <f>VLOOKUP(A45,'MASTER 26 27'!A:B,2,0)</f>
        <v>Not Applicable</v>
      </c>
    </row>
    <row r="46" spans="1:8">
      <c r="A46" s="68" t="s">
        <v>240</v>
      </c>
      <c r="B46" s="73">
        <v>44562171</v>
      </c>
      <c r="C46" s="73"/>
      <c r="D46" s="73"/>
      <c r="E46" s="73">
        <v>44562171</v>
      </c>
      <c r="F46" s="42">
        <v>0</v>
      </c>
      <c r="G46" s="42">
        <f t="shared" si="1"/>
        <v>44562171</v>
      </c>
      <c r="H46" s="2" t="str">
        <f>VLOOKUP(A46,'MASTER 26 27'!A:B,2,0)</f>
        <v>Not Applicable</v>
      </c>
    </row>
    <row r="47" spans="1:8">
      <c r="A47" s="68" t="s">
        <v>181</v>
      </c>
      <c r="B47" s="73">
        <v>3037413</v>
      </c>
      <c r="C47" s="73"/>
      <c r="D47" s="73"/>
      <c r="E47" s="73">
        <v>3037413</v>
      </c>
      <c r="F47" s="42">
        <v>0</v>
      </c>
      <c r="G47" s="42">
        <f t="shared" si="1"/>
        <v>3037413</v>
      </c>
      <c r="H47" s="2" t="str">
        <f>VLOOKUP(A47,'MASTER 26 27'!A:B,2,0)</f>
        <v>Not Applicable</v>
      </c>
    </row>
    <row r="48" spans="1:8">
      <c r="A48" s="68" t="s">
        <v>287</v>
      </c>
      <c r="B48" s="73">
        <v>67898.509999999995</v>
      </c>
      <c r="C48" s="73"/>
      <c r="D48" s="73"/>
      <c r="E48" s="73">
        <v>67898.509999999995</v>
      </c>
      <c r="F48" s="42">
        <v>0</v>
      </c>
      <c r="G48" s="42">
        <f t="shared" si="1"/>
        <v>67898.509999999995</v>
      </c>
      <c r="H48" s="2" t="str">
        <f>VLOOKUP(A48,'MASTER 26 27'!A:B,2,0)</f>
        <v>Not Applicable</v>
      </c>
    </row>
    <row r="49" spans="1:8">
      <c r="A49" s="68" t="s">
        <v>145</v>
      </c>
      <c r="B49" s="73">
        <v>861066</v>
      </c>
      <c r="C49" s="73"/>
      <c r="D49" s="73"/>
      <c r="E49" s="73">
        <v>861066</v>
      </c>
      <c r="F49" s="42">
        <v>0</v>
      </c>
      <c r="G49" s="42">
        <f t="shared" si="1"/>
        <v>861066</v>
      </c>
      <c r="H49" s="2" t="str">
        <f>VLOOKUP(A49,'MASTER 26 27'!A:B,2,0)</f>
        <v>Not Applicable</v>
      </c>
    </row>
    <row r="50" spans="1:8">
      <c r="A50" s="68" t="s">
        <v>203</v>
      </c>
      <c r="B50" s="73">
        <v>106300</v>
      </c>
      <c r="C50" s="73"/>
      <c r="D50" s="73"/>
      <c r="E50" s="73">
        <v>106300</v>
      </c>
      <c r="F50" s="42">
        <v>0</v>
      </c>
      <c r="G50" s="42">
        <f t="shared" si="1"/>
        <v>106300</v>
      </c>
      <c r="H50" s="2" t="str">
        <f>VLOOKUP(A50,'MASTER 26 27'!A:B,2,0)</f>
        <v>Not Applicable</v>
      </c>
    </row>
    <row r="51" spans="1:8">
      <c r="A51" s="68" t="s">
        <v>1279</v>
      </c>
      <c r="B51" s="73">
        <v>100980</v>
      </c>
      <c r="C51" s="73"/>
      <c r="D51" s="73"/>
      <c r="E51" s="73">
        <v>100980</v>
      </c>
      <c r="F51" s="42">
        <v>0</v>
      </c>
      <c r="G51" s="42">
        <f t="shared" si="1"/>
        <v>100980</v>
      </c>
      <c r="H51" s="2" t="str">
        <f>VLOOKUP(A51,'MASTER 26 27'!A:B,2,0)</f>
        <v>Not Applicable</v>
      </c>
    </row>
    <row r="52" spans="1:8">
      <c r="A52" s="68" t="s">
        <v>283</v>
      </c>
      <c r="B52" s="73">
        <v>-400000</v>
      </c>
      <c r="C52" s="73"/>
      <c r="D52" s="73"/>
      <c r="E52" s="73">
        <v>-400000</v>
      </c>
      <c r="F52" s="42">
        <v>0</v>
      </c>
      <c r="G52" s="42">
        <f t="shared" si="1"/>
        <v>-400000</v>
      </c>
      <c r="H52" s="2" t="str">
        <f>VLOOKUP(A52,'MASTER 26 27'!A:B,2,0)</f>
        <v>Not Applicable</v>
      </c>
    </row>
    <row r="53" spans="1:8">
      <c r="A53" s="68" t="s">
        <v>308</v>
      </c>
      <c r="B53" s="73">
        <v>9000</v>
      </c>
      <c r="C53" s="73"/>
      <c r="D53" s="73"/>
      <c r="E53" s="73">
        <v>9000</v>
      </c>
      <c r="F53" s="42">
        <v>0</v>
      </c>
      <c r="G53" s="42">
        <f t="shared" si="1"/>
        <v>9000</v>
      </c>
      <c r="H53" s="2" t="str">
        <f>VLOOKUP(A53,'MASTER 26 27'!A:B,2,0)</f>
        <v>Not Applicable</v>
      </c>
    </row>
    <row r="54" spans="1:8">
      <c r="A54" s="68" t="s">
        <v>309</v>
      </c>
      <c r="B54" s="73">
        <v>3000</v>
      </c>
      <c r="C54" s="73"/>
      <c r="D54" s="73"/>
      <c r="E54" s="73">
        <v>3000</v>
      </c>
      <c r="F54" s="42">
        <v>0</v>
      </c>
      <c r="G54" s="42">
        <f t="shared" si="1"/>
        <v>3000</v>
      </c>
      <c r="H54" s="2" t="str">
        <f>VLOOKUP(A54,'MASTER 26 27'!A:B,2,0)</f>
        <v>Not Applicable</v>
      </c>
    </row>
    <row r="55" spans="1:8">
      <c r="A55" s="68" t="s">
        <v>310</v>
      </c>
      <c r="B55" s="73">
        <v>17933</v>
      </c>
      <c r="C55" s="73"/>
      <c r="D55" s="73"/>
      <c r="E55" s="73">
        <v>17933</v>
      </c>
      <c r="F55" s="42">
        <v>0</v>
      </c>
      <c r="G55" s="42">
        <f t="shared" si="1"/>
        <v>17933</v>
      </c>
      <c r="H55" s="2" t="str">
        <f>VLOOKUP(A55,'MASTER 26 27'!A:B,2,0)</f>
        <v>Not Applicable</v>
      </c>
    </row>
    <row r="56" spans="1:8">
      <c r="A56" s="68" t="s">
        <v>311</v>
      </c>
      <c r="B56" s="73">
        <v>104000</v>
      </c>
      <c r="C56" s="73"/>
      <c r="D56" s="73"/>
      <c r="E56" s="73">
        <v>104000</v>
      </c>
      <c r="F56" s="42">
        <v>0</v>
      </c>
      <c r="G56" s="42">
        <f t="shared" si="1"/>
        <v>104000</v>
      </c>
      <c r="H56" s="2" t="str">
        <f>VLOOKUP(A56,'MASTER 26 27'!A:B,2,0)</f>
        <v>Not Applicable</v>
      </c>
    </row>
    <row r="57" spans="1:8">
      <c r="A57" s="68" t="s">
        <v>312</v>
      </c>
      <c r="B57" s="73">
        <v>30000</v>
      </c>
      <c r="C57" s="73"/>
      <c r="D57" s="73"/>
      <c r="E57" s="73">
        <v>30000</v>
      </c>
      <c r="F57" s="42">
        <v>0</v>
      </c>
      <c r="G57" s="42">
        <f t="shared" si="1"/>
        <v>30000</v>
      </c>
      <c r="H57" s="2" t="str">
        <f>VLOOKUP(A57,'MASTER 26 27'!A:B,2,0)</f>
        <v>Not Applicable</v>
      </c>
    </row>
    <row r="58" spans="1:8">
      <c r="A58" s="68" t="s">
        <v>947</v>
      </c>
      <c r="B58" s="73">
        <v>311200</v>
      </c>
      <c r="C58" s="73"/>
      <c r="D58" s="73"/>
      <c r="E58" s="73">
        <v>311200</v>
      </c>
      <c r="F58" s="42">
        <v>0</v>
      </c>
      <c r="G58" s="42">
        <f t="shared" si="1"/>
        <v>311200</v>
      </c>
      <c r="H58" s="2" t="str">
        <f>VLOOKUP(A58,'MASTER 26 27'!A:B,2,0)</f>
        <v>Not Applicable</v>
      </c>
    </row>
    <row r="59" spans="1:8">
      <c r="A59" s="68" t="s">
        <v>85</v>
      </c>
      <c r="B59" s="73">
        <v>-955050</v>
      </c>
      <c r="C59" s="73">
        <v>3349500</v>
      </c>
      <c r="D59" s="73"/>
      <c r="E59" s="73">
        <v>2394450</v>
      </c>
      <c r="F59" s="42">
        <v>0</v>
      </c>
      <c r="G59" s="42">
        <f t="shared" si="1"/>
        <v>2394450</v>
      </c>
      <c r="H59" s="2" t="str">
        <f>VLOOKUP(A59,'MASTER 26 27'!A:B,2,0)</f>
        <v>Not Applicable</v>
      </c>
    </row>
    <row r="60" spans="1:8">
      <c r="A60" s="68" t="s">
        <v>320</v>
      </c>
      <c r="B60" s="73">
        <v>2277276</v>
      </c>
      <c r="C60" s="73">
        <v>500000</v>
      </c>
      <c r="D60" s="73"/>
      <c r="E60" s="73">
        <v>2777276</v>
      </c>
      <c r="F60" s="42">
        <v>0</v>
      </c>
      <c r="G60" s="42">
        <f t="shared" si="1"/>
        <v>2777276</v>
      </c>
      <c r="H60" s="2" t="str">
        <f>VLOOKUP(A60,'MASTER 26 27'!A:B,2,0)</f>
        <v>Not Applicable</v>
      </c>
    </row>
    <row r="61" spans="1:8">
      <c r="A61" s="68" t="s">
        <v>1398</v>
      </c>
      <c r="B61" s="73"/>
      <c r="C61" s="73"/>
      <c r="D61" s="73"/>
      <c r="E61" s="73">
        <v>0</v>
      </c>
      <c r="F61" s="42">
        <v>0</v>
      </c>
      <c r="G61" s="42">
        <f t="shared" si="1"/>
        <v>0</v>
      </c>
      <c r="H61" s="2" t="s">
        <v>84</v>
      </c>
    </row>
    <row r="62" spans="1:8">
      <c r="A62" s="68" t="s">
        <v>1399</v>
      </c>
      <c r="B62" s="73"/>
      <c r="C62" s="73"/>
      <c r="D62" s="73"/>
      <c r="E62" s="73">
        <v>0</v>
      </c>
      <c r="F62" s="42">
        <v>0</v>
      </c>
      <c r="G62" s="42">
        <f t="shared" si="1"/>
        <v>0</v>
      </c>
      <c r="H62" s="2" t="s">
        <v>84</v>
      </c>
    </row>
    <row r="63" spans="1:8">
      <c r="A63" s="68" t="s">
        <v>89</v>
      </c>
      <c r="B63" s="73">
        <v>184593.3</v>
      </c>
      <c r="C63" s="73"/>
      <c r="D63" s="73"/>
      <c r="E63" s="73">
        <v>184593.3</v>
      </c>
      <c r="F63" s="42">
        <v>0</v>
      </c>
      <c r="G63" s="42">
        <f t="shared" si="1"/>
        <v>184593.3</v>
      </c>
      <c r="H63" s="2" t="str">
        <f>VLOOKUP(A63,'MASTER 26 27'!A:B,2,0)</f>
        <v>Not Applicable</v>
      </c>
    </row>
    <row r="64" spans="1:8">
      <c r="A64" s="68" t="s">
        <v>93</v>
      </c>
      <c r="B64" s="73">
        <v>1416914.97</v>
      </c>
      <c r="C64" s="73"/>
      <c r="D64" s="73">
        <v>1397115</v>
      </c>
      <c r="E64" s="73">
        <v>19799.97</v>
      </c>
      <c r="F64" s="42">
        <v>0</v>
      </c>
      <c r="G64" s="42">
        <f t="shared" si="1"/>
        <v>19799.97</v>
      </c>
      <c r="H64" s="2" t="str">
        <f>VLOOKUP(A64,'MASTER 26 27'!A:B,2,0)</f>
        <v>Not Applicable</v>
      </c>
    </row>
    <row r="65" spans="1:8">
      <c r="A65" s="68" t="s">
        <v>1348</v>
      </c>
      <c r="B65" s="73">
        <v>1078377.3</v>
      </c>
      <c r="C65" s="73">
        <v>1065450.8799999999</v>
      </c>
      <c r="D65" s="73">
        <v>2048649</v>
      </c>
      <c r="E65" s="73">
        <v>95179.18</v>
      </c>
      <c r="F65" s="42">
        <v>0</v>
      </c>
      <c r="G65" s="42">
        <f t="shared" si="1"/>
        <v>95179.18</v>
      </c>
      <c r="H65" s="2" t="str">
        <f>VLOOKUP(A65,'MASTER 26 27'!A:B,2,0)</f>
        <v>Not Applicable</v>
      </c>
    </row>
    <row r="66" spans="1:8">
      <c r="A66" s="68" t="s">
        <v>95</v>
      </c>
      <c r="B66" s="73"/>
      <c r="C66" s="73"/>
      <c r="D66" s="73"/>
      <c r="E66" s="73">
        <v>0</v>
      </c>
      <c r="F66" s="42">
        <v>0</v>
      </c>
      <c r="G66" s="42">
        <f t="shared" si="1"/>
        <v>0</v>
      </c>
      <c r="H66" s="2" t="str">
        <f>VLOOKUP(A66,'MASTER 26 27'!A:B,2,0)</f>
        <v>Not Applicable</v>
      </c>
    </row>
    <row r="67" spans="1:8">
      <c r="A67" s="68" t="s">
        <v>94</v>
      </c>
      <c r="B67" s="73"/>
      <c r="C67" s="73"/>
      <c r="D67" s="73"/>
      <c r="E67" s="73">
        <v>0</v>
      </c>
      <c r="F67" s="42">
        <v>0</v>
      </c>
      <c r="G67" s="42">
        <f t="shared" si="1"/>
        <v>0</v>
      </c>
      <c r="H67" s="2" t="str">
        <f>VLOOKUP(A67,'MASTER 26 27'!A:B,2,0)</f>
        <v>Not Applicable</v>
      </c>
    </row>
    <row r="68" spans="1:8">
      <c r="A68" s="68" t="s">
        <v>97</v>
      </c>
      <c r="B68" s="73"/>
      <c r="C68" s="73"/>
      <c r="D68" s="73"/>
      <c r="E68" s="73">
        <v>0</v>
      </c>
      <c r="F68" s="42">
        <v>0</v>
      </c>
      <c r="G68" s="42">
        <f t="shared" si="1"/>
        <v>0</v>
      </c>
      <c r="H68" s="2" t="str">
        <f>VLOOKUP(A68,'MASTER 26 27'!A:B,2,0)</f>
        <v>Not Applicable</v>
      </c>
    </row>
    <row r="69" spans="1:8">
      <c r="A69" s="68" t="s">
        <v>934</v>
      </c>
      <c r="B69" s="73">
        <v>876917.2</v>
      </c>
      <c r="C69" s="73"/>
      <c r="D69" s="73"/>
      <c r="E69" s="73">
        <v>876917.2</v>
      </c>
      <c r="F69" s="42">
        <v>0</v>
      </c>
      <c r="G69" s="42">
        <f t="shared" si="1"/>
        <v>876917.2</v>
      </c>
      <c r="H69" s="2" t="str">
        <f>VLOOKUP(A69,'MASTER 26 27'!A:B,2,0)</f>
        <v>Not Applicable</v>
      </c>
    </row>
    <row r="70" spans="1:8">
      <c r="A70" s="68" t="s">
        <v>109</v>
      </c>
      <c r="B70" s="73"/>
      <c r="C70" s="73"/>
      <c r="D70" s="73"/>
      <c r="E70" s="73">
        <v>0</v>
      </c>
      <c r="F70" s="42">
        <v>0</v>
      </c>
      <c r="G70" s="42">
        <f t="shared" si="1"/>
        <v>0</v>
      </c>
      <c r="H70" s="2" t="str">
        <f>VLOOKUP(A70,'MASTER 26 27'!A:B,2,0)</f>
        <v>Not Applicable</v>
      </c>
    </row>
    <row r="71" spans="1:8">
      <c r="A71" s="68" t="s">
        <v>110</v>
      </c>
      <c r="B71" s="73"/>
      <c r="C71" s="73"/>
      <c r="D71" s="73"/>
      <c r="E71" s="73">
        <v>0</v>
      </c>
      <c r="F71" s="42">
        <v>0</v>
      </c>
      <c r="G71" s="42">
        <f t="shared" ref="G71:G134" si="2">+E71+F71</f>
        <v>0</v>
      </c>
      <c r="H71" s="2" t="str">
        <f>VLOOKUP(A71,'MASTER 26 27'!A:B,2,0)</f>
        <v>Not Applicable</v>
      </c>
    </row>
    <row r="72" spans="1:8">
      <c r="A72" s="68" t="s">
        <v>1326</v>
      </c>
      <c r="B72" s="73"/>
      <c r="C72" s="73"/>
      <c r="D72" s="73"/>
      <c r="E72" s="73">
        <v>0</v>
      </c>
      <c r="F72" s="42">
        <v>0</v>
      </c>
      <c r="G72" s="42">
        <f t="shared" si="2"/>
        <v>0</v>
      </c>
      <c r="H72" s="2" t="str">
        <f>VLOOKUP(A72,'MASTER 26 27'!A:B,2,0)</f>
        <v>Not Applicable</v>
      </c>
    </row>
    <row r="73" spans="1:8">
      <c r="A73" s="68" t="s">
        <v>973</v>
      </c>
      <c r="B73" s="73"/>
      <c r="C73" s="73"/>
      <c r="D73" s="73"/>
      <c r="E73" s="73">
        <v>0</v>
      </c>
      <c r="F73" s="42">
        <v>0</v>
      </c>
      <c r="G73" s="42">
        <f t="shared" si="2"/>
        <v>0</v>
      </c>
      <c r="H73" s="2" t="str">
        <f>VLOOKUP(A73,'MASTER 26 27'!A:B,2,0)</f>
        <v>Not Applicable</v>
      </c>
    </row>
    <row r="74" spans="1:8">
      <c r="A74" s="68" t="s">
        <v>967</v>
      </c>
      <c r="B74" s="73"/>
      <c r="C74" s="73"/>
      <c r="D74" s="73"/>
      <c r="E74" s="73">
        <v>0</v>
      </c>
      <c r="F74" s="42">
        <v>0</v>
      </c>
      <c r="G74" s="42">
        <f t="shared" si="2"/>
        <v>0</v>
      </c>
      <c r="H74" s="2" t="str">
        <f>VLOOKUP(A74,'MASTER 26 27'!A:B,2,0)</f>
        <v>Not Applicable</v>
      </c>
    </row>
    <row r="75" spans="1:8">
      <c r="A75" s="68" t="s">
        <v>1400</v>
      </c>
      <c r="B75" s="73"/>
      <c r="C75" s="73"/>
      <c r="D75" s="73"/>
      <c r="E75" s="73">
        <v>0</v>
      </c>
      <c r="F75" s="42">
        <v>0</v>
      </c>
      <c r="G75" s="42">
        <f t="shared" si="2"/>
        <v>0</v>
      </c>
      <c r="H75" s="2" t="s">
        <v>84</v>
      </c>
    </row>
    <row r="76" spans="1:8">
      <c r="A76" s="68" t="s">
        <v>1401</v>
      </c>
      <c r="B76" s="73"/>
      <c r="C76" s="73"/>
      <c r="D76" s="73"/>
      <c r="E76" s="73">
        <v>0</v>
      </c>
      <c r="F76" s="42">
        <v>0</v>
      </c>
      <c r="G76" s="42">
        <f t="shared" si="2"/>
        <v>0</v>
      </c>
      <c r="H76" s="2" t="s">
        <v>84</v>
      </c>
    </row>
    <row r="77" spans="1:8">
      <c r="A77" s="68" t="s">
        <v>1008</v>
      </c>
      <c r="B77" s="73"/>
      <c r="C77" s="73"/>
      <c r="D77" s="73"/>
      <c r="E77" s="73">
        <v>0</v>
      </c>
      <c r="F77" s="42">
        <v>0</v>
      </c>
      <c r="G77" s="42">
        <f t="shared" si="2"/>
        <v>0</v>
      </c>
      <c r="H77" s="2" t="str">
        <f>VLOOKUP(A77,'MASTER 26 27'!A:B,2,0)</f>
        <v>Not Applicable</v>
      </c>
    </row>
    <row r="78" spans="1:8">
      <c r="A78" s="68" t="s">
        <v>975</v>
      </c>
      <c r="B78" s="73">
        <v>-87133.69</v>
      </c>
      <c r="C78" s="73"/>
      <c r="D78" s="73">
        <v>118000</v>
      </c>
      <c r="E78" s="73">
        <v>-205133.69</v>
      </c>
      <c r="F78" s="42">
        <v>0</v>
      </c>
      <c r="G78" s="42">
        <f t="shared" si="2"/>
        <v>-205133.69</v>
      </c>
      <c r="H78" s="2" t="str">
        <f>VLOOKUP(A78,'MASTER 26 27'!A:B,2,0)</f>
        <v>Not Applicable</v>
      </c>
    </row>
    <row r="79" spans="1:8">
      <c r="A79" s="68" t="s">
        <v>1009</v>
      </c>
      <c r="B79" s="73">
        <v>0.1</v>
      </c>
      <c r="C79" s="73"/>
      <c r="D79" s="73"/>
      <c r="E79" s="73">
        <v>0.1</v>
      </c>
      <c r="F79" s="42">
        <v>0</v>
      </c>
      <c r="G79" s="42">
        <f t="shared" si="2"/>
        <v>0.1</v>
      </c>
      <c r="H79" s="2" t="str">
        <f>VLOOKUP(A79,'MASTER 26 27'!A:B,2,0)</f>
        <v>Not Applicable</v>
      </c>
    </row>
    <row r="80" spans="1:8">
      <c r="A80" s="68" t="s">
        <v>129</v>
      </c>
      <c r="B80" s="73"/>
      <c r="C80" s="73"/>
      <c r="D80" s="73"/>
      <c r="E80" s="73">
        <v>0</v>
      </c>
      <c r="F80" s="42">
        <v>0</v>
      </c>
      <c r="G80" s="42">
        <f t="shared" si="2"/>
        <v>0</v>
      </c>
      <c r="H80" s="2" t="str">
        <f>VLOOKUP(A80,'MASTER 26 27'!A:B,2,0)</f>
        <v>Not Applicable</v>
      </c>
    </row>
    <row r="81" spans="1:8">
      <c r="A81" s="68" t="s">
        <v>1402</v>
      </c>
      <c r="B81" s="73"/>
      <c r="C81" s="73"/>
      <c r="D81" s="73"/>
      <c r="E81" s="73">
        <v>0</v>
      </c>
      <c r="F81" s="42">
        <v>0</v>
      </c>
      <c r="G81" s="42">
        <f t="shared" si="2"/>
        <v>0</v>
      </c>
      <c r="H81" s="2" t="s">
        <v>84</v>
      </c>
    </row>
    <row r="82" spans="1:8">
      <c r="A82" s="68" t="s">
        <v>1403</v>
      </c>
      <c r="B82" s="73"/>
      <c r="C82" s="73"/>
      <c r="D82" s="73"/>
      <c r="E82" s="73">
        <v>0</v>
      </c>
      <c r="F82" s="42">
        <v>0</v>
      </c>
      <c r="G82" s="42">
        <f t="shared" si="2"/>
        <v>0</v>
      </c>
      <c r="H82" s="2" t="s">
        <v>84</v>
      </c>
    </row>
    <row r="83" spans="1:8">
      <c r="A83" s="68" t="s">
        <v>142</v>
      </c>
      <c r="B83" s="73">
        <v>1562798.14</v>
      </c>
      <c r="C83" s="73"/>
      <c r="D83" s="73">
        <v>1566340.09</v>
      </c>
      <c r="E83" s="73">
        <v>-3541.95</v>
      </c>
      <c r="F83" s="42">
        <v>0</v>
      </c>
      <c r="G83" s="42">
        <f t="shared" si="2"/>
        <v>-3541.95</v>
      </c>
      <c r="H83" s="2" t="str">
        <f>VLOOKUP(A83,'MASTER 26 27'!A:B,2,0)</f>
        <v>Not Applicable</v>
      </c>
    </row>
    <row r="84" spans="1:8">
      <c r="A84" s="68" t="s">
        <v>143</v>
      </c>
      <c r="B84" s="73">
        <v>3825909.25</v>
      </c>
      <c r="C84" s="73"/>
      <c r="D84" s="73"/>
      <c r="E84" s="73">
        <v>3825909.25</v>
      </c>
      <c r="F84" s="42">
        <v>0</v>
      </c>
      <c r="G84" s="42">
        <f t="shared" si="2"/>
        <v>3825909.25</v>
      </c>
      <c r="H84" s="2" t="str">
        <f>VLOOKUP(A84,'MASTER 26 27'!A:B,2,0)</f>
        <v>Not Applicable</v>
      </c>
    </row>
    <row r="85" spans="1:8">
      <c r="A85" s="68" t="s">
        <v>1404</v>
      </c>
      <c r="B85" s="73"/>
      <c r="C85" s="73"/>
      <c r="D85" s="73"/>
      <c r="E85" s="73">
        <v>0</v>
      </c>
      <c r="F85" s="42">
        <v>0</v>
      </c>
      <c r="G85" s="42">
        <f t="shared" si="2"/>
        <v>0</v>
      </c>
      <c r="H85" s="2" t="s">
        <v>84</v>
      </c>
    </row>
    <row r="86" spans="1:8">
      <c r="A86" s="68" t="s">
        <v>1173</v>
      </c>
      <c r="B86" s="73">
        <v>7080</v>
      </c>
      <c r="C86" s="73"/>
      <c r="D86" s="73"/>
      <c r="E86" s="73">
        <v>7080</v>
      </c>
      <c r="F86" s="42">
        <v>0</v>
      </c>
      <c r="G86" s="42">
        <f t="shared" si="2"/>
        <v>7080</v>
      </c>
      <c r="H86" s="2" t="str">
        <f>VLOOKUP(A86,'MASTER 26 27'!A:B,2,0)</f>
        <v>Not Applicable</v>
      </c>
    </row>
    <row r="87" spans="1:8">
      <c r="A87" s="68" t="s">
        <v>1080</v>
      </c>
      <c r="B87" s="73">
        <v>0.08</v>
      </c>
      <c r="C87" s="73"/>
      <c r="D87" s="73"/>
      <c r="E87" s="73">
        <v>0.08</v>
      </c>
      <c r="F87" s="42">
        <v>0</v>
      </c>
      <c r="G87" s="42">
        <f t="shared" si="2"/>
        <v>0.08</v>
      </c>
      <c r="H87" s="2" t="str">
        <f>VLOOKUP(A87,'MASTER 26 27'!A:B,2,0)</f>
        <v>Not Applicable</v>
      </c>
    </row>
    <row r="88" spans="1:8">
      <c r="A88" s="68" t="s">
        <v>1111</v>
      </c>
      <c r="B88" s="73"/>
      <c r="C88" s="73"/>
      <c r="D88" s="73"/>
      <c r="E88" s="73">
        <v>0</v>
      </c>
      <c r="F88" s="42">
        <v>0</v>
      </c>
      <c r="G88" s="42">
        <f t="shared" si="2"/>
        <v>0</v>
      </c>
      <c r="H88" s="2" t="str">
        <f>VLOOKUP(A88,'MASTER 26 27'!A:B,2,0)</f>
        <v>Not Applicable</v>
      </c>
    </row>
    <row r="89" spans="1:8">
      <c r="A89" s="68" t="s">
        <v>1405</v>
      </c>
      <c r="B89" s="73"/>
      <c r="C89" s="73"/>
      <c r="D89" s="73"/>
      <c r="E89" s="73">
        <v>0</v>
      </c>
      <c r="F89" s="42">
        <v>0</v>
      </c>
      <c r="G89" s="42">
        <f t="shared" si="2"/>
        <v>0</v>
      </c>
      <c r="H89" s="2" t="s">
        <v>84</v>
      </c>
    </row>
    <row r="90" spans="1:8">
      <c r="A90" s="68" t="s">
        <v>1406</v>
      </c>
      <c r="B90" s="73"/>
      <c r="C90" s="73"/>
      <c r="D90" s="73"/>
      <c r="E90" s="73">
        <v>0</v>
      </c>
      <c r="F90" s="42">
        <v>0</v>
      </c>
      <c r="G90" s="42">
        <f t="shared" si="2"/>
        <v>0</v>
      </c>
      <c r="H90" s="2" t="s">
        <v>84</v>
      </c>
    </row>
    <row r="91" spans="1:8">
      <c r="A91" s="68" t="s">
        <v>180</v>
      </c>
      <c r="B91" s="73"/>
      <c r="C91" s="73"/>
      <c r="D91" s="73"/>
      <c r="E91" s="73">
        <v>0</v>
      </c>
      <c r="F91" s="42">
        <v>0</v>
      </c>
      <c r="G91" s="42">
        <f t="shared" si="2"/>
        <v>0</v>
      </c>
      <c r="H91" s="2" t="str">
        <f>VLOOKUP(A91,'MASTER 26 27'!A:B,2,0)</f>
        <v>Not Applicable</v>
      </c>
    </row>
    <row r="92" spans="1:8">
      <c r="A92" s="68" t="s">
        <v>1280</v>
      </c>
      <c r="B92" s="73">
        <v>0.92</v>
      </c>
      <c r="C92" s="73"/>
      <c r="D92" s="73"/>
      <c r="E92" s="73">
        <v>0.92</v>
      </c>
      <c r="F92" s="42">
        <v>0</v>
      </c>
      <c r="G92" s="42">
        <f t="shared" si="2"/>
        <v>0.92</v>
      </c>
      <c r="H92" s="2" t="str">
        <f>VLOOKUP(A92,'MASTER 26 27'!A:B,2,0)</f>
        <v>Not Applicable</v>
      </c>
    </row>
    <row r="93" spans="1:8">
      <c r="A93" s="68" t="s">
        <v>917</v>
      </c>
      <c r="B93" s="73"/>
      <c r="C93" s="73"/>
      <c r="D93" s="73"/>
      <c r="E93" s="73">
        <v>0</v>
      </c>
      <c r="F93" s="42">
        <v>0</v>
      </c>
      <c r="G93" s="42">
        <f t="shared" si="2"/>
        <v>0</v>
      </c>
      <c r="H93" s="2" t="str">
        <f>VLOOKUP(A93,'MASTER 26 27'!A:B,2,0)</f>
        <v>Not Applicable</v>
      </c>
    </row>
    <row r="94" spans="1:8">
      <c r="A94" s="68" t="s">
        <v>183</v>
      </c>
      <c r="B94" s="73">
        <v>0.11</v>
      </c>
      <c r="C94" s="73"/>
      <c r="D94" s="73"/>
      <c r="E94" s="73">
        <v>0.11</v>
      </c>
      <c r="F94" s="42">
        <v>0</v>
      </c>
      <c r="G94" s="42">
        <f t="shared" si="2"/>
        <v>0.11</v>
      </c>
      <c r="H94" s="2" t="str">
        <f>VLOOKUP(A94,'MASTER 26 27'!A:B,2,0)</f>
        <v>Not Applicable</v>
      </c>
    </row>
    <row r="95" spans="1:8">
      <c r="A95" s="68" t="s">
        <v>186</v>
      </c>
      <c r="B95" s="73"/>
      <c r="C95" s="73"/>
      <c r="D95" s="73"/>
      <c r="E95" s="73">
        <v>0</v>
      </c>
      <c r="F95" s="42">
        <v>0</v>
      </c>
      <c r="G95" s="42">
        <f t="shared" si="2"/>
        <v>0</v>
      </c>
      <c r="H95" s="2" t="str">
        <f>VLOOKUP(A95,'MASTER 26 27'!A:B,2,0)</f>
        <v>Not Applicable</v>
      </c>
    </row>
    <row r="96" spans="1:8">
      <c r="A96" s="68" t="s">
        <v>192</v>
      </c>
      <c r="B96" s="73"/>
      <c r="C96" s="73"/>
      <c r="D96" s="73"/>
      <c r="E96" s="73">
        <v>0</v>
      </c>
      <c r="F96" s="42">
        <v>0</v>
      </c>
      <c r="G96" s="42">
        <f t="shared" si="2"/>
        <v>0</v>
      </c>
      <c r="H96" s="2" t="str">
        <f>VLOOKUP(A96,'MASTER 26 27'!A:B,2,0)</f>
        <v>Not Applicable</v>
      </c>
    </row>
    <row r="97" spans="1:8">
      <c r="A97" s="68" t="s">
        <v>1407</v>
      </c>
      <c r="B97" s="73"/>
      <c r="C97" s="73"/>
      <c r="D97" s="73"/>
      <c r="E97" s="73">
        <v>0</v>
      </c>
      <c r="F97" s="42">
        <v>0</v>
      </c>
      <c r="G97" s="42">
        <f t="shared" si="2"/>
        <v>0</v>
      </c>
      <c r="H97" s="2" t="s">
        <v>84</v>
      </c>
    </row>
    <row r="98" spans="1:8">
      <c r="A98" s="68" t="s">
        <v>196</v>
      </c>
      <c r="B98" s="73">
        <v>124464004.31999999</v>
      </c>
      <c r="C98" s="73"/>
      <c r="D98" s="73"/>
      <c r="E98" s="73">
        <v>124464004.31999999</v>
      </c>
      <c r="F98" s="42">
        <v>0</v>
      </c>
      <c r="G98" s="42">
        <f t="shared" si="2"/>
        <v>124464004.31999999</v>
      </c>
      <c r="H98" s="2" t="str">
        <f>VLOOKUP(A98,'MASTER 26 27'!A:B,2,0)</f>
        <v>Not Applicable</v>
      </c>
    </row>
    <row r="99" spans="1:8">
      <c r="A99" s="68" t="s">
        <v>197</v>
      </c>
      <c r="B99" s="73">
        <v>144652612.91999999</v>
      </c>
      <c r="C99" s="73">
        <v>14016119.029999999</v>
      </c>
      <c r="D99" s="73">
        <v>740000</v>
      </c>
      <c r="E99" s="73">
        <v>157928731.94999999</v>
      </c>
      <c r="F99" s="42">
        <v>0</v>
      </c>
      <c r="G99" s="42">
        <f t="shared" si="2"/>
        <v>157928731.94999999</v>
      </c>
      <c r="H99" s="2" t="str">
        <f>VLOOKUP(A99,'MASTER 26 27'!A:B,2,0)</f>
        <v>Not Applicable</v>
      </c>
    </row>
    <row r="100" spans="1:8">
      <c r="A100" s="68" t="s">
        <v>1053</v>
      </c>
      <c r="B100" s="73">
        <v>18614228.199999999</v>
      </c>
      <c r="C100" s="73">
        <v>2971138.3</v>
      </c>
      <c r="D100" s="73"/>
      <c r="E100" s="73">
        <v>21585366.5</v>
      </c>
      <c r="F100" s="42">
        <v>0</v>
      </c>
      <c r="G100" s="42">
        <f t="shared" si="2"/>
        <v>21585366.5</v>
      </c>
      <c r="H100" s="2" t="str">
        <f>VLOOKUP(A100,'MASTER 26 27'!A:B,2,0)</f>
        <v>Not Applicable</v>
      </c>
    </row>
    <row r="101" spans="1:8">
      <c r="A101" s="68" t="s">
        <v>198</v>
      </c>
      <c r="B101" s="73"/>
      <c r="C101" s="73"/>
      <c r="D101" s="73"/>
      <c r="E101" s="73">
        <v>0</v>
      </c>
      <c r="F101" s="42">
        <v>0</v>
      </c>
      <c r="G101" s="42">
        <f t="shared" si="2"/>
        <v>0</v>
      </c>
      <c r="H101" s="2" t="str">
        <f>VLOOKUP(A101,'MASTER 26 27'!A:B,2,0)</f>
        <v>Not Applicable</v>
      </c>
    </row>
    <row r="102" spans="1:8">
      <c r="A102" s="68" t="s">
        <v>1328</v>
      </c>
      <c r="B102" s="73">
        <v>-5256733.6100000003</v>
      </c>
      <c r="C102" s="73">
        <v>3365706.81</v>
      </c>
      <c r="D102" s="73">
        <v>5084441.97</v>
      </c>
      <c r="E102" s="73">
        <v>-6975468.7699999996</v>
      </c>
      <c r="F102" s="42">
        <v>0</v>
      </c>
      <c r="G102" s="42">
        <f t="shared" si="2"/>
        <v>-6975468.7699999996</v>
      </c>
      <c r="H102" s="2" t="str">
        <f>VLOOKUP(A102,'MASTER 26 27'!A:B,2,0)</f>
        <v>Not Applicable</v>
      </c>
    </row>
    <row r="103" spans="1:8">
      <c r="A103" s="68" t="s">
        <v>855</v>
      </c>
      <c r="B103" s="73">
        <v>1165250</v>
      </c>
      <c r="C103" s="73"/>
      <c r="D103" s="73">
        <v>457250</v>
      </c>
      <c r="E103" s="73">
        <v>708000</v>
      </c>
      <c r="F103" s="42">
        <v>0</v>
      </c>
      <c r="G103" s="42">
        <f t="shared" si="2"/>
        <v>708000</v>
      </c>
      <c r="H103" s="2" t="str">
        <f>VLOOKUP(A103,'MASTER 26 27'!A:B,2,0)</f>
        <v>Not Applicable</v>
      </c>
    </row>
    <row r="104" spans="1:8">
      <c r="A104" s="68" t="s">
        <v>201</v>
      </c>
      <c r="B104" s="73"/>
      <c r="C104" s="73"/>
      <c r="D104" s="73"/>
      <c r="E104" s="73">
        <v>0</v>
      </c>
      <c r="F104" s="42">
        <v>0</v>
      </c>
      <c r="G104" s="42">
        <f t="shared" si="2"/>
        <v>0</v>
      </c>
      <c r="H104" s="2" t="str">
        <f>VLOOKUP(A104,'MASTER 26 27'!A:B,2,0)</f>
        <v>Not Applicable</v>
      </c>
    </row>
    <row r="105" spans="1:8">
      <c r="A105" s="68" t="s">
        <v>210</v>
      </c>
      <c r="B105" s="73"/>
      <c r="C105" s="73"/>
      <c r="D105" s="73"/>
      <c r="E105" s="73">
        <v>0</v>
      </c>
      <c r="F105" s="42">
        <v>0</v>
      </c>
      <c r="G105" s="42">
        <f t="shared" si="2"/>
        <v>0</v>
      </c>
      <c r="H105" s="2" t="str">
        <f>VLOOKUP(A105,'MASTER 26 27'!A:B,2,0)</f>
        <v>Not Applicable</v>
      </c>
    </row>
    <row r="106" spans="1:8">
      <c r="A106" s="68" t="s">
        <v>211</v>
      </c>
      <c r="B106" s="73"/>
      <c r="C106" s="73"/>
      <c r="D106" s="73"/>
      <c r="E106" s="73">
        <v>0</v>
      </c>
      <c r="F106" s="42">
        <v>0</v>
      </c>
      <c r="G106" s="42">
        <f t="shared" si="2"/>
        <v>0</v>
      </c>
      <c r="H106" s="2" t="str">
        <f>VLOOKUP(A106,'MASTER 26 27'!A:B,2,0)</f>
        <v>Not Applicable</v>
      </c>
    </row>
    <row r="107" spans="1:8">
      <c r="A107" s="68" t="s">
        <v>1408</v>
      </c>
      <c r="B107" s="73"/>
      <c r="C107" s="73">
        <v>1351507.71</v>
      </c>
      <c r="D107" s="73"/>
      <c r="E107" s="73">
        <v>1351507.71</v>
      </c>
      <c r="F107" s="42">
        <v>0</v>
      </c>
      <c r="G107" s="42">
        <f t="shared" si="2"/>
        <v>1351507.71</v>
      </c>
      <c r="H107" s="2" t="s">
        <v>84</v>
      </c>
    </row>
    <row r="108" spans="1:8">
      <c r="A108" s="68" t="s">
        <v>213</v>
      </c>
      <c r="B108" s="73">
        <v>-60996.61</v>
      </c>
      <c r="C108" s="73"/>
      <c r="D108" s="73"/>
      <c r="E108" s="73">
        <v>-60996.61</v>
      </c>
      <c r="F108" s="42">
        <v>0</v>
      </c>
      <c r="G108" s="42">
        <f t="shared" si="2"/>
        <v>-60996.61</v>
      </c>
      <c r="H108" s="2" t="str">
        <f>VLOOKUP(A108,'MASTER 26 27'!A:B,2,0)</f>
        <v>Not Applicable</v>
      </c>
    </row>
    <row r="109" spans="1:8">
      <c r="A109" s="68" t="s">
        <v>1129</v>
      </c>
      <c r="B109" s="73"/>
      <c r="C109" s="73"/>
      <c r="D109" s="73"/>
      <c r="E109" s="73">
        <v>0</v>
      </c>
      <c r="F109" s="42">
        <v>0</v>
      </c>
      <c r="G109" s="42">
        <f t="shared" si="2"/>
        <v>0</v>
      </c>
      <c r="H109" s="2" t="str">
        <f>VLOOKUP(A109,'MASTER 26 27'!A:B,2,0)</f>
        <v>Not Applicable</v>
      </c>
    </row>
    <row r="110" spans="1:8">
      <c r="A110" s="68" t="s">
        <v>1010</v>
      </c>
      <c r="B110" s="73"/>
      <c r="C110" s="73"/>
      <c r="D110" s="73"/>
      <c r="E110" s="73">
        <v>0</v>
      </c>
      <c r="F110" s="42">
        <v>0</v>
      </c>
      <c r="G110" s="42">
        <f t="shared" si="2"/>
        <v>0</v>
      </c>
      <c r="H110" s="2" t="str">
        <f>VLOOKUP(A110,'MASTER 26 27'!A:B,2,0)</f>
        <v>Not Applicable</v>
      </c>
    </row>
    <row r="111" spans="1:8">
      <c r="A111" s="68" t="s">
        <v>214</v>
      </c>
      <c r="B111" s="73"/>
      <c r="C111" s="73"/>
      <c r="D111" s="73"/>
      <c r="E111" s="73">
        <v>0</v>
      </c>
      <c r="F111" s="42">
        <v>0</v>
      </c>
      <c r="G111" s="42">
        <f t="shared" si="2"/>
        <v>0</v>
      </c>
      <c r="H111" s="2" t="str">
        <f>VLOOKUP(A111,'MASTER 26 27'!A:B,2,0)</f>
        <v>Not Applicable</v>
      </c>
    </row>
    <row r="112" spans="1:8">
      <c r="A112" s="68" t="s">
        <v>215</v>
      </c>
      <c r="B112" s="73"/>
      <c r="C112" s="73"/>
      <c r="D112" s="73"/>
      <c r="E112" s="73">
        <v>0</v>
      </c>
      <c r="F112" s="42">
        <v>0</v>
      </c>
      <c r="G112" s="42">
        <f t="shared" si="2"/>
        <v>0</v>
      </c>
      <c r="H112" s="2" t="str">
        <f>VLOOKUP(A112,'MASTER 26 27'!A:B,2,0)</f>
        <v>Not Applicable</v>
      </c>
    </row>
    <row r="113" spans="1:8">
      <c r="A113" s="68" t="s">
        <v>216</v>
      </c>
      <c r="B113" s="73"/>
      <c r="C113" s="73"/>
      <c r="D113" s="73"/>
      <c r="E113" s="73">
        <v>0</v>
      </c>
      <c r="F113" s="42">
        <v>0</v>
      </c>
      <c r="G113" s="42">
        <f t="shared" si="2"/>
        <v>0</v>
      </c>
      <c r="H113" s="2" t="str">
        <f>VLOOKUP(A113,'MASTER 26 27'!A:B,2,0)</f>
        <v>Not Applicable</v>
      </c>
    </row>
    <row r="114" spans="1:8">
      <c r="A114" s="68" t="s">
        <v>220</v>
      </c>
      <c r="B114" s="73"/>
      <c r="C114" s="73"/>
      <c r="D114" s="73"/>
      <c r="E114" s="73">
        <v>0</v>
      </c>
      <c r="F114" s="42">
        <v>0</v>
      </c>
      <c r="G114" s="42">
        <f t="shared" si="2"/>
        <v>0</v>
      </c>
      <c r="H114" s="2" t="str">
        <f>VLOOKUP(A114,'MASTER 26 27'!A:B,2,0)</f>
        <v>Not Applicable</v>
      </c>
    </row>
    <row r="115" spans="1:8">
      <c r="A115" s="68" t="s">
        <v>221</v>
      </c>
      <c r="B115" s="73">
        <v>38029942.490000002</v>
      </c>
      <c r="C115" s="73"/>
      <c r="D115" s="73"/>
      <c r="E115" s="73">
        <v>38029942.490000002</v>
      </c>
      <c r="F115" s="42">
        <v>0</v>
      </c>
      <c r="G115" s="42">
        <f t="shared" si="2"/>
        <v>38029942.490000002</v>
      </c>
      <c r="H115" s="2" t="str">
        <f>VLOOKUP(A115,'MASTER 26 27'!A:B,2,0)</f>
        <v>Not Applicable</v>
      </c>
    </row>
    <row r="116" spans="1:8">
      <c r="A116" s="68" t="s">
        <v>222</v>
      </c>
      <c r="B116" s="73">
        <v>285662294.56</v>
      </c>
      <c r="C116" s="73">
        <v>195270.32</v>
      </c>
      <c r="D116" s="73"/>
      <c r="E116" s="73">
        <v>285857564.88</v>
      </c>
      <c r="F116" s="42">
        <v>0</v>
      </c>
      <c r="G116" s="42">
        <f t="shared" si="2"/>
        <v>285857564.88</v>
      </c>
      <c r="H116" s="2" t="str">
        <f>VLOOKUP(A116,'MASTER 26 27'!A:B,2,0)</f>
        <v>Not Applicable</v>
      </c>
    </row>
    <row r="117" spans="1:8">
      <c r="A117" s="68" t="s">
        <v>223</v>
      </c>
      <c r="B117" s="73">
        <v>2002647731.99</v>
      </c>
      <c r="C117" s="73">
        <v>9746219.2200000007</v>
      </c>
      <c r="D117" s="73"/>
      <c r="E117" s="73">
        <v>2012393951.21</v>
      </c>
      <c r="F117" s="42">
        <v>0</v>
      </c>
      <c r="G117" s="42">
        <f t="shared" si="2"/>
        <v>2012393951.21</v>
      </c>
      <c r="H117" s="2" t="str">
        <f>VLOOKUP(A117,'MASTER 26 27'!A:B,2,0)</f>
        <v>Not Applicable</v>
      </c>
    </row>
    <row r="118" spans="1:8">
      <c r="A118" s="68" t="s">
        <v>226</v>
      </c>
      <c r="B118" s="73">
        <v>4254750.16</v>
      </c>
      <c r="C118" s="73"/>
      <c r="D118" s="73"/>
      <c r="E118" s="73">
        <v>4254750.16</v>
      </c>
      <c r="F118" s="42">
        <v>0</v>
      </c>
      <c r="G118" s="42">
        <f t="shared" si="2"/>
        <v>4254750.16</v>
      </c>
      <c r="H118" s="2" t="str">
        <f>VLOOKUP(A118,'MASTER 26 27'!A:B,2,0)</f>
        <v>Not Applicable</v>
      </c>
    </row>
    <row r="119" spans="1:8">
      <c r="A119" s="68" t="s">
        <v>229</v>
      </c>
      <c r="B119" s="73"/>
      <c r="C119" s="73"/>
      <c r="D119" s="73"/>
      <c r="E119" s="73">
        <v>0</v>
      </c>
      <c r="F119" s="42">
        <v>0</v>
      </c>
      <c r="G119" s="42">
        <f t="shared" si="2"/>
        <v>0</v>
      </c>
      <c r="H119" s="2" t="str">
        <f>VLOOKUP(A119,'MASTER 26 27'!A:B,2,0)</f>
        <v>Not Applicable</v>
      </c>
    </row>
    <row r="120" spans="1:8">
      <c r="A120" s="68" t="s">
        <v>1409</v>
      </c>
      <c r="B120" s="73"/>
      <c r="C120" s="73">
        <v>1407150</v>
      </c>
      <c r="D120" s="73">
        <v>295000</v>
      </c>
      <c r="E120" s="73">
        <v>1112150</v>
      </c>
      <c r="F120" s="42">
        <v>0</v>
      </c>
      <c r="G120" s="42">
        <f t="shared" si="2"/>
        <v>1112150</v>
      </c>
      <c r="H120" s="2" t="s">
        <v>84</v>
      </c>
    </row>
    <row r="121" spans="1:8">
      <c r="A121" s="68" t="s">
        <v>236</v>
      </c>
      <c r="B121" s="73">
        <v>3709</v>
      </c>
      <c r="C121" s="73"/>
      <c r="D121" s="73"/>
      <c r="E121" s="73">
        <v>3709</v>
      </c>
      <c r="F121" s="42">
        <v>0</v>
      </c>
      <c r="G121" s="42">
        <f t="shared" si="2"/>
        <v>3709</v>
      </c>
      <c r="H121" s="2" t="str">
        <f>VLOOKUP(A121,'MASTER 26 27'!A:B,2,0)</f>
        <v>Not Applicable</v>
      </c>
    </row>
    <row r="122" spans="1:8">
      <c r="A122" s="68" t="s">
        <v>234</v>
      </c>
      <c r="B122" s="73"/>
      <c r="C122" s="73"/>
      <c r="D122" s="73"/>
      <c r="E122" s="73">
        <v>0</v>
      </c>
      <c r="F122" s="42">
        <v>0</v>
      </c>
      <c r="G122" s="42">
        <f t="shared" si="2"/>
        <v>0</v>
      </c>
      <c r="H122" s="2" t="str">
        <f>VLOOKUP(A122,'MASTER 26 27'!A:B,2,0)</f>
        <v>Not Applicable</v>
      </c>
    </row>
    <row r="123" spans="1:8">
      <c r="A123" s="68" t="s">
        <v>1054</v>
      </c>
      <c r="B123" s="73"/>
      <c r="C123" s="73"/>
      <c r="D123" s="73"/>
      <c r="E123" s="73">
        <v>0</v>
      </c>
      <c r="F123" s="42">
        <v>0</v>
      </c>
      <c r="G123" s="42">
        <f t="shared" si="2"/>
        <v>0</v>
      </c>
      <c r="H123" s="2" t="str">
        <f>VLOOKUP(A123,'MASTER 26 27'!A:B,2,0)</f>
        <v>Not Applicable</v>
      </c>
    </row>
    <row r="124" spans="1:8">
      <c r="A124" s="68" t="s">
        <v>237</v>
      </c>
      <c r="B124" s="73">
        <v>-399.12</v>
      </c>
      <c r="C124" s="73"/>
      <c r="D124" s="73"/>
      <c r="E124" s="73">
        <v>-399.12</v>
      </c>
      <c r="F124" s="42">
        <v>0</v>
      </c>
      <c r="G124" s="42">
        <f t="shared" si="2"/>
        <v>-399.12</v>
      </c>
      <c r="H124" s="2" t="str">
        <f>VLOOKUP(A124,'MASTER 26 27'!A:B,2,0)</f>
        <v>Not Applicable</v>
      </c>
    </row>
    <row r="125" spans="1:8">
      <c r="A125" s="68" t="s">
        <v>1112</v>
      </c>
      <c r="B125" s="73">
        <v>-0.2</v>
      </c>
      <c r="C125" s="73"/>
      <c r="D125" s="73"/>
      <c r="E125" s="73">
        <v>-0.2</v>
      </c>
      <c r="F125" s="42">
        <v>0</v>
      </c>
      <c r="G125" s="42">
        <f t="shared" si="2"/>
        <v>-0.2</v>
      </c>
      <c r="H125" s="2" t="str">
        <f>VLOOKUP(A125,'MASTER 26 27'!A:B,2,0)</f>
        <v>Not Applicable</v>
      </c>
    </row>
    <row r="126" spans="1:8">
      <c r="A126" s="68" t="s">
        <v>1410</v>
      </c>
      <c r="B126" s="73"/>
      <c r="C126" s="73"/>
      <c r="D126" s="73"/>
      <c r="E126" s="73">
        <v>0</v>
      </c>
      <c r="F126" s="42">
        <v>0</v>
      </c>
      <c r="G126" s="42">
        <f t="shared" si="2"/>
        <v>0</v>
      </c>
      <c r="H126" s="2" t="s">
        <v>84</v>
      </c>
    </row>
    <row r="127" spans="1:8">
      <c r="A127" s="68" t="s">
        <v>856</v>
      </c>
      <c r="B127" s="73"/>
      <c r="C127" s="73"/>
      <c r="D127" s="73"/>
      <c r="E127" s="73">
        <v>0</v>
      </c>
      <c r="F127" s="42">
        <v>0</v>
      </c>
      <c r="G127" s="42">
        <f t="shared" si="2"/>
        <v>0</v>
      </c>
      <c r="H127" s="2" t="str">
        <f>VLOOKUP(A127,'MASTER 26 27'!A:B,2,0)</f>
        <v>Not Applicable</v>
      </c>
    </row>
    <row r="128" spans="1:8">
      <c r="A128" s="68" t="s">
        <v>1084</v>
      </c>
      <c r="B128" s="73">
        <v>36647.85</v>
      </c>
      <c r="C128" s="73"/>
      <c r="D128" s="73"/>
      <c r="E128" s="73">
        <v>36647.85</v>
      </c>
      <c r="F128" s="42">
        <v>0</v>
      </c>
      <c r="G128" s="42">
        <f t="shared" si="2"/>
        <v>36647.85</v>
      </c>
      <c r="H128" s="2" t="str">
        <f>VLOOKUP(A128,'MASTER 26 27'!A:B,2,0)</f>
        <v>Not Applicable</v>
      </c>
    </row>
    <row r="129" spans="1:8">
      <c r="A129" s="68" t="s">
        <v>251</v>
      </c>
      <c r="B129" s="73">
        <v>5897841.1200000001</v>
      </c>
      <c r="C129" s="73">
        <v>1272601.68</v>
      </c>
      <c r="D129" s="73">
        <v>500000</v>
      </c>
      <c r="E129" s="73">
        <v>6670442.7999999998</v>
      </c>
      <c r="F129" s="42">
        <v>0</v>
      </c>
      <c r="G129" s="42">
        <f t="shared" si="2"/>
        <v>6670442.7999999998</v>
      </c>
      <c r="H129" s="2" t="str">
        <f>VLOOKUP(A129,'MASTER 26 27'!A:B,2,0)</f>
        <v>Not Applicable</v>
      </c>
    </row>
    <row r="130" spans="1:8">
      <c r="A130" s="68" t="s">
        <v>262</v>
      </c>
      <c r="B130" s="73">
        <v>37315340.590000004</v>
      </c>
      <c r="C130" s="73"/>
      <c r="D130" s="73"/>
      <c r="E130" s="73">
        <v>37315340.590000004</v>
      </c>
      <c r="F130" s="42">
        <v>0</v>
      </c>
      <c r="G130" s="42">
        <f t="shared" si="2"/>
        <v>37315340.590000004</v>
      </c>
      <c r="H130" s="2" t="str">
        <f>VLOOKUP(A130,'MASTER 26 27'!A:B,2,0)</f>
        <v>Not Applicable</v>
      </c>
    </row>
    <row r="131" spans="1:8">
      <c r="A131" s="68" t="s">
        <v>263</v>
      </c>
      <c r="B131" s="73">
        <v>144441320.65000001</v>
      </c>
      <c r="C131" s="73"/>
      <c r="D131" s="73"/>
      <c r="E131" s="73">
        <v>144441320.65000001</v>
      </c>
      <c r="F131" s="42">
        <v>0</v>
      </c>
      <c r="G131" s="42">
        <f t="shared" si="2"/>
        <v>144441320.65000001</v>
      </c>
      <c r="H131" s="2" t="str">
        <f>VLOOKUP(A131,'MASTER 26 27'!A:B,2,0)</f>
        <v>Not Applicable</v>
      </c>
    </row>
    <row r="132" spans="1:8">
      <c r="A132" s="68" t="s">
        <v>264</v>
      </c>
      <c r="B132" s="73">
        <v>83440</v>
      </c>
      <c r="C132" s="73"/>
      <c r="D132" s="73"/>
      <c r="E132" s="73">
        <v>83440</v>
      </c>
      <c r="F132" s="42">
        <v>0</v>
      </c>
      <c r="G132" s="42">
        <f t="shared" si="2"/>
        <v>83440</v>
      </c>
      <c r="H132" s="2" t="str">
        <f>VLOOKUP(A132,'MASTER 26 27'!A:B,2,0)</f>
        <v>Not Applicable</v>
      </c>
    </row>
    <row r="133" spans="1:8">
      <c r="A133" s="68" t="s">
        <v>265</v>
      </c>
      <c r="B133" s="73">
        <v>-44800</v>
      </c>
      <c r="C133" s="73"/>
      <c r="D133" s="73"/>
      <c r="E133" s="73">
        <v>-44800</v>
      </c>
      <c r="F133" s="42">
        <v>0</v>
      </c>
      <c r="G133" s="42">
        <f t="shared" si="2"/>
        <v>-44800</v>
      </c>
      <c r="H133" s="2" t="str">
        <f>VLOOKUP(A133,'MASTER 26 27'!A:B,2,0)</f>
        <v>Not Applicable</v>
      </c>
    </row>
    <row r="134" spans="1:8">
      <c r="A134" s="68" t="s">
        <v>266</v>
      </c>
      <c r="B134" s="73">
        <v>4599669.7300000004</v>
      </c>
      <c r="C134" s="73"/>
      <c r="D134" s="73"/>
      <c r="E134" s="73">
        <v>4599669.7300000004</v>
      </c>
      <c r="F134" s="42">
        <v>0</v>
      </c>
      <c r="G134" s="42">
        <f t="shared" si="2"/>
        <v>4599669.7300000004</v>
      </c>
      <c r="H134" s="2" t="str">
        <f>VLOOKUP(A134,'MASTER 26 27'!A:B,2,0)</f>
        <v>Not Applicable</v>
      </c>
    </row>
    <row r="135" spans="1:8">
      <c r="A135" s="68" t="s">
        <v>1085</v>
      </c>
      <c r="B135" s="73"/>
      <c r="C135" s="73"/>
      <c r="D135" s="73"/>
      <c r="E135" s="73">
        <v>0</v>
      </c>
      <c r="F135" s="42">
        <v>0</v>
      </c>
      <c r="G135" s="42">
        <f t="shared" ref="G135:G198" si="3">+E135+F135</f>
        <v>0</v>
      </c>
      <c r="H135" s="2" t="str">
        <f>VLOOKUP(A135,'MASTER 26 27'!A:B,2,0)</f>
        <v>Not Applicable</v>
      </c>
    </row>
    <row r="136" spans="1:8">
      <c r="A136" s="68" t="s">
        <v>271</v>
      </c>
      <c r="B136" s="73">
        <v>1000</v>
      </c>
      <c r="C136" s="73"/>
      <c r="D136" s="73"/>
      <c r="E136" s="73">
        <v>1000</v>
      </c>
      <c r="F136" s="42">
        <v>0</v>
      </c>
      <c r="G136" s="42">
        <f t="shared" si="3"/>
        <v>1000</v>
      </c>
      <c r="H136" s="2" t="str">
        <f>VLOOKUP(A136,'MASTER 26 27'!A:B,2,0)</f>
        <v>Not Applicable</v>
      </c>
    </row>
    <row r="137" spans="1:8">
      <c r="A137" s="68" t="s">
        <v>1011</v>
      </c>
      <c r="B137" s="73">
        <v>42831</v>
      </c>
      <c r="C137" s="73"/>
      <c r="D137" s="73"/>
      <c r="E137" s="73">
        <v>42831</v>
      </c>
      <c r="F137" s="42">
        <v>0</v>
      </c>
      <c r="G137" s="42">
        <f t="shared" si="3"/>
        <v>42831</v>
      </c>
      <c r="H137" s="2" t="str">
        <f>VLOOKUP(A137,'MASTER 26 27'!A:B,2,0)</f>
        <v>Not Applicable</v>
      </c>
    </row>
    <row r="138" spans="1:8">
      <c r="A138" s="68" t="s">
        <v>275</v>
      </c>
      <c r="B138" s="73"/>
      <c r="C138" s="73"/>
      <c r="D138" s="73"/>
      <c r="E138" s="73">
        <v>0</v>
      </c>
      <c r="F138" s="42">
        <v>0</v>
      </c>
      <c r="G138" s="42">
        <f t="shared" si="3"/>
        <v>0</v>
      </c>
      <c r="H138" s="2" t="str">
        <f>VLOOKUP(A138,'MASTER 26 27'!A:B,2,0)</f>
        <v>Not Applicable</v>
      </c>
    </row>
    <row r="139" spans="1:8">
      <c r="A139" s="68" t="s">
        <v>272</v>
      </c>
      <c r="B139" s="73">
        <v>5253236.1500000004</v>
      </c>
      <c r="C139" s="73"/>
      <c r="D139" s="73"/>
      <c r="E139" s="73">
        <v>5253236.1500000004</v>
      </c>
      <c r="F139" s="42">
        <v>0</v>
      </c>
      <c r="G139" s="42">
        <f t="shared" si="3"/>
        <v>5253236.1500000004</v>
      </c>
      <c r="H139" s="2" t="str">
        <f>VLOOKUP(A139,'MASTER 26 27'!A:B,2,0)</f>
        <v>Not Applicable</v>
      </c>
    </row>
    <row r="140" spans="1:8">
      <c r="A140" s="68" t="s">
        <v>997</v>
      </c>
      <c r="B140" s="73">
        <v>790600</v>
      </c>
      <c r="C140" s="73"/>
      <c r="D140" s="73"/>
      <c r="E140" s="73">
        <v>790600</v>
      </c>
      <c r="F140" s="42">
        <v>0</v>
      </c>
      <c r="G140" s="42">
        <f t="shared" si="3"/>
        <v>790600</v>
      </c>
      <c r="H140" s="2" t="str">
        <f>VLOOKUP(A140,'MASTER 26 27'!A:B,2,0)</f>
        <v>Not Applicable</v>
      </c>
    </row>
    <row r="141" spans="1:8">
      <c r="A141" s="68" t="s">
        <v>1411</v>
      </c>
      <c r="B141" s="73"/>
      <c r="C141" s="73"/>
      <c r="D141" s="73"/>
      <c r="E141" s="73">
        <v>0</v>
      </c>
      <c r="F141" s="42">
        <v>0</v>
      </c>
      <c r="G141" s="42">
        <f t="shared" si="3"/>
        <v>0</v>
      </c>
      <c r="H141" s="2" t="s">
        <v>84</v>
      </c>
    </row>
    <row r="142" spans="1:8">
      <c r="A142" s="68" t="s">
        <v>278</v>
      </c>
      <c r="B142" s="73">
        <v>-41231265.590000004</v>
      </c>
      <c r="C142" s="73"/>
      <c r="D142" s="73"/>
      <c r="E142" s="73">
        <v>-41231265.590000004</v>
      </c>
      <c r="F142" s="42">
        <v>0</v>
      </c>
      <c r="G142" s="42">
        <f t="shared" si="3"/>
        <v>-41231265.590000004</v>
      </c>
      <c r="H142" s="2" t="str">
        <f>VLOOKUP(A142,'MASTER 26 27'!A:B,2,0)</f>
        <v>Not Applicable</v>
      </c>
    </row>
    <row r="143" spans="1:8">
      <c r="A143" s="68" t="s">
        <v>279</v>
      </c>
      <c r="B143" s="73">
        <v>2313539751.3099999</v>
      </c>
      <c r="C143" s="73">
        <v>8047429.8399999999</v>
      </c>
      <c r="D143" s="73"/>
      <c r="E143" s="73">
        <v>2321587181.1500001</v>
      </c>
      <c r="F143" s="42">
        <v>0</v>
      </c>
      <c r="G143" s="42">
        <f t="shared" si="3"/>
        <v>2321587181.1500001</v>
      </c>
      <c r="H143" s="2" t="str">
        <f>VLOOKUP(A143,'MASTER 26 27'!A:B,2,0)</f>
        <v>Not Applicable</v>
      </c>
    </row>
    <row r="144" spans="1:8">
      <c r="A144" s="68" t="s">
        <v>280</v>
      </c>
      <c r="B144" s="73">
        <v>14907.1</v>
      </c>
      <c r="C144" s="73"/>
      <c r="D144" s="73"/>
      <c r="E144" s="73">
        <v>14907.1</v>
      </c>
      <c r="F144" s="42">
        <v>0</v>
      </c>
      <c r="G144" s="42">
        <f t="shared" si="3"/>
        <v>14907.1</v>
      </c>
      <c r="H144" s="2" t="str">
        <f>VLOOKUP(A144,'MASTER 26 27'!A:B,2,0)</f>
        <v>Not Applicable</v>
      </c>
    </row>
    <row r="145" spans="1:8">
      <c r="A145" s="68" t="s">
        <v>1412</v>
      </c>
      <c r="B145" s="73"/>
      <c r="C145" s="73"/>
      <c r="D145" s="73"/>
      <c r="E145" s="73">
        <v>0</v>
      </c>
      <c r="F145" s="42">
        <v>0</v>
      </c>
      <c r="G145" s="42">
        <f t="shared" si="3"/>
        <v>0</v>
      </c>
      <c r="H145" s="2" t="s">
        <v>84</v>
      </c>
    </row>
    <row r="146" spans="1:8">
      <c r="A146" s="68" t="s">
        <v>281</v>
      </c>
      <c r="B146" s="73">
        <v>334761187.47000003</v>
      </c>
      <c r="C146" s="73"/>
      <c r="D146" s="73"/>
      <c r="E146" s="73">
        <v>334761187.47000003</v>
      </c>
      <c r="F146" s="42">
        <v>0</v>
      </c>
      <c r="G146" s="42">
        <f t="shared" si="3"/>
        <v>334761187.47000003</v>
      </c>
      <c r="H146" s="2" t="str">
        <f>VLOOKUP(A146,'MASTER 26 27'!A:B,2,0)</f>
        <v>Not Applicable</v>
      </c>
    </row>
    <row r="147" spans="1:8">
      <c r="A147" s="68" t="s">
        <v>282</v>
      </c>
      <c r="B147" s="73">
        <v>190645194.84999999</v>
      </c>
      <c r="C147" s="73"/>
      <c r="D147" s="73"/>
      <c r="E147" s="73">
        <v>190645194.84999999</v>
      </c>
      <c r="F147" s="42">
        <v>0</v>
      </c>
      <c r="G147" s="42">
        <f t="shared" si="3"/>
        <v>190645194.84999999</v>
      </c>
      <c r="H147" s="2" t="str">
        <f>VLOOKUP(A147,'MASTER 26 27'!A:B,2,0)</f>
        <v>Not Applicable</v>
      </c>
    </row>
    <row r="148" spans="1:8">
      <c r="A148" s="68" t="s">
        <v>284</v>
      </c>
      <c r="B148" s="73">
        <v>1250730553.02</v>
      </c>
      <c r="C148" s="73">
        <v>20674785.18</v>
      </c>
      <c r="D148" s="73"/>
      <c r="E148" s="73">
        <v>1271405338.2</v>
      </c>
      <c r="F148" s="42">
        <v>0</v>
      </c>
      <c r="G148" s="42">
        <f t="shared" si="3"/>
        <v>1271405338.2</v>
      </c>
      <c r="H148" s="2" t="str">
        <f>VLOOKUP(A148,'MASTER 26 27'!A:B,2,0)</f>
        <v>Not Applicable</v>
      </c>
    </row>
    <row r="149" spans="1:8">
      <c r="A149" s="68" t="s">
        <v>998</v>
      </c>
      <c r="B149" s="73">
        <v>458670</v>
      </c>
      <c r="C149" s="73"/>
      <c r="D149" s="73"/>
      <c r="E149" s="73">
        <v>458670</v>
      </c>
      <c r="F149" s="42">
        <v>0</v>
      </c>
      <c r="G149" s="42">
        <f t="shared" si="3"/>
        <v>458670</v>
      </c>
      <c r="H149" s="2" t="str">
        <f>VLOOKUP(A149,'MASTER 26 27'!A:B,2,0)</f>
        <v>Not Applicable</v>
      </c>
    </row>
    <row r="150" spans="1:8">
      <c r="A150" s="68" t="s">
        <v>292</v>
      </c>
      <c r="B150" s="73">
        <v>580857.16</v>
      </c>
      <c r="C150" s="73"/>
      <c r="D150" s="73"/>
      <c r="E150" s="73">
        <v>580857.16</v>
      </c>
      <c r="F150" s="42">
        <v>0</v>
      </c>
      <c r="G150" s="42">
        <f t="shared" si="3"/>
        <v>580857.16</v>
      </c>
      <c r="H150" s="2" t="str">
        <f>VLOOKUP(A150,'MASTER 26 27'!A:B,2,0)</f>
        <v>Not Applicable</v>
      </c>
    </row>
    <row r="151" spans="1:8">
      <c r="A151" s="68" t="s">
        <v>957</v>
      </c>
      <c r="B151" s="73">
        <v>0.6</v>
      </c>
      <c r="C151" s="73"/>
      <c r="D151" s="73"/>
      <c r="E151" s="73">
        <v>0.6</v>
      </c>
      <c r="F151" s="42">
        <v>0</v>
      </c>
      <c r="G151" s="42">
        <f t="shared" si="3"/>
        <v>0.6</v>
      </c>
      <c r="H151" s="2" t="str">
        <f>VLOOKUP(A151,'MASTER 26 27'!A:B,2,0)</f>
        <v>Not Applicable</v>
      </c>
    </row>
    <row r="152" spans="1:8">
      <c r="A152" s="68" t="s">
        <v>1002</v>
      </c>
      <c r="B152" s="73">
        <v>1631313.83</v>
      </c>
      <c r="C152" s="73"/>
      <c r="D152" s="73"/>
      <c r="E152" s="73">
        <v>1631313.83</v>
      </c>
      <c r="F152" s="42">
        <v>0</v>
      </c>
      <c r="G152" s="42">
        <f t="shared" si="3"/>
        <v>1631313.83</v>
      </c>
      <c r="H152" s="2" t="str">
        <f>VLOOKUP(A152,'MASTER 26 27'!A:B,2,0)</f>
        <v>Not Applicable</v>
      </c>
    </row>
    <row r="153" spans="1:8">
      <c r="A153" s="68" t="s">
        <v>918</v>
      </c>
      <c r="B153" s="73"/>
      <c r="C153" s="73"/>
      <c r="D153" s="73"/>
      <c r="E153" s="73">
        <v>0</v>
      </c>
      <c r="F153" s="42">
        <v>0</v>
      </c>
      <c r="G153" s="42">
        <f t="shared" si="3"/>
        <v>0</v>
      </c>
      <c r="H153" s="2" t="str">
        <f>VLOOKUP(A153,'MASTER 26 27'!A:B,2,0)</f>
        <v>Not Applicable</v>
      </c>
    </row>
    <row r="154" spans="1:8">
      <c r="A154" s="68" t="s">
        <v>299</v>
      </c>
      <c r="B154" s="73"/>
      <c r="C154" s="73"/>
      <c r="D154" s="73"/>
      <c r="E154" s="73">
        <v>0</v>
      </c>
      <c r="F154" s="42">
        <v>0</v>
      </c>
      <c r="G154" s="42">
        <f t="shared" si="3"/>
        <v>0</v>
      </c>
      <c r="H154" s="2" t="str">
        <f>VLOOKUP(A154,'MASTER 26 27'!A:B,2,0)</f>
        <v>Not Applicable</v>
      </c>
    </row>
    <row r="155" spans="1:8">
      <c r="A155" s="68" t="s">
        <v>1413</v>
      </c>
      <c r="B155" s="73"/>
      <c r="C155" s="73"/>
      <c r="D155" s="73"/>
      <c r="E155" s="73">
        <v>0</v>
      </c>
      <c r="F155" s="42">
        <v>0</v>
      </c>
      <c r="G155" s="42">
        <f t="shared" si="3"/>
        <v>0</v>
      </c>
      <c r="H155" s="2" t="s">
        <v>84</v>
      </c>
    </row>
    <row r="156" spans="1:8">
      <c r="A156" s="68" t="s">
        <v>302</v>
      </c>
      <c r="B156" s="73"/>
      <c r="C156" s="73"/>
      <c r="D156" s="73"/>
      <c r="E156" s="73">
        <v>0</v>
      </c>
      <c r="F156" s="42">
        <v>0</v>
      </c>
      <c r="G156" s="42">
        <f t="shared" si="3"/>
        <v>0</v>
      </c>
      <c r="H156" s="2" t="str">
        <f>VLOOKUP(A156,'MASTER 26 27'!A:B,2,0)</f>
        <v>Not Applicable</v>
      </c>
    </row>
    <row r="157" spans="1:8">
      <c r="A157" s="68" t="s">
        <v>313</v>
      </c>
      <c r="B157" s="73"/>
      <c r="C157" s="73"/>
      <c r="D157" s="73"/>
      <c r="E157" s="73">
        <v>0</v>
      </c>
      <c r="F157" s="42">
        <v>0</v>
      </c>
      <c r="G157" s="42">
        <f t="shared" si="3"/>
        <v>0</v>
      </c>
      <c r="H157" s="2" t="str">
        <f>VLOOKUP(A157,'MASTER 26 27'!A:B,2,0)</f>
        <v>Not Applicable</v>
      </c>
    </row>
    <row r="158" spans="1:8">
      <c r="A158" s="68" t="s">
        <v>314</v>
      </c>
      <c r="B158" s="73">
        <v>0.21</v>
      </c>
      <c r="C158" s="73"/>
      <c r="D158" s="73"/>
      <c r="E158" s="73">
        <v>0.21</v>
      </c>
      <c r="F158" s="42">
        <v>0</v>
      </c>
      <c r="G158" s="42">
        <f t="shared" si="3"/>
        <v>0.21</v>
      </c>
      <c r="H158" s="2" t="str">
        <f>VLOOKUP(A158,'MASTER 26 27'!A:B,2,0)</f>
        <v>Not Applicable</v>
      </c>
    </row>
    <row r="159" spans="1:8">
      <c r="A159" s="68" t="s">
        <v>1156</v>
      </c>
      <c r="B159" s="73">
        <v>0.4</v>
      </c>
      <c r="C159" s="73"/>
      <c r="D159" s="73"/>
      <c r="E159" s="73">
        <v>0.4</v>
      </c>
      <c r="F159" s="42">
        <v>0</v>
      </c>
      <c r="G159" s="42">
        <f t="shared" si="3"/>
        <v>0.4</v>
      </c>
      <c r="H159" s="2" t="str">
        <f>VLOOKUP(A159,'MASTER 26 27'!A:B,2,0)</f>
        <v>Not Applicable</v>
      </c>
    </row>
    <row r="160" spans="1:8">
      <c r="A160" s="68" t="s">
        <v>1414</v>
      </c>
      <c r="B160" s="73"/>
      <c r="C160" s="73"/>
      <c r="D160" s="73"/>
      <c r="E160" s="73">
        <v>0</v>
      </c>
      <c r="F160" s="42">
        <v>0</v>
      </c>
      <c r="G160" s="42">
        <f t="shared" si="3"/>
        <v>0</v>
      </c>
      <c r="H160" s="2" t="s">
        <v>84</v>
      </c>
    </row>
    <row r="161" spans="1:8">
      <c r="A161" s="68" t="s">
        <v>1415</v>
      </c>
      <c r="B161" s="73"/>
      <c r="C161" s="73"/>
      <c r="D161" s="73"/>
      <c r="E161" s="73">
        <v>0</v>
      </c>
      <c r="F161" s="42">
        <v>0</v>
      </c>
      <c r="G161" s="42">
        <f t="shared" si="3"/>
        <v>0</v>
      </c>
      <c r="H161" s="2" t="s">
        <v>84</v>
      </c>
    </row>
    <row r="162" spans="1:8">
      <c r="A162" s="68" t="s">
        <v>1029</v>
      </c>
      <c r="B162" s="73"/>
      <c r="C162" s="73"/>
      <c r="D162" s="73"/>
      <c r="E162" s="73">
        <v>0</v>
      </c>
      <c r="F162" s="42">
        <v>0</v>
      </c>
      <c r="G162" s="42">
        <f t="shared" si="3"/>
        <v>0</v>
      </c>
      <c r="H162" s="2" t="str">
        <f>VLOOKUP(A162,'MASTER 26 27'!A:B,2,0)</f>
        <v>Not Applicable</v>
      </c>
    </row>
    <row r="163" spans="1:8">
      <c r="A163" s="68" t="s">
        <v>315</v>
      </c>
      <c r="B163" s="73"/>
      <c r="C163" s="73"/>
      <c r="D163" s="73"/>
      <c r="E163" s="73">
        <v>0</v>
      </c>
      <c r="F163" s="42">
        <v>0</v>
      </c>
      <c r="G163" s="42">
        <f t="shared" si="3"/>
        <v>0</v>
      </c>
      <c r="H163" s="2" t="str">
        <f>VLOOKUP(A163,'MASTER 26 27'!A:B,2,0)</f>
        <v>Not Applicable</v>
      </c>
    </row>
    <row r="164" spans="1:8">
      <c r="A164" s="68" t="s">
        <v>316</v>
      </c>
      <c r="B164" s="73"/>
      <c r="C164" s="73"/>
      <c r="D164" s="73"/>
      <c r="E164" s="73">
        <v>0</v>
      </c>
      <c r="F164" s="42">
        <v>0</v>
      </c>
      <c r="G164" s="42">
        <f t="shared" si="3"/>
        <v>0</v>
      </c>
      <c r="H164" s="2" t="str">
        <f>VLOOKUP(A164,'MASTER 26 27'!A:B,2,0)</f>
        <v>Not Applicable</v>
      </c>
    </row>
    <row r="165" spans="1:8">
      <c r="A165" s="68" t="s">
        <v>1030</v>
      </c>
      <c r="B165" s="73"/>
      <c r="C165" s="73"/>
      <c r="D165" s="73"/>
      <c r="E165" s="73">
        <v>0</v>
      </c>
      <c r="F165" s="42">
        <v>0</v>
      </c>
      <c r="G165" s="42">
        <f t="shared" si="3"/>
        <v>0</v>
      </c>
      <c r="H165" s="2" t="str">
        <f>VLOOKUP(A165,'MASTER 26 27'!A:B,2,0)</f>
        <v>Not Applicable</v>
      </c>
    </row>
    <row r="166" spans="1:8">
      <c r="A166" s="68" t="s">
        <v>999</v>
      </c>
      <c r="B166" s="73">
        <v>5927.06</v>
      </c>
      <c r="C166" s="73"/>
      <c r="D166" s="73"/>
      <c r="E166" s="73">
        <v>5927.06</v>
      </c>
      <c r="F166" s="42">
        <v>0</v>
      </c>
      <c r="G166" s="42">
        <f t="shared" si="3"/>
        <v>5927.06</v>
      </c>
      <c r="H166" s="2" t="str">
        <f>VLOOKUP(A166,'MASTER 26 27'!A:B,2,0)</f>
        <v>Not Applicable</v>
      </c>
    </row>
    <row r="167" spans="1:8">
      <c r="A167" s="68" t="s">
        <v>328</v>
      </c>
      <c r="B167" s="73"/>
      <c r="C167" s="73"/>
      <c r="D167" s="73"/>
      <c r="E167" s="73">
        <v>0</v>
      </c>
      <c r="F167" s="42">
        <v>0</v>
      </c>
      <c r="G167" s="42">
        <f t="shared" si="3"/>
        <v>0</v>
      </c>
      <c r="H167" s="2" t="str">
        <f>VLOOKUP(A167,'MASTER 26 27'!A:B,2,0)</f>
        <v>Not Applicable</v>
      </c>
    </row>
    <row r="168" spans="1:8">
      <c r="A168" s="68" t="s">
        <v>1021</v>
      </c>
      <c r="B168" s="73">
        <v>43680</v>
      </c>
      <c r="C168" s="73"/>
      <c r="D168" s="73"/>
      <c r="E168" s="73">
        <v>43680</v>
      </c>
      <c r="F168" s="42">
        <v>0</v>
      </c>
      <c r="G168" s="42">
        <f t="shared" si="3"/>
        <v>43680</v>
      </c>
      <c r="H168" s="2" t="str">
        <f>VLOOKUP(A168,'MASTER 26 27'!A:B,2,0)</f>
        <v>Not Applicable</v>
      </c>
    </row>
    <row r="169" spans="1:8">
      <c r="A169" s="68" t="s">
        <v>1255</v>
      </c>
      <c r="B169" s="73">
        <v>660271.35999999999</v>
      </c>
      <c r="C169" s="73">
        <v>169827.96</v>
      </c>
      <c r="D169" s="73">
        <v>368516</v>
      </c>
      <c r="E169" s="73">
        <v>461583.32</v>
      </c>
      <c r="F169" s="42">
        <v>0</v>
      </c>
      <c r="G169" s="42">
        <f t="shared" si="3"/>
        <v>461583.32</v>
      </c>
      <c r="H169" s="2" t="str">
        <f>VLOOKUP(A169,'MASTER 26 27'!A:B,2,0)</f>
        <v>Not Applicable</v>
      </c>
    </row>
    <row r="170" spans="1:8">
      <c r="A170" s="68" t="s">
        <v>1416</v>
      </c>
      <c r="B170" s="73"/>
      <c r="C170" s="73"/>
      <c r="D170" s="73"/>
      <c r="E170" s="73">
        <v>0</v>
      </c>
      <c r="F170" s="42">
        <v>0</v>
      </c>
      <c r="G170" s="42">
        <f t="shared" si="3"/>
        <v>0</v>
      </c>
      <c r="H170" s="2" t="s">
        <v>84</v>
      </c>
    </row>
    <row r="171" spans="1:8">
      <c r="A171" s="68" t="s">
        <v>350</v>
      </c>
      <c r="B171" s="73">
        <v>2043</v>
      </c>
      <c r="C171" s="73"/>
      <c r="D171" s="73"/>
      <c r="E171" s="73">
        <v>2043</v>
      </c>
      <c r="F171" s="42">
        <v>0</v>
      </c>
      <c r="G171" s="42">
        <f t="shared" si="3"/>
        <v>2043</v>
      </c>
      <c r="H171" s="2" t="str">
        <f>VLOOKUP(A171,'MASTER 26 27'!A:B,2,0)</f>
        <v>Not Applicable</v>
      </c>
    </row>
    <row r="172" spans="1:8">
      <c r="A172" s="68" t="s">
        <v>351</v>
      </c>
      <c r="B172" s="73"/>
      <c r="C172" s="73"/>
      <c r="D172" s="73"/>
      <c r="E172" s="73">
        <v>0</v>
      </c>
      <c r="F172" s="42">
        <v>0</v>
      </c>
      <c r="G172" s="42">
        <f t="shared" si="3"/>
        <v>0</v>
      </c>
      <c r="H172" s="2" t="str">
        <f>VLOOKUP(A172,'MASTER 26 27'!A:B,2,0)</f>
        <v>Not Applicable</v>
      </c>
    </row>
    <row r="173" spans="1:8">
      <c r="A173" s="68" t="s">
        <v>922</v>
      </c>
      <c r="B173" s="73"/>
      <c r="C173" s="73"/>
      <c r="D173" s="73"/>
      <c r="E173" s="73">
        <v>0</v>
      </c>
      <c r="F173" s="42">
        <v>0</v>
      </c>
      <c r="G173" s="42">
        <f t="shared" si="3"/>
        <v>0</v>
      </c>
      <c r="H173" s="2" t="str">
        <f>VLOOKUP(A173,'MASTER 26 27'!A:B,2,0)</f>
        <v>Not Applicable</v>
      </c>
    </row>
    <row r="174" spans="1:8">
      <c r="A174" s="68" t="s">
        <v>83</v>
      </c>
      <c r="B174" s="73"/>
      <c r="C174" s="73"/>
      <c r="D174" s="73"/>
      <c r="E174" s="73">
        <v>0</v>
      </c>
      <c r="F174" s="42">
        <v>0</v>
      </c>
      <c r="G174" s="42">
        <f t="shared" si="3"/>
        <v>0</v>
      </c>
      <c r="H174" s="2" t="str">
        <f>VLOOKUP(A174,'MASTER 26 27'!A:B,2,0)</f>
        <v>Not Applicable</v>
      </c>
    </row>
    <row r="175" spans="1:8">
      <c r="A175" s="68" t="s">
        <v>88</v>
      </c>
      <c r="B175" s="73"/>
      <c r="C175" s="73"/>
      <c r="D175" s="73"/>
      <c r="E175" s="73">
        <v>0</v>
      </c>
      <c r="F175" s="42">
        <v>0</v>
      </c>
      <c r="G175" s="42">
        <f t="shared" si="3"/>
        <v>0</v>
      </c>
      <c r="H175" s="2" t="str">
        <f>VLOOKUP(A175,'MASTER 26 27'!A:B,2,0)</f>
        <v>Not Applicable</v>
      </c>
    </row>
    <row r="176" spans="1:8">
      <c r="A176" s="68" t="s">
        <v>90</v>
      </c>
      <c r="B176" s="73"/>
      <c r="C176" s="73"/>
      <c r="D176" s="73"/>
      <c r="E176" s="73">
        <v>0</v>
      </c>
      <c r="F176" s="42">
        <v>0</v>
      </c>
      <c r="G176" s="42">
        <f t="shared" si="3"/>
        <v>0</v>
      </c>
      <c r="H176" s="2" t="str">
        <f>VLOOKUP(A176,'MASTER 26 27'!A:B,2,0)</f>
        <v>Not Applicable</v>
      </c>
    </row>
    <row r="177" spans="1:8">
      <c r="A177" s="68" t="s">
        <v>96</v>
      </c>
      <c r="B177" s="73"/>
      <c r="C177" s="73"/>
      <c r="D177" s="73"/>
      <c r="E177" s="73">
        <v>0</v>
      </c>
      <c r="F177" s="42">
        <v>0</v>
      </c>
      <c r="G177" s="42">
        <f t="shared" si="3"/>
        <v>0</v>
      </c>
      <c r="H177" s="2" t="str">
        <f>VLOOKUP(A177,'MASTER 26 27'!A:B,2,0)</f>
        <v>Not Applicable</v>
      </c>
    </row>
    <row r="178" spans="1:8">
      <c r="A178" s="68" t="s">
        <v>1281</v>
      </c>
      <c r="B178" s="73">
        <v>511492.5</v>
      </c>
      <c r="C178" s="73"/>
      <c r="D178" s="73"/>
      <c r="E178" s="73">
        <v>511492.5</v>
      </c>
      <c r="F178" s="42">
        <v>0</v>
      </c>
      <c r="G178" s="42">
        <f t="shared" si="3"/>
        <v>511492.5</v>
      </c>
      <c r="H178" s="2" t="str">
        <f>VLOOKUP(A178,'MASTER 26 27'!A:B,2,0)</f>
        <v>Not Applicable</v>
      </c>
    </row>
    <row r="179" spans="1:8">
      <c r="A179" s="68" t="s">
        <v>98</v>
      </c>
      <c r="B179" s="73"/>
      <c r="C179" s="73"/>
      <c r="D179" s="73"/>
      <c r="E179" s="73">
        <v>0</v>
      </c>
      <c r="F179" s="42">
        <v>0</v>
      </c>
      <c r="G179" s="42">
        <f t="shared" si="3"/>
        <v>0</v>
      </c>
      <c r="H179" s="2" t="str">
        <f>VLOOKUP(A179,'MASTER 26 27'!A:B,2,0)</f>
        <v>Not Applicable</v>
      </c>
    </row>
    <row r="180" spans="1:8">
      <c r="A180" s="68" t="s">
        <v>100</v>
      </c>
      <c r="B180" s="73"/>
      <c r="C180" s="73"/>
      <c r="D180" s="73"/>
      <c r="E180" s="73">
        <v>0</v>
      </c>
      <c r="F180" s="42">
        <v>0</v>
      </c>
      <c r="G180" s="42">
        <f t="shared" si="3"/>
        <v>0</v>
      </c>
      <c r="H180" s="2" t="str">
        <f>VLOOKUP(A180,'MASTER 26 27'!A:B,2,0)</f>
        <v>Not Applicable</v>
      </c>
    </row>
    <row r="181" spans="1:8">
      <c r="A181" s="68" t="s">
        <v>113</v>
      </c>
      <c r="B181" s="73"/>
      <c r="C181" s="73"/>
      <c r="D181" s="73"/>
      <c r="E181" s="73">
        <v>0</v>
      </c>
      <c r="F181" s="42">
        <v>0</v>
      </c>
      <c r="G181" s="42">
        <f t="shared" si="3"/>
        <v>0</v>
      </c>
      <c r="H181" s="2" t="str">
        <f>VLOOKUP(A181,'MASTER 26 27'!A:B,2,0)</f>
        <v>Not Applicable</v>
      </c>
    </row>
    <row r="182" spans="1:8">
      <c r="A182" s="68" t="s">
        <v>120</v>
      </c>
      <c r="B182" s="73"/>
      <c r="C182" s="73"/>
      <c r="D182" s="73"/>
      <c r="E182" s="73">
        <v>0</v>
      </c>
      <c r="F182" s="42">
        <v>0</v>
      </c>
      <c r="G182" s="42">
        <f t="shared" si="3"/>
        <v>0</v>
      </c>
      <c r="H182" s="2" t="str">
        <f>VLOOKUP(A182,'MASTER 26 27'!A:B,2,0)</f>
        <v>Not Applicable</v>
      </c>
    </row>
    <row r="183" spans="1:8">
      <c r="A183" s="68" t="s">
        <v>1330</v>
      </c>
      <c r="B183" s="73">
        <v>3205673.42</v>
      </c>
      <c r="C183" s="73"/>
      <c r="D183" s="73"/>
      <c r="E183" s="73">
        <v>3205673.42</v>
      </c>
      <c r="F183" s="42">
        <v>0</v>
      </c>
      <c r="G183" s="42">
        <f t="shared" si="3"/>
        <v>3205673.42</v>
      </c>
      <c r="H183" s="2" t="str">
        <f>VLOOKUP(A183,'MASTER 26 27'!A:B,2,0)</f>
        <v>Not Applicable</v>
      </c>
    </row>
    <row r="184" spans="1:8">
      <c r="A184" s="68" t="s">
        <v>892</v>
      </c>
      <c r="B184" s="73">
        <v>0.04</v>
      </c>
      <c r="C184" s="73"/>
      <c r="D184" s="73"/>
      <c r="E184" s="73">
        <v>0.04</v>
      </c>
      <c r="F184" s="42">
        <v>0</v>
      </c>
      <c r="G184" s="42">
        <f t="shared" si="3"/>
        <v>0.04</v>
      </c>
      <c r="H184" s="2" t="str">
        <f>VLOOKUP(A184,'MASTER 26 27'!A:B,2,0)</f>
        <v>Not Applicable</v>
      </c>
    </row>
    <row r="185" spans="1:8">
      <c r="A185" s="68" t="s">
        <v>893</v>
      </c>
      <c r="B185" s="73">
        <v>3886371.7</v>
      </c>
      <c r="C185" s="73"/>
      <c r="D185" s="73"/>
      <c r="E185" s="73">
        <v>3886371.7</v>
      </c>
      <c r="F185" s="42">
        <v>0</v>
      </c>
      <c r="G185" s="42">
        <f t="shared" si="3"/>
        <v>3886371.7</v>
      </c>
      <c r="H185" s="2" t="str">
        <f>VLOOKUP(A185,'MASTER 26 27'!A:B,2,0)</f>
        <v>Not Applicable</v>
      </c>
    </row>
    <row r="186" spans="1:8">
      <c r="A186" s="68" t="s">
        <v>121</v>
      </c>
      <c r="B186" s="73">
        <v>1401640</v>
      </c>
      <c r="C186" s="73"/>
      <c r="D186" s="73">
        <v>1432063.84</v>
      </c>
      <c r="E186" s="73">
        <v>-30423.84</v>
      </c>
      <c r="F186" s="42">
        <v>0</v>
      </c>
      <c r="G186" s="42">
        <f t="shared" si="3"/>
        <v>-30423.84</v>
      </c>
      <c r="H186" s="2" t="str">
        <f>VLOOKUP(A186,'MASTER 26 27'!A:B,2,0)</f>
        <v>Not Applicable</v>
      </c>
    </row>
    <row r="187" spans="1:8">
      <c r="A187" s="68" t="s">
        <v>122</v>
      </c>
      <c r="B187" s="73">
        <v>26659540.510000002</v>
      </c>
      <c r="C187" s="73"/>
      <c r="D187" s="73">
        <v>3315141</v>
      </c>
      <c r="E187" s="73">
        <v>23344399.510000002</v>
      </c>
      <c r="F187" s="42">
        <v>0</v>
      </c>
      <c r="G187" s="42">
        <f t="shared" si="3"/>
        <v>23344399.510000002</v>
      </c>
      <c r="H187" s="2" t="str">
        <f>VLOOKUP(A187,'MASTER 26 27'!A:B,2,0)</f>
        <v>Not Applicable</v>
      </c>
    </row>
    <row r="188" spans="1:8">
      <c r="A188" s="68" t="s">
        <v>126</v>
      </c>
      <c r="B188" s="73"/>
      <c r="C188" s="73"/>
      <c r="D188" s="73"/>
      <c r="E188" s="73">
        <v>0</v>
      </c>
      <c r="F188" s="42">
        <v>0</v>
      </c>
      <c r="G188" s="42">
        <f t="shared" si="3"/>
        <v>0</v>
      </c>
      <c r="H188" s="2" t="str">
        <f>VLOOKUP(A188,'MASTER 26 27'!A:B,2,0)</f>
        <v>Not Applicable</v>
      </c>
    </row>
    <row r="189" spans="1:8">
      <c r="A189" s="68" t="s">
        <v>132</v>
      </c>
      <c r="B189" s="73">
        <v>3151699.2</v>
      </c>
      <c r="C189" s="73"/>
      <c r="D189" s="73"/>
      <c r="E189" s="73">
        <v>3151699.2</v>
      </c>
      <c r="F189" s="42">
        <v>0</v>
      </c>
      <c r="G189" s="42">
        <f t="shared" si="3"/>
        <v>3151699.2</v>
      </c>
      <c r="H189" s="2" t="str">
        <f>VLOOKUP(A189,'MASTER 26 27'!A:B,2,0)</f>
        <v>Not Applicable</v>
      </c>
    </row>
    <row r="190" spans="1:8">
      <c r="A190" s="68" t="s">
        <v>133</v>
      </c>
      <c r="B190" s="73"/>
      <c r="C190" s="73"/>
      <c r="D190" s="73"/>
      <c r="E190" s="73">
        <v>0</v>
      </c>
      <c r="F190" s="42">
        <v>0</v>
      </c>
      <c r="G190" s="42">
        <f t="shared" si="3"/>
        <v>0</v>
      </c>
      <c r="H190" s="2" t="str">
        <f>VLOOKUP(A190,'MASTER 26 27'!A:B,2,0)</f>
        <v>Not Applicable</v>
      </c>
    </row>
    <row r="191" spans="1:8">
      <c r="A191" s="68" t="s">
        <v>134</v>
      </c>
      <c r="B191" s="73"/>
      <c r="C191" s="73"/>
      <c r="D191" s="73"/>
      <c r="E191" s="73">
        <v>0</v>
      </c>
      <c r="F191" s="42">
        <v>0</v>
      </c>
      <c r="G191" s="42">
        <f t="shared" si="3"/>
        <v>0</v>
      </c>
      <c r="H191" s="2" t="str">
        <f>VLOOKUP(A191,'MASTER 26 27'!A:B,2,0)</f>
        <v>Not Applicable</v>
      </c>
    </row>
    <row r="192" spans="1:8">
      <c r="A192" s="68" t="s">
        <v>135</v>
      </c>
      <c r="B192" s="73"/>
      <c r="C192" s="73"/>
      <c r="D192" s="73"/>
      <c r="E192" s="73">
        <v>0</v>
      </c>
      <c r="F192" s="42">
        <v>0</v>
      </c>
      <c r="G192" s="42">
        <f t="shared" si="3"/>
        <v>0</v>
      </c>
      <c r="H192" s="2" t="str">
        <f>VLOOKUP(A192,'MASTER 26 27'!A:B,2,0)</f>
        <v>Not Applicable</v>
      </c>
    </row>
    <row r="193" spans="1:8">
      <c r="A193" s="68" t="s">
        <v>1417</v>
      </c>
      <c r="B193" s="73"/>
      <c r="C193" s="73"/>
      <c r="D193" s="73"/>
      <c r="E193" s="73">
        <v>0</v>
      </c>
      <c r="F193" s="42">
        <v>0</v>
      </c>
      <c r="G193" s="42">
        <f t="shared" si="3"/>
        <v>0</v>
      </c>
      <c r="H193" s="2" t="s">
        <v>84</v>
      </c>
    </row>
    <row r="194" spans="1:8">
      <c r="A194" s="68" t="s">
        <v>137</v>
      </c>
      <c r="B194" s="73"/>
      <c r="C194" s="73"/>
      <c r="D194" s="73"/>
      <c r="E194" s="73">
        <v>0</v>
      </c>
      <c r="F194" s="42">
        <v>0</v>
      </c>
      <c r="G194" s="42">
        <f t="shared" si="3"/>
        <v>0</v>
      </c>
      <c r="H194" s="2" t="str">
        <f>VLOOKUP(A194,'MASTER 26 27'!A:B,2,0)</f>
        <v>Not Applicable</v>
      </c>
    </row>
    <row r="195" spans="1:8">
      <c r="A195" s="68" t="s">
        <v>138</v>
      </c>
      <c r="B195" s="73"/>
      <c r="C195" s="73"/>
      <c r="D195" s="73"/>
      <c r="E195" s="73">
        <v>0</v>
      </c>
      <c r="F195" s="42">
        <v>0</v>
      </c>
      <c r="G195" s="42">
        <f t="shared" si="3"/>
        <v>0</v>
      </c>
      <c r="H195" s="2" t="str">
        <f>VLOOKUP(A195,'MASTER 26 27'!A:B,2,0)</f>
        <v>Not Applicable</v>
      </c>
    </row>
    <row r="196" spans="1:8">
      <c r="A196" s="68" t="s">
        <v>152</v>
      </c>
      <c r="B196" s="73"/>
      <c r="C196" s="73"/>
      <c r="D196" s="73"/>
      <c r="E196" s="73">
        <v>0</v>
      </c>
      <c r="F196" s="42">
        <v>0</v>
      </c>
      <c r="G196" s="42">
        <f t="shared" si="3"/>
        <v>0</v>
      </c>
      <c r="H196" s="2" t="str">
        <f>VLOOKUP(A196,'MASTER 26 27'!A:B,2,0)</f>
        <v>Not Applicable</v>
      </c>
    </row>
    <row r="197" spans="1:8">
      <c r="A197" s="68" t="s">
        <v>894</v>
      </c>
      <c r="B197" s="73"/>
      <c r="C197" s="73"/>
      <c r="D197" s="73"/>
      <c r="E197" s="73">
        <v>0</v>
      </c>
      <c r="F197" s="42">
        <v>0</v>
      </c>
      <c r="G197" s="42">
        <f t="shared" si="3"/>
        <v>0</v>
      </c>
      <c r="H197" s="2" t="str">
        <f>VLOOKUP(A197,'MASTER 26 27'!A:B,2,0)</f>
        <v>Not Applicable</v>
      </c>
    </row>
    <row r="198" spans="1:8">
      <c r="A198" s="68" t="s">
        <v>154</v>
      </c>
      <c r="B198" s="73"/>
      <c r="C198" s="73"/>
      <c r="D198" s="73"/>
      <c r="E198" s="73">
        <v>0</v>
      </c>
      <c r="F198" s="42">
        <v>0</v>
      </c>
      <c r="G198" s="42">
        <f t="shared" si="3"/>
        <v>0</v>
      </c>
      <c r="H198" s="2" t="str">
        <f>VLOOKUP(A198,'MASTER 26 27'!A:B,2,0)</f>
        <v>Not Applicable</v>
      </c>
    </row>
    <row r="199" spans="1:8">
      <c r="A199" s="68" t="s">
        <v>165</v>
      </c>
      <c r="B199" s="73"/>
      <c r="C199" s="73"/>
      <c r="D199" s="73"/>
      <c r="E199" s="73">
        <v>0</v>
      </c>
      <c r="F199" s="42">
        <v>0</v>
      </c>
      <c r="G199" s="42">
        <f t="shared" ref="G199:G262" si="4">+E199+F199</f>
        <v>0</v>
      </c>
      <c r="H199" s="2" t="str">
        <f>VLOOKUP(A199,'MASTER 26 27'!A:B,2,0)</f>
        <v>Not Applicable</v>
      </c>
    </row>
    <row r="200" spans="1:8">
      <c r="A200" s="68" t="s">
        <v>158</v>
      </c>
      <c r="B200" s="73"/>
      <c r="C200" s="73"/>
      <c r="D200" s="73"/>
      <c r="E200" s="73">
        <v>0</v>
      </c>
      <c r="F200" s="42">
        <v>0</v>
      </c>
      <c r="G200" s="42">
        <f t="shared" si="4"/>
        <v>0</v>
      </c>
      <c r="H200" s="2" t="str">
        <f>VLOOKUP(A200,'MASTER 26 27'!A:B,2,0)</f>
        <v>Not Applicable</v>
      </c>
    </row>
    <row r="201" spans="1:8">
      <c r="A201" s="68" t="s">
        <v>169</v>
      </c>
      <c r="B201" s="73">
        <v>96740594.230000004</v>
      </c>
      <c r="C201" s="73">
        <v>5591969.5599999996</v>
      </c>
      <c r="D201" s="73">
        <v>31711537.120000001</v>
      </c>
      <c r="E201" s="73">
        <v>70621026.670000002</v>
      </c>
      <c r="F201" s="42">
        <v>0</v>
      </c>
      <c r="G201" s="42">
        <f t="shared" si="4"/>
        <v>70621026.670000002</v>
      </c>
      <c r="H201" s="2" t="str">
        <f>VLOOKUP(A201,'MASTER 26 27'!A:B,2,0)</f>
        <v>Not Applicable</v>
      </c>
    </row>
    <row r="202" spans="1:8">
      <c r="A202" s="68" t="s">
        <v>174</v>
      </c>
      <c r="B202" s="73">
        <v>5030657.22</v>
      </c>
      <c r="C202" s="73"/>
      <c r="D202" s="73"/>
      <c r="E202" s="73">
        <v>5030657.22</v>
      </c>
      <c r="F202" s="42">
        <v>0</v>
      </c>
      <c r="G202" s="42">
        <f t="shared" si="4"/>
        <v>5030657.22</v>
      </c>
      <c r="H202" s="2" t="str">
        <f>VLOOKUP(A202,'MASTER 26 27'!A:B,2,0)</f>
        <v>Not Applicable</v>
      </c>
    </row>
    <row r="203" spans="1:8">
      <c r="A203" s="68" t="s">
        <v>1349</v>
      </c>
      <c r="B203" s="73">
        <v>6306819.7599999998</v>
      </c>
      <c r="C203" s="73">
        <v>3138077.25</v>
      </c>
      <c r="D203" s="73"/>
      <c r="E203" s="73">
        <v>9444897.0099999998</v>
      </c>
      <c r="F203" s="42">
        <v>0</v>
      </c>
      <c r="G203" s="42">
        <f t="shared" si="4"/>
        <v>9444897.0099999998</v>
      </c>
      <c r="H203" s="2" t="str">
        <f>VLOOKUP(A203,'MASTER 26 27'!A:B,2,0)</f>
        <v>Not Applicable</v>
      </c>
    </row>
    <row r="204" spans="1:8">
      <c r="A204" s="68" t="s">
        <v>1081</v>
      </c>
      <c r="B204" s="73"/>
      <c r="C204" s="73"/>
      <c r="D204" s="73"/>
      <c r="E204" s="73">
        <v>0</v>
      </c>
      <c r="F204" s="42">
        <v>0</v>
      </c>
      <c r="G204" s="42">
        <f t="shared" si="4"/>
        <v>0</v>
      </c>
      <c r="H204" s="2" t="str">
        <f>VLOOKUP(A204,'MASTER 26 27'!A:B,2,0)</f>
        <v>Not Applicable</v>
      </c>
    </row>
    <row r="205" spans="1:8">
      <c r="A205" s="68" t="s">
        <v>1418</v>
      </c>
      <c r="B205" s="73"/>
      <c r="C205" s="73"/>
      <c r="D205" s="73"/>
      <c r="E205" s="73">
        <v>0</v>
      </c>
      <c r="F205" s="42">
        <v>0</v>
      </c>
      <c r="G205" s="42">
        <f t="shared" si="4"/>
        <v>0</v>
      </c>
      <c r="H205" s="2" t="s">
        <v>84</v>
      </c>
    </row>
    <row r="206" spans="1:8">
      <c r="A206" s="68" t="s">
        <v>956</v>
      </c>
      <c r="B206" s="73"/>
      <c r="C206" s="73"/>
      <c r="D206" s="73"/>
      <c r="E206" s="73">
        <v>0</v>
      </c>
      <c r="F206" s="42">
        <v>0</v>
      </c>
      <c r="G206" s="42">
        <f t="shared" si="4"/>
        <v>0</v>
      </c>
      <c r="H206" s="2" t="str">
        <f>VLOOKUP(A206,'MASTER 26 27'!A:B,2,0)</f>
        <v>Not Applicable</v>
      </c>
    </row>
    <row r="207" spans="1:8">
      <c r="A207" s="68" t="s">
        <v>185</v>
      </c>
      <c r="B207" s="73"/>
      <c r="C207" s="73"/>
      <c r="D207" s="73"/>
      <c r="E207" s="73">
        <v>0</v>
      </c>
      <c r="F207" s="42">
        <v>0</v>
      </c>
      <c r="G207" s="42">
        <f t="shared" si="4"/>
        <v>0</v>
      </c>
      <c r="H207" s="2" t="str">
        <f>VLOOKUP(A207,'MASTER 26 27'!A:B,2,0)</f>
        <v>Not Applicable</v>
      </c>
    </row>
    <row r="208" spans="1:8">
      <c r="A208" s="68" t="s">
        <v>184</v>
      </c>
      <c r="B208" s="73"/>
      <c r="C208" s="73"/>
      <c r="D208" s="73"/>
      <c r="E208" s="73">
        <v>0</v>
      </c>
      <c r="F208" s="42">
        <v>0</v>
      </c>
      <c r="G208" s="42">
        <f t="shared" si="4"/>
        <v>0</v>
      </c>
      <c r="H208" s="2" t="str">
        <f>VLOOKUP(A208,'MASTER 26 27'!A:B,2,0)</f>
        <v>Not Applicable</v>
      </c>
    </row>
    <row r="209" spans="1:8">
      <c r="A209" s="68" t="s">
        <v>194</v>
      </c>
      <c r="B209" s="73"/>
      <c r="C209" s="73"/>
      <c r="D209" s="73"/>
      <c r="E209" s="73">
        <v>0</v>
      </c>
      <c r="F209" s="42">
        <v>0</v>
      </c>
      <c r="G209" s="42">
        <f t="shared" si="4"/>
        <v>0</v>
      </c>
      <c r="H209" s="2" t="str">
        <f>VLOOKUP(A209,'MASTER 26 27'!A:B,2,0)</f>
        <v>Not Applicable</v>
      </c>
    </row>
    <row r="210" spans="1:8">
      <c r="A210" s="68" t="s">
        <v>193</v>
      </c>
      <c r="B210" s="73"/>
      <c r="C210" s="73"/>
      <c r="D210" s="73"/>
      <c r="E210" s="73">
        <v>0</v>
      </c>
      <c r="F210" s="42">
        <v>0</v>
      </c>
      <c r="G210" s="42">
        <f t="shared" si="4"/>
        <v>0</v>
      </c>
      <c r="H210" s="2" t="str">
        <f>VLOOKUP(A210,'MASTER 26 27'!A:B,2,0)</f>
        <v>Not Applicable</v>
      </c>
    </row>
    <row r="211" spans="1:8">
      <c r="A211" s="68" t="s">
        <v>189</v>
      </c>
      <c r="B211" s="73"/>
      <c r="C211" s="73"/>
      <c r="D211" s="73"/>
      <c r="E211" s="73">
        <v>0</v>
      </c>
      <c r="F211" s="42">
        <v>0</v>
      </c>
      <c r="G211" s="42">
        <f t="shared" si="4"/>
        <v>0</v>
      </c>
      <c r="H211" s="2" t="str">
        <f>VLOOKUP(A211,'MASTER 26 27'!A:B,2,0)</f>
        <v>Not Applicable</v>
      </c>
    </row>
    <row r="212" spans="1:8">
      <c r="A212" s="68" t="s">
        <v>190</v>
      </c>
      <c r="B212" s="73"/>
      <c r="C212" s="73"/>
      <c r="D212" s="73"/>
      <c r="E212" s="73">
        <v>0</v>
      </c>
      <c r="F212" s="42">
        <v>0</v>
      </c>
      <c r="G212" s="42">
        <f t="shared" si="4"/>
        <v>0</v>
      </c>
      <c r="H212" s="2" t="str">
        <f>VLOOKUP(A212,'MASTER 26 27'!A:B,2,0)</f>
        <v>Not Applicable</v>
      </c>
    </row>
    <row r="213" spans="1:8">
      <c r="A213" s="68" t="s">
        <v>199</v>
      </c>
      <c r="B213" s="73"/>
      <c r="C213" s="73"/>
      <c r="D213" s="73"/>
      <c r="E213" s="73">
        <v>0</v>
      </c>
      <c r="F213" s="42">
        <v>0</v>
      </c>
      <c r="G213" s="42">
        <f t="shared" si="4"/>
        <v>0</v>
      </c>
      <c r="H213" s="2" t="str">
        <f>VLOOKUP(A213,'MASTER 26 27'!A:B,2,0)</f>
        <v>Not Applicable</v>
      </c>
    </row>
    <row r="214" spans="1:8">
      <c r="A214" s="68" t="s">
        <v>200</v>
      </c>
      <c r="B214" s="73"/>
      <c r="C214" s="73"/>
      <c r="D214" s="73"/>
      <c r="E214" s="73">
        <v>0</v>
      </c>
      <c r="F214" s="42">
        <v>0</v>
      </c>
      <c r="G214" s="42">
        <f t="shared" si="4"/>
        <v>0</v>
      </c>
      <c r="H214" s="2" t="str">
        <f>VLOOKUP(A214,'MASTER 26 27'!A:B,2,0)</f>
        <v>Not Applicable</v>
      </c>
    </row>
    <row r="215" spans="1:8">
      <c r="A215" s="68" t="s">
        <v>217</v>
      </c>
      <c r="B215" s="73"/>
      <c r="C215" s="73"/>
      <c r="D215" s="73"/>
      <c r="E215" s="73">
        <v>0</v>
      </c>
      <c r="F215" s="42">
        <v>0</v>
      </c>
      <c r="G215" s="42">
        <f t="shared" si="4"/>
        <v>0</v>
      </c>
      <c r="H215" s="2" t="str">
        <f>VLOOKUP(A215,'MASTER 26 27'!A:B,2,0)</f>
        <v>Not Applicable</v>
      </c>
    </row>
    <row r="216" spans="1:8">
      <c r="A216" s="68" t="s">
        <v>218</v>
      </c>
      <c r="B216" s="73">
        <v>6380967.2599999998</v>
      </c>
      <c r="C216" s="73">
        <v>12387197.65</v>
      </c>
      <c r="D216" s="73">
        <v>3186060.32</v>
      </c>
      <c r="E216" s="73">
        <v>15582104.59</v>
      </c>
      <c r="F216" s="42">
        <v>0</v>
      </c>
      <c r="G216" s="42">
        <f t="shared" si="4"/>
        <v>15582104.59</v>
      </c>
      <c r="H216" s="2" t="str">
        <f>VLOOKUP(A216,'MASTER 26 27'!A:B,2,0)</f>
        <v>Not Applicable</v>
      </c>
    </row>
    <row r="217" spans="1:8">
      <c r="A217" s="68" t="s">
        <v>219</v>
      </c>
      <c r="B217" s="73">
        <v>38729992.630000003</v>
      </c>
      <c r="C217" s="73">
        <v>22151580.379999999</v>
      </c>
      <c r="D217" s="73">
        <v>3111000</v>
      </c>
      <c r="E217" s="73">
        <v>57770573.009999998</v>
      </c>
      <c r="F217" s="42">
        <v>0</v>
      </c>
      <c r="G217" s="42">
        <f t="shared" si="4"/>
        <v>57770573.009999998</v>
      </c>
      <c r="H217" s="2" t="str">
        <f>VLOOKUP(A217,'MASTER 26 27'!A:B,2,0)</f>
        <v>Not Applicable</v>
      </c>
    </row>
    <row r="218" spans="1:8">
      <c r="A218" s="68" t="s">
        <v>969</v>
      </c>
      <c r="B218" s="73">
        <v>-0.04</v>
      </c>
      <c r="C218" s="73"/>
      <c r="D218" s="73"/>
      <c r="E218" s="73">
        <v>-0.04</v>
      </c>
      <c r="F218" s="42">
        <v>0</v>
      </c>
      <c r="G218" s="42">
        <f t="shared" si="4"/>
        <v>-0.04</v>
      </c>
      <c r="H218" s="2" t="str">
        <f>VLOOKUP(A218,'MASTER 26 27'!A:B,2,0)</f>
        <v>Not Applicable</v>
      </c>
    </row>
    <row r="219" spans="1:8">
      <c r="A219" s="68" t="s">
        <v>225</v>
      </c>
      <c r="B219" s="73"/>
      <c r="C219" s="73"/>
      <c r="D219" s="73"/>
      <c r="E219" s="73">
        <v>0</v>
      </c>
      <c r="F219" s="42">
        <v>0</v>
      </c>
      <c r="G219" s="42">
        <f t="shared" si="4"/>
        <v>0</v>
      </c>
      <c r="H219" s="2" t="str">
        <f>VLOOKUP(A219,'MASTER 26 27'!A:B,2,0)</f>
        <v>Not Applicable</v>
      </c>
    </row>
    <row r="220" spans="1:8">
      <c r="A220" s="68" t="s">
        <v>224</v>
      </c>
      <c r="B220" s="73">
        <v>-607862.51</v>
      </c>
      <c r="C220" s="73"/>
      <c r="D220" s="73"/>
      <c r="E220" s="73">
        <v>-607862.51</v>
      </c>
      <c r="F220" s="42">
        <v>0</v>
      </c>
      <c r="G220" s="42">
        <f t="shared" si="4"/>
        <v>-607862.51</v>
      </c>
      <c r="H220" s="2" t="str">
        <f>VLOOKUP(A220,'MASTER 26 27'!A:B,2,0)</f>
        <v>Not Applicable</v>
      </c>
    </row>
    <row r="221" spans="1:8">
      <c r="A221" s="68" t="s">
        <v>1419</v>
      </c>
      <c r="B221" s="73"/>
      <c r="C221" s="73"/>
      <c r="D221" s="73"/>
      <c r="E221" s="73">
        <v>0</v>
      </c>
      <c r="F221" s="42">
        <v>0</v>
      </c>
      <c r="G221" s="42">
        <f t="shared" si="4"/>
        <v>0</v>
      </c>
      <c r="H221" s="2" t="s">
        <v>84</v>
      </c>
    </row>
    <row r="222" spans="1:8">
      <c r="A222" s="68" t="s">
        <v>227</v>
      </c>
      <c r="B222" s="73"/>
      <c r="C222" s="73"/>
      <c r="D222" s="73"/>
      <c r="E222" s="73">
        <v>0</v>
      </c>
      <c r="F222" s="42">
        <v>0</v>
      </c>
      <c r="G222" s="42">
        <f t="shared" si="4"/>
        <v>0</v>
      </c>
      <c r="H222" s="2" t="str">
        <f>VLOOKUP(A222,'MASTER 26 27'!A:B,2,0)</f>
        <v>Not Applicable</v>
      </c>
    </row>
    <row r="223" spans="1:8">
      <c r="A223" s="68" t="s">
        <v>230</v>
      </c>
      <c r="B223" s="73"/>
      <c r="C223" s="73">
        <v>9906783.4700000007</v>
      </c>
      <c r="D223" s="73"/>
      <c r="E223" s="73">
        <v>9906783.4700000007</v>
      </c>
      <c r="F223" s="42">
        <v>0</v>
      </c>
      <c r="G223" s="42">
        <f t="shared" si="4"/>
        <v>9906783.4700000007</v>
      </c>
      <c r="H223" s="2" t="str">
        <f>VLOOKUP(A223,'MASTER 26 27'!A:B,2,0)</f>
        <v>Not Applicable</v>
      </c>
    </row>
    <row r="224" spans="1:8">
      <c r="A224" s="68" t="s">
        <v>863</v>
      </c>
      <c r="B224" s="73"/>
      <c r="C224" s="73"/>
      <c r="D224" s="73"/>
      <c r="E224" s="73">
        <v>0</v>
      </c>
      <c r="F224" s="42">
        <v>0</v>
      </c>
      <c r="G224" s="42">
        <f t="shared" si="4"/>
        <v>0</v>
      </c>
      <c r="H224" s="2" t="str">
        <f>VLOOKUP(A224,'MASTER 26 27'!A:B,2,0)</f>
        <v>Not Applicable</v>
      </c>
    </row>
    <row r="225" spans="1:8">
      <c r="A225" s="68" t="s">
        <v>976</v>
      </c>
      <c r="B225" s="73">
        <v>66.319999999999993</v>
      </c>
      <c r="C225" s="73"/>
      <c r="D225" s="73"/>
      <c r="E225" s="73">
        <v>66.319999999999993</v>
      </c>
      <c r="F225" s="42">
        <v>0</v>
      </c>
      <c r="G225" s="42">
        <f t="shared" si="4"/>
        <v>66.319999999999993</v>
      </c>
      <c r="H225" s="2" t="str">
        <f>VLOOKUP(A225,'MASTER 26 27'!A:B,2,0)</f>
        <v>Not Applicable</v>
      </c>
    </row>
    <row r="226" spans="1:8">
      <c r="A226" s="68" t="s">
        <v>235</v>
      </c>
      <c r="B226" s="73"/>
      <c r="C226" s="73"/>
      <c r="D226" s="73"/>
      <c r="E226" s="73">
        <v>0</v>
      </c>
      <c r="F226" s="42">
        <v>0</v>
      </c>
      <c r="G226" s="42">
        <f t="shared" si="4"/>
        <v>0</v>
      </c>
      <c r="H226" s="2" t="str">
        <f>VLOOKUP(A226,'MASTER 26 27'!A:B,2,0)</f>
        <v>Not Applicable</v>
      </c>
    </row>
    <row r="227" spans="1:8">
      <c r="A227" s="68" t="s">
        <v>1174</v>
      </c>
      <c r="B227" s="73">
        <v>584231.6</v>
      </c>
      <c r="C227" s="73"/>
      <c r="D227" s="73"/>
      <c r="E227" s="73">
        <v>584231.6</v>
      </c>
      <c r="F227" s="42">
        <v>0</v>
      </c>
      <c r="G227" s="42">
        <f t="shared" si="4"/>
        <v>584231.6</v>
      </c>
      <c r="H227" s="2" t="str">
        <f>VLOOKUP(A227,'MASTER 26 27'!A:B,2,0)</f>
        <v>Not Applicable</v>
      </c>
    </row>
    <row r="228" spans="1:8">
      <c r="A228" s="68" t="s">
        <v>238</v>
      </c>
      <c r="B228" s="73">
        <v>0.03</v>
      </c>
      <c r="C228" s="73"/>
      <c r="D228" s="73"/>
      <c r="E228" s="73">
        <v>0.03</v>
      </c>
      <c r="F228" s="42">
        <v>0</v>
      </c>
      <c r="G228" s="42">
        <f t="shared" si="4"/>
        <v>0.03</v>
      </c>
      <c r="H228" s="2" t="str">
        <f>VLOOKUP(A228,'MASTER 26 27'!A:B,2,0)</f>
        <v>Not Applicable</v>
      </c>
    </row>
    <row r="229" spans="1:8">
      <c r="A229" s="68" t="s">
        <v>239</v>
      </c>
      <c r="B229" s="73"/>
      <c r="C229" s="73"/>
      <c r="D229" s="73"/>
      <c r="E229" s="73">
        <v>0</v>
      </c>
      <c r="F229" s="42">
        <v>0</v>
      </c>
      <c r="G229" s="42">
        <f t="shared" si="4"/>
        <v>0</v>
      </c>
      <c r="H229" s="2" t="str">
        <f>VLOOKUP(A229,'MASTER 26 27'!A:B,2,0)</f>
        <v>Not Applicable</v>
      </c>
    </row>
    <row r="230" spans="1:8">
      <c r="A230" s="68" t="s">
        <v>241</v>
      </c>
      <c r="B230" s="73"/>
      <c r="C230" s="73"/>
      <c r="D230" s="73"/>
      <c r="E230" s="73">
        <v>0</v>
      </c>
      <c r="F230" s="42">
        <v>0</v>
      </c>
      <c r="G230" s="42">
        <f t="shared" si="4"/>
        <v>0</v>
      </c>
      <c r="H230" s="2" t="str">
        <f>VLOOKUP(A230,'MASTER 26 27'!A:B,2,0)</f>
        <v>Not Applicable</v>
      </c>
    </row>
    <row r="231" spans="1:8">
      <c r="A231" s="68" t="s">
        <v>243</v>
      </c>
      <c r="B231" s="73">
        <v>-231550.7</v>
      </c>
      <c r="C231" s="73"/>
      <c r="D231" s="73"/>
      <c r="E231" s="73">
        <v>-231550.7</v>
      </c>
      <c r="F231" s="42">
        <v>0</v>
      </c>
      <c r="G231" s="42">
        <f t="shared" si="4"/>
        <v>-231550.7</v>
      </c>
      <c r="H231" s="2" t="str">
        <f>VLOOKUP(A231,'MASTER 26 27'!A:B,2,0)</f>
        <v>Not Applicable</v>
      </c>
    </row>
    <row r="232" spans="1:8">
      <c r="A232" s="68" t="s">
        <v>249</v>
      </c>
      <c r="B232" s="73"/>
      <c r="C232" s="73"/>
      <c r="D232" s="73"/>
      <c r="E232" s="73">
        <v>0</v>
      </c>
      <c r="F232" s="42">
        <v>0</v>
      </c>
      <c r="G232" s="42">
        <f t="shared" si="4"/>
        <v>0</v>
      </c>
      <c r="H232" s="2" t="str">
        <f>VLOOKUP(A232,'MASTER 26 27'!A:B,2,0)</f>
        <v>Not Applicable</v>
      </c>
    </row>
    <row r="233" spans="1:8">
      <c r="A233" s="68" t="s">
        <v>252</v>
      </c>
      <c r="B233" s="73">
        <v>-1056500.3799999999</v>
      </c>
      <c r="C233" s="73"/>
      <c r="D233" s="73"/>
      <c r="E233" s="73">
        <v>-1056500.3799999999</v>
      </c>
      <c r="F233" s="42">
        <v>0</v>
      </c>
      <c r="G233" s="42">
        <f t="shared" si="4"/>
        <v>-1056500.3799999999</v>
      </c>
      <c r="H233" s="2" t="str">
        <f>VLOOKUP(A233,'MASTER 26 27'!A:B,2,0)</f>
        <v>Not Applicable</v>
      </c>
    </row>
    <row r="234" spans="1:8">
      <c r="A234" s="68" t="s">
        <v>253</v>
      </c>
      <c r="B234" s="73"/>
      <c r="C234" s="73"/>
      <c r="D234" s="73"/>
      <c r="E234" s="73">
        <v>0</v>
      </c>
      <c r="F234" s="42">
        <v>0</v>
      </c>
      <c r="G234" s="42">
        <f t="shared" si="4"/>
        <v>0</v>
      </c>
      <c r="H234" s="2" t="str">
        <f>VLOOKUP(A234,'MASTER 26 27'!A:B,2,0)</f>
        <v>Not Applicable</v>
      </c>
    </row>
    <row r="235" spans="1:8">
      <c r="A235" s="68" t="s">
        <v>254</v>
      </c>
      <c r="B235" s="73"/>
      <c r="C235" s="73"/>
      <c r="D235" s="73"/>
      <c r="E235" s="73">
        <v>0</v>
      </c>
      <c r="F235" s="42">
        <v>0</v>
      </c>
      <c r="G235" s="42">
        <f t="shared" si="4"/>
        <v>0</v>
      </c>
      <c r="H235" s="2" t="str">
        <f>VLOOKUP(A235,'MASTER 26 27'!A:B,2,0)</f>
        <v>Not Applicable</v>
      </c>
    </row>
    <row r="236" spans="1:8">
      <c r="A236" s="68" t="s">
        <v>255</v>
      </c>
      <c r="B236" s="73"/>
      <c r="C236" s="73"/>
      <c r="D236" s="73"/>
      <c r="E236" s="73">
        <v>0</v>
      </c>
      <c r="F236" s="42">
        <v>0</v>
      </c>
      <c r="G236" s="42">
        <f t="shared" si="4"/>
        <v>0</v>
      </c>
      <c r="H236" s="2" t="str">
        <f>VLOOKUP(A236,'MASTER 26 27'!A:B,2,0)</f>
        <v>Not Applicable</v>
      </c>
    </row>
    <row r="237" spans="1:8">
      <c r="A237" s="68" t="s">
        <v>256</v>
      </c>
      <c r="B237" s="73"/>
      <c r="C237" s="73"/>
      <c r="D237" s="73"/>
      <c r="E237" s="73">
        <v>0</v>
      </c>
      <c r="F237" s="42">
        <v>0</v>
      </c>
      <c r="G237" s="42">
        <f t="shared" si="4"/>
        <v>0</v>
      </c>
      <c r="H237" s="2" t="str">
        <f>VLOOKUP(A237,'MASTER 26 27'!A:B,2,0)</f>
        <v>Not Applicable</v>
      </c>
    </row>
    <row r="238" spans="1:8">
      <c r="A238" s="68" t="s">
        <v>257</v>
      </c>
      <c r="B238" s="73"/>
      <c r="C238" s="73"/>
      <c r="D238" s="73"/>
      <c r="E238" s="73">
        <v>0</v>
      </c>
      <c r="F238" s="42">
        <v>0</v>
      </c>
      <c r="G238" s="42">
        <f t="shared" si="4"/>
        <v>0</v>
      </c>
      <c r="H238" s="2" t="str">
        <f>VLOOKUP(A238,'MASTER 26 27'!A:B,2,0)</f>
        <v>Not Applicable</v>
      </c>
    </row>
    <row r="239" spans="1:8">
      <c r="A239" s="68" t="s">
        <v>259</v>
      </c>
      <c r="B239" s="73">
        <v>2061.2199999999998</v>
      </c>
      <c r="C239" s="73"/>
      <c r="D239" s="73"/>
      <c r="E239" s="73">
        <v>2061.2199999999998</v>
      </c>
      <c r="F239" s="42">
        <v>0</v>
      </c>
      <c r="G239" s="42">
        <f t="shared" si="4"/>
        <v>2061.2199999999998</v>
      </c>
      <c r="H239" s="2" t="str">
        <f>VLOOKUP(A239,'MASTER 26 27'!A:B,2,0)</f>
        <v>Not Applicable</v>
      </c>
    </row>
    <row r="240" spans="1:8">
      <c r="A240" s="68" t="s">
        <v>260</v>
      </c>
      <c r="B240" s="73">
        <v>10015039.57</v>
      </c>
      <c r="C240" s="73"/>
      <c r="D240" s="73"/>
      <c r="E240" s="73">
        <v>10015039.57</v>
      </c>
      <c r="F240" s="42">
        <v>0</v>
      </c>
      <c r="G240" s="42">
        <f t="shared" si="4"/>
        <v>10015039.57</v>
      </c>
      <c r="H240" s="2" t="str">
        <f>VLOOKUP(A240,'MASTER 26 27'!A:B,2,0)</f>
        <v>Not Applicable</v>
      </c>
    </row>
    <row r="241" spans="1:8">
      <c r="A241" s="68" t="s">
        <v>261</v>
      </c>
      <c r="B241" s="73"/>
      <c r="C241" s="73"/>
      <c r="D241" s="73"/>
      <c r="E241" s="73">
        <v>0</v>
      </c>
      <c r="F241" s="42">
        <v>0</v>
      </c>
      <c r="G241" s="42">
        <f t="shared" si="4"/>
        <v>0</v>
      </c>
      <c r="H241" s="2" t="str">
        <f>VLOOKUP(A241,'MASTER 26 27'!A:B,2,0)</f>
        <v>Not Applicable</v>
      </c>
    </row>
    <row r="242" spans="1:8">
      <c r="A242" s="68" t="s">
        <v>267</v>
      </c>
      <c r="B242" s="73">
        <v>163639685.36000001</v>
      </c>
      <c r="C242" s="73">
        <v>394345.14</v>
      </c>
      <c r="D242" s="73"/>
      <c r="E242" s="73">
        <v>164034030.5</v>
      </c>
      <c r="F242" s="42">
        <v>0</v>
      </c>
      <c r="G242" s="42">
        <f t="shared" si="4"/>
        <v>164034030.5</v>
      </c>
      <c r="H242" s="2" t="str">
        <f>VLOOKUP(A242,'MASTER 26 27'!A:B,2,0)</f>
        <v>Not Applicable</v>
      </c>
    </row>
    <row r="243" spans="1:8">
      <c r="A243" s="68" t="s">
        <v>268</v>
      </c>
      <c r="B243" s="73">
        <v>-3253294.89</v>
      </c>
      <c r="C243" s="73"/>
      <c r="D243" s="73"/>
      <c r="E243" s="73">
        <v>-3253294.89</v>
      </c>
      <c r="F243" s="42">
        <v>0</v>
      </c>
      <c r="G243" s="42">
        <f t="shared" si="4"/>
        <v>-3253294.89</v>
      </c>
      <c r="H243" s="2" t="str">
        <f>VLOOKUP(A243,'MASTER 26 27'!A:B,2,0)</f>
        <v>Not Applicable</v>
      </c>
    </row>
    <row r="244" spans="1:8">
      <c r="A244" s="68" t="s">
        <v>269</v>
      </c>
      <c r="B244" s="73"/>
      <c r="C244" s="73"/>
      <c r="D244" s="73"/>
      <c r="E244" s="73">
        <v>0</v>
      </c>
      <c r="F244" s="42">
        <v>0</v>
      </c>
      <c r="G244" s="42">
        <f t="shared" si="4"/>
        <v>0</v>
      </c>
      <c r="H244" s="2" t="str">
        <f>VLOOKUP(A244,'MASTER 26 27'!A:B,2,0)</f>
        <v>Not Applicable</v>
      </c>
    </row>
    <row r="245" spans="1:8">
      <c r="A245" s="68" t="s">
        <v>270</v>
      </c>
      <c r="B245" s="73"/>
      <c r="C245" s="73"/>
      <c r="D245" s="73"/>
      <c r="E245" s="73">
        <v>0</v>
      </c>
      <c r="F245" s="42">
        <v>0</v>
      </c>
      <c r="G245" s="42">
        <f t="shared" si="4"/>
        <v>0</v>
      </c>
      <c r="H245" s="2" t="str">
        <f>VLOOKUP(A245,'MASTER 26 27'!A:B,2,0)</f>
        <v>Not Applicable</v>
      </c>
    </row>
    <row r="246" spans="1:8">
      <c r="A246" s="68" t="s">
        <v>274</v>
      </c>
      <c r="B246" s="73"/>
      <c r="C246" s="73"/>
      <c r="D246" s="73"/>
      <c r="E246" s="73">
        <v>0</v>
      </c>
      <c r="F246" s="42">
        <v>0</v>
      </c>
      <c r="G246" s="42">
        <f t="shared" si="4"/>
        <v>0</v>
      </c>
      <c r="H246" s="2" t="str">
        <f>VLOOKUP(A246,'MASTER 26 27'!A:B,2,0)</f>
        <v>Not Applicable</v>
      </c>
    </row>
    <row r="247" spans="1:8">
      <c r="A247" s="68" t="s">
        <v>286</v>
      </c>
      <c r="B247" s="73"/>
      <c r="C247" s="73"/>
      <c r="D247" s="73"/>
      <c r="E247" s="73">
        <v>0</v>
      </c>
      <c r="F247" s="42">
        <v>0</v>
      </c>
      <c r="G247" s="42">
        <f t="shared" si="4"/>
        <v>0</v>
      </c>
      <c r="H247" s="2" t="str">
        <f>VLOOKUP(A247,'MASTER 26 27'!A:B,2,0)</f>
        <v>Not Applicable</v>
      </c>
    </row>
    <row r="248" spans="1:8">
      <c r="A248" s="68" t="s">
        <v>290</v>
      </c>
      <c r="B248" s="73">
        <v>3816893.58</v>
      </c>
      <c r="C248" s="73"/>
      <c r="D248" s="73"/>
      <c r="E248" s="73">
        <v>3816893.58</v>
      </c>
      <c r="F248" s="42">
        <v>0</v>
      </c>
      <c r="G248" s="42">
        <f t="shared" si="4"/>
        <v>3816893.58</v>
      </c>
      <c r="H248" s="2" t="str">
        <f>VLOOKUP(A248,'MASTER 26 27'!A:B,2,0)</f>
        <v>Not Applicable</v>
      </c>
    </row>
    <row r="249" spans="1:8">
      <c r="A249" s="68" t="s">
        <v>288</v>
      </c>
      <c r="B249" s="73"/>
      <c r="C249" s="73"/>
      <c r="D249" s="73"/>
      <c r="E249" s="73">
        <v>0</v>
      </c>
      <c r="F249" s="42">
        <v>0</v>
      </c>
      <c r="G249" s="42">
        <f t="shared" si="4"/>
        <v>0</v>
      </c>
      <c r="H249" s="2" t="str">
        <f>VLOOKUP(A249,'MASTER 26 27'!A:B,2,0)</f>
        <v>Not Applicable</v>
      </c>
    </row>
    <row r="250" spans="1:8">
      <c r="A250" s="68" t="s">
        <v>291</v>
      </c>
      <c r="B250" s="73"/>
      <c r="C250" s="73"/>
      <c r="D250" s="73"/>
      <c r="E250" s="73">
        <v>0</v>
      </c>
      <c r="F250" s="42">
        <v>0</v>
      </c>
      <c r="G250" s="42">
        <f t="shared" si="4"/>
        <v>0</v>
      </c>
      <c r="H250" s="2" t="str">
        <f>VLOOKUP(A250,'MASTER 26 27'!A:B,2,0)</f>
        <v>Not Applicable</v>
      </c>
    </row>
    <row r="251" spans="1:8">
      <c r="A251" s="68" t="s">
        <v>1020</v>
      </c>
      <c r="B251" s="73"/>
      <c r="C251" s="73"/>
      <c r="D251" s="73"/>
      <c r="E251" s="73">
        <v>0</v>
      </c>
      <c r="F251" s="42">
        <v>0</v>
      </c>
      <c r="G251" s="42">
        <f t="shared" si="4"/>
        <v>0</v>
      </c>
      <c r="H251" s="2" t="str">
        <f>VLOOKUP(A251,'MASTER 26 27'!A:B,2,0)</f>
        <v>Not Applicable</v>
      </c>
    </row>
    <row r="252" spans="1:8">
      <c r="A252" s="68" t="s">
        <v>293</v>
      </c>
      <c r="B252" s="73"/>
      <c r="C252" s="73"/>
      <c r="D252" s="73"/>
      <c r="E252" s="73">
        <v>0</v>
      </c>
      <c r="F252" s="42">
        <v>0</v>
      </c>
      <c r="G252" s="42">
        <f t="shared" si="4"/>
        <v>0</v>
      </c>
      <c r="H252" s="2" t="str">
        <f>VLOOKUP(A252,'MASTER 26 27'!A:B,2,0)</f>
        <v>Not Applicable</v>
      </c>
    </row>
    <row r="253" spans="1:8">
      <c r="A253" s="68" t="s">
        <v>294</v>
      </c>
      <c r="B253" s="73"/>
      <c r="C253" s="73"/>
      <c r="D253" s="73"/>
      <c r="E253" s="73">
        <v>0</v>
      </c>
      <c r="F253" s="42">
        <v>0</v>
      </c>
      <c r="G253" s="42">
        <f t="shared" si="4"/>
        <v>0</v>
      </c>
      <c r="H253" s="2" t="str">
        <f>VLOOKUP(A253,'MASTER 26 27'!A:B,2,0)</f>
        <v>Not Applicable</v>
      </c>
    </row>
    <row r="254" spans="1:8">
      <c r="A254" s="68" t="s">
        <v>295</v>
      </c>
      <c r="B254" s="73"/>
      <c r="C254" s="73"/>
      <c r="D254" s="73"/>
      <c r="E254" s="73">
        <v>0</v>
      </c>
      <c r="F254" s="42">
        <v>0</v>
      </c>
      <c r="G254" s="42">
        <f t="shared" si="4"/>
        <v>0</v>
      </c>
      <c r="H254" s="2" t="str">
        <f>VLOOKUP(A254,'MASTER 26 27'!A:B,2,0)</f>
        <v>Not Applicable</v>
      </c>
    </row>
    <row r="255" spans="1:8">
      <c r="A255" s="68" t="s">
        <v>297</v>
      </c>
      <c r="B255" s="73"/>
      <c r="C255" s="73"/>
      <c r="D255" s="73"/>
      <c r="E255" s="73">
        <v>0</v>
      </c>
      <c r="F255" s="42">
        <v>0</v>
      </c>
      <c r="G255" s="42">
        <f t="shared" si="4"/>
        <v>0</v>
      </c>
      <c r="H255" s="2" t="str">
        <f>VLOOKUP(A255,'MASTER 26 27'!A:B,2,0)</f>
        <v>Not Applicable</v>
      </c>
    </row>
    <row r="256" spans="1:8">
      <c r="A256" s="68" t="s">
        <v>300</v>
      </c>
      <c r="B256" s="73">
        <v>-21431.97</v>
      </c>
      <c r="C256" s="73"/>
      <c r="D256" s="73"/>
      <c r="E256" s="73">
        <v>-21431.97</v>
      </c>
      <c r="F256" s="42">
        <v>0</v>
      </c>
      <c r="G256" s="42">
        <f t="shared" si="4"/>
        <v>-21431.97</v>
      </c>
      <c r="H256" s="2" t="str">
        <f>VLOOKUP(A256,'MASTER 26 27'!A:B,2,0)</f>
        <v>Not Applicable</v>
      </c>
    </row>
    <row r="257" spans="1:8">
      <c r="A257" s="68" t="s">
        <v>301</v>
      </c>
      <c r="B257" s="73"/>
      <c r="C257" s="73"/>
      <c r="D257" s="73"/>
      <c r="E257" s="73">
        <v>0</v>
      </c>
      <c r="F257" s="42">
        <v>0</v>
      </c>
      <c r="G257" s="42">
        <f t="shared" si="4"/>
        <v>0</v>
      </c>
      <c r="H257" s="2" t="str">
        <f>VLOOKUP(A257,'MASTER 26 27'!A:B,2,0)</f>
        <v>Not Applicable</v>
      </c>
    </row>
    <row r="258" spans="1:8">
      <c r="A258" s="68" t="s">
        <v>1420</v>
      </c>
      <c r="B258" s="73"/>
      <c r="C258" s="73"/>
      <c r="D258" s="73"/>
      <c r="E258" s="73">
        <v>0</v>
      </c>
      <c r="F258" s="42">
        <v>0</v>
      </c>
      <c r="G258" s="42">
        <f t="shared" si="4"/>
        <v>0</v>
      </c>
      <c r="H258" s="2" t="s">
        <v>84</v>
      </c>
    </row>
    <row r="259" spans="1:8">
      <c r="A259" s="68" t="s">
        <v>859</v>
      </c>
      <c r="B259" s="73"/>
      <c r="C259" s="73"/>
      <c r="D259" s="73"/>
      <c r="E259" s="73">
        <v>0</v>
      </c>
      <c r="F259" s="42">
        <v>0</v>
      </c>
      <c r="G259" s="42">
        <f t="shared" si="4"/>
        <v>0</v>
      </c>
      <c r="H259" s="2" t="str">
        <f>VLOOKUP(A259,'MASTER 26 27'!A:B,2,0)</f>
        <v>Not Applicable</v>
      </c>
    </row>
    <row r="260" spans="1:8">
      <c r="A260" s="68" t="s">
        <v>303</v>
      </c>
      <c r="B260" s="73"/>
      <c r="C260" s="73"/>
      <c r="D260" s="73"/>
      <c r="E260" s="73">
        <v>0</v>
      </c>
      <c r="F260" s="42">
        <v>0</v>
      </c>
      <c r="G260" s="42">
        <f t="shared" si="4"/>
        <v>0</v>
      </c>
      <c r="H260" s="2" t="str">
        <f>VLOOKUP(A260,'MASTER 26 27'!A:B,2,0)</f>
        <v>Not Applicable</v>
      </c>
    </row>
    <row r="261" spans="1:8">
      <c r="A261" s="68" t="s">
        <v>304</v>
      </c>
      <c r="B261" s="73">
        <v>0.01</v>
      </c>
      <c r="C261" s="73"/>
      <c r="D261" s="73"/>
      <c r="E261" s="73">
        <v>0.01</v>
      </c>
      <c r="F261" s="42">
        <v>0</v>
      </c>
      <c r="G261" s="42">
        <f t="shared" si="4"/>
        <v>0.01</v>
      </c>
      <c r="H261" s="2" t="str">
        <f>VLOOKUP(A261,'MASTER 26 27'!A:B,2,0)</f>
        <v>Not Applicable</v>
      </c>
    </row>
    <row r="262" spans="1:8">
      <c r="A262" s="68" t="s">
        <v>1421</v>
      </c>
      <c r="B262" s="73"/>
      <c r="C262" s="73"/>
      <c r="D262" s="73"/>
      <c r="E262" s="73">
        <v>0</v>
      </c>
      <c r="F262" s="42">
        <v>0</v>
      </c>
      <c r="G262" s="42">
        <f t="shared" si="4"/>
        <v>0</v>
      </c>
      <c r="H262" s="2" t="s">
        <v>84</v>
      </c>
    </row>
    <row r="263" spans="1:8">
      <c r="A263" s="68" t="s">
        <v>306</v>
      </c>
      <c r="B263" s="73"/>
      <c r="C263" s="73"/>
      <c r="D263" s="73"/>
      <c r="E263" s="73">
        <v>0</v>
      </c>
      <c r="F263" s="42">
        <v>0</v>
      </c>
      <c r="G263" s="42">
        <f t="shared" ref="G263:G326" si="5">+E263+F263</f>
        <v>0</v>
      </c>
      <c r="H263" s="2" t="str">
        <f>VLOOKUP(A263,'MASTER 26 27'!A:B,2,0)</f>
        <v>Not Applicable</v>
      </c>
    </row>
    <row r="264" spans="1:8">
      <c r="A264" s="68" t="s">
        <v>318</v>
      </c>
      <c r="B264" s="73"/>
      <c r="C264" s="73"/>
      <c r="D264" s="73"/>
      <c r="E264" s="73">
        <v>0</v>
      </c>
      <c r="F264" s="42">
        <v>0</v>
      </c>
      <c r="G264" s="42">
        <f t="shared" si="5"/>
        <v>0</v>
      </c>
      <c r="H264" s="2" t="str">
        <f>VLOOKUP(A264,'MASTER 26 27'!A:B,2,0)</f>
        <v>Not Applicable</v>
      </c>
    </row>
    <row r="265" spans="1:8">
      <c r="A265" s="68" t="s">
        <v>319</v>
      </c>
      <c r="B265" s="73"/>
      <c r="C265" s="73"/>
      <c r="D265" s="73"/>
      <c r="E265" s="73">
        <v>0</v>
      </c>
      <c r="F265" s="42">
        <v>0</v>
      </c>
      <c r="G265" s="42">
        <f t="shared" si="5"/>
        <v>0</v>
      </c>
      <c r="H265" s="2" t="str">
        <f>VLOOKUP(A265,'MASTER 26 27'!A:B,2,0)</f>
        <v>Not Applicable</v>
      </c>
    </row>
    <row r="266" spans="1:8">
      <c r="A266" s="68" t="s">
        <v>344</v>
      </c>
      <c r="B266" s="73"/>
      <c r="C266" s="73"/>
      <c r="D266" s="73"/>
      <c r="E266" s="73">
        <v>0</v>
      </c>
      <c r="F266" s="42">
        <v>0</v>
      </c>
      <c r="G266" s="42">
        <f t="shared" si="5"/>
        <v>0</v>
      </c>
      <c r="H266" s="2" t="str">
        <f>VLOOKUP(A266,'MASTER 26 27'!A:B,2,0)</f>
        <v>Not Applicable</v>
      </c>
    </row>
    <row r="267" spans="1:8">
      <c r="A267" s="68" t="s">
        <v>342</v>
      </c>
      <c r="B267" s="73">
        <v>3735890.99</v>
      </c>
      <c r="C267" s="73"/>
      <c r="D267" s="73"/>
      <c r="E267" s="73">
        <v>3735890.99</v>
      </c>
      <c r="F267" s="42">
        <v>0</v>
      </c>
      <c r="G267" s="42">
        <f t="shared" si="5"/>
        <v>3735890.99</v>
      </c>
      <c r="H267" s="2" t="str">
        <f>VLOOKUP(A267,'MASTER 26 27'!A:B,2,0)</f>
        <v>Not Applicable</v>
      </c>
    </row>
    <row r="268" spans="1:8">
      <c r="A268" s="68" t="s">
        <v>343</v>
      </c>
      <c r="B268" s="73">
        <v>27243559.170000002</v>
      </c>
      <c r="C268" s="73">
        <v>8521424.6400000006</v>
      </c>
      <c r="D268" s="73">
        <v>3016433.14</v>
      </c>
      <c r="E268" s="73">
        <v>32748550.670000002</v>
      </c>
      <c r="F268" s="42">
        <v>0</v>
      </c>
      <c r="G268" s="42">
        <f t="shared" si="5"/>
        <v>32748550.670000002</v>
      </c>
      <c r="H268" s="2" t="str">
        <f>VLOOKUP(A268,'MASTER 26 27'!A:B,2,0)</f>
        <v>Not Applicable</v>
      </c>
    </row>
    <row r="269" spans="1:8">
      <c r="A269" s="68" t="s">
        <v>875</v>
      </c>
      <c r="B269" s="73"/>
      <c r="C269" s="73"/>
      <c r="D269" s="73"/>
      <c r="E269" s="73">
        <v>0</v>
      </c>
      <c r="F269" s="42">
        <v>0</v>
      </c>
      <c r="G269" s="42">
        <f t="shared" si="5"/>
        <v>0</v>
      </c>
      <c r="H269" s="2" t="str">
        <f>VLOOKUP(A269,'MASTER 26 27'!A:B,2,0)</f>
        <v>Not Applicable</v>
      </c>
    </row>
    <row r="270" spans="1:8">
      <c r="A270" s="68" t="s">
        <v>347</v>
      </c>
      <c r="B270" s="73"/>
      <c r="C270" s="73"/>
      <c r="D270" s="73"/>
      <c r="E270" s="73">
        <v>0</v>
      </c>
      <c r="F270" s="42">
        <v>0</v>
      </c>
      <c r="G270" s="42">
        <f t="shared" si="5"/>
        <v>0</v>
      </c>
      <c r="H270" s="2" t="str">
        <f>VLOOKUP(A270,'MASTER 26 27'!A:B,2,0)</f>
        <v>Not Applicable</v>
      </c>
    </row>
    <row r="271" spans="1:8">
      <c r="A271" s="68" t="s">
        <v>349</v>
      </c>
      <c r="B271" s="73"/>
      <c r="C271" s="73"/>
      <c r="D271" s="73"/>
      <c r="E271" s="73">
        <v>0</v>
      </c>
      <c r="F271" s="42">
        <v>0</v>
      </c>
      <c r="G271" s="42">
        <f t="shared" si="5"/>
        <v>0</v>
      </c>
      <c r="H271" s="2" t="str">
        <f>VLOOKUP(A271,'MASTER 26 27'!A:B,2,0)</f>
        <v>Not Applicable</v>
      </c>
    </row>
    <row r="272" spans="1:8">
      <c r="A272" s="68" t="s">
        <v>352</v>
      </c>
      <c r="B272" s="73"/>
      <c r="C272" s="73"/>
      <c r="D272" s="73"/>
      <c r="E272" s="73">
        <v>0</v>
      </c>
      <c r="F272" s="42">
        <v>0</v>
      </c>
      <c r="G272" s="42">
        <f t="shared" si="5"/>
        <v>0</v>
      </c>
      <c r="H272" s="2" t="str">
        <f>VLOOKUP(A272,'MASTER 26 27'!A:B,2,0)</f>
        <v>Not Applicable</v>
      </c>
    </row>
    <row r="273" spans="1:8">
      <c r="A273" s="68" t="s">
        <v>353</v>
      </c>
      <c r="B273" s="73"/>
      <c r="C273" s="73"/>
      <c r="D273" s="73"/>
      <c r="E273" s="73">
        <v>0</v>
      </c>
      <c r="F273" s="42">
        <v>0</v>
      </c>
      <c r="G273" s="42">
        <f t="shared" si="5"/>
        <v>0</v>
      </c>
      <c r="H273" s="2" t="str">
        <f>VLOOKUP(A273,'MASTER 26 27'!A:B,2,0)</f>
        <v>Not Applicable</v>
      </c>
    </row>
    <row r="274" spans="1:8">
      <c r="A274" s="68" t="s">
        <v>365</v>
      </c>
      <c r="B274" s="73">
        <v>3887636.38</v>
      </c>
      <c r="C274" s="73"/>
      <c r="D274" s="73"/>
      <c r="E274" s="73">
        <v>3887636.38</v>
      </c>
      <c r="F274" s="42">
        <v>0</v>
      </c>
      <c r="G274" s="42">
        <f t="shared" si="5"/>
        <v>3887636.38</v>
      </c>
      <c r="H274" s="2" t="str">
        <f>VLOOKUP(A274,'MASTER 26 27'!A:B,2,0)</f>
        <v>Not Applicable</v>
      </c>
    </row>
    <row r="275" spans="1:8">
      <c r="A275" s="68" t="s">
        <v>361</v>
      </c>
      <c r="B275" s="73"/>
      <c r="C275" s="73"/>
      <c r="D275" s="73"/>
      <c r="E275" s="73">
        <v>0</v>
      </c>
      <c r="F275" s="42">
        <v>0</v>
      </c>
      <c r="G275" s="42">
        <f t="shared" si="5"/>
        <v>0</v>
      </c>
      <c r="H275" s="2" t="str">
        <f>VLOOKUP(A275,'MASTER 26 27'!A:B,2,0)</f>
        <v>Not Applicable</v>
      </c>
    </row>
    <row r="276" spans="1:8">
      <c r="A276" s="68" t="s">
        <v>364</v>
      </c>
      <c r="B276" s="73"/>
      <c r="C276" s="73"/>
      <c r="D276" s="73"/>
      <c r="E276" s="73">
        <v>0</v>
      </c>
      <c r="F276" s="42">
        <v>0</v>
      </c>
      <c r="G276" s="42">
        <f t="shared" si="5"/>
        <v>0</v>
      </c>
      <c r="H276" s="2" t="str">
        <f>VLOOKUP(A276,'MASTER 26 27'!A:B,2,0)</f>
        <v>Not Applicable</v>
      </c>
    </row>
    <row r="277" spans="1:8">
      <c r="A277" s="68" t="s">
        <v>167</v>
      </c>
      <c r="B277" s="73">
        <v>9381617.2699999996</v>
      </c>
      <c r="C277" s="73"/>
      <c r="D277" s="73"/>
      <c r="E277" s="73">
        <v>9381617.2699999996</v>
      </c>
      <c r="F277" s="42">
        <v>0</v>
      </c>
      <c r="G277" s="42">
        <f t="shared" si="5"/>
        <v>9381617.2699999996</v>
      </c>
      <c r="H277" s="2" t="str">
        <f>VLOOKUP(A277,'MASTER 26 27'!A:B,2,0)</f>
        <v>Not Applicable</v>
      </c>
    </row>
    <row r="278" spans="1:8">
      <c r="A278" s="68" t="s">
        <v>179</v>
      </c>
      <c r="B278" s="73">
        <v>3500808.87</v>
      </c>
      <c r="C278" s="73"/>
      <c r="D278" s="73"/>
      <c r="E278" s="73">
        <v>3500808.87</v>
      </c>
      <c r="F278" s="42">
        <v>0</v>
      </c>
      <c r="G278" s="42">
        <f t="shared" si="5"/>
        <v>3500808.87</v>
      </c>
      <c r="H278" s="2" t="str">
        <f>VLOOKUP(A278,'MASTER 26 27'!A:B,2,0)</f>
        <v>Not Applicable</v>
      </c>
    </row>
    <row r="279" spans="1:8">
      <c r="A279" s="68" t="s">
        <v>166</v>
      </c>
      <c r="B279" s="73">
        <v>94180171.590000004</v>
      </c>
      <c r="C279" s="73"/>
      <c r="D279" s="73"/>
      <c r="E279" s="73">
        <v>94180171.590000004</v>
      </c>
      <c r="F279" s="42">
        <v>0</v>
      </c>
      <c r="G279" s="42">
        <f t="shared" si="5"/>
        <v>94180171.590000004</v>
      </c>
      <c r="H279" s="2" t="str">
        <f>VLOOKUP(A279,'MASTER 26 27'!A:B,2,0)</f>
        <v>Not Applicable</v>
      </c>
    </row>
    <row r="280" spans="1:8">
      <c r="A280" s="68" t="s">
        <v>231</v>
      </c>
      <c r="B280" s="73">
        <v>10039863</v>
      </c>
      <c r="C280" s="73"/>
      <c r="D280" s="73"/>
      <c r="E280" s="73">
        <v>10039863</v>
      </c>
      <c r="F280" s="42">
        <v>0</v>
      </c>
      <c r="G280" s="42">
        <f t="shared" si="5"/>
        <v>10039863</v>
      </c>
      <c r="H280" s="2" t="str">
        <f>VLOOKUP(A280,'MASTER 26 27'!A:B,2,0)</f>
        <v>Not Applicable</v>
      </c>
    </row>
    <row r="281" spans="1:8">
      <c r="A281" s="68" t="s">
        <v>116</v>
      </c>
      <c r="B281" s="73">
        <v>13500</v>
      </c>
      <c r="C281" s="73"/>
      <c r="D281" s="73"/>
      <c r="E281" s="73">
        <v>13500</v>
      </c>
      <c r="F281" s="42">
        <v>0</v>
      </c>
      <c r="G281" s="42">
        <f t="shared" si="5"/>
        <v>13500</v>
      </c>
      <c r="H281" s="2" t="str">
        <f>VLOOKUP(A281,'MASTER 26 27'!A:B,2,0)</f>
        <v>Not Applicable</v>
      </c>
    </row>
    <row r="282" spans="1:8">
      <c r="A282" s="68" t="s">
        <v>163</v>
      </c>
      <c r="B282" s="73">
        <v>31000</v>
      </c>
      <c r="C282" s="73"/>
      <c r="D282" s="73"/>
      <c r="E282" s="73">
        <v>31000</v>
      </c>
      <c r="F282" s="42">
        <v>0</v>
      </c>
      <c r="G282" s="42">
        <f t="shared" si="5"/>
        <v>31000</v>
      </c>
      <c r="H282" s="2" t="str">
        <f>VLOOKUP(A282,'MASTER 26 27'!A:B,2,0)</f>
        <v>Not Applicable</v>
      </c>
    </row>
    <row r="283" spans="1:8">
      <c r="A283" s="68" t="s">
        <v>164</v>
      </c>
      <c r="B283" s="73">
        <v>53550</v>
      </c>
      <c r="C283" s="73"/>
      <c r="D283" s="73"/>
      <c r="E283" s="73">
        <v>53550</v>
      </c>
      <c r="F283" s="42">
        <v>0</v>
      </c>
      <c r="G283" s="42">
        <f t="shared" si="5"/>
        <v>53550</v>
      </c>
      <c r="H283" s="2" t="str">
        <f>VLOOKUP(A283,'MASTER 26 27'!A:B,2,0)</f>
        <v>Not Applicable</v>
      </c>
    </row>
    <row r="284" spans="1:8">
      <c r="A284" s="68" t="s">
        <v>242</v>
      </c>
      <c r="B284" s="73">
        <v>56429</v>
      </c>
      <c r="C284" s="73"/>
      <c r="D284" s="73"/>
      <c r="E284" s="73">
        <v>56429</v>
      </c>
      <c r="F284" s="42">
        <v>0</v>
      </c>
      <c r="G284" s="42">
        <f t="shared" si="5"/>
        <v>56429</v>
      </c>
      <c r="H284" s="2" t="str">
        <f>VLOOKUP(A284,'MASTER 26 27'!A:B,2,0)</f>
        <v>Not Applicable</v>
      </c>
    </row>
    <row r="285" spans="1:8">
      <c r="A285" s="68" t="s">
        <v>258</v>
      </c>
      <c r="B285" s="73">
        <v>117232.81</v>
      </c>
      <c r="C285" s="73"/>
      <c r="D285" s="73"/>
      <c r="E285" s="73">
        <v>117232.81</v>
      </c>
      <c r="F285" s="42">
        <v>0</v>
      </c>
      <c r="G285" s="42">
        <f t="shared" si="5"/>
        <v>117232.81</v>
      </c>
      <c r="H285" s="2" t="str">
        <f>VLOOKUP(A285,'MASTER 26 27'!A:B,2,0)</f>
        <v>Not Applicable</v>
      </c>
    </row>
    <row r="286" spans="1:8">
      <c r="A286" s="68" t="s">
        <v>296</v>
      </c>
      <c r="B286" s="73">
        <v>2090000</v>
      </c>
      <c r="C286" s="73"/>
      <c r="D286" s="73"/>
      <c r="E286" s="73">
        <v>2090000</v>
      </c>
      <c r="F286" s="42">
        <v>0</v>
      </c>
      <c r="G286" s="42">
        <f t="shared" si="5"/>
        <v>2090000</v>
      </c>
      <c r="H286" s="2" t="str">
        <f>VLOOKUP(A286,'MASTER 26 27'!A:B,2,0)</f>
        <v>Not Applicable</v>
      </c>
    </row>
    <row r="287" spans="1:8">
      <c r="A287" s="68" t="s">
        <v>345</v>
      </c>
      <c r="B287" s="73">
        <v>34721.1</v>
      </c>
      <c r="C287" s="73"/>
      <c r="D287" s="73"/>
      <c r="E287" s="73">
        <v>34721.1</v>
      </c>
      <c r="F287" s="42">
        <v>0</v>
      </c>
      <c r="G287" s="42">
        <f t="shared" si="5"/>
        <v>34721.1</v>
      </c>
      <c r="H287" s="2" t="str">
        <f>VLOOKUP(A287,'MASTER 26 27'!A:B,2,0)</f>
        <v>Not Applicable</v>
      </c>
    </row>
    <row r="288" spans="1:8">
      <c r="A288" s="68" t="s">
        <v>87</v>
      </c>
      <c r="B288" s="73">
        <v>447443.5</v>
      </c>
      <c r="C288" s="73"/>
      <c r="D288" s="73"/>
      <c r="E288" s="73">
        <v>447443.5</v>
      </c>
      <c r="F288" s="42">
        <v>0</v>
      </c>
      <c r="G288" s="42">
        <f t="shared" si="5"/>
        <v>447443.5</v>
      </c>
      <c r="H288" s="2" t="str">
        <f>VLOOKUP(A288,'MASTER 26 27'!A:B,2,0)</f>
        <v>Not Applicable</v>
      </c>
    </row>
    <row r="289" spans="1:8">
      <c r="A289" s="68" t="s">
        <v>150</v>
      </c>
      <c r="B289" s="73">
        <v>1051369</v>
      </c>
      <c r="C289" s="73"/>
      <c r="D289" s="73"/>
      <c r="E289" s="73">
        <v>1051369</v>
      </c>
      <c r="F289" s="42">
        <v>0</v>
      </c>
      <c r="G289" s="42">
        <f t="shared" si="5"/>
        <v>1051369</v>
      </c>
      <c r="H289" s="2" t="str">
        <f>VLOOKUP(A289,'MASTER 26 27'!A:B,2,0)</f>
        <v>Not Applicable</v>
      </c>
    </row>
    <row r="290" spans="1:8">
      <c r="A290" s="68" t="s">
        <v>119</v>
      </c>
      <c r="B290" s="73">
        <v>1403125.05</v>
      </c>
      <c r="C290" s="73"/>
      <c r="D290" s="73"/>
      <c r="E290" s="73">
        <v>1403125.05</v>
      </c>
      <c r="F290" s="42">
        <v>0</v>
      </c>
      <c r="G290" s="42">
        <f t="shared" si="5"/>
        <v>1403125.05</v>
      </c>
      <c r="H290" s="2" t="str">
        <f>VLOOKUP(A290,'MASTER 26 27'!A:B,2,0)</f>
        <v>Not Applicable</v>
      </c>
    </row>
    <row r="291" spans="1:8">
      <c r="A291" s="68" t="s">
        <v>148</v>
      </c>
      <c r="B291" s="73">
        <v>200728.55</v>
      </c>
      <c r="C291" s="73"/>
      <c r="D291" s="73"/>
      <c r="E291" s="73">
        <v>200728.55</v>
      </c>
      <c r="F291" s="42">
        <v>0</v>
      </c>
      <c r="G291" s="42">
        <f t="shared" si="5"/>
        <v>200728.55</v>
      </c>
      <c r="H291" s="2" t="str">
        <f>VLOOKUP(A291,'MASTER 26 27'!A:B,2,0)</f>
        <v>Not Applicable</v>
      </c>
    </row>
    <row r="292" spans="1:8">
      <c r="A292" s="68" t="s">
        <v>358</v>
      </c>
      <c r="B292" s="73">
        <v>483189.07</v>
      </c>
      <c r="C292" s="73"/>
      <c r="D292" s="73"/>
      <c r="E292" s="73">
        <v>483189.07</v>
      </c>
      <c r="F292" s="42">
        <v>0</v>
      </c>
      <c r="G292" s="42">
        <f t="shared" si="5"/>
        <v>483189.07</v>
      </c>
      <c r="H292" s="2" t="str">
        <f>VLOOKUP(A292,'MASTER 26 27'!A:B,2,0)</f>
        <v>Not Applicable</v>
      </c>
    </row>
    <row r="293" spans="1:8">
      <c r="A293" s="68" t="s">
        <v>127</v>
      </c>
      <c r="B293" s="73">
        <v>34794806.829999998</v>
      </c>
      <c r="C293" s="73"/>
      <c r="D293" s="73"/>
      <c r="E293" s="73">
        <v>34794806.829999998</v>
      </c>
      <c r="F293" s="42">
        <v>0</v>
      </c>
      <c r="G293" s="42">
        <f t="shared" si="5"/>
        <v>34794806.829999998</v>
      </c>
      <c r="H293" s="2" t="str">
        <f>VLOOKUP(A293,'MASTER 26 27'!A:B,2,0)</f>
        <v>Not Applicable</v>
      </c>
    </row>
    <row r="294" spans="1:8">
      <c r="A294" s="68" t="s">
        <v>128</v>
      </c>
      <c r="B294" s="73">
        <v>49292293.990000002</v>
      </c>
      <c r="C294" s="73"/>
      <c r="D294" s="73"/>
      <c r="E294" s="73">
        <v>49292293.990000002</v>
      </c>
      <c r="F294" s="42">
        <v>0</v>
      </c>
      <c r="G294" s="42">
        <f t="shared" si="5"/>
        <v>49292293.990000002</v>
      </c>
      <c r="H294" s="2" t="str">
        <f>VLOOKUP(A294,'MASTER 26 27'!A:B,2,0)</f>
        <v>Not Applicable</v>
      </c>
    </row>
    <row r="295" spans="1:8">
      <c r="A295" s="68" t="s">
        <v>363</v>
      </c>
      <c r="B295" s="73">
        <v>44090</v>
      </c>
      <c r="C295" s="73"/>
      <c r="D295" s="73"/>
      <c r="E295" s="73">
        <v>44090</v>
      </c>
      <c r="F295" s="42">
        <v>0</v>
      </c>
      <c r="G295" s="42">
        <f t="shared" si="5"/>
        <v>44090</v>
      </c>
      <c r="H295" s="2" t="str">
        <f>VLOOKUP(A295,'MASTER 26 27'!A:B,2,0)</f>
        <v>Not Applicable</v>
      </c>
    </row>
    <row r="296" spans="1:8">
      <c r="A296" s="68" t="s">
        <v>131</v>
      </c>
      <c r="B296" s="73">
        <v>462700</v>
      </c>
      <c r="C296" s="73">
        <v>72156</v>
      </c>
      <c r="D296" s="73"/>
      <c r="E296" s="73">
        <v>534856</v>
      </c>
      <c r="F296" s="42">
        <v>0</v>
      </c>
      <c r="G296" s="42">
        <f t="shared" si="5"/>
        <v>534856</v>
      </c>
      <c r="H296" s="2" t="str">
        <f>VLOOKUP(A296,'MASTER 26 27'!A:B,2,0)</f>
        <v>Not Applicable</v>
      </c>
    </row>
    <row r="297" spans="1:8">
      <c r="A297" s="68" t="s">
        <v>155</v>
      </c>
      <c r="B297" s="73">
        <v>9196089.25</v>
      </c>
      <c r="C297" s="73"/>
      <c r="D297" s="73"/>
      <c r="E297" s="73">
        <v>9196089.25</v>
      </c>
      <c r="F297" s="42">
        <v>0</v>
      </c>
      <c r="G297" s="42">
        <f t="shared" si="5"/>
        <v>9196089.25</v>
      </c>
      <c r="H297" s="2" t="str">
        <f>VLOOKUP(A297,'MASTER 26 27'!A:B,2,0)</f>
        <v>Not Applicable</v>
      </c>
    </row>
    <row r="298" spans="1:8">
      <c r="A298" s="68" t="s">
        <v>156</v>
      </c>
      <c r="B298" s="73">
        <v>116092.3</v>
      </c>
      <c r="C298" s="73"/>
      <c r="D298" s="73"/>
      <c r="E298" s="73">
        <v>116092.3</v>
      </c>
      <c r="F298" s="42">
        <v>0</v>
      </c>
      <c r="G298" s="42">
        <f t="shared" si="5"/>
        <v>116092.3</v>
      </c>
      <c r="H298" s="2" t="str">
        <f>VLOOKUP(A298,'MASTER 26 27'!A:B,2,0)</f>
        <v>Not Applicable</v>
      </c>
    </row>
    <row r="299" spans="1:8">
      <c r="A299" s="68" t="s">
        <v>168</v>
      </c>
      <c r="B299" s="73">
        <v>4952525.9400000004</v>
      </c>
      <c r="C299" s="73"/>
      <c r="D299" s="73"/>
      <c r="E299" s="73">
        <v>4952525.9400000004</v>
      </c>
      <c r="F299" s="42">
        <v>0</v>
      </c>
      <c r="G299" s="42">
        <f t="shared" si="5"/>
        <v>4952525.9400000004</v>
      </c>
      <c r="H299" s="2" t="str">
        <f>VLOOKUP(A299,'MASTER 26 27'!A:B,2,0)</f>
        <v>Not Applicable</v>
      </c>
    </row>
    <row r="300" spans="1:8">
      <c r="A300" s="68" t="s">
        <v>182</v>
      </c>
      <c r="B300" s="73">
        <v>1011000</v>
      </c>
      <c r="C300" s="73"/>
      <c r="D300" s="73"/>
      <c r="E300" s="73">
        <v>1011000</v>
      </c>
      <c r="F300" s="42">
        <v>0</v>
      </c>
      <c r="G300" s="42">
        <f t="shared" si="5"/>
        <v>1011000</v>
      </c>
      <c r="H300" s="2" t="str">
        <f>VLOOKUP(A300,'MASTER 26 27'!A:B,2,0)</f>
        <v>Not Applicable</v>
      </c>
    </row>
    <row r="301" spans="1:8">
      <c r="A301" s="68" t="s">
        <v>99</v>
      </c>
      <c r="B301" s="73">
        <v>854410</v>
      </c>
      <c r="C301" s="73"/>
      <c r="D301" s="73"/>
      <c r="E301" s="73">
        <v>854410</v>
      </c>
      <c r="F301" s="42">
        <v>0</v>
      </c>
      <c r="G301" s="42">
        <f t="shared" si="5"/>
        <v>854410</v>
      </c>
      <c r="H301" s="2" t="str">
        <f>VLOOKUP(A301,'MASTER 26 27'!A:B,2,0)</f>
        <v>Not Applicable</v>
      </c>
    </row>
    <row r="302" spans="1:8">
      <c r="A302" s="68" t="s">
        <v>112</v>
      </c>
      <c r="B302" s="73">
        <v>16200</v>
      </c>
      <c r="C302" s="73"/>
      <c r="D302" s="73"/>
      <c r="E302" s="73">
        <v>16200</v>
      </c>
      <c r="F302" s="42">
        <v>0</v>
      </c>
      <c r="G302" s="42">
        <f t="shared" si="5"/>
        <v>16200</v>
      </c>
      <c r="H302" s="2" t="str">
        <f>VLOOKUP(A302,'MASTER 26 27'!A:B,2,0)</f>
        <v>Not Applicable</v>
      </c>
    </row>
    <row r="303" spans="1:8">
      <c r="A303" s="68" t="s">
        <v>162</v>
      </c>
      <c r="B303" s="73">
        <v>9351983.25</v>
      </c>
      <c r="C303" s="73"/>
      <c r="D303" s="73"/>
      <c r="E303" s="73">
        <v>9351983.25</v>
      </c>
      <c r="F303" s="42">
        <v>0</v>
      </c>
      <c r="G303" s="42">
        <f t="shared" si="5"/>
        <v>9351983.25</v>
      </c>
      <c r="H303" s="2" t="str">
        <f>VLOOKUP(A303,'MASTER 26 27'!A:B,2,0)</f>
        <v>Not Applicable</v>
      </c>
    </row>
    <row r="304" spans="1:8">
      <c r="A304" s="68" t="s">
        <v>204</v>
      </c>
      <c r="B304" s="73">
        <v>495000</v>
      </c>
      <c r="C304" s="73"/>
      <c r="D304" s="73"/>
      <c r="E304" s="73">
        <v>495000</v>
      </c>
      <c r="F304" s="42">
        <v>0</v>
      </c>
      <c r="G304" s="42">
        <f t="shared" si="5"/>
        <v>495000</v>
      </c>
      <c r="H304" s="2" t="str">
        <f>VLOOKUP(A304,'MASTER 26 27'!A:B,2,0)</f>
        <v>Not Applicable</v>
      </c>
    </row>
    <row r="305" spans="1:8">
      <c r="A305" s="68" t="s">
        <v>205</v>
      </c>
      <c r="B305" s="73">
        <v>7089366.9500000002</v>
      </c>
      <c r="C305" s="73"/>
      <c r="D305" s="73"/>
      <c r="E305" s="73">
        <v>7089366.9500000002</v>
      </c>
      <c r="F305" s="42">
        <v>0</v>
      </c>
      <c r="G305" s="42">
        <f t="shared" si="5"/>
        <v>7089366.9500000002</v>
      </c>
      <c r="H305" s="2" t="str">
        <f>VLOOKUP(A305,'MASTER 26 27'!A:B,2,0)</f>
        <v>Not Applicable</v>
      </c>
    </row>
    <row r="306" spans="1:8">
      <c r="A306" s="68" t="s">
        <v>326</v>
      </c>
      <c r="B306" s="73">
        <v>286177</v>
      </c>
      <c r="C306" s="73"/>
      <c r="D306" s="73"/>
      <c r="E306" s="73">
        <v>286177</v>
      </c>
      <c r="F306" s="42">
        <v>0</v>
      </c>
      <c r="G306" s="42">
        <f t="shared" si="5"/>
        <v>286177</v>
      </c>
      <c r="H306" s="2" t="str">
        <f>VLOOKUP(A306,'MASTER 26 27'!A:B,2,0)</f>
        <v>Not Applicable</v>
      </c>
    </row>
    <row r="307" spans="1:8">
      <c r="A307" s="68" t="s">
        <v>171</v>
      </c>
      <c r="B307" s="73">
        <v>3500000</v>
      </c>
      <c r="C307" s="73"/>
      <c r="D307" s="73"/>
      <c r="E307" s="73">
        <v>3500000</v>
      </c>
      <c r="F307" s="42">
        <v>0</v>
      </c>
      <c r="G307" s="42">
        <f t="shared" si="5"/>
        <v>3500000</v>
      </c>
      <c r="H307" s="2" t="str">
        <f>VLOOKUP(A307,'MASTER 26 27'!A:B,2,0)</f>
        <v>Not Applicable</v>
      </c>
    </row>
    <row r="308" spans="1:8">
      <c r="A308" s="68" t="s">
        <v>149</v>
      </c>
      <c r="B308" s="73">
        <v>52020</v>
      </c>
      <c r="C308" s="73"/>
      <c r="D308" s="73"/>
      <c r="E308" s="73">
        <v>52020</v>
      </c>
      <c r="F308" s="42">
        <v>0</v>
      </c>
      <c r="G308" s="42">
        <f t="shared" si="5"/>
        <v>52020</v>
      </c>
      <c r="H308" s="2" t="str">
        <f>VLOOKUP(A308,'MASTER 26 27'!A:B,2,0)</f>
        <v>Not Applicable</v>
      </c>
    </row>
    <row r="309" spans="1:8">
      <c r="A309" s="68" t="s">
        <v>298</v>
      </c>
      <c r="B309" s="73">
        <v>9443.83</v>
      </c>
      <c r="C309" s="73"/>
      <c r="D309" s="73"/>
      <c r="E309" s="73">
        <v>9443.83</v>
      </c>
      <c r="F309" s="42">
        <v>0</v>
      </c>
      <c r="G309" s="42">
        <f t="shared" si="5"/>
        <v>9443.83</v>
      </c>
      <c r="H309" s="2" t="str">
        <f>VLOOKUP(A309,'MASTER 26 27'!A:B,2,0)</f>
        <v>Not Applicable</v>
      </c>
    </row>
    <row r="310" spans="1:8">
      <c r="A310" s="68" t="s">
        <v>346</v>
      </c>
      <c r="B310" s="73">
        <v>1631889.63</v>
      </c>
      <c r="C310" s="73"/>
      <c r="D310" s="73"/>
      <c r="E310" s="73">
        <v>1631889.63</v>
      </c>
      <c r="F310" s="42">
        <v>0</v>
      </c>
      <c r="G310" s="42">
        <f t="shared" si="5"/>
        <v>1631889.63</v>
      </c>
      <c r="H310" s="2" t="str">
        <f>VLOOKUP(A310,'MASTER 26 27'!A:B,2,0)</f>
        <v>Not Applicable</v>
      </c>
    </row>
    <row r="311" spans="1:8">
      <c r="A311" s="68" t="s">
        <v>357</v>
      </c>
      <c r="B311" s="73">
        <v>128375</v>
      </c>
      <c r="C311" s="73"/>
      <c r="D311" s="73"/>
      <c r="E311" s="73">
        <v>128375</v>
      </c>
      <c r="F311" s="42">
        <v>0</v>
      </c>
      <c r="G311" s="42">
        <f t="shared" si="5"/>
        <v>128375</v>
      </c>
      <c r="H311" s="2" t="str">
        <f>VLOOKUP(A311,'MASTER 26 27'!A:B,2,0)</f>
        <v>Not Applicable</v>
      </c>
    </row>
    <row r="312" spans="1:8">
      <c r="A312" s="68" t="s">
        <v>206</v>
      </c>
      <c r="B312" s="73">
        <v>634840</v>
      </c>
      <c r="C312" s="73">
        <v>10000</v>
      </c>
      <c r="D312" s="73"/>
      <c r="E312" s="73">
        <v>644840</v>
      </c>
      <c r="F312" s="42">
        <v>0</v>
      </c>
      <c r="G312" s="42">
        <f t="shared" si="5"/>
        <v>644840</v>
      </c>
      <c r="H312" s="2" t="str">
        <f>VLOOKUP(A312,'MASTER 26 27'!A:B,2,0)</f>
        <v>Not Applicable</v>
      </c>
    </row>
    <row r="313" spans="1:8">
      <c r="A313" s="68" t="s">
        <v>207</v>
      </c>
      <c r="B313" s="73">
        <v>1564968</v>
      </c>
      <c r="C313" s="73"/>
      <c r="D313" s="73"/>
      <c r="E313" s="73">
        <v>1564968</v>
      </c>
      <c r="F313" s="42">
        <v>0</v>
      </c>
      <c r="G313" s="42">
        <f t="shared" si="5"/>
        <v>1564968</v>
      </c>
      <c r="H313" s="2" t="str">
        <f>VLOOKUP(A313,'MASTER 26 27'!A:B,2,0)</f>
        <v>Not Applicable</v>
      </c>
    </row>
    <row r="314" spans="1:8">
      <c r="A314" s="68" t="s">
        <v>248</v>
      </c>
      <c r="B314" s="73">
        <v>708000</v>
      </c>
      <c r="C314" s="73"/>
      <c r="D314" s="73"/>
      <c r="E314" s="73">
        <v>708000</v>
      </c>
      <c r="F314" s="42">
        <v>0</v>
      </c>
      <c r="G314" s="42">
        <f t="shared" si="5"/>
        <v>708000</v>
      </c>
      <c r="H314" s="2" t="str">
        <f>VLOOKUP(A314,'MASTER 26 27'!A:B,2,0)</f>
        <v>Not Applicable</v>
      </c>
    </row>
    <row r="315" spans="1:8">
      <c r="A315" s="68" t="s">
        <v>285</v>
      </c>
      <c r="B315" s="73">
        <v>3193887.76</v>
      </c>
      <c r="C315" s="73"/>
      <c r="D315" s="73"/>
      <c r="E315" s="73">
        <v>3193887.76</v>
      </c>
      <c r="F315" s="42">
        <v>0</v>
      </c>
      <c r="G315" s="42">
        <f t="shared" si="5"/>
        <v>3193887.76</v>
      </c>
      <c r="H315" s="2" t="str">
        <f>VLOOKUP(A315,'MASTER 26 27'!A:B,2,0)</f>
        <v>Not Applicable</v>
      </c>
    </row>
    <row r="316" spans="1:8">
      <c r="A316" s="68" t="s">
        <v>228</v>
      </c>
      <c r="B316" s="73">
        <v>379000</v>
      </c>
      <c r="C316" s="73"/>
      <c r="D316" s="73"/>
      <c r="E316" s="73">
        <v>379000</v>
      </c>
      <c r="F316" s="42">
        <v>0</v>
      </c>
      <c r="G316" s="42">
        <f t="shared" si="5"/>
        <v>379000</v>
      </c>
      <c r="H316" s="2" t="str">
        <f>VLOOKUP(A316,'MASTER 26 27'!A:B,2,0)</f>
        <v>Not Applicable</v>
      </c>
    </row>
    <row r="317" spans="1:8">
      <c r="A317" s="68" t="s">
        <v>250</v>
      </c>
      <c r="B317" s="73">
        <v>2467345</v>
      </c>
      <c r="C317" s="73"/>
      <c r="D317" s="73"/>
      <c r="E317" s="73">
        <v>2467345</v>
      </c>
      <c r="F317" s="42">
        <v>0</v>
      </c>
      <c r="G317" s="42">
        <f t="shared" si="5"/>
        <v>2467345</v>
      </c>
      <c r="H317" s="2" t="str">
        <f>VLOOKUP(A317,'MASTER 26 27'!A:B,2,0)</f>
        <v>Not Applicable</v>
      </c>
    </row>
    <row r="318" spans="1:8">
      <c r="A318" s="68" t="s">
        <v>130</v>
      </c>
      <c r="B318" s="73">
        <v>529727.6</v>
      </c>
      <c r="C318" s="73"/>
      <c r="D318" s="73"/>
      <c r="E318" s="73">
        <v>529727.6</v>
      </c>
      <c r="F318" s="42">
        <v>0</v>
      </c>
      <c r="G318" s="42">
        <f t="shared" si="5"/>
        <v>529727.6</v>
      </c>
      <c r="H318" s="2" t="str">
        <f>VLOOKUP(A318,'MASTER 26 27'!A:B,2,0)</f>
        <v>Not Applicable</v>
      </c>
    </row>
    <row r="319" spans="1:8">
      <c r="A319" s="68" t="s">
        <v>172</v>
      </c>
      <c r="B319" s="73">
        <v>1853402.6</v>
      </c>
      <c r="C319" s="73"/>
      <c r="D319" s="73"/>
      <c r="E319" s="73">
        <v>1853402.6</v>
      </c>
      <c r="F319" s="42">
        <v>0</v>
      </c>
      <c r="G319" s="42">
        <f t="shared" si="5"/>
        <v>1853402.6</v>
      </c>
      <c r="H319" s="2" t="str">
        <f>VLOOKUP(A319,'MASTER 26 27'!A:B,2,0)</f>
        <v>Not Applicable</v>
      </c>
    </row>
    <row r="320" spans="1:8">
      <c r="A320" s="68" t="s">
        <v>173</v>
      </c>
      <c r="B320" s="73">
        <v>1617335</v>
      </c>
      <c r="C320" s="73"/>
      <c r="D320" s="73"/>
      <c r="E320" s="73">
        <v>1617335</v>
      </c>
      <c r="F320" s="42">
        <v>0</v>
      </c>
      <c r="G320" s="42">
        <f t="shared" si="5"/>
        <v>1617335</v>
      </c>
      <c r="H320" s="2" t="str">
        <f>VLOOKUP(A320,'MASTER 26 27'!A:B,2,0)</f>
        <v>Not Applicable</v>
      </c>
    </row>
    <row r="321" spans="1:8">
      <c r="A321" s="68" t="s">
        <v>276</v>
      </c>
      <c r="B321" s="73">
        <v>62823024.82</v>
      </c>
      <c r="C321" s="73"/>
      <c r="D321" s="73"/>
      <c r="E321" s="73">
        <v>62823024.82</v>
      </c>
      <c r="F321" s="42">
        <v>0</v>
      </c>
      <c r="G321" s="42">
        <f t="shared" si="5"/>
        <v>62823024.82</v>
      </c>
      <c r="H321" s="2" t="str">
        <f>VLOOKUP(A321,'MASTER 26 27'!A:B,2,0)</f>
        <v>Not Applicable</v>
      </c>
    </row>
    <row r="322" spans="1:8">
      <c r="A322" s="68" t="s">
        <v>317</v>
      </c>
      <c r="B322" s="73">
        <v>36486616.130000003</v>
      </c>
      <c r="C322" s="73"/>
      <c r="D322" s="73"/>
      <c r="E322" s="73">
        <v>36486616.130000003</v>
      </c>
      <c r="F322" s="42">
        <v>0</v>
      </c>
      <c r="G322" s="42">
        <f t="shared" si="5"/>
        <v>36486616.130000003</v>
      </c>
      <c r="H322" s="2" t="str">
        <f>VLOOKUP(A322,'MASTER 26 27'!A:B,2,0)</f>
        <v>Not Applicable</v>
      </c>
    </row>
    <row r="323" spans="1:8">
      <c r="A323" s="68" t="s">
        <v>348</v>
      </c>
      <c r="B323" s="73">
        <v>24243</v>
      </c>
      <c r="C323" s="73"/>
      <c r="D323" s="73"/>
      <c r="E323" s="73">
        <v>24243</v>
      </c>
      <c r="F323" s="42">
        <v>0</v>
      </c>
      <c r="G323" s="42">
        <f t="shared" si="5"/>
        <v>24243</v>
      </c>
      <c r="H323" s="2" t="str">
        <f>VLOOKUP(A323,'MASTER 26 27'!A:B,2,0)</f>
        <v>Not Applicable</v>
      </c>
    </row>
    <row r="324" spans="1:8">
      <c r="A324" s="68" t="s">
        <v>147</v>
      </c>
      <c r="B324" s="73">
        <v>360000</v>
      </c>
      <c r="C324" s="73"/>
      <c r="D324" s="73"/>
      <c r="E324" s="73">
        <v>360000</v>
      </c>
      <c r="F324" s="42">
        <v>0</v>
      </c>
      <c r="G324" s="42">
        <f t="shared" si="5"/>
        <v>360000</v>
      </c>
      <c r="H324" s="2" t="str">
        <f>VLOOKUP(A324,'MASTER 26 27'!A:B,2,0)</f>
        <v>Not Applicable</v>
      </c>
    </row>
    <row r="325" spans="1:8">
      <c r="A325" s="68" t="s">
        <v>362</v>
      </c>
      <c r="B325" s="73">
        <v>68557970.409999996</v>
      </c>
      <c r="C325" s="73"/>
      <c r="D325" s="73"/>
      <c r="E325" s="73">
        <v>68557970.409999996</v>
      </c>
      <c r="F325" s="42">
        <v>0</v>
      </c>
      <c r="G325" s="42">
        <f t="shared" si="5"/>
        <v>68557970.409999996</v>
      </c>
      <c r="H325" s="2" t="str">
        <f>VLOOKUP(A325,'MASTER 26 27'!A:B,2,0)</f>
        <v>Not Applicable</v>
      </c>
    </row>
    <row r="326" spans="1:8">
      <c r="A326" s="68" t="s">
        <v>289</v>
      </c>
      <c r="B326" s="73">
        <v>1398408.4</v>
      </c>
      <c r="C326" s="73"/>
      <c r="D326" s="73"/>
      <c r="E326" s="73">
        <v>1398408.4</v>
      </c>
      <c r="F326" s="42">
        <v>0</v>
      </c>
      <c r="G326" s="42">
        <f t="shared" si="5"/>
        <v>1398408.4</v>
      </c>
      <c r="H326" s="2" t="str">
        <f>VLOOKUP(A326,'MASTER 26 27'!A:B,2,0)</f>
        <v>Not Applicable</v>
      </c>
    </row>
    <row r="327" spans="1:8">
      <c r="A327" s="68" t="s">
        <v>322</v>
      </c>
      <c r="B327" s="73">
        <v>27382501.739999998</v>
      </c>
      <c r="C327" s="73">
        <v>369000</v>
      </c>
      <c r="D327" s="73"/>
      <c r="E327" s="73">
        <v>27751501.739999998</v>
      </c>
      <c r="F327" s="42">
        <v>0</v>
      </c>
      <c r="G327" s="42">
        <f t="shared" ref="G327:G390" si="6">+E327+F327</f>
        <v>27751501.739999998</v>
      </c>
      <c r="H327" s="2" t="str">
        <f>VLOOKUP(A327,'MASTER 26 27'!A:B,2,0)</f>
        <v>Not Applicable</v>
      </c>
    </row>
    <row r="328" spans="1:8">
      <c r="A328" s="68" t="s">
        <v>323</v>
      </c>
      <c r="B328" s="73">
        <v>3211189.8</v>
      </c>
      <c r="C328" s="73"/>
      <c r="D328" s="73"/>
      <c r="E328" s="73">
        <v>3211189.8</v>
      </c>
      <c r="F328" s="42">
        <v>0</v>
      </c>
      <c r="G328" s="42">
        <f t="shared" si="6"/>
        <v>3211189.8</v>
      </c>
      <c r="H328" s="2" t="str">
        <f>VLOOKUP(A328,'MASTER 26 27'!A:B,2,0)</f>
        <v>Not Applicable</v>
      </c>
    </row>
    <row r="329" spans="1:8">
      <c r="A329" s="68" t="s">
        <v>92</v>
      </c>
      <c r="B329" s="73">
        <v>24410011.23</v>
      </c>
      <c r="C329" s="73"/>
      <c r="D329" s="73"/>
      <c r="E329" s="73">
        <v>24410011.23</v>
      </c>
      <c r="F329" s="42">
        <v>0</v>
      </c>
      <c r="G329" s="42">
        <f t="shared" si="6"/>
        <v>24410011.23</v>
      </c>
      <c r="H329" s="2" t="str">
        <f>VLOOKUP(A329,'MASTER 26 27'!A:B,2,0)</f>
        <v>Not Applicable</v>
      </c>
    </row>
    <row r="330" spans="1:8">
      <c r="A330" s="68" t="s">
        <v>124</v>
      </c>
      <c r="B330" s="73">
        <v>574500</v>
      </c>
      <c r="C330" s="73"/>
      <c r="D330" s="73"/>
      <c r="E330" s="73">
        <v>574500</v>
      </c>
      <c r="F330" s="42">
        <v>0</v>
      </c>
      <c r="G330" s="42">
        <f t="shared" si="6"/>
        <v>574500</v>
      </c>
      <c r="H330" s="2" t="str">
        <f>VLOOKUP(A330,'MASTER 26 27'!A:B,2,0)</f>
        <v>Not Applicable</v>
      </c>
    </row>
    <row r="331" spans="1:8">
      <c r="A331" s="68" t="s">
        <v>125</v>
      </c>
      <c r="B331" s="73">
        <v>9371448</v>
      </c>
      <c r="C331" s="73"/>
      <c r="D331" s="73"/>
      <c r="E331" s="73">
        <v>9371448</v>
      </c>
      <c r="F331" s="42">
        <v>0</v>
      </c>
      <c r="G331" s="42">
        <f t="shared" si="6"/>
        <v>9371448</v>
      </c>
      <c r="H331" s="2" t="str">
        <f>VLOOKUP(A331,'MASTER 26 27'!A:B,2,0)</f>
        <v>Not Applicable</v>
      </c>
    </row>
    <row r="332" spans="1:8">
      <c r="A332" s="68" t="s">
        <v>159</v>
      </c>
      <c r="B332" s="73">
        <v>28350</v>
      </c>
      <c r="C332" s="73"/>
      <c r="D332" s="73"/>
      <c r="E332" s="73">
        <v>28350</v>
      </c>
      <c r="F332" s="42">
        <v>0</v>
      </c>
      <c r="G332" s="42">
        <f t="shared" si="6"/>
        <v>28350</v>
      </c>
      <c r="H332" s="2" t="str">
        <f>VLOOKUP(A332,'MASTER 26 27'!A:B,2,0)</f>
        <v>Not Applicable</v>
      </c>
    </row>
    <row r="333" spans="1:8">
      <c r="A333" s="68" t="s">
        <v>160</v>
      </c>
      <c r="B333" s="73">
        <v>30366108.780000001</v>
      </c>
      <c r="C333" s="73"/>
      <c r="D333" s="73"/>
      <c r="E333" s="73">
        <v>30366108.780000001</v>
      </c>
      <c r="F333" s="42">
        <v>0</v>
      </c>
      <c r="G333" s="42">
        <f t="shared" si="6"/>
        <v>30366108.780000001</v>
      </c>
      <c r="H333" s="2" t="str">
        <f>VLOOKUP(A333,'MASTER 26 27'!A:B,2,0)</f>
        <v>Not Applicable</v>
      </c>
    </row>
    <row r="334" spans="1:8">
      <c r="A334" s="68" t="s">
        <v>161</v>
      </c>
      <c r="B334" s="73">
        <v>39942385.469999999</v>
      </c>
      <c r="C334" s="73"/>
      <c r="D334" s="73"/>
      <c r="E334" s="73">
        <v>39942385.469999999</v>
      </c>
      <c r="F334" s="42">
        <v>0</v>
      </c>
      <c r="G334" s="42">
        <f t="shared" si="6"/>
        <v>39942385.469999999</v>
      </c>
      <c r="H334" s="2" t="str">
        <f>VLOOKUP(A334,'MASTER 26 27'!A:B,2,0)</f>
        <v>Not Applicable</v>
      </c>
    </row>
    <row r="335" spans="1:8">
      <c r="A335" s="68" t="s">
        <v>170</v>
      </c>
      <c r="B335" s="73">
        <v>96500</v>
      </c>
      <c r="C335" s="73"/>
      <c r="D335" s="73"/>
      <c r="E335" s="73">
        <v>96500</v>
      </c>
      <c r="F335" s="42">
        <v>0</v>
      </c>
      <c r="G335" s="42">
        <f t="shared" si="6"/>
        <v>96500</v>
      </c>
      <c r="H335" s="2" t="str">
        <f>VLOOKUP(A335,'MASTER 26 27'!A:B,2,0)</f>
        <v>Not Applicable</v>
      </c>
    </row>
    <row r="336" spans="1:8">
      <c r="A336" s="68" t="s">
        <v>187</v>
      </c>
      <c r="B336" s="73">
        <v>100000</v>
      </c>
      <c r="C336" s="73"/>
      <c r="D336" s="73"/>
      <c r="E336" s="73">
        <v>100000</v>
      </c>
      <c r="F336" s="42">
        <v>0</v>
      </c>
      <c r="G336" s="42">
        <f t="shared" si="6"/>
        <v>100000</v>
      </c>
      <c r="H336" s="2" t="str">
        <f>VLOOKUP(A336,'MASTER 26 27'!A:B,2,0)</f>
        <v>Not Applicable</v>
      </c>
    </row>
    <row r="337" spans="1:8">
      <c r="A337" s="68" t="s">
        <v>202</v>
      </c>
      <c r="B337" s="73">
        <v>186280</v>
      </c>
      <c r="C337" s="73"/>
      <c r="D337" s="73"/>
      <c r="E337" s="73">
        <v>186280</v>
      </c>
      <c r="F337" s="42">
        <v>0</v>
      </c>
      <c r="G337" s="42">
        <f t="shared" si="6"/>
        <v>186280</v>
      </c>
      <c r="H337" s="2" t="str">
        <f>VLOOKUP(A337,'MASTER 26 27'!A:B,2,0)</f>
        <v>Not Applicable</v>
      </c>
    </row>
    <row r="338" spans="1:8">
      <c r="A338" s="68" t="s">
        <v>244</v>
      </c>
      <c r="B338" s="73">
        <v>65000</v>
      </c>
      <c r="C338" s="73"/>
      <c r="D338" s="73"/>
      <c r="E338" s="73">
        <v>65000</v>
      </c>
      <c r="F338" s="42">
        <v>0</v>
      </c>
      <c r="G338" s="42">
        <f t="shared" si="6"/>
        <v>65000</v>
      </c>
      <c r="H338" s="2" t="str">
        <f>VLOOKUP(A338,'MASTER 26 27'!A:B,2,0)</f>
        <v>Not Applicable</v>
      </c>
    </row>
    <row r="339" spans="1:8">
      <c r="A339" s="68" t="s">
        <v>325</v>
      </c>
      <c r="B339" s="73">
        <v>57500</v>
      </c>
      <c r="C339" s="73"/>
      <c r="D339" s="73"/>
      <c r="E339" s="73">
        <v>57500</v>
      </c>
      <c r="F339" s="42">
        <v>0</v>
      </c>
      <c r="G339" s="42">
        <f t="shared" si="6"/>
        <v>57500</v>
      </c>
      <c r="H339" s="2" t="str">
        <f>VLOOKUP(A339,'MASTER 26 27'!A:B,2,0)</f>
        <v>Not Applicable</v>
      </c>
    </row>
    <row r="340" spans="1:8">
      <c r="A340" s="68" t="s">
        <v>86</v>
      </c>
      <c r="B340" s="73">
        <v>879414</v>
      </c>
      <c r="C340" s="73"/>
      <c r="D340" s="73"/>
      <c r="E340" s="73">
        <v>879414</v>
      </c>
      <c r="F340" s="42">
        <v>0</v>
      </c>
      <c r="G340" s="42">
        <f t="shared" si="6"/>
        <v>879414</v>
      </c>
      <c r="H340" s="2" t="str">
        <f>VLOOKUP(A340,'MASTER 26 27'!A:B,2,0)</f>
        <v>Not Applicable</v>
      </c>
    </row>
    <row r="341" spans="1:8">
      <c r="A341" s="68" t="s">
        <v>139</v>
      </c>
      <c r="B341" s="73">
        <v>85795</v>
      </c>
      <c r="C341" s="73"/>
      <c r="D341" s="73"/>
      <c r="E341" s="73">
        <v>85795</v>
      </c>
      <c r="F341" s="42">
        <v>0</v>
      </c>
      <c r="G341" s="42">
        <f t="shared" si="6"/>
        <v>85795</v>
      </c>
      <c r="H341" s="2" t="str">
        <f>VLOOKUP(A341,'MASTER 26 27'!A:B,2,0)</f>
        <v>Not Applicable</v>
      </c>
    </row>
    <row r="342" spans="1:8">
      <c r="A342" s="68" t="s">
        <v>140</v>
      </c>
      <c r="B342" s="73">
        <v>140000</v>
      </c>
      <c r="C342" s="73"/>
      <c r="D342" s="73"/>
      <c r="E342" s="73">
        <v>140000</v>
      </c>
      <c r="F342" s="42">
        <v>0</v>
      </c>
      <c r="G342" s="42">
        <f t="shared" si="6"/>
        <v>140000</v>
      </c>
      <c r="H342" s="2" t="str">
        <f>VLOOKUP(A342,'MASTER 26 27'!A:B,2,0)</f>
        <v>Not Applicable</v>
      </c>
    </row>
    <row r="343" spans="1:8">
      <c r="A343" s="68" t="s">
        <v>141</v>
      </c>
      <c r="B343" s="73">
        <v>93100</v>
      </c>
      <c r="C343" s="73"/>
      <c r="D343" s="73"/>
      <c r="E343" s="73">
        <v>93100</v>
      </c>
      <c r="F343" s="42">
        <v>0</v>
      </c>
      <c r="G343" s="42">
        <f t="shared" si="6"/>
        <v>93100</v>
      </c>
      <c r="H343" s="2" t="str">
        <f>VLOOKUP(A343,'MASTER 26 27'!A:B,2,0)</f>
        <v>Not Applicable</v>
      </c>
    </row>
    <row r="344" spans="1:8">
      <c r="A344" s="68" t="s">
        <v>91</v>
      </c>
      <c r="B344" s="73">
        <v>16675</v>
      </c>
      <c r="C344" s="73"/>
      <c r="D344" s="73"/>
      <c r="E344" s="73">
        <v>16675</v>
      </c>
      <c r="F344" s="42">
        <v>0</v>
      </c>
      <c r="G344" s="42">
        <f t="shared" si="6"/>
        <v>16675</v>
      </c>
      <c r="H344" s="2" t="str">
        <f>VLOOKUP(A344,'MASTER 26 27'!A:B,2,0)</f>
        <v>Not Applicable</v>
      </c>
    </row>
    <row r="345" spans="1:8">
      <c r="A345" s="68" t="s">
        <v>146</v>
      </c>
      <c r="B345" s="73">
        <v>2659625.63</v>
      </c>
      <c r="C345" s="73"/>
      <c r="D345" s="73"/>
      <c r="E345" s="73">
        <v>2659625.63</v>
      </c>
      <c r="F345" s="42">
        <v>0</v>
      </c>
      <c r="G345" s="42">
        <f t="shared" si="6"/>
        <v>2659625.63</v>
      </c>
      <c r="H345" s="2" t="str">
        <f>VLOOKUP(A345,'MASTER 26 27'!A:B,2,0)</f>
        <v>Not Applicable</v>
      </c>
    </row>
    <row r="346" spans="1:8">
      <c r="A346" s="68" t="s">
        <v>151</v>
      </c>
      <c r="B346" s="73">
        <v>98304</v>
      </c>
      <c r="C346" s="73"/>
      <c r="D346" s="73"/>
      <c r="E346" s="73">
        <v>98304</v>
      </c>
      <c r="F346" s="42">
        <v>0</v>
      </c>
      <c r="G346" s="42">
        <f t="shared" si="6"/>
        <v>98304</v>
      </c>
      <c r="H346" s="2" t="str">
        <f>VLOOKUP(A346,'MASTER 26 27'!A:B,2,0)</f>
        <v>Not Applicable</v>
      </c>
    </row>
    <row r="347" spans="1:8">
      <c r="A347" s="68" t="s">
        <v>191</v>
      </c>
      <c r="B347" s="73">
        <v>7650</v>
      </c>
      <c r="C347" s="73"/>
      <c r="D347" s="73"/>
      <c r="E347" s="73">
        <v>7650</v>
      </c>
      <c r="F347" s="42">
        <v>0</v>
      </c>
      <c r="G347" s="42">
        <f t="shared" si="6"/>
        <v>7650</v>
      </c>
      <c r="H347" s="2" t="str">
        <f>VLOOKUP(A347,'MASTER 26 27'!A:B,2,0)</f>
        <v>Not Applicable</v>
      </c>
    </row>
    <row r="348" spans="1:8">
      <c r="A348" s="68" t="s">
        <v>195</v>
      </c>
      <c r="B348" s="73">
        <v>211477</v>
      </c>
      <c r="C348" s="73"/>
      <c r="D348" s="73"/>
      <c r="E348" s="73">
        <v>211477</v>
      </c>
      <c r="F348" s="42">
        <v>0</v>
      </c>
      <c r="G348" s="42">
        <f t="shared" si="6"/>
        <v>211477</v>
      </c>
      <c r="H348" s="2" t="str">
        <f>VLOOKUP(A348,'MASTER 26 27'!A:B,2,0)</f>
        <v>Not Applicable</v>
      </c>
    </row>
    <row r="349" spans="1:8">
      <c r="A349" s="68" t="s">
        <v>305</v>
      </c>
      <c r="B349" s="73">
        <v>90000</v>
      </c>
      <c r="C349" s="73"/>
      <c r="D349" s="73"/>
      <c r="E349" s="73">
        <v>90000</v>
      </c>
      <c r="F349" s="42">
        <v>0</v>
      </c>
      <c r="G349" s="42">
        <f t="shared" si="6"/>
        <v>90000</v>
      </c>
      <c r="H349" s="2" t="str">
        <f>VLOOKUP(A349,'MASTER 26 27'!A:B,2,0)</f>
        <v>Not Applicable</v>
      </c>
    </row>
    <row r="350" spans="1:8">
      <c r="A350" s="68" t="s">
        <v>327</v>
      </c>
      <c r="B350" s="73">
        <v>758907.36</v>
      </c>
      <c r="C350" s="73"/>
      <c r="D350" s="73"/>
      <c r="E350" s="73">
        <v>758907.36</v>
      </c>
      <c r="F350" s="42">
        <v>0</v>
      </c>
      <c r="G350" s="42">
        <f t="shared" si="6"/>
        <v>758907.36</v>
      </c>
      <c r="H350" s="2" t="str">
        <f>VLOOKUP(A350,'MASTER 26 27'!A:B,2,0)</f>
        <v>Not Applicable</v>
      </c>
    </row>
    <row r="351" spans="1:8">
      <c r="A351" s="68" t="s">
        <v>354</v>
      </c>
      <c r="B351" s="73">
        <v>349108.97</v>
      </c>
      <c r="C351" s="73"/>
      <c r="D351" s="73"/>
      <c r="E351" s="73">
        <v>349108.97</v>
      </c>
      <c r="F351" s="42">
        <v>0</v>
      </c>
      <c r="G351" s="42">
        <f t="shared" si="6"/>
        <v>349108.97</v>
      </c>
      <c r="H351" s="2" t="str">
        <f>VLOOKUP(A351,'MASTER 26 27'!A:B,2,0)</f>
        <v>Not Applicable</v>
      </c>
    </row>
    <row r="352" spans="1:8">
      <c r="A352" s="68" t="s">
        <v>355</v>
      </c>
      <c r="B352" s="73">
        <v>1571437</v>
      </c>
      <c r="C352" s="73"/>
      <c r="D352" s="73"/>
      <c r="E352" s="73">
        <v>1571437</v>
      </c>
      <c r="F352" s="42">
        <v>0</v>
      </c>
      <c r="G352" s="42">
        <f t="shared" si="6"/>
        <v>1571437</v>
      </c>
      <c r="H352" s="2" t="str">
        <f>VLOOKUP(A352,'MASTER 26 27'!A:B,2,0)</f>
        <v>Not Applicable</v>
      </c>
    </row>
    <row r="353" spans="1:8">
      <c r="A353" s="68" t="s">
        <v>356</v>
      </c>
      <c r="B353" s="73">
        <v>68400</v>
      </c>
      <c r="C353" s="73"/>
      <c r="D353" s="73"/>
      <c r="E353" s="73">
        <v>68400</v>
      </c>
      <c r="F353" s="42">
        <v>0</v>
      </c>
      <c r="G353" s="42">
        <f t="shared" si="6"/>
        <v>68400</v>
      </c>
      <c r="H353" s="2" t="str">
        <f>VLOOKUP(A353,'MASTER 26 27'!A:B,2,0)</f>
        <v>Not Applicable</v>
      </c>
    </row>
    <row r="354" spans="1:8">
      <c r="A354" s="68" t="s">
        <v>359</v>
      </c>
      <c r="B354" s="73">
        <v>429513.24</v>
      </c>
      <c r="C354" s="73"/>
      <c r="D354" s="73"/>
      <c r="E354" s="73">
        <v>429513.24</v>
      </c>
      <c r="F354" s="42">
        <v>0</v>
      </c>
      <c r="G354" s="42">
        <f t="shared" si="6"/>
        <v>429513.24</v>
      </c>
      <c r="H354" s="2" t="str">
        <f>VLOOKUP(A354,'MASTER 26 27'!A:B,2,0)</f>
        <v>Not Applicable</v>
      </c>
    </row>
    <row r="355" spans="1:8">
      <c r="A355" s="68" t="s">
        <v>360</v>
      </c>
      <c r="B355" s="73">
        <v>5850</v>
      </c>
      <c r="C355" s="73"/>
      <c r="D355" s="73"/>
      <c r="E355" s="73">
        <v>5850</v>
      </c>
      <c r="F355" s="42">
        <v>0</v>
      </c>
      <c r="G355" s="42">
        <f t="shared" si="6"/>
        <v>5850</v>
      </c>
      <c r="H355" s="2" t="str">
        <f>VLOOKUP(A355,'MASTER 26 27'!A:B,2,0)</f>
        <v>Not Applicable</v>
      </c>
    </row>
    <row r="356" spans="1:8">
      <c r="A356" s="68" t="s">
        <v>136</v>
      </c>
      <c r="B356" s="73">
        <v>1015945.55</v>
      </c>
      <c r="C356" s="73"/>
      <c r="D356" s="73"/>
      <c r="E356" s="73">
        <v>1015945.55</v>
      </c>
      <c r="F356" s="42">
        <v>0</v>
      </c>
      <c r="G356" s="42">
        <f t="shared" si="6"/>
        <v>1015945.55</v>
      </c>
      <c r="H356" s="2" t="str">
        <f>VLOOKUP(A356,'MASTER 26 27'!A:B,2,0)</f>
        <v>Not Applicable</v>
      </c>
    </row>
    <row r="357" spans="1:8">
      <c r="A357" s="68" t="s">
        <v>1052</v>
      </c>
      <c r="B357" s="73">
        <v>5673027</v>
      </c>
      <c r="C357" s="73"/>
      <c r="D357" s="73"/>
      <c r="E357" s="73">
        <v>5673027</v>
      </c>
      <c r="F357" s="42">
        <v>0</v>
      </c>
      <c r="G357" s="42">
        <f t="shared" si="6"/>
        <v>5673027</v>
      </c>
      <c r="H357" s="2" t="str">
        <f>VLOOKUP(A357,'MASTER 26 27'!A:B,2,0)</f>
        <v>Not Applicable</v>
      </c>
    </row>
    <row r="358" spans="1:8">
      <c r="A358" s="68" t="s">
        <v>115</v>
      </c>
      <c r="B358" s="73">
        <v>733185</v>
      </c>
      <c r="C358" s="73"/>
      <c r="D358" s="73"/>
      <c r="E358" s="73">
        <v>733185</v>
      </c>
      <c r="F358" s="42">
        <v>0</v>
      </c>
      <c r="G358" s="42">
        <f t="shared" si="6"/>
        <v>733185</v>
      </c>
      <c r="H358" s="2" t="str">
        <f>VLOOKUP(A358,'MASTER 26 27'!A:B,2,0)</f>
        <v>Not Applicable</v>
      </c>
    </row>
    <row r="359" spans="1:8">
      <c r="A359" s="68" t="s">
        <v>144</v>
      </c>
      <c r="B359" s="73">
        <v>2750</v>
      </c>
      <c r="C359" s="73"/>
      <c r="D359" s="73"/>
      <c r="E359" s="73">
        <v>2750</v>
      </c>
      <c r="F359" s="42">
        <v>0</v>
      </c>
      <c r="G359" s="42">
        <f t="shared" si="6"/>
        <v>2750</v>
      </c>
      <c r="H359" s="2" t="str">
        <f>VLOOKUP(A359,'MASTER 26 27'!A:B,2,0)</f>
        <v>Not Applicable</v>
      </c>
    </row>
    <row r="360" spans="1:8">
      <c r="A360" s="68" t="s">
        <v>245</v>
      </c>
      <c r="B360" s="73">
        <v>36400</v>
      </c>
      <c r="C360" s="73"/>
      <c r="D360" s="73"/>
      <c r="E360" s="73">
        <v>36400</v>
      </c>
      <c r="F360" s="42">
        <v>0</v>
      </c>
      <c r="G360" s="42">
        <f t="shared" si="6"/>
        <v>36400</v>
      </c>
      <c r="H360" s="2" t="str">
        <f>VLOOKUP(A360,'MASTER 26 27'!A:B,2,0)</f>
        <v>Not Applicable</v>
      </c>
    </row>
    <row r="361" spans="1:8">
      <c r="A361" s="68" t="s">
        <v>246</v>
      </c>
      <c r="B361" s="73">
        <v>43030</v>
      </c>
      <c r="C361" s="73"/>
      <c r="D361" s="73"/>
      <c r="E361" s="73">
        <v>43030</v>
      </c>
      <c r="F361" s="42">
        <v>0</v>
      </c>
      <c r="G361" s="42">
        <f t="shared" si="6"/>
        <v>43030</v>
      </c>
      <c r="H361" s="2" t="str">
        <f>VLOOKUP(A361,'MASTER 26 27'!A:B,2,0)</f>
        <v>Not Applicable</v>
      </c>
    </row>
    <row r="362" spans="1:8">
      <c r="A362" s="68" t="s">
        <v>247</v>
      </c>
      <c r="B362" s="73">
        <v>43030</v>
      </c>
      <c r="C362" s="73"/>
      <c r="D362" s="73"/>
      <c r="E362" s="73">
        <v>43030</v>
      </c>
      <c r="F362" s="42">
        <v>0</v>
      </c>
      <c r="G362" s="42">
        <f t="shared" si="6"/>
        <v>43030</v>
      </c>
      <c r="H362" s="2" t="str">
        <f>VLOOKUP(A362,'MASTER 26 27'!A:B,2,0)</f>
        <v>Not Applicable</v>
      </c>
    </row>
    <row r="363" spans="1:8">
      <c r="A363" s="68" t="s">
        <v>175</v>
      </c>
      <c r="B363" s="73">
        <v>1818539</v>
      </c>
      <c r="C363" s="73"/>
      <c r="D363" s="73"/>
      <c r="E363" s="73">
        <v>1818539</v>
      </c>
      <c r="F363" s="42">
        <v>0</v>
      </c>
      <c r="G363" s="42">
        <f t="shared" si="6"/>
        <v>1818539</v>
      </c>
      <c r="H363" s="2" t="str">
        <f>VLOOKUP(A363,'MASTER 26 27'!A:B,2,0)</f>
        <v>Not Applicable</v>
      </c>
    </row>
    <row r="364" spans="1:8">
      <c r="A364" s="68" t="s">
        <v>176</v>
      </c>
      <c r="B364" s="73">
        <v>766214</v>
      </c>
      <c r="C364" s="73"/>
      <c r="D364" s="73"/>
      <c r="E364" s="73">
        <v>766214</v>
      </c>
      <c r="F364" s="42">
        <v>0</v>
      </c>
      <c r="G364" s="42">
        <f t="shared" si="6"/>
        <v>766214</v>
      </c>
      <c r="H364" s="2" t="str">
        <f>VLOOKUP(A364,'MASTER 26 27'!A:B,2,0)</f>
        <v>Not Applicable</v>
      </c>
    </row>
    <row r="365" spans="1:8">
      <c r="A365" s="68" t="s">
        <v>177</v>
      </c>
      <c r="B365" s="73">
        <v>3428358</v>
      </c>
      <c r="C365" s="73"/>
      <c r="D365" s="73"/>
      <c r="E365" s="73">
        <v>3428358</v>
      </c>
      <c r="F365" s="42">
        <v>0</v>
      </c>
      <c r="G365" s="42">
        <f t="shared" si="6"/>
        <v>3428358</v>
      </c>
      <c r="H365" s="2" t="str">
        <f>VLOOKUP(A365,'MASTER 26 27'!A:B,2,0)</f>
        <v>Not Applicable</v>
      </c>
    </row>
    <row r="366" spans="1:8">
      <c r="A366" s="68" t="s">
        <v>178</v>
      </c>
      <c r="B366" s="73">
        <v>1419968.98</v>
      </c>
      <c r="C366" s="73"/>
      <c r="D366" s="73"/>
      <c r="E366" s="73">
        <v>1419968.98</v>
      </c>
      <c r="F366" s="42">
        <v>0</v>
      </c>
      <c r="G366" s="42">
        <f t="shared" si="6"/>
        <v>1419968.98</v>
      </c>
      <c r="H366" s="2" t="str">
        <f>VLOOKUP(A366,'MASTER 26 27'!A:B,2,0)</f>
        <v>Not Applicable</v>
      </c>
    </row>
    <row r="367" spans="1:8">
      <c r="A367" s="68" t="s">
        <v>321</v>
      </c>
      <c r="B367" s="73">
        <v>2154376</v>
      </c>
      <c r="C367" s="73"/>
      <c r="D367" s="73"/>
      <c r="E367" s="73">
        <v>2154376</v>
      </c>
      <c r="F367" s="42">
        <v>0</v>
      </c>
      <c r="G367" s="42">
        <f t="shared" si="6"/>
        <v>2154376</v>
      </c>
      <c r="H367" s="2" t="str">
        <f>VLOOKUP(A367,'MASTER 26 27'!A:B,2,0)</f>
        <v>Not Applicable</v>
      </c>
    </row>
    <row r="368" spans="1:8">
      <c r="A368" s="68" t="s">
        <v>486</v>
      </c>
      <c r="B368" s="73">
        <v>-590104048.52999997</v>
      </c>
      <c r="C368" s="73"/>
      <c r="D368" s="73"/>
      <c r="E368" s="73">
        <v>-590104048.52999997</v>
      </c>
      <c r="F368" s="42">
        <v>0</v>
      </c>
      <c r="G368" s="42">
        <f t="shared" si="6"/>
        <v>-590104048.52999997</v>
      </c>
      <c r="H368" s="2" t="str">
        <f>VLOOKUP(A368,'MASTER 26 27'!A:B,2,0)</f>
        <v>Not Applicable</v>
      </c>
    </row>
    <row r="369" spans="1:8">
      <c r="A369" s="68" t="s">
        <v>664</v>
      </c>
      <c r="B369" s="73"/>
      <c r="C369" s="73"/>
      <c r="D369" s="73">
        <v>3825889.17</v>
      </c>
      <c r="E369" s="73">
        <v>-3825889.17</v>
      </c>
      <c r="F369" s="42">
        <v>0</v>
      </c>
      <c r="G369" s="42">
        <f t="shared" si="6"/>
        <v>-3825889.17</v>
      </c>
      <c r="H369" s="2" t="str">
        <f>VLOOKUP(A369,'MASTER 26 27'!A:B,2,0)</f>
        <v>Not Applicable</v>
      </c>
    </row>
    <row r="370" spans="1:8">
      <c r="A370" s="68" t="s">
        <v>595</v>
      </c>
      <c r="B370" s="73"/>
      <c r="C370" s="73"/>
      <c r="D370" s="73">
        <v>258483.19</v>
      </c>
      <c r="E370" s="73">
        <v>-258483.19</v>
      </c>
      <c r="F370" s="42">
        <v>0</v>
      </c>
      <c r="G370" s="42">
        <f t="shared" si="6"/>
        <v>-258483.19</v>
      </c>
      <c r="H370" s="2" t="str">
        <f>VLOOKUP(A370,'MASTER 26 27'!A:B,2,0)</f>
        <v>Not Applicable</v>
      </c>
    </row>
    <row r="371" spans="1:8">
      <c r="A371" s="68" t="s">
        <v>434</v>
      </c>
      <c r="B371" s="73"/>
      <c r="C371" s="73"/>
      <c r="D371" s="73">
        <v>3825889.17</v>
      </c>
      <c r="E371" s="73">
        <v>-3825889.17</v>
      </c>
      <c r="F371" s="42">
        <v>0</v>
      </c>
      <c r="G371" s="42">
        <f t="shared" si="6"/>
        <v>-3825889.17</v>
      </c>
      <c r="H371" s="2" t="str">
        <f>VLOOKUP(A371,'MASTER 26 27'!A:B,2,0)</f>
        <v>Not Applicable</v>
      </c>
    </row>
    <row r="372" spans="1:8">
      <c r="A372" s="68" t="s">
        <v>485</v>
      </c>
      <c r="B372" s="73">
        <v>-74528</v>
      </c>
      <c r="C372" s="73">
        <v>77400</v>
      </c>
      <c r="D372" s="73"/>
      <c r="E372" s="73">
        <v>2872</v>
      </c>
      <c r="F372" s="42">
        <v>0</v>
      </c>
      <c r="G372" s="42">
        <f t="shared" si="6"/>
        <v>2872</v>
      </c>
      <c r="H372" s="2" t="str">
        <f>VLOOKUP(A372,'MASTER 26 27'!A:B,2,0)</f>
        <v>Not Applicable</v>
      </c>
    </row>
    <row r="373" spans="1:8">
      <c r="A373" s="68" t="s">
        <v>395</v>
      </c>
      <c r="B373" s="73"/>
      <c r="C373" s="73"/>
      <c r="D373" s="73"/>
      <c r="E373" s="73">
        <v>0</v>
      </c>
      <c r="F373" s="42">
        <v>0</v>
      </c>
      <c r="G373" s="42">
        <f t="shared" si="6"/>
        <v>0</v>
      </c>
      <c r="H373" s="2" t="str">
        <f>VLOOKUP(A373,'MASTER 26 27'!A:B,2,0)</f>
        <v>Not Applicable</v>
      </c>
    </row>
    <row r="374" spans="1:8">
      <c r="A374" s="68" t="s">
        <v>396</v>
      </c>
      <c r="B374" s="73"/>
      <c r="C374" s="73"/>
      <c r="D374" s="73"/>
      <c r="E374" s="73">
        <v>0</v>
      </c>
      <c r="F374" s="42">
        <v>0</v>
      </c>
      <c r="G374" s="42">
        <f t="shared" si="6"/>
        <v>0</v>
      </c>
      <c r="H374" s="2" t="str">
        <f>VLOOKUP(A374,'MASTER 26 27'!A:B,2,0)</f>
        <v>Not Applicable</v>
      </c>
    </row>
    <row r="375" spans="1:8">
      <c r="A375" s="68" t="s">
        <v>397</v>
      </c>
      <c r="B375" s="73"/>
      <c r="C375" s="73"/>
      <c r="D375" s="73"/>
      <c r="E375" s="73">
        <v>0</v>
      </c>
      <c r="F375" s="42">
        <v>0</v>
      </c>
      <c r="G375" s="42">
        <f t="shared" si="6"/>
        <v>0</v>
      </c>
      <c r="H375" s="2" t="str">
        <f>VLOOKUP(A375,'MASTER 26 27'!A:B,2,0)</f>
        <v>Not Applicable</v>
      </c>
    </row>
    <row r="376" spans="1:8">
      <c r="A376" s="68" t="s">
        <v>1308</v>
      </c>
      <c r="B376" s="73"/>
      <c r="C376" s="73"/>
      <c r="D376" s="73"/>
      <c r="E376" s="73">
        <v>0</v>
      </c>
      <c r="F376" s="42">
        <v>0</v>
      </c>
      <c r="G376" s="42">
        <f t="shared" si="6"/>
        <v>0</v>
      </c>
      <c r="H376" s="2" t="str">
        <f>VLOOKUP(A376,'MASTER 26 27'!A:B,2,0)</f>
        <v>Not Applicable</v>
      </c>
    </row>
    <row r="377" spans="1:8">
      <c r="A377" s="68" t="s">
        <v>1422</v>
      </c>
      <c r="B377" s="73"/>
      <c r="C377" s="73"/>
      <c r="D377" s="73">
        <v>3329.96</v>
      </c>
      <c r="E377" s="73">
        <v>-3329.96</v>
      </c>
      <c r="F377" s="42">
        <v>0</v>
      </c>
      <c r="G377" s="42">
        <f t="shared" si="6"/>
        <v>-3329.96</v>
      </c>
      <c r="H377" s="2" t="s">
        <v>84</v>
      </c>
    </row>
    <row r="378" spans="1:8">
      <c r="A378" s="68" t="s">
        <v>400</v>
      </c>
      <c r="B378" s="73">
        <v>-17462</v>
      </c>
      <c r="C378" s="73"/>
      <c r="D378" s="73">
        <v>71375</v>
      </c>
      <c r="E378" s="73">
        <v>-88837</v>
      </c>
      <c r="F378" s="42">
        <v>0</v>
      </c>
      <c r="G378" s="42">
        <f t="shared" si="6"/>
        <v>-88837</v>
      </c>
      <c r="H378" s="2" t="str">
        <f>VLOOKUP(A378,'MASTER 26 27'!A:B,2,0)</f>
        <v>Not Applicable</v>
      </c>
    </row>
    <row r="379" spans="1:8">
      <c r="A379" s="68" t="s">
        <v>971</v>
      </c>
      <c r="B379" s="73"/>
      <c r="C379" s="73"/>
      <c r="D379" s="73">
        <v>26220</v>
      </c>
      <c r="E379" s="73">
        <v>-26220</v>
      </c>
      <c r="F379" s="42">
        <v>0</v>
      </c>
      <c r="G379" s="42">
        <f t="shared" si="6"/>
        <v>-26220</v>
      </c>
      <c r="H379" s="2" t="str">
        <f>VLOOKUP(A379,'MASTER 26 27'!A:B,2,0)</f>
        <v>Not Applicable</v>
      </c>
    </row>
    <row r="380" spans="1:8">
      <c r="A380" s="68" t="s">
        <v>401</v>
      </c>
      <c r="B380" s="73"/>
      <c r="C380" s="73"/>
      <c r="D380" s="73">
        <v>12600</v>
      </c>
      <c r="E380" s="73">
        <v>-12600</v>
      </c>
      <c r="F380" s="42">
        <v>0</v>
      </c>
      <c r="G380" s="42">
        <f t="shared" si="6"/>
        <v>-12600</v>
      </c>
      <c r="H380" s="2" t="str">
        <f>VLOOKUP(A380,'MASTER 26 27'!A:B,2,0)</f>
        <v>Not Applicable</v>
      </c>
    </row>
    <row r="381" spans="1:8">
      <c r="A381" s="68" t="s">
        <v>402</v>
      </c>
      <c r="B381" s="73"/>
      <c r="C381" s="73"/>
      <c r="D381" s="73">
        <v>52394.02</v>
      </c>
      <c r="E381" s="73">
        <v>-52394.02</v>
      </c>
      <c r="F381" s="42">
        <v>0</v>
      </c>
      <c r="G381" s="42">
        <f t="shared" si="6"/>
        <v>-52394.02</v>
      </c>
      <c r="H381" s="2" t="str">
        <f>VLOOKUP(A381,'MASTER 26 27'!A:B,2,0)</f>
        <v>Not Applicable</v>
      </c>
    </row>
    <row r="382" spans="1:8">
      <c r="A382" s="68" t="s">
        <v>673</v>
      </c>
      <c r="B382" s="73">
        <v>-1494215</v>
      </c>
      <c r="C382" s="73"/>
      <c r="D382" s="73"/>
      <c r="E382" s="73">
        <v>-1494215</v>
      </c>
      <c r="F382" s="42">
        <v>0</v>
      </c>
      <c r="G382" s="42">
        <f t="shared" si="6"/>
        <v>-1494215</v>
      </c>
      <c r="H382" s="2" t="str">
        <f>VLOOKUP(A382,'MASTER 26 27'!A:B,2,0)</f>
        <v>Not Applicable</v>
      </c>
    </row>
    <row r="383" spans="1:8">
      <c r="A383" s="68" t="s">
        <v>637</v>
      </c>
      <c r="B383" s="73">
        <v>-732602</v>
      </c>
      <c r="C383" s="73">
        <v>311010</v>
      </c>
      <c r="D383" s="73">
        <v>421</v>
      </c>
      <c r="E383" s="73">
        <v>-422013</v>
      </c>
      <c r="F383" s="42">
        <v>0</v>
      </c>
      <c r="G383" s="42">
        <f t="shared" si="6"/>
        <v>-422013</v>
      </c>
      <c r="H383" s="2" t="str">
        <f>VLOOKUP(A383,'MASTER 26 27'!A:B,2,0)</f>
        <v>Not Applicable</v>
      </c>
    </row>
    <row r="384" spans="1:8">
      <c r="A384" s="68" t="s">
        <v>626</v>
      </c>
      <c r="B384" s="73">
        <v>36125</v>
      </c>
      <c r="C384" s="73">
        <v>50836</v>
      </c>
      <c r="D384" s="73">
        <v>50837</v>
      </c>
      <c r="E384" s="73">
        <v>36124</v>
      </c>
      <c r="F384" s="42">
        <v>0</v>
      </c>
      <c r="G384" s="42">
        <f t="shared" si="6"/>
        <v>36124</v>
      </c>
      <c r="H384" s="2" t="str">
        <f>VLOOKUP(A384,'MASTER 26 27'!A:B,2,0)</f>
        <v>Not Applicable</v>
      </c>
    </row>
    <row r="385" spans="1:8">
      <c r="A385" s="68" t="s">
        <v>455</v>
      </c>
      <c r="B385" s="73">
        <v>-8641911.9800000004</v>
      </c>
      <c r="C385" s="73">
        <v>8209322</v>
      </c>
      <c r="D385" s="73"/>
      <c r="E385" s="73">
        <v>-432589.98</v>
      </c>
      <c r="F385" s="42">
        <v>0</v>
      </c>
      <c r="G385" s="42">
        <f t="shared" si="6"/>
        <v>-432589.98</v>
      </c>
      <c r="H385" s="2" t="str">
        <f>VLOOKUP(A385,'MASTER 26 27'!A:B,2,0)</f>
        <v>Not Applicable</v>
      </c>
    </row>
    <row r="386" spans="1:8">
      <c r="A386" s="68" t="s">
        <v>1423</v>
      </c>
      <c r="B386" s="73">
        <v>-5841</v>
      </c>
      <c r="C386" s="73"/>
      <c r="D386" s="73"/>
      <c r="E386" s="73">
        <v>-5841</v>
      </c>
      <c r="F386" s="42">
        <v>0</v>
      </c>
      <c r="G386" s="42">
        <f t="shared" si="6"/>
        <v>-5841</v>
      </c>
      <c r="H386" s="2" t="s">
        <v>84</v>
      </c>
    </row>
    <row r="387" spans="1:8">
      <c r="A387" s="68" t="s">
        <v>1350</v>
      </c>
      <c r="B387" s="73">
        <v>-34321.599999999999</v>
      </c>
      <c r="C387" s="73">
        <v>34321.599999999999</v>
      </c>
      <c r="D387" s="73"/>
      <c r="E387" s="73">
        <v>0</v>
      </c>
      <c r="F387" s="42">
        <v>0</v>
      </c>
      <c r="G387" s="42">
        <f t="shared" si="6"/>
        <v>0</v>
      </c>
      <c r="H387" s="2" t="str">
        <f>VLOOKUP(A387,'MASTER 26 27'!A:B,2,0)</f>
        <v>Not Applicable</v>
      </c>
    </row>
    <row r="388" spans="1:8">
      <c r="A388" s="68" t="s">
        <v>644</v>
      </c>
      <c r="B388" s="73">
        <v>-2537</v>
      </c>
      <c r="C388" s="73"/>
      <c r="D388" s="73"/>
      <c r="E388" s="73">
        <v>-2537</v>
      </c>
      <c r="F388" s="42">
        <v>0</v>
      </c>
      <c r="G388" s="42">
        <f t="shared" si="6"/>
        <v>-2537</v>
      </c>
      <c r="H388" s="2" t="str">
        <f>VLOOKUP(A388,'MASTER 26 27'!A:B,2,0)</f>
        <v>Not Applicable</v>
      </c>
    </row>
    <row r="389" spans="1:8">
      <c r="A389" s="68" t="s">
        <v>1424</v>
      </c>
      <c r="B389" s="73"/>
      <c r="C389" s="73"/>
      <c r="D389" s="73"/>
      <c r="E389" s="73">
        <v>0</v>
      </c>
      <c r="F389" s="42">
        <v>0</v>
      </c>
      <c r="G389" s="42">
        <f t="shared" si="6"/>
        <v>0</v>
      </c>
      <c r="H389" s="2" t="s">
        <v>84</v>
      </c>
    </row>
    <row r="390" spans="1:8">
      <c r="A390" s="68" t="s">
        <v>1038</v>
      </c>
      <c r="B390" s="73">
        <v>-5992</v>
      </c>
      <c r="C390" s="73"/>
      <c r="D390" s="73"/>
      <c r="E390" s="73">
        <v>-5992</v>
      </c>
      <c r="F390" s="42">
        <v>0</v>
      </c>
      <c r="G390" s="42">
        <f t="shared" si="6"/>
        <v>-5992</v>
      </c>
      <c r="H390" s="2" t="str">
        <f>VLOOKUP(A390,'MASTER 26 27'!A:B,2,0)</f>
        <v>Not Applicable</v>
      </c>
    </row>
    <row r="391" spans="1:8">
      <c r="A391" s="68" t="s">
        <v>482</v>
      </c>
      <c r="B391" s="73">
        <v>-197176</v>
      </c>
      <c r="C391" s="73"/>
      <c r="D391" s="73"/>
      <c r="E391" s="73">
        <v>-197176</v>
      </c>
      <c r="F391" s="42">
        <v>0</v>
      </c>
      <c r="G391" s="42">
        <f t="shared" ref="G391:G454" si="7">+E391+F391</f>
        <v>-197176</v>
      </c>
      <c r="H391" s="2" t="str">
        <f>VLOOKUP(A391,'MASTER 26 27'!A:B,2,0)</f>
        <v>Not Applicable</v>
      </c>
    </row>
    <row r="392" spans="1:8">
      <c r="A392" s="68" t="s">
        <v>478</v>
      </c>
      <c r="B392" s="73">
        <v>-5377</v>
      </c>
      <c r="C392" s="73"/>
      <c r="D392" s="73"/>
      <c r="E392" s="73">
        <v>-5377</v>
      </c>
      <c r="F392" s="42">
        <v>0</v>
      </c>
      <c r="G392" s="42">
        <f t="shared" si="7"/>
        <v>-5377</v>
      </c>
      <c r="H392" s="2" t="str">
        <f>VLOOKUP(A392,'MASTER 26 27'!A:B,2,0)</f>
        <v>Not Applicable</v>
      </c>
    </row>
    <row r="393" spans="1:8">
      <c r="A393" s="68" t="s">
        <v>1425</v>
      </c>
      <c r="B393" s="73"/>
      <c r="C393" s="73"/>
      <c r="D393" s="73"/>
      <c r="E393" s="73">
        <v>0</v>
      </c>
      <c r="F393" s="42">
        <v>0</v>
      </c>
      <c r="G393" s="42">
        <f t="shared" si="7"/>
        <v>0</v>
      </c>
      <c r="H393" s="2" t="s">
        <v>84</v>
      </c>
    </row>
    <row r="394" spans="1:8">
      <c r="A394" s="68" t="s">
        <v>431</v>
      </c>
      <c r="B394" s="73"/>
      <c r="C394" s="73"/>
      <c r="D394" s="73"/>
      <c r="E394" s="73">
        <v>0</v>
      </c>
      <c r="F394" s="42">
        <v>0</v>
      </c>
      <c r="G394" s="42">
        <f t="shared" si="7"/>
        <v>0</v>
      </c>
      <c r="H394" s="2" t="str">
        <f>VLOOKUP(A394,'MASTER 26 27'!A:B,2,0)</f>
        <v>Not Applicable</v>
      </c>
    </row>
    <row r="395" spans="1:8">
      <c r="A395" s="68" t="s">
        <v>418</v>
      </c>
      <c r="B395" s="73">
        <v>-11250</v>
      </c>
      <c r="C395" s="73"/>
      <c r="D395" s="73"/>
      <c r="E395" s="73">
        <v>-11250</v>
      </c>
      <c r="F395" s="42">
        <v>0</v>
      </c>
      <c r="G395" s="42">
        <f t="shared" si="7"/>
        <v>-11250</v>
      </c>
      <c r="H395" s="2" t="str">
        <f>VLOOKUP(A395,'MASTER 26 27'!A:B,2,0)</f>
        <v>Not Applicable</v>
      </c>
    </row>
    <row r="396" spans="1:8">
      <c r="A396" s="68" t="s">
        <v>416</v>
      </c>
      <c r="B396" s="73">
        <v>-424</v>
      </c>
      <c r="C396" s="73"/>
      <c r="D396" s="73"/>
      <c r="E396" s="73">
        <v>-424</v>
      </c>
      <c r="F396" s="42">
        <v>0</v>
      </c>
      <c r="G396" s="42">
        <f t="shared" si="7"/>
        <v>-424</v>
      </c>
      <c r="H396" s="2" t="str">
        <f>VLOOKUP(A396,'MASTER 26 27'!A:B,2,0)</f>
        <v>Not Applicable</v>
      </c>
    </row>
    <row r="397" spans="1:8">
      <c r="A397" s="68" t="s">
        <v>377</v>
      </c>
      <c r="B397" s="73"/>
      <c r="C397" s="73">
        <v>6422.14</v>
      </c>
      <c r="D397" s="73">
        <v>6423</v>
      </c>
      <c r="E397" s="73">
        <v>-0.86</v>
      </c>
      <c r="F397" s="42">
        <v>0</v>
      </c>
      <c r="G397" s="42">
        <f t="shared" si="7"/>
        <v>-0.86</v>
      </c>
      <c r="H397" s="2" t="str">
        <f>VLOOKUP(A397,'MASTER 26 27'!A:B,2,0)</f>
        <v>Not Applicable</v>
      </c>
    </row>
    <row r="398" spans="1:8">
      <c r="A398" s="68" t="s">
        <v>382</v>
      </c>
      <c r="B398" s="73">
        <v>-150.47999999999999</v>
      </c>
      <c r="C398" s="73"/>
      <c r="D398" s="73"/>
      <c r="E398" s="73">
        <v>-150.47999999999999</v>
      </c>
      <c r="F398" s="42">
        <v>0</v>
      </c>
      <c r="G398" s="42">
        <f t="shared" si="7"/>
        <v>-150.47999999999999</v>
      </c>
      <c r="H398" s="2" t="str">
        <f>VLOOKUP(A398,'MASTER 26 27'!A:B,2,0)</f>
        <v>Not Applicable</v>
      </c>
    </row>
    <row r="399" spans="1:8">
      <c r="A399" s="68" t="s">
        <v>1426</v>
      </c>
      <c r="B399" s="73">
        <v>-420</v>
      </c>
      <c r="C399" s="73"/>
      <c r="D399" s="73">
        <v>413</v>
      </c>
      <c r="E399" s="73">
        <v>-833</v>
      </c>
      <c r="F399" s="42">
        <v>0</v>
      </c>
      <c r="G399" s="42">
        <f t="shared" si="7"/>
        <v>-833</v>
      </c>
      <c r="H399" s="2" t="s">
        <v>84</v>
      </c>
    </row>
    <row r="400" spans="1:8">
      <c r="A400" s="68" t="s">
        <v>995</v>
      </c>
      <c r="B400" s="73"/>
      <c r="C400" s="73"/>
      <c r="D400" s="73"/>
      <c r="E400" s="73">
        <v>0</v>
      </c>
      <c r="F400" s="42">
        <v>0</v>
      </c>
      <c r="G400" s="42">
        <f t="shared" si="7"/>
        <v>0</v>
      </c>
      <c r="H400" s="2" t="str">
        <f>VLOOKUP(A400,'MASTER 26 27'!A:B,2,0)</f>
        <v>Not Applicable</v>
      </c>
    </row>
    <row r="401" spans="1:8">
      <c r="A401" s="68" t="s">
        <v>741</v>
      </c>
      <c r="B401" s="73">
        <v>-43311</v>
      </c>
      <c r="C401" s="73">
        <v>44428</v>
      </c>
      <c r="D401" s="73">
        <v>39530</v>
      </c>
      <c r="E401" s="73">
        <v>-38413</v>
      </c>
      <c r="F401" s="42">
        <v>0</v>
      </c>
      <c r="G401" s="42">
        <f t="shared" si="7"/>
        <v>-38413</v>
      </c>
      <c r="H401" s="2" t="str">
        <f>VLOOKUP(A401,'MASTER 26 27'!A:B,2,0)</f>
        <v>Not Applicable</v>
      </c>
    </row>
    <row r="402" spans="1:8">
      <c r="A402" s="68" t="s">
        <v>676</v>
      </c>
      <c r="B402" s="73">
        <v>-8821</v>
      </c>
      <c r="C402" s="73">
        <v>2419</v>
      </c>
      <c r="D402" s="73"/>
      <c r="E402" s="73">
        <v>-6402</v>
      </c>
      <c r="F402" s="42">
        <v>0</v>
      </c>
      <c r="G402" s="42">
        <f t="shared" si="7"/>
        <v>-6402</v>
      </c>
      <c r="H402" s="2" t="str">
        <f>VLOOKUP(A402,'MASTER 26 27'!A:B,2,0)</f>
        <v>Not Applicable</v>
      </c>
    </row>
    <row r="403" spans="1:8">
      <c r="A403" s="68" t="s">
        <v>729</v>
      </c>
      <c r="B403" s="73">
        <v>-25095</v>
      </c>
      <c r="C403" s="73"/>
      <c r="D403" s="73"/>
      <c r="E403" s="73">
        <v>-25095</v>
      </c>
      <c r="F403" s="42">
        <v>0</v>
      </c>
      <c r="G403" s="42">
        <f t="shared" si="7"/>
        <v>-25095</v>
      </c>
      <c r="H403" s="2" t="str">
        <f>VLOOKUP(A403,'MASTER 26 27'!A:B,2,0)</f>
        <v>Not Applicable</v>
      </c>
    </row>
    <row r="404" spans="1:8">
      <c r="A404" s="68" t="s">
        <v>1427</v>
      </c>
      <c r="B404" s="73"/>
      <c r="C404" s="73"/>
      <c r="D404" s="73">
        <v>10537</v>
      </c>
      <c r="E404" s="73">
        <v>-10537</v>
      </c>
      <c r="F404" s="42">
        <v>0</v>
      </c>
      <c r="G404" s="42">
        <f t="shared" si="7"/>
        <v>-10537</v>
      </c>
      <c r="H404" s="2" t="s">
        <v>84</v>
      </c>
    </row>
    <row r="405" spans="1:8">
      <c r="A405" s="68" t="s">
        <v>727</v>
      </c>
      <c r="B405" s="73">
        <v>-79852.479999999996</v>
      </c>
      <c r="C405" s="73">
        <v>80754.48</v>
      </c>
      <c r="D405" s="73">
        <v>182592.02</v>
      </c>
      <c r="E405" s="73">
        <v>-181690.02</v>
      </c>
      <c r="F405" s="42">
        <v>0</v>
      </c>
      <c r="G405" s="42">
        <f t="shared" si="7"/>
        <v>-181690.02</v>
      </c>
      <c r="H405" s="2" t="str">
        <f>VLOOKUP(A405,'MASTER 26 27'!A:B,2,0)</f>
        <v>Not Applicable</v>
      </c>
    </row>
    <row r="406" spans="1:8">
      <c r="A406" s="68" t="s">
        <v>1428</v>
      </c>
      <c r="B406" s="73">
        <v>2078.34</v>
      </c>
      <c r="C406" s="73"/>
      <c r="D406" s="73"/>
      <c r="E406" s="73">
        <v>2078.34</v>
      </c>
      <c r="F406" s="42">
        <v>0</v>
      </c>
      <c r="G406" s="42">
        <f t="shared" si="7"/>
        <v>2078.34</v>
      </c>
      <c r="H406" s="2" t="s">
        <v>84</v>
      </c>
    </row>
    <row r="407" spans="1:8">
      <c r="A407" s="68" t="s">
        <v>726</v>
      </c>
      <c r="B407" s="73">
        <v>-524510</v>
      </c>
      <c r="C407" s="73"/>
      <c r="D407" s="73"/>
      <c r="E407" s="73">
        <v>-524510</v>
      </c>
      <c r="F407" s="42">
        <v>0</v>
      </c>
      <c r="G407" s="42">
        <f t="shared" si="7"/>
        <v>-524510</v>
      </c>
      <c r="H407" s="2" t="str">
        <f>VLOOKUP(A407,'MASTER 26 27'!A:B,2,0)</f>
        <v>Not Applicable</v>
      </c>
    </row>
    <row r="408" spans="1:8">
      <c r="A408" s="68" t="s">
        <v>1331</v>
      </c>
      <c r="B408" s="73">
        <v>-670</v>
      </c>
      <c r="C408" s="73"/>
      <c r="D408" s="73"/>
      <c r="E408" s="73">
        <v>-670</v>
      </c>
      <c r="F408" s="42">
        <v>0</v>
      </c>
      <c r="G408" s="42">
        <f t="shared" si="7"/>
        <v>-670</v>
      </c>
      <c r="H408" s="2" t="str">
        <f>VLOOKUP(A408,'MASTER 26 27'!A:B,2,0)</f>
        <v>Not Applicable</v>
      </c>
    </row>
    <row r="409" spans="1:8">
      <c r="A409" s="68" t="s">
        <v>1317</v>
      </c>
      <c r="B409" s="73">
        <v>-1000252</v>
      </c>
      <c r="C409" s="73">
        <v>2048649</v>
      </c>
      <c r="D409" s="73">
        <v>1048397</v>
      </c>
      <c r="E409" s="73">
        <v>0</v>
      </c>
      <c r="F409" s="42">
        <v>0</v>
      </c>
      <c r="G409" s="42">
        <f t="shared" si="7"/>
        <v>0</v>
      </c>
      <c r="H409" s="2" t="str">
        <f>VLOOKUP(A409,'MASTER 26 27'!A:B,2,0)</f>
        <v>Not Applicable</v>
      </c>
    </row>
    <row r="410" spans="1:8">
      <c r="A410" s="68" t="s">
        <v>714</v>
      </c>
      <c r="B410" s="73"/>
      <c r="C410" s="73"/>
      <c r="D410" s="73">
        <v>129210</v>
      </c>
      <c r="E410" s="73">
        <v>-129210</v>
      </c>
      <c r="F410" s="42">
        <v>0</v>
      </c>
      <c r="G410" s="42">
        <f t="shared" si="7"/>
        <v>-129210</v>
      </c>
      <c r="H410" s="2" t="str">
        <f>VLOOKUP(A410,'MASTER 26 27'!A:B,2,0)</f>
        <v>Not Applicable</v>
      </c>
    </row>
    <row r="411" spans="1:8">
      <c r="A411" s="68" t="s">
        <v>1429</v>
      </c>
      <c r="B411" s="73"/>
      <c r="C411" s="73"/>
      <c r="D411" s="73">
        <v>22420</v>
      </c>
      <c r="E411" s="73">
        <v>-22420</v>
      </c>
      <c r="F411" s="42">
        <v>0</v>
      </c>
      <c r="G411" s="42">
        <f t="shared" si="7"/>
        <v>-22420</v>
      </c>
      <c r="H411" s="2" t="s">
        <v>84</v>
      </c>
    </row>
    <row r="412" spans="1:8">
      <c r="A412" s="68" t="s">
        <v>723</v>
      </c>
      <c r="B412" s="73">
        <v>-38457</v>
      </c>
      <c r="C412" s="73">
        <v>38221</v>
      </c>
      <c r="D412" s="73"/>
      <c r="E412" s="73">
        <v>-236</v>
      </c>
      <c r="F412" s="42">
        <v>0</v>
      </c>
      <c r="G412" s="42">
        <f t="shared" si="7"/>
        <v>-236</v>
      </c>
      <c r="H412" s="2" t="str">
        <f>VLOOKUP(A412,'MASTER 26 27'!A:B,2,0)</f>
        <v>Not Applicable</v>
      </c>
    </row>
    <row r="413" spans="1:8">
      <c r="A413" s="68" t="s">
        <v>1430</v>
      </c>
      <c r="B413" s="73"/>
      <c r="C413" s="73"/>
      <c r="D413" s="73"/>
      <c r="E413" s="73">
        <v>0</v>
      </c>
      <c r="F413" s="42">
        <v>0</v>
      </c>
      <c r="G413" s="42">
        <f t="shared" si="7"/>
        <v>0</v>
      </c>
      <c r="H413" s="2" t="s">
        <v>84</v>
      </c>
    </row>
    <row r="414" spans="1:8">
      <c r="A414" s="68" t="s">
        <v>724</v>
      </c>
      <c r="B414" s="73">
        <v>-14491.4</v>
      </c>
      <c r="C414" s="73"/>
      <c r="D414" s="73"/>
      <c r="E414" s="73">
        <v>-14491.4</v>
      </c>
      <c r="F414" s="42">
        <v>0</v>
      </c>
      <c r="G414" s="42">
        <f t="shared" si="7"/>
        <v>-14491.4</v>
      </c>
      <c r="H414" s="2" t="str">
        <f>VLOOKUP(A414,'MASTER 26 27'!A:B,2,0)</f>
        <v>Not Applicable</v>
      </c>
    </row>
    <row r="415" spans="1:8">
      <c r="A415" s="68" t="s">
        <v>1005</v>
      </c>
      <c r="B415" s="73"/>
      <c r="C415" s="73"/>
      <c r="D415" s="73"/>
      <c r="E415" s="73">
        <v>0</v>
      </c>
      <c r="F415" s="42">
        <v>0</v>
      </c>
      <c r="G415" s="42">
        <f t="shared" si="7"/>
        <v>0</v>
      </c>
      <c r="H415" s="2" t="str">
        <f>VLOOKUP(A415,'MASTER 26 27'!A:B,2,0)</f>
        <v>Not Applicable</v>
      </c>
    </row>
    <row r="416" spans="1:8">
      <c r="A416" s="68" t="s">
        <v>1257</v>
      </c>
      <c r="B416" s="73">
        <v>20060</v>
      </c>
      <c r="C416" s="73"/>
      <c r="D416" s="73"/>
      <c r="E416" s="73">
        <v>20060</v>
      </c>
      <c r="F416" s="42">
        <v>0</v>
      </c>
      <c r="G416" s="42">
        <f t="shared" si="7"/>
        <v>20060</v>
      </c>
      <c r="H416" s="2" t="str">
        <f>VLOOKUP(A416,'MASTER 26 27'!A:B,2,0)</f>
        <v>Not Applicable</v>
      </c>
    </row>
    <row r="417" spans="1:8">
      <c r="A417" s="68" t="s">
        <v>1126</v>
      </c>
      <c r="B417" s="73"/>
      <c r="C417" s="73"/>
      <c r="D417" s="73"/>
      <c r="E417" s="73">
        <v>0</v>
      </c>
      <c r="F417" s="42">
        <v>0</v>
      </c>
      <c r="G417" s="42">
        <f t="shared" si="7"/>
        <v>0</v>
      </c>
      <c r="H417" s="2" t="str">
        <f>VLOOKUP(A417,'MASTER 26 27'!A:B,2,0)</f>
        <v>Not Applicable</v>
      </c>
    </row>
    <row r="418" spans="1:8">
      <c r="A418" s="68" t="s">
        <v>719</v>
      </c>
      <c r="B418" s="73">
        <v>-215896.93</v>
      </c>
      <c r="C418" s="73">
        <v>90389</v>
      </c>
      <c r="D418" s="73">
        <v>781029</v>
      </c>
      <c r="E418" s="73">
        <v>-906536.93</v>
      </c>
      <c r="F418" s="42">
        <v>0</v>
      </c>
      <c r="G418" s="42">
        <f t="shared" si="7"/>
        <v>-906536.93</v>
      </c>
      <c r="H418" s="2" t="str">
        <f>VLOOKUP(A418,'MASTER 26 27'!A:B,2,0)</f>
        <v>Not Applicable</v>
      </c>
    </row>
    <row r="419" spans="1:8">
      <c r="A419" s="68" t="s">
        <v>713</v>
      </c>
      <c r="B419" s="73">
        <v>-6066</v>
      </c>
      <c r="C419" s="73">
        <v>6066</v>
      </c>
      <c r="D419" s="73"/>
      <c r="E419" s="73">
        <v>0</v>
      </c>
      <c r="F419" s="42">
        <v>0</v>
      </c>
      <c r="G419" s="42">
        <f t="shared" si="7"/>
        <v>0</v>
      </c>
      <c r="H419" s="2" t="str">
        <f>VLOOKUP(A419,'MASTER 26 27'!A:B,2,0)</f>
        <v>Not Applicable</v>
      </c>
    </row>
    <row r="420" spans="1:8">
      <c r="A420" s="68" t="s">
        <v>700</v>
      </c>
      <c r="B420" s="73"/>
      <c r="C420" s="73"/>
      <c r="D420" s="73">
        <v>1121</v>
      </c>
      <c r="E420" s="73">
        <v>-1121</v>
      </c>
      <c r="F420" s="42">
        <v>0</v>
      </c>
      <c r="G420" s="42">
        <f t="shared" si="7"/>
        <v>-1121</v>
      </c>
      <c r="H420" s="2" t="str">
        <f>VLOOKUP(A420,'MASTER 26 27'!A:B,2,0)</f>
        <v>Not Applicable</v>
      </c>
    </row>
    <row r="421" spans="1:8">
      <c r="A421" s="68" t="s">
        <v>701</v>
      </c>
      <c r="B421" s="73">
        <v>-0.8</v>
      </c>
      <c r="C421" s="73"/>
      <c r="D421" s="73">
        <v>9888</v>
      </c>
      <c r="E421" s="73">
        <v>-9888.7999999999993</v>
      </c>
      <c r="F421" s="42">
        <v>0</v>
      </c>
      <c r="G421" s="42">
        <f t="shared" si="7"/>
        <v>-9888.7999999999993</v>
      </c>
      <c r="H421" s="2" t="str">
        <f>VLOOKUP(A421,'MASTER 26 27'!A:B,2,0)</f>
        <v>Not Applicable</v>
      </c>
    </row>
    <row r="422" spans="1:8">
      <c r="A422" s="68" t="s">
        <v>987</v>
      </c>
      <c r="B422" s="73"/>
      <c r="C422" s="73"/>
      <c r="D422" s="73">
        <v>17700</v>
      </c>
      <c r="E422" s="73">
        <v>-17700</v>
      </c>
      <c r="F422" s="42">
        <v>0</v>
      </c>
      <c r="G422" s="42">
        <f t="shared" si="7"/>
        <v>-17700</v>
      </c>
      <c r="H422" s="2" t="str">
        <f>VLOOKUP(A422,'MASTER 26 27'!A:B,2,0)</f>
        <v>Not Applicable</v>
      </c>
    </row>
    <row r="423" spans="1:8">
      <c r="A423" s="68" t="s">
        <v>1431</v>
      </c>
      <c r="B423" s="73"/>
      <c r="C423" s="73"/>
      <c r="D423" s="73">
        <v>15258</v>
      </c>
      <c r="E423" s="73">
        <v>-15258</v>
      </c>
      <c r="F423" s="42">
        <v>0</v>
      </c>
      <c r="G423" s="42">
        <f t="shared" si="7"/>
        <v>-15258</v>
      </c>
      <c r="H423" s="2" t="s">
        <v>84</v>
      </c>
    </row>
    <row r="424" spans="1:8">
      <c r="A424" s="68" t="s">
        <v>679</v>
      </c>
      <c r="B424" s="73">
        <v>-35156.6</v>
      </c>
      <c r="C424" s="73">
        <v>17983.599999999999</v>
      </c>
      <c r="D424" s="73">
        <v>14042</v>
      </c>
      <c r="E424" s="73">
        <v>-31215</v>
      </c>
      <c r="F424" s="42">
        <v>0</v>
      </c>
      <c r="G424" s="42">
        <f t="shared" si="7"/>
        <v>-31215</v>
      </c>
      <c r="H424" s="2" t="str">
        <f>VLOOKUP(A424,'MASTER 26 27'!A:B,2,0)</f>
        <v>Not Applicable</v>
      </c>
    </row>
    <row r="425" spans="1:8">
      <c r="A425" s="68" t="s">
        <v>680</v>
      </c>
      <c r="B425" s="73">
        <v>-222313</v>
      </c>
      <c r="C425" s="73"/>
      <c r="D425" s="73">
        <v>25223</v>
      </c>
      <c r="E425" s="73">
        <v>-247536</v>
      </c>
      <c r="F425" s="42">
        <v>0</v>
      </c>
      <c r="G425" s="42">
        <f t="shared" si="7"/>
        <v>-247536</v>
      </c>
      <c r="H425" s="2" t="str">
        <f>VLOOKUP(A425,'MASTER 26 27'!A:B,2,0)</f>
        <v>Not Applicable</v>
      </c>
    </row>
    <row r="426" spans="1:8">
      <c r="A426" s="68" t="s">
        <v>1432</v>
      </c>
      <c r="B426" s="73">
        <v>-9048</v>
      </c>
      <c r="C426" s="73"/>
      <c r="D426" s="73"/>
      <c r="E426" s="73">
        <v>-9048</v>
      </c>
      <c r="F426" s="42">
        <v>0</v>
      </c>
      <c r="G426" s="42">
        <f t="shared" si="7"/>
        <v>-9048</v>
      </c>
      <c r="H426" s="2" t="s">
        <v>84</v>
      </c>
    </row>
    <row r="427" spans="1:8">
      <c r="A427" s="68" t="s">
        <v>706</v>
      </c>
      <c r="B427" s="73"/>
      <c r="C427" s="73"/>
      <c r="D427" s="73"/>
      <c r="E427" s="73">
        <v>0</v>
      </c>
      <c r="F427" s="42">
        <v>0</v>
      </c>
      <c r="G427" s="42">
        <f t="shared" si="7"/>
        <v>0</v>
      </c>
      <c r="H427" s="2" t="str">
        <f>VLOOKUP(A427,'MASTER 26 27'!A:B,2,0)</f>
        <v>Not Applicable</v>
      </c>
    </row>
    <row r="428" spans="1:8">
      <c r="A428" s="68" t="s">
        <v>707</v>
      </c>
      <c r="B428" s="73">
        <v>-4776</v>
      </c>
      <c r="C428" s="73">
        <v>4776</v>
      </c>
      <c r="D428" s="73"/>
      <c r="E428" s="73">
        <v>0</v>
      </c>
      <c r="F428" s="42">
        <v>0</v>
      </c>
      <c r="G428" s="42">
        <f t="shared" si="7"/>
        <v>0</v>
      </c>
      <c r="H428" s="2" t="str">
        <f>VLOOKUP(A428,'MASTER 26 27'!A:B,2,0)</f>
        <v>Not Applicable</v>
      </c>
    </row>
    <row r="429" spans="1:8">
      <c r="A429" s="68" t="s">
        <v>708</v>
      </c>
      <c r="B429" s="73">
        <v>-85570</v>
      </c>
      <c r="C429" s="73">
        <v>34669</v>
      </c>
      <c r="D429" s="73">
        <v>22912</v>
      </c>
      <c r="E429" s="73">
        <v>-73813</v>
      </c>
      <c r="F429" s="42">
        <v>0</v>
      </c>
      <c r="G429" s="42">
        <f t="shared" si="7"/>
        <v>-73813</v>
      </c>
      <c r="H429" s="2" t="str">
        <f>VLOOKUP(A429,'MASTER 26 27'!A:B,2,0)</f>
        <v>Not Applicable</v>
      </c>
    </row>
    <row r="430" spans="1:8">
      <c r="A430" s="68" t="s">
        <v>710</v>
      </c>
      <c r="B430" s="73">
        <v>-11033</v>
      </c>
      <c r="C430" s="73"/>
      <c r="D430" s="73"/>
      <c r="E430" s="73">
        <v>-11033</v>
      </c>
      <c r="F430" s="42">
        <v>0</v>
      </c>
      <c r="G430" s="42">
        <f t="shared" si="7"/>
        <v>-11033</v>
      </c>
      <c r="H430" s="2" t="str">
        <f>VLOOKUP(A430,'MASTER 26 27'!A:B,2,0)</f>
        <v>Not Applicable</v>
      </c>
    </row>
    <row r="431" spans="1:8">
      <c r="A431" s="68" t="s">
        <v>712</v>
      </c>
      <c r="B431" s="73"/>
      <c r="C431" s="73"/>
      <c r="D431" s="73"/>
      <c r="E431" s="73">
        <v>0</v>
      </c>
      <c r="F431" s="42">
        <v>0</v>
      </c>
      <c r="G431" s="42">
        <f t="shared" si="7"/>
        <v>0</v>
      </c>
      <c r="H431" s="2" t="str">
        <f>VLOOKUP(A431,'MASTER 26 27'!A:B,2,0)</f>
        <v>Not Applicable</v>
      </c>
    </row>
    <row r="432" spans="1:8">
      <c r="A432" s="68" t="s">
        <v>697</v>
      </c>
      <c r="B432" s="73">
        <v>-0.2</v>
      </c>
      <c r="C432" s="73"/>
      <c r="D432" s="73"/>
      <c r="E432" s="73">
        <v>-0.2</v>
      </c>
      <c r="F432" s="42">
        <v>0</v>
      </c>
      <c r="G432" s="42">
        <f t="shared" si="7"/>
        <v>-0.2</v>
      </c>
      <c r="H432" s="2" t="str">
        <f>VLOOKUP(A432,'MASTER 26 27'!A:B,2,0)</f>
        <v>Not Applicable</v>
      </c>
    </row>
    <row r="433" spans="1:8">
      <c r="A433" s="68" t="s">
        <v>682</v>
      </c>
      <c r="B433" s="73"/>
      <c r="C433" s="73">
        <v>10997.6</v>
      </c>
      <c r="D433" s="73">
        <v>10997.6</v>
      </c>
      <c r="E433" s="73">
        <v>0</v>
      </c>
      <c r="F433" s="42">
        <v>0</v>
      </c>
      <c r="G433" s="42">
        <f t="shared" si="7"/>
        <v>0</v>
      </c>
      <c r="H433" s="2" t="str">
        <f>VLOOKUP(A433,'MASTER 26 27'!A:B,2,0)</f>
        <v>Not Applicable</v>
      </c>
    </row>
    <row r="434" spans="1:8">
      <c r="A434" s="68" t="s">
        <v>678</v>
      </c>
      <c r="B434" s="73">
        <v>-9842</v>
      </c>
      <c r="C434" s="73"/>
      <c r="D434" s="73">
        <v>2419</v>
      </c>
      <c r="E434" s="73">
        <v>-12261</v>
      </c>
      <c r="F434" s="42">
        <v>0</v>
      </c>
      <c r="G434" s="42">
        <f t="shared" si="7"/>
        <v>-12261</v>
      </c>
      <c r="H434" s="2" t="str">
        <f>VLOOKUP(A434,'MASTER 26 27'!A:B,2,0)</f>
        <v>Not Applicable</v>
      </c>
    </row>
    <row r="435" spans="1:8">
      <c r="A435" s="68" t="s">
        <v>675</v>
      </c>
      <c r="B435" s="73">
        <v>-615888</v>
      </c>
      <c r="C435" s="73"/>
      <c r="D435" s="73">
        <v>751790</v>
      </c>
      <c r="E435" s="73">
        <v>-1367678</v>
      </c>
      <c r="F435" s="42">
        <v>0</v>
      </c>
      <c r="G435" s="42">
        <f t="shared" si="7"/>
        <v>-1367678</v>
      </c>
      <c r="H435" s="2" t="str">
        <f>VLOOKUP(A435,'MASTER 26 27'!A:B,2,0)</f>
        <v>Not Applicable</v>
      </c>
    </row>
    <row r="436" spans="1:8">
      <c r="A436" s="68" t="s">
        <v>670</v>
      </c>
      <c r="B436" s="73">
        <v>-376908</v>
      </c>
      <c r="C436" s="73"/>
      <c r="D436" s="73">
        <v>16555</v>
      </c>
      <c r="E436" s="73">
        <v>-393463</v>
      </c>
      <c r="F436" s="42">
        <v>0</v>
      </c>
      <c r="G436" s="42">
        <f t="shared" si="7"/>
        <v>-393463</v>
      </c>
      <c r="H436" s="2" t="str">
        <f>VLOOKUP(A436,'MASTER 26 27'!A:B,2,0)</f>
        <v>Not Applicable</v>
      </c>
    </row>
    <row r="437" spans="1:8">
      <c r="A437" s="68" t="s">
        <v>671</v>
      </c>
      <c r="B437" s="73">
        <v>-529509.01</v>
      </c>
      <c r="C437" s="73"/>
      <c r="D437" s="73">
        <v>78551</v>
      </c>
      <c r="E437" s="73">
        <v>-608060.01</v>
      </c>
      <c r="F437" s="42">
        <v>0</v>
      </c>
      <c r="G437" s="42">
        <f t="shared" si="7"/>
        <v>-608060.01</v>
      </c>
      <c r="H437" s="2" t="str">
        <f>VLOOKUP(A437,'MASTER 26 27'!A:B,2,0)</f>
        <v>Not Applicable</v>
      </c>
    </row>
    <row r="438" spans="1:8">
      <c r="A438" s="68" t="s">
        <v>672</v>
      </c>
      <c r="B438" s="73">
        <v>-759069.8</v>
      </c>
      <c r="C438" s="73"/>
      <c r="D438" s="73">
        <v>104706</v>
      </c>
      <c r="E438" s="73">
        <v>-863775.8</v>
      </c>
      <c r="F438" s="42">
        <v>0</v>
      </c>
      <c r="G438" s="42">
        <f t="shared" si="7"/>
        <v>-863775.8</v>
      </c>
      <c r="H438" s="2" t="str">
        <f>VLOOKUP(A438,'MASTER 26 27'!A:B,2,0)</f>
        <v>Not Applicable</v>
      </c>
    </row>
    <row r="439" spans="1:8">
      <c r="A439" s="68" t="s">
        <v>677</v>
      </c>
      <c r="B439" s="73">
        <v>-8083</v>
      </c>
      <c r="C439" s="73"/>
      <c r="D439" s="73"/>
      <c r="E439" s="73">
        <v>-8083</v>
      </c>
      <c r="F439" s="42">
        <v>0</v>
      </c>
      <c r="G439" s="42">
        <f t="shared" si="7"/>
        <v>-8083</v>
      </c>
      <c r="H439" s="2" t="str">
        <f>VLOOKUP(A439,'MASTER 26 27'!A:B,2,0)</f>
        <v>Not Applicable</v>
      </c>
    </row>
    <row r="440" spans="1:8">
      <c r="A440" s="68" t="s">
        <v>1433</v>
      </c>
      <c r="B440" s="73">
        <v>-1</v>
      </c>
      <c r="C440" s="73"/>
      <c r="D440" s="73"/>
      <c r="E440" s="73">
        <v>-1</v>
      </c>
      <c r="F440" s="42">
        <v>0</v>
      </c>
      <c r="G440" s="42">
        <f t="shared" si="7"/>
        <v>-1</v>
      </c>
      <c r="H440" s="2" t="s">
        <v>84</v>
      </c>
    </row>
    <row r="441" spans="1:8">
      <c r="A441" s="68" t="s">
        <v>1259</v>
      </c>
      <c r="B441" s="73">
        <v>3</v>
      </c>
      <c r="C441" s="73"/>
      <c r="D441" s="73"/>
      <c r="E441" s="73">
        <v>3</v>
      </c>
      <c r="F441" s="42">
        <v>0</v>
      </c>
      <c r="G441" s="42">
        <f t="shared" si="7"/>
        <v>3</v>
      </c>
      <c r="H441" s="2" t="str">
        <f>VLOOKUP(A441,'MASTER 26 27'!A:B,2,0)</f>
        <v>Not Applicable</v>
      </c>
    </row>
    <row r="442" spans="1:8">
      <c r="A442" s="68" t="s">
        <v>1287</v>
      </c>
      <c r="B442" s="73">
        <v>-1684</v>
      </c>
      <c r="C442" s="73">
        <v>1684</v>
      </c>
      <c r="D442" s="73"/>
      <c r="E442" s="73">
        <v>0</v>
      </c>
      <c r="F442" s="42">
        <v>0</v>
      </c>
      <c r="G442" s="42">
        <f t="shared" si="7"/>
        <v>0</v>
      </c>
      <c r="H442" s="2" t="str">
        <f>VLOOKUP(A442,'MASTER 26 27'!A:B,2,0)</f>
        <v>Not Applicable</v>
      </c>
    </row>
    <row r="443" spans="1:8">
      <c r="A443" s="68" t="s">
        <v>1310</v>
      </c>
      <c r="B443" s="73"/>
      <c r="C443" s="73"/>
      <c r="D443" s="73"/>
      <c r="E443" s="73">
        <v>0</v>
      </c>
      <c r="F443" s="42">
        <v>0</v>
      </c>
      <c r="G443" s="42">
        <f t="shared" si="7"/>
        <v>0</v>
      </c>
      <c r="H443" s="2" t="str">
        <f>VLOOKUP(A443,'MASTER 26 27'!A:B,2,0)</f>
        <v>Not Applicable</v>
      </c>
    </row>
    <row r="444" spans="1:8">
      <c r="A444" s="68" t="s">
        <v>662</v>
      </c>
      <c r="B444" s="73">
        <v>-69292</v>
      </c>
      <c r="C444" s="73">
        <v>53117</v>
      </c>
      <c r="D444" s="73"/>
      <c r="E444" s="73">
        <v>-16175</v>
      </c>
      <c r="F444" s="42">
        <v>0</v>
      </c>
      <c r="G444" s="42">
        <f t="shared" si="7"/>
        <v>-16175</v>
      </c>
      <c r="H444" s="2" t="str">
        <f>VLOOKUP(A444,'MASTER 26 27'!A:B,2,0)</f>
        <v>Not Applicable</v>
      </c>
    </row>
    <row r="445" spans="1:8">
      <c r="A445" s="68" t="s">
        <v>862</v>
      </c>
      <c r="B445" s="73">
        <v>34.36</v>
      </c>
      <c r="C445" s="73"/>
      <c r="D445" s="73"/>
      <c r="E445" s="73">
        <v>34.36</v>
      </c>
      <c r="F445" s="42">
        <v>0</v>
      </c>
      <c r="G445" s="42">
        <f t="shared" si="7"/>
        <v>34.36</v>
      </c>
      <c r="H445" s="2" t="str">
        <f>VLOOKUP(A445,'MASTER 26 27'!A:B,2,0)</f>
        <v>Not Applicable</v>
      </c>
    </row>
    <row r="446" spans="1:8">
      <c r="A446" s="68" t="s">
        <v>657</v>
      </c>
      <c r="B446" s="73"/>
      <c r="C446" s="73"/>
      <c r="D446" s="73"/>
      <c r="E446" s="73">
        <v>0</v>
      </c>
      <c r="F446" s="42">
        <v>0</v>
      </c>
      <c r="G446" s="42">
        <f t="shared" si="7"/>
        <v>0</v>
      </c>
      <c r="H446" s="2" t="str">
        <f>VLOOKUP(A446,'MASTER 26 27'!A:B,2,0)</f>
        <v>Not Applicable</v>
      </c>
    </row>
    <row r="447" spans="1:8">
      <c r="A447" s="68" t="s">
        <v>1434</v>
      </c>
      <c r="B447" s="73">
        <v>10683.33</v>
      </c>
      <c r="C447" s="73">
        <v>2596</v>
      </c>
      <c r="D447" s="73">
        <v>708</v>
      </c>
      <c r="E447" s="73">
        <v>12571.33</v>
      </c>
      <c r="F447" s="42">
        <v>0</v>
      </c>
      <c r="G447" s="42">
        <f t="shared" si="7"/>
        <v>12571.33</v>
      </c>
      <c r="H447" s="2" t="s">
        <v>84</v>
      </c>
    </row>
    <row r="448" spans="1:8">
      <c r="A448" s="68" t="s">
        <v>648</v>
      </c>
      <c r="B448" s="73">
        <v>-4886</v>
      </c>
      <c r="C448" s="73"/>
      <c r="D448" s="73"/>
      <c r="E448" s="73">
        <v>-4886</v>
      </c>
      <c r="F448" s="42">
        <v>0</v>
      </c>
      <c r="G448" s="42">
        <f t="shared" si="7"/>
        <v>-4886</v>
      </c>
      <c r="H448" s="2" t="str">
        <f>VLOOKUP(A448,'MASTER 26 27'!A:B,2,0)</f>
        <v>Not Applicable</v>
      </c>
    </row>
    <row r="449" spans="1:8">
      <c r="A449" s="68" t="s">
        <v>1160</v>
      </c>
      <c r="B449" s="73">
        <v>-36014</v>
      </c>
      <c r="C449" s="73"/>
      <c r="D449" s="73">
        <v>4484</v>
      </c>
      <c r="E449" s="73">
        <v>-40498</v>
      </c>
      <c r="F449" s="42">
        <v>0</v>
      </c>
      <c r="G449" s="42">
        <f t="shared" si="7"/>
        <v>-40498</v>
      </c>
      <c r="H449" s="2" t="str">
        <f>VLOOKUP(A449,'MASTER 26 27'!A:B,2,0)</f>
        <v>Not Applicable</v>
      </c>
    </row>
    <row r="450" spans="1:8">
      <c r="A450" s="68" t="s">
        <v>641</v>
      </c>
      <c r="B450" s="73"/>
      <c r="C450" s="73"/>
      <c r="D450" s="73">
        <v>166162.5</v>
      </c>
      <c r="E450" s="73">
        <v>-166162.5</v>
      </c>
      <c r="F450" s="42">
        <v>0</v>
      </c>
      <c r="G450" s="42">
        <f t="shared" si="7"/>
        <v>-166162.5</v>
      </c>
      <c r="H450" s="2" t="str">
        <f>VLOOKUP(A450,'MASTER 26 27'!A:B,2,0)</f>
        <v>Not Applicable</v>
      </c>
    </row>
    <row r="451" spans="1:8">
      <c r="A451" s="68" t="s">
        <v>1435</v>
      </c>
      <c r="B451" s="73"/>
      <c r="C451" s="73"/>
      <c r="D451" s="73"/>
      <c r="E451" s="73">
        <v>0</v>
      </c>
      <c r="F451" s="42">
        <v>0</v>
      </c>
      <c r="G451" s="42">
        <f t="shared" si="7"/>
        <v>0</v>
      </c>
      <c r="H451" s="2" t="s">
        <v>84</v>
      </c>
    </row>
    <row r="452" spans="1:8">
      <c r="A452" s="68" t="s">
        <v>639</v>
      </c>
      <c r="B452" s="73"/>
      <c r="C452" s="73"/>
      <c r="D452" s="73"/>
      <c r="E452" s="73">
        <v>0</v>
      </c>
      <c r="F452" s="42">
        <v>0</v>
      </c>
      <c r="G452" s="42">
        <f t="shared" si="7"/>
        <v>0</v>
      </c>
      <c r="H452" s="2" t="str">
        <f>VLOOKUP(A452,'MASTER 26 27'!A:B,2,0)</f>
        <v>Not Applicable</v>
      </c>
    </row>
    <row r="453" spans="1:8">
      <c r="A453" s="68" t="s">
        <v>636</v>
      </c>
      <c r="B453" s="73">
        <v>-86536</v>
      </c>
      <c r="C453" s="73"/>
      <c r="D453" s="73">
        <v>70354.8</v>
      </c>
      <c r="E453" s="73">
        <v>-156890.79999999999</v>
      </c>
      <c r="F453" s="42">
        <v>0</v>
      </c>
      <c r="G453" s="42">
        <f t="shared" si="7"/>
        <v>-156890.79999999999</v>
      </c>
      <c r="H453" s="2" t="str">
        <f>VLOOKUP(A453,'MASTER 26 27'!A:B,2,0)</f>
        <v>Not Applicable</v>
      </c>
    </row>
    <row r="454" spans="1:8">
      <c r="A454" s="68" t="s">
        <v>943</v>
      </c>
      <c r="B454" s="73">
        <v>-3363</v>
      </c>
      <c r="C454" s="73">
        <v>2076.8000000000002</v>
      </c>
      <c r="D454" s="73">
        <v>11800</v>
      </c>
      <c r="E454" s="73">
        <v>-13086.2</v>
      </c>
      <c r="F454" s="42">
        <v>0</v>
      </c>
      <c r="G454" s="42">
        <f t="shared" si="7"/>
        <v>-13086.2</v>
      </c>
      <c r="H454" s="2" t="str">
        <f>VLOOKUP(A454,'MASTER 26 27'!A:B,2,0)</f>
        <v>Not Applicable</v>
      </c>
    </row>
    <row r="455" spans="1:8">
      <c r="A455" s="68" t="s">
        <v>632</v>
      </c>
      <c r="B455" s="73">
        <v>-13664</v>
      </c>
      <c r="C455" s="73"/>
      <c r="D455" s="73"/>
      <c r="E455" s="73">
        <v>-13664</v>
      </c>
      <c r="F455" s="42">
        <v>0</v>
      </c>
      <c r="G455" s="42">
        <f t="shared" ref="G455:G518" si="8">+E455+F455</f>
        <v>-13664</v>
      </c>
      <c r="H455" s="2" t="str">
        <f>VLOOKUP(A455,'MASTER 26 27'!A:B,2,0)</f>
        <v>Not Applicable</v>
      </c>
    </row>
    <row r="456" spans="1:8">
      <c r="A456" s="68" t="s">
        <v>1148</v>
      </c>
      <c r="B456" s="73">
        <v>323.94</v>
      </c>
      <c r="C456" s="73"/>
      <c r="D456" s="73"/>
      <c r="E456" s="73">
        <v>323.94</v>
      </c>
      <c r="F456" s="42">
        <v>0</v>
      </c>
      <c r="G456" s="42">
        <f t="shared" si="8"/>
        <v>323.94</v>
      </c>
      <c r="H456" s="2" t="str">
        <f>VLOOKUP(A456,'MASTER 26 27'!A:B,2,0)</f>
        <v>Not Applicable</v>
      </c>
    </row>
    <row r="457" spans="1:8">
      <c r="A457" s="68" t="s">
        <v>1238</v>
      </c>
      <c r="B457" s="73">
        <v>-17043</v>
      </c>
      <c r="C457" s="73"/>
      <c r="D457" s="73"/>
      <c r="E457" s="73">
        <v>-17043</v>
      </c>
      <c r="F457" s="42">
        <v>0</v>
      </c>
      <c r="G457" s="42">
        <f t="shared" si="8"/>
        <v>-17043</v>
      </c>
      <c r="H457" s="2" t="str">
        <f>VLOOKUP(A457,'MASTER 26 27'!A:B,2,0)</f>
        <v>Not Applicable</v>
      </c>
    </row>
    <row r="458" spans="1:8">
      <c r="A458" s="68" t="s">
        <v>891</v>
      </c>
      <c r="B458" s="73"/>
      <c r="C458" s="73"/>
      <c r="D458" s="73">
        <v>12611</v>
      </c>
      <c r="E458" s="73">
        <v>-12611</v>
      </c>
      <c r="F458" s="42">
        <v>0</v>
      </c>
      <c r="G458" s="42">
        <f t="shared" si="8"/>
        <v>-12611</v>
      </c>
      <c r="H458" s="2" t="str">
        <f>VLOOKUP(A458,'MASTER 26 27'!A:B,2,0)</f>
        <v>Not Applicable</v>
      </c>
    </row>
    <row r="459" spans="1:8">
      <c r="A459" s="68" t="s">
        <v>1436</v>
      </c>
      <c r="B459" s="73">
        <v>-830</v>
      </c>
      <c r="C459" s="73"/>
      <c r="D459" s="73"/>
      <c r="E459" s="73">
        <v>-830</v>
      </c>
      <c r="F459" s="42">
        <v>0</v>
      </c>
      <c r="G459" s="42">
        <f t="shared" si="8"/>
        <v>-830</v>
      </c>
      <c r="H459" s="2" t="s">
        <v>84</v>
      </c>
    </row>
    <row r="460" spans="1:8">
      <c r="A460" s="68" t="s">
        <v>624</v>
      </c>
      <c r="B460" s="73">
        <v>-66336.52</v>
      </c>
      <c r="C460" s="73">
        <v>32216.7</v>
      </c>
      <c r="D460" s="73">
        <v>29111.26</v>
      </c>
      <c r="E460" s="73">
        <v>-63231.08</v>
      </c>
      <c r="F460" s="42">
        <v>0</v>
      </c>
      <c r="G460" s="42">
        <f t="shared" si="8"/>
        <v>-63231.08</v>
      </c>
      <c r="H460" s="2" t="str">
        <f>VLOOKUP(A460,'MASTER 26 27'!A:B,2,0)</f>
        <v>Not Applicable</v>
      </c>
    </row>
    <row r="461" spans="1:8">
      <c r="A461" s="68" t="s">
        <v>623</v>
      </c>
      <c r="B461" s="73">
        <v>-56883.74</v>
      </c>
      <c r="C461" s="73">
        <v>15138.22</v>
      </c>
      <c r="D461" s="73">
        <v>25765.32</v>
      </c>
      <c r="E461" s="73">
        <v>-67510.84</v>
      </c>
      <c r="F461" s="42">
        <v>0</v>
      </c>
      <c r="G461" s="42">
        <f t="shared" si="8"/>
        <v>-67510.84</v>
      </c>
      <c r="H461" s="2" t="str">
        <f>VLOOKUP(A461,'MASTER 26 27'!A:B,2,0)</f>
        <v>Not Applicable</v>
      </c>
    </row>
    <row r="462" spans="1:8">
      <c r="A462" s="68" t="s">
        <v>620</v>
      </c>
      <c r="B462" s="73">
        <v>-58114.01</v>
      </c>
      <c r="C462" s="73"/>
      <c r="D462" s="73">
        <v>23698</v>
      </c>
      <c r="E462" s="73">
        <v>-81812.009999999995</v>
      </c>
      <c r="F462" s="42">
        <v>0</v>
      </c>
      <c r="G462" s="42">
        <f t="shared" si="8"/>
        <v>-81812.009999999995</v>
      </c>
      <c r="H462" s="2" t="str">
        <f>VLOOKUP(A462,'MASTER 26 27'!A:B,2,0)</f>
        <v>Not Applicable</v>
      </c>
    </row>
    <row r="463" spans="1:8">
      <c r="A463" s="68" t="s">
        <v>1437</v>
      </c>
      <c r="B463" s="73"/>
      <c r="C463" s="73"/>
      <c r="D463" s="73"/>
      <c r="E463" s="73">
        <v>0</v>
      </c>
      <c r="F463" s="42">
        <v>0</v>
      </c>
      <c r="G463" s="42">
        <f t="shared" si="8"/>
        <v>0</v>
      </c>
      <c r="H463" s="2" t="s">
        <v>84</v>
      </c>
    </row>
    <row r="464" spans="1:8">
      <c r="A464" s="68" t="s">
        <v>619</v>
      </c>
      <c r="B464" s="73">
        <v>-14581.4</v>
      </c>
      <c r="C464" s="73"/>
      <c r="D464" s="73">
        <v>1156</v>
      </c>
      <c r="E464" s="73">
        <v>-15737.4</v>
      </c>
      <c r="F464" s="42">
        <v>0</v>
      </c>
      <c r="G464" s="42">
        <f t="shared" si="8"/>
        <v>-15737.4</v>
      </c>
      <c r="H464" s="2" t="str">
        <f>VLOOKUP(A464,'MASTER 26 27'!A:B,2,0)</f>
        <v>Not Applicable</v>
      </c>
    </row>
    <row r="465" spans="1:8">
      <c r="A465" s="68" t="s">
        <v>616</v>
      </c>
      <c r="B465" s="73">
        <v>-45725</v>
      </c>
      <c r="C465" s="73"/>
      <c r="D465" s="73">
        <v>24780</v>
      </c>
      <c r="E465" s="73">
        <v>-70505</v>
      </c>
      <c r="F465" s="42">
        <v>0</v>
      </c>
      <c r="G465" s="42">
        <f t="shared" si="8"/>
        <v>-70505</v>
      </c>
      <c r="H465" s="2" t="str">
        <f>VLOOKUP(A465,'MASTER 26 27'!A:B,2,0)</f>
        <v>Not Applicable</v>
      </c>
    </row>
    <row r="466" spans="1:8">
      <c r="A466" s="68" t="s">
        <v>963</v>
      </c>
      <c r="B466" s="73">
        <v>-0.06</v>
      </c>
      <c r="C466" s="73"/>
      <c r="D466" s="73"/>
      <c r="E466" s="73">
        <v>-0.06</v>
      </c>
      <c r="F466" s="42">
        <v>0</v>
      </c>
      <c r="G466" s="42">
        <f t="shared" si="8"/>
        <v>-0.06</v>
      </c>
      <c r="H466" s="2" t="str">
        <f>VLOOKUP(A466,'MASTER 26 27'!A:B,2,0)</f>
        <v>Not Applicable</v>
      </c>
    </row>
    <row r="467" spans="1:8">
      <c r="A467" s="68" t="s">
        <v>1214</v>
      </c>
      <c r="B467" s="73">
        <v>-32720</v>
      </c>
      <c r="C467" s="73"/>
      <c r="D467" s="73">
        <v>532</v>
      </c>
      <c r="E467" s="73">
        <v>-33252</v>
      </c>
      <c r="F467" s="42">
        <v>0</v>
      </c>
      <c r="G467" s="42">
        <f t="shared" si="8"/>
        <v>-33252</v>
      </c>
      <c r="H467" s="2" t="str">
        <f>VLOOKUP(A467,'MASTER 26 27'!A:B,2,0)</f>
        <v>Not Applicable</v>
      </c>
    </row>
    <row r="468" spans="1:8">
      <c r="A468" s="68" t="s">
        <v>1438</v>
      </c>
      <c r="B468" s="73">
        <v>-5239</v>
      </c>
      <c r="C468" s="73"/>
      <c r="D468" s="73"/>
      <c r="E468" s="73">
        <v>-5239</v>
      </c>
      <c r="F468" s="42">
        <v>0</v>
      </c>
      <c r="G468" s="42">
        <f t="shared" si="8"/>
        <v>-5239</v>
      </c>
      <c r="H468" s="2" t="s">
        <v>84</v>
      </c>
    </row>
    <row r="469" spans="1:8">
      <c r="A469" s="68" t="s">
        <v>940</v>
      </c>
      <c r="B469" s="73">
        <v>-0.2</v>
      </c>
      <c r="C469" s="73"/>
      <c r="D469" s="73"/>
      <c r="E469" s="73">
        <v>-0.2</v>
      </c>
      <c r="F469" s="42">
        <v>0</v>
      </c>
      <c r="G469" s="42">
        <f t="shared" si="8"/>
        <v>-0.2</v>
      </c>
      <c r="H469" s="2" t="str">
        <f>VLOOKUP(A469,'MASTER 26 27'!A:B,2,0)</f>
        <v>Not Applicable</v>
      </c>
    </row>
    <row r="470" spans="1:8">
      <c r="A470" s="68" t="s">
        <v>600</v>
      </c>
      <c r="B470" s="73"/>
      <c r="C470" s="73">
        <v>89</v>
      </c>
      <c r="D470" s="73">
        <v>10502</v>
      </c>
      <c r="E470" s="73">
        <v>-10413</v>
      </c>
      <c r="F470" s="42">
        <v>0</v>
      </c>
      <c r="G470" s="42">
        <f t="shared" si="8"/>
        <v>-10413</v>
      </c>
      <c r="H470" s="2" t="str">
        <f>VLOOKUP(A470,'MASTER 26 27'!A:B,2,0)</f>
        <v>Not Applicable</v>
      </c>
    </row>
    <row r="471" spans="1:8">
      <c r="A471" s="68" t="s">
        <v>1439</v>
      </c>
      <c r="B471" s="73">
        <v>-2576</v>
      </c>
      <c r="C471" s="73"/>
      <c r="D471" s="73"/>
      <c r="E471" s="73">
        <v>-2576</v>
      </c>
      <c r="F471" s="42">
        <v>0</v>
      </c>
      <c r="G471" s="42">
        <f t="shared" si="8"/>
        <v>-2576</v>
      </c>
      <c r="H471" s="2" t="s">
        <v>84</v>
      </c>
    </row>
    <row r="472" spans="1:8">
      <c r="A472" s="68" t="s">
        <v>1334</v>
      </c>
      <c r="B472" s="73"/>
      <c r="C472" s="73"/>
      <c r="D472" s="73"/>
      <c r="E472" s="73">
        <v>0</v>
      </c>
      <c r="F472" s="42">
        <v>0</v>
      </c>
      <c r="G472" s="42">
        <f t="shared" si="8"/>
        <v>0</v>
      </c>
      <c r="H472" s="2" t="str">
        <f>VLOOKUP(A472,'MASTER 26 27'!A:B,2,0)</f>
        <v>Not Applicable</v>
      </c>
    </row>
    <row r="473" spans="1:8">
      <c r="A473" s="68" t="s">
        <v>591</v>
      </c>
      <c r="B473" s="73">
        <v>-61629.86</v>
      </c>
      <c r="C473" s="73"/>
      <c r="D473" s="73"/>
      <c r="E473" s="73">
        <v>-61629.86</v>
      </c>
      <c r="F473" s="42">
        <v>0</v>
      </c>
      <c r="G473" s="42">
        <f t="shared" si="8"/>
        <v>-61629.86</v>
      </c>
      <c r="H473" s="2" t="str">
        <f>VLOOKUP(A473,'MASTER 26 27'!A:B,2,0)</f>
        <v>Not Applicable</v>
      </c>
    </row>
    <row r="474" spans="1:8">
      <c r="A474" s="68" t="s">
        <v>1440</v>
      </c>
      <c r="B474" s="73">
        <v>-72712</v>
      </c>
      <c r="C474" s="73"/>
      <c r="D474" s="73"/>
      <c r="E474" s="73">
        <v>-72712</v>
      </c>
      <c r="F474" s="42">
        <v>0</v>
      </c>
      <c r="G474" s="42">
        <f t="shared" si="8"/>
        <v>-72712</v>
      </c>
      <c r="H474" s="2" t="s">
        <v>84</v>
      </c>
    </row>
    <row r="475" spans="1:8">
      <c r="A475" s="68" t="s">
        <v>1179</v>
      </c>
      <c r="B475" s="73">
        <v>-3328</v>
      </c>
      <c r="C475" s="73"/>
      <c r="D475" s="73"/>
      <c r="E475" s="73">
        <v>-3328</v>
      </c>
      <c r="F475" s="42">
        <v>0</v>
      </c>
      <c r="G475" s="42">
        <f t="shared" si="8"/>
        <v>-3328</v>
      </c>
      <c r="H475" s="2" t="str">
        <f>VLOOKUP(A475,'MASTER 26 27'!A:B,2,0)</f>
        <v>Not Applicable</v>
      </c>
    </row>
    <row r="476" spans="1:8">
      <c r="A476" s="68" t="s">
        <v>1069</v>
      </c>
      <c r="B476" s="73">
        <v>-15895</v>
      </c>
      <c r="C476" s="73"/>
      <c r="D476" s="73">
        <v>2628</v>
      </c>
      <c r="E476" s="73">
        <v>-18523</v>
      </c>
      <c r="F476" s="42">
        <v>0</v>
      </c>
      <c r="G476" s="42">
        <f t="shared" si="8"/>
        <v>-18523</v>
      </c>
      <c r="H476" s="2" t="str">
        <f>VLOOKUP(A476,'MASTER 26 27'!A:B,2,0)</f>
        <v>Not Applicable</v>
      </c>
    </row>
    <row r="477" spans="1:8">
      <c r="A477" s="68" t="s">
        <v>586</v>
      </c>
      <c r="B477" s="73">
        <v>-31508.18</v>
      </c>
      <c r="C477" s="73"/>
      <c r="D477" s="73"/>
      <c r="E477" s="73">
        <v>-31508.18</v>
      </c>
      <c r="F477" s="42">
        <v>0</v>
      </c>
      <c r="G477" s="42">
        <f t="shared" si="8"/>
        <v>-31508.18</v>
      </c>
      <c r="H477" s="2" t="str">
        <f>VLOOKUP(A477,'MASTER 26 27'!A:B,2,0)</f>
        <v>Not Applicable</v>
      </c>
    </row>
    <row r="478" spans="1:8">
      <c r="A478" s="68" t="s">
        <v>579</v>
      </c>
      <c r="B478" s="73">
        <v>-12489</v>
      </c>
      <c r="C478" s="73"/>
      <c r="D478" s="73"/>
      <c r="E478" s="73">
        <v>-12489</v>
      </c>
      <c r="F478" s="42">
        <v>0</v>
      </c>
      <c r="G478" s="42">
        <f t="shared" si="8"/>
        <v>-12489</v>
      </c>
      <c r="H478" s="2" t="str">
        <f>VLOOKUP(A478,'MASTER 26 27'!A:B,2,0)</f>
        <v>Not Applicable</v>
      </c>
    </row>
    <row r="479" spans="1:8">
      <c r="A479" s="68" t="s">
        <v>574</v>
      </c>
      <c r="B479" s="73">
        <v>-122395.71</v>
      </c>
      <c r="C479" s="73"/>
      <c r="D479" s="73">
        <v>49948</v>
      </c>
      <c r="E479" s="73">
        <v>-172343.71</v>
      </c>
      <c r="F479" s="42">
        <v>0</v>
      </c>
      <c r="G479" s="42">
        <f t="shared" si="8"/>
        <v>-172343.71</v>
      </c>
      <c r="H479" s="2" t="str">
        <f>VLOOKUP(A479,'MASTER 26 27'!A:B,2,0)</f>
        <v>Not Applicable</v>
      </c>
    </row>
    <row r="480" spans="1:8">
      <c r="A480" s="68" t="s">
        <v>575</v>
      </c>
      <c r="B480" s="73">
        <v>-3610</v>
      </c>
      <c r="C480" s="73"/>
      <c r="D480" s="73"/>
      <c r="E480" s="73">
        <v>-3610</v>
      </c>
      <c r="F480" s="42">
        <v>0</v>
      </c>
      <c r="G480" s="42">
        <f t="shared" si="8"/>
        <v>-3610</v>
      </c>
      <c r="H480" s="2" t="str">
        <f>VLOOKUP(A480,'MASTER 26 27'!A:B,2,0)</f>
        <v>Not Applicable</v>
      </c>
    </row>
    <row r="481" spans="1:8">
      <c r="A481" s="68" t="s">
        <v>568</v>
      </c>
      <c r="B481" s="73">
        <v>-5192</v>
      </c>
      <c r="C481" s="73"/>
      <c r="D481" s="73"/>
      <c r="E481" s="73">
        <v>-5192</v>
      </c>
      <c r="F481" s="42">
        <v>0</v>
      </c>
      <c r="G481" s="42">
        <f t="shared" si="8"/>
        <v>-5192</v>
      </c>
      <c r="H481" s="2" t="str">
        <f>VLOOKUP(A481,'MASTER 26 27'!A:B,2,0)</f>
        <v>Not Applicable</v>
      </c>
    </row>
    <row r="482" spans="1:8">
      <c r="A482" s="68" t="s">
        <v>572</v>
      </c>
      <c r="B482" s="73">
        <v>-2944</v>
      </c>
      <c r="C482" s="73">
        <v>2944</v>
      </c>
      <c r="D482" s="73"/>
      <c r="E482" s="73">
        <v>0</v>
      </c>
      <c r="F482" s="42">
        <v>0</v>
      </c>
      <c r="G482" s="42">
        <f t="shared" si="8"/>
        <v>0</v>
      </c>
      <c r="H482" s="2" t="str">
        <f>VLOOKUP(A482,'MASTER 26 27'!A:B,2,0)</f>
        <v>Not Applicable</v>
      </c>
    </row>
    <row r="483" spans="1:8">
      <c r="A483" s="68" t="s">
        <v>1262</v>
      </c>
      <c r="B483" s="73">
        <v>-61655</v>
      </c>
      <c r="C483" s="73">
        <v>19529</v>
      </c>
      <c r="D483" s="73"/>
      <c r="E483" s="73">
        <v>-42126</v>
      </c>
      <c r="F483" s="42">
        <v>0</v>
      </c>
      <c r="G483" s="42">
        <f t="shared" si="8"/>
        <v>-42126</v>
      </c>
      <c r="H483" s="2" t="str">
        <f>VLOOKUP(A483,'MASTER 26 27'!A:B,2,0)</f>
        <v>Not Applicable</v>
      </c>
    </row>
    <row r="484" spans="1:8">
      <c r="A484" s="68" t="s">
        <v>1351</v>
      </c>
      <c r="B484" s="73">
        <v>-2443</v>
      </c>
      <c r="C484" s="73"/>
      <c r="D484" s="73"/>
      <c r="E484" s="73">
        <v>-2443</v>
      </c>
      <c r="F484" s="42">
        <v>0</v>
      </c>
      <c r="G484" s="42">
        <f t="shared" si="8"/>
        <v>-2443</v>
      </c>
      <c r="H484" s="2" t="str">
        <f>VLOOKUP(A484,'MASTER 26 27'!A:B,2,0)</f>
        <v>Not Applicable</v>
      </c>
    </row>
    <row r="485" spans="1:8">
      <c r="A485" s="68" t="s">
        <v>1441</v>
      </c>
      <c r="B485" s="73"/>
      <c r="C485" s="73"/>
      <c r="D485" s="73"/>
      <c r="E485" s="73">
        <v>0</v>
      </c>
      <c r="F485" s="42">
        <v>0</v>
      </c>
      <c r="G485" s="42">
        <f t="shared" si="8"/>
        <v>0</v>
      </c>
      <c r="H485" s="2" t="s">
        <v>84</v>
      </c>
    </row>
    <row r="486" spans="1:8">
      <c r="A486" s="68" t="s">
        <v>1442</v>
      </c>
      <c r="B486" s="73">
        <v>16500</v>
      </c>
      <c r="C486" s="73"/>
      <c r="D486" s="73"/>
      <c r="E486" s="73">
        <v>16500</v>
      </c>
      <c r="F486" s="42">
        <v>0</v>
      </c>
      <c r="G486" s="42">
        <f t="shared" si="8"/>
        <v>16500</v>
      </c>
      <c r="H486" s="2" t="s">
        <v>84</v>
      </c>
    </row>
    <row r="487" spans="1:8">
      <c r="A487" s="68" t="s">
        <v>1443</v>
      </c>
      <c r="B487" s="73"/>
      <c r="C487" s="73"/>
      <c r="D487" s="73"/>
      <c r="E487" s="73">
        <v>0</v>
      </c>
      <c r="F487" s="42">
        <v>0</v>
      </c>
      <c r="G487" s="42">
        <f t="shared" si="8"/>
        <v>0</v>
      </c>
      <c r="H487" s="2" t="s">
        <v>84</v>
      </c>
    </row>
    <row r="488" spans="1:8">
      <c r="A488" s="68" t="s">
        <v>563</v>
      </c>
      <c r="B488" s="73">
        <v>-11151</v>
      </c>
      <c r="C488" s="73">
        <v>3717</v>
      </c>
      <c r="D488" s="73">
        <v>3717</v>
      </c>
      <c r="E488" s="73">
        <v>-11151</v>
      </c>
      <c r="F488" s="42">
        <v>0</v>
      </c>
      <c r="G488" s="42">
        <f t="shared" si="8"/>
        <v>-11151</v>
      </c>
      <c r="H488" s="2" t="str">
        <f>VLOOKUP(A488,'MASTER 26 27'!A:B,2,0)</f>
        <v>Not Applicable</v>
      </c>
    </row>
    <row r="489" spans="1:8">
      <c r="A489" s="68" t="s">
        <v>564</v>
      </c>
      <c r="B489" s="73">
        <v>-370</v>
      </c>
      <c r="C489" s="73"/>
      <c r="D489" s="73"/>
      <c r="E489" s="73">
        <v>-370</v>
      </c>
      <c r="F489" s="42">
        <v>0</v>
      </c>
      <c r="G489" s="42">
        <f t="shared" si="8"/>
        <v>-370</v>
      </c>
      <c r="H489" s="2" t="str">
        <f>VLOOKUP(A489,'MASTER 26 27'!A:B,2,0)</f>
        <v>Not Applicable</v>
      </c>
    </row>
    <row r="490" spans="1:8">
      <c r="A490" s="68" t="s">
        <v>982</v>
      </c>
      <c r="B490" s="73">
        <v>-4720</v>
      </c>
      <c r="C490" s="73"/>
      <c r="D490" s="73"/>
      <c r="E490" s="73">
        <v>-4720</v>
      </c>
      <c r="F490" s="42">
        <v>0</v>
      </c>
      <c r="G490" s="42">
        <f t="shared" si="8"/>
        <v>-4720</v>
      </c>
      <c r="H490" s="2" t="str">
        <f>VLOOKUP(A490,'MASTER 26 27'!A:B,2,0)</f>
        <v>Not Applicable</v>
      </c>
    </row>
    <row r="491" spans="1:8">
      <c r="A491" s="68" t="s">
        <v>983</v>
      </c>
      <c r="B491" s="73">
        <v>-5192</v>
      </c>
      <c r="C491" s="73"/>
      <c r="D491" s="73">
        <v>5192</v>
      </c>
      <c r="E491" s="73">
        <v>-10384</v>
      </c>
      <c r="F491" s="42">
        <v>0</v>
      </c>
      <c r="G491" s="42">
        <f t="shared" si="8"/>
        <v>-10384</v>
      </c>
      <c r="H491" s="2" t="str">
        <f>VLOOKUP(A491,'MASTER 26 27'!A:B,2,0)</f>
        <v>Not Applicable</v>
      </c>
    </row>
    <row r="492" spans="1:8">
      <c r="A492" s="68" t="s">
        <v>566</v>
      </c>
      <c r="B492" s="73">
        <v>-6455</v>
      </c>
      <c r="C492" s="73"/>
      <c r="D492" s="73"/>
      <c r="E492" s="73">
        <v>-6455</v>
      </c>
      <c r="F492" s="42">
        <v>0</v>
      </c>
      <c r="G492" s="42">
        <f t="shared" si="8"/>
        <v>-6455</v>
      </c>
      <c r="H492" s="2" t="str">
        <f>VLOOKUP(A492,'MASTER 26 27'!A:B,2,0)</f>
        <v>Not Applicable</v>
      </c>
    </row>
    <row r="493" spans="1:8">
      <c r="A493" s="68" t="s">
        <v>1444</v>
      </c>
      <c r="B493" s="73"/>
      <c r="C493" s="73"/>
      <c r="D493" s="73"/>
      <c r="E493" s="73">
        <v>0</v>
      </c>
      <c r="F493" s="42">
        <v>0</v>
      </c>
      <c r="G493" s="42">
        <f t="shared" si="8"/>
        <v>0</v>
      </c>
      <c r="H493" s="2" t="s">
        <v>84</v>
      </c>
    </row>
    <row r="494" spans="1:8">
      <c r="A494" s="68" t="s">
        <v>938</v>
      </c>
      <c r="B494" s="73">
        <v>-67989.240000000005</v>
      </c>
      <c r="C494" s="73">
        <v>44333.19</v>
      </c>
      <c r="D494" s="73">
        <v>21187.93</v>
      </c>
      <c r="E494" s="73">
        <v>-44843.98</v>
      </c>
      <c r="F494" s="42">
        <v>0</v>
      </c>
      <c r="G494" s="42">
        <f t="shared" si="8"/>
        <v>-44843.98</v>
      </c>
      <c r="H494" s="2" t="str">
        <f>VLOOKUP(A494,'MASTER 26 27'!A:B,2,0)</f>
        <v>Not Applicable</v>
      </c>
    </row>
    <row r="495" spans="1:8">
      <c r="A495" s="68" t="s">
        <v>939</v>
      </c>
      <c r="B495" s="73">
        <v>-272501.25</v>
      </c>
      <c r="C495" s="73">
        <v>261636.89</v>
      </c>
      <c r="D495" s="73">
        <v>12834.72</v>
      </c>
      <c r="E495" s="73">
        <v>-23699.08</v>
      </c>
      <c r="F495" s="42">
        <v>0</v>
      </c>
      <c r="G495" s="42">
        <f t="shared" si="8"/>
        <v>-23699.08</v>
      </c>
      <c r="H495" s="2" t="str">
        <f>VLOOKUP(A495,'MASTER 26 27'!A:B,2,0)</f>
        <v>Not Applicable</v>
      </c>
    </row>
    <row r="496" spans="1:8">
      <c r="A496" s="68" t="s">
        <v>558</v>
      </c>
      <c r="B496" s="73">
        <v>-369869.69</v>
      </c>
      <c r="C496" s="73"/>
      <c r="D496" s="73"/>
      <c r="E496" s="73">
        <v>-369869.69</v>
      </c>
      <c r="F496" s="42">
        <v>0</v>
      </c>
      <c r="G496" s="42">
        <f t="shared" si="8"/>
        <v>-369869.69</v>
      </c>
      <c r="H496" s="2" t="str">
        <f>VLOOKUP(A496,'MASTER 26 27'!A:B,2,0)</f>
        <v>Not Applicable</v>
      </c>
    </row>
    <row r="497" spans="1:8">
      <c r="A497" s="68" t="s">
        <v>559</v>
      </c>
      <c r="B497" s="73">
        <v>-51379.05</v>
      </c>
      <c r="C497" s="73"/>
      <c r="D497" s="73"/>
      <c r="E497" s="73">
        <v>-51379.05</v>
      </c>
      <c r="F497" s="42">
        <v>0</v>
      </c>
      <c r="G497" s="42">
        <f t="shared" si="8"/>
        <v>-51379.05</v>
      </c>
      <c r="H497" s="2" t="str">
        <f>VLOOKUP(A497,'MASTER 26 27'!A:B,2,0)</f>
        <v>Not Applicable</v>
      </c>
    </row>
    <row r="498" spans="1:8">
      <c r="A498" s="68" t="s">
        <v>914</v>
      </c>
      <c r="B498" s="73"/>
      <c r="C498" s="73"/>
      <c r="D498" s="73"/>
      <c r="E498" s="73">
        <v>0</v>
      </c>
      <c r="F498" s="42">
        <v>0</v>
      </c>
      <c r="G498" s="42">
        <f t="shared" si="8"/>
        <v>0</v>
      </c>
      <c r="H498" s="2" t="str">
        <f>VLOOKUP(A498,'MASTER 26 27'!A:B,2,0)</f>
        <v>Not Applicable</v>
      </c>
    </row>
    <row r="499" spans="1:8">
      <c r="A499" s="68" t="s">
        <v>1445</v>
      </c>
      <c r="B499" s="73">
        <v>128</v>
      </c>
      <c r="C499" s="73"/>
      <c r="D499" s="73"/>
      <c r="E499" s="73">
        <v>128</v>
      </c>
      <c r="F499" s="42">
        <v>0</v>
      </c>
      <c r="G499" s="42">
        <f t="shared" si="8"/>
        <v>128</v>
      </c>
      <c r="H499" s="2" t="s">
        <v>84</v>
      </c>
    </row>
    <row r="500" spans="1:8">
      <c r="A500" s="68" t="s">
        <v>553</v>
      </c>
      <c r="B500" s="73">
        <v>-363.33</v>
      </c>
      <c r="C500" s="73"/>
      <c r="D500" s="73"/>
      <c r="E500" s="73">
        <v>-363.33</v>
      </c>
      <c r="F500" s="42">
        <v>0</v>
      </c>
      <c r="G500" s="42">
        <f t="shared" si="8"/>
        <v>-363.33</v>
      </c>
      <c r="H500" s="2" t="str">
        <f>VLOOKUP(A500,'MASTER 26 27'!A:B,2,0)</f>
        <v>Not Applicable</v>
      </c>
    </row>
    <row r="501" spans="1:8">
      <c r="A501" s="68" t="s">
        <v>1182</v>
      </c>
      <c r="B501" s="73">
        <v>-4209.1400000000003</v>
      </c>
      <c r="C501" s="73">
        <v>4208</v>
      </c>
      <c r="D501" s="73">
        <v>1024</v>
      </c>
      <c r="E501" s="73">
        <v>-1025.1400000000001</v>
      </c>
      <c r="F501" s="42">
        <v>0</v>
      </c>
      <c r="G501" s="42">
        <f t="shared" si="8"/>
        <v>-1025.1400000000001</v>
      </c>
      <c r="H501" s="2" t="str">
        <f>VLOOKUP(A501,'MASTER 26 27'!A:B,2,0)</f>
        <v>Not Applicable</v>
      </c>
    </row>
    <row r="502" spans="1:8">
      <c r="A502" s="68" t="s">
        <v>548</v>
      </c>
      <c r="B502" s="73">
        <v>-71007.13</v>
      </c>
      <c r="C502" s="73">
        <v>5240</v>
      </c>
      <c r="D502" s="73">
        <v>100300</v>
      </c>
      <c r="E502" s="73">
        <v>-166067.13</v>
      </c>
      <c r="F502" s="42">
        <v>0</v>
      </c>
      <c r="G502" s="42">
        <f t="shared" si="8"/>
        <v>-166067.13</v>
      </c>
      <c r="H502" s="2" t="str">
        <f>VLOOKUP(A502,'MASTER 26 27'!A:B,2,0)</f>
        <v>Not Applicable</v>
      </c>
    </row>
    <row r="503" spans="1:8">
      <c r="A503" s="68" t="s">
        <v>1446</v>
      </c>
      <c r="B503" s="73">
        <v>-4366</v>
      </c>
      <c r="C503" s="73">
        <v>4366</v>
      </c>
      <c r="D503" s="73"/>
      <c r="E503" s="73">
        <v>0</v>
      </c>
      <c r="F503" s="42">
        <v>0</v>
      </c>
      <c r="G503" s="42">
        <f t="shared" si="8"/>
        <v>0</v>
      </c>
      <c r="H503" s="2" t="s">
        <v>84</v>
      </c>
    </row>
    <row r="504" spans="1:8">
      <c r="A504" s="68" t="s">
        <v>1017</v>
      </c>
      <c r="B504" s="73">
        <v>-18880</v>
      </c>
      <c r="C504" s="73"/>
      <c r="D504" s="73"/>
      <c r="E504" s="73">
        <v>-18880</v>
      </c>
      <c r="F504" s="42">
        <v>0</v>
      </c>
      <c r="G504" s="42">
        <f t="shared" si="8"/>
        <v>-18880</v>
      </c>
      <c r="H504" s="2" t="str">
        <f>VLOOKUP(A504,'MASTER 26 27'!A:B,2,0)</f>
        <v>Not Applicable</v>
      </c>
    </row>
    <row r="505" spans="1:8">
      <c r="A505" s="68" t="s">
        <v>1320</v>
      </c>
      <c r="B505" s="73">
        <v>100501.5</v>
      </c>
      <c r="C505" s="73">
        <v>45736.800000000003</v>
      </c>
      <c r="D505" s="73">
        <v>146239</v>
      </c>
      <c r="E505" s="73">
        <v>-0.7</v>
      </c>
      <c r="F505" s="42">
        <v>0</v>
      </c>
      <c r="G505" s="42">
        <f t="shared" si="8"/>
        <v>-0.7</v>
      </c>
      <c r="H505" s="2" t="str">
        <f>VLOOKUP(A505,'MASTER 26 27'!A:B,2,0)</f>
        <v>Not Applicable</v>
      </c>
    </row>
    <row r="506" spans="1:8">
      <c r="A506" s="68" t="s">
        <v>1447</v>
      </c>
      <c r="B506" s="73">
        <v>1021.88</v>
      </c>
      <c r="C506" s="73"/>
      <c r="D506" s="73"/>
      <c r="E506" s="73">
        <v>1021.88</v>
      </c>
      <c r="F506" s="42">
        <v>0</v>
      </c>
      <c r="G506" s="42">
        <f t="shared" si="8"/>
        <v>1021.88</v>
      </c>
      <c r="H506" s="2" t="s">
        <v>84</v>
      </c>
    </row>
    <row r="507" spans="1:8">
      <c r="A507" s="68" t="s">
        <v>1337</v>
      </c>
      <c r="B507" s="73">
        <v>-840</v>
      </c>
      <c r="C507" s="73"/>
      <c r="D507" s="73"/>
      <c r="E507" s="73">
        <v>-840</v>
      </c>
      <c r="F507" s="42">
        <v>0</v>
      </c>
      <c r="G507" s="42">
        <f t="shared" si="8"/>
        <v>-840</v>
      </c>
      <c r="H507" s="2" t="str">
        <f>VLOOKUP(A507,'MASTER 26 27'!A:B,2,0)</f>
        <v>Not Applicable</v>
      </c>
    </row>
    <row r="508" spans="1:8">
      <c r="A508" s="68" t="s">
        <v>536</v>
      </c>
      <c r="B508" s="73">
        <v>-5960</v>
      </c>
      <c r="C508" s="73">
        <v>5960</v>
      </c>
      <c r="D508" s="73"/>
      <c r="E508" s="73">
        <v>0</v>
      </c>
      <c r="F508" s="42">
        <v>0</v>
      </c>
      <c r="G508" s="42">
        <f t="shared" si="8"/>
        <v>0</v>
      </c>
      <c r="H508" s="2" t="str">
        <f>VLOOKUP(A508,'MASTER 26 27'!A:B,2,0)</f>
        <v>Not Applicable</v>
      </c>
    </row>
    <row r="509" spans="1:8">
      <c r="A509" s="68" t="s">
        <v>532</v>
      </c>
      <c r="B509" s="73">
        <v>-15458</v>
      </c>
      <c r="C509" s="73"/>
      <c r="D509" s="73"/>
      <c r="E509" s="73">
        <v>-15458</v>
      </c>
      <c r="F509" s="42">
        <v>0</v>
      </c>
      <c r="G509" s="42">
        <f t="shared" si="8"/>
        <v>-15458</v>
      </c>
      <c r="H509" s="2" t="str">
        <f>VLOOKUP(A509,'MASTER 26 27'!A:B,2,0)</f>
        <v>Not Applicable</v>
      </c>
    </row>
    <row r="510" spans="1:8">
      <c r="A510" s="68" t="s">
        <v>1448</v>
      </c>
      <c r="B510" s="73">
        <v>-28477</v>
      </c>
      <c r="C510" s="73"/>
      <c r="D510" s="73"/>
      <c r="E510" s="73">
        <v>-28477</v>
      </c>
      <c r="F510" s="42">
        <v>0</v>
      </c>
      <c r="G510" s="42">
        <f t="shared" si="8"/>
        <v>-28477</v>
      </c>
      <c r="H510" s="2" t="s">
        <v>84</v>
      </c>
    </row>
    <row r="511" spans="1:8">
      <c r="A511" s="68" t="s">
        <v>530</v>
      </c>
      <c r="B511" s="73">
        <v>-84201</v>
      </c>
      <c r="C511" s="73">
        <v>30240</v>
      </c>
      <c r="D511" s="73">
        <v>30083</v>
      </c>
      <c r="E511" s="73">
        <v>-84044</v>
      </c>
      <c r="F511" s="42">
        <v>0</v>
      </c>
      <c r="G511" s="42">
        <f t="shared" si="8"/>
        <v>-84044</v>
      </c>
      <c r="H511" s="2" t="str">
        <f>VLOOKUP(A511,'MASTER 26 27'!A:B,2,0)</f>
        <v>Not Applicable</v>
      </c>
    </row>
    <row r="512" spans="1:8">
      <c r="A512" s="68" t="s">
        <v>1449</v>
      </c>
      <c r="B512" s="73">
        <v>-38744</v>
      </c>
      <c r="C512" s="73"/>
      <c r="D512" s="73"/>
      <c r="E512" s="73">
        <v>-38744</v>
      </c>
      <c r="F512" s="42">
        <v>0</v>
      </c>
      <c r="G512" s="42">
        <f t="shared" si="8"/>
        <v>-38744</v>
      </c>
      <c r="H512" s="2" t="s">
        <v>84</v>
      </c>
    </row>
    <row r="513" spans="1:8">
      <c r="A513" s="68" t="s">
        <v>529</v>
      </c>
      <c r="B513" s="73">
        <v>-38962.5</v>
      </c>
      <c r="C513" s="73">
        <v>7398</v>
      </c>
      <c r="D513" s="73">
        <v>25665</v>
      </c>
      <c r="E513" s="73">
        <v>-57229.5</v>
      </c>
      <c r="F513" s="42">
        <v>0</v>
      </c>
      <c r="G513" s="42">
        <f t="shared" si="8"/>
        <v>-57229.5</v>
      </c>
      <c r="H513" s="2" t="str">
        <f>VLOOKUP(A513,'MASTER 26 27'!A:B,2,0)</f>
        <v>Not Applicable</v>
      </c>
    </row>
    <row r="514" spans="1:8">
      <c r="A514" s="68" t="s">
        <v>1450</v>
      </c>
      <c r="B514" s="73"/>
      <c r="C514" s="73"/>
      <c r="D514" s="73"/>
      <c r="E514" s="73">
        <v>0</v>
      </c>
      <c r="F514" s="42">
        <v>0</v>
      </c>
      <c r="G514" s="42">
        <f t="shared" si="8"/>
        <v>0</v>
      </c>
      <c r="H514" s="2" t="s">
        <v>84</v>
      </c>
    </row>
    <row r="515" spans="1:8">
      <c r="A515" s="68" t="s">
        <v>522</v>
      </c>
      <c r="B515" s="73">
        <v>-16891.400000000001</v>
      </c>
      <c r="C515" s="73">
        <v>12620</v>
      </c>
      <c r="D515" s="73"/>
      <c r="E515" s="73">
        <v>-4271.3999999999996</v>
      </c>
      <c r="F515" s="42">
        <v>0</v>
      </c>
      <c r="G515" s="42">
        <f t="shared" si="8"/>
        <v>-4271.3999999999996</v>
      </c>
      <c r="H515" s="2" t="str">
        <f>VLOOKUP(A515,'MASTER 26 27'!A:B,2,0)</f>
        <v>Not Applicable</v>
      </c>
    </row>
    <row r="516" spans="1:8">
      <c r="A516" s="68" t="s">
        <v>523</v>
      </c>
      <c r="B516" s="73">
        <v>3266.14</v>
      </c>
      <c r="C516" s="73"/>
      <c r="D516" s="73">
        <v>3266</v>
      </c>
      <c r="E516" s="73">
        <v>0.14000000000000001</v>
      </c>
      <c r="F516" s="42">
        <v>0</v>
      </c>
      <c r="G516" s="42">
        <f t="shared" si="8"/>
        <v>0.14000000000000001</v>
      </c>
      <c r="H516" s="2" t="str">
        <f>VLOOKUP(A516,'MASTER 26 27'!A:B,2,0)</f>
        <v>Not Applicable</v>
      </c>
    </row>
    <row r="517" spans="1:8">
      <c r="A517" s="68" t="s">
        <v>1451</v>
      </c>
      <c r="B517" s="73">
        <v>-330.4</v>
      </c>
      <c r="C517" s="73"/>
      <c r="D517" s="73"/>
      <c r="E517" s="73">
        <v>-330.4</v>
      </c>
      <c r="F517" s="42">
        <v>0</v>
      </c>
      <c r="G517" s="42">
        <f t="shared" si="8"/>
        <v>-330.4</v>
      </c>
      <c r="H517" s="2" t="s">
        <v>84</v>
      </c>
    </row>
    <row r="518" spans="1:8">
      <c r="A518" s="68" t="s">
        <v>520</v>
      </c>
      <c r="B518" s="73">
        <v>-8153</v>
      </c>
      <c r="C518" s="73"/>
      <c r="D518" s="73"/>
      <c r="E518" s="73">
        <v>-8153</v>
      </c>
      <c r="F518" s="42">
        <v>0</v>
      </c>
      <c r="G518" s="42">
        <f t="shared" si="8"/>
        <v>-8153</v>
      </c>
      <c r="H518" s="2" t="str">
        <f>VLOOKUP(A518,'MASTER 26 27'!A:B,2,0)</f>
        <v>Not Applicable</v>
      </c>
    </row>
    <row r="519" spans="1:8">
      <c r="A519" s="68" t="s">
        <v>1016</v>
      </c>
      <c r="B519" s="73">
        <v>29517.8</v>
      </c>
      <c r="C519" s="73"/>
      <c r="D519" s="73">
        <v>25618</v>
      </c>
      <c r="E519" s="73">
        <v>3899.8</v>
      </c>
      <c r="F519" s="42">
        <v>0</v>
      </c>
      <c r="G519" s="42">
        <f t="shared" ref="G519:G582" si="9">+E519+F519</f>
        <v>3899.8</v>
      </c>
      <c r="H519" s="2" t="str">
        <f>VLOOKUP(A519,'MASTER 26 27'!A:B,2,0)</f>
        <v>Not Applicable</v>
      </c>
    </row>
    <row r="520" spans="1:8">
      <c r="A520" s="68" t="s">
        <v>512</v>
      </c>
      <c r="B520" s="73"/>
      <c r="C520" s="73"/>
      <c r="D520" s="73"/>
      <c r="E520" s="73">
        <v>0</v>
      </c>
      <c r="F520" s="42">
        <v>0</v>
      </c>
      <c r="G520" s="42">
        <f t="shared" si="9"/>
        <v>0</v>
      </c>
      <c r="H520" s="2" t="str">
        <f>VLOOKUP(A520,'MASTER 26 27'!A:B,2,0)</f>
        <v>Not Applicable</v>
      </c>
    </row>
    <row r="521" spans="1:8">
      <c r="A521" s="68" t="s">
        <v>1452</v>
      </c>
      <c r="B521" s="73"/>
      <c r="C521" s="73"/>
      <c r="D521" s="73"/>
      <c r="E521" s="73">
        <v>0</v>
      </c>
      <c r="F521" s="42">
        <v>0</v>
      </c>
      <c r="G521" s="42">
        <f t="shared" si="9"/>
        <v>0</v>
      </c>
      <c r="H521" s="2" t="s">
        <v>84</v>
      </c>
    </row>
    <row r="522" spans="1:8">
      <c r="A522" s="68" t="s">
        <v>857</v>
      </c>
      <c r="B522" s="73">
        <v>-110405</v>
      </c>
      <c r="C522" s="73">
        <v>76258</v>
      </c>
      <c r="D522" s="73">
        <v>33055</v>
      </c>
      <c r="E522" s="73">
        <v>-67202</v>
      </c>
      <c r="F522" s="42">
        <v>0</v>
      </c>
      <c r="G522" s="42">
        <f t="shared" si="9"/>
        <v>-67202</v>
      </c>
      <c r="H522" s="2" t="str">
        <f>VLOOKUP(A522,'MASTER 26 27'!A:B,2,0)</f>
        <v>Not Applicable</v>
      </c>
    </row>
    <row r="523" spans="1:8">
      <c r="A523" s="68" t="s">
        <v>1118</v>
      </c>
      <c r="B523" s="73">
        <v>-41712.94</v>
      </c>
      <c r="C523" s="73">
        <v>22555</v>
      </c>
      <c r="D523" s="73">
        <v>187321</v>
      </c>
      <c r="E523" s="73">
        <v>-206478.94</v>
      </c>
      <c r="F523" s="42">
        <v>0</v>
      </c>
      <c r="G523" s="42">
        <f t="shared" si="9"/>
        <v>-206478.94</v>
      </c>
      <c r="H523" s="2" t="str">
        <f>VLOOKUP(A523,'MASTER 26 27'!A:B,2,0)</f>
        <v>Not Applicable</v>
      </c>
    </row>
    <row r="524" spans="1:8">
      <c r="A524" s="68" t="s">
        <v>493</v>
      </c>
      <c r="B524" s="73"/>
      <c r="C524" s="73"/>
      <c r="D524" s="73"/>
      <c r="E524" s="73">
        <v>0</v>
      </c>
      <c r="F524" s="42">
        <v>0</v>
      </c>
      <c r="G524" s="42">
        <f t="shared" si="9"/>
        <v>0</v>
      </c>
      <c r="H524" s="2" t="str">
        <f>VLOOKUP(A524,'MASTER 26 27'!A:B,2,0)</f>
        <v>Not Applicable</v>
      </c>
    </row>
    <row r="525" spans="1:8">
      <c r="A525" s="68" t="s">
        <v>484</v>
      </c>
      <c r="B525" s="73">
        <v>-18145.099999999999</v>
      </c>
      <c r="C525" s="73"/>
      <c r="D525" s="73"/>
      <c r="E525" s="73">
        <v>-18145.099999999999</v>
      </c>
      <c r="F525" s="42">
        <v>0</v>
      </c>
      <c r="G525" s="42">
        <f t="shared" si="9"/>
        <v>-18145.099999999999</v>
      </c>
      <c r="H525" s="2" t="str">
        <f>VLOOKUP(A525,'MASTER 26 27'!A:B,2,0)</f>
        <v>Not Applicable</v>
      </c>
    </row>
    <row r="526" spans="1:8">
      <c r="A526" s="68" t="s">
        <v>1453</v>
      </c>
      <c r="B526" s="73"/>
      <c r="C526" s="73"/>
      <c r="D526" s="73"/>
      <c r="E526" s="73">
        <v>0</v>
      </c>
      <c r="F526" s="42">
        <v>0</v>
      </c>
      <c r="G526" s="42">
        <f t="shared" si="9"/>
        <v>0</v>
      </c>
      <c r="H526" s="2" t="s">
        <v>84</v>
      </c>
    </row>
    <row r="527" spans="1:8">
      <c r="A527" s="68" t="s">
        <v>481</v>
      </c>
      <c r="B527" s="73">
        <v>-466.6</v>
      </c>
      <c r="C527" s="73">
        <v>2100</v>
      </c>
      <c r="D527" s="73"/>
      <c r="E527" s="73">
        <v>1633.4</v>
      </c>
      <c r="F527" s="42">
        <v>0</v>
      </c>
      <c r="G527" s="42">
        <f t="shared" si="9"/>
        <v>1633.4</v>
      </c>
      <c r="H527" s="2" t="str">
        <f>VLOOKUP(A527,'MASTER 26 27'!A:B,2,0)</f>
        <v>Not Applicable</v>
      </c>
    </row>
    <row r="528" spans="1:8">
      <c r="A528" s="68" t="s">
        <v>466</v>
      </c>
      <c r="B528" s="73"/>
      <c r="C528" s="73"/>
      <c r="D528" s="73">
        <v>8874</v>
      </c>
      <c r="E528" s="73">
        <v>-8874</v>
      </c>
      <c r="F528" s="42">
        <v>0</v>
      </c>
      <c r="G528" s="42">
        <f t="shared" si="9"/>
        <v>-8874</v>
      </c>
      <c r="H528" s="2" t="str">
        <f>VLOOKUP(A528,'MASTER 26 27'!A:B,2,0)</f>
        <v>Not Applicable</v>
      </c>
    </row>
    <row r="529" spans="1:8">
      <c r="A529" s="68" t="s">
        <v>467</v>
      </c>
      <c r="B529" s="73">
        <v>-3363</v>
      </c>
      <c r="C529" s="73"/>
      <c r="D529" s="73"/>
      <c r="E529" s="73">
        <v>-3363</v>
      </c>
      <c r="F529" s="42">
        <v>0</v>
      </c>
      <c r="G529" s="42">
        <f t="shared" si="9"/>
        <v>-3363</v>
      </c>
      <c r="H529" s="2" t="str">
        <f>VLOOKUP(A529,'MASTER 26 27'!A:B,2,0)</f>
        <v>Not Applicable</v>
      </c>
    </row>
    <row r="530" spans="1:8">
      <c r="A530" s="68" t="s">
        <v>868</v>
      </c>
      <c r="B530" s="73">
        <v>-16992</v>
      </c>
      <c r="C530" s="73"/>
      <c r="D530" s="73"/>
      <c r="E530" s="73">
        <v>-16992</v>
      </c>
      <c r="F530" s="42">
        <v>0</v>
      </c>
      <c r="G530" s="42">
        <f t="shared" si="9"/>
        <v>-16992</v>
      </c>
      <c r="H530" s="2" t="str">
        <f>VLOOKUP(A530,'MASTER 26 27'!A:B,2,0)</f>
        <v>Not Applicable</v>
      </c>
    </row>
    <row r="531" spans="1:8">
      <c r="A531" s="68" t="s">
        <v>1037</v>
      </c>
      <c r="B531" s="73"/>
      <c r="C531" s="73"/>
      <c r="D531" s="73"/>
      <c r="E531" s="73">
        <v>0</v>
      </c>
      <c r="F531" s="42">
        <v>0</v>
      </c>
      <c r="G531" s="42">
        <f t="shared" si="9"/>
        <v>0</v>
      </c>
      <c r="H531" s="2" t="str">
        <f>VLOOKUP(A531,'MASTER 26 27'!A:B,2,0)</f>
        <v>Not Applicable</v>
      </c>
    </row>
    <row r="532" spans="1:8">
      <c r="A532" s="68" t="s">
        <v>897</v>
      </c>
      <c r="B532" s="73">
        <v>118.8</v>
      </c>
      <c r="C532" s="73"/>
      <c r="D532" s="73"/>
      <c r="E532" s="73">
        <v>118.8</v>
      </c>
      <c r="F532" s="42">
        <v>0</v>
      </c>
      <c r="G532" s="42">
        <f t="shared" si="9"/>
        <v>118.8</v>
      </c>
      <c r="H532" s="2" t="str">
        <f>VLOOKUP(A532,'MASTER 26 27'!A:B,2,0)</f>
        <v>Not Applicable</v>
      </c>
    </row>
    <row r="533" spans="1:8">
      <c r="A533" s="68" t="s">
        <v>1217</v>
      </c>
      <c r="B533" s="73">
        <v>-51715</v>
      </c>
      <c r="C533" s="73"/>
      <c r="D533" s="73"/>
      <c r="E533" s="73">
        <v>-51715</v>
      </c>
      <c r="F533" s="42">
        <v>0</v>
      </c>
      <c r="G533" s="42">
        <f t="shared" si="9"/>
        <v>-51715</v>
      </c>
      <c r="H533" s="2" t="str">
        <f>VLOOKUP(A533,'MASTER 26 27'!A:B,2,0)</f>
        <v>Not Applicable</v>
      </c>
    </row>
    <row r="534" spans="1:8">
      <c r="A534" s="68" t="s">
        <v>459</v>
      </c>
      <c r="B534" s="73">
        <v>-14300</v>
      </c>
      <c r="C534" s="73"/>
      <c r="D534" s="73"/>
      <c r="E534" s="73">
        <v>-14300</v>
      </c>
      <c r="F534" s="42">
        <v>0</v>
      </c>
      <c r="G534" s="42">
        <f t="shared" si="9"/>
        <v>-14300</v>
      </c>
      <c r="H534" s="2" t="str">
        <f>VLOOKUP(A534,'MASTER 26 27'!A:B,2,0)</f>
        <v>Not Applicable</v>
      </c>
    </row>
    <row r="535" spans="1:8">
      <c r="A535" s="68" t="s">
        <v>1454</v>
      </c>
      <c r="B535" s="73"/>
      <c r="C535" s="73"/>
      <c r="D535" s="73">
        <v>1309.8</v>
      </c>
      <c r="E535" s="73">
        <v>-1309.8</v>
      </c>
      <c r="F535" s="42">
        <v>0</v>
      </c>
      <c r="G535" s="42">
        <f t="shared" si="9"/>
        <v>-1309.8</v>
      </c>
      <c r="H535" s="2" t="s">
        <v>84</v>
      </c>
    </row>
    <row r="536" spans="1:8">
      <c r="A536" s="68" t="s">
        <v>1455</v>
      </c>
      <c r="B536" s="73"/>
      <c r="C536" s="73"/>
      <c r="D536" s="73"/>
      <c r="E536" s="73">
        <v>0</v>
      </c>
      <c r="F536" s="42">
        <v>0</v>
      </c>
      <c r="G536" s="42">
        <f t="shared" si="9"/>
        <v>0</v>
      </c>
      <c r="H536" s="2" t="s">
        <v>84</v>
      </c>
    </row>
    <row r="537" spans="1:8">
      <c r="A537" s="68" t="s">
        <v>409</v>
      </c>
      <c r="B537" s="73"/>
      <c r="C537" s="73"/>
      <c r="D537" s="73">
        <v>23930</v>
      </c>
      <c r="E537" s="73">
        <v>-23930</v>
      </c>
      <c r="F537" s="42">
        <v>0</v>
      </c>
      <c r="G537" s="42">
        <f t="shared" si="9"/>
        <v>-23930</v>
      </c>
      <c r="H537" s="2" t="str">
        <f>VLOOKUP(A537,'MASTER 26 27'!A:B,2,0)</f>
        <v>Not Applicable</v>
      </c>
    </row>
    <row r="538" spans="1:8">
      <c r="A538" s="68" t="s">
        <v>978</v>
      </c>
      <c r="B538" s="73">
        <v>-8198</v>
      </c>
      <c r="C538" s="73"/>
      <c r="D538" s="73"/>
      <c r="E538" s="73">
        <v>-8198</v>
      </c>
      <c r="F538" s="42">
        <v>0</v>
      </c>
      <c r="G538" s="42">
        <f t="shared" si="9"/>
        <v>-8198</v>
      </c>
      <c r="H538" s="2" t="str">
        <f>VLOOKUP(A538,'MASTER 26 27'!A:B,2,0)</f>
        <v>Not Applicable</v>
      </c>
    </row>
    <row r="539" spans="1:8">
      <c r="A539" s="68" t="s">
        <v>453</v>
      </c>
      <c r="B539" s="73">
        <v>-315182</v>
      </c>
      <c r="C539" s="73">
        <v>104470</v>
      </c>
      <c r="D539" s="73">
        <v>232215</v>
      </c>
      <c r="E539" s="73">
        <v>-442927</v>
      </c>
      <c r="F539" s="42">
        <v>0</v>
      </c>
      <c r="G539" s="42">
        <f t="shared" si="9"/>
        <v>-442927</v>
      </c>
      <c r="H539" s="2" t="str">
        <f>VLOOKUP(A539,'MASTER 26 27'!A:B,2,0)</f>
        <v>Not Applicable</v>
      </c>
    </row>
    <row r="540" spans="1:8">
      <c r="A540" s="68" t="s">
        <v>449</v>
      </c>
      <c r="B540" s="73">
        <v>-6136</v>
      </c>
      <c r="C540" s="73"/>
      <c r="D540" s="73">
        <v>179</v>
      </c>
      <c r="E540" s="73">
        <v>-6315</v>
      </c>
      <c r="F540" s="42">
        <v>0</v>
      </c>
      <c r="G540" s="42">
        <f t="shared" si="9"/>
        <v>-6315</v>
      </c>
      <c r="H540" s="2" t="str">
        <f>VLOOKUP(A540,'MASTER 26 27'!A:B,2,0)</f>
        <v>Not Applicable</v>
      </c>
    </row>
    <row r="541" spans="1:8">
      <c r="A541" s="68" t="s">
        <v>1096</v>
      </c>
      <c r="B541" s="73"/>
      <c r="C541" s="73"/>
      <c r="D541" s="73"/>
      <c r="E541" s="73">
        <v>0</v>
      </c>
      <c r="F541" s="42">
        <v>0</v>
      </c>
      <c r="G541" s="42">
        <f t="shared" si="9"/>
        <v>0</v>
      </c>
      <c r="H541" s="2" t="str">
        <f>VLOOKUP(A541,'MASTER 26 27'!A:B,2,0)</f>
        <v>Not Applicable</v>
      </c>
    </row>
    <row r="542" spans="1:8">
      <c r="A542" s="68" t="s">
        <v>450</v>
      </c>
      <c r="B542" s="73">
        <v>-4213</v>
      </c>
      <c r="C542" s="73">
        <v>4213</v>
      </c>
      <c r="D542" s="73">
        <v>26078</v>
      </c>
      <c r="E542" s="73">
        <v>-26078</v>
      </c>
      <c r="F542" s="42">
        <v>0</v>
      </c>
      <c r="G542" s="42">
        <f t="shared" si="9"/>
        <v>-26078</v>
      </c>
      <c r="H542" s="2" t="str">
        <f>VLOOKUP(A542,'MASTER 26 27'!A:B,2,0)</f>
        <v>Not Applicable</v>
      </c>
    </row>
    <row r="543" spans="1:8">
      <c r="A543" s="68" t="s">
        <v>451</v>
      </c>
      <c r="B543" s="73">
        <v>-68735</v>
      </c>
      <c r="C543" s="73"/>
      <c r="D543" s="73"/>
      <c r="E543" s="73">
        <v>-68735</v>
      </c>
      <c r="F543" s="42">
        <v>0</v>
      </c>
      <c r="G543" s="42">
        <f t="shared" si="9"/>
        <v>-68735</v>
      </c>
      <c r="H543" s="2" t="str">
        <f>VLOOKUP(A543,'MASTER 26 27'!A:B,2,0)</f>
        <v>Not Applicable</v>
      </c>
    </row>
    <row r="544" spans="1:8">
      <c r="A544" s="68" t="s">
        <v>452</v>
      </c>
      <c r="B544" s="73"/>
      <c r="C544" s="73"/>
      <c r="D544" s="73"/>
      <c r="E544" s="73">
        <v>0</v>
      </c>
      <c r="F544" s="42">
        <v>0</v>
      </c>
      <c r="G544" s="42">
        <f t="shared" si="9"/>
        <v>0</v>
      </c>
      <c r="H544" s="2" t="str">
        <f>VLOOKUP(A544,'MASTER 26 27'!A:B,2,0)</f>
        <v>Not Applicable</v>
      </c>
    </row>
    <row r="545" spans="1:8">
      <c r="A545" s="68" t="s">
        <v>435</v>
      </c>
      <c r="B545" s="73">
        <v>-2047</v>
      </c>
      <c r="C545" s="73"/>
      <c r="D545" s="73"/>
      <c r="E545" s="73">
        <v>-2047</v>
      </c>
      <c r="F545" s="42">
        <v>0</v>
      </c>
      <c r="G545" s="42">
        <f t="shared" si="9"/>
        <v>-2047</v>
      </c>
      <c r="H545" s="2" t="str">
        <f>VLOOKUP(A545,'MASTER 26 27'!A:B,2,0)</f>
        <v>Not Applicable</v>
      </c>
    </row>
    <row r="546" spans="1:8">
      <c r="A546" s="68" t="s">
        <v>439</v>
      </c>
      <c r="B546" s="73">
        <v>-200412.23</v>
      </c>
      <c r="C546" s="73">
        <v>27848</v>
      </c>
      <c r="D546" s="73">
        <v>14455</v>
      </c>
      <c r="E546" s="73">
        <v>-187019.23</v>
      </c>
      <c r="F546" s="42">
        <v>0</v>
      </c>
      <c r="G546" s="42">
        <f t="shared" si="9"/>
        <v>-187019.23</v>
      </c>
      <c r="H546" s="2" t="str">
        <f>VLOOKUP(A546,'MASTER 26 27'!A:B,2,0)</f>
        <v>Not Applicable</v>
      </c>
    </row>
    <row r="547" spans="1:8">
      <c r="A547" s="68" t="s">
        <v>440</v>
      </c>
      <c r="B547" s="73"/>
      <c r="C547" s="73"/>
      <c r="D547" s="73"/>
      <c r="E547" s="73">
        <v>0</v>
      </c>
      <c r="F547" s="42">
        <v>0</v>
      </c>
      <c r="G547" s="42">
        <f t="shared" si="9"/>
        <v>0</v>
      </c>
      <c r="H547" s="2" t="str">
        <f>VLOOKUP(A547,'MASTER 26 27'!A:B,2,0)</f>
        <v>Not Applicable</v>
      </c>
    </row>
    <row r="548" spans="1:8">
      <c r="A548" s="68" t="s">
        <v>1063</v>
      </c>
      <c r="B548" s="73">
        <v>0.14000000000000001</v>
      </c>
      <c r="C548" s="73"/>
      <c r="D548" s="73"/>
      <c r="E548" s="73">
        <v>0.14000000000000001</v>
      </c>
      <c r="F548" s="42">
        <v>0</v>
      </c>
      <c r="G548" s="42">
        <f t="shared" si="9"/>
        <v>0.14000000000000001</v>
      </c>
      <c r="H548" s="2" t="str">
        <f>VLOOKUP(A548,'MASTER 26 27'!A:B,2,0)</f>
        <v>Not Applicable</v>
      </c>
    </row>
    <row r="549" spans="1:8">
      <c r="A549" s="68" t="s">
        <v>1339</v>
      </c>
      <c r="B549" s="73">
        <v>-43660</v>
      </c>
      <c r="C549" s="73"/>
      <c r="D549" s="73">
        <v>29795</v>
      </c>
      <c r="E549" s="73">
        <v>-73455</v>
      </c>
      <c r="F549" s="42">
        <v>0</v>
      </c>
      <c r="G549" s="42">
        <f t="shared" si="9"/>
        <v>-73455</v>
      </c>
      <c r="H549" s="2" t="str">
        <f>VLOOKUP(A549,'MASTER 26 27'!A:B,2,0)</f>
        <v>Not Applicable</v>
      </c>
    </row>
    <row r="550" spans="1:8">
      <c r="A550" s="68" t="s">
        <v>432</v>
      </c>
      <c r="B550" s="73"/>
      <c r="C550" s="73"/>
      <c r="D550" s="73"/>
      <c r="E550" s="73">
        <v>0</v>
      </c>
      <c r="F550" s="42">
        <v>0</v>
      </c>
      <c r="G550" s="42">
        <f t="shared" si="9"/>
        <v>0</v>
      </c>
      <c r="H550" s="2" t="str">
        <f>VLOOKUP(A550,'MASTER 26 27'!A:B,2,0)</f>
        <v>Not Applicable</v>
      </c>
    </row>
    <row r="551" spans="1:8">
      <c r="A551" s="68" t="s">
        <v>427</v>
      </c>
      <c r="B551" s="73">
        <v>6938.4</v>
      </c>
      <c r="C551" s="73"/>
      <c r="D551" s="73">
        <v>6939</v>
      </c>
      <c r="E551" s="73">
        <v>-0.6</v>
      </c>
      <c r="F551" s="42">
        <v>0</v>
      </c>
      <c r="G551" s="42">
        <f t="shared" si="9"/>
        <v>-0.6</v>
      </c>
      <c r="H551" s="2" t="str">
        <f>VLOOKUP(A551,'MASTER 26 27'!A:B,2,0)</f>
        <v>Not Applicable</v>
      </c>
    </row>
    <row r="552" spans="1:8">
      <c r="A552" s="68" t="s">
        <v>429</v>
      </c>
      <c r="B552" s="73">
        <v>-47161</v>
      </c>
      <c r="C552" s="73">
        <v>38625</v>
      </c>
      <c r="D552" s="73"/>
      <c r="E552" s="73">
        <v>-8536</v>
      </c>
      <c r="F552" s="42">
        <v>0</v>
      </c>
      <c r="G552" s="42">
        <f t="shared" si="9"/>
        <v>-8536</v>
      </c>
      <c r="H552" s="2" t="str">
        <f>VLOOKUP(A552,'MASTER 26 27'!A:B,2,0)</f>
        <v>Not Applicable</v>
      </c>
    </row>
    <row r="553" spans="1:8">
      <c r="A553" s="68" t="s">
        <v>1341</v>
      </c>
      <c r="B553" s="73">
        <v>-28261</v>
      </c>
      <c r="C553" s="73"/>
      <c r="D553" s="73"/>
      <c r="E553" s="73">
        <v>-28261</v>
      </c>
      <c r="F553" s="42">
        <v>0</v>
      </c>
      <c r="G553" s="42">
        <f t="shared" si="9"/>
        <v>-28261</v>
      </c>
      <c r="H553" s="2" t="str">
        <f>VLOOKUP(A553,'MASTER 26 27'!A:B,2,0)</f>
        <v>Not Applicable</v>
      </c>
    </row>
    <row r="554" spans="1:8">
      <c r="A554" s="68" t="s">
        <v>423</v>
      </c>
      <c r="B554" s="73"/>
      <c r="C554" s="73"/>
      <c r="D554" s="73"/>
      <c r="E554" s="73">
        <v>0</v>
      </c>
      <c r="F554" s="42">
        <v>0</v>
      </c>
      <c r="G554" s="42">
        <f t="shared" si="9"/>
        <v>0</v>
      </c>
      <c r="H554" s="2" t="str">
        <f>VLOOKUP(A554,'MASTER 26 27'!A:B,2,0)</f>
        <v>Not Applicable</v>
      </c>
    </row>
    <row r="555" spans="1:8">
      <c r="A555" s="68" t="s">
        <v>424</v>
      </c>
      <c r="B555" s="73">
        <v>-40521</v>
      </c>
      <c r="C555" s="73"/>
      <c r="D555" s="73">
        <v>11210</v>
      </c>
      <c r="E555" s="73">
        <v>-51731</v>
      </c>
      <c r="F555" s="42">
        <v>0</v>
      </c>
      <c r="G555" s="42">
        <f t="shared" si="9"/>
        <v>-51731</v>
      </c>
      <c r="H555" s="2" t="str">
        <f>VLOOKUP(A555,'MASTER 26 27'!A:B,2,0)</f>
        <v>Not Applicable</v>
      </c>
    </row>
    <row r="556" spans="1:8">
      <c r="A556" s="68" t="s">
        <v>1013</v>
      </c>
      <c r="B556" s="73">
        <v>-1661730</v>
      </c>
      <c r="C556" s="73">
        <v>252000</v>
      </c>
      <c r="D556" s="73">
        <v>130725</v>
      </c>
      <c r="E556" s="73">
        <v>-1540455</v>
      </c>
      <c r="F556" s="42">
        <v>0</v>
      </c>
      <c r="G556" s="42">
        <f t="shared" si="9"/>
        <v>-1540455</v>
      </c>
      <c r="H556" s="2" t="str">
        <f>VLOOKUP(A556,'MASTER 26 27'!A:B,2,0)</f>
        <v>Not Applicable</v>
      </c>
    </row>
    <row r="557" spans="1:8">
      <c r="A557" s="68" t="s">
        <v>1456</v>
      </c>
      <c r="B557" s="73"/>
      <c r="C557" s="73"/>
      <c r="D557" s="73">
        <v>13122</v>
      </c>
      <c r="E557" s="73">
        <v>-13122</v>
      </c>
      <c r="F557" s="42">
        <v>0</v>
      </c>
      <c r="G557" s="42">
        <f t="shared" si="9"/>
        <v>-13122</v>
      </c>
      <c r="H557" s="2" t="s">
        <v>84</v>
      </c>
    </row>
    <row r="558" spans="1:8">
      <c r="A558" s="68" t="s">
        <v>1115</v>
      </c>
      <c r="B558" s="73">
        <v>-127436</v>
      </c>
      <c r="C558" s="73"/>
      <c r="D558" s="73">
        <v>125303</v>
      </c>
      <c r="E558" s="73">
        <v>-252739</v>
      </c>
      <c r="F558" s="42">
        <v>0</v>
      </c>
      <c r="G558" s="42">
        <f t="shared" si="9"/>
        <v>-252739</v>
      </c>
      <c r="H558" s="2" t="str">
        <f>VLOOKUP(A558,'MASTER 26 27'!A:B,2,0)</f>
        <v>Not Applicable</v>
      </c>
    </row>
    <row r="559" spans="1:8">
      <c r="A559" s="68" t="s">
        <v>1457</v>
      </c>
      <c r="B559" s="73">
        <v>-25648</v>
      </c>
      <c r="C559" s="73">
        <v>25648</v>
      </c>
      <c r="D559" s="73"/>
      <c r="E559" s="73">
        <v>0</v>
      </c>
      <c r="F559" s="42">
        <v>0</v>
      </c>
      <c r="G559" s="42">
        <f t="shared" si="9"/>
        <v>0</v>
      </c>
      <c r="H559" s="2" t="s">
        <v>84</v>
      </c>
    </row>
    <row r="560" spans="1:8">
      <c r="A560" s="68" t="s">
        <v>415</v>
      </c>
      <c r="B560" s="73">
        <v>-35754</v>
      </c>
      <c r="C560" s="73">
        <v>10325</v>
      </c>
      <c r="D560" s="73">
        <v>4508</v>
      </c>
      <c r="E560" s="73">
        <v>-29937</v>
      </c>
      <c r="F560" s="42">
        <v>0</v>
      </c>
      <c r="G560" s="42">
        <f t="shared" si="9"/>
        <v>-29937</v>
      </c>
      <c r="H560" s="2" t="str">
        <f>VLOOKUP(A560,'MASTER 26 27'!A:B,2,0)</f>
        <v>Not Applicable</v>
      </c>
    </row>
    <row r="561" spans="1:8">
      <c r="A561" s="68" t="s">
        <v>1322</v>
      </c>
      <c r="B561" s="73"/>
      <c r="C561" s="73"/>
      <c r="D561" s="73"/>
      <c r="E561" s="73">
        <v>0</v>
      </c>
      <c r="F561" s="42">
        <v>0</v>
      </c>
      <c r="G561" s="42">
        <f t="shared" si="9"/>
        <v>0</v>
      </c>
      <c r="H561" s="2" t="str">
        <f>VLOOKUP(A561,'MASTER 26 27'!A:B,2,0)</f>
        <v>Not Applicable</v>
      </c>
    </row>
    <row r="562" spans="1:8">
      <c r="A562" s="68" t="s">
        <v>1352</v>
      </c>
      <c r="B562" s="73">
        <v>-13405</v>
      </c>
      <c r="C562" s="73">
        <v>13405</v>
      </c>
      <c r="D562" s="73"/>
      <c r="E562" s="73">
        <v>0</v>
      </c>
      <c r="F562" s="42">
        <v>0</v>
      </c>
      <c r="G562" s="42">
        <f t="shared" si="9"/>
        <v>0</v>
      </c>
      <c r="H562" s="2" t="str">
        <f>VLOOKUP(A562,'MASTER 26 27'!A:B,2,0)</f>
        <v>Not Applicable</v>
      </c>
    </row>
    <row r="563" spans="1:8">
      <c r="A563" s="68" t="s">
        <v>1458</v>
      </c>
      <c r="B563" s="73"/>
      <c r="C563" s="73">
        <v>26550</v>
      </c>
      <c r="D563" s="73">
        <v>26550</v>
      </c>
      <c r="E563" s="73">
        <v>0</v>
      </c>
      <c r="F563" s="42">
        <v>0</v>
      </c>
      <c r="G563" s="42">
        <f t="shared" si="9"/>
        <v>0</v>
      </c>
      <c r="H563" s="2" t="s">
        <v>84</v>
      </c>
    </row>
    <row r="564" spans="1:8">
      <c r="A564" s="68" t="s">
        <v>408</v>
      </c>
      <c r="B564" s="73">
        <v>-5334</v>
      </c>
      <c r="C564" s="73">
        <v>5334</v>
      </c>
      <c r="D564" s="73">
        <v>85144</v>
      </c>
      <c r="E564" s="73">
        <v>-85144</v>
      </c>
      <c r="F564" s="42">
        <v>0</v>
      </c>
      <c r="G564" s="42">
        <f t="shared" si="9"/>
        <v>-85144</v>
      </c>
      <c r="H564" s="2" t="str">
        <f>VLOOKUP(A564,'MASTER 26 27'!A:B,2,0)</f>
        <v>Not Applicable</v>
      </c>
    </row>
    <row r="565" spans="1:8">
      <c r="A565" s="68" t="s">
        <v>407</v>
      </c>
      <c r="B565" s="73">
        <v>-61931.199999999997</v>
      </c>
      <c r="C565" s="73">
        <v>3233</v>
      </c>
      <c r="D565" s="73"/>
      <c r="E565" s="73">
        <v>-58698.2</v>
      </c>
      <c r="F565" s="42">
        <v>0</v>
      </c>
      <c r="G565" s="42">
        <f t="shared" si="9"/>
        <v>-58698.2</v>
      </c>
      <c r="H565" s="2" t="str">
        <f>VLOOKUP(A565,'MASTER 26 27'!A:B,2,0)</f>
        <v>Not Applicable</v>
      </c>
    </row>
    <row r="566" spans="1:8">
      <c r="A566" s="68" t="s">
        <v>1459</v>
      </c>
      <c r="B566" s="73">
        <v>3009</v>
      </c>
      <c r="C566" s="73"/>
      <c r="D566" s="73"/>
      <c r="E566" s="73">
        <v>3009</v>
      </c>
      <c r="F566" s="42">
        <v>0</v>
      </c>
      <c r="G566" s="42">
        <f t="shared" si="9"/>
        <v>3009</v>
      </c>
      <c r="H566" s="2" t="s">
        <v>84</v>
      </c>
    </row>
    <row r="567" spans="1:8">
      <c r="A567" s="68" t="s">
        <v>367</v>
      </c>
      <c r="B567" s="73">
        <v>-1204</v>
      </c>
      <c r="C567" s="73"/>
      <c r="D567" s="73"/>
      <c r="E567" s="73">
        <v>-1204</v>
      </c>
      <c r="F567" s="42">
        <v>0</v>
      </c>
      <c r="G567" s="42">
        <f t="shared" si="9"/>
        <v>-1204</v>
      </c>
      <c r="H567" s="2" t="str">
        <f>VLOOKUP(A567,'MASTER 26 27'!A:B,2,0)</f>
        <v>Not Applicable</v>
      </c>
    </row>
    <row r="568" spans="1:8">
      <c r="A568" s="68" t="s">
        <v>1460</v>
      </c>
      <c r="B568" s="73"/>
      <c r="C568" s="73"/>
      <c r="D568" s="73"/>
      <c r="E568" s="73">
        <v>0</v>
      </c>
      <c r="F568" s="42">
        <v>0</v>
      </c>
      <c r="G568" s="42">
        <f t="shared" si="9"/>
        <v>0</v>
      </c>
      <c r="H568" s="2" t="s">
        <v>84</v>
      </c>
    </row>
    <row r="569" spans="1:8">
      <c r="A569" s="68" t="s">
        <v>1001</v>
      </c>
      <c r="B569" s="73"/>
      <c r="C569" s="73"/>
      <c r="D569" s="73">
        <v>8000</v>
      </c>
      <c r="E569" s="73">
        <v>-8000</v>
      </c>
      <c r="F569" s="42">
        <v>0</v>
      </c>
      <c r="G569" s="42">
        <f t="shared" si="9"/>
        <v>-8000</v>
      </c>
      <c r="H569" s="2" t="str">
        <f>VLOOKUP(A569,'MASTER 26 27'!A:B,2,0)</f>
        <v>Not Applicable</v>
      </c>
    </row>
    <row r="570" spans="1:8">
      <c r="A570" s="68" t="s">
        <v>405</v>
      </c>
      <c r="B570" s="73">
        <v>-25491</v>
      </c>
      <c r="C570" s="73">
        <v>580</v>
      </c>
      <c r="D570" s="73">
        <v>108393</v>
      </c>
      <c r="E570" s="73">
        <v>-133304</v>
      </c>
      <c r="F570" s="42">
        <v>0</v>
      </c>
      <c r="G570" s="42">
        <f t="shared" si="9"/>
        <v>-133304</v>
      </c>
      <c r="H570" s="2" t="str">
        <f>VLOOKUP(A570,'MASTER 26 27'!A:B,2,0)</f>
        <v>Not Applicable</v>
      </c>
    </row>
    <row r="571" spans="1:8">
      <c r="A571" s="68" t="s">
        <v>406</v>
      </c>
      <c r="B571" s="73"/>
      <c r="C571" s="73"/>
      <c r="D571" s="73"/>
      <c r="E571" s="73">
        <v>0</v>
      </c>
      <c r="F571" s="42">
        <v>0</v>
      </c>
      <c r="G571" s="42">
        <f t="shared" si="9"/>
        <v>0</v>
      </c>
      <c r="H571" s="2" t="str">
        <f>VLOOKUP(A571,'MASTER 26 27'!A:B,2,0)</f>
        <v>Not Applicable</v>
      </c>
    </row>
    <row r="572" spans="1:8">
      <c r="A572" s="68" t="s">
        <v>896</v>
      </c>
      <c r="B572" s="73"/>
      <c r="C572" s="73"/>
      <c r="D572" s="73"/>
      <c r="E572" s="73">
        <v>0</v>
      </c>
      <c r="F572" s="42">
        <v>0</v>
      </c>
      <c r="G572" s="42">
        <f t="shared" si="9"/>
        <v>0</v>
      </c>
      <c r="H572" s="2" t="str">
        <f>VLOOKUP(A572,'MASTER 26 27'!A:B,2,0)</f>
        <v>Not Applicable</v>
      </c>
    </row>
    <row r="573" spans="1:8">
      <c r="A573" s="68" t="s">
        <v>1461</v>
      </c>
      <c r="B573" s="73"/>
      <c r="C573" s="73"/>
      <c r="D573" s="73"/>
      <c r="E573" s="73">
        <v>0</v>
      </c>
      <c r="F573" s="42">
        <v>0</v>
      </c>
      <c r="G573" s="42">
        <f t="shared" si="9"/>
        <v>0</v>
      </c>
      <c r="H573" s="2" t="s">
        <v>84</v>
      </c>
    </row>
    <row r="574" spans="1:8">
      <c r="A574" s="68" t="s">
        <v>404</v>
      </c>
      <c r="B574" s="73">
        <v>-491128</v>
      </c>
      <c r="C574" s="73">
        <v>229452</v>
      </c>
      <c r="D574" s="73"/>
      <c r="E574" s="73">
        <v>-261676</v>
      </c>
      <c r="F574" s="42">
        <v>0</v>
      </c>
      <c r="G574" s="42">
        <f t="shared" si="9"/>
        <v>-261676</v>
      </c>
      <c r="H574" s="2" t="str">
        <f>VLOOKUP(A574,'MASTER 26 27'!A:B,2,0)</f>
        <v>Not Applicable</v>
      </c>
    </row>
    <row r="575" spans="1:8">
      <c r="A575" s="68" t="s">
        <v>1462</v>
      </c>
      <c r="B575" s="73"/>
      <c r="C575" s="73"/>
      <c r="D575" s="73"/>
      <c r="E575" s="73">
        <v>0</v>
      </c>
      <c r="F575" s="42">
        <v>0</v>
      </c>
      <c r="G575" s="42">
        <f t="shared" si="9"/>
        <v>0</v>
      </c>
      <c r="H575" s="2" t="s">
        <v>84</v>
      </c>
    </row>
    <row r="576" spans="1:8">
      <c r="A576" s="68" t="s">
        <v>389</v>
      </c>
      <c r="B576" s="73">
        <v>-10631</v>
      </c>
      <c r="C576" s="73"/>
      <c r="D576" s="73"/>
      <c r="E576" s="73">
        <v>-10631</v>
      </c>
      <c r="F576" s="42">
        <v>0</v>
      </c>
      <c r="G576" s="42">
        <f t="shared" si="9"/>
        <v>-10631</v>
      </c>
      <c r="H576" s="2" t="str">
        <f>VLOOKUP(A576,'MASTER 26 27'!A:B,2,0)</f>
        <v>Not Applicable</v>
      </c>
    </row>
    <row r="577" spans="1:8">
      <c r="A577" s="68" t="s">
        <v>384</v>
      </c>
      <c r="B577" s="73"/>
      <c r="C577" s="73"/>
      <c r="D577" s="73"/>
      <c r="E577" s="73">
        <v>0</v>
      </c>
      <c r="F577" s="42">
        <v>0</v>
      </c>
      <c r="G577" s="42">
        <f t="shared" si="9"/>
        <v>0</v>
      </c>
      <c r="H577" s="2" t="str">
        <f>VLOOKUP(A577,'MASTER 26 27'!A:B,2,0)</f>
        <v>Not Applicable</v>
      </c>
    </row>
    <row r="578" spans="1:8">
      <c r="A578" s="68" t="s">
        <v>386</v>
      </c>
      <c r="B578" s="73">
        <v>-2491.02</v>
      </c>
      <c r="C578" s="73"/>
      <c r="D578" s="73"/>
      <c r="E578" s="73">
        <v>-2491.02</v>
      </c>
      <c r="F578" s="42">
        <v>0</v>
      </c>
      <c r="G578" s="42">
        <f t="shared" si="9"/>
        <v>-2491.02</v>
      </c>
      <c r="H578" s="2" t="str">
        <f>VLOOKUP(A578,'MASTER 26 27'!A:B,2,0)</f>
        <v>Not Applicable</v>
      </c>
    </row>
    <row r="579" spans="1:8">
      <c r="A579" s="68" t="s">
        <v>387</v>
      </c>
      <c r="B579" s="73">
        <v>-33672</v>
      </c>
      <c r="C579" s="73">
        <v>12179</v>
      </c>
      <c r="D579" s="73">
        <v>4238</v>
      </c>
      <c r="E579" s="73">
        <v>-25731</v>
      </c>
      <c r="F579" s="42">
        <v>0</v>
      </c>
      <c r="G579" s="42">
        <f t="shared" si="9"/>
        <v>-25731</v>
      </c>
      <c r="H579" s="2" t="str">
        <f>VLOOKUP(A579,'MASTER 26 27'!A:B,2,0)</f>
        <v>Not Applicable</v>
      </c>
    </row>
    <row r="580" spans="1:8">
      <c r="A580" s="68" t="s">
        <v>1131</v>
      </c>
      <c r="B580" s="73">
        <v>-1829</v>
      </c>
      <c r="C580" s="73">
        <v>1829</v>
      </c>
      <c r="D580" s="73"/>
      <c r="E580" s="73">
        <v>0</v>
      </c>
      <c r="F580" s="42">
        <v>0</v>
      </c>
      <c r="G580" s="42">
        <f t="shared" si="9"/>
        <v>0</v>
      </c>
      <c r="H580" s="2" t="str">
        <f>VLOOKUP(A580,'MASTER 26 27'!A:B,2,0)</f>
        <v>Not Applicable</v>
      </c>
    </row>
    <row r="581" spans="1:8">
      <c r="A581" s="68" t="s">
        <v>378</v>
      </c>
      <c r="B581" s="73">
        <v>-708</v>
      </c>
      <c r="C581" s="73"/>
      <c r="D581" s="73"/>
      <c r="E581" s="73">
        <v>-708</v>
      </c>
      <c r="F581" s="42">
        <v>0</v>
      </c>
      <c r="G581" s="42">
        <f t="shared" si="9"/>
        <v>-708</v>
      </c>
      <c r="H581" s="2" t="str">
        <f>VLOOKUP(A581,'MASTER 26 27'!A:B,2,0)</f>
        <v>Not Applicable</v>
      </c>
    </row>
    <row r="582" spans="1:8">
      <c r="A582" s="68" t="s">
        <v>1463</v>
      </c>
      <c r="B582" s="73"/>
      <c r="C582" s="73"/>
      <c r="D582" s="73">
        <v>75579</v>
      </c>
      <c r="E582" s="73">
        <v>-75579</v>
      </c>
      <c r="F582" s="42">
        <v>0</v>
      </c>
      <c r="G582" s="42">
        <f t="shared" si="9"/>
        <v>-75579</v>
      </c>
      <c r="H582" s="2" t="s">
        <v>84</v>
      </c>
    </row>
    <row r="583" spans="1:8">
      <c r="A583" s="68" t="s">
        <v>1464</v>
      </c>
      <c r="B583" s="73">
        <v>-1605</v>
      </c>
      <c r="C583" s="73"/>
      <c r="D583" s="73">
        <v>2983</v>
      </c>
      <c r="E583" s="73">
        <v>-4588</v>
      </c>
      <c r="F583" s="42">
        <v>0</v>
      </c>
      <c r="G583" s="42">
        <f t="shared" ref="G583:G646" si="10">+E583+F583</f>
        <v>-4588</v>
      </c>
      <c r="H583" s="2" t="s">
        <v>84</v>
      </c>
    </row>
    <row r="584" spans="1:8">
      <c r="A584" s="68" t="s">
        <v>1220</v>
      </c>
      <c r="B584" s="73">
        <v>-284</v>
      </c>
      <c r="C584" s="73">
        <v>284</v>
      </c>
      <c r="D584" s="73"/>
      <c r="E584" s="73">
        <v>0</v>
      </c>
      <c r="F584" s="42">
        <v>0</v>
      </c>
      <c r="G584" s="42">
        <f t="shared" si="10"/>
        <v>0</v>
      </c>
      <c r="H584" s="2" t="str">
        <f>VLOOKUP(A584,'MASTER 26 27'!A:B,2,0)</f>
        <v>Not Applicable</v>
      </c>
    </row>
    <row r="585" spans="1:8">
      <c r="A585" s="68" t="s">
        <v>1114</v>
      </c>
      <c r="B585" s="73">
        <v>-424.8</v>
      </c>
      <c r="C585" s="73"/>
      <c r="D585" s="73"/>
      <c r="E585" s="73">
        <v>-424.8</v>
      </c>
      <c r="F585" s="42">
        <v>0</v>
      </c>
      <c r="G585" s="42">
        <f t="shared" si="10"/>
        <v>-424.8</v>
      </c>
      <c r="H585" s="2" t="str">
        <f>VLOOKUP(A585,'MASTER 26 27'!A:B,2,0)</f>
        <v>Not Applicable</v>
      </c>
    </row>
    <row r="586" spans="1:8">
      <c r="A586" s="68" t="s">
        <v>959</v>
      </c>
      <c r="B586" s="73">
        <v>-6195</v>
      </c>
      <c r="C586" s="73"/>
      <c r="D586" s="73"/>
      <c r="E586" s="73">
        <v>-6195</v>
      </c>
      <c r="F586" s="42">
        <v>0</v>
      </c>
      <c r="G586" s="42">
        <f t="shared" si="10"/>
        <v>-6195</v>
      </c>
      <c r="H586" s="2" t="str">
        <f>VLOOKUP(A586,'MASTER 26 27'!A:B,2,0)</f>
        <v>Not Applicable</v>
      </c>
    </row>
    <row r="587" spans="1:8">
      <c r="A587" s="68" t="s">
        <v>935</v>
      </c>
      <c r="B587" s="73">
        <v>-1144070</v>
      </c>
      <c r="C587" s="73">
        <v>296517</v>
      </c>
      <c r="D587" s="73">
        <v>166687</v>
      </c>
      <c r="E587" s="73">
        <v>-1014240</v>
      </c>
      <c r="F587" s="42">
        <v>0</v>
      </c>
      <c r="G587" s="42">
        <f t="shared" si="10"/>
        <v>-1014240</v>
      </c>
      <c r="H587" s="2" t="str">
        <f>VLOOKUP(A587,'MASTER 26 27'!A:B,2,0)</f>
        <v>Not Applicable</v>
      </c>
    </row>
    <row r="588" spans="1:8">
      <c r="A588" s="68" t="s">
        <v>366</v>
      </c>
      <c r="B588" s="73"/>
      <c r="C588" s="73">
        <v>102</v>
      </c>
      <c r="D588" s="73">
        <v>12841</v>
      </c>
      <c r="E588" s="73">
        <v>-12739</v>
      </c>
      <c r="F588" s="42">
        <v>0</v>
      </c>
      <c r="G588" s="42">
        <f t="shared" si="10"/>
        <v>-12739</v>
      </c>
      <c r="H588" s="2" t="str">
        <f>VLOOKUP(A588,'MASTER 26 27'!A:B,2,0)</f>
        <v>Not Applicable</v>
      </c>
    </row>
    <row r="589" spans="1:8">
      <c r="A589" s="68" t="s">
        <v>1295</v>
      </c>
      <c r="B589" s="73">
        <v>-1123</v>
      </c>
      <c r="C589" s="73"/>
      <c r="D589" s="73"/>
      <c r="E589" s="73">
        <v>-1123</v>
      </c>
      <c r="F589" s="42">
        <v>0</v>
      </c>
      <c r="G589" s="42">
        <f t="shared" si="10"/>
        <v>-1123</v>
      </c>
      <c r="H589" s="2" t="str">
        <f>VLOOKUP(A589,'MASTER 26 27'!A:B,2,0)</f>
        <v>Not Applicable</v>
      </c>
    </row>
    <row r="590" spans="1:8">
      <c r="A590" s="68" t="s">
        <v>738</v>
      </c>
      <c r="B590" s="73">
        <v>-293007</v>
      </c>
      <c r="C590" s="73">
        <v>345457</v>
      </c>
      <c r="D590" s="73"/>
      <c r="E590" s="73">
        <v>52450</v>
      </c>
      <c r="F590" s="42">
        <v>0</v>
      </c>
      <c r="G590" s="42">
        <f t="shared" si="10"/>
        <v>52450</v>
      </c>
      <c r="H590" s="2" t="str">
        <f>VLOOKUP(A590,'MASTER 26 27'!A:B,2,0)</f>
        <v>Not Applicable</v>
      </c>
    </row>
    <row r="591" spans="1:8">
      <c r="A591" s="68" t="s">
        <v>1465</v>
      </c>
      <c r="B591" s="73"/>
      <c r="C591" s="73"/>
      <c r="D591" s="73">
        <v>51400</v>
      </c>
      <c r="E591" s="73">
        <v>-51400</v>
      </c>
      <c r="F591" s="42">
        <v>0</v>
      </c>
      <c r="G591" s="42">
        <f t="shared" si="10"/>
        <v>-51400</v>
      </c>
      <c r="H591" s="2" t="s">
        <v>84</v>
      </c>
    </row>
    <row r="592" spans="1:8">
      <c r="A592" s="68" t="s">
        <v>1158</v>
      </c>
      <c r="B592" s="73"/>
      <c r="C592" s="73"/>
      <c r="D592" s="73">
        <v>621839</v>
      </c>
      <c r="E592" s="73">
        <v>-621839</v>
      </c>
      <c r="F592" s="42">
        <v>0</v>
      </c>
      <c r="G592" s="42">
        <f t="shared" si="10"/>
        <v>-621839</v>
      </c>
      <c r="H592" s="2" t="str">
        <f>VLOOKUP(A592,'MASTER 26 27'!A:B,2,0)</f>
        <v>Not Applicable</v>
      </c>
    </row>
    <row r="593" spans="1:8">
      <c r="A593" s="68" t="s">
        <v>1076</v>
      </c>
      <c r="B593" s="73">
        <v>-0.24</v>
      </c>
      <c r="C593" s="73"/>
      <c r="D593" s="73"/>
      <c r="E593" s="73">
        <v>-0.24</v>
      </c>
      <c r="F593" s="42">
        <v>0</v>
      </c>
      <c r="G593" s="42">
        <f t="shared" si="10"/>
        <v>-0.24</v>
      </c>
      <c r="H593" s="2" t="str">
        <f>VLOOKUP(A593,'MASTER 26 27'!A:B,2,0)</f>
        <v>Not Applicable</v>
      </c>
    </row>
    <row r="594" spans="1:8">
      <c r="A594" s="68" t="s">
        <v>1354</v>
      </c>
      <c r="B594" s="73">
        <v>-9204</v>
      </c>
      <c r="C594" s="73"/>
      <c r="D594" s="73"/>
      <c r="E594" s="73">
        <v>-9204</v>
      </c>
      <c r="F594" s="42">
        <v>0</v>
      </c>
      <c r="G594" s="42">
        <f t="shared" si="10"/>
        <v>-9204</v>
      </c>
      <c r="H594" s="2" t="str">
        <f>VLOOKUP(A594,'MASTER 26 27'!A:B,2,0)</f>
        <v>Not Applicable</v>
      </c>
    </row>
    <row r="595" spans="1:8">
      <c r="A595" s="68" t="s">
        <v>1309</v>
      </c>
      <c r="B595" s="73"/>
      <c r="C595" s="73"/>
      <c r="D595" s="73"/>
      <c r="E595" s="73">
        <v>0</v>
      </c>
      <c r="F595" s="42">
        <v>0</v>
      </c>
      <c r="G595" s="42">
        <f t="shared" si="10"/>
        <v>0</v>
      </c>
      <c r="H595" s="2" t="str">
        <f>VLOOKUP(A595,'MASTER 26 27'!A:B,2,0)</f>
        <v>Not Applicable</v>
      </c>
    </row>
    <row r="596" spans="1:8">
      <c r="A596" s="68" t="s">
        <v>728</v>
      </c>
      <c r="B596" s="73">
        <v>-73418.11</v>
      </c>
      <c r="C596" s="73"/>
      <c r="D596" s="73"/>
      <c r="E596" s="73">
        <v>-73418.11</v>
      </c>
      <c r="F596" s="42">
        <v>0</v>
      </c>
      <c r="G596" s="42">
        <f t="shared" si="10"/>
        <v>-73418.11</v>
      </c>
      <c r="H596" s="2" t="str">
        <f>VLOOKUP(A596,'MASTER 26 27'!A:B,2,0)</f>
        <v>Not Applicable</v>
      </c>
    </row>
    <row r="597" spans="1:8">
      <c r="A597" s="68" t="s">
        <v>1355</v>
      </c>
      <c r="B597" s="73">
        <v>7059.94</v>
      </c>
      <c r="C597" s="73"/>
      <c r="D597" s="73">
        <v>7060</v>
      </c>
      <c r="E597" s="73">
        <v>-0.06</v>
      </c>
      <c r="F597" s="42">
        <v>0</v>
      </c>
      <c r="G597" s="42">
        <f t="shared" si="10"/>
        <v>-0.06</v>
      </c>
      <c r="H597" s="2" t="str">
        <f>VLOOKUP(A597,'MASTER 26 27'!A:B,2,0)</f>
        <v>Not Applicable</v>
      </c>
    </row>
    <row r="598" spans="1:8">
      <c r="A598" s="68" t="s">
        <v>1006</v>
      </c>
      <c r="B598" s="73">
        <v>-751.7</v>
      </c>
      <c r="C598" s="73">
        <v>38</v>
      </c>
      <c r="D598" s="73">
        <v>4484</v>
      </c>
      <c r="E598" s="73">
        <v>-5197.7</v>
      </c>
      <c r="F598" s="42">
        <v>0</v>
      </c>
      <c r="G598" s="42">
        <f t="shared" si="10"/>
        <v>-5197.7</v>
      </c>
      <c r="H598" s="2" t="str">
        <f>VLOOKUP(A598,'MASTER 26 27'!A:B,2,0)</f>
        <v>Not Applicable</v>
      </c>
    </row>
    <row r="599" spans="1:8">
      <c r="A599" s="68" t="s">
        <v>1235</v>
      </c>
      <c r="B599" s="73">
        <v>-21750</v>
      </c>
      <c r="C599" s="73"/>
      <c r="D599" s="73"/>
      <c r="E599" s="73">
        <v>-21750</v>
      </c>
      <c r="F599" s="42">
        <v>0</v>
      </c>
      <c r="G599" s="42">
        <f t="shared" si="10"/>
        <v>-21750</v>
      </c>
      <c r="H599" s="2" t="str">
        <f>VLOOKUP(A599,'MASTER 26 27'!A:B,2,0)</f>
        <v>Not Applicable</v>
      </c>
    </row>
    <row r="600" spans="1:8">
      <c r="A600" s="68" t="s">
        <v>1466</v>
      </c>
      <c r="B600" s="73"/>
      <c r="C600" s="73"/>
      <c r="D600" s="73"/>
      <c r="E600" s="73">
        <v>0</v>
      </c>
      <c r="F600" s="42">
        <v>0</v>
      </c>
      <c r="G600" s="42">
        <f t="shared" si="10"/>
        <v>0</v>
      </c>
      <c r="H600" s="2" t="s">
        <v>84</v>
      </c>
    </row>
    <row r="601" spans="1:8">
      <c r="A601" s="68" t="s">
        <v>716</v>
      </c>
      <c r="B601" s="73">
        <v>-23052.5</v>
      </c>
      <c r="C601" s="73"/>
      <c r="D601" s="73"/>
      <c r="E601" s="73">
        <v>-23052.5</v>
      </c>
      <c r="F601" s="42">
        <v>0</v>
      </c>
      <c r="G601" s="42">
        <f t="shared" si="10"/>
        <v>-23052.5</v>
      </c>
      <c r="H601" s="2" t="str">
        <f>VLOOKUP(A601,'MASTER 26 27'!A:B,2,0)</f>
        <v>Not Applicable</v>
      </c>
    </row>
    <row r="602" spans="1:8">
      <c r="A602" s="68" t="s">
        <v>1104</v>
      </c>
      <c r="B602" s="73">
        <v>-612921</v>
      </c>
      <c r="C602" s="73">
        <v>3366</v>
      </c>
      <c r="D602" s="73">
        <v>198524</v>
      </c>
      <c r="E602" s="73">
        <v>-808079</v>
      </c>
      <c r="F602" s="42">
        <v>0</v>
      </c>
      <c r="G602" s="42">
        <f t="shared" si="10"/>
        <v>-808079</v>
      </c>
      <c r="H602" s="2" t="str">
        <f>VLOOKUP(A602,'MASTER 26 27'!A:B,2,0)</f>
        <v>Not Applicable</v>
      </c>
    </row>
    <row r="603" spans="1:8">
      <c r="A603" s="68" t="s">
        <v>986</v>
      </c>
      <c r="B603" s="73">
        <v>-363904.66</v>
      </c>
      <c r="C603" s="73"/>
      <c r="D603" s="73"/>
      <c r="E603" s="73">
        <v>-363904.66</v>
      </c>
      <c r="F603" s="42">
        <v>0</v>
      </c>
      <c r="G603" s="42">
        <f t="shared" si="10"/>
        <v>-363904.66</v>
      </c>
      <c r="H603" s="2" t="str">
        <f>VLOOKUP(A603,'MASTER 26 27'!A:B,2,0)</f>
        <v>Not Applicable</v>
      </c>
    </row>
    <row r="604" spans="1:8">
      <c r="A604" s="68" t="s">
        <v>709</v>
      </c>
      <c r="B604" s="73">
        <v>-1967533</v>
      </c>
      <c r="C604" s="73">
        <v>2592730</v>
      </c>
      <c r="D604" s="73"/>
      <c r="E604" s="73">
        <v>625197</v>
      </c>
      <c r="F604" s="42">
        <v>0</v>
      </c>
      <c r="G604" s="42">
        <f t="shared" si="10"/>
        <v>625197</v>
      </c>
      <c r="H604" s="2" t="str">
        <f>VLOOKUP(A604,'MASTER 26 27'!A:B,2,0)</f>
        <v>Not Applicable</v>
      </c>
    </row>
    <row r="605" spans="1:8">
      <c r="A605" s="68" t="s">
        <v>681</v>
      </c>
      <c r="B605" s="73">
        <v>-6094</v>
      </c>
      <c r="C605" s="73">
        <v>1769</v>
      </c>
      <c r="D605" s="73">
        <v>6116</v>
      </c>
      <c r="E605" s="73">
        <v>-10441</v>
      </c>
      <c r="F605" s="42">
        <v>0</v>
      </c>
      <c r="G605" s="42">
        <f t="shared" si="10"/>
        <v>-10441</v>
      </c>
      <c r="H605" s="2" t="str">
        <f>VLOOKUP(A605,'MASTER 26 27'!A:B,2,0)</f>
        <v>Not Applicable</v>
      </c>
    </row>
    <row r="606" spans="1:8">
      <c r="A606" s="68" t="s">
        <v>944</v>
      </c>
      <c r="B606" s="73">
        <v>-628076</v>
      </c>
      <c r="C606" s="73"/>
      <c r="D606" s="73">
        <v>2000788</v>
      </c>
      <c r="E606" s="73">
        <v>-2628864</v>
      </c>
      <c r="F606" s="42">
        <v>0</v>
      </c>
      <c r="G606" s="42">
        <f t="shared" si="10"/>
        <v>-2628864</v>
      </c>
      <c r="H606" s="2" t="str">
        <f>VLOOKUP(A606,'MASTER 26 27'!A:B,2,0)</f>
        <v>Not Applicable</v>
      </c>
    </row>
    <row r="607" spans="1:8">
      <c r="A607" s="68" t="s">
        <v>873</v>
      </c>
      <c r="B607" s="73">
        <v>-85788</v>
      </c>
      <c r="C607" s="73"/>
      <c r="D607" s="73"/>
      <c r="E607" s="73">
        <v>-85788</v>
      </c>
      <c r="F607" s="42">
        <v>0</v>
      </c>
      <c r="G607" s="42">
        <f t="shared" si="10"/>
        <v>-85788</v>
      </c>
      <c r="H607" s="2" t="str">
        <f>VLOOKUP(A607,'MASTER 26 27'!A:B,2,0)</f>
        <v>Not Applicable</v>
      </c>
    </row>
    <row r="608" spans="1:8">
      <c r="A608" s="68" t="s">
        <v>902</v>
      </c>
      <c r="B608" s="73">
        <v>-2037718</v>
      </c>
      <c r="C608" s="73">
        <v>2037718</v>
      </c>
      <c r="D608" s="73">
        <v>2650000</v>
      </c>
      <c r="E608" s="73">
        <v>-2650000</v>
      </c>
      <c r="F608" s="42">
        <v>0</v>
      </c>
      <c r="G608" s="42">
        <f t="shared" si="10"/>
        <v>-2650000</v>
      </c>
      <c r="H608" s="2" t="str">
        <f>VLOOKUP(A608,'MASTER 26 27'!A:B,2,0)</f>
        <v>Not Applicable</v>
      </c>
    </row>
    <row r="609" spans="1:8">
      <c r="A609" s="68" t="s">
        <v>985</v>
      </c>
      <c r="B609" s="73">
        <v>-1274</v>
      </c>
      <c r="C609" s="73"/>
      <c r="D609" s="73"/>
      <c r="E609" s="73">
        <v>-1274</v>
      </c>
      <c r="F609" s="42">
        <v>0</v>
      </c>
      <c r="G609" s="42">
        <f t="shared" si="10"/>
        <v>-1274</v>
      </c>
      <c r="H609" s="2" t="str">
        <f>VLOOKUP(A609,'MASTER 26 27'!A:B,2,0)</f>
        <v>Not Applicable</v>
      </c>
    </row>
    <row r="610" spans="1:8">
      <c r="A610" s="68" t="s">
        <v>660</v>
      </c>
      <c r="B610" s="73">
        <v>4519</v>
      </c>
      <c r="C610" s="73">
        <v>45454</v>
      </c>
      <c r="D610" s="73"/>
      <c r="E610" s="73">
        <v>49973</v>
      </c>
      <c r="F610" s="42">
        <v>0</v>
      </c>
      <c r="G610" s="42">
        <f t="shared" si="10"/>
        <v>49973</v>
      </c>
      <c r="H610" s="2" t="str">
        <f>VLOOKUP(A610,'MASTER 26 27'!A:B,2,0)</f>
        <v>Not Applicable</v>
      </c>
    </row>
    <row r="611" spans="1:8">
      <c r="A611" s="68" t="s">
        <v>659</v>
      </c>
      <c r="B611" s="73">
        <v>-221821.8</v>
      </c>
      <c r="C611" s="73">
        <v>1168</v>
      </c>
      <c r="D611" s="73">
        <v>7080</v>
      </c>
      <c r="E611" s="73">
        <v>-227733.8</v>
      </c>
      <c r="F611" s="42">
        <v>0</v>
      </c>
      <c r="G611" s="42">
        <f t="shared" si="10"/>
        <v>-227733.8</v>
      </c>
      <c r="H611" s="2" t="str">
        <f>VLOOKUP(A611,'MASTER 26 27'!A:B,2,0)</f>
        <v>Not Applicable</v>
      </c>
    </row>
    <row r="612" spans="1:8">
      <c r="A612" s="68" t="s">
        <v>928</v>
      </c>
      <c r="B612" s="73">
        <v>-1105</v>
      </c>
      <c r="C612" s="73"/>
      <c r="D612" s="73"/>
      <c r="E612" s="73">
        <v>-1105</v>
      </c>
      <c r="F612" s="42">
        <v>0</v>
      </c>
      <c r="G612" s="42">
        <f t="shared" si="10"/>
        <v>-1105</v>
      </c>
      <c r="H612" s="2" t="str">
        <f>VLOOKUP(A612,'MASTER 26 27'!A:B,2,0)</f>
        <v>Not Applicable</v>
      </c>
    </row>
    <row r="613" spans="1:8">
      <c r="A613" s="68" t="s">
        <v>1467</v>
      </c>
      <c r="B613" s="73"/>
      <c r="C613" s="73"/>
      <c r="D613" s="73"/>
      <c r="E613" s="73">
        <v>0</v>
      </c>
      <c r="F613" s="42">
        <v>0</v>
      </c>
      <c r="G613" s="42">
        <f t="shared" si="10"/>
        <v>0</v>
      </c>
      <c r="H613" s="2" t="s">
        <v>84</v>
      </c>
    </row>
    <row r="614" spans="1:8">
      <c r="A614" s="68" t="s">
        <v>1468</v>
      </c>
      <c r="B614" s="73"/>
      <c r="C614" s="73">
        <v>298</v>
      </c>
      <c r="D614" s="73">
        <v>35105</v>
      </c>
      <c r="E614" s="73">
        <v>-34807</v>
      </c>
      <c r="F614" s="42">
        <v>0</v>
      </c>
      <c r="G614" s="42">
        <f t="shared" si="10"/>
        <v>-34807</v>
      </c>
      <c r="H614" s="2" t="s">
        <v>84</v>
      </c>
    </row>
    <row r="615" spans="1:8">
      <c r="A615" s="68" t="s">
        <v>651</v>
      </c>
      <c r="B615" s="73"/>
      <c r="C615" s="73">
        <v>22500</v>
      </c>
      <c r="D615" s="73">
        <v>22500</v>
      </c>
      <c r="E615" s="73">
        <v>0</v>
      </c>
      <c r="F615" s="42">
        <v>0</v>
      </c>
      <c r="G615" s="42">
        <f t="shared" si="10"/>
        <v>0</v>
      </c>
      <c r="H615" s="2" t="str">
        <f>VLOOKUP(A615,'MASTER 26 27'!A:B,2,0)</f>
        <v>Not Applicable</v>
      </c>
    </row>
    <row r="616" spans="1:8">
      <c r="A616" s="68" t="s">
        <v>653</v>
      </c>
      <c r="B616" s="73"/>
      <c r="C616" s="73">
        <v>22500</v>
      </c>
      <c r="D616" s="73">
        <v>22500</v>
      </c>
      <c r="E616" s="73">
        <v>0</v>
      </c>
      <c r="F616" s="42">
        <v>0</v>
      </c>
      <c r="G616" s="42">
        <f t="shared" si="10"/>
        <v>0</v>
      </c>
      <c r="H616" s="2" t="str">
        <f>VLOOKUP(A616,'MASTER 26 27'!A:B,2,0)</f>
        <v>Not Applicable</v>
      </c>
    </row>
    <row r="617" spans="1:8">
      <c r="A617" s="68" t="s">
        <v>1045</v>
      </c>
      <c r="B617" s="73"/>
      <c r="C617" s="73">
        <v>13200</v>
      </c>
      <c r="D617" s="73">
        <v>13200</v>
      </c>
      <c r="E617" s="73">
        <v>0</v>
      </c>
      <c r="F617" s="42">
        <v>0</v>
      </c>
      <c r="G617" s="42">
        <f t="shared" si="10"/>
        <v>0</v>
      </c>
      <c r="H617" s="2" t="str">
        <f>VLOOKUP(A617,'MASTER 26 27'!A:B,2,0)</f>
        <v>Not Applicable</v>
      </c>
    </row>
    <row r="618" spans="1:8">
      <c r="A618" s="68" t="s">
        <v>646</v>
      </c>
      <c r="B618" s="73">
        <v>-2762</v>
      </c>
      <c r="C618" s="73">
        <v>17</v>
      </c>
      <c r="D618" s="73">
        <v>1806</v>
      </c>
      <c r="E618" s="73">
        <v>-4551</v>
      </c>
      <c r="F618" s="42">
        <v>0</v>
      </c>
      <c r="G618" s="42">
        <f t="shared" si="10"/>
        <v>-4551</v>
      </c>
      <c r="H618" s="2" t="str">
        <f>VLOOKUP(A618,'MASTER 26 27'!A:B,2,0)</f>
        <v>Not Applicable</v>
      </c>
    </row>
    <row r="619" spans="1:8">
      <c r="A619" s="68" t="s">
        <v>640</v>
      </c>
      <c r="B619" s="73"/>
      <c r="C619" s="73">
        <v>16105</v>
      </c>
      <c r="D619" s="73">
        <v>16105</v>
      </c>
      <c r="E619" s="73">
        <v>0</v>
      </c>
      <c r="F619" s="42">
        <v>0</v>
      </c>
      <c r="G619" s="42">
        <f t="shared" si="10"/>
        <v>0</v>
      </c>
      <c r="H619" s="2" t="str">
        <f>VLOOKUP(A619,'MASTER 26 27'!A:B,2,0)</f>
        <v>Not Applicable</v>
      </c>
    </row>
    <row r="620" spans="1:8">
      <c r="A620" s="68" t="s">
        <v>1070</v>
      </c>
      <c r="B620" s="73"/>
      <c r="C620" s="73">
        <v>16284</v>
      </c>
      <c r="D620" s="73">
        <v>16284</v>
      </c>
      <c r="E620" s="73">
        <v>0</v>
      </c>
      <c r="F620" s="42">
        <v>0</v>
      </c>
      <c r="G620" s="42">
        <f t="shared" si="10"/>
        <v>0</v>
      </c>
      <c r="H620" s="2" t="str">
        <f>VLOOKUP(A620,'MASTER 26 27'!A:B,2,0)</f>
        <v>Not Applicable</v>
      </c>
    </row>
    <row r="621" spans="1:8">
      <c r="A621" s="68" t="s">
        <v>628</v>
      </c>
      <c r="B621" s="73">
        <v>-47489</v>
      </c>
      <c r="C621" s="73"/>
      <c r="D621" s="73">
        <v>32625</v>
      </c>
      <c r="E621" s="73">
        <v>-80114</v>
      </c>
      <c r="F621" s="42">
        <v>0</v>
      </c>
      <c r="G621" s="42">
        <f t="shared" si="10"/>
        <v>-80114</v>
      </c>
      <c r="H621" s="2" t="str">
        <f>VLOOKUP(A621,'MASTER 26 27'!A:B,2,0)</f>
        <v>Not Applicable</v>
      </c>
    </row>
    <row r="622" spans="1:8">
      <c r="A622" s="68" t="s">
        <v>1288</v>
      </c>
      <c r="B622" s="73"/>
      <c r="C622" s="73">
        <v>22500</v>
      </c>
      <c r="D622" s="73">
        <v>22500</v>
      </c>
      <c r="E622" s="73">
        <v>0</v>
      </c>
      <c r="F622" s="42">
        <v>0</v>
      </c>
      <c r="G622" s="42">
        <f t="shared" si="10"/>
        <v>0</v>
      </c>
      <c r="H622" s="2" t="str">
        <f>VLOOKUP(A622,'MASTER 26 27'!A:B,2,0)</f>
        <v>Not Applicable</v>
      </c>
    </row>
    <row r="623" spans="1:8">
      <c r="A623" s="68" t="s">
        <v>1319</v>
      </c>
      <c r="B623" s="73"/>
      <c r="C623" s="73"/>
      <c r="D623" s="73"/>
      <c r="E623" s="73">
        <v>0</v>
      </c>
      <c r="F623" s="42">
        <v>0</v>
      </c>
      <c r="G623" s="42">
        <f t="shared" si="10"/>
        <v>0</v>
      </c>
      <c r="H623" s="2" t="str">
        <f>VLOOKUP(A623,'MASTER 26 27'!A:B,2,0)</f>
        <v>Not Applicable</v>
      </c>
    </row>
    <row r="624" spans="1:8">
      <c r="A624" s="68" t="s">
        <v>1124</v>
      </c>
      <c r="B624" s="73">
        <v>-327817.96000000002</v>
      </c>
      <c r="C624" s="73">
        <v>327817.01</v>
      </c>
      <c r="D624" s="73">
        <v>47908.01</v>
      </c>
      <c r="E624" s="73">
        <v>-47908.959999999999</v>
      </c>
      <c r="F624" s="42">
        <v>0</v>
      </c>
      <c r="G624" s="42">
        <f t="shared" si="10"/>
        <v>-47908.959999999999</v>
      </c>
      <c r="H624" s="2" t="str">
        <f>VLOOKUP(A624,'MASTER 26 27'!A:B,2,0)</f>
        <v>Not Applicable</v>
      </c>
    </row>
    <row r="625" spans="1:8">
      <c r="A625" s="68" t="s">
        <v>1469</v>
      </c>
      <c r="B625" s="73"/>
      <c r="C625" s="73"/>
      <c r="D625" s="73"/>
      <c r="E625" s="73">
        <v>0</v>
      </c>
      <c r="F625" s="42">
        <v>0</v>
      </c>
      <c r="G625" s="42">
        <f t="shared" si="10"/>
        <v>0</v>
      </c>
      <c r="H625" s="2" t="s">
        <v>84</v>
      </c>
    </row>
    <row r="626" spans="1:8">
      <c r="A626" s="68" t="s">
        <v>612</v>
      </c>
      <c r="B626" s="73">
        <v>-216491026.63</v>
      </c>
      <c r="C626" s="73"/>
      <c r="D626" s="73"/>
      <c r="E626" s="73">
        <v>-216491026.63</v>
      </c>
      <c r="F626" s="42">
        <v>0</v>
      </c>
      <c r="G626" s="42">
        <f t="shared" si="10"/>
        <v>-216491026.63</v>
      </c>
      <c r="H626" s="2" t="str">
        <f>VLOOKUP(A626,'MASTER 26 27'!A:B,2,0)</f>
        <v>Not Applicable</v>
      </c>
    </row>
    <row r="627" spans="1:8">
      <c r="A627" s="68" t="s">
        <v>611</v>
      </c>
      <c r="B627" s="73">
        <v>-38960168.490000002</v>
      </c>
      <c r="C627" s="73">
        <v>17352</v>
      </c>
      <c r="D627" s="73">
        <v>9244846.1099999994</v>
      </c>
      <c r="E627" s="73">
        <v>-48187662.600000001</v>
      </c>
      <c r="F627" s="42">
        <v>0</v>
      </c>
      <c r="G627" s="42">
        <f t="shared" si="10"/>
        <v>-48187662.600000001</v>
      </c>
      <c r="H627" s="2" t="str">
        <f>VLOOKUP(A627,'MASTER 26 27'!A:B,2,0)</f>
        <v>Not Applicable</v>
      </c>
    </row>
    <row r="628" spans="1:8">
      <c r="A628" s="68" t="s">
        <v>609</v>
      </c>
      <c r="B628" s="73"/>
      <c r="C628" s="73"/>
      <c r="D628" s="73"/>
      <c r="E628" s="73">
        <v>0</v>
      </c>
      <c r="F628" s="42">
        <v>0</v>
      </c>
      <c r="G628" s="42">
        <f t="shared" si="10"/>
        <v>0</v>
      </c>
      <c r="H628" s="2" t="str">
        <f>VLOOKUP(A628,'MASTER 26 27'!A:B,2,0)</f>
        <v>Not Applicable</v>
      </c>
    </row>
    <row r="629" spans="1:8">
      <c r="A629" s="68" t="s">
        <v>1102</v>
      </c>
      <c r="B629" s="73"/>
      <c r="C629" s="73">
        <v>2650</v>
      </c>
      <c r="D629" s="73">
        <v>31266</v>
      </c>
      <c r="E629" s="73">
        <v>-28616</v>
      </c>
      <c r="F629" s="42">
        <v>0</v>
      </c>
      <c r="G629" s="42">
        <f t="shared" si="10"/>
        <v>-28616</v>
      </c>
      <c r="H629" s="2" t="str">
        <f>VLOOKUP(A629,'MASTER 26 27'!A:B,2,0)</f>
        <v>Not Applicable</v>
      </c>
    </row>
    <row r="630" spans="1:8">
      <c r="A630" s="68" t="s">
        <v>1357</v>
      </c>
      <c r="B630" s="73">
        <v>-1</v>
      </c>
      <c r="C630" s="73"/>
      <c r="D630" s="73"/>
      <c r="E630" s="73">
        <v>-1</v>
      </c>
      <c r="F630" s="42">
        <v>0</v>
      </c>
      <c r="G630" s="42">
        <f t="shared" si="10"/>
        <v>-1</v>
      </c>
      <c r="H630" s="2" t="str">
        <f>VLOOKUP(A630,'MASTER 26 27'!A:B,2,0)</f>
        <v>Not Applicable</v>
      </c>
    </row>
    <row r="631" spans="1:8">
      <c r="A631" s="68" t="s">
        <v>1042</v>
      </c>
      <c r="B631" s="73"/>
      <c r="C631" s="73">
        <v>13200</v>
      </c>
      <c r="D631" s="73">
        <v>13200</v>
      </c>
      <c r="E631" s="73">
        <v>0</v>
      </c>
      <c r="F631" s="42">
        <v>0</v>
      </c>
      <c r="G631" s="42">
        <f t="shared" si="10"/>
        <v>0</v>
      </c>
      <c r="H631" s="2" t="str">
        <f>VLOOKUP(A631,'MASTER 26 27'!A:B,2,0)</f>
        <v>Not Applicable</v>
      </c>
    </row>
    <row r="632" spans="1:8">
      <c r="A632" s="68" t="s">
        <v>596</v>
      </c>
      <c r="B632" s="73">
        <v>68996.899999999994</v>
      </c>
      <c r="C632" s="73">
        <v>1044</v>
      </c>
      <c r="D632" s="73">
        <v>61596</v>
      </c>
      <c r="E632" s="73">
        <v>8444.9</v>
      </c>
      <c r="F632" s="42">
        <v>0</v>
      </c>
      <c r="G632" s="42">
        <f t="shared" si="10"/>
        <v>8444.9</v>
      </c>
      <c r="H632" s="2" t="str">
        <f>VLOOKUP(A632,'MASTER 26 27'!A:B,2,0)</f>
        <v>Not Applicable</v>
      </c>
    </row>
    <row r="633" spans="1:8">
      <c r="A633" s="68" t="s">
        <v>1144</v>
      </c>
      <c r="B633" s="73">
        <v>-18700</v>
      </c>
      <c r="C633" s="73">
        <v>18700</v>
      </c>
      <c r="D633" s="73"/>
      <c r="E633" s="73">
        <v>0</v>
      </c>
      <c r="F633" s="42">
        <v>0</v>
      </c>
      <c r="G633" s="42">
        <f t="shared" si="10"/>
        <v>0</v>
      </c>
      <c r="H633" s="2" t="str">
        <f>VLOOKUP(A633,'MASTER 26 27'!A:B,2,0)</f>
        <v>Not Applicable</v>
      </c>
    </row>
    <row r="634" spans="1:8">
      <c r="A634" s="68" t="s">
        <v>599</v>
      </c>
      <c r="B634" s="73">
        <v>-58381</v>
      </c>
      <c r="C634" s="73">
        <v>27679</v>
      </c>
      <c r="D634" s="73"/>
      <c r="E634" s="73">
        <v>-30702</v>
      </c>
      <c r="F634" s="42">
        <v>0</v>
      </c>
      <c r="G634" s="42">
        <f t="shared" si="10"/>
        <v>-30702</v>
      </c>
      <c r="H634" s="2" t="str">
        <f>VLOOKUP(A634,'MASTER 26 27'!A:B,2,0)</f>
        <v>Not Applicable</v>
      </c>
    </row>
    <row r="635" spans="1:8">
      <c r="A635" s="68" t="s">
        <v>1176</v>
      </c>
      <c r="B635" s="73">
        <v>15969.8</v>
      </c>
      <c r="C635" s="73"/>
      <c r="D635" s="73"/>
      <c r="E635" s="73">
        <v>15969.8</v>
      </c>
      <c r="F635" s="42">
        <v>0</v>
      </c>
      <c r="G635" s="42">
        <f t="shared" si="10"/>
        <v>15969.8</v>
      </c>
      <c r="H635" s="2" t="str">
        <f>VLOOKUP(A635,'MASTER 26 27'!A:B,2,0)</f>
        <v>Not Applicable</v>
      </c>
    </row>
    <row r="636" spans="1:8">
      <c r="A636" s="68" t="s">
        <v>593</v>
      </c>
      <c r="B636" s="73"/>
      <c r="C636" s="73"/>
      <c r="D636" s="73"/>
      <c r="E636" s="73">
        <v>0</v>
      </c>
      <c r="F636" s="42">
        <v>0</v>
      </c>
      <c r="G636" s="42">
        <f t="shared" si="10"/>
        <v>0</v>
      </c>
      <c r="H636" s="2" t="str">
        <f>VLOOKUP(A636,'MASTER 26 27'!A:B,2,0)</f>
        <v>Not Applicable</v>
      </c>
    </row>
    <row r="637" spans="1:8">
      <c r="A637" s="68" t="s">
        <v>1028</v>
      </c>
      <c r="B637" s="73">
        <v>2572</v>
      </c>
      <c r="C637" s="73">
        <v>247039</v>
      </c>
      <c r="D637" s="73">
        <v>249611</v>
      </c>
      <c r="E637" s="73">
        <v>0</v>
      </c>
      <c r="F637" s="42">
        <v>0</v>
      </c>
      <c r="G637" s="42">
        <f t="shared" si="10"/>
        <v>0</v>
      </c>
      <c r="H637" s="2" t="str">
        <f>VLOOKUP(A637,'MASTER 26 27'!A:B,2,0)</f>
        <v>Not Applicable</v>
      </c>
    </row>
    <row r="638" spans="1:8">
      <c r="A638" s="68" t="s">
        <v>1162</v>
      </c>
      <c r="B638" s="73"/>
      <c r="C638" s="73">
        <v>35000</v>
      </c>
      <c r="D638" s="73">
        <v>35000</v>
      </c>
      <c r="E638" s="73">
        <v>0</v>
      </c>
      <c r="F638" s="42">
        <v>0</v>
      </c>
      <c r="G638" s="42">
        <f t="shared" si="10"/>
        <v>0</v>
      </c>
      <c r="H638" s="2" t="str">
        <f>VLOOKUP(A638,'MASTER 26 27'!A:B,2,0)</f>
        <v>Not Applicable</v>
      </c>
    </row>
    <row r="639" spans="1:8">
      <c r="A639" s="68" t="s">
        <v>1291</v>
      </c>
      <c r="B639" s="73">
        <v>-12285</v>
      </c>
      <c r="C639" s="73"/>
      <c r="D639" s="73"/>
      <c r="E639" s="73">
        <v>-12285</v>
      </c>
      <c r="F639" s="42">
        <v>0</v>
      </c>
      <c r="G639" s="42">
        <f t="shared" si="10"/>
        <v>-12285</v>
      </c>
      <c r="H639" s="2" t="str">
        <f>VLOOKUP(A639,'MASTER 26 27'!A:B,2,0)</f>
        <v>Not Applicable</v>
      </c>
    </row>
    <row r="640" spans="1:8">
      <c r="A640" s="68" t="s">
        <v>592</v>
      </c>
      <c r="B640" s="73">
        <v>-86766.26</v>
      </c>
      <c r="C640" s="73"/>
      <c r="D640" s="73"/>
      <c r="E640" s="73">
        <v>-86766.26</v>
      </c>
      <c r="F640" s="42">
        <v>0</v>
      </c>
      <c r="G640" s="42">
        <f t="shared" si="10"/>
        <v>-86766.26</v>
      </c>
      <c r="H640" s="2" t="str">
        <f>VLOOKUP(A640,'MASTER 26 27'!A:B,2,0)</f>
        <v>Not Applicable</v>
      </c>
    </row>
    <row r="641" spans="1:8">
      <c r="A641" s="68" t="s">
        <v>1177</v>
      </c>
      <c r="B641" s="73">
        <v>-8425</v>
      </c>
      <c r="C641" s="73">
        <v>8425</v>
      </c>
      <c r="D641" s="73"/>
      <c r="E641" s="73">
        <v>0</v>
      </c>
      <c r="F641" s="42">
        <v>0</v>
      </c>
      <c r="G641" s="42">
        <f t="shared" si="10"/>
        <v>0</v>
      </c>
      <c r="H641" s="2" t="str">
        <f>VLOOKUP(A641,'MASTER 26 27'!A:B,2,0)</f>
        <v>Not Applicable</v>
      </c>
    </row>
    <row r="642" spans="1:8">
      <c r="A642" s="68" t="s">
        <v>1242</v>
      </c>
      <c r="B642" s="73"/>
      <c r="C642" s="73">
        <v>37000</v>
      </c>
      <c r="D642" s="73">
        <v>37000</v>
      </c>
      <c r="E642" s="73">
        <v>0</v>
      </c>
      <c r="F642" s="42">
        <v>0</v>
      </c>
      <c r="G642" s="42">
        <f t="shared" si="10"/>
        <v>0</v>
      </c>
      <c r="H642" s="2" t="str">
        <f>VLOOKUP(A642,'MASTER 26 27'!A:B,2,0)</f>
        <v>Not Applicable</v>
      </c>
    </row>
    <row r="643" spans="1:8">
      <c r="A643" s="68" t="s">
        <v>984</v>
      </c>
      <c r="B643" s="73"/>
      <c r="C643" s="73">
        <v>12000</v>
      </c>
      <c r="D643" s="73">
        <v>12000</v>
      </c>
      <c r="E643" s="73">
        <v>0</v>
      </c>
      <c r="F643" s="42">
        <v>0</v>
      </c>
      <c r="G643" s="42">
        <f t="shared" si="10"/>
        <v>0</v>
      </c>
      <c r="H643" s="2" t="str">
        <f>VLOOKUP(A643,'MASTER 26 27'!A:B,2,0)</f>
        <v>Not Applicable</v>
      </c>
    </row>
    <row r="644" spans="1:8">
      <c r="A644" s="68" t="s">
        <v>1163</v>
      </c>
      <c r="B644" s="73">
        <v>-8911011.1999999993</v>
      </c>
      <c r="C644" s="73"/>
      <c r="D644" s="73"/>
      <c r="E644" s="73">
        <v>-8911011.1999999993</v>
      </c>
      <c r="F644" s="42">
        <v>0</v>
      </c>
      <c r="G644" s="42">
        <f t="shared" si="10"/>
        <v>-8911011.1999999993</v>
      </c>
      <c r="H644" s="2" t="str">
        <f>VLOOKUP(A644,'MASTER 26 27'!A:B,2,0)</f>
        <v>Not Applicable</v>
      </c>
    </row>
    <row r="645" spans="1:8">
      <c r="A645" s="68" t="s">
        <v>578</v>
      </c>
      <c r="B645" s="73">
        <v>-2751</v>
      </c>
      <c r="C645" s="73"/>
      <c r="D645" s="73"/>
      <c r="E645" s="73">
        <v>-2751</v>
      </c>
      <c r="F645" s="42">
        <v>0</v>
      </c>
      <c r="G645" s="42">
        <f t="shared" si="10"/>
        <v>-2751</v>
      </c>
      <c r="H645" s="2" t="str">
        <f>VLOOKUP(A645,'MASTER 26 27'!A:B,2,0)</f>
        <v>Not Applicable</v>
      </c>
    </row>
    <row r="646" spans="1:8">
      <c r="A646" s="68" t="s">
        <v>580</v>
      </c>
      <c r="B646" s="73">
        <v>-124792.93</v>
      </c>
      <c r="C646" s="73"/>
      <c r="D646" s="73"/>
      <c r="E646" s="73">
        <v>-124792.93</v>
      </c>
      <c r="F646" s="42">
        <v>0</v>
      </c>
      <c r="G646" s="42">
        <f t="shared" si="10"/>
        <v>-124792.93</v>
      </c>
      <c r="H646" s="2" t="str">
        <f>VLOOKUP(A646,'MASTER 26 27'!A:B,2,0)</f>
        <v>Not Applicable</v>
      </c>
    </row>
    <row r="647" spans="1:8">
      <c r="A647" s="68" t="s">
        <v>577</v>
      </c>
      <c r="B647" s="73">
        <v>-228232853.84999999</v>
      </c>
      <c r="C647" s="73"/>
      <c r="D647" s="73"/>
      <c r="E647" s="73">
        <v>-228232853.84999999</v>
      </c>
      <c r="F647" s="42">
        <v>0</v>
      </c>
      <c r="G647" s="42">
        <f t="shared" ref="G647:G710" si="11">+E647+F647</f>
        <v>-228232853.84999999</v>
      </c>
      <c r="H647" s="2" t="str">
        <f>VLOOKUP(A647,'MASTER 26 27'!A:B,2,0)</f>
        <v>Not Applicable</v>
      </c>
    </row>
    <row r="648" spans="1:8">
      <c r="A648" s="68" t="s">
        <v>576</v>
      </c>
      <c r="B648" s="73">
        <v>-1727691445.1800001</v>
      </c>
      <c r="C648" s="73"/>
      <c r="D648" s="73">
        <v>25254233.289999999</v>
      </c>
      <c r="E648" s="73">
        <v>-1752945678.47</v>
      </c>
      <c r="F648" s="42">
        <v>0</v>
      </c>
      <c r="G648" s="42">
        <f t="shared" si="11"/>
        <v>-1752945678.47</v>
      </c>
      <c r="H648" s="2" t="str">
        <f>VLOOKUP(A648,'MASTER 26 27'!A:B,2,0)</f>
        <v>Not Applicable</v>
      </c>
    </row>
    <row r="649" spans="1:8">
      <c r="A649" s="68" t="s">
        <v>1123</v>
      </c>
      <c r="B649" s="73">
        <v>-31984</v>
      </c>
      <c r="C649" s="73">
        <v>31984</v>
      </c>
      <c r="D649" s="73"/>
      <c r="E649" s="73">
        <v>0</v>
      </c>
      <c r="F649" s="42">
        <v>0</v>
      </c>
      <c r="G649" s="42">
        <f t="shared" si="11"/>
        <v>0</v>
      </c>
      <c r="H649" s="2" t="str">
        <f>VLOOKUP(A649,'MASTER 26 27'!A:B,2,0)</f>
        <v>Not Applicable</v>
      </c>
    </row>
    <row r="650" spans="1:8">
      <c r="A650" s="68" t="s">
        <v>1068</v>
      </c>
      <c r="B650" s="73">
        <v>-64639</v>
      </c>
      <c r="C650" s="73">
        <v>49360</v>
      </c>
      <c r="D650" s="73"/>
      <c r="E650" s="73">
        <v>-15279</v>
      </c>
      <c r="F650" s="42">
        <v>0</v>
      </c>
      <c r="G650" s="42">
        <f t="shared" si="11"/>
        <v>-15279</v>
      </c>
      <c r="H650" s="2" t="str">
        <f>VLOOKUP(A650,'MASTER 26 27'!A:B,2,0)</f>
        <v>Not Applicable</v>
      </c>
    </row>
    <row r="651" spans="1:8">
      <c r="A651" s="68" t="s">
        <v>1243</v>
      </c>
      <c r="B651" s="73">
        <v>-10974</v>
      </c>
      <c r="C651" s="73">
        <v>10974</v>
      </c>
      <c r="D651" s="73"/>
      <c r="E651" s="73">
        <v>0</v>
      </c>
      <c r="F651" s="42">
        <v>0</v>
      </c>
      <c r="G651" s="42">
        <f t="shared" si="11"/>
        <v>0</v>
      </c>
      <c r="H651" s="2" t="str">
        <f>VLOOKUP(A651,'MASTER 26 27'!A:B,2,0)</f>
        <v>Not Applicable</v>
      </c>
    </row>
    <row r="652" spans="1:8">
      <c r="A652" s="68" t="s">
        <v>557</v>
      </c>
      <c r="B652" s="73"/>
      <c r="C652" s="73"/>
      <c r="D652" s="73"/>
      <c r="E652" s="73">
        <v>0</v>
      </c>
      <c r="F652" s="42">
        <v>0</v>
      </c>
      <c r="G652" s="42">
        <f t="shared" si="11"/>
        <v>0</v>
      </c>
      <c r="H652" s="2" t="str">
        <f>VLOOKUP(A652,'MASTER 26 27'!A:B,2,0)</f>
        <v>Not Applicable</v>
      </c>
    </row>
    <row r="653" spans="1:8">
      <c r="A653" s="68" t="s">
        <v>913</v>
      </c>
      <c r="B653" s="73"/>
      <c r="C653" s="73"/>
      <c r="D653" s="73"/>
      <c r="E653" s="73">
        <v>0</v>
      </c>
      <c r="F653" s="42">
        <v>0</v>
      </c>
      <c r="G653" s="42">
        <f t="shared" si="11"/>
        <v>0</v>
      </c>
      <c r="H653" s="2" t="str">
        <f>VLOOKUP(A653,'MASTER 26 27'!A:B,2,0)</f>
        <v>Not Applicable</v>
      </c>
    </row>
    <row r="654" spans="1:8">
      <c r="A654" s="68" t="s">
        <v>911</v>
      </c>
      <c r="B654" s="73">
        <v>400</v>
      </c>
      <c r="C654" s="73"/>
      <c r="D654" s="73"/>
      <c r="E654" s="73">
        <v>400</v>
      </c>
      <c r="F654" s="42">
        <v>0</v>
      </c>
      <c r="G654" s="42">
        <f t="shared" si="11"/>
        <v>400</v>
      </c>
      <c r="H654" s="2" t="str">
        <f>VLOOKUP(A654,'MASTER 26 27'!A:B,2,0)</f>
        <v>Not Applicable</v>
      </c>
    </row>
    <row r="655" spans="1:8">
      <c r="A655" s="68" t="s">
        <v>1245</v>
      </c>
      <c r="B655" s="73">
        <v>-1160334</v>
      </c>
      <c r="C655" s="73">
        <v>1460332</v>
      </c>
      <c r="D655" s="73"/>
      <c r="E655" s="73">
        <v>299998</v>
      </c>
      <c r="F655" s="42">
        <v>0</v>
      </c>
      <c r="G655" s="42">
        <f t="shared" si="11"/>
        <v>299998</v>
      </c>
      <c r="H655" s="2" t="str">
        <f>VLOOKUP(A655,'MASTER 26 27'!A:B,2,0)</f>
        <v>Not Applicable</v>
      </c>
    </row>
    <row r="656" spans="1:8">
      <c r="A656" s="68" t="s">
        <v>552</v>
      </c>
      <c r="B656" s="73"/>
      <c r="C656" s="73"/>
      <c r="D656" s="73"/>
      <c r="E656" s="73">
        <v>0</v>
      </c>
      <c r="F656" s="42">
        <v>0</v>
      </c>
      <c r="G656" s="42">
        <f t="shared" si="11"/>
        <v>0</v>
      </c>
      <c r="H656" s="2" t="str">
        <f>VLOOKUP(A656,'MASTER 26 27'!A:B,2,0)</f>
        <v>Not Applicable</v>
      </c>
    </row>
    <row r="657" spans="1:8">
      <c r="A657" s="68" t="s">
        <v>1100</v>
      </c>
      <c r="B657" s="73">
        <v>-12870</v>
      </c>
      <c r="C657" s="73">
        <v>12870</v>
      </c>
      <c r="D657" s="73"/>
      <c r="E657" s="73">
        <v>0</v>
      </c>
      <c r="F657" s="42">
        <v>0</v>
      </c>
      <c r="G657" s="42">
        <f t="shared" si="11"/>
        <v>0</v>
      </c>
      <c r="H657" s="2" t="str">
        <f>VLOOKUP(A657,'MASTER 26 27'!A:B,2,0)</f>
        <v>Not Applicable</v>
      </c>
    </row>
    <row r="658" spans="1:8">
      <c r="A658" s="68" t="s">
        <v>1215</v>
      </c>
      <c r="B658" s="73">
        <v>-968802</v>
      </c>
      <c r="C658" s="73">
        <v>1128797</v>
      </c>
      <c r="D658" s="73">
        <v>13000</v>
      </c>
      <c r="E658" s="73">
        <v>146995</v>
      </c>
      <c r="F658" s="42">
        <v>0</v>
      </c>
      <c r="G658" s="42">
        <f t="shared" si="11"/>
        <v>146995</v>
      </c>
      <c r="H658" s="2" t="str">
        <f>VLOOKUP(A658,'MASTER 26 27'!A:B,2,0)</f>
        <v>Not Applicable</v>
      </c>
    </row>
    <row r="659" spans="1:8">
      <c r="A659" s="68" t="s">
        <v>554</v>
      </c>
      <c r="B659" s="73">
        <v>-1057503</v>
      </c>
      <c r="C659" s="73">
        <v>858</v>
      </c>
      <c r="D659" s="73">
        <v>101244</v>
      </c>
      <c r="E659" s="73">
        <v>-1157889</v>
      </c>
      <c r="F659" s="42">
        <v>0</v>
      </c>
      <c r="G659" s="42">
        <f t="shared" si="11"/>
        <v>-1157889</v>
      </c>
      <c r="H659" s="2" t="str">
        <f>VLOOKUP(A659,'MASTER 26 27'!A:B,2,0)</f>
        <v>Not Applicable</v>
      </c>
    </row>
    <row r="660" spans="1:8">
      <c r="A660" s="68" t="s">
        <v>1470</v>
      </c>
      <c r="B660" s="73"/>
      <c r="C660" s="73"/>
      <c r="D660" s="73">
        <v>4564</v>
      </c>
      <c r="E660" s="73">
        <v>-4564</v>
      </c>
      <c r="F660" s="42">
        <v>0</v>
      </c>
      <c r="G660" s="42">
        <f t="shared" si="11"/>
        <v>-4564</v>
      </c>
      <c r="H660" s="2" t="s">
        <v>84</v>
      </c>
    </row>
    <row r="661" spans="1:8">
      <c r="A661" s="68" t="s">
        <v>555</v>
      </c>
      <c r="B661" s="73">
        <v>-1.82</v>
      </c>
      <c r="C661" s="73"/>
      <c r="D661" s="73"/>
      <c r="E661" s="73">
        <v>-1.82</v>
      </c>
      <c r="F661" s="42">
        <v>0</v>
      </c>
      <c r="G661" s="42">
        <f t="shared" si="11"/>
        <v>-1.82</v>
      </c>
      <c r="H661" s="2" t="str">
        <f>VLOOKUP(A661,'MASTER 26 27'!A:B,2,0)</f>
        <v>Not Applicable</v>
      </c>
    </row>
    <row r="662" spans="1:8">
      <c r="A662" s="68" t="s">
        <v>1246</v>
      </c>
      <c r="B662" s="73">
        <v>-202703</v>
      </c>
      <c r="C662" s="73">
        <v>202703</v>
      </c>
      <c r="D662" s="73"/>
      <c r="E662" s="73">
        <v>0</v>
      </c>
      <c r="F662" s="42">
        <v>0</v>
      </c>
      <c r="G662" s="42">
        <f t="shared" si="11"/>
        <v>0</v>
      </c>
      <c r="H662" s="2" t="str">
        <f>VLOOKUP(A662,'MASTER 26 27'!A:B,2,0)</f>
        <v>Not Applicable</v>
      </c>
    </row>
    <row r="663" spans="1:8">
      <c r="A663" s="68" t="s">
        <v>1101</v>
      </c>
      <c r="B663" s="73"/>
      <c r="C663" s="73"/>
      <c r="D663" s="73"/>
      <c r="E663" s="73">
        <v>0</v>
      </c>
      <c r="F663" s="42">
        <v>0</v>
      </c>
      <c r="G663" s="42">
        <f t="shared" si="11"/>
        <v>0</v>
      </c>
      <c r="H663" s="2" t="str">
        <f>VLOOKUP(A663,'MASTER 26 27'!A:B,2,0)</f>
        <v>Not Applicable</v>
      </c>
    </row>
    <row r="664" spans="1:8">
      <c r="A664" s="68" t="s">
        <v>549</v>
      </c>
      <c r="B664" s="73">
        <v>-1</v>
      </c>
      <c r="C664" s="73"/>
      <c r="D664" s="73"/>
      <c r="E664" s="73">
        <v>-1</v>
      </c>
      <c r="F664" s="42">
        <v>0</v>
      </c>
      <c r="G664" s="42">
        <f t="shared" si="11"/>
        <v>-1</v>
      </c>
      <c r="H664" s="2" t="str">
        <f>VLOOKUP(A664,'MASTER 26 27'!A:B,2,0)</f>
        <v>Not Applicable</v>
      </c>
    </row>
    <row r="665" spans="1:8">
      <c r="A665" s="68" t="s">
        <v>1471</v>
      </c>
      <c r="B665" s="73">
        <v>-20886</v>
      </c>
      <c r="C665" s="73">
        <v>20886</v>
      </c>
      <c r="D665" s="73"/>
      <c r="E665" s="73">
        <v>0</v>
      </c>
      <c r="F665" s="42">
        <v>0</v>
      </c>
      <c r="G665" s="42">
        <f t="shared" si="11"/>
        <v>0</v>
      </c>
      <c r="H665" s="2" t="s">
        <v>84</v>
      </c>
    </row>
    <row r="666" spans="1:8">
      <c r="A666" s="68" t="s">
        <v>1359</v>
      </c>
      <c r="B666" s="73">
        <v>-13570</v>
      </c>
      <c r="C666" s="73"/>
      <c r="D666" s="73"/>
      <c r="E666" s="73">
        <v>-13570</v>
      </c>
      <c r="F666" s="42">
        <v>0</v>
      </c>
      <c r="G666" s="42">
        <f t="shared" si="11"/>
        <v>-13570</v>
      </c>
      <c r="H666" s="2" t="str">
        <f>VLOOKUP(A666,'MASTER 26 27'!A:B,2,0)</f>
        <v>Not Applicable</v>
      </c>
    </row>
    <row r="667" spans="1:8">
      <c r="A667" s="68" t="s">
        <v>1263</v>
      </c>
      <c r="B667" s="73">
        <v>-5648.3</v>
      </c>
      <c r="C667" s="73">
        <v>209597.5</v>
      </c>
      <c r="D667" s="73">
        <v>209598</v>
      </c>
      <c r="E667" s="73">
        <v>-5648.8</v>
      </c>
      <c r="F667" s="42">
        <v>0</v>
      </c>
      <c r="G667" s="42">
        <f t="shared" si="11"/>
        <v>-5648.8</v>
      </c>
      <c r="H667" s="2" t="str">
        <f>VLOOKUP(A667,'MASTER 26 27'!A:B,2,0)</f>
        <v>Not Applicable</v>
      </c>
    </row>
    <row r="668" spans="1:8">
      <c r="A668" s="68" t="s">
        <v>869</v>
      </c>
      <c r="B668" s="73">
        <v>-233175</v>
      </c>
      <c r="C668" s="73"/>
      <c r="D668" s="73"/>
      <c r="E668" s="73">
        <v>-233175</v>
      </c>
      <c r="F668" s="42">
        <v>0</v>
      </c>
      <c r="G668" s="42">
        <f t="shared" si="11"/>
        <v>-233175</v>
      </c>
      <c r="H668" s="2" t="str">
        <f>VLOOKUP(A668,'MASTER 26 27'!A:B,2,0)</f>
        <v>Not Applicable</v>
      </c>
    </row>
    <row r="669" spans="1:8">
      <c r="A669" s="68" t="s">
        <v>541</v>
      </c>
      <c r="B669" s="73">
        <v>-267011.21000000002</v>
      </c>
      <c r="C669" s="73">
        <v>483800</v>
      </c>
      <c r="D669" s="73">
        <v>483800</v>
      </c>
      <c r="E669" s="73">
        <v>-267011.21000000002</v>
      </c>
      <c r="F669" s="42">
        <v>0</v>
      </c>
      <c r="G669" s="42">
        <f t="shared" si="11"/>
        <v>-267011.21000000002</v>
      </c>
      <c r="H669" s="2" t="str">
        <f>VLOOKUP(A669,'MASTER 26 27'!A:B,2,0)</f>
        <v>Not Applicable</v>
      </c>
    </row>
    <row r="670" spans="1:8">
      <c r="A670" s="68" t="s">
        <v>543</v>
      </c>
      <c r="B670" s="73"/>
      <c r="C670" s="73">
        <v>126315</v>
      </c>
      <c r="D670" s="73">
        <v>126315</v>
      </c>
      <c r="E670" s="73">
        <v>0</v>
      </c>
      <c r="F670" s="42">
        <v>0</v>
      </c>
      <c r="G670" s="42">
        <f t="shared" si="11"/>
        <v>0</v>
      </c>
      <c r="H670" s="2" t="str">
        <f>VLOOKUP(A670,'MASTER 26 27'!A:B,2,0)</f>
        <v>Not Applicable</v>
      </c>
    </row>
    <row r="671" spans="1:8">
      <c r="A671" s="68" t="s">
        <v>1040</v>
      </c>
      <c r="B671" s="73"/>
      <c r="C671" s="73">
        <v>13200</v>
      </c>
      <c r="D671" s="73">
        <v>13200</v>
      </c>
      <c r="E671" s="73">
        <v>0</v>
      </c>
      <c r="F671" s="42">
        <v>0</v>
      </c>
      <c r="G671" s="42">
        <f t="shared" si="11"/>
        <v>0</v>
      </c>
      <c r="H671" s="2" t="str">
        <f>VLOOKUP(A671,'MASTER 26 27'!A:B,2,0)</f>
        <v>Not Applicable</v>
      </c>
    </row>
    <row r="672" spans="1:8">
      <c r="A672" s="68" t="s">
        <v>1336</v>
      </c>
      <c r="B672" s="73">
        <v>-590000.12</v>
      </c>
      <c r="C672" s="73"/>
      <c r="D672" s="73"/>
      <c r="E672" s="73">
        <v>-590000.12</v>
      </c>
      <c r="F672" s="42">
        <v>0</v>
      </c>
      <c r="G672" s="42">
        <f t="shared" si="11"/>
        <v>-590000.12</v>
      </c>
      <c r="H672" s="2" t="str">
        <f>VLOOKUP(A672,'MASTER 26 27'!A:B,2,0)</f>
        <v>Not Applicable</v>
      </c>
    </row>
    <row r="673" spans="1:8">
      <c r="A673" s="68" t="s">
        <v>1472</v>
      </c>
      <c r="B673" s="73"/>
      <c r="C673" s="73"/>
      <c r="D673" s="73"/>
      <c r="E673" s="73">
        <v>0</v>
      </c>
      <c r="F673" s="42">
        <v>0</v>
      </c>
      <c r="G673" s="42">
        <f t="shared" si="11"/>
        <v>0</v>
      </c>
      <c r="H673" s="2" t="s">
        <v>84</v>
      </c>
    </row>
    <row r="674" spans="1:8">
      <c r="A674" s="68" t="s">
        <v>1039</v>
      </c>
      <c r="B674" s="73"/>
      <c r="C674" s="73">
        <v>13200</v>
      </c>
      <c r="D674" s="73">
        <v>13200</v>
      </c>
      <c r="E674" s="73">
        <v>0</v>
      </c>
      <c r="F674" s="42">
        <v>0</v>
      </c>
      <c r="G674" s="42">
        <f t="shared" si="11"/>
        <v>0</v>
      </c>
      <c r="H674" s="2" t="str">
        <f>VLOOKUP(A674,'MASTER 26 27'!A:B,2,0)</f>
        <v>Not Applicable</v>
      </c>
    </row>
    <row r="675" spans="1:8">
      <c r="A675" s="68" t="s">
        <v>980</v>
      </c>
      <c r="B675" s="73">
        <v>590</v>
      </c>
      <c r="C675" s="73"/>
      <c r="D675" s="73"/>
      <c r="E675" s="73">
        <v>590</v>
      </c>
      <c r="F675" s="42">
        <v>0</v>
      </c>
      <c r="G675" s="42">
        <f t="shared" si="11"/>
        <v>590</v>
      </c>
      <c r="H675" s="2" t="str">
        <f>VLOOKUP(A675,'MASTER 26 27'!A:B,2,0)</f>
        <v>Not Applicable</v>
      </c>
    </row>
    <row r="676" spans="1:8">
      <c r="A676" s="68" t="s">
        <v>531</v>
      </c>
      <c r="B676" s="73"/>
      <c r="C676" s="73"/>
      <c r="D676" s="73">
        <v>9458</v>
      </c>
      <c r="E676" s="73">
        <v>-9458</v>
      </c>
      <c r="F676" s="42">
        <v>0</v>
      </c>
      <c r="G676" s="42">
        <f t="shared" si="11"/>
        <v>-9458</v>
      </c>
      <c r="H676" s="2" t="str">
        <f>VLOOKUP(A676,'MASTER 26 27'!A:B,2,0)</f>
        <v>Not Applicable</v>
      </c>
    </row>
    <row r="677" spans="1:8">
      <c r="A677" s="68" t="s">
        <v>1473</v>
      </c>
      <c r="B677" s="73"/>
      <c r="C677" s="73">
        <v>145</v>
      </c>
      <c r="D677" s="73">
        <v>17110</v>
      </c>
      <c r="E677" s="73">
        <v>-16965</v>
      </c>
      <c r="F677" s="42">
        <v>0</v>
      </c>
      <c r="G677" s="42">
        <f t="shared" si="11"/>
        <v>-16965</v>
      </c>
      <c r="H677" s="2" t="s">
        <v>84</v>
      </c>
    </row>
    <row r="678" spans="1:8">
      <c r="A678" s="68" t="s">
        <v>524</v>
      </c>
      <c r="B678" s="73">
        <v>-112</v>
      </c>
      <c r="C678" s="73"/>
      <c r="D678" s="73"/>
      <c r="E678" s="73">
        <v>-112</v>
      </c>
      <c r="F678" s="42">
        <v>0</v>
      </c>
      <c r="G678" s="42">
        <f t="shared" si="11"/>
        <v>-112</v>
      </c>
      <c r="H678" s="2" t="str">
        <f>VLOOKUP(A678,'MASTER 26 27'!A:B,2,0)</f>
        <v>Not Applicable</v>
      </c>
    </row>
    <row r="679" spans="1:8">
      <c r="A679" s="68" t="s">
        <v>518</v>
      </c>
      <c r="B679" s="73">
        <v>-26359205</v>
      </c>
      <c r="C679" s="73"/>
      <c r="D679" s="73"/>
      <c r="E679" s="73">
        <v>-26359205</v>
      </c>
      <c r="F679" s="42">
        <v>0</v>
      </c>
      <c r="G679" s="42">
        <f t="shared" si="11"/>
        <v>-26359205</v>
      </c>
      <c r="H679" s="2" t="str">
        <f>VLOOKUP(A679,'MASTER 26 27'!A:B,2,0)</f>
        <v>Not Applicable</v>
      </c>
    </row>
    <row r="680" spans="1:8">
      <c r="A680" s="68" t="s">
        <v>514</v>
      </c>
      <c r="B680" s="73">
        <v>-408514348.66000003</v>
      </c>
      <c r="C680" s="73"/>
      <c r="D680" s="73"/>
      <c r="E680" s="73">
        <v>-408514348.66000003</v>
      </c>
      <c r="F680" s="42">
        <v>0</v>
      </c>
      <c r="G680" s="42">
        <f t="shared" si="11"/>
        <v>-408514348.66000003</v>
      </c>
      <c r="H680" s="2" t="str">
        <f>VLOOKUP(A680,'MASTER 26 27'!A:B,2,0)</f>
        <v>Not Applicable</v>
      </c>
    </row>
    <row r="681" spans="1:8">
      <c r="A681" s="68" t="s">
        <v>513</v>
      </c>
      <c r="B681" s="73">
        <v>-273011778.32999998</v>
      </c>
      <c r="C681" s="73"/>
      <c r="D681" s="73"/>
      <c r="E681" s="73">
        <v>-273011778.32999998</v>
      </c>
      <c r="F681" s="42">
        <v>0</v>
      </c>
      <c r="G681" s="42">
        <f t="shared" si="11"/>
        <v>-273011778.32999998</v>
      </c>
      <c r="H681" s="2" t="str">
        <f>VLOOKUP(A681,'MASTER 26 27'!A:B,2,0)</f>
        <v>Not Applicable</v>
      </c>
    </row>
    <row r="682" spans="1:8">
      <c r="A682" s="68" t="s">
        <v>510</v>
      </c>
      <c r="B682" s="73">
        <v>-3500</v>
      </c>
      <c r="C682" s="73"/>
      <c r="D682" s="73"/>
      <c r="E682" s="73">
        <v>-3500</v>
      </c>
      <c r="F682" s="42">
        <v>0</v>
      </c>
      <c r="G682" s="42">
        <f t="shared" si="11"/>
        <v>-3500</v>
      </c>
      <c r="H682" s="2" t="str">
        <f>VLOOKUP(A682,'MASTER 26 27'!A:B,2,0)</f>
        <v>Not Applicable</v>
      </c>
    </row>
    <row r="683" spans="1:8">
      <c r="A683" s="68" t="s">
        <v>1360</v>
      </c>
      <c r="B683" s="73">
        <v>-36270</v>
      </c>
      <c r="C683" s="73"/>
      <c r="D683" s="73"/>
      <c r="E683" s="73">
        <v>-36270</v>
      </c>
      <c r="F683" s="42">
        <v>0</v>
      </c>
      <c r="G683" s="42">
        <f t="shared" si="11"/>
        <v>-36270</v>
      </c>
      <c r="H683" s="2" t="str">
        <f>VLOOKUP(A683,'MASTER 26 27'!A:B,2,0)</f>
        <v>Not Applicable</v>
      </c>
    </row>
    <row r="684" spans="1:8">
      <c r="A684" s="68" t="s">
        <v>909</v>
      </c>
      <c r="B684" s="73"/>
      <c r="C684" s="73"/>
      <c r="D684" s="73"/>
      <c r="E684" s="73">
        <v>0</v>
      </c>
      <c r="F684" s="42">
        <v>0</v>
      </c>
      <c r="G684" s="42">
        <f t="shared" si="11"/>
        <v>0</v>
      </c>
      <c r="H684" s="2" t="str">
        <f>VLOOKUP(A684,'MASTER 26 27'!A:B,2,0)</f>
        <v>Not Applicable</v>
      </c>
    </row>
    <row r="685" spans="1:8">
      <c r="A685" s="68" t="s">
        <v>506</v>
      </c>
      <c r="B685" s="73">
        <v>-0.12</v>
      </c>
      <c r="C685" s="73"/>
      <c r="D685" s="73"/>
      <c r="E685" s="73">
        <v>-0.12</v>
      </c>
      <c r="F685" s="42">
        <v>0</v>
      </c>
      <c r="G685" s="42">
        <f t="shared" si="11"/>
        <v>-0.12</v>
      </c>
      <c r="H685" s="2" t="str">
        <f>VLOOKUP(A685,'MASTER 26 27'!A:B,2,0)</f>
        <v>Not Applicable</v>
      </c>
    </row>
    <row r="686" spans="1:8">
      <c r="A686" s="68" t="s">
        <v>507</v>
      </c>
      <c r="B686" s="73">
        <v>-143345.60999999999</v>
      </c>
      <c r="C686" s="73"/>
      <c r="D686" s="73"/>
      <c r="E686" s="73">
        <v>-143345.60999999999</v>
      </c>
      <c r="F686" s="42">
        <v>0</v>
      </c>
      <c r="G686" s="42">
        <f t="shared" si="11"/>
        <v>-143345.60999999999</v>
      </c>
      <c r="H686" s="2" t="str">
        <f>VLOOKUP(A686,'MASTER 26 27'!A:B,2,0)</f>
        <v>Not Applicable</v>
      </c>
    </row>
    <row r="687" spans="1:8">
      <c r="A687" s="68" t="s">
        <v>505</v>
      </c>
      <c r="B687" s="73"/>
      <c r="C687" s="73"/>
      <c r="D687" s="73"/>
      <c r="E687" s="73">
        <v>0</v>
      </c>
      <c r="F687" s="42">
        <v>0</v>
      </c>
      <c r="G687" s="42">
        <f t="shared" si="11"/>
        <v>0</v>
      </c>
      <c r="H687" s="2" t="str">
        <f>VLOOKUP(A687,'MASTER 26 27'!A:B,2,0)</f>
        <v>Not Applicable</v>
      </c>
    </row>
    <row r="688" spans="1:8">
      <c r="A688" s="68" t="s">
        <v>504</v>
      </c>
      <c r="B688" s="73">
        <v>-63838054.280000001</v>
      </c>
      <c r="C688" s="73"/>
      <c r="D688" s="73"/>
      <c r="E688" s="73">
        <v>-63838054.280000001</v>
      </c>
      <c r="F688" s="42">
        <v>0</v>
      </c>
      <c r="G688" s="42">
        <f t="shared" si="11"/>
        <v>-63838054.280000001</v>
      </c>
      <c r="H688" s="2" t="str">
        <f>VLOOKUP(A688,'MASTER 26 27'!A:B,2,0)</f>
        <v>Not Applicable</v>
      </c>
    </row>
    <row r="689" spans="1:8">
      <c r="A689" s="68" t="s">
        <v>502</v>
      </c>
      <c r="B689" s="73">
        <v>-2306114453.3000002</v>
      </c>
      <c r="C689" s="73"/>
      <c r="D689" s="73">
        <v>30806488.739999998</v>
      </c>
      <c r="E689" s="73">
        <v>-2336920942.04</v>
      </c>
      <c r="F689" s="42">
        <v>0</v>
      </c>
      <c r="G689" s="42">
        <f t="shared" si="11"/>
        <v>-2336920942.04</v>
      </c>
      <c r="H689" s="2" t="str">
        <f>VLOOKUP(A689,'MASTER 26 27'!A:B,2,0)</f>
        <v>Not Applicable</v>
      </c>
    </row>
    <row r="690" spans="1:8">
      <c r="A690" s="68" t="s">
        <v>501</v>
      </c>
      <c r="B690" s="73">
        <v>9711150</v>
      </c>
      <c r="C690" s="73"/>
      <c r="D690" s="73"/>
      <c r="E690" s="73">
        <v>9711150</v>
      </c>
      <c r="F690" s="42">
        <v>0</v>
      </c>
      <c r="G690" s="42">
        <f t="shared" si="11"/>
        <v>9711150</v>
      </c>
      <c r="H690" s="2" t="str">
        <f>VLOOKUP(A690,'MASTER 26 27'!A:B,2,0)</f>
        <v>Not Applicable</v>
      </c>
    </row>
    <row r="691" spans="1:8">
      <c r="A691" s="68" t="s">
        <v>499</v>
      </c>
      <c r="B691" s="73">
        <v>142144.26</v>
      </c>
      <c r="C691" s="73"/>
      <c r="D691" s="73"/>
      <c r="E691" s="73">
        <v>142144.26</v>
      </c>
      <c r="F691" s="42">
        <v>0</v>
      </c>
      <c r="G691" s="42">
        <f t="shared" si="11"/>
        <v>142144.26</v>
      </c>
      <c r="H691" s="2" t="str">
        <f>VLOOKUP(A691,'MASTER 26 27'!A:B,2,0)</f>
        <v>Not Applicable</v>
      </c>
    </row>
    <row r="692" spans="1:8">
      <c r="A692" s="68" t="s">
        <v>500</v>
      </c>
      <c r="B692" s="73">
        <v>-11315312.48</v>
      </c>
      <c r="C692" s="73"/>
      <c r="D692" s="73"/>
      <c r="E692" s="73">
        <v>-11315312.48</v>
      </c>
      <c r="F692" s="42">
        <v>0</v>
      </c>
      <c r="G692" s="42">
        <f t="shared" si="11"/>
        <v>-11315312.48</v>
      </c>
      <c r="H692" s="2" t="str">
        <f>VLOOKUP(A692,'MASTER 26 27'!A:B,2,0)</f>
        <v>Not Applicable</v>
      </c>
    </row>
    <row r="693" spans="1:8">
      <c r="A693" s="68" t="s">
        <v>498</v>
      </c>
      <c r="B693" s="73">
        <v>-201420265.81999999</v>
      </c>
      <c r="C693" s="73"/>
      <c r="D693" s="73"/>
      <c r="E693" s="73">
        <v>-201420265.81999999</v>
      </c>
      <c r="F693" s="42">
        <v>0</v>
      </c>
      <c r="G693" s="42">
        <f t="shared" si="11"/>
        <v>-201420265.81999999</v>
      </c>
      <c r="H693" s="2" t="str">
        <f>VLOOKUP(A693,'MASTER 26 27'!A:B,2,0)</f>
        <v>Not Applicable</v>
      </c>
    </row>
    <row r="694" spans="1:8">
      <c r="A694" s="68" t="s">
        <v>497</v>
      </c>
      <c r="B694" s="73">
        <v>-168073662.58000001</v>
      </c>
      <c r="C694" s="73"/>
      <c r="D694" s="73">
        <v>131312.70000000001</v>
      </c>
      <c r="E694" s="73">
        <v>-168204975.28</v>
      </c>
      <c r="F694" s="42">
        <v>0</v>
      </c>
      <c r="G694" s="42">
        <f t="shared" si="11"/>
        <v>-168204975.28</v>
      </c>
      <c r="H694" s="2" t="str">
        <f>VLOOKUP(A694,'MASTER 26 27'!A:B,2,0)</f>
        <v>Not Applicable</v>
      </c>
    </row>
    <row r="695" spans="1:8">
      <c r="A695" s="68" t="s">
        <v>908</v>
      </c>
      <c r="B695" s="73">
        <v>40000</v>
      </c>
      <c r="C695" s="73"/>
      <c r="D695" s="73"/>
      <c r="E695" s="73">
        <v>40000</v>
      </c>
      <c r="F695" s="42">
        <v>0</v>
      </c>
      <c r="G695" s="42">
        <f t="shared" si="11"/>
        <v>40000</v>
      </c>
      <c r="H695" s="2" t="str">
        <f>VLOOKUP(A695,'MASTER 26 27'!A:B,2,0)</f>
        <v>Not Applicable</v>
      </c>
    </row>
    <row r="696" spans="1:8">
      <c r="A696" s="68" t="s">
        <v>1059</v>
      </c>
      <c r="B696" s="73">
        <v>-301099</v>
      </c>
      <c r="C696" s="73"/>
      <c r="D696" s="73"/>
      <c r="E696" s="73">
        <v>-301099</v>
      </c>
      <c r="F696" s="42">
        <v>0</v>
      </c>
      <c r="G696" s="42">
        <f t="shared" si="11"/>
        <v>-301099</v>
      </c>
      <c r="H696" s="2" t="str">
        <f>VLOOKUP(A696,'MASTER 26 27'!A:B,2,0)</f>
        <v>Not Applicable</v>
      </c>
    </row>
    <row r="697" spans="1:8">
      <c r="A697" s="68" t="s">
        <v>1321</v>
      </c>
      <c r="B697" s="73"/>
      <c r="C697" s="73"/>
      <c r="D697" s="73"/>
      <c r="E697" s="73">
        <v>0</v>
      </c>
      <c r="F697" s="42">
        <v>0</v>
      </c>
      <c r="G697" s="42">
        <f t="shared" si="11"/>
        <v>0</v>
      </c>
      <c r="H697" s="2" t="str">
        <f>VLOOKUP(A697,'MASTER 26 27'!A:B,2,0)</f>
        <v>Not Applicable</v>
      </c>
    </row>
    <row r="698" spans="1:8">
      <c r="A698" s="68" t="s">
        <v>1361</v>
      </c>
      <c r="B698" s="73">
        <v>30</v>
      </c>
      <c r="C698" s="73"/>
      <c r="D698" s="73"/>
      <c r="E698" s="73">
        <v>30</v>
      </c>
      <c r="F698" s="42">
        <v>0</v>
      </c>
      <c r="G698" s="42">
        <f t="shared" si="11"/>
        <v>30</v>
      </c>
      <c r="H698" s="2" t="str">
        <f>VLOOKUP(A698,'MASTER 26 27'!A:B,2,0)</f>
        <v>Not Applicable</v>
      </c>
    </row>
    <row r="699" spans="1:8">
      <c r="A699" s="68" t="s">
        <v>487</v>
      </c>
      <c r="B699" s="73"/>
      <c r="C699" s="73"/>
      <c r="D699" s="73"/>
      <c r="E699" s="73">
        <v>0</v>
      </c>
      <c r="F699" s="42">
        <v>0</v>
      </c>
      <c r="G699" s="42">
        <f t="shared" si="11"/>
        <v>0</v>
      </c>
      <c r="H699" s="2" t="str">
        <f>VLOOKUP(A699,'MASTER 26 27'!A:B,2,0)</f>
        <v>Not Applicable</v>
      </c>
    </row>
    <row r="700" spans="1:8">
      <c r="A700" s="68" t="s">
        <v>1362</v>
      </c>
      <c r="B700" s="73">
        <v>41300</v>
      </c>
      <c r="C700" s="73"/>
      <c r="D700" s="73">
        <v>41300</v>
      </c>
      <c r="E700" s="73">
        <v>0</v>
      </c>
      <c r="F700" s="42">
        <v>0</v>
      </c>
      <c r="G700" s="42">
        <f t="shared" si="11"/>
        <v>0</v>
      </c>
      <c r="H700" s="2" t="str">
        <f>VLOOKUP(A700,'MASTER 26 27'!A:B,2,0)</f>
        <v>Not Applicable</v>
      </c>
    </row>
    <row r="701" spans="1:8">
      <c r="A701" s="68" t="s">
        <v>898</v>
      </c>
      <c r="B701" s="73">
        <v>200</v>
      </c>
      <c r="C701" s="73"/>
      <c r="D701" s="73"/>
      <c r="E701" s="73">
        <v>200</v>
      </c>
      <c r="F701" s="42">
        <v>0</v>
      </c>
      <c r="G701" s="42">
        <f t="shared" si="11"/>
        <v>200</v>
      </c>
      <c r="H701" s="2" t="str">
        <f>VLOOKUP(A701,'MASTER 26 27'!A:B,2,0)</f>
        <v>Not Applicable</v>
      </c>
    </row>
    <row r="702" spans="1:8">
      <c r="A702" s="68" t="s">
        <v>476</v>
      </c>
      <c r="B702" s="73"/>
      <c r="C702" s="73">
        <v>60</v>
      </c>
      <c r="D702" s="73">
        <v>7080</v>
      </c>
      <c r="E702" s="73">
        <v>-7020</v>
      </c>
      <c r="F702" s="42">
        <v>0</v>
      </c>
      <c r="G702" s="42">
        <f t="shared" si="11"/>
        <v>-7020</v>
      </c>
      <c r="H702" s="2" t="str">
        <f>VLOOKUP(A702,'MASTER 26 27'!A:B,2,0)</f>
        <v>Not Applicable</v>
      </c>
    </row>
    <row r="703" spans="1:8">
      <c r="A703" s="68" t="s">
        <v>479</v>
      </c>
      <c r="B703" s="73"/>
      <c r="C703" s="73"/>
      <c r="D703" s="73"/>
      <c r="E703" s="73">
        <v>0</v>
      </c>
      <c r="F703" s="42">
        <v>0</v>
      </c>
      <c r="G703" s="42">
        <f t="shared" si="11"/>
        <v>0</v>
      </c>
      <c r="H703" s="2" t="str">
        <f>VLOOKUP(A703,'MASTER 26 27'!A:B,2,0)</f>
        <v>Not Applicable</v>
      </c>
    </row>
    <row r="704" spans="1:8">
      <c r="A704" s="68" t="s">
        <v>1313</v>
      </c>
      <c r="B704" s="73"/>
      <c r="C704" s="73"/>
      <c r="D704" s="73"/>
      <c r="E704" s="73">
        <v>0</v>
      </c>
      <c r="F704" s="42">
        <v>0</v>
      </c>
      <c r="G704" s="42">
        <f t="shared" si="11"/>
        <v>0</v>
      </c>
      <c r="H704" s="2" t="str">
        <f>VLOOKUP(A704,'MASTER 26 27'!A:B,2,0)</f>
        <v>Not Applicable</v>
      </c>
    </row>
    <row r="705" spans="1:8">
      <c r="A705" s="68" t="s">
        <v>468</v>
      </c>
      <c r="B705" s="73">
        <v>-15139</v>
      </c>
      <c r="C705" s="73"/>
      <c r="D705" s="73"/>
      <c r="E705" s="73">
        <v>-15139</v>
      </c>
      <c r="F705" s="42">
        <v>0</v>
      </c>
      <c r="G705" s="42">
        <f t="shared" si="11"/>
        <v>-15139</v>
      </c>
      <c r="H705" s="2" t="str">
        <f>VLOOKUP(A705,'MASTER 26 27'!A:B,2,0)</f>
        <v>Not Applicable</v>
      </c>
    </row>
    <row r="706" spans="1:8">
      <c r="A706" s="68" t="s">
        <v>458</v>
      </c>
      <c r="B706" s="73"/>
      <c r="C706" s="73"/>
      <c r="D706" s="73"/>
      <c r="E706" s="73">
        <v>0</v>
      </c>
      <c r="F706" s="42">
        <v>0</v>
      </c>
      <c r="G706" s="42">
        <f t="shared" si="11"/>
        <v>0</v>
      </c>
      <c r="H706" s="2" t="str">
        <f>VLOOKUP(A706,'MASTER 26 27'!A:B,2,0)</f>
        <v>Not Applicable</v>
      </c>
    </row>
    <row r="707" spans="1:8">
      <c r="A707" s="68" t="s">
        <v>1064</v>
      </c>
      <c r="B707" s="73">
        <v>-0.89</v>
      </c>
      <c r="C707" s="73">
        <v>11665</v>
      </c>
      <c r="D707" s="73"/>
      <c r="E707" s="73">
        <v>11664.11</v>
      </c>
      <c r="F707" s="42">
        <v>0</v>
      </c>
      <c r="G707" s="42">
        <f t="shared" si="11"/>
        <v>11664.11</v>
      </c>
      <c r="H707" s="2" t="str">
        <f>VLOOKUP(A707,'MASTER 26 27'!A:B,2,0)</f>
        <v>Not Applicable</v>
      </c>
    </row>
    <row r="708" spans="1:8">
      <c r="A708" s="68" t="s">
        <v>1364</v>
      </c>
      <c r="B708" s="73">
        <v>40000</v>
      </c>
      <c r="C708" s="73"/>
      <c r="D708" s="73"/>
      <c r="E708" s="73">
        <v>40000</v>
      </c>
      <c r="F708" s="42">
        <v>0</v>
      </c>
      <c r="G708" s="42">
        <f t="shared" si="11"/>
        <v>40000</v>
      </c>
      <c r="H708" s="2" t="str">
        <f>VLOOKUP(A708,'MASTER 26 27'!A:B,2,0)</f>
        <v>Not Applicable</v>
      </c>
    </row>
    <row r="709" spans="1:8">
      <c r="A709" s="68" t="s">
        <v>1098</v>
      </c>
      <c r="B709" s="73">
        <v>-1890</v>
      </c>
      <c r="C709" s="73"/>
      <c r="D709" s="73"/>
      <c r="E709" s="73">
        <v>-1890</v>
      </c>
      <c r="F709" s="42">
        <v>0</v>
      </c>
      <c r="G709" s="42">
        <f t="shared" si="11"/>
        <v>-1890</v>
      </c>
      <c r="H709" s="2" t="str">
        <f>VLOOKUP(A709,'MASTER 26 27'!A:B,2,0)</f>
        <v>Not Applicable</v>
      </c>
    </row>
    <row r="710" spans="1:8">
      <c r="A710" s="68" t="s">
        <v>448</v>
      </c>
      <c r="B710" s="73">
        <v>-49798</v>
      </c>
      <c r="C710" s="73">
        <v>27415</v>
      </c>
      <c r="D710" s="73">
        <v>27533</v>
      </c>
      <c r="E710" s="73">
        <v>-49916</v>
      </c>
      <c r="F710" s="42">
        <v>0</v>
      </c>
      <c r="G710" s="42">
        <f t="shared" si="11"/>
        <v>-49916</v>
      </c>
      <c r="H710" s="2" t="str">
        <f>VLOOKUP(A710,'MASTER 26 27'!A:B,2,0)</f>
        <v>Not Applicable</v>
      </c>
    </row>
    <row r="711" spans="1:8">
      <c r="A711" s="68" t="s">
        <v>925</v>
      </c>
      <c r="B711" s="73"/>
      <c r="C711" s="73"/>
      <c r="D711" s="73"/>
      <c r="E711" s="73">
        <v>0</v>
      </c>
      <c r="F711" s="42">
        <v>0</v>
      </c>
      <c r="G711" s="42">
        <f t="shared" ref="G711:G774" si="12">+E711+F711</f>
        <v>0</v>
      </c>
      <c r="H711" s="2" t="str">
        <f>VLOOKUP(A711,'MASTER 26 27'!A:B,2,0)</f>
        <v>Not Applicable</v>
      </c>
    </row>
    <row r="712" spans="1:8">
      <c r="A712" s="68" t="s">
        <v>410</v>
      </c>
      <c r="B712" s="73">
        <v>-64676.56</v>
      </c>
      <c r="C712" s="73">
        <v>21460</v>
      </c>
      <c r="D712" s="73"/>
      <c r="E712" s="73">
        <v>-43216.56</v>
      </c>
      <c r="F712" s="42">
        <v>0</v>
      </c>
      <c r="G712" s="42">
        <f t="shared" si="12"/>
        <v>-43216.56</v>
      </c>
      <c r="H712" s="2" t="str">
        <f>VLOOKUP(A712,'MASTER 26 27'!A:B,2,0)</f>
        <v>Not Applicable</v>
      </c>
    </row>
    <row r="713" spans="1:8">
      <c r="A713" s="68" t="s">
        <v>1293</v>
      </c>
      <c r="B713" s="73">
        <v>-42120</v>
      </c>
      <c r="C713" s="73"/>
      <c r="D713" s="73"/>
      <c r="E713" s="73">
        <v>-42120</v>
      </c>
      <c r="F713" s="42">
        <v>0</v>
      </c>
      <c r="G713" s="42">
        <f t="shared" si="12"/>
        <v>-42120</v>
      </c>
      <c r="H713" s="2" t="str">
        <f>VLOOKUP(A713,'MASTER 26 27'!A:B,2,0)</f>
        <v>Not Applicable</v>
      </c>
    </row>
    <row r="714" spans="1:8">
      <c r="A714" s="68" t="s">
        <v>1340</v>
      </c>
      <c r="B714" s="73">
        <v>-60416</v>
      </c>
      <c r="C714" s="73">
        <v>60416</v>
      </c>
      <c r="D714" s="73"/>
      <c r="E714" s="73">
        <v>0</v>
      </c>
      <c r="F714" s="42">
        <v>0</v>
      </c>
      <c r="G714" s="42">
        <f t="shared" si="12"/>
        <v>0</v>
      </c>
      <c r="H714" s="2" t="str">
        <f>VLOOKUP(A714,'MASTER 26 27'!A:B,2,0)</f>
        <v>Not Applicable</v>
      </c>
    </row>
    <row r="715" spans="1:8">
      <c r="A715" s="68" t="s">
        <v>1266</v>
      </c>
      <c r="B715" s="73">
        <v>-44080</v>
      </c>
      <c r="C715" s="73">
        <v>2260</v>
      </c>
      <c r="D715" s="73">
        <v>133340</v>
      </c>
      <c r="E715" s="73">
        <v>-175160</v>
      </c>
      <c r="F715" s="42">
        <v>0</v>
      </c>
      <c r="G715" s="42">
        <f t="shared" si="12"/>
        <v>-175160</v>
      </c>
      <c r="H715" s="2" t="str">
        <f>VLOOKUP(A715,'MASTER 26 27'!A:B,2,0)</f>
        <v>Not Applicable</v>
      </c>
    </row>
    <row r="716" spans="1:8">
      <c r="A716" s="68" t="s">
        <v>430</v>
      </c>
      <c r="B716" s="73">
        <v>-8366</v>
      </c>
      <c r="C716" s="73"/>
      <c r="D716" s="73">
        <v>8366</v>
      </c>
      <c r="E716" s="73">
        <v>-16732</v>
      </c>
      <c r="F716" s="42">
        <v>0</v>
      </c>
      <c r="G716" s="42">
        <f t="shared" si="12"/>
        <v>-16732</v>
      </c>
      <c r="H716" s="2" t="str">
        <f>VLOOKUP(A716,'MASTER 26 27'!A:B,2,0)</f>
        <v>Not Applicable</v>
      </c>
    </row>
    <row r="717" spans="1:8">
      <c r="A717" s="68" t="s">
        <v>413</v>
      </c>
      <c r="B717" s="73">
        <v>-3926</v>
      </c>
      <c r="C717" s="73"/>
      <c r="D717" s="73"/>
      <c r="E717" s="73">
        <v>-3926</v>
      </c>
      <c r="F717" s="42">
        <v>0</v>
      </c>
      <c r="G717" s="42">
        <f t="shared" si="12"/>
        <v>-3926</v>
      </c>
      <c r="H717" s="2" t="str">
        <f>VLOOKUP(A717,'MASTER 26 27'!A:B,2,0)</f>
        <v>Not Applicable</v>
      </c>
    </row>
    <row r="718" spans="1:8">
      <c r="A718" s="68" t="s">
        <v>414</v>
      </c>
      <c r="B718" s="73">
        <v>-10234</v>
      </c>
      <c r="C718" s="73"/>
      <c r="D718" s="73">
        <v>15351</v>
      </c>
      <c r="E718" s="73">
        <v>-25585</v>
      </c>
      <c r="F718" s="42">
        <v>0</v>
      </c>
      <c r="G718" s="42">
        <f t="shared" si="12"/>
        <v>-25585</v>
      </c>
      <c r="H718" s="2" t="str">
        <f>VLOOKUP(A718,'MASTER 26 27'!A:B,2,0)</f>
        <v>Not Applicable</v>
      </c>
    </row>
    <row r="719" spans="1:8">
      <c r="A719" s="68" t="s">
        <v>1185</v>
      </c>
      <c r="B719" s="73">
        <v>-388959</v>
      </c>
      <c r="C719" s="73">
        <v>716425</v>
      </c>
      <c r="D719" s="73">
        <v>412173</v>
      </c>
      <c r="E719" s="73">
        <v>-84707</v>
      </c>
      <c r="F719" s="42">
        <v>0</v>
      </c>
      <c r="G719" s="42">
        <f t="shared" si="12"/>
        <v>-84707</v>
      </c>
      <c r="H719" s="2" t="str">
        <f>VLOOKUP(A719,'MASTER 26 27'!A:B,2,0)</f>
        <v>Not Applicable</v>
      </c>
    </row>
    <row r="720" spans="1:8">
      <c r="A720" s="68" t="s">
        <v>1365</v>
      </c>
      <c r="B720" s="73">
        <v>-1687</v>
      </c>
      <c r="C720" s="73">
        <v>1687</v>
      </c>
      <c r="D720" s="73"/>
      <c r="E720" s="73">
        <v>0</v>
      </c>
      <c r="F720" s="42">
        <v>0</v>
      </c>
      <c r="G720" s="42">
        <f t="shared" si="12"/>
        <v>0</v>
      </c>
      <c r="H720" s="2" t="str">
        <f>VLOOKUP(A720,'MASTER 26 27'!A:B,2,0)</f>
        <v>Not Applicable</v>
      </c>
    </row>
    <row r="721" spans="1:8">
      <c r="A721" s="68" t="s">
        <v>1474</v>
      </c>
      <c r="B721" s="73"/>
      <c r="C721" s="73"/>
      <c r="D721" s="73">
        <v>11798.53</v>
      </c>
      <c r="E721" s="73">
        <v>-11798.53</v>
      </c>
      <c r="F721" s="42">
        <v>0</v>
      </c>
      <c r="G721" s="42">
        <f t="shared" si="12"/>
        <v>-11798.53</v>
      </c>
      <c r="H721" s="2" t="s">
        <v>84</v>
      </c>
    </row>
    <row r="722" spans="1:8">
      <c r="A722" s="68" t="s">
        <v>961</v>
      </c>
      <c r="B722" s="73">
        <v>-5940</v>
      </c>
      <c r="C722" s="73">
        <v>11000</v>
      </c>
      <c r="D722" s="73">
        <v>11000</v>
      </c>
      <c r="E722" s="73">
        <v>-5940</v>
      </c>
      <c r="F722" s="42">
        <v>0</v>
      </c>
      <c r="G722" s="42">
        <f t="shared" si="12"/>
        <v>-5940</v>
      </c>
      <c r="H722" s="2" t="str">
        <f>VLOOKUP(A722,'MASTER 26 27'!A:B,2,0)</f>
        <v>Not Applicable</v>
      </c>
    </row>
    <row r="723" spans="1:8">
      <c r="A723" s="68" t="s">
        <v>1366</v>
      </c>
      <c r="B723" s="73">
        <v>-56186</v>
      </c>
      <c r="C723" s="73">
        <v>56186</v>
      </c>
      <c r="D723" s="73"/>
      <c r="E723" s="73">
        <v>0</v>
      </c>
      <c r="F723" s="42">
        <v>0</v>
      </c>
      <c r="G723" s="42">
        <f t="shared" si="12"/>
        <v>0</v>
      </c>
      <c r="H723" s="2" t="str">
        <f>VLOOKUP(A723,'MASTER 26 27'!A:B,2,0)</f>
        <v>Not Applicable</v>
      </c>
    </row>
    <row r="724" spans="1:8">
      <c r="A724" s="68" t="s">
        <v>1367</v>
      </c>
      <c r="B724" s="73">
        <v>-6825</v>
      </c>
      <c r="C724" s="73">
        <v>6825</v>
      </c>
      <c r="D724" s="73">
        <v>588</v>
      </c>
      <c r="E724" s="73">
        <v>-588</v>
      </c>
      <c r="F724" s="42">
        <v>0</v>
      </c>
      <c r="G724" s="42">
        <f t="shared" si="12"/>
        <v>-588</v>
      </c>
      <c r="H724" s="2" t="str">
        <f>VLOOKUP(A724,'MASTER 26 27'!A:B,2,0)</f>
        <v>Not Applicable</v>
      </c>
    </row>
    <row r="725" spans="1:8">
      <c r="A725" s="68" t="s">
        <v>1294</v>
      </c>
      <c r="B725" s="73">
        <v>-1006540</v>
      </c>
      <c r="C725" s="73">
        <v>1006540</v>
      </c>
      <c r="D725" s="73">
        <v>236000</v>
      </c>
      <c r="E725" s="73">
        <v>-236000</v>
      </c>
      <c r="F725" s="42">
        <v>0</v>
      </c>
      <c r="G725" s="42">
        <f t="shared" si="12"/>
        <v>-236000</v>
      </c>
      <c r="H725" s="2" t="str">
        <f>VLOOKUP(A725,'MASTER 26 27'!A:B,2,0)</f>
        <v>Not Applicable</v>
      </c>
    </row>
    <row r="726" spans="1:8">
      <c r="A726" s="68" t="s">
        <v>936</v>
      </c>
      <c r="B726" s="73">
        <v>-1401981.1</v>
      </c>
      <c r="C726" s="73">
        <v>1080837</v>
      </c>
      <c r="D726" s="73"/>
      <c r="E726" s="73">
        <v>-321144.09999999998</v>
      </c>
      <c r="F726" s="42">
        <v>0</v>
      </c>
      <c r="G726" s="42">
        <f t="shared" si="12"/>
        <v>-321144.09999999998</v>
      </c>
      <c r="H726" s="2" t="str">
        <f>VLOOKUP(A726,'MASTER 26 27'!A:B,2,0)</f>
        <v>Not Applicable</v>
      </c>
    </row>
    <row r="727" spans="1:8">
      <c r="A727" s="68" t="s">
        <v>391</v>
      </c>
      <c r="B727" s="73">
        <v>-3599</v>
      </c>
      <c r="C727" s="73"/>
      <c r="D727" s="73"/>
      <c r="E727" s="73">
        <v>-3599</v>
      </c>
      <c r="F727" s="42">
        <v>0</v>
      </c>
      <c r="G727" s="42">
        <f t="shared" si="12"/>
        <v>-3599</v>
      </c>
      <c r="H727" s="2" t="str">
        <f>VLOOKUP(A727,'MASTER 26 27'!A:B,2,0)</f>
        <v>Not Applicable</v>
      </c>
    </row>
    <row r="728" spans="1:8">
      <c r="A728" s="68" t="s">
        <v>392</v>
      </c>
      <c r="B728" s="73"/>
      <c r="C728" s="73">
        <v>9157</v>
      </c>
      <c r="D728" s="73">
        <v>9157</v>
      </c>
      <c r="E728" s="73">
        <v>0</v>
      </c>
      <c r="F728" s="42">
        <v>0</v>
      </c>
      <c r="G728" s="42">
        <f t="shared" si="12"/>
        <v>0</v>
      </c>
      <c r="H728" s="2" t="str">
        <f>VLOOKUP(A728,'MASTER 26 27'!A:B,2,0)</f>
        <v>Not Applicable</v>
      </c>
    </row>
    <row r="729" spans="1:8">
      <c r="A729" s="68" t="s">
        <v>383</v>
      </c>
      <c r="B729" s="73">
        <v>-23364</v>
      </c>
      <c r="C729" s="73"/>
      <c r="D729" s="73"/>
      <c r="E729" s="73">
        <v>-23364</v>
      </c>
      <c r="F729" s="42">
        <v>0</v>
      </c>
      <c r="G729" s="42">
        <f t="shared" si="12"/>
        <v>-23364</v>
      </c>
      <c r="H729" s="2" t="str">
        <f>VLOOKUP(A729,'MASTER 26 27'!A:B,2,0)</f>
        <v>Not Applicable</v>
      </c>
    </row>
    <row r="730" spans="1:8">
      <c r="A730" s="68" t="s">
        <v>1475</v>
      </c>
      <c r="B730" s="73"/>
      <c r="C730" s="73"/>
      <c r="D730" s="73"/>
      <c r="E730" s="73">
        <v>0</v>
      </c>
      <c r="F730" s="42">
        <v>0</v>
      </c>
      <c r="G730" s="42">
        <f t="shared" si="12"/>
        <v>0</v>
      </c>
      <c r="H730" s="2" t="s">
        <v>84</v>
      </c>
    </row>
    <row r="731" spans="1:8">
      <c r="A731" s="68" t="s">
        <v>1033</v>
      </c>
      <c r="B731" s="73">
        <v>-3837501.48</v>
      </c>
      <c r="C731" s="73"/>
      <c r="D731" s="73"/>
      <c r="E731" s="73">
        <v>-3837501.48</v>
      </c>
      <c r="F731" s="42">
        <v>0</v>
      </c>
      <c r="G731" s="42">
        <f t="shared" si="12"/>
        <v>-3837501.48</v>
      </c>
      <c r="H731" s="2" t="str">
        <f>VLOOKUP(A731,'MASTER 26 27'!A:B,2,0)</f>
        <v>Not Applicable</v>
      </c>
    </row>
    <row r="732" spans="1:8">
      <c r="A732" s="68" t="s">
        <v>1476</v>
      </c>
      <c r="B732" s="73"/>
      <c r="C732" s="73">
        <v>103863</v>
      </c>
      <c r="D732" s="73"/>
      <c r="E732" s="73">
        <v>103863</v>
      </c>
      <c r="F732" s="42">
        <v>0</v>
      </c>
      <c r="G732" s="42">
        <f t="shared" si="12"/>
        <v>103863</v>
      </c>
      <c r="H732" s="2" t="s">
        <v>84</v>
      </c>
    </row>
    <row r="733" spans="1:8">
      <c r="A733" s="68" t="s">
        <v>1133</v>
      </c>
      <c r="B733" s="73"/>
      <c r="C733" s="73"/>
      <c r="D733" s="73">
        <v>162840</v>
      </c>
      <c r="E733" s="73">
        <v>-162840</v>
      </c>
      <c r="F733" s="42">
        <v>0</v>
      </c>
      <c r="G733" s="42">
        <f t="shared" si="12"/>
        <v>-162840</v>
      </c>
      <c r="H733" s="2" t="str">
        <f>VLOOKUP(A733,'MASTER 26 27'!A:B,2,0)</f>
        <v>Not Applicable</v>
      </c>
    </row>
    <row r="734" spans="1:8">
      <c r="A734" s="68" t="s">
        <v>1060</v>
      </c>
      <c r="B734" s="73"/>
      <c r="C734" s="73">
        <v>35400</v>
      </c>
      <c r="D734" s="73">
        <v>35400</v>
      </c>
      <c r="E734" s="73">
        <v>0</v>
      </c>
      <c r="F734" s="42">
        <v>0</v>
      </c>
      <c r="G734" s="42">
        <f t="shared" si="12"/>
        <v>0</v>
      </c>
      <c r="H734" s="2" t="str">
        <f>VLOOKUP(A734,'MASTER 26 27'!A:B,2,0)</f>
        <v>Not Applicable</v>
      </c>
    </row>
    <row r="735" spans="1:8">
      <c r="A735" s="68" t="s">
        <v>895</v>
      </c>
      <c r="B735" s="73">
        <v>1605</v>
      </c>
      <c r="C735" s="73"/>
      <c r="D735" s="73"/>
      <c r="E735" s="73">
        <v>1605</v>
      </c>
      <c r="F735" s="42">
        <v>0</v>
      </c>
      <c r="G735" s="42">
        <f t="shared" si="12"/>
        <v>1605</v>
      </c>
      <c r="H735" s="2" t="str">
        <f>VLOOKUP(A735,'MASTER 26 27'!A:B,2,0)</f>
        <v>Not Applicable</v>
      </c>
    </row>
    <row r="736" spans="1:8">
      <c r="A736" s="68" t="s">
        <v>371</v>
      </c>
      <c r="B736" s="73">
        <v>-442725</v>
      </c>
      <c r="C736" s="73">
        <v>440505</v>
      </c>
      <c r="D736" s="73"/>
      <c r="E736" s="73">
        <v>-2220</v>
      </c>
      <c r="F736" s="42">
        <v>0</v>
      </c>
      <c r="G736" s="42">
        <f t="shared" si="12"/>
        <v>-2220</v>
      </c>
      <c r="H736" s="2" t="str">
        <f>VLOOKUP(A736,'MASTER 26 27'!A:B,2,0)</f>
        <v>Not Applicable</v>
      </c>
    </row>
    <row r="737" spans="1:8">
      <c r="A737" s="68" t="s">
        <v>1477</v>
      </c>
      <c r="B737" s="73">
        <v>-52305</v>
      </c>
      <c r="C737" s="73">
        <v>52305</v>
      </c>
      <c r="D737" s="73"/>
      <c r="E737" s="73">
        <v>0</v>
      </c>
      <c r="F737" s="42">
        <v>0</v>
      </c>
      <c r="G737" s="42">
        <f t="shared" si="12"/>
        <v>0</v>
      </c>
      <c r="H737" s="2" t="s">
        <v>84</v>
      </c>
    </row>
    <row r="738" spans="1:8">
      <c r="A738" s="68" t="s">
        <v>1343</v>
      </c>
      <c r="B738" s="73"/>
      <c r="C738" s="73"/>
      <c r="D738" s="73">
        <v>32568</v>
      </c>
      <c r="E738" s="73">
        <v>-32568</v>
      </c>
      <c r="F738" s="42">
        <v>0</v>
      </c>
      <c r="G738" s="42">
        <f t="shared" si="12"/>
        <v>-32568</v>
      </c>
      <c r="H738" s="2" t="str">
        <f>VLOOKUP(A738,'MASTER 26 27'!A:B,2,0)</f>
        <v>Not Applicable</v>
      </c>
    </row>
    <row r="739" spans="1:8">
      <c r="A739" s="68" t="s">
        <v>1022</v>
      </c>
      <c r="B739" s="73">
        <v>-2774</v>
      </c>
      <c r="C739" s="73"/>
      <c r="D739" s="73"/>
      <c r="E739" s="73">
        <v>-2774</v>
      </c>
      <c r="F739" s="42">
        <v>0</v>
      </c>
      <c r="G739" s="42">
        <f t="shared" si="12"/>
        <v>-2774</v>
      </c>
      <c r="H739" s="2" t="str">
        <f>VLOOKUP(A739,'MASTER 26 27'!A:B,2,0)</f>
        <v>Not Applicable</v>
      </c>
    </row>
    <row r="740" spans="1:8">
      <c r="A740" s="68" t="s">
        <v>1086</v>
      </c>
      <c r="B740" s="73"/>
      <c r="C740" s="73"/>
      <c r="D740" s="73"/>
      <c r="E740" s="73">
        <v>0</v>
      </c>
      <c r="F740" s="42">
        <v>0</v>
      </c>
      <c r="G740" s="42">
        <f t="shared" si="12"/>
        <v>0</v>
      </c>
      <c r="H740" s="2" t="str">
        <f>VLOOKUP(A740,'MASTER 26 27'!A:B,2,0)</f>
        <v>Not Applicable</v>
      </c>
    </row>
    <row r="741" spans="1:8">
      <c r="A741" s="68" t="s">
        <v>733</v>
      </c>
      <c r="B741" s="73"/>
      <c r="C741" s="73"/>
      <c r="D741" s="73"/>
      <c r="E741" s="73">
        <v>0</v>
      </c>
      <c r="F741" s="42">
        <v>0</v>
      </c>
      <c r="G741" s="42">
        <f t="shared" si="12"/>
        <v>0</v>
      </c>
      <c r="H741" s="2" t="str">
        <f>VLOOKUP(A741,'MASTER 26 27'!A:B,2,0)</f>
        <v>Not Applicable</v>
      </c>
    </row>
    <row r="742" spans="1:8">
      <c r="A742" s="68" t="s">
        <v>734</v>
      </c>
      <c r="B742" s="73">
        <v>12783.2</v>
      </c>
      <c r="C742" s="73"/>
      <c r="D742" s="73"/>
      <c r="E742" s="73">
        <v>12783.2</v>
      </c>
      <c r="F742" s="42">
        <v>0</v>
      </c>
      <c r="G742" s="42">
        <f t="shared" si="12"/>
        <v>12783.2</v>
      </c>
      <c r="H742" s="2" t="str">
        <f>VLOOKUP(A742,'MASTER 26 27'!A:B,2,0)</f>
        <v>Not Applicable</v>
      </c>
    </row>
    <row r="743" spans="1:8">
      <c r="A743" s="68" t="s">
        <v>736</v>
      </c>
      <c r="B743" s="73">
        <v>-266476</v>
      </c>
      <c r="C743" s="73">
        <v>700</v>
      </c>
      <c r="D743" s="73">
        <v>41300</v>
      </c>
      <c r="E743" s="73">
        <v>-307076</v>
      </c>
      <c r="F743" s="42">
        <v>0</v>
      </c>
      <c r="G743" s="42">
        <f t="shared" si="12"/>
        <v>-307076</v>
      </c>
      <c r="H743" s="2" t="str">
        <f>VLOOKUP(A743,'MASTER 26 27'!A:B,2,0)</f>
        <v>Not Applicable</v>
      </c>
    </row>
    <row r="744" spans="1:8">
      <c r="A744" s="68" t="s">
        <v>1368</v>
      </c>
      <c r="B744" s="73">
        <v>-28000</v>
      </c>
      <c r="C744" s="73">
        <v>85944</v>
      </c>
      <c r="D744" s="73">
        <v>57944</v>
      </c>
      <c r="E744" s="73">
        <v>0</v>
      </c>
      <c r="F744" s="42">
        <v>0</v>
      </c>
      <c r="G744" s="42">
        <f t="shared" si="12"/>
        <v>0</v>
      </c>
      <c r="H744" s="2" t="str">
        <f>VLOOKUP(A744,'MASTER 26 27'!A:B,2,0)</f>
        <v>Not Applicable</v>
      </c>
    </row>
    <row r="745" spans="1:8">
      <c r="A745" s="68" t="s">
        <v>711</v>
      </c>
      <c r="B745" s="73"/>
      <c r="C745" s="73">
        <v>19000</v>
      </c>
      <c r="D745" s="73">
        <v>19000</v>
      </c>
      <c r="E745" s="73">
        <v>0</v>
      </c>
      <c r="F745" s="42">
        <v>0</v>
      </c>
      <c r="G745" s="42">
        <f t="shared" si="12"/>
        <v>0</v>
      </c>
      <c r="H745" s="2" t="str">
        <f>VLOOKUP(A745,'MASTER 26 27'!A:B,2,0)</f>
        <v>Not Applicable</v>
      </c>
    </row>
    <row r="746" spans="1:8">
      <c r="A746" s="68" t="s">
        <v>698</v>
      </c>
      <c r="B746" s="73">
        <v>-65680</v>
      </c>
      <c r="C746" s="73">
        <v>65680</v>
      </c>
      <c r="D746" s="73"/>
      <c r="E746" s="73">
        <v>0</v>
      </c>
      <c r="F746" s="42">
        <v>0</v>
      </c>
      <c r="G746" s="42">
        <f t="shared" si="12"/>
        <v>0</v>
      </c>
      <c r="H746" s="2" t="str">
        <f>VLOOKUP(A746,'MASTER 26 27'!A:B,2,0)</f>
        <v>Not Applicable</v>
      </c>
    </row>
    <row r="747" spans="1:8">
      <c r="A747" s="68" t="s">
        <v>1369</v>
      </c>
      <c r="B747" s="73">
        <v>-246635</v>
      </c>
      <c r="C747" s="73">
        <v>537380</v>
      </c>
      <c r="D747" s="73">
        <v>290745</v>
      </c>
      <c r="E747" s="73">
        <v>0</v>
      </c>
      <c r="F747" s="42">
        <v>0</v>
      </c>
      <c r="G747" s="42">
        <f t="shared" si="12"/>
        <v>0</v>
      </c>
      <c r="H747" s="2" t="str">
        <f>VLOOKUP(A747,'MASTER 26 27'!A:B,2,0)</f>
        <v>Not Applicable</v>
      </c>
    </row>
    <row r="748" spans="1:8">
      <c r="A748" s="68" t="s">
        <v>687</v>
      </c>
      <c r="B748" s="73">
        <v>523</v>
      </c>
      <c r="C748" s="73">
        <v>61870</v>
      </c>
      <c r="D748" s="73">
        <v>62393</v>
      </c>
      <c r="E748" s="73">
        <v>0</v>
      </c>
      <c r="F748" s="42">
        <v>0</v>
      </c>
      <c r="G748" s="42">
        <f t="shared" si="12"/>
        <v>0</v>
      </c>
      <c r="H748" s="2" t="str">
        <f>VLOOKUP(A748,'MASTER 26 27'!A:B,2,0)</f>
        <v>Not Applicable</v>
      </c>
    </row>
    <row r="749" spans="1:8">
      <c r="A749" s="68" t="s">
        <v>666</v>
      </c>
      <c r="B749" s="73">
        <v>-25661</v>
      </c>
      <c r="C749" s="73"/>
      <c r="D749" s="73"/>
      <c r="E749" s="73">
        <v>-25661</v>
      </c>
      <c r="F749" s="42">
        <v>0</v>
      </c>
      <c r="G749" s="42">
        <f t="shared" si="12"/>
        <v>-25661</v>
      </c>
      <c r="H749" s="2" t="str">
        <f>VLOOKUP(A749,'MASTER 26 27'!A:B,2,0)</f>
        <v>Not Applicable</v>
      </c>
    </row>
    <row r="750" spans="1:8">
      <c r="A750" s="68" t="s">
        <v>661</v>
      </c>
      <c r="B750" s="73">
        <v>-49080</v>
      </c>
      <c r="C750" s="73"/>
      <c r="D750" s="73"/>
      <c r="E750" s="73">
        <v>-49080</v>
      </c>
      <c r="F750" s="42">
        <v>0</v>
      </c>
      <c r="G750" s="42">
        <f t="shared" si="12"/>
        <v>-49080</v>
      </c>
      <c r="H750" s="2" t="str">
        <f>VLOOKUP(A750,'MASTER 26 27'!A:B,2,0)</f>
        <v>Not Applicable</v>
      </c>
    </row>
    <row r="751" spans="1:8">
      <c r="A751" s="68" t="s">
        <v>658</v>
      </c>
      <c r="B751" s="73">
        <v>13470</v>
      </c>
      <c r="C751" s="73"/>
      <c r="D751" s="73"/>
      <c r="E751" s="73">
        <v>13470</v>
      </c>
      <c r="F751" s="42">
        <v>0</v>
      </c>
      <c r="G751" s="42">
        <f t="shared" si="12"/>
        <v>13470</v>
      </c>
      <c r="H751" s="2" t="str">
        <f>VLOOKUP(A751,'MASTER 26 27'!A:B,2,0)</f>
        <v>Not Applicable</v>
      </c>
    </row>
    <row r="752" spans="1:8">
      <c r="A752" s="68" t="s">
        <v>650</v>
      </c>
      <c r="B752" s="73">
        <v>-94099</v>
      </c>
      <c r="C752" s="73"/>
      <c r="D752" s="73"/>
      <c r="E752" s="73">
        <v>-94099</v>
      </c>
      <c r="F752" s="42">
        <v>0</v>
      </c>
      <c r="G752" s="42">
        <f t="shared" si="12"/>
        <v>-94099</v>
      </c>
      <c r="H752" s="2" t="str">
        <f>VLOOKUP(A752,'MASTER 26 27'!A:B,2,0)</f>
        <v>Not Applicable</v>
      </c>
    </row>
    <row r="753" spans="1:8">
      <c r="A753" s="68" t="s">
        <v>655</v>
      </c>
      <c r="B753" s="73">
        <v>38013</v>
      </c>
      <c r="C753" s="73"/>
      <c r="D753" s="73"/>
      <c r="E753" s="73">
        <v>38013</v>
      </c>
      <c r="F753" s="42">
        <v>0</v>
      </c>
      <c r="G753" s="42">
        <f t="shared" si="12"/>
        <v>38013</v>
      </c>
      <c r="H753" s="2" t="str">
        <f>VLOOKUP(A753,'MASTER 26 27'!A:B,2,0)</f>
        <v>Not Applicable</v>
      </c>
    </row>
    <row r="754" spans="1:8">
      <c r="A754" s="68" t="s">
        <v>1478</v>
      </c>
      <c r="B754" s="73"/>
      <c r="C754" s="73"/>
      <c r="D754" s="73"/>
      <c r="E754" s="73">
        <v>0</v>
      </c>
      <c r="F754" s="42">
        <v>0</v>
      </c>
      <c r="G754" s="42">
        <f t="shared" si="12"/>
        <v>0</v>
      </c>
      <c r="H754" s="2" t="s">
        <v>84</v>
      </c>
    </row>
    <row r="755" spans="1:8">
      <c r="A755" s="68" t="s">
        <v>643</v>
      </c>
      <c r="B755" s="73">
        <v>-3363</v>
      </c>
      <c r="C755" s="73">
        <v>251956</v>
      </c>
      <c r="D755" s="73">
        <v>288582</v>
      </c>
      <c r="E755" s="73">
        <v>-39989</v>
      </c>
      <c r="F755" s="42">
        <v>0</v>
      </c>
      <c r="G755" s="42">
        <f t="shared" si="12"/>
        <v>-39989</v>
      </c>
      <c r="H755" s="2" t="str">
        <f>VLOOKUP(A755,'MASTER 26 27'!A:B,2,0)</f>
        <v>Not Applicable</v>
      </c>
    </row>
    <row r="756" spans="1:8">
      <c r="A756" s="68" t="s">
        <v>634</v>
      </c>
      <c r="B756" s="73"/>
      <c r="C756" s="73"/>
      <c r="D756" s="73"/>
      <c r="E756" s="73">
        <v>0</v>
      </c>
      <c r="F756" s="42">
        <v>0</v>
      </c>
      <c r="G756" s="42">
        <f t="shared" si="12"/>
        <v>0</v>
      </c>
      <c r="H756" s="2" t="str">
        <f>VLOOKUP(A756,'MASTER 26 27'!A:B,2,0)</f>
        <v>Not Applicable</v>
      </c>
    </row>
    <row r="757" spans="1:8">
      <c r="A757" s="68" t="s">
        <v>1479</v>
      </c>
      <c r="B757" s="73"/>
      <c r="C757" s="73"/>
      <c r="D757" s="73"/>
      <c r="E757" s="73">
        <v>0</v>
      </c>
      <c r="F757" s="42">
        <v>0</v>
      </c>
      <c r="G757" s="42">
        <f t="shared" si="12"/>
        <v>0</v>
      </c>
      <c r="H757" s="2" t="s">
        <v>84</v>
      </c>
    </row>
    <row r="758" spans="1:8">
      <c r="A758" s="68" t="s">
        <v>633</v>
      </c>
      <c r="B758" s="73">
        <v>111474</v>
      </c>
      <c r="C758" s="73"/>
      <c r="D758" s="73"/>
      <c r="E758" s="73">
        <v>111474</v>
      </c>
      <c r="F758" s="42">
        <v>0</v>
      </c>
      <c r="G758" s="42">
        <f t="shared" si="12"/>
        <v>111474</v>
      </c>
      <c r="H758" s="2" t="str">
        <f>VLOOKUP(A758,'MASTER 26 27'!A:B,2,0)</f>
        <v>Not Applicable</v>
      </c>
    </row>
    <row r="759" spans="1:8">
      <c r="A759" s="68" t="s">
        <v>630</v>
      </c>
      <c r="B759" s="73">
        <v>-221195</v>
      </c>
      <c r="C759" s="73"/>
      <c r="D759" s="73"/>
      <c r="E759" s="73">
        <v>-221195</v>
      </c>
      <c r="F759" s="42">
        <v>0</v>
      </c>
      <c r="G759" s="42">
        <f t="shared" si="12"/>
        <v>-221195</v>
      </c>
      <c r="H759" s="2" t="str">
        <f>VLOOKUP(A759,'MASTER 26 27'!A:B,2,0)</f>
        <v>Not Applicable</v>
      </c>
    </row>
    <row r="760" spans="1:8">
      <c r="A760" s="68" t="s">
        <v>1480</v>
      </c>
      <c r="B760" s="73"/>
      <c r="C760" s="73"/>
      <c r="D760" s="73"/>
      <c r="E760" s="73">
        <v>0</v>
      </c>
      <c r="F760" s="42">
        <v>0</v>
      </c>
      <c r="G760" s="42">
        <f t="shared" si="12"/>
        <v>0</v>
      </c>
      <c r="H760" s="2" t="s">
        <v>84</v>
      </c>
    </row>
    <row r="761" spans="1:8">
      <c r="A761" s="68" t="s">
        <v>621</v>
      </c>
      <c r="B761" s="73">
        <v>-538861</v>
      </c>
      <c r="C761" s="73"/>
      <c r="D761" s="73"/>
      <c r="E761" s="73">
        <v>-538861</v>
      </c>
      <c r="F761" s="42">
        <v>0</v>
      </c>
      <c r="G761" s="42">
        <f t="shared" si="12"/>
        <v>-538861</v>
      </c>
      <c r="H761" s="2" t="str">
        <f>VLOOKUP(A761,'MASTER 26 27'!A:B,2,0)</f>
        <v>Not Applicable</v>
      </c>
    </row>
    <row r="762" spans="1:8">
      <c r="A762" s="68" t="s">
        <v>617</v>
      </c>
      <c r="B762" s="73">
        <v>-0.2</v>
      </c>
      <c r="C762" s="73">
        <v>1342</v>
      </c>
      <c r="D762" s="73">
        <v>17582</v>
      </c>
      <c r="E762" s="73">
        <v>-16240.2</v>
      </c>
      <c r="F762" s="42">
        <v>0</v>
      </c>
      <c r="G762" s="42">
        <f t="shared" si="12"/>
        <v>-16240.2</v>
      </c>
      <c r="H762" s="2" t="str">
        <f>VLOOKUP(A762,'MASTER 26 27'!A:B,2,0)</f>
        <v>Not Applicable</v>
      </c>
    </row>
    <row r="763" spans="1:8">
      <c r="A763" s="68" t="s">
        <v>990</v>
      </c>
      <c r="B763" s="73">
        <v>13650</v>
      </c>
      <c r="C763" s="73"/>
      <c r="D763" s="73"/>
      <c r="E763" s="73">
        <v>13650</v>
      </c>
      <c r="F763" s="42">
        <v>0</v>
      </c>
      <c r="G763" s="42">
        <f t="shared" si="12"/>
        <v>13650</v>
      </c>
      <c r="H763" s="2" t="str">
        <f>VLOOKUP(A763,'MASTER 26 27'!A:B,2,0)</f>
        <v>Not Applicable</v>
      </c>
    </row>
    <row r="764" spans="1:8">
      <c r="A764" s="68" t="s">
        <v>1481</v>
      </c>
      <c r="B764" s="73"/>
      <c r="C764" s="73"/>
      <c r="D764" s="73"/>
      <c r="E764" s="73">
        <v>0</v>
      </c>
      <c r="F764" s="42">
        <v>0</v>
      </c>
      <c r="G764" s="42">
        <f t="shared" si="12"/>
        <v>0</v>
      </c>
      <c r="H764" s="2" t="s">
        <v>84</v>
      </c>
    </row>
    <row r="765" spans="1:8">
      <c r="A765" s="68" t="s">
        <v>537</v>
      </c>
      <c r="B765" s="73">
        <v>4484</v>
      </c>
      <c r="C765" s="73">
        <v>815358</v>
      </c>
      <c r="D765" s="73">
        <v>815358</v>
      </c>
      <c r="E765" s="73">
        <v>4484</v>
      </c>
      <c r="F765" s="42">
        <v>0</v>
      </c>
      <c r="G765" s="42">
        <f t="shared" si="12"/>
        <v>4484</v>
      </c>
      <c r="H765" s="2" t="str">
        <f>VLOOKUP(A765,'MASTER 26 27'!A:B,2,0)</f>
        <v>Not Applicable</v>
      </c>
    </row>
    <row r="766" spans="1:8">
      <c r="A766" s="68" t="s">
        <v>910</v>
      </c>
      <c r="B766" s="73">
        <v>13131.72</v>
      </c>
      <c r="C766" s="73"/>
      <c r="D766" s="73"/>
      <c r="E766" s="73">
        <v>13131.72</v>
      </c>
      <c r="F766" s="42">
        <v>0</v>
      </c>
      <c r="G766" s="42">
        <f t="shared" si="12"/>
        <v>13131.72</v>
      </c>
      <c r="H766" s="2" t="str">
        <f>VLOOKUP(A766,'MASTER 26 27'!A:B,2,0)</f>
        <v>Not Applicable</v>
      </c>
    </row>
    <row r="767" spans="1:8">
      <c r="A767" s="68" t="s">
        <v>473</v>
      </c>
      <c r="B767" s="73">
        <v>276434.77</v>
      </c>
      <c r="C767" s="73">
        <v>50675.1</v>
      </c>
      <c r="D767" s="73"/>
      <c r="E767" s="73">
        <v>327109.87</v>
      </c>
      <c r="F767" s="42">
        <v>0</v>
      </c>
      <c r="G767" s="42">
        <f t="shared" si="12"/>
        <v>327109.87</v>
      </c>
      <c r="H767" s="2" t="str">
        <f>VLOOKUP(A767,'MASTER 26 27'!A:B,2,0)</f>
        <v>Not Applicable</v>
      </c>
    </row>
    <row r="768" spans="1:8">
      <c r="A768" s="68" t="s">
        <v>1482</v>
      </c>
      <c r="B768" s="73"/>
      <c r="C768" s="73"/>
      <c r="D768" s="73"/>
      <c r="E768" s="73">
        <v>0</v>
      </c>
      <c r="F768" s="42">
        <v>0</v>
      </c>
      <c r="G768" s="42">
        <f t="shared" si="12"/>
        <v>0</v>
      </c>
      <c r="H768" s="2" t="s">
        <v>84</v>
      </c>
    </row>
    <row r="769" spans="1:8">
      <c r="A769" s="68" t="s">
        <v>442</v>
      </c>
      <c r="B769" s="73"/>
      <c r="C769" s="73"/>
      <c r="D769" s="73"/>
      <c r="E769" s="73">
        <v>0</v>
      </c>
      <c r="F769" s="42">
        <v>0</v>
      </c>
      <c r="G769" s="42">
        <f t="shared" si="12"/>
        <v>0</v>
      </c>
      <c r="H769" s="2" t="str">
        <f>VLOOKUP(A769,'MASTER 26 27'!A:B,2,0)</f>
        <v>Not Applicable</v>
      </c>
    </row>
    <row r="770" spans="1:8">
      <c r="A770" s="68" t="s">
        <v>441</v>
      </c>
      <c r="B770" s="73">
        <v>-10033.879999999999</v>
      </c>
      <c r="C770" s="73">
        <v>225</v>
      </c>
      <c r="D770" s="73">
        <v>18560</v>
      </c>
      <c r="E770" s="73">
        <v>-28368.880000000001</v>
      </c>
      <c r="F770" s="42">
        <v>0</v>
      </c>
      <c r="G770" s="42">
        <f t="shared" si="12"/>
        <v>-28368.880000000001</v>
      </c>
      <c r="H770" s="2" t="str">
        <f>VLOOKUP(A770,'MASTER 26 27'!A:B,2,0)</f>
        <v>Not Applicable</v>
      </c>
    </row>
    <row r="771" spans="1:8">
      <c r="A771" s="68" t="s">
        <v>438</v>
      </c>
      <c r="B771" s="73">
        <v>-14478</v>
      </c>
      <c r="C771" s="73">
        <v>14523</v>
      </c>
      <c r="D771" s="73">
        <v>4500</v>
      </c>
      <c r="E771" s="73">
        <v>-4455</v>
      </c>
      <c r="F771" s="42">
        <v>0</v>
      </c>
      <c r="G771" s="42">
        <f t="shared" si="12"/>
        <v>-4455</v>
      </c>
      <c r="H771" s="2" t="str">
        <f>VLOOKUP(A771,'MASTER 26 27'!A:B,2,0)</f>
        <v>Not Applicable</v>
      </c>
    </row>
    <row r="772" spans="1:8">
      <c r="A772" s="68" t="s">
        <v>1093</v>
      </c>
      <c r="B772" s="73">
        <v>-40590</v>
      </c>
      <c r="C772" s="73">
        <v>40730</v>
      </c>
      <c r="D772" s="73">
        <v>14000</v>
      </c>
      <c r="E772" s="73">
        <v>-13860</v>
      </c>
      <c r="F772" s="42">
        <v>0</v>
      </c>
      <c r="G772" s="42">
        <f t="shared" si="12"/>
        <v>-13860</v>
      </c>
      <c r="H772" s="2" t="str">
        <f>VLOOKUP(A772,'MASTER 26 27'!A:B,2,0)</f>
        <v>Not Applicable</v>
      </c>
    </row>
    <row r="773" spans="1:8">
      <c r="A773" s="68" t="s">
        <v>421</v>
      </c>
      <c r="B773" s="73">
        <v>-1060</v>
      </c>
      <c r="C773" s="73">
        <v>150000</v>
      </c>
      <c r="D773" s="73">
        <v>150000</v>
      </c>
      <c r="E773" s="73">
        <v>-1060</v>
      </c>
      <c r="F773" s="42">
        <v>0</v>
      </c>
      <c r="G773" s="42">
        <f t="shared" si="12"/>
        <v>-1060</v>
      </c>
      <c r="H773" s="2" t="str">
        <f>VLOOKUP(A773,'MASTER 26 27'!A:B,2,0)</f>
        <v>Not Applicable</v>
      </c>
    </row>
    <row r="774" spans="1:8">
      <c r="A774" s="68" t="s">
        <v>876</v>
      </c>
      <c r="B774" s="73">
        <v>-546093</v>
      </c>
      <c r="C774" s="73">
        <v>2184</v>
      </c>
      <c r="D774" s="73">
        <v>128725</v>
      </c>
      <c r="E774" s="73">
        <v>-672634</v>
      </c>
      <c r="F774" s="42">
        <v>0</v>
      </c>
      <c r="G774" s="42">
        <f t="shared" si="12"/>
        <v>-672634</v>
      </c>
      <c r="H774" s="2" t="str">
        <f>VLOOKUP(A774,'MASTER 26 27'!A:B,2,0)</f>
        <v>Not Applicable</v>
      </c>
    </row>
    <row r="775" spans="1:8">
      <c r="A775" s="68" t="s">
        <v>1088</v>
      </c>
      <c r="B775" s="73">
        <v>6.48</v>
      </c>
      <c r="C775" s="73"/>
      <c r="D775" s="73"/>
      <c r="E775" s="73">
        <v>6.48</v>
      </c>
      <c r="F775" s="42">
        <v>0</v>
      </c>
      <c r="G775" s="42">
        <f t="shared" ref="G775:G838" si="13">+E775+F775</f>
        <v>6.48</v>
      </c>
      <c r="H775" s="2" t="str">
        <f>VLOOKUP(A775,'MASTER 26 27'!A:B,2,0)</f>
        <v>Not Applicable</v>
      </c>
    </row>
    <row r="776" spans="1:8">
      <c r="A776" s="68" t="s">
        <v>923</v>
      </c>
      <c r="B776" s="73">
        <v>3.51</v>
      </c>
      <c r="C776" s="73"/>
      <c r="D776" s="73"/>
      <c r="E776" s="73">
        <v>3.51</v>
      </c>
      <c r="F776" s="42">
        <v>0</v>
      </c>
      <c r="G776" s="42">
        <f t="shared" si="13"/>
        <v>3.51</v>
      </c>
      <c r="H776" s="2" t="str">
        <f>VLOOKUP(A776,'MASTER 26 27'!A:B,2,0)</f>
        <v>Not Applicable</v>
      </c>
    </row>
    <row r="777" spans="1:8">
      <c r="A777" s="68" t="s">
        <v>1032</v>
      </c>
      <c r="B777" s="73">
        <v>-1.94</v>
      </c>
      <c r="C777" s="73">
        <v>125</v>
      </c>
      <c r="D777" s="73">
        <v>125.34</v>
      </c>
      <c r="E777" s="73">
        <v>-2.2799999999999998</v>
      </c>
      <c r="F777" s="42">
        <v>0</v>
      </c>
      <c r="G777" s="42">
        <f t="shared" si="13"/>
        <v>-2.2799999999999998</v>
      </c>
      <c r="H777" s="2" t="str">
        <f>VLOOKUP(A777,'MASTER 26 27'!A:B,2,0)</f>
        <v>Not Applicable</v>
      </c>
    </row>
    <row r="778" spans="1:8">
      <c r="A778" s="68" t="s">
        <v>948</v>
      </c>
      <c r="B778" s="73">
        <v>0.56000000000000005</v>
      </c>
      <c r="C778" s="73"/>
      <c r="D778" s="73"/>
      <c r="E778" s="73">
        <v>0.56000000000000005</v>
      </c>
      <c r="F778" s="42">
        <v>0</v>
      </c>
      <c r="G778" s="42">
        <f t="shared" si="13"/>
        <v>0.56000000000000005</v>
      </c>
      <c r="H778" s="2" t="str">
        <f>VLOOKUP(A778,'MASTER 26 27'!A:B,2,0)</f>
        <v>Not Applicable</v>
      </c>
    </row>
    <row r="779" spans="1:8">
      <c r="A779" s="68" t="s">
        <v>1046</v>
      </c>
      <c r="B779" s="73"/>
      <c r="C779" s="73">
        <v>2624.32</v>
      </c>
      <c r="D779" s="73">
        <v>2624.32</v>
      </c>
      <c r="E779" s="73">
        <v>0</v>
      </c>
      <c r="F779" s="42">
        <v>0</v>
      </c>
      <c r="G779" s="42">
        <f t="shared" si="13"/>
        <v>0</v>
      </c>
      <c r="H779" s="2" t="str">
        <f>VLOOKUP(A779,'MASTER 26 27'!A:B,2,0)</f>
        <v>Not Applicable</v>
      </c>
    </row>
    <row r="780" spans="1:8">
      <c r="A780" s="68" t="s">
        <v>1047</v>
      </c>
      <c r="B780" s="73"/>
      <c r="C780" s="73"/>
      <c r="D780" s="73"/>
      <c r="E780" s="73">
        <v>0</v>
      </c>
      <c r="F780" s="42">
        <v>0</v>
      </c>
      <c r="G780" s="42">
        <f t="shared" si="13"/>
        <v>0</v>
      </c>
      <c r="H780" s="2" t="str">
        <f>VLOOKUP(A780,'MASTER 26 27'!A:B,2,0)</f>
        <v>Not Applicable</v>
      </c>
    </row>
    <row r="781" spans="1:8">
      <c r="A781" s="68" t="s">
        <v>880</v>
      </c>
      <c r="B781" s="73"/>
      <c r="C781" s="73"/>
      <c r="D781" s="73"/>
      <c r="E781" s="73">
        <v>0</v>
      </c>
      <c r="F781" s="42">
        <v>0</v>
      </c>
      <c r="G781" s="42">
        <f t="shared" si="13"/>
        <v>0</v>
      </c>
      <c r="H781" s="2" t="str">
        <f>VLOOKUP(A781,'MASTER 26 27'!A:B,2,0)</f>
        <v>Not Applicable</v>
      </c>
    </row>
    <row r="782" spans="1:8">
      <c r="A782" s="68" t="s">
        <v>901</v>
      </c>
      <c r="B782" s="73">
        <v>33416</v>
      </c>
      <c r="C782" s="73"/>
      <c r="D782" s="73"/>
      <c r="E782" s="73">
        <v>33416</v>
      </c>
      <c r="F782" s="42">
        <v>0</v>
      </c>
      <c r="G782" s="42">
        <f t="shared" si="13"/>
        <v>33416</v>
      </c>
      <c r="H782" s="2" t="str">
        <f>VLOOKUP(A782,'MASTER 26 27'!A:B,2,0)</f>
        <v>Not Applicable</v>
      </c>
    </row>
    <row r="783" spans="1:8">
      <c r="A783" s="68" t="s">
        <v>667</v>
      </c>
      <c r="B783" s="73"/>
      <c r="C783" s="73"/>
      <c r="D783" s="73"/>
      <c r="E783" s="73">
        <v>0</v>
      </c>
      <c r="F783" s="42">
        <v>0</v>
      </c>
      <c r="G783" s="42">
        <f t="shared" si="13"/>
        <v>0</v>
      </c>
      <c r="H783" s="2" t="str">
        <f>VLOOKUP(A783,'MASTER 26 27'!A:B,2,0)</f>
        <v>Not Applicable</v>
      </c>
    </row>
    <row r="784" spans="1:8">
      <c r="A784" s="68" t="s">
        <v>668</v>
      </c>
      <c r="B784" s="73"/>
      <c r="C784" s="73"/>
      <c r="D784" s="73"/>
      <c r="E784" s="73">
        <v>0</v>
      </c>
      <c r="F784" s="42">
        <v>0</v>
      </c>
      <c r="G784" s="42">
        <f t="shared" si="13"/>
        <v>0</v>
      </c>
      <c r="H784" s="2" t="str">
        <f>VLOOKUP(A784,'MASTER 26 27'!A:B,2,0)</f>
        <v>Not Applicable</v>
      </c>
    </row>
    <row r="785" spans="1:8">
      <c r="A785" s="68" t="s">
        <v>669</v>
      </c>
      <c r="B785" s="73">
        <v>0.01</v>
      </c>
      <c r="C785" s="73"/>
      <c r="D785" s="73"/>
      <c r="E785" s="73">
        <v>0.01</v>
      </c>
      <c r="F785" s="42">
        <v>0</v>
      </c>
      <c r="G785" s="42">
        <f t="shared" si="13"/>
        <v>0.01</v>
      </c>
      <c r="H785" s="2" t="str">
        <f>VLOOKUP(A785,'MASTER 26 27'!A:B,2,0)</f>
        <v>Not Applicable</v>
      </c>
    </row>
    <row r="786" spans="1:8">
      <c r="A786" s="68" t="s">
        <v>929</v>
      </c>
      <c r="B786" s="73"/>
      <c r="C786" s="73"/>
      <c r="D786" s="73"/>
      <c r="E786" s="73">
        <v>0</v>
      </c>
      <c r="F786" s="42">
        <v>0</v>
      </c>
      <c r="G786" s="42">
        <f t="shared" si="13"/>
        <v>0</v>
      </c>
      <c r="H786" s="2" t="str">
        <f>VLOOKUP(A786,'MASTER 26 27'!A:B,2,0)</f>
        <v>Not Applicable</v>
      </c>
    </row>
    <row r="787" spans="1:8">
      <c r="A787" s="68" t="s">
        <v>1372</v>
      </c>
      <c r="B787" s="73">
        <v>-740000</v>
      </c>
      <c r="C787" s="73">
        <v>747422.2</v>
      </c>
      <c r="D787" s="73">
        <v>7422.2</v>
      </c>
      <c r="E787" s="73">
        <v>0</v>
      </c>
      <c r="F787" s="42">
        <v>0</v>
      </c>
      <c r="G787" s="42">
        <f t="shared" si="13"/>
        <v>0</v>
      </c>
      <c r="H787" s="2" t="str">
        <f>VLOOKUP(A787,'MASTER 26 27'!A:B,2,0)</f>
        <v>Not Applicable</v>
      </c>
    </row>
    <row r="788" spans="1:8">
      <c r="A788" s="68" t="s">
        <v>1373</v>
      </c>
      <c r="B788" s="73">
        <v>-2494774.1</v>
      </c>
      <c r="C788" s="73">
        <v>2494774.1</v>
      </c>
      <c r="D788" s="73"/>
      <c r="E788" s="73">
        <v>0</v>
      </c>
      <c r="F788" s="42">
        <v>0</v>
      </c>
      <c r="G788" s="42">
        <f t="shared" si="13"/>
        <v>0</v>
      </c>
      <c r="H788" s="2" t="str">
        <f>VLOOKUP(A788,'MASTER 26 27'!A:B,2,0)</f>
        <v>Not Applicable</v>
      </c>
    </row>
    <row r="789" spans="1:8">
      <c r="A789" s="68" t="s">
        <v>1004</v>
      </c>
      <c r="B789" s="73">
        <v>-3515.4</v>
      </c>
      <c r="C789" s="73"/>
      <c r="D789" s="73"/>
      <c r="E789" s="73">
        <v>-3515.4</v>
      </c>
      <c r="F789" s="42">
        <v>0</v>
      </c>
      <c r="G789" s="42">
        <f t="shared" si="13"/>
        <v>-3515.4</v>
      </c>
      <c r="H789" s="2" t="str">
        <f>VLOOKUP(A789,'MASTER 26 27'!A:B,2,0)</f>
        <v>Not Applicable</v>
      </c>
    </row>
    <row r="790" spans="1:8">
      <c r="A790" s="68" t="s">
        <v>1374</v>
      </c>
      <c r="B790" s="73">
        <v>-161506.79999999999</v>
      </c>
      <c r="C790" s="73"/>
      <c r="D790" s="73"/>
      <c r="E790" s="73">
        <v>-161506.79999999999</v>
      </c>
      <c r="F790" s="42">
        <v>0</v>
      </c>
      <c r="G790" s="42">
        <f t="shared" si="13"/>
        <v>-161506.79999999999</v>
      </c>
      <c r="H790" s="2" t="str">
        <f>VLOOKUP(A790,'MASTER 26 27'!A:B,2,0)</f>
        <v>Not Applicable</v>
      </c>
    </row>
    <row r="791" spans="1:8">
      <c r="A791" s="68" t="s">
        <v>515</v>
      </c>
      <c r="B791" s="73">
        <v>74938.759999999995</v>
      </c>
      <c r="C791" s="73"/>
      <c r="D791" s="73"/>
      <c r="E791" s="73">
        <v>74938.759999999995</v>
      </c>
      <c r="F791" s="42">
        <v>0</v>
      </c>
      <c r="G791" s="42">
        <f t="shared" si="13"/>
        <v>74938.759999999995</v>
      </c>
      <c r="H791" s="2" t="str">
        <f>VLOOKUP(A791,'MASTER 26 27'!A:B,2,0)</f>
        <v>Not Applicable</v>
      </c>
    </row>
    <row r="792" spans="1:8">
      <c r="A792" s="68" t="s">
        <v>437</v>
      </c>
      <c r="B792" s="73"/>
      <c r="C792" s="73"/>
      <c r="D792" s="73"/>
      <c r="E792" s="73">
        <v>0</v>
      </c>
      <c r="F792" s="42">
        <v>0</v>
      </c>
      <c r="G792" s="42">
        <f t="shared" si="13"/>
        <v>0</v>
      </c>
      <c r="H792" s="2" t="str">
        <f>VLOOKUP(A792,'MASTER 26 27'!A:B,2,0)</f>
        <v>Not Applicable</v>
      </c>
    </row>
    <row r="793" spans="1:8">
      <c r="A793" s="68" t="s">
        <v>1315</v>
      </c>
      <c r="B793" s="73"/>
      <c r="C793" s="73"/>
      <c r="D793" s="73"/>
      <c r="E793" s="73">
        <v>0</v>
      </c>
      <c r="F793" s="42">
        <v>0</v>
      </c>
      <c r="G793" s="42">
        <f t="shared" si="13"/>
        <v>0</v>
      </c>
      <c r="H793" s="2" t="str">
        <f>VLOOKUP(A793,'MASTER 26 27'!A:B,2,0)</f>
        <v>Not Applicable</v>
      </c>
    </row>
    <row r="794" spans="1:8">
      <c r="A794" s="68" t="s">
        <v>725</v>
      </c>
      <c r="B794" s="73"/>
      <c r="C794" s="73"/>
      <c r="D794" s="73"/>
      <c r="E794" s="73">
        <v>0</v>
      </c>
      <c r="F794" s="42">
        <v>0</v>
      </c>
      <c r="G794" s="42">
        <f t="shared" si="13"/>
        <v>0</v>
      </c>
      <c r="H794" s="2" t="str">
        <f>VLOOKUP(A794,'MASTER 26 27'!A:B,2,0)</f>
        <v>Not Applicable</v>
      </c>
    </row>
    <row r="795" spans="1:8">
      <c r="A795" s="68" t="s">
        <v>696</v>
      </c>
      <c r="B795" s="73">
        <v>-8382528</v>
      </c>
      <c r="C795" s="73"/>
      <c r="D795" s="73"/>
      <c r="E795" s="73">
        <v>-8382528</v>
      </c>
      <c r="F795" s="42">
        <v>0</v>
      </c>
      <c r="G795" s="42">
        <f t="shared" si="13"/>
        <v>-8382528</v>
      </c>
      <c r="H795" s="2" t="str">
        <f>VLOOKUP(A795,'MASTER 26 27'!A:B,2,0)</f>
        <v>Not Applicable</v>
      </c>
    </row>
    <row r="796" spans="1:8">
      <c r="A796" s="68" t="s">
        <v>674</v>
      </c>
      <c r="B796" s="73">
        <v>-2992.51</v>
      </c>
      <c r="C796" s="73"/>
      <c r="D796" s="73"/>
      <c r="E796" s="73">
        <v>-2992.51</v>
      </c>
      <c r="F796" s="42">
        <v>0</v>
      </c>
      <c r="G796" s="42">
        <f t="shared" si="13"/>
        <v>-2992.51</v>
      </c>
      <c r="H796" s="2" t="str">
        <f>VLOOKUP(A796,'MASTER 26 27'!A:B,2,0)</f>
        <v>Not Applicable</v>
      </c>
    </row>
    <row r="797" spans="1:8">
      <c r="A797" s="68" t="s">
        <v>872</v>
      </c>
      <c r="B797" s="73"/>
      <c r="C797" s="73"/>
      <c r="D797" s="73">
        <v>162840</v>
      </c>
      <c r="E797" s="73">
        <v>-162840</v>
      </c>
      <c r="F797" s="42">
        <v>0</v>
      </c>
      <c r="G797" s="42">
        <f t="shared" si="13"/>
        <v>-162840</v>
      </c>
      <c r="H797" s="2" t="str">
        <f>VLOOKUP(A797,'MASTER 26 27'!A:B,2,0)</f>
        <v>Not Applicable</v>
      </c>
    </row>
    <row r="798" spans="1:8">
      <c r="A798" s="68" t="s">
        <v>635</v>
      </c>
      <c r="B798" s="73">
        <v>-315368</v>
      </c>
      <c r="C798" s="73"/>
      <c r="D798" s="73"/>
      <c r="E798" s="73">
        <v>-315368</v>
      </c>
      <c r="F798" s="42">
        <v>0</v>
      </c>
      <c r="G798" s="42">
        <f t="shared" si="13"/>
        <v>-315368</v>
      </c>
      <c r="H798" s="2" t="str">
        <f>VLOOKUP(A798,'MASTER 26 27'!A:B,2,0)</f>
        <v>Not Applicable</v>
      </c>
    </row>
    <row r="799" spans="1:8">
      <c r="A799" s="68" t="s">
        <v>1323</v>
      </c>
      <c r="B799" s="73"/>
      <c r="C799" s="73"/>
      <c r="D799" s="73"/>
      <c r="E799" s="73">
        <v>0</v>
      </c>
      <c r="F799" s="42">
        <v>0</v>
      </c>
      <c r="G799" s="42">
        <f t="shared" si="13"/>
        <v>0</v>
      </c>
      <c r="H799" s="2" t="str">
        <f>VLOOKUP(A799,'MASTER 26 27'!A:B,2,0)</f>
        <v>Not Applicable</v>
      </c>
    </row>
    <row r="800" spans="1:8">
      <c r="A800" s="68" t="s">
        <v>1483</v>
      </c>
      <c r="B800" s="73"/>
      <c r="C800" s="73"/>
      <c r="D800" s="73"/>
      <c r="E800" s="73">
        <v>0</v>
      </c>
      <c r="F800" s="42">
        <v>0</v>
      </c>
      <c r="G800" s="42">
        <f t="shared" si="13"/>
        <v>0</v>
      </c>
      <c r="H800" s="2" t="s">
        <v>84</v>
      </c>
    </row>
    <row r="801" spans="1:8">
      <c r="A801" s="68" t="s">
        <v>1193</v>
      </c>
      <c r="B801" s="73">
        <v>-12980</v>
      </c>
      <c r="C801" s="73"/>
      <c r="D801" s="73"/>
      <c r="E801" s="73">
        <v>-12980</v>
      </c>
      <c r="F801" s="42">
        <v>0</v>
      </c>
      <c r="G801" s="42">
        <f t="shared" si="13"/>
        <v>-12980</v>
      </c>
      <c r="H801" s="2" t="str">
        <f>VLOOKUP(A801,'MASTER 26 27'!A:B,2,0)</f>
        <v>Not Applicable</v>
      </c>
    </row>
    <row r="802" spans="1:8">
      <c r="A802" s="68" t="s">
        <v>1316</v>
      </c>
      <c r="B802" s="73"/>
      <c r="C802" s="73"/>
      <c r="D802" s="73"/>
      <c r="E802" s="73">
        <v>0</v>
      </c>
      <c r="F802" s="42">
        <v>0</v>
      </c>
      <c r="G802" s="42">
        <f t="shared" si="13"/>
        <v>0</v>
      </c>
      <c r="H802" s="2" t="str">
        <f>VLOOKUP(A802,'MASTER 26 27'!A:B,2,0)</f>
        <v>Not Applicable</v>
      </c>
    </row>
    <row r="803" spans="1:8">
      <c r="A803" s="68" t="s">
        <v>610</v>
      </c>
      <c r="B803" s="73">
        <v>-337874.88</v>
      </c>
      <c r="C803" s="73"/>
      <c r="D803" s="73"/>
      <c r="E803" s="73">
        <v>-337874.88</v>
      </c>
      <c r="F803" s="42">
        <v>0</v>
      </c>
      <c r="G803" s="42">
        <f t="shared" si="13"/>
        <v>-337874.88</v>
      </c>
      <c r="H803" s="2" t="str">
        <f>VLOOKUP(A803,'MASTER 26 27'!A:B,2,0)</f>
        <v>Not Applicable</v>
      </c>
    </row>
    <row r="804" spans="1:8">
      <c r="A804" s="68" t="s">
        <v>1145</v>
      </c>
      <c r="B804" s="73">
        <v>-8041519.5300000003</v>
      </c>
      <c r="C804" s="73"/>
      <c r="D804" s="73"/>
      <c r="E804" s="73">
        <v>-8041519.5300000003</v>
      </c>
      <c r="F804" s="42">
        <v>0</v>
      </c>
      <c r="G804" s="42">
        <f t="shared" si="13"/>
        <v>-8041519.5300000003</v>
      </c>
      <c r="H804" s="2" t="str">
        <f>VLOOKUP(A804,'MASTER 26 27'!A:B,2,0)</f>
        <v>Not Applicable</v>
      </c>
    </row>
    <row r="805" spans="1:8">
      <c r="A805" s="68" t="s">
        <v>1484</v>
      </c>
      <c r="B805" s="73"/>
      <c r="C805" s="73"/>
      <c r="D805" s="73"/>
      <c r="E805" s="73">
        <v>0</v>
      </c>
      <c r="F805" s="42">
        <v>0</v>
      </c>
      <c r="G805" s="42">
        <f t="shared" si="13"/>
        <v>0</v>
      </c>
      <c r="H805" s="2" t="s">
        <v>84</v>
      </c>
    </row>
    <row r="806" spans="1:8">
      <c r="A806" s="68" t="s">
        <v>603</v>
      </c>
      <c r="B806" s="73"/>
      <c r="C806" s="73"/>
      <c r="D806" s="73"/>
      <c r="E806" s="73">
        <v>0</v>
      </c>
      <c r="F806" s="42">
        <v>0</v>
      </c>
      <c r="G806" s="42">
        <f t="shared" si="13"/>
        <v>0</v>
      </c>
      <c r="H806" s="2" t="str">
        <f>VLOOKUP(A806,'MASTER 26 27'!A:B,2,0)</f>
        <v>Not Applicable</v>
      </c>
    </row>
    <row r="807" spans="1:8">
      <c r="A807" s="68" t="s">
        <v>601</v>
      </c>
      <c r="B807" s="73"/>
      <c r="C807" s="73"/>
      <c r="D807" s="73"/>
      <c r="E807" s="73">
        <v>0</v>
      </c>
      <c r="F807" s="42">
        <v>0</v>
      </c>
      <c r="G807" s="42">
        <f t="shared" si="13"/>
        <v>0</v>
      </c>
      <c r="H807" s="2" t="str">
        <f>VLOOKUP(A807,'MASTER 26 27'!A:B,2,0)</f>
        <v>Not Applicable</v>
      </c>
    </row>
    <row r="808" spans="1:8">
      <c r="A808" s="68" t="s">
        <v>598</v>
      </c>
      <c r="B808" s="73">
        <v>-3203037.26</v>
      </c>
      <c r="C808" s="73"/>
      <c r="D808" s="73"/>
      <c r="E808" s="73">
        <v>-3203037.26</v>
      </c>
      <c r="F808" s="42">
        <v>0</v>
      </c>
      <c r="G808" s="42">
        <f t="shared" si="13"/>
        <v>-3203037.26</v>
      </c>
      <c r="H808" s="2" t="str">
        <f>VLOOKUP(A808,'MASTER 26 27'!A:B,2,0)</f>
        <v>Not Applicable</v>
      </c>
    </row>
    <row r="809" spans="1:8">
      <c r="A809" s="68" t="s">
        <v>560</v>
      </c>
      <c r="B809" s="73">
        <v>307113.17</v>
      </c>
      <c r="C809" s="73"/>
      <c r="D809" s="73"/>
      <c r="E809" s="73">
        <v>307113.17</v>
      </c>
      <c r="F809" s="42">
        <v>0</v>
      </c>
      <c r="G809" s="42">
        <f t="shared" si="13"/>
        <v>307113.17</v>
      </c>
      <c r="H809" s="2" t="str">
        <f>VLOOKUP(A809,'MASTER 26 27'!A:B,2,0)</f>
        <v>Not Applicable</v>
      </c>
    </row>
    <row r="810" spans="1:8">
      <c r="A810" s="68" t="s">
        <v>1485</v>
      </c>
      <c r="B810" s="73"/>
      <c r="C810" s="73"/>
      <c r="D810" s="73"/>
      <c r="E810" s="73">
        <v>0</v>
      </c>
      <c r="F810" s="42">
        <v>0</v>
      </c>
      <c r="G810" s="42">
        <f t="shared" si="13"/>
        <v>0</v>
      </c>
      <c r="H810" s="2" t="s">
        <v>84</v>
      </c>
    </row>
    <row r="811" spans="1:8">
      <c r="A811" s="69" t="s">
        <v>1499</v>
      </c>
      <c r="B811" s="73"/>
      <c r="C811" s="73"/>
      <c r="D811" s="73"/>
      <c r="E811" s="73">
        <v>0</v>
      </c>
      <c r="F811" s="42">
        <v>0</v>
      </c>
      <c r="G811" s="42">
        <f t="shared" si="13"/>
        <v>0</v>
      </c>
      <c r="H811" s="2" t="s">
        <v>84</v>
      </c>
    </row>
    <row r="812" spans="1:8">
      <c r="A812" s="68" t="s">
        <v>989</v>
      </c>
      <c r="B812" s="73">
        <v>-18071983</v>
      </c>
      <c r="C812" s="73">
        <v>9007983</v>
      </c>
      <c r="D812" s="73"/>
      <c r="E812" s="73">
        <v>-9064000</v>
      </c>
      <c r="F812" s="42">
        <v>0</v>
      </c>
      <c r="G812" s="42">
        <f t="shared" si="13"/>
        <v>-9064000</v>
      </c>
      <c r="H812" s="2" t="str">
        <f>VLOOKUP(A812,'MASTER 26 27'!A:B,2,0)</f>
        <v>Not Applicable</v>
      </c>
    </row>
    <row r="813" spans="1:8">
      <c r="A813" s="68" t="s">
        <v>545</v>
      </c>
      <c r="B813" s="73"/>
      <c r="C813" s="73"/>
      <c r="D813" s="73"/>
      <c r="E813" s="73">
        <v>0</v>
      </c>
      <c r="F813" s="42">
        <v>0</v>
      </c>
      <c r="G813" s="42">
        <f t="shared" si="13"/>
        <v>0</v>
      </c>
      <c r="H813" s="2" t="str">
        <f>VLOOKUP(A813,'MASTER 26 27'!A:B,2,0)</f>
        <v>Not Applicable</v>
      </c>
    </row>
    <row r="814" spans="1:8">
      <c r="A814" s="68" t="s">
        <v>1251</v>
      </c>
      <c r="B814" s="73"/>
      <c r="C814" s="73"/>
      <c r="D814" s="73">
        <v>452412</v>
      </c>
      <c r="E814" s="73">
        <v>-452412</v>
      </c>
      <c r="F814" s="42">
        <v>0</v>
      </c>
      <c r="G814" s="42">
        <f t="shared" si="13"/>
        <v>-452412</v>
      </c>
      <c r="H814" s="2" t="str">
        <f>VLOOKUP(A814,'MASTER 26 27'!A:B,2,0)</f>
        <v>Not Applicable</v>
      </c>
    </row>
    <row r="815" spans="1:8">
      <c r="A815" s="68" t="s">
        <v>1486</v>
      </c>
      <c r="B815" s="73"/>
      <c r="C815" s="73"/>
      <c r="D815" s="73"/>
      <c r="E815" s="73">
        <v>0</v>
      </c>
      <c r="F815" s="42">
        <v>0</v>
      </c>
      <c r="G815" s="42">
        <f t="shared" si="13"/>
        <v>0</v>
      </c>
      <c r="H815" s="2" t="s">
        <v>84</v>
      </c>
    </row>
    <row r="816" spans="1:8">
      <c r="A816" s="68" t="s">
        <v>527</v>
      </c>
      <c r="B816" s="73">
        <v>254743.26</v>
      </c>
      <c r="C816" s="73"/>
      <c r="D816" s="73"/>
      <c r="E816" s="73">
        <v>254743.26</v>
      </c>
      <c r="F816" s="42">
        <v>0</v>
      </c>
      <c r="G816" s="42">
        <f t="shared" si="13"/>
        <v>254743.26</v>
      </c>
      <c r="H816" s="2" t="str">
        <f>VLOOKUP(A816,'MASTER 26 27'!A:B,2,0)</f>
        <v>Not Applicable</v>
      </c>
    </row>
    <row r="817" spans="1:8">
      <c r="A817" s="68" t="s">
        <v>889</v>
      </c>
      <c r="B817" s="73"/>
      <c r="C817" s="73"/>
      <c r="D817" s="73"/>
      <c r="E817" s="73">
        <v>0</v>
      </c>
      <c r="F817" s="42">
        <v>0</v>
      </c>
      <c r="G817" s="42">
        <f t="shared" si="13"/>
        <v>0</v>
      </c>
      <c r="H817" s="2" t="str">
        <f>VLOOKUP(A817,'MASTER 26 27'!A:B,2,0)</f>
        <v>Not Applicable</v>
      </c>
    </row>
    <row r="818" spans="1:8">
      <c r="A818" s="68" t="s">
        <v>516</v>
      </c>
      <c r="B818" s="73">
        <v>-402161.93</v>
      </c>
      <c r="C818" s="73"/>
      <c r="D818" s="73"/>
      <c r="E818" s="73">
        <v>-402161.93</v>
      </c>
      <c r="F818" s="42">
        <v>0</v>
      </c>
      <c r="G818" s="42">
        <f t="shared" si="13"/>
        <v>-402161.93</v>
      </c>
      <c r="H818" s="2" t="str">
        <f>VLOOKUP(A818,'MASTER 26 27'!A:B,2,0)</f>
        <v>Not Applicable</v>
      </c>
    </row>
    <row r="819" spans="1:8">
      <c r="A819" s="68" t="s">
        <v>1487</v>
      </c>
      <c r="B819" s="73">
        <v>-319.79000000000002</v>
      </c>
      <c r="C819" s="73"/>
      <c r="D819" s="73"/>
      <c r="E819" s="73">
        <v>-319.79000000000002</v>
      </c>
      <c r="F819" s="42">
        <v>0</v>
      </c>
      <c r="G819" s="42">
        <f t="shared" si="13"/>
        <v>-319.79000000000002</v>
      </c>
      <c r="H819" s="2" t="s">
        <v>84</v>
      </c>
    </row>
    <row r="820" spans="1:8">
      <c r="A820" s="68" t="s">
        <v>517</v>
      </c>
      <c r="B820" s="73"/>
      <c r="C820" s="73"/>
      <c r="D820" s="73"/>
      <c r="E820" s="73">
        <v>0</v>
      </c>
      <c r="F820" s="42">
        <v>0</v>
      </c>
      <c r="G820" s="42">
        <f t="shared" si="13"/>
        <v>0</v>
      </c>
      <c r="H820" s="2" t="str">
        <f>VLOOKUP(A820,'MASTER 26 27'!A:B,2,0)</f>
        <v>Not Applicable</v>
      </c>
    </row>
    <row r="821" spans="1:8">
      <c r="A821" s="68" t="s">
        <v>1488</v>
      </c>
      <c r="B821" s="73">
        <v>-13781293.02</v>
      </c>
      <c r="C821" s="73"/>
      <c r="D821" s="73">
        <v>8570620.8000000007</v>
      </c>
      <c r="E821" s="73">
        <v>-22351913.82</v>
      </c>
      <c r="F821" s="42">
        <v>0</v>
      </c>
      <c r="G821" s="42">
        <f t="shared" si="13"/>
        <v>-22351913.82</v>
      </c>
      <c r="H821" s="2" t="s">
        <v>84</v>
      </c>
    </row>
    <row r="822" spans="1:8">
      <c r="A822" s="68" t="s">
        <v>1489</v>
      </c>
      <c r="B822" s="73">
        <v>-34477367.549999997</v>
      </c>
      <c r="C822" s="73"/>
      <c r="D822" s="73"/>
      <c r="E822" s="73">
        <v>-34477367.549999997</v>
      </c>
      <c r="F822" s="42">
        <v>0</v>
      </c>
      <c r="G822" s="42">
        <f t="shared" si="13"/>
        <v>-34477367.549999997</v>
      </c>
      <c r="H822" s="2" t="s">
        <v>84</v>
      </c>
    </row>
    <row r="823" spans="1:8">
      <c r="A823" s="68" t="s">
        <v>1067</v>
      </c>
      <c r="B823" s="73">
        <v>-1416</v>
      </c>
      <c r="C823" s="73"/>
      <c r="D823" s="73"/>
      <c r="E823" s="73">
        <v>-1416</v>
      </c>
      <c r="F823" s="42">
        <v>0</v>
      </c>
      <c r="G823" s="42">
        <f t="shared" si="13"/>
        <v>-1416</v>
      </c>
      <c r="H823" s="2" t="str">
        <f>VLOOKUP(A823,'MASTER 26 27'!A:B,2,0)</f>
        <v>Not Applicable</v>
      </c>
    </row>
    <row r="824" spans="1:8">
      <c r="A824" s="68" t="s">
        <v>511</v>
      </c>
      <c r="B824" s="73"/>
      <c r="C824" s="73"/>
      <c r="D824" s="73"/>
      <c r="E824" s="73">
        <v>0</v>
      </c>
      <c r="F824" s="42">
        <v>0</v>
      </c>
      <c r="G824" s="42">
        <f t="shared" si="13"/>
        <v>0</v>
      </c>
      <c r="H824" s="2" t="str">
        <f>VLOOKUP(A824,'MASTER 26 27'!A:B,2,0)</f>
        <v>Not Applicable</v>
      </c>
    </row>
    <row r="825" spans="1:8">
      <c r="A825" s="68" t="s">
        <v>495</v>
      </c>
      <c r="B825" s="73"/>
      <c r="C825" s="73"/>
      <c r="D825" s="73"/>
      <c r="E825" s="73">
        <v>0</v>
      </c>
      <c r="F825" s="42">
        <v>0</v>
      </c>
      <c r="G825" s="42">
        <f t="shared" si="13"/>
        <v>0</v>
      </c>
      <c r="H825" s="2" t="str">
        <f>VLOOKUP(A825,'MASTER 26 27'!A:B,2,0)</f>
        <v>Not Applicable</v>
      </c>
    </row>
    <row r="826" spans="1:8">
      <c r="A826" s="68" t="s">
        <v>461</v>
      </c>
      <c r="B826" s="73"/>
      <c r="C826" s="73"/>
      <c r="D826" s="73"/>
      <c r="E826" s="73">
        <v>0</v>
      </c>
      <c r="F826" s="42">
        <v>0</v>
      </c>
      <c r="G826" s="42">
        <f t="shared" si="13"/>
        <v>0</v>
      </c>
      <c r="H826" s="2" t="str">
        <f>VLOOKUP(A826,'MASTER 26 27'!A:B,2,0)</f>
        <v>Not Applicable</v>
      </c>
    </row>
    <row r="827" spans="1:8">
      <c r="A827" s="68" t="s">
        <v>462</v>
      </c>
      <c r="B827" s="73">
        <v>-6019955.2800000003</v>
      </c>
      <c r="C827" s="73">
        <v>3630540.82</v>
      </c>
      <c r="D827" s="73">
        <v>3630540.82</v>
      </c>
      <c r="E827" s="73">
        <v>-6019955.2800000003</v>
      </c>
      <c r="F827" s="42">
        <v>0</v>
      </c>
      <c r="G827" s="42">
        <f t="shared" si="13"/>
        <v>-6019955.2800000003</v>
      </c>
      <c r="H827" s="2" t="str">
        <f>VLOOKUP(A827,'MASTER 26 27'!A:B,2,0)</f>
        <v>Not Applicable</v>
      </c>
    </row>
    <row r="828" spans="1:8">
      <c r="A828" s="68" t="s">
        <v>463</v>
      </c>
      <c r="B828" s="73">
        <v>-7275146.4500000002</v>
      </c>
      <c r="C828" s="73">
        <v>4636359</v>
      </c>
      <c r="D828" s="73"/>
      <c r="E828" s="73">
        <v>-2638787.4500000002</v>
      </c>
      <c r="F828" s="42">
        <v>0</v>
      </c>
      <c r="G828" s="42">
        <f t="shared" si="13"/>
        <v>-2638787.4500000002</v>
      </c>
      <c r="H828" s="2" t="str">
        <f>VLOOKUP(A828,'MASTER 26 27'!A:B,2,0)</f>
        <v>Not Applicable</v>
      </c>
    </row>
    <row r="829" spans="1:8">
      <c r="A829" s="68" t="s">
        <v>457</v>
      </c>
      <c r="B829" s="73"/>
      <c r="C829" s="73"/>
      <c r="D829" s="73"/>
      <c r="E829" s="73">
        <v>0</v>
      </c>
      <c r="F829" s="42">
        <v>0</v>
      </c>
      <c r="G829" s="42">
        <f t="shared" si="13"/>
        <v>0</v>
      </c>
      <c r="H829" s="2" t="str">
        <f>VLOOKUP(A829,'MASTER 26 27'!A:B,2,0)</f>
        <v>Not Applicable</v>
      </c>
    </row>
    <row r="830" spans="1:8">
      <c r="A830" s="68" t="s">
        <v>1490</v>
      </c>
      <c r="B830" s="73"/>
      <c r="C830" s="73"/>
      <c r="D830" s="73"/>
      <c r="E830" s="73">
        <v>0</v>
      </c>
      <c r="F830" s="42">
        <v>0</v>
      </c>
      <c r="G830" s="42">
        <f t="shared" si="13"/>
        <v>0</v>
      </c>
      <c r="H830" s="2" t="s">
        <v>84</v>
      </c>
    </row>
    <row r="831" spans="1:8">
      <c r="A831" s="68" t="s">
        <v>419</v>
      </c>
      <c r="B831" s="73">
        <v>4951811.6100000003</v>
      </c>
      <c r="C831" s="73">
        <v>407650</v>
      </c>
      <c r="D831" s="73">
        <v>497853</v>
      </c>
      <c r="E831" s="73">
        <v>4861608.6100000003</v>
      </c>
      <c r="F831" s="42">
        <v>0</v>
      </c>
      <c r="G831" s="42">
        <f t="shared" si="13"/>
        <v>4861608.6100000003</v>
      </c>
      <c r="H831" s="2" t="str">
        <f>VLOOKUP(A831,'MASTER 26 27'!A:B,2,0)</f>
        <v>Not Applicable</v>
      </c>
    </row>
    <row r="832" spans="1:8">
      <c r="A832" s="68" t="s">
        <v>1491</v>
      </c>
      <c r="B832" s="73"/>
      <c r="C832" s="73"/>
      <c r="D832" s="73"/>
      <c r="E832" s="73">
        <v>0</v>
      </c>
      <c r="F832" s="42">
        <v>0</v>
      </c>
      <c r="G832" s="42">
        <f t="shared" si="13"/>
        <v>0</v>
      </c>
      <c r="H832" s="2" t="s">
        <v>84</v>
      </c>
    </row>
    <row r="833" spans="1:8">
      <c r="A833" s="68" t="s">
        <v>1195</v>
      </c>
      <c r="B833" s="73">
        <v>-1176259</v>
      </c>
      <c r="C833" s="73"/>
      <c r="D833" s="73"/>
      <c r="E833" s="73">
        <v>-1176259</v>
      </c>
      <c r="F833" s="42">
        <v>0</v>
      </c>
      <c r="G833" s="42">
        <f t="shared" si="13"/>
        <v>-1176259</v>
      </c>
      <c r="H833" s="2" t="str">
        <f>VLOOKUP(A833,'MASTER 26 27'!A:B,2,0)</f>
        <v>Not Applicable</v>
      </c>
    </row>
    <row r="834" spans="1:8">
      <c r="A834" s="68" t="s">
        <v>1492</v>
      </c>
      <c r="B834" s="73"/>
      <c r="C834" s="73"/>
      <c r="D834" s="73"/>
      <c r="E834" s="73">
        <v>0</v>
      </c>
      <c r="F834" s="42">
        <v>0</v>
      </c>
      <c r="G834" s="42">
        <f t="shared" si="13"/>
        <v>0</v>
      </c>
      <c r="H834" s="2" t="s">
        <v>84</v>
      </c>
    </row>
    <row r="835" spans="1:8">
      <c r="A835" s="68" t="s">
        <v>411</v>
      </c>
      <c r="B835" s="73">
        <v>-84959.8</v>
      </c>
      <c r="C835" s="73"/>
      <c r="D835" s="73"/>
      <c r="E835" s="73">
        <v>-84959.8</v>
      </c>
      <c r="F835" s="42">
        <v>0</v>
      </c>
      <c r="G835" s="42">
        <f t="shared" si="13"/>
        <v>-84959.8</v>
      </c>
      <c r="H835" s="2" t="str">
        <f>VLOOKUP(A835,'MASTER 26 27'!A:B,2,0)</f>
        <v>Not Applicable</v>
      </c>
    </row>
    <row r="836" spans="1:8">
      <c r="A836" s="68" t="s">
        <v>1090</v>
      </c>
      <c r="B836" s="73">
        <v>-9169591.1999999993</v>
      </c>
      <c r="C836" s="73"/>
      <c r="D836" s="73"/>
      <c r="E836" s="73">
        <v>-9169591.1999999993</v>
      </c>
      <c r="F836" s="42">
        <v>0</v>
      </c>
      <c r="G836" s="42">
        <f t="shared" si="13"/>
        <v>-9169591.1999999993</v>
      </c>
      <c r="H836" s="2" t="str">
        <f>VLOOKUP(A836,'MASTER 26 27'!A:B,2,0)</f>
        <v>Not Applicable</v>
      </c>
    </row>
    <row r="837" spans="1:8">
      <c r="A837" s="68" t="s">
        <v>394</v>
      </c>
      <c r="B837" s="73">
        <v>-613943.67000000004</v>
      </c>
      <c r="C837" s="73"/>
      <c r="D837" s="73"/>
      <c r="E837" s="73">
        <v>-613943.67000000004</v>
      </c>
      <c r="F837" s="42">
        <v>0</v>
      </c>
      <c r="G837" s="42">
        <f t="shared" si="13"/>
        <v>-613943.67000000004</v>
      </c>
      <c r="H837" s="2" t="str">
        <f>VLOOKUP(A837,'MASTER 26 27'!A:B,2,0)</f>
        <v>Not Applicable</v>
      </c>
    </row>
    <row r="838" spans="1:8">
      <c r="A838" s="68" t="s">
        <v>1000</v>
      </c>
      <c r="B838" s="73">
        <v>-2069133.4</v>
      </c>
      <c r="C838" s="73"/>
      <c r="D838" s="73"/>
      <c r="E838" s="73">
        <v>-2069133.4</v>
      </c>
      <c r="F838" s="42">
        <v>0</v>
      </c>
      <c r="G838" s="42">
        <f t="shared" si="13"/>
        <v>-2069133.4</v>
      </c>
      <c r="H838" s="2" t="str">
        <f>VLOOKUP(A838,'MASTER 26 27'!A:B,2,0)</f>
        <v>Not Applicable</v>
      </c>
    </row>
    <row r="839" spans="1:8">
      <c r="A839" s="68" t="s">
        <v>1298</v>
      </c>
      <c r="B839" s="73">
        <v>-2298522</v>
      </c>
      <c r="C839" s="73"/>
      <c r="D839" s="73">
        <v>2963910</v>
      </c>
      <c r="E839" s="73">
        <v>-5262432</v>
      </c>
      <c r="F839" s="42">
        <v>0</v>
      </c>
      <c r="G839" s="42">
        <f t="shared" ref="G839:G902" si="14">+E839+F839</f>
        <v>-5262432</v>
      </c>
      <c r="H839" s="2" t="str">
        <f>VLOOKUP(A839,'MASTER 26 27'!A:B,2,0)</f>
        <v>Not Applicable</v>
      </c>
    </row>
    <row r="840" spans="1:8">
      <c r="A840" s="68" t="s">
        <v>390</v>
      </c>
      <c r="B840" s="73">
        <v>640875.06000000006</v>
      </c>
      <c r="C840" s="73"/>
      <c r="D840" s="73"/>
      <c r="E840" s="73">
        <v>640875.06000000006</v>
      </c>
      <c r="F840" s="42">
        <v>0</v>
      </c>
      <c r="G840" s="42">
        <f t="shared" si="14"/>
        <v>640875.06000000006</v>
      </c>
      <c r="H840" s="2" t="str">
        <f>VLOOKUP(A840,'MASTER 26 27'!A:B,2,0)</f>
        <v>Not Applicable</v>
      </c>
    </row>
    <row r="841" spans="1:8">
      <c r="A841" s="68" t="s">
        <v>385</v>
      </c>
      <c r="B841" s="73"/>
      <c r="C841" s="73"/>
      <c r="D841" s="73"/>
      <c r="E841" s="73">
        <v>0</v>
      </c>
      <c r="F841" s="42">
        <v>0</v>
      </c>
      <c r="G841" s="42">
        <f t="shared" si="14"/>
        <v>0</v>
      </c>
      <c r="H841" s="2" t="str">
        <f>VLOOKUP(A841,'MASTER 26 27'!A:B,2,0)</f>
        <v>Not Applicable</v>
      </c>
    </row>
    <row r="842" spans="1:8">
      <c r="A842" s="68" t="s">
        <v>380</v>
      </c>
      <c r="B842" s="73">
        <v>2691.2</v>
      </c>
      <c r="C842" s="73"/>
      <c r="D842" s="73"/>
      <c r="E842" s="73">
        <v>2691.2</v>
      </c>
      <c r="F842" s="42">
        <v>0</v>
      </c>
      <c r="G842" s="42">
        <f t="shared" si="14"/>
        <v>2691.2</v>
      </c>
      <c r="H842" s="2" t="str">
        <f>VLOOKUP(A842,'MASTER 26 27'!A:B,2,0)</f>
        <v>Not Applicable</v>
      </c>
    </row>
    <row r="843" spans="1:8">
      <c r="A843" s="68" t="s">
        <v>381</v>
      </c>
      <c r="B843" s="73"/>
      <c r="C843" s="73"/>
      <c r="D843" s="73"/>
      <c r="E843" s="73">
        <v>0</v>
      </c>
      <c r="F843" s="42">
        <v>0</v>
      </c>
      <c r="G843" s="42">
        <f t="shared" si="14"/>
        <v>0</v>
      </c>
      <c r="H843" s="2" t="str">
        <f>VLOOKUP(A843,'MASTER 26 27'!A:B,2,0)</f>
        <v>Not Applicable</v>
      </c>
    </row>
    <row r="844" spans="1:8">
      <c r="A844" s="68" t="s">
        <v>368</v>
      </c>
      <c r="B844" s="73"/>
      <c r="C844" s="73"/>
      <c r="D844" s="73"/>
      <c r="E844" s="73">
        <v>0</v>
      </c>
      <c r="F844" s="42">
        <v>0</v>
      </c>
      <c r="G844" s="42">
        <f t="shared" si="14"/>
        <v>0</v>
      </c>
      <c r="H844" s="2" t="str">
        <f>VLOOKUP(A844,'MASTER 26 27'!A:B,2,0)</f>
        <v>Not Applicable</v>
      </c>
    </row>
    <row r="845" spans="1:8">
      <c r="A845" s="68" t="s">
        <v>958</v>
      </c>
      <c r="B845" s="73">
        <v>-49605.599999999999</v>
      </c>
      <c r="C845" s="73"/>
      <c r="D845" s="73"/>
      <c r="E845" s="73">
        <v>-49605.599999999999</v>
      </c>
      <c r="F845" s="42">
        <v>0</v>
      </c>
      <c r="G845" s="42">
        <f t="shared" si="14"/>
        <v>-49605.599999999999</v>
      </c>
      <c r="H845" s="2" t="str">
        <f>VLOOKUP(A845,'MASTER 26 27'!A:B,2,0)</f>
        <v>Not Applicable</v>
      </c>
    </row>
    <row r="846" spans="1:8">
      <c r="A846" s="68" t="s">
        <v>1196</v>
      </c>
      <c r="B846" s="73">
        <v>-2328998.4</v>
      </c>
      <c r="C846" s="73"/>
      <c r="D846" s="73"/>
      <c r="E846" s="73">
        <v>-2328998.4</v>
      </c>
      <c r="F846" s="42">
        <v>0</v>
      </c>
      <c r="G846" s="42">
        <f t="shared" si="14"/>
        <v>-2328998.4</v>
      </c>
      <c r="H846" s="2" t="str">
        <f>VLOOKUP(A846,'MASTER 26 27'!A:B,2,0)</f>
        <v>Not Applicable</v>
      </c>
    </row>
    <row r="847" spans="1:8">
      <c r="A847" s="68" t="s">
        <v>739</v>
      </c>
      <c r="B847" s="73"/>
      <c r="C847" s="73"/>
      <c r="D847" s="73"/>
      <c r="E847" s="73">
        <v>0</v>
      </c>
      <c r="F847" s="42">
        <v>0</v>
      </c>
      <c r="G847" s="42">
        <f t="shared" si="14"/>
        <v>0</v>
      </c>
      <c r="H847" s="2" t="str">
        <f>VLOOKUP(A847,'MASTER 26 27'!A:B,2,0)</f>
        <v>Not Applicable</v>
      </c>
    </row>
    <row r="848" spans="1:8">
      <c r="A848" s="68" t="s">
        <v>931</v>
      </c>
      <c r="B848" s="73"/>
      <c r="C848" s="73">
        <v>15050</v>
      </c>
      <c r="D848" s="73">
        <v>15050</v>
      </c>
      <c r="E848" s="73">
        <v>0</v>
      </c>
      <c r="F848" s="42">
        <v>0</v>
      </c>
      <c r="G848" s="42">
        <f t="shared" si="14"/>
        <v>0</v>
      </c>
      <c r="H848" s="2" t="str">
        <f>VLOOKUP(A848,'MASTER 26 27'!A:B,2,0)</f>
        <v>Not Applicable</v>
      </c>
    </row>
    <row r="849" spans="1:8">
      <c r="A849" s="68" t="s">
        <v>735</v>
      </c>
      <c r="B849" s="73">
        <v>39444.199999999997</v>
      </c>
      <c r="C849" s="73"/>
      <c r="D849" s="73"/>
      <c r="E849" s="73">
        <v>39444.199999999997</v>
      </c>
      <c r="F849" s="42">
        <v>0</v>
      </c>
      <c r="G849" s="42">
        <f t="shared" si="14"/>
        <v>39444.199999999997</v>
      </c>
      <c r="H849" s="2" t="str">
        <f>VLOOKUP(A849,'MASTER 26 27'!A:B,2,0)</f>
        <v>Not Applicable</v>
      </c>
    </row>
    <row r="850" spans="1:8">
      <c r="A850" s="68" t="s">
        <v>732</v>
      </c>
      <c r="B850" s="73"/>
      <c r="C850" s="73"/>
      <c r="D850" s="73"/>
      <c r="E850" s="73">
        <v>0</v>
      </c>
      <c r="F850" s="42">
        <v>0</v>
      </c>
      <c r="G850" s="42">
        <f t="shared" si="14"/>
        <v>0</v>
      </c>
      <c r="H850" s="2" t="str">
        <f>VLOOKUP(A850,'MASTER 26 27'!A:B,2,0)</f>
        <v>Not Applicable</v>
      </c>
    </row>
    <row r="851" spans="1:8">
      <c r="A851" s="68" t="s">
        <v>858</v>
      </c>
      <c r="B851" s="73"/>
      <c r="C851" s="73"/>
      <c r="D851" s="73"/>
      <c r="E851" s="73">
        <v>0</v>
      </c>
      <c r="F851" s="42">
        <v>0</v>
      </c>
      <c r="G851" s="42">
        <f t="shared" si="14"/>
        <v>0</v>
      </c>
      <c r="H851" s="2" t="str">
        <f>VLOOKUP(A851,'MASTER 26 27'!A:B,2,0)</f>
        <v>Not Applicable</v>
      </c>
    </row>
    <row r="852" spans="1:8">
      <c r="A852" s="68" t="s">
        <v>882</v>
      </c>
      <c r="B852" s="73"/>
      <c r="C852" s="73">
        <v>16504</v>
      </c>
      <c r="D852" s="73">
        <v>22097</v>
      </c>
      <c r="E852" s="73">
        <v>-5593</v>
      </c>
      <c r="F852" s="42">
        <v>0</v>
      </c>
      <c r="G852" s="42">
        <f t="shared" si="14"/>
        <v>-5593</v>
      </c>
      <c r="H852" s="2" t="str">
        <f>VLOOKUP(A852,'MASTER 26 27'!A:B,2,0)</f>
        <v>Not Applicable</v>
      </c>
    </row>
    <row r="853" spans="1:8">
      <c r="A853" s="68" t="s">
        <v>718</v>
      </c>
      <c r="B853" s="73">
        <v>-288118</v>
      </c>
      <c r="C853" s="73">
        <v>229552</v>
      </c>
      <c r="D853" s="73"/>
      <c r="E853" s="73">
        <v>-58566</v>
      </c>
      <c r="F853" s="42">
        <v>0</v>
      </c>
      <c r="G853" s="42">
        <f t="shared" si="14"/>
        <v>-58566</v>
      </c>
      <c r="H853" s="2" t="str">
        <f>VLOOKUP(A853,'MASTER 26 27'!A:B,2,0)</f>
        <v>Not Applicable</v>
      </c>
    </row>
    <row r="854" spans="1:8">
      <c r="A854" s="68" t="s">
        <v>721</v>
      </c>
      <c r="B854" s="73">
        <v>-4138</v>
      </c>
      <c r="C854" s="73"/>
      <c r="D854" s="73"/>
      <c r="E854" s="73">
        <v>-4138</v>
      </c>
      <c r="F854" s="42">
        <v>0</v>
      </c>
      <c r="G854" s="42">
        <f t="shared" si="14"/>
        <v>-4138</v>
      </c>
      <c r="H854" s="2" t="str">
        <f>VLOOKUP(A854,'MASTER 26 27'!A:B,2,0)</f>
        <v>Not Applicable</v>
      </c>
    </row>
    <row r="855" spans="1:8">
      <c r="A855" s="68" t="s">
        <v>1105</v>
      </c>
      <c r="B855" s="73">
        <v>-60</v>
      </c>
      <c r="C855" s="73"/>
      <c r="D855" s="73"/>
      <c r="E855" s="73">
        <v>-60</v>
      </c>
      <c r="F855" s="42">
        <v>0</v>
      </c>
      <c r="G855" s="42">
        <f t="shared" si="14"/>
        <v>-60</v>
      </c>
      <c r="H855" s="2" t="str">
        <f>VLOOKUP(A855,'MASTER 26 27'!A:B,2,0)</f>
        <v>Not Applicable</v>
      </c>
    </row>
    <row r="856" spans="1:8">
      <c r="A856" s="68" t="s">
        <v>705</v>
      </c>
      <c r="B856" s="73">
        <v>-1501466</v>
      </c>
      <c r="C856" s="73">
        <v>1680343</v>
      </c>
      <c r="D856" s="73"/>
      <c r="E856" s="73">
        <v>178877</v>
      </c>
      <c r="F856" s="42">
        <v>0</v>
      </c>
      <c r="G856" s="42">
        <f t="shared" si="14"/>
        <v>178877</v>
      </c>
      <c r="H856" s="2" t="str">
        <f>VLOOKUP(A856,'MASTER 26 27'!A:B,2,0)</f>
        <v>Not Applicable</v>
      </c>
    </row>
    <row r="857" spans="1:8">
      <c r="A857" s="68" t="s">
        <v>1103</v>
      </c>
      <c r="B857" s="73">
        <v>6</v>
      </c>
      <c r="C857" s="73"/>
      <c r="D857" s="73"/>
      <c r="E857" s="73">
        <v>6</v>
      </c>
      <c r="F857" s="42">
        <v>0</v>
      </c>
      <c r="G857" s="42">
        <f t="shared" si="14"/>
        <v>6</v>
      </c>
      <c r="H857" s="2" t="str">
        <f>VLOOKUP(A857,'MASTER 26 27'!A:B,2,0)</f>
        <v>Not Applicable</v>
      </c>
    </row>
    <row r="858" spans="1:8">
      <c r="A858" s="68" t="s">
        <v>1299</v>
      </c>
      <c r="B858" s="73">
        <v>-109594</v>
      </c>
      <c r="C858" s="73">
        <v>149594</v>
      </c>
      <c r="D858" s="73"/>
      <c r="E858" s="73">
        <v>40000</v>
      </c>
      <c r="F858" s="42">
        <v>0</v>
      </c>
      <c r="G858" s="42">
        <f t="shared" si="14"/>
        <v>40000</v>
      </c>
      <c r="H858" s="2" t="str">
        <f>VLOOKUP(A858,'MASTER 26 27'!A:B,2,0)</f>
        <v>Not Applicable</v>
      </c>
    </row>
    <row r="859" spans="1:8">
      <c r="A859" s="68" t="s">
        <v>683</v>
      </c>
      <c r="B859" s="73">
        <v>99999.5</v>
      </c>
      <c r="C859" s="73"/>
      <c r="D859" s="73"/>
      <c r="E859" s="73">
        <v>99999.5</v>
      </c>
      <c r="F859" s="42">
        <v>0</v>
      </c>
      <c r="G859" s="42">
        <f t="shared" si="14"/>
        <v>99999.5</v>
      </c>
      <c r="H859" s="2" t="str">
        <f>VLOOKUP(A859,'MASTER 26 27'!A:B,2,0)</f>
        <v>Not Applicable</v>
      </c>
    </row>
    <row r="860" spans="1:8">
      <c r="A860" s="68" t="s">
        <v>688</v>
      </c>
      <c r="B860" s="73">
        <v>112</v>
      </c>
      <c r="C860" s="73"/>
      <c r="D860" s="73"/>
      <c r="E860" s="73">
        <v>112</v>
      </c>
      <c r="F860" s="42">
        <v>0</v>
      </c>
      <c r="G860" s="42">
        <f t="shared" si="14"/>
        <v>112</v>
      </c>
      <c r="H860" s="2" t="str">
        <f>VLOOKUP(A860,'MASTER 26 27'!A:B,2,0)</f>
        <v>Not Applicable</v>
      </c>
    </row>
    <row r="861" spans="1:8">
      <c r="A861" s="68" t="s">
        <v>1377</v>
      </c>
      <c r="B861" s="73">
        <v>13000</v>
      </c>
      <c r="C861" s="73"/>
      <c r="D861" s="73"/>
      <c r="E861" s="73">
        <v>13000</v>
      </c>
      <c r="F861" s="42">
        <v>0</v>
      </c>
      <c r="G861" s="42">
        <f t="shared" si="14"/>
        <v>13000</v>
      </c>
      <c r="H861" s="2" t="str">
        <f>VLOOKUP(A861,'MASTER 26 27'!A:B,2,0)</f>
        <v>Not Applicable</v>
      </c>
    </row>
    <row r="862" spans="1:8">
      <c r="A862" s="68" t="s">
        <v>1493</v>
      </c>
      <c r="B862" s="73"/>
      <c r="C862" s="73"/>
      <c r="D862" s="73"/>
      <c r="E862" s="73">
        <v>0</v>
      </c>
      <c r="F862" s="42">
        <v>0</v>
      </c>
      <c r="G862" s="42">
        <f t="shared" si="14"/>
        <v>0</v>
      </c>
      <c r="H862" s="2" t="s">
        <v>84</v>
      </c>
    </row>
    <row r="863" spans="1:8">
      <c r="A863" s="68" t="s">
        <v>965</v>
      </c>
      <c r="B863" s="73"/>
      <c r="C863" s="73"/>
      <c r="D863" s="73">
        <v>1362024</v>
      </c>
      <c r="E863" s="73">
        <v>-1362024</v>
      </c>
      <c r="F863" s="42">
        <v>0</v>
      </c>
      <c r="G863" s="42">
        <f t="shared" si="14"/>
        <v>-1362024</v>
      </c>
      <c r="H863" s="2" t="str">
        <f>VLOOKUP(A863,'MASTER 26 27'!A:B,2,0)</f>
        <v>Not Applicable</v>
      </c>
    </row>
    <row r="864" spans="1:8">
      <c r="A864" s="68" t="s">
        <v>665</v>
      </c>
      <c r="B864" s="73">
        <v>-3048</v>
      </c>
      <c r="C864" s="73">
        <v>2900</v>
      </c>
      <c r="D864" s="73"/>
      <c r="E864" s="73">
        <v>-148</v>
      </c>
      <c r="F864" s="42">
        <v>0</v>
      </c>
      <c r="G864" s="42">
        <f t="shared" si="14"/>
        <v>-148</v>
      </c>
      <c r="H864" s="2" t="str">
        <f>VLOOKUP(A864,'MASTER 26 27'!A:B,2,0)</f>
        <v>Not Applicable</v>
      </c>
    </row>
    <row r="865" spans="1:8">
      <c r="A865" s="68" t="s">
        <v>663</v>
      </c>
      <c r="B865" s="73">
        <v>-601783.02</v>
      </c>
      <c r="C865" s="73">
        <v>528264</v>
      </c>
      <c r="D865" s="73"/>
      <c r="E865" s="73">
        <v>-73519.02</v>
      </c>
      <c r="F865" s="42">
        <v>0</v>
      </c>
      <c r="G865" s="42">
        <f t="shared" si="14"/>
        <v>-73519.02</v>
      </c>
      <c r="H865" s="2" t="str">
        <f>VLOOKUP(A865,'MASTER 26 27'!A:B,2,0)</f>
        <v>Not Applicable</v>
      </c>
    </row>
    <row r="866" spans="1:8">
      <c r="A866" s="68" t="s">
        <v>649</v>
      </c>
      <c r="B866" s="73"/>
      <c r="C866" s="73"/>
      <c r="D866" s="73"/>
      <c r="E866" s="73">
        <v>0</v>
      </c>
      <c r="F866" s="42">
        <v>0</v>
      </c>
      <c r="G866" s="42">
        <f t="shared" si="14"/>
        <v>0</v>
      </c>
      <c r="H866" s="2" t="str">
        <f>VLOOKUP(A866,'MASTER 26 27'!A:B,2,0)</f>
        <v>Not Applicable</v>
      </c>
    </row>
    <row r="867" spans="1:8">
      <c r="A867" s="68" t="s">
        <v>879</v>
      </c>
      <c r="B867" s="73"/>
      <c r="C867" s="73">
        <v>10000</v>
      </c>
      <c r="D867" s="73">
        <v>10000</v>
      </c>
      <c r="E867" s="73">
        <v>0</v>
      </c>
      <c r="F867" s="42">
        <v>0</v>
      </c>
      <c r="G867" s="42">
        <f t="shared" si="14"/>
        <v>0</v>
      </c>
      <c r="H867" s="2" t="str">
        <f>VLOOKUP(A867,'MASTER 26 27'!A:B,2,0)</f>
        <v>Not Applicable</v>
      </c>
    </row>
    <row r="868" spans="1:8">
      <c r="A868" s="68" t="s">
        <v>654</v>
      </c>
      <c r="B868" s="73">
        <v>-15911</v>
      </c>
      <c r="C868" s="73">
        <v>13162</v>
      </c>
      <c r="D868" s="73"/>
      <c r="E868" s="73">
        <v>-2749</v>
      </c>
      <c r="F868" s="42">
        <v>0</v>
      </c>
      <c r="G868" s="42">
        <f t="shared" si="14"/>
        <v>-2749</v>
      </c>
      <c r="H868" s="2" t="str">
        <f>VLOOKUP(A868,'MASTER 26 27'!A:B,2,0)</f>
        <v>Not Applicable</v>
      </c>
    </row>
    <row r="869" spans="1:8">
      <c r="A869" s="68" t="s">
        <v>991</v>
      </c>
      <c r="B869" s="73"/>
      <c r="C869" s="73">
        <v>210083</v>
      </c>
      <c r="D869" s="73">
        <v>210083</v>
      </c>
      <c r="E869" s="73">
        <v>0</v>
      </c>
      <c r="F869" s="42">
        <v>0</v>
      </c>
      <c r="G869" s="42">
        <f t="shared" si="14"/>
        <v>0</v>
      </c>
      <c r="H869" s="2" t="str">
        <f>VLOOKUP(A869,'MASTER 26 27'!A:B,2,0)</f>
        <v>Not Applicable</v>
      </c>
    </row>
    <row r="870" spans="1:8">
      <c r="A870" s="68" t="s">
        <v>1344</v>
      </c>
      <c r="B870" s="73"/>
      <c r="C870" s="73">
        <v>8291</v>
      </c>
      <c r="D870" s="73">
        <v>439086</v>
      </c>
      <c r="E870" s="73">
        <v>-430795</v>
      </c>
      <c r="F870" s="42">
        <v>0</v>
      </c>
      <c r="G870" s="42">
        <f t="shared" si="14"/>
        <v>-430795</v>
      </c>
      <c r="H870" s="2" t="str">
        <f>VLOOKUP(A870,'MASTER 26 27'!A:B,2,0)</f>
        <v>Not Applicable</v>
      </c>
    </row>
    <row r="871" spans="1:8">
      <c r="A871" s="68" t="s">
        <v>645</v>
      </c>
      <c r="B871" s="73"/>
      <c r="C871" s="73"/>
      <c r="D871" s="73"/>
      <c r="E871" s="73">
        <v>0</v>
      </c>
      <c r="F871" s="42">
        <v>0</v>
      </c>
      <c r="G871" s="42">
        <f t="shared" si="14"/>
        <v>0</v>
      </c>
      <c r="H871" s="2" t="str">
        <f>VLOOKUP(A871,'MASTER 26 27'!A:B,2,0)</f>
        <v>Not Applicable</v>
      </c>
    </row>
    <row r="872" spans="1:8">
      <c r="A872" s="68" t="s">
        <v>631</v>
      </c>
      <c r="B872" s="73">
        <v>-34749</v>
      </c>
      <c r="C872" s="73">
        <v>40249</v>
      </c>
      <c r="D872" s="73">
        <v>5500</v>
      </c>
      <c r="E872" s="73">
        <v>0</v>
      </c>
      <c r="F872" s="42">
        <v>0</v>
      </c>
      <c r="G872" s="42">
        <f t="shared" si="14"/>
        <v>0</v>
      </c>
      <c r="H872" s="2" t="str">
        <f>VLOOKUP(A872,'MASTER 26 27'!A:B,2,0)</f>
        <v>Not Applicable</v>
      </c>
    </row>
    <row r="873" spans="1:8">
      <c r="A873" s="68" t="s">
        <v>1379</v>
      </c>
      <c r="B873" s="73">
        <v>415</v>
      </c>
      <c r="C873" s="73">
        <v>24054</v>
      </c>
      <c r="D873" s="73">
        <v>24469</v>
      </c>
      <c r="E873" s="73">
        <v>0</v>
      </c>
      <c r="F873" s="42">
        <v>0</v>
      </c>
      <c r="G873" s="42">
        <f t="shared" si="14"/>
        <v>0</v>
      </c>
      <c r="H873" s="2" t="str">
        <f>VLOOKUP(A873,'MASTER 26 27'!A:B,2,0)</f>
        <v>Not Applicable</v>
      </c>
    </row>
    <row r="874" spans="1:8">
      <c r="A874" s="68" t="s">
        <v>964</v>
      </c>
      <c r="B874" s="73">
        <v>-53820</v>
      </c>
      <c r="C874" s="73">
        <v>53820</v>
      </c>
      <c r="D874" s="73"/>
      <c r="E874" s="73">
        <v>0</v>
      </c>
      <c r="F874" s="42">
        <v>0</v>
      </c>
      <c r="G874" s="42">
        <f t="shared" si="14"/>
        <v>0</v>
      </c>
      <c r="H874" s="2" t="str">
        <f>VLOOKUP(A874,'MASTER 26 27'!A:B,2,0)</f>
        <v>Not Applicable</v>
      </c>
    </row>
    <row r="875" spans="1:8">
      <c r="A875" s="68" t="s">
        <v>622</v>
      </c>
      <c r="B875" s="73"/>
      <c r="C875" s="73"/>
      <c r="D875" s="73"/>
      <c r="E875" s="73">
        <v>0</v>
      </c>
      <c r="F875" s="42">
        <v>0</v>
      </c>
      <c r="G875" s="42">
        <f t="shared" si="14"/>
        <v>0</v>
      </c>
      <c r="H875" s="2" t="str">
        <f>VLOOKUP(A875,'MASTER 26 27'!A:B,2,0)</f>
        <v>Not Applicable</v>
      </c>
    </row>
    <row r="876" spans="1:8">
      <c r="A876" s="68" t="s">
        <v>618</v>
      </c>
      <c r="B876" s="73">
        <v>-5547</v>
      </c>
      <c r="C876" s="73"/>
      <c r="D876" s="73"/>
      <c r="E876" s="73">
        <v>-5547</v>
      </c>
      <c r="F876" s="42">
        <v>0</v>
      </c>
      <c r="G876" s="42">
        <f t="shared" si="14"/>
        <v>-5547</v>
      </c>
      <c r="H876" s="2" t="str">
        <f>VLOOKUP(A876,'MASTER 26 27'!A:B,2,0)</f>
        <v>Not Applicable</v>
      </c>
    </row>
    <row r="877" spans="1:8">
      <c r="A877" s="68" t="s">
        <v>1019</v>
      </c>
      <c r="B877" s="73">
        <v>19470</v>
      </c>
      <c r="C877" s="73"/>
      <c r="D877" s="73"/>
      <c r="E877" s="73">
        <v>19470</v>
      </c>
      <c r="F877" s="42">
        <v>0</v>
      </c>
      <c r="G877" s="42">
        <f t="shared" si="14"/>
        <v>19470</v>
      </c>
      <c r="H877" s="2" t="str">
        <f>VLOOKUP(A877,'MASTER 26 27'!A:B,2,0)</f>
        <v>Not Applicable</v>
      </c>
    </row>
    <row r="878" spans="1:8">
      <c r="A878" s="68" t="s">
        <v>615</v>
      </c>
      <c r="B878" s="73"/>
      <c r="C878" s="73">
        <v>3500</v>
      </c>
      <c r="D878" s="73">
        <v>3500</v>
      </c>
      <c r="E878" s="73">
        <v>0</v>
      </c>
      <c r="F878" s="42">
        <v>0</v>
      </c>
      <c r="G878" s="42">
        <f t="shared" si="14"/>
        <v>0</v>
      </c>
      <c r="H878" s="2" t="str">
        <f>VLOOKUP(A878,'MASTER 26 27'!A:B,2,0)</f>
        <v>Not Applicable</v>
      </c>
    </row>
    <row r="879" spans="1:8">
      <c r="A879" s="68" t="s">
        <v>941</v>
      </c>
      <c r="B879" s="73">
        <v>0.01</v>
      </c>
      <c r="C879" s="73"/>
      <c r="D879" s="73"/>
      <c r="E879" s="73">
        <v>0.01</v>
      </c>
      <c r="F879" s="42">
        <v>0</v>
      </c>
      <c r="G879" s="42">
        <f t="shared" si="14"/>
        <v>0.01</v>
      </c>
      <c r="H879" s="2" t="str">
        <f>VLOOKUP(A879,'MASTER 26 27'!A:B,2,0)</f>
        <v>Not Applicable</v>
      </c>
    </row>
    <row r="880" spans="1:8">
      <c r="A880" s="68" t="s">
        <v>926</v>
      </c>
      <c r="B880" s="73">
        <v>30922.3</v>
      </c>
      <c r="C880" s="73"/>
      <c r="D880" s="73"/>
      <c r="E880" s="73">
        <v>30922.3</v>
      </c>
      <c r="F880" s="42">
        <v>0</v>
      </c>
      <c r="G880" s="42">
        <f t="shared" si="14"/>
        <v>30922.3</v>
      </c>
      <c r="H880" s="2" t="str">
        <f>VLOOKUP(A880,'MASTER 26 27'!A:B,2,0)</f>
        <v>Not Applicable</v>
      </c>
    </row>
    <row r="881" spans="1:8">
      <c r="A881" s="68" t="s">
        <v>1345</v>
      </c>
      <c r="B881" s="73">
        <v>-9360</v>
      </c>
      <c r="C881" s="73">
        <v>9360</v>
      </c>
      <c r="D881" s="73"/>
      <c r="E881" s="73">
        <v>0</v>
      </c>
      <c r="F881" s="42">
        <v>0</v>
      </c>
      <c r="G881" s="42">
        <f t="shared" si="14"/>
        <v>0</v>
      </c>
      <c r="H881" s="2" t="str">
        <f>VLOOKUP(A881,'MASTER 26 27'!A:B,2,0)</f>
        <v>Not Applicable</v>
      </c>
    </row>
    <row r="882" spans="1:8">
      <c r="A882" s="68" t="s">
        <v>1271</v>
      </c>
      <c r="B882" s="73"/>
      <c r="C882" s="73">
        <v>4640</v>
      </c>
      <c r="D882" s="73">
        <v>4720</v>
      </c>
      <c r="E882" s="73">
        <v>-80</v>
      </c>
      <c r="F882" s="42">
        <v>0</v>
      </c>
      <c r="G882" s="42">
        <f t="shared" si="14"/>
        <v>-80</v>
      </c>
      <c r="H882" s="2" t="str">
        <f>VLOOKUP(A882,'MASTER 26 27'!A:B,2,0)</f>
        <v>Not Applicable</v>
      </c>
    </row>
    <row r="883" spans="1:8">
      <c r="A883" s="68" t="s">
        <v>588</v>
      </c>
      <c r="B883" s="73"/>
      <c r="C883" s="73"/>
      <c r="D883" s="73"/>
      <c r="E883" s="73">
        <v>0</v>
      </c>
      <c r="F883" s="42">
        <v>0</v>
      </c>
      <c r="G883" s="42">
        <f t="shared" si="14"/>
        <v>0</v>
      </c>
      <c r="H883" s="2" t="str">
        <f>VLOOKUP(A883,'MASTER 26 27'!A:B,2,0)</f>
        <v>Not Applicable</v>
      </c>
    </row>
    <row r="884" spans="1:8">
      <c r="A884" s="68" t="s">
        <v>915</v>
      </c>
      <c r="B884" s="73"/>
      <c r="C884" s="73"/>
      <c r="D884" s="73"/>
      <c r="E884" s="73">
        <v>0</v>
      </c>
      <c r="F884" s="42">
        <v>0</v>
      </c>
      <c r="G884" s="42">
        <f t="shared" si="14"/>
        <v>0</v>
      </c>
      <c r="H884" s="2" t="str">
        <f>VLOOKUP(A884,'MASTER 26 27'!A:B,2,0)</f>
        <v>Not Applicable</v>
      </c>
    </row>
    <row r="885" spans="1:8">
      <c r="A885" s="68" t="s">
        <v>589</v>
      </c>
      <c r="B885" s="73"/>
      <c r="C885" s="73"/>
      <c r="D885" s="73"/>
      <c r="E885" s="73">
        <v>0</v>
      </c>
      <c r="F885" s="42">
        <v>0</v>
      </c>
      <c r="G885" s="42">
        <f t="shared" si="14"/>
        <v>0</v>
      </c>
      <c r="H885" s="2" t="str">
        <f>VLOOKUP(A885,'MASTER 26 27'!A:B,2,0)</f>
        <v>Not Applicable</v>
      </c>
    </row>
    <row r="886" spans="1:8">
      <c r="A886" s="68" t="s">
        <v>590</v>
      </c>
      <c r="B886" s="73"/>
      <c r="C886" s="73"/>
      <c r="D886" s="73">
        <v>213580</v>
      </c>
      <c r="E886" s="73">
        <v>-213580</v>
      </c>
      <c r="F886" s="42">
        <v>0</v>
      </c>
      <c r="G886" s="42">
        <f t="shared" si="14"/>
        <v>-213580</v>
      </c>
      <c r="H886" s="2" t="str">
        <f>VLOOKUP(A886,'MASTER 26 27'!A:B,2,0)</f>
        <v>Not Applicable</v>
      </c>
    </row>
    <row r="887" spans="1:8">
      <c r="A887" s="68" t="s">
        <v>1018</v>
      </c>
      <c r="B887" s="73">
        <v>-30000</v>
      </c>
      <c r="C887" s="73"/>
      <c r="D887" s="73"/>
      <c r="E887" s="73">
        <v>-30000</v>
      </c>
      <c r="F887" s="42">
        <v>0</v>
      </c>
      <c r="G887" s="42">
        <f t="shared" si="14"/>
        <v>-30000</v>
      </c>
      <c r="H887" s="2" t="str">
        <f>VLOOKUP(A887,'MASTER 26 27'!A:B,2,0)</f>
        <v>Not Applicable</v>
      </c>
    </row>
    <row r="888" spans="1:8">
      <c r="A888" s="68" t="s">
        <v>583</v>
      </c>
      <c r="B888" s="73">
        <v>40000</v>
      </c>
      <c r="C888" s="73"/>
      <c r="D888" s="73"/>
      <c r="E888" s="73">
        <v>40000</v>
      </c>
      <c r="F888" s="42">
        <v>0</v>
      </c>
      <c r="G888" s="42">
        <f t="shared" si="14"/>
        <v>40000</v>
      </c>
      <c r="H888" s="2" t="str">
        <f>VLOOKUP(A888,'MASTER 26 27'!A:B,2,0)</f>
        <v>Not Applicable</v>
      </c>
    </row>
    <row r="889" spans="1:8">
      <c r="A889" s="68" t="s">
        <v>1380</v>
      </c>
      <c r="B889" s="73"/>
      <c r="C889" s="73"/>
      <c r="D889" s="73"/>
      <c r="E889" s="73">
        <v>0</v>
      </c>
      <c r="F889" s="42">
        <v>0</v>
      </c>
      <c r="G889" s="42">
        <f t="shared" si="14"/>
        <v>0</v>
      </c>
      <c r="H889" s="2" t="str">
        <f>VLOOKUP(A889,'MASTER 26 27'!A:B,2,0)</f>
        <v>Not Applicable</v>
      </c>
    </row>
    <row r="890" spans="1:8">
      <c r="A890" s="68" t="s">
        <v>582</v>
      </c>
      <c r="B890" s="73"/>
      <c r="C890" s="73">
        <v>121000</v>
      </c>
      <c r="D890" s="73">
        <v>121000</v>
      </c>
      <c r="E890" s="73">
        <v>0</v>
      </c>
      <c r="F890" s="42">
        <v>0</v>
      </c>
      <c r="G890" s="42">
        <f t="shared" si="14"/>
        <v>0</v>
      </c>
      <c r="H890" s="2" t="str">
        <f>VLOOKUP(A890,'MASTER 26 27'!A:B,2,0)</f>
        <v>Not Applicable</v>
      </c>
    </row>
    <row r="891" spans="1:8">
      <c r="A891" s="68" t="s">
        <v>571</v>
      </c>
      <c r="B891" s="73">
        <v>-739687.61</v>
      </c>
      <c r="C891" s="73">
        <v>492159.56</v>
      </c>
      <c r="D891" s="73">
        <v>147081</v>
      </c>
      <c r="E891" s="73">
        <v>-394609.05</v>
      </c>
      <c r="F891" s="42">
        <v>0</v>
      </c>
      <c r="G891" s="42">
        <f t="shared" si="14"/>
        <v>-394609.05</v>
      </c>
      <c r="H891" s="2" t="str">
        <f>VLOOKUP(A891,'MASTER 26 27'!A:B,2,0)</f>
        <v>Not Applicable</v>
      </c>
    </row>
    <row r="892" spans="1:8">
      <c r="A892" s="68" t="s">
        <v>573</v>
      </c>
      <c r="B892" s="73">
        <v>-528463</v>
      </c>
      <c r="C892" s="73">
        <v>632353</v>
      </c>
      <c r="D892" s="73"/>
      <c r="E892" s="73">
        <v>103890</v>
      </c>
      <c r="F892" s="42">
        <v>0</v>
      </c>
      <c r="G892" s="42">
        <f t="shared" si="14"/>
        <v>103890</v>
      </c>
      <c r="H892" s="2" t="str">
        <f>VLOOKUP(A892,'MASTER 26 27'!A:B,2,0)</f>
        <v>Not Applicable</v>
      </c>
    </row>
    <row r="893" spans="1:8">
      <c r="A893" s="68" t="s">
        <v>871</v>
      </c>
      <c r="B893" s="73"/>
      <c r="C893" s="73">
        <v>20500</v>
      </c>
      <c r="D893" s="73">
        <v>20500</v>
      </c>
      <c r="E893" s="73">
        <v>0</v>
      </c>
      <c r="F893" s="42">
        <v>0</v>
      </c>
      <c r="G893" s="42">
        <f t="shared" si="14"/>
        <v>0</v>
      </c>
      <c r="H893" s="2" t="str">
        <f>VLOOKUP(A893,'MASTER 26 27'!A:B,2,0)</f>
        <v>Not Applicable</v>
      </c>
    </row>
    <row r="894" spans="1:8">
      <c r="A894" s="68" t="s">
        <v>551</v>
      </c>
      <c r="B894" s="73">
        <v>-14160</v>
      </c>
      <c r="C894" s="73"/>
      <c r="D894" s="73">
        <v>7080</v>
      </c>
      <c r="E894" s="73">
        <v>-21240</v>
      </c>
      <c r="F894" s="42">
        <v>0</v>
      </c>
      <c r="G894" s="42">
        <f t="shared" si="14"/>
        <v>-21240</v>
      </c>
      <c r="H894" s="2" t="str">
        <f>VLOOKUP(A894,'MASTER 26 27'!A:B,2,0)</f>
        <v>Not Applicable</v>
      </c>
    </row>
    <row r="895" spans="1:8">
      <c r="A895" s="68" t="s">
        <v>1272</v>
      </c>
      <c r="B895" s="73"/>
      <c r="C895" s="73">
        <v>112200</v>
      </c>
      <c r="D895" s="73">
        <v>112200</v>
      </c>
      <c r="E895" s="73">
        <v>0</v>
      </c>
      <c r="F895" s="42">
        <v>0</v>
      </c>
      <c r="G895" s="42">
        <f t="shared" si="14"/>
        <v>0</v>
      </c>
      <c r="H895" s="2" t="str">
        <f>VLOOKUP(A895,'MASTER 26 27'!A:B,2,0)</f>
        <v>Not Applicable</v>
      </c>
    </row>
    <row r="896" spans="1:8">
      <c r="A896" s="68" t="s">
        <v>981</v>
      </c>
      <c r="B896" s="73"/>
      <c r="C896" s="73">
        <v>150857</v>
      </c>
      <c r="D896" s="73">
        <v>150857</v>
      </c>
      <c r="E896" s="73">
        <v>0</v>
      </c>
      <c r="F896" s="42">
        <v>0</v>
      </c>
      <c r="G896" s="42">
        <f t="shared" si="14"/>
        <v>0</v>
      </c>
      <c r="H896" s="2" t="str">
        <f>VLOOKUP(A896,'MASTER 26 27'!A:B,2,0)</f>
        <v>Not Applicable</v>
      </c>
    </row>
    <row r="897" spans="1:8">
      <c r="A897" s="68" t="s">
        <v>556</v>
      </c>
      <c r="B897" s="73"/>
      <c r="C897" s="73"/>
      <c r="D897" s="73"/>
      <c r="E897" s="73">
        <v>0</v>
      </c>
      <c r="F897" s="42">
        <v>0</v>
      </c>
      <c r="G897" s="42">
        <f t="shared" si="14"/>
        <v>0</v>
      </c>
      <c r="H897" s="2" t="str">
        <f>VLOOKUP(A897,'MASTER 26 27'!A:B,2,0)</f>
        <v>Not Applicable</v>
      </c>
    </row>
    <row r="898" spans="1:8">
      <c r="A898" s="68" t="s">
        <v>1201</v>
      </c>
      <c r="B898" s="73">
        <v>-213150</v>
      </c>
      <c r="C898" s="73">
        <v>171738</v>
      </c>
      <c r="D898" s="73"/>
      <c r="E898" s="73">
        <v>-41412</v>
      </c>
      <c r="F898" s="42">
        <v>0</v>
      </c>
      <c r="G898" s="42">
        <f t="shared" si="14"/>
        <v>-41412</v>
      </c>
      <c r="H898" s="2" t="str">
        <f>VLOOKUP(A898,'MASTER 26 27'!A:B,2,0)</f>
        <v>Not Applicable</v>
      </c>
    </row>
    <row r="899" spans="1:8">
      <c r="A899" s="68" t="s">
        <v>1026</v>
      </c>
      <c r="B899" s="73">
        <v>-291160</v>
      </c>
      <c r="C899" s="73"/>
      <c r="D899" s="73"/>
      <c r="E899" s="73">
        <v>-291160</v>
      </c>
      <c r="F899" s="42">
        <v>0</v>
      </c>
      <c r="G899" s="42">
        <f t="shared" si="14"/>
        <v>-291160</v>
      </c>
      <c r="H899" s="2" t="str">
        <f>VLOOKUP(A899,'MASTER 26 27'!A:B,2,0)</f>
        <v>Not Applicable</v>
      </c>
    </row>
    <row r="900" spans="1:8">
      <c r="A900" s="68" t="s">
        <v>547</v>
      </c>
      <c r="B900" s="73"/>
      <c r="C900" s="73"/>
      <c r="D900" s="73"/>
      <c r="E900" s="73">
        <v>0</v>
      </c>
      <c r="F900" s="42">
        <v>0</v>
      </c>
      <c r="G900" s="42">
        <f t="shared" si="14"/>
        <v>0</v>
      </c>
      <c r="H900" s="2" t="str">
        <f>VLOOKUP(A900,'MASTER 26 27'!A:B,2,0)</f>
        <v>Not Applicable</v>
      </c>
    </row>
    <row r="901" spans="1:8">
      <c r="A901" s="68" t="s">
        <v>544</v>
      </c>
      <c r="B901" s="73">
        <v>-1598622.79</v>
      </c>
      <c r="C901" s="73">
        <v>2729653</v>
      </c>
      <c r="D901" s="73"/>
      <c r="E901" s="73">
        <v>1131030.21</v>
      </c>
      <c r="F901" s="42">
        <v>0</v>
      </c>
      <c r="G901" s="42">
        <f t="shared" si="14"/>
        <v>1131030.21</v>
      </c>
      <c r="H901" s="2" t="str">
        <f>VLOOKUP(A901,'MASTER 26 27'!A:B,2,0)</f>
        <v>Not Applicable</v>
      </c>
    </row>
    <row r="902" spans="1:8">
      <c r="A902" s="68" t="s">
        <v>540</v>
      </c>
      <c r="B902" s="73"/>
      <c r="C902" s="73"/>
      <c r="D902" s="73"/>
      <c r="E902" s="73">
        <v>0</v>
      </c>
      <c r="F902" s="42">
        <v>0</v>
      </c>
      <c r="G902" s="42">
        <f t="shared" si="14"/>
        <v>0</v>
      </c>
      <c r="H902" s="2" t="str">
        <f>VLOOKUP(A902,'MASTER 26 27'!A:B,2,0)</f>
        <v>Not Applicable</v>
      </c>
    </row>
    <row r="903" spans="1:8">
      <c r="A903" s="68" t="s">
        <v>533</v>
      </c>
      <c r="B903" s="73">
        <v>-5775</v>
      </c>
      <c r="C903" s="73">
        <v>52400</v>
      </c>
      <c r="D903" s="73">
        <v>52400</v>
      </c>
      <c r="E903" s="73">
        <v>-5775</v>
      </c>
      <c r="F903" s="42">
        <v>0</v>
      </c>
      <c r="G903" s="42">
        <f t="shared" ref="G903:G966" si="15">+E903+F903</f>
        <v>-5775</v>
      </c>
      <c r="H903" s="2" t="str">
        <f>VLOOKUP(A903,'MASTER 26 27'!A:B,2,0)</f>
        <v>Not Applicable</v>
      </c>
    </row>
    <row r="904" spans="1:8">
      <c r="A904" s="68" t="s">
        <v>534</v>
      </c>
      <c r="B904" s="73">
        <v>-15</v>
      </c>
      <c r="C904" s="73"/>
      <c r="D904" s="73"/>
      <c r="E904" s="73">
        <v>-15</v>
      </c>
      <c r="F904" s="42">
        <v>0</v>
      </c>
      <c r="G904" s="42">
        <f t="shared" si="15"/>
        <v>-15</v>
      </c>
      <c r="H904" s="2" t="str">
        <f>VLOOKUP(A904,'MASTER 26 27'!A:B,2,0)</f>
        <v>Not Applicable</v>
      </c>
    </row>
    <row r="905" spans="1:8">
      <c r="A905" s="68" t="s">
        <v>535</v>
      </c>
      <c r="B905" s="73">
        <v>-19958</v>
      </c>
      <c r="C905" s="73"/>
      <c r="D905" s="73"/>
      <c r="E905" s="73">
        <v>-19958</v>
      </c>
      <c r="F905" s="42">
        <v>0</v>
      </c>
      <c r="G905" s="42">
        <f t="shared" si="15"/>
        <v>-19958</v>
      </c>
      <c r="H905" s="2" t="str">
        <f>VLOOKUP(A905,'MASTER 26 27'!A:B,2,0)</f>
        <v>Not Applicable</v>
      </c>
    </row>
    <row r="906" spans="1:8">
      <c r="A906" s="68" t="s">
        <v>1171</v>
      </c>
      <c r="B906" s="73"/>
      <c r="C906" s="73">
        <v>27953</v>
      </c>
      <c r="D906" s="73">
        <v>27953</v>
      </c>
      <c r="E906" s="73">
        <v>0</v>
      </c>
      <c r="F906" s="42">
        <v>0</v>
      </c>
      <c r="G906" s="42">
        <f t="shared" si="15"/>
        <v>0</v>
      </c>
      <c r="H906" s="2" t="str">
        <f>VLOOKUP(A906,'MASTER 26 27'!A:B,2,0)</f>
        <v>Not Applicable</v>
      </c>
    </row>
    <row r="907" spans="1:8">
      <c r="A907" s="68" t="s">
        <v>525</v>
      </c>
      <c r="B907" s="73">
        <v>-110312</v>
      </c>
      <c r="C907" s="73">
        <v>101312</v>
      </c>
      <c r="D907" s="73"/>
      <c r="E907" s="73">
        <v>-9000</v>
      </c>
      <c r="F907" s="42">
        <v>0</v>
      </c>
      <c r="G907" s="42">
        <f t="shared" si="15"/>
        <v>-9000</v>
      </c>
      <c r="H907" s="2" t="str">
        <f>VLOOKUP(A907,'MASTER 26 27'!A:B,2,0)</f>
        <v>Not Applicable</v>
      </c>
    </row>
    <row r="908" spans="1:8">
      <c r="A908" s="68" t="s">
        <v>1203</v>
      </c>
      <c r="B908" s="73">
        <v>1</v>
      </c>
      <c r="C908" s="73"/>
      <c r="D908" s="73"/>
      <c r="E908" s="73">
        <v>1</v>
      </c>
      <c r="F908" s="42">
        <v>0</v>
      </c>
      <c r="G908" s="42">
        <f t="shared" si="15"/>
        <v>1</v>
      </c>
      <c r="H908" s="2" t="str">
        <f>VLOOKUP(A908,'MASTER 26 27'!A:B,2,0)</f>
        <v>Not Applicable</v>
      </c>
    </row>
    <row r="909" spans="1:8">
      <c r="A909" s="68" t="s">
        <v>509</v>
      </c>
      <c r="B909" s="73">
        <v>0.5</v>
      </c>
      <c r="C909" s="73"/>
      <c r="D909" s="73"/>
      <c r="E909" s="73">
        <v>0.5</v>
      </c>
      <c r="F909" s="42">
        <v>0</v>
      </c>
      <c r="G909" s="42">
        <f t="shared" si="15"/>
        <v>0.5</v>
      </c>
      <c r="H909" s="2" t="str">
        <f>VLOOKUP(A909,'MASTER 26 27'!A:B,2,0)</f>
        <v>Not Applicable</v>
      </c>
    </row>
    <row r="910" spans="1:8">
      <c r="A910" s="68" t="s">
        <v>1137</v>
      </c>
      <c r="B910" s="73">
        <v>-143516</v>
      </c>
      <c r="C910" s="73">
        <v>133516</v>
      </c>
      <c r="D910" s="73"/>
      <c r="E910" s="73">
        <v>-10000</v>
      </c>
      <c r="F910" s="42">
        <v>0</v>
      </c>
      <c r="G910" s="42">
        <f t="shared" si="15"/>
        <v>-10000</v>
      </c>
      <c r="H910" s="2" t="str">
        <f>VLOOKUP(A910,'MASTER 26 27'!A:B,2,0)</f>
        <v>Not Applicable</v>
      </c>
    </row>
    <row r="911" spans="1:8">
      <c r="A911" s="68" t="s">
        <v>1346</v>
      </c>
      <c r="B911" s="73"/>
      <c r="C911" s="73">
        <v>38200</v>
      </c>
      <c r="D911" s="73">
        <v>38200</v>
      </c>
      <c r="E911" s="73">
        <v>0</v>
      </c>
      <c r="F911" s="42">
        <v>0</v>
      </c>
      <c r="G911" s="42">
        <f t="shared" si="15"/>
        <v>0</v>
      </c>
      <c r="H911" s="2" t="str">
        <f>VLOOKUP(A911,'MASTER 26 27'!A:B,2,0)</f>
        <v>Not Applicable</v>
      </c>
    </row>
    <row r="912" spans="1:8">
      <c r="A912" s="68" t="s">
        <v>1204</v>
      </c>
      <c r="B912" s="73"/>
      <c r="C912" s="73">
        <v>32200</v>
      </c>
      <c r="D912" s="73">
        <v>32200</v>
      </c>
      <c r="E912" s="73">
        <v>0</v>
      </c>
      <c r="F912" s="42">
        <v>0</v>
      </c>
      <c r="G912" s="42">
        <f t="shared" si="15"/>
        <v>0</v>
      </c>
      <c r="H912" s="2" t="str">
        <f>VLOOKUP(A912,'MASTER 26 27'!A:B,2,0)</f>
        <v>Not Applicable</v>
      </c>
    </row>
    <row r="913" spans="1:8">
      <c r="A913" s="68" t="s">
        <v>1025</v>
      </c>
      <c r="B913" s="73">
        <v>-61234</v>
      </c>
      <c r="C913" s="73">
        <v>61409</v>
      </c>
      <c r="D913" s="73"/>
      <c r="E913" s="73">
        <v>175</v>
      </c>
      <c r="F913" s="42">
        <v>0</v>
      </c>
      <c r="G913" s="42">
        <f t="shared" si="15"/>
        <v>175</v>
      </c>
      <c r="H913" s="2" t="str">
        <f>VLOOKUP(A913,'MASTER 26 27'!A:B,2,0)</f>
        <v>Not Applicable</v>
      </c>
    </row>
    <row r="914" spans="1:8">
      <c r="A914" s="68" t="s">
        <v>477</v>
      </c>
      <c r="B914" s="73"/>
      <c r="C914" s="73">
        <v>22500</v>
      </c>
      <c r="D914" s="73">
        <v>22500</v>
      </c>
      <c r="E914" s="73">
        <v>0</v>
      </c>
      <c r="F914" s="42">
        <v>0</v>
      </c>
      <c r="G914" s="42">
        <f t="shared" si="15"/>
        <v>0</v>
      </c>
      <c r="H914" s="2" t="str">
        <f>VLOOKUP(A914,'MASTER 26 27'!A:B,2,0)</f>
        <v>Not Applicable</v>
      </c>
    </row>
    <row r="915" spans="1:8">
      <c r="A915" s="68" t="s">
        <v>465</v>
      </c>
      <c r="B915" s="73">
        <v>90000</v>
      </c>
      <c r="C915" s="73"/>
      <c r="D915" s="73"/>
      <c r="E915" s="73">
        <v>90000</v>
      </c>
      <c r="F915" s="42">
        <v>0</v>
      </c>
      <c r="G915" s="42">
        <f t="shared" si="15"/>
        <v>90000</v>
      </c>
      <c r="H915" s="2" t="str">
        <f>VLOOKUP(A915,'MASTER 26 27'!A:B,2,0)</f>
        <v>Not Applicable</v>
      </c>
    </row>
    <row r="916" spans="1:8">
      <c r="A916" s="68" t="s">
        <v>469</v>
      </c>
      <c r="B916" s="73">
        <v>-19750</v>
      </c>
      <c r="C916" s="73"/>
      <c r="D916" s="73"/>
      <c r="E916" s="73">
        <v>-19750</v>
      </c>
      <c r="F916" s="42">
        <v>0</v>
      </c>
      <c r="G916" s="42">
        <f t="shared" si="15"/>
        <v>-19750</v>
      </c>
      <c r="H916" s="2" t="str">
        <f>VLOOKUP(A916,'MASTER 26 27'!A:B,2,0)</f>
        <v>Not Applicable</v>
      </c>
    </row>
    <row r="917" spans="1:8">
      <c r="A917" s="68" t="s">
        <v>471</v>
      </c>
      <c r="B917" s="73">
        <v>-32040.76</v>
      </c>
      <c r="C917" s="73"/>
      <c r="D917" s="73"/>
      <c r="E917" s="73">
        <v>-32040.76</v>
      </c>
      <c r="F917" s="42">
        <v>0</v>
      </c>
      <c r="G917" s="42">
        <f t="shared" si="15"/>
        <v>-32040.76</v>
      </c>
      <c r="H917" s="2" t="str">
        <f>VLOOKUP(A917,'MASTER 26 27'!A:B,2,0)</f>
        <v>Not Applicable</v>
      </c>
    </row>
    <row r="918" spans="1:8">
      <c r="A918" s="68" t="s">
        <v>472</v>
      </c>
      <c r="B918" s="73">
        <v>-31962</v>
      </c>
      <c r="C918" s="73">
        <v>32632</v>
      </c>
      <c r="D918" s="73">
        <v>66933</v>
      </c>
      <c r="E918" s="73">
        <v>-66263</v>
      </c>
      <c r="F918" s="42">
        <v>0</v>
      </c>
      <c r="G918" s="42">
        <f t="shared" si="15"/>
        <v>-66263</v>
      </c>
      <c r="H918" s="2" t="str">
        <f>VLOOKUP(A918,'MASTER 26 27'!A:B,2,0)</f>
        <v>Not Applicable</v>
      </c>
    </row>
    <row r="919" spans="1:8">
      <c r="A919" s="68" t="s">
        <v>464</v>
      </c>
      <c r="B919" s="73">
        <v>-0.24</v>
      </c>
      <c r="C919" s="73"/>
      <c r="D919" s="73"/>
      <c r="E919" s="73">
        <v>-0.24</v>
      </c>
      <c r="F919" s="42">
        <v>0</v>
      </c>
      <c r="G919" s="42">
        <f t="shared" si="15"/>
        <v>-0.24</v>
      </c>
      <c r="H919" s="2" t="str">
        <f>VLOOKUP(A919,'MASTER 26 27'!A:B,2,0)</f>
        <v>Not Applicable</v>
      </c>
    </row>
    <row r="920" spans="1:8">
      <c r="A920" s="68" t="s">
        <v>1206</v>
      </c>
      <c r="B920" s="73">
        <v>-0.38</v>
      </c>
      <c r="C920" s="73"/>
      <c r="D920" s="73"/>
      <c r="E920" s="73">
        <v>-0.38</v>
      </c>
      <c r="F920" s="42">
        <v>0</v>
      </c>
      <c r="G920" s="42">
        <f t="shared" si="15"/>
        <v>-0.38</v>
      </c>
      <c r="H920" s="2" t="str">
        <f>VLOOKUP(A920,'MASTER 26 27'!A:B,2,0)</f>
        <v>Not Applicable</v>
      </c>
    </row>
    <row r="921" spans="1:8">
      <c r="A921" s="68" t="s">
        <v>1172</v>
      </c>
      <c r="B921" s="73">
        <v>-9769</v>
      </c>
      <c r="C921" s="73"/>
      <c r="D921" s="73"/>
      <c r="E921" s="73">
        <v>-9769</v>
      </c>
      <c r="F921" s="42">
        <v>0</v>
      </c>
      <c r="G921" s="42">
        <f t="shared" si="15"/>
        <v>-9769</v>
      </c>
      <c r="H921" s="2" t="str">
        <f>VLOOKUP(A921,'MASTER 26 27'!A:B,2,0)</f>
        <v>Not Applicable</v>
      </c>
    </row>
    <row r="922" spans="1:8">
      <c r="A922" s="68" t="s">
        <v>456</v>
      </c>
      <c r="B922" s="73"/>
      <c r="C922" s="73">
        <v>48900</v>
      </c>
      <c r="D922" s="73">
        <v>48900</v>
      </c>
      <c r="E922" s="73">
        <v>0</v>
      </c>
      <c r="F922" s="42">
        <v>0</v>
      </c>
      <c r="G922" s="42">
        <f t="shared" si="15"/>
        <v>0</v>
      </c>
      <c r="H922" s="2" t="str">
        <f>VLOOKUP(A922,'MASTER 26 27'!A:B,2,0)</f>
        <v>Not Applicable</v>
      </c>
    </row>
    <row r="923" spans="1:8">
      <c r="A923" s="68" t="s">
        <v>447</v>
      </c>
      <c r="B923" s="73">
        <v>-573637.34</v>
      </c>
      <c r="C923" s="73">
        <v>636196</v>
      </c>
      <c r="D923" s="73"/>
      <c r="E923" s="73">
        <v>62558.66</v>
      </c>
      <c r="F923" s="42">
        <v>0</v>
      </c>
      <c r="G923" s="42">
        <f t="shared" si="15"/>
        <v>62558.66</v>
      </c>
      <c r="H923" s="2" t="str">
        <f>VLOOKUP(A923,'MASTER 26 27'!A:B,2,0)</f>
        <v>Not Applicable</v>
      </c>
    </row>
    <row r="924" spans="1:8">
      <c r="A924" s="68" t="s">
        <v>436</v>
      </c>
      <c r="B924" s="73">
        <v>-218</v>
      </c>
      <c r="C924" s="73"/>
      <c r="D924" s="73"/>
      <c r="E924" s="73">
        <v>-218</v>
      </c>
      <c r="F924" s="42">
        <v>0</v>
      </c>
      <c r="G924" s="42">
        <f t="shared" si="15"/>
        <v>-218</v>
      </c>
      <c r="H924" s="2" t="str">
        <f>VLOOKUP(A924,'MASTER 26 27'!A:B,2,0)</f>
        <v>Not Applicable</v>
      </c>
    </row>
    <row r="925" spans="1:8">
      <c r="A925" s="68" t="s">
        <v>1207</v>
      </c>
      <c r="B925" s="73">
        <v>68</v>
      </c>
      <c r="C925" s="73"/>
      <c r="D925" s="73"/>
      <c r="E925" s="73">
        <v>68</v>
      </c>
      <c r="F925" s="42">
        <v>0</v>
      </c>
      <c r="G925" s="42">
        <f t="shared" si="15"/>
        <v>68</v>
      </c>
      <c r="H925" s="2" t="str">
        <f>VLOOKUP(A925,'MASTER 26 27'!A:B,2,0)</f>
        <v>Not Applicable</v>
      </c>
    </row>
    <row r="926" spans="1:8">
      <c r="A926" s="68" t="s">
        <v>1274</v>
      </c>
      <c r="B926" s="73">
        <v>-499</v>
      </c>
      <c r="C926" s="73">
        <v>29</v>
      </c>
      <c r="D926" s="73">
        <v>2850</v>
      </c>
      <c r="E926" s="73">
        <v>-3320</v>
      </c>
      <c r="F926" s="42">
        <v>0</v>
      </c>
      <c r="G926" s="42">
        <f t="shared" si="15"/>
        <v>-3320</v>
      </c>
      <c r="H926" s="2" t="str">
        <f>VLOOKUP(A926,'MASTER 26 27'!A:B,2,0)</f>
        <v>Not Applicable</v>
      </c>
    </row>
    <row r="927" spans="1:8">
      <c r="A927" s="68" t="s">
        <v>426</v>
      </c>
      <c r="B927" s="73">
        <v>-31669</v>
      </c>
      <c r="C927" s="73">
        <v>11817</v>
      </c>
      <c r="D927" s="73"/>
      <c r="E927" s="73">
        <v>-19852</v>
      </c>
      <c r="F927" s="42">
        <v>0</v>
      </c>
      <c r="G927" s="42">
        <f t="shared" si="15"/>
        <v>-19852</v>
      </c>
      <c r="H927" s="2" t="str">
        <f>VLOOKUP(A927,'MASTER 26 27'!A:B,2,0)</f>
        <v>Not Applicable</v>
      </c>
    </row>
    <row r="928" spans="1:8">
      <c r="A928" s="68" t="s">
        <v>428</v>
      </c>
      <c r="B928" s="73"/>
      <c r="C928" s="73">
        <v>19500</v>
      </c>
      <c r="D928" s="73">
        <v>19500</v>
      </c>
      <c r="E928" s="73">
        <v>0</v>
      </c>
      <c r="F928" s="42">
        <v>0</v>
      </c>
      <c r="G928" s="42">
        <f t="shared" si="15"/>
        <v>0</v>
      </c>
      <c r="H928" s="2" t="str">
        <f>VLOOKUP(A928,'MASTER 26 27'!A:B,2,0)</f>
        <v>Not Applicable</v>
      </c>
    </row>
    <row r="929" spans="1:8">
      <c r="A929" s="68" t="s">
        <v>924</v>
      </c>
      <c r="B929" s="73">
        <v>-2000</v>
      </c>
      <c r="C929" s="73">
        <v>30180</v>
      </c>
      <c r="D929" s="73">
        <v>30180</v>
      </c>
      <c r="E929" s="73">
        <v>-2000</v>
      </c>
      <c r="F929" s="42">
        <v>0</v>
      </c>
      <c r="G929" s="42">
        <f t="shared" si="15"/>
        <v>-2000</v>
      </c>
      <c r="H929" s="2" t="str">
        <f>VLOOKUP(A929,'MASTER 26 27'!A:B,2,0)</f>
        <v>Not Applicable</v>
      </c>
    </row>
    <row r="930" spans="1:8">
      <c r="A930" s="68" t="s">
        <v>1092</v>
      </c>
      <c r="B930" s="73"/>
      <c r="C930" s="73"/>
      <c r="D930" s="73"/>
      <c r="E930" s="73">
        <v>0</v>
      </c>
      <c r="F930" s="42">
        <v>0</v>
      </c>
      <c r="G930" s="42">
        <f t="shared" si="15"/>
        <v>0</v>
      </c>
      <c r="H930" s="2" t="str">
        <f>VLOOKUP(A930,'MASTER 26 27'!A:B,2,0)</f>
        <v>Not Applicable</v>
      </c>
    </row>
    <row r="931" spans="1:8">
      <c r="A931" s="68" t="s">
        <v>425</v>
      </c>
      <c r="B931" s="73">
        <v>-242915</v>
      </c>
      <c r="C931" s="73">
        <v>249469</v>
      </c>
      <c r="D931" s="73">
        <v>344036</v>
      </c>
      <c r="E931" s="73">
        <v>-337482</v>
      </c>
      <c r="F931" s="42">
        <v>0</v>
      </c>
      <c r="G931" s="42">
        <f t="shared" si="15"/>
        <v>-337482</v>
      </c>
      <c r="H931" s="2" t="str">
        <f>VLOOKUP(A931,'MASTER 26 27'!A:B,2,0)</f>
        <v>Not Applicable</v>
      </c>
    </row>
    <row r="932" spans="1:8">
      <c r="A932" s="68" t="s">
        <v>417</v>
      </c>
      <c r="B932" s="73">
        <v>-204507</v>
      </c>
      <c r="C932" s="73"/>
      <c r="D932" s="73"/>
      <c r="E932" s="73">
        <v>-204507</v>
      </c>
      <c r="F932" s="42">
        <v>0</v>
      </c>
      <c r="G932" s="42">
        <f t="shared" si="15"/>
        <v>-204507</v>
      </c>
      <c r="H932" s="2" t="str">
        <f>VLOOKUP(A932,'MASTER 26 27'!A:B,2,0)</f>
        <v>Not Applicable</v>
      </c>
    </row>
    <row r="933" spans="1:8">
      <c r="A933" s="68" t="s">
        <v>1229</v>
      </c>
      <c r="B933" s="73"/>
      <c r="C933" s="73">
        <v>80000</v>
      </c>
      <c r="D933" s="73">
        <v>80000</v>
      </c>
      <c r="E933" s="73">
        <v>0</v>
      </c>
      <c r="F933" s="42">
        <v>0</v>
      </c>
      <c r="G933" s="42">
        <f t="shared" si="15"/>
        <v>0</v>
      </c>
      <c r="H933" s="2" t="str">
        <f>VLOOKUP(A933,'MASTER 26 27'!A:B,2,0)</f>
        <v>Not Applicable</v>
      </c>
    </row>
    <row r="934" spans="1:8">
      <c r="A934" s="68" t="s">
        <v>1012</v>
      </c>
      <c r="B934" s="73">
        <v>-0.93</v>
      </c>
      <c r="C934" s="73"/>
      <c r="D934" s="73">
        <v>92317</v>
      </c>
      <c r="E934" s="73">
        <v>-92317.93</v>
      </c>
      <c r="F934" s="42">
        <v>0</v>
      </c>
      <c r="G934" s="42">
        <f t="shared" si="15"/>
        <v>-92317.93</v>
      </c>
      <c r="H934" s="2" t="str">
        <f>VLOOKUP(A934,'MASTER 26 27'!A:B,2,0)</f>
        <v>Not Applicable</v>
      </c>
    </row>
    <row r="935" spans="1:8">
      <c r="A935" s="68" t="s">
        <v>403</v>
      </c>
      <c r="B935" s="73">
        <v>-19994</v>
      </c>
      <c r="C935" s="73"/>
      <c r="D935" s="73"/>
      <c r="E935" s="73">
        <v>-19994</v>
      </c>
      <c r="F935" s="42">
        <v>0</v>
      </c>
      <c r="G935" s="42">
        <f t="shared" si="15"/>
        <v>-19994</v>
      </c>
      <c r="H935" s="2" t="str">
        <f>VLOOKUP(A935,'MASTER 26 27'!A:B,2,0)</f>
        <v>Not Applicable</v>
      </c>
    </row>
    <row r="936" spans="1:8">
      <c r="A936" s="68" t="s">
        <v>393</v>
      </c>
      <c r="B936" s="73">
        <v>-2631534.48</v>
      </c>
      <c r="C936" s="73">
        <v>3151533</v>
      </c>
      <c r="D936" s="73">
        <v>20000</v>
      </c>
      <c r="E936" s="73">
        <v>499998.52</v>
      </c>
      <c r="F936" s="42">
        <v>0</v>
      </c>
      <c r="G936" s="42">
        <f t="shared" si="15"/>
        <v>499998.52</v>
      </c>
      <c r="H936" s="2" t="str">
        <f>VLOOKUP(A936,'MASTER 26 27'!A:B,2,0)</f>
        <v>Not Applicable</v>
      </c>
    </row>
    <row r="937" spans="1:8">
      <c r="A937" s="68" t="s">
        <v>1208</v>
      </c>
      <c r="B937" s="73">
        <v>-435305</v>
      </c>
      <c r="C937" s="73">
        <v>530805</v>
      </c>
      <c r="D937" s="73"/>
      <c r="E937" s="73">
        <v>95500</v>
      </c>
      <c r="F937" s="42">
        <v>0</v>
      </c>
      <c r="G937" s="42">
        <f t="shared" si="15"/>
        <v>95500</v>
      </c>
      <c r="H937" s="2" t="str">
        <f>VLOOKUP(A937,'MASTER 26 27'!A:B,2,0)</f>
        <v>Not Applicable</v>
      </c>
    </row>
    <row r="938" spans="1:8">
      <c r="A938" s="68" t="s">
        <v>1209</v>
      </c>
      <c r="B938" s="73">
        <v>128</v>
      </c>
      <c r="C938" s="73">
        <v>28910</v>
      </c>
      <c r="D938" s="73"/>
      <c r="E938" s="73">
        <v>29038</v>
      </c>
      <c r="F938" s="42">
        <v>0</v>
      </c>
      <c r="G938" s="42">
        <f t="shared" si="15"/>
        <v>29038</v>
      </c>
      <c r="H938" s="2" t="str">
        <f>VLOOKUP(A938,'MASTER 26 27'!A:B,2,0)</f>
        <v>Not Applicable</v>
      </c>
    </row>
    <row r="939" spans="1:8">
      <c r="A939" s="68" t="s">
        <v>376</v>
      </c>
      <c r="B939" s="73">
        <v>254386.12</v>
      </c>
      <c r="C939" s="73">
        <v>3636299</v>
      </c>
      <c r="D939" s="73">
        <v>3693142</v>
      </c>
      <c r="E939" s="73">
        <v>197543.12</v>
      </c>
      <c r="F939" s="42">
        <v>0</v>
      </c>
      <c r="G939" s="42">
        <f t="shared" si="15"/>
        <v>197543.12</v>
      </c>
      <c r="H939" s="2" t="str">
        <f>VLOOKUP(A939,'MASTER 26 27'!A:B,2,0)</f>
        <v>Not Applicable</v>
      </c>
    </row>
    <row r="940" spans="1:8">
      <c r="A940" s="68" t="s">
        <v>906</v>
      </c>
      <c r="B940" s="73">
        <v>-1.66</v>
      </c>
      <c r="C940" s="73">
        <v>2357</v>
      </c>
      <c r="D940" s="73">
        <v>2357</v>
      </c>
      <c r="E940" s="73">
        <v>-1.66</v>
      </c>
      <c r="F940" s="42">
        <v>0</v>
      </c>
      <c r="G940" s="42">
        <f t="shared" si="15"/>
        <v>-1.66</v>
      </c>
      <c r="H940" s="2" t="str">
        <f>VLOOKUP(A940,'MASTER 26 27'!A:B,2,0)</f>
        <v>Not Applicable</v>
      </c>
    </row>
    <row r="941" spans="1:8">
      <c r="A941" s="68" t="s">
        <v>1347</v>
      </c>
      <c r="B941" s="73"/>
      <c r="C941" s="73">
        <v>716</v>
      </c>
      <c r="D941" s="73">
        <v>71600</v>
      </c>
      <c r="E941" s="73">
        <v>-70884</v>
      </c>
      <c r="F941" s="42">
        <v>0</v>
      </c>
      <c r="G941" s="42">
        <f t="shared" si="15"/>
        <v>-70884</v>
      </c>
      <c r="H941" s="2" t="str">
        <f>VLOOKUP(A941,'MASTER 26 27'!A:B,2,0)</f>
        <v>Not Applicable</v>
      </c>
    </row>
    <row r="942" spans="1:8">
      <c r="A942" s="68" t="s">
        <v>379</v>
      </c>
      <c r="B942" s="73">
        <v>288419</v>
      </c>
      <c r="C942" s="73"/>
      <c r="D942" s="73"/>
      <c r="E942" s="73">
        <v>288419</v>
      </c>
      <c r="F942" s="42">
        <v>0</v>
      </c>
      <c r="G942" s="42">
        <f t="shared" si="15"/>
        <v>288419</v>
      </c>
      <c r="H942" s="2" t="str">
        <f>VLOOKUP(A942,'MASTER 26 27'!A:B,2,0)</f>
        <v>Not Applicable</v>
      </c>
    </row>
    <row r="943" spans="1:8">
      <c r="A943" s="68" t="s">
        <v>1494</v>
      </c>
      <c r="B943" s="73"/>
      <c r="C943" s="73">
        <v>38000</v>
      </c>
      <c r="D943" s="73">
        <v>38000</v>
      </c>
      <c r="E943" s="73">
        <v>0</v>
      </c>
      <c r="F943" s="42">
        <v>0</v>
      </c>
      <c r="G943" s="42">
        <f t="shared" si="15"/>
        <v>0</v>
      </c>
      <c r="H943" s="2" t="s">
        <v>84</v>
      </c>
    </row>
    <row r="944" spans="1:8">
      <c r="A944" s="68" t="s">
        <v>1276</v>
      </c>
      <c r="B944" s="73"/>
      <c r="C944" s="73">
        <v>89000</v>
      </c>
      <c r="D944" s="73">
        <v>89000</v>
      </c>
      <c r="E944" s="73">
        <v>0</v>
      </c>
      <c r="F944" s="42">
        <v>0</v>
      </c>
      <c r="G944" s="42">
        <f t="shared" si="15"/>
        <v>0</v>
      </c>
      <c r="H944" s="2" t="str">
        <f>VLOOKUP(A944,'MASTER 26 27'!A:B,2,0)</f>
        <v>Not Applicable</v>
      </c>
    </row>
    <row r="945" spans="1:8">
      <c r="A945" s="68" t="s">
        <v>373</v>
      </c>
      <c r="B945" s="73">
        <v>-514654.86</v>
      </c>
      <c r="C945" s="73">
        <v>681820</v>
      </c>
      <c r="D945" s="73"/>
      <c r="E945" s="73">
        <v>167165.14000000001</v>
      </c>
      <c r="F945" s="42">
        <v>0</v>
      </c>
      <c r="G945" s="42">
        <f t="shared" si="15"/>
        <v>167165.14000000001</v>
      </c>
      <c r="H945" s="2" t="str">
        <f>VLOOKUP(A945,'MASTER 26 27'!A:B,2,0)</f>
        <v>Not Applicable</v>
      </c>
    </row>
    <row r="946" spans="1:8">
      <c r="A946" s="68" t="s">
        <v>374</v>
      </c>
      <c r="B946" s="73"/>
      <c r="C946" s="73">
        <v>12363</v>
      </c>
      <c r="D946" s="73">
        <v>12363</v>
      </c>
      <c r="E946" s="73">
        <v>0</v>
      </c>
      <c r="F946" s="42">
        <v>0</v>
      </c>
      <c r="G946" s="42">
        <f t="shared" si="15"/>
        <v>0</v>
      </c>
      <c r="H946" s="2" t="str">
        <f>VLOOKUP(A946,'MASTER 26 27'!A:B,2,0)</f>
        <v>Not Applicable</v>
      </c>
    </row>
    <row r="947" spans="1:8">
      <c r="A947" s="68" t="s">
        <v>375</v>
      </c>
      <c r="B947" s="73">
        <v>0.37</v>
      </c>
      <c r="C947" s="73"/>
      <c r="D947" s="73"/>
      <c r="E947" s="73">
        <v>0.37</v>
      </c>
      <c r="F947" s="42">
        <v>0</v>
      </c>
      <c r="G947" s="42">
        <f t="shared" si="15"/>
        <v>0.37</v>
      </c>
      <c r="H947" s="2" t="str">
        <f>VLOOKUP(A947,'MASTER 26 27'!A:B,2,0)</f>
        <v>Not Applicable</v>
      </c>
    </row>
    <row r="948" spans="1:8">
      <c r="A948" s="68" t="s">
        <v>369</v>
      </c>
      <c r="B948" s="73"/>
      <c r="C948" s="73"/>
      <c r="D948" s="73"/>
      <c r="E948" s="73">
        <v>0</v>
      </c>
      <c r="F948" s="42">
        <v>0</v>
      </c>
      <c r="G948" s="42">
        <f t="shared" si="15"/>
        <v>0</v>
      </c>
      <c r="H948" s="2" t="str">
        <f>VLOOKUP(A948,'MASTER 26 27'!A:B,2,0)</f>
        <v>Not Applicable</v>
      </c>
    </row>
    <row r="949" spans="1:8">
      <c r="A949" s="68" t="s">
        <v>702</v>
      </c>
      <c r="B949" s="73">
        <v>48858560.479999997</v>
      </c>
      <c r="C949" s="73"/>
      <c r="D949" s="73"/>
      <c r="E949" s="73">
        <v>48858560.479999997</v>
      </c>
      <c r="F949" s="42">
        <v>0</v>
      </c>
      <c r="G949" s="42">
        <f t="shared" si="15"/>
        <v>48858560.479999997</v>
      </c>
      <c r="H949" s="2" t="str">
        <f>VLOOKUP(A949,'MASTER 26 27'!A:B,2,0)</f>
        <v>Not Applicable</v>
      </c>
    </row>
    <row r="950" spans="1:8">
      <c r="A950" s="68" t="s">
        <v>1210</v>
      </c>
      <c r="B950" s="73">
        <v>-593752</v>
      </c>
      <c r="C950" s="73"/>
      <c r="D950" s="73">
        <v>74219</v>
      </c>
      <c r="E950" s="73">
        <v>-667971</v>
      </c>
      <c r="F950" s="42">
        <v>0</v>
      </c>
      <c r="G950" s="42">
        <f t="shared" si="15"/>
        <v>-667971</v>
      </c>
      <c r="H950" s="2" t="str">
        <f>VLOOKUP(A950,'MASTER 26 27'!A:B,2,0)</f>
        <v>Not Applicable</v>
      </c>
    </row>
    <row r="951" spans="1:8">
      <c r="A951" s="68" t="s">
        <v>703</v>
      </c>
      <c r="B951" s="73">
        <v>3176949</v>
      </c>
      <c r="C951" s="73"/>
      <c r="D951" s="73"/>
      <c r="E951" s="73">
        <v>3176949</v>
      </c>
      <c r="F951" s="42">
        <v>0</v>
      </c>
      <c r="G951" s="42">
        <f t="shared" si="15"/>
        <v>3176949</v>
      </c>
      <c r="H951" s="2" t="str">
        <f>VLOOKUP(A951,'MASTER 26 27'!A:B,2,0)</f>
        <v>Not Applicable</v>
      </c>
    </row>
    <row r="952" spans="1:8">
      <c r="A952" s="68" t="s">
        <v>704</v>
      </c>
      <c r="B952" s="73">
        <v>-279497123.22000003</v>
      </c>
      <c r="C952" s="73">
        <v>6317405.1100000003</v>
      </c>
      <c r="D952" s="73">
        <v>15027676.609999999</v>
      </c>
      <c r="E952" s="73">
        <v>-288207394.72000003</v>
      </c>
      <c r="F952" s="42">
        <v>0</v>
      </c>
      <c r="G952" s="42">
        <f t="shared" si="15"/>
        <v>-288207394.72000003</v>
      </c>
      <c r="H952" s="2" t="str">
        <f>VLOOKUP(A952,'MASTER 26 27'!A:B,2,0)</f>
        <v>Not Applicable</v>
      </c>
    </row>
    <row r="953" spans="1:8">
      <c r="A953" s="68" t="s">
        <v>695</v>
      </c>
      <c r="B953" s="73">
        <v>95441710.870000005</v>
      </c>
      <c r="C953" s="73"/>
      <c r="D953" s="73"/>
      <c r="E953" s="73">
        <v>95441710.870000005</v>
      </c>
      <c r="F953" s="42">
        <v>0</v>
      </c>
      <c r="G953" s="42">
        <f t="shared" si="15"/>
        <v>95441710.870000005</v>
      </c>
      <c r="H953" s="2" t="str">
        <f>VLOOKUP(A953,'MASTER 26 27'!A:B,2,0)</f>
        <v>Not Applicable</v>
      </c>
    </row>
    <row r="954" spans="1:8">
      <c r="A954" s="68" t="s">
        <v>689</v>
      </c>
      <c r="B954" s="73">
        <v>1052208056.52</v>
      </c>
      <c r="C954" s="73">
        <v>54030177</v>
      </c>
      <c r="D954" s="73">
        <v>44022</v>
      </c>
      <c r="E954" s="73">
        <v>1106194211.52</v>
      </c>
      <c r="F954" s="42">
        <v>0</v>
      </c>
      <c r="G954" s="42">
        <f t="shared" si="15"/>
        <v>1106194211.52</v>
      </c>
      <c r="H954" s="2" t="str">
        <f>VLOOKUP(A954,'MASTER 26 27'!A:B,2,0)</f>
        <v>Not Applicable</v>
      </c>
    </row>
    <row r="955" spans="1:8">
      <c r="A955" s="68" t="s">
        <v>690</v>
      </c>
      <c r="B955" s="73">
        <v>805380592</v>
      </c>
      <c r="C955" s="73"/>
      <c r="D955" s="73"/>
      <c r="E955" s="73">
        <v>805380592</v>
      </c>
      <c r="F955" s="42">
        <v>0</v>
      </c>
      <c r="G955" s="42">
        <f t="shared" si="15"/>
        <v>805380592</v>
      </c>
      <c r="H955" s="2" t="str">
        <f>VLOOKUP(A955,'MASTER 26 27'!A:B,2,0)</f>
        <v>Not Applicable</v>
      </c>
    </row>
    <row r="956" spans="1:8">
      <c r="A956" s="68" t="s">
        <v>691</v>
      </c>
      <c r="B956" s="73">
        <v>371618907.70999998</v>
      </c>
      <c r="C956" s="73"/>
      <c r="D956" s="73"/>
      <c r="E956" s="73">
        <v>371618907.70999998</v>
      </c>
      <c r="F956" s="42">
        <v>0</v>
      </c>
      <c r="G956" s="42">
        <f t="shared" si="15"/>
        <v>371618907.70999998</v>
      </c>
      <c r="H956" s="2" t="str">
        <f>VLOOKUP(A956,'MASTER 26 27'!A:B,2,0)</f>
        <v>Not Applicable</v>
      </c>
    </row>
    <row r="957" spans="1:8">
      <c r="A957" s="68" t="s">
        <v>692</v>
      </c>
      <c r="B957" s="73">
        <v>180922430</v>
      </c>
      <c r="C957" s="73"/>
      <c r="D957" s="73"/>
      <c r="E957" s="73">
        <v>180922430</v>
      </c>
      <c r="F957" s="42">
        <v>0</v>
      </c>
      <c r="G957" s="42">
        <f t="shared" si="15"/>
        <v>180922430</v>
      </c>
      <c r="H957" s="2" t="str">
        <f>VLOOKUP(A957,'MASTER 26 27'!A:B,2,0)</f>
        <v>Not Applicable</v>
      </c>
    </row>
    <row r="958" spans="1:8">
      <c r="A958" s="68" t="s">
        <v>1073</v>
      </c>
      <c r="B958" s="73">
        <v>-4259112</v>
      </c>
      <c r="C958" s="73">
        <v>45919</v>
      </c>
      <c r="D958" s="73"/>
      <c r="E958" s="73">
        <v>-4213193</v>
      </c>
      <c r="F958" s="42">
        <v>0</v>
      </c>
      <c r="G958" s="42">
        <f t="shared" si="15"/>
        <v>-4213193</v>
      </c>
      <c r="H958" s="2" t="str">
        <f>VLOOKUP(A958,'MASTER 26 27'!A:B,2,0)</f>
        <v>Not Applicable</v>
      </c>
    </row>
    <row r="959" spans="1:8">
      <c r="A959" s="68" t="s">
        <v>605</v>
      </c>
      <c r="B959" s="73"/>
      <c r="C959" s="73"/>
      <c r="D959" s="73"/>
      <c r="E959" s="73">
        <v>0</v>
      </c>
      <c r="F959" s="42">
        <v>0</v>
      </c>
      <c r="G959" s="42">
        <f t="shared" si="15"/>
        <v>0</v>
      </c>
      <c r="H959" s="2" t="str">
        <f>VLOOKUP(A959,'MASTER 26 27'!A:B,2,0)</f>
        <v>Not Applicable</v>
      </c>
    </row>
    <row r="960" spans="1:8">
      <c r="A960" s="68" t="s">
        <v>606</v>
      </c>
      <c r="B960" s="73"/>
      <c r="C960" s="73"/>
      <c r="D960" s="73"/>
      <c r="E960" s="73">
        <v>0</v>
      </c>
      <c r="F960" s="42">
        <v>0</v>
      </c>
      <c r="G960" s="42">
        <f t="shared" si="15"/>
        <v>0</v>
      </c>
      <c r="H960" s="2" t="str">
        <f>VLOOKUP(A960,'MASTER 26 27'!A:B,2,0)</f>
        <v>Not Applicable</v>
      </c>
    </row>
    <row r="961" spans="1:8">
      <c r="A961" s="68" t="s">
        <v>607</v>
      </c>
      <c r="B961" s="73">
        <v>-61818.42</v>
      </c>
      <c r="C961" s="73">
        <v>30812.85</v>
      </c>
      <c r="D961" s="73"/>
      <c r="E961" s="73">
        <v>-31005.57</v>
      </c>
      <c r="F961" s="42">
        <v>0</v>
      </c>
      <c r="G961" s="42">
        <f t="shared" si="15"/>
        <v>-31005.57</v>
      </c>
      <c r="H961" s="2" t="str">
        <f>VLOOKUP(A961,'MASTER 26 27'!A:B,2,0)</f>
        <v>Not Applicable</v>
      </c>
    </row>
    <row r="962" spans="1:8">
      <c r="A962" s="68" t="s">
        <v>608</v>
      </c>
      <c r="B962" s="73"/>
      <c r="C962" s="73"/>
      <c r="D962" s="73"/>
      <c r="E962" s="73">
        <v>0</v>
      </c>
      <c r="F962" s="42">
        <v>0</v>
      </c>
      <c r="G962" s="42">
        <f t="shared" si="15"/>
        <v>0</v>
      </c>
      <c r="H962" s="2" t="str">
        <f>VLOOKUP(A962,'MASTER 26 27'!A:B,2,0)</f>
        <v>Not Applicable</v>
      </c>
    </row>
    <row r="963" spans="1:8">
      <c r="A963" s="68" t="s">
        <v>1074</v>
      </c>
      <c r="B963" s="73">
        <v>185980265.36000001</v>
      </c>
      <c r="C963" s="73"/>
      <c r="D963" s="73"/>
      <c r="E963" s="73">
        <v>185980265.36000001</v>
      </c>
      <c r="F963" s="42">
        <v>0</v>
      </c>
      <c r="G963" s="42">
        <f t="shared" si="15"/>
        <v>185980265.36000001</v>
      </c>
      <c r="H963" s="2" t="str">
        <f>VLOOKUP(A963,'MASTER 26 27'!A:B,2,0)</f>
        <v>Not Applicable</v>
      </c>
    </row>
    <row r="964" spans="1:8">
      <c r="A964" s="68" t="s">
        <v>993</v>
      </c>
      <c r="B964" s="73">
        <v>895564656.16999996</v>
      </c>
      <c r="C964" s="73"/>
      <c r="D964" s="73"/>
      <c r="E964" s="73">
        <v>895564656.16999996</v>
      </c>
      <c r="F964" s="42">
        <v>0</v>
      </c>
      <c r="G964" s="42">
        <f t="shared" si="15"/>
        <v>895564656.16999996</v>
      </c>
      <c r="H964" s="2" t="str">
        <f>VLOOKUP(A964,'MASTER 26 27'!A:B,2,0)</f>
        <v>Not Applicable</v>
      </c>
    </row>
    <row r="965" spans="1:8">
      <c r="A965" s="68" t="s">
        <v>693</v>
      </c>
      <c r="B965" s="73">
        <v>5323173.38</v>
      </c>
      <c r="C965" s="73"/>
      <c r="D965" s="73"/>
      <c r="E965" s="73">
        <v>5323173.38</v>
      </c>
      <c r="F965" s="42">
        <v>0</v>
      </c>
      <c r="G965" s="42">
        <f t="shared" si="15"/>
        <v>5323173.38</v>
      </c>
      <c r="H965" s="2" t="str">
        <f>VLOOKUP(A965,'MASTER 26 27'!A:B,2,0)</f>
        <v>Not Applicable</v>
      </c>
    </row>
    <row r="966" spans="1:8">
      <c r="A966" s="68" t="s">
        <v>694</v>
      </c>
      <c r="B966" s="73">
        <v>30832921.030000001</v>
      </c>
      <c r="C966" s="73"/>
      <c r="D966" s="73"/>
      <c r="E966" s="73">
        <v>30832921.030000001</v>
      </c>
      <c r="F966" s="42">
        <v>0</v>
      </c>
      <c r="G966" s="42">
        <f t="shared" si="15"/>
        <v>30832921.030000001</v>
      </c>
      <c r="H966" s="2" t="str">
        <f>VLOOKUP(A966,'MASTER 26 27'!A:B,2,0)</f>
        <v>Not Applicable</v>
      </c>
    </row>
    <row r="967" spans="1:8">
      <c r="A967" s="68" t="s">
        <v>684</v>
      </c>
      <c r="B967" s="73">
        <v>-47435515.340000004</v>
      </c>
      <c r="C967" s="73">
        <v>8412157.1699999999</v>
      </c>
      <c r="D967" s="73">
        <v>9007983</v>
      </c>
      <c r="E967" s="73">
        <v>-48031341.170000002</v>
      </c>
      <c r="F967" s="42">
        <v>0</v>
      </c>
      <c r="G967" s="42">
        <f t="shared" ref="G967:G1030" si="16">+E967+F967</f>
        <v>-48031341.170000002</v>
      </c>
      <c r="H967" s="2" t="str">
        <f>VLOOKUP(A967,'MASTER 26 27'!A:B,2,0)</f>
        <v>Not Applicable</v>
      </c>
    </row>
    <row r="968" spans="1:8">
      <c r="A968" s="68" t="s">
        <v>685</v>
      </c>
      <c r="B968" s="73"/>
      <c r="C968" s="73"/>
      <c r="D968" s="73"/>
      <c r="E968" s="73">
        <v>0</v>
      </c>
      <c r="F968" s="42">
        <v>0</v>
      </c>
      <c r="G968" s="42">
        <f t="shared" si="16"/>
        <v>0</v>
      </c>
      <c r="H968" s="2" t="str">
        <f>VLOOKUP(A968,'MASTER 26 27'!A:B,2,0)</f>
        <v>Not Applicable</v>
      </c>
    </row>
    <row r="969" spans="1:8">
      <c r="A969" s="68" t="s">
        <v>686</v>
      </c>
      <c r="B969" s="73"/>
      <c r="C969" s="73"/>
      <c r="D969" s="73"/>
      <c r="E969" s="73">
        <v>0</v>
      </c>
      <c r="F969" s="42">
        <v>0</v>
      </c>
      <c r="G969" s="42">
        <f t="shared" si="16"/>
        <v>0</v>
      </c>
      <c r="H969" s="2" t="str">
        <f>VLOOKUP(A969,'MASTER 26 27'!A:B,2,0)</f>
        <v>Not Applicable</v>
      </c>
    </row>
    <row r="970" spans="1:8">
      <c r="A970" s="68" t="s">
        <v>443</v>
      </c>
      <c r="B970" s="73"/>
      <c r="C970" s="73"/>
      <c r="D970" s="73"/>
      <c r="E970" s="73">
        <v>0</v>
      </c>
      <c r="F970" s="42">
        <v>0</v>
      </c>
      <c r="G970" s="42">
        <f t="shared" si="16"/>
        <v>0</v>
      </c>
      <c r="H970" s="2" t="str">
        <f>VLOOKUP(A970,'MASTER 26 27'!A:B,2,0)</f>
        <v>Not Applicable</v>
      </c>
    </row>
    <row r="971" spans="1:8">
      <c r="A971" s="68" t="s">
        <v>444</v>
      </c>
      <c r="B971" s="73"/>
      <c r="C971" s="73"/>
      <c r="D971" s="73">
        <v>3569216.82</v>
      </c>
      <c r="E971" s="73">
        <v>-3569216.82</v>
      </c>
      <c r="F971" s="42">
        <v>0</v>
      </c>
      <c r="G971" s="42">
        <f t="shared" si="16"/>
        <v>-3569216.82</v>
      </c>
      <c r="H971" s="2" t="str">
        <f>VLOOKUP(A971,'MASTER 26 27'!A:B,2,0)</f>
        <v>Not Applicable</v>
      </c>
    </row>
    <row r="972" spans="1:8">
      <c r="A972" s="68" t="s">
        <v>1014</v>
      </c>
      <c r="B972" s="73">
        <v>-10682927.6</v>
      </c>
      <c r="C972" s="73">
        <v>3379703.88</v>
      </c>
      <c r="D972" s="73">
        <v>12875299.699999999</v>
      </c>
      <c r="E972" s="73">
        <v>-20178523.420000002</v>
      </c>
      <c r="F972" s="42">
        <v>0</v>
      </c>
      <c r="G972" s="42">
        <f t="shared" si="16"/>
        <v>-20178523.420000002</v>
      </c>
      <c r="H972" s="2" t="str">
        <f>VLOOKUP(A972,'MASTER 26 27'!A:B,2,0)</f>
        <v>Not Applicable</v>
      </c>
    </row>
    <row r="973" spans="1:8">
      <c r="A973" s="68" t="s">
        <v>445</v>
      </c>
      <c r="B973" s="73">
        <v>-3270891.23</v>
      </c>
      <c r="C973" s="73"/>
      <c r="D973" s="73"/>
      <c r="E973" s="73">
        <v>-3270891.23</v>
      </c>
      <c r="F973" s="42">
        <v>0</v>
      </c>
      <c r="G973" s="42">
        <f t="shared" si="16"/>
        <v>-3270891.23</v>
      </c>
      <c r="H973" s="2" t="str">
        <f>VLOOKUP(A973,'MASTER 26 27'!A:B,2,0)</f>
        <v>Not Applicable</v>
      </c>
    </row>
    <row r="974" spans="1:8">
      <c r="A974" s="68" t="s">
        <v>446</v>
      </c>
      <c r="B974" s="73">
        <v>12143287.42</v>
      </c>
      <c r="C974" s="73"/>
      <c r="D974" s="73"/>
      <c r="E974" s="73">
        <v>12143287.42</v>
      </c>
      <c r="F974" s="42">
        <v>0</v>
      </c>
      <c r="G974" s="42">
        <f t="shared" si="16"/>
        <v>12143287.42</v>
      </c>
      <c r="H974" s="2" t="str">
        <f>VLOOKUP(A974,'MASTER 26 27'!A:B,2,0)</f>
        <v>Not Applicable</v>
      </c>
    </row>
    <row r="975" spans="1:8">
      <c r="A975" s="68" t="s">
        <v>1024</v>
      </c>
      <c r="B975" s="73">
        <v>-40751393.149999999</v>
      </c>
      <c r="C975" s="73">
        <v>6365153.0499999998</v>
      </c>
      <c r="D975" s="73">
        <v>3925251.18</v>
      </c>
      <c r="E975" s="73">
        <v>-38311491.280000001</v>
      </c>
      <c r="F975" s="42">
        <v>0</v>
      </c>
      <c r="G975" s="42">
        <f t="shared" si="16"/>
        <v>-38311491.280000001</v>
      </c>
      <c r="H975" s="2" t="str">
        <f>VLOOKUP(A975,'MASTER 26 27'!A:B,2,0)</f>
        <v>Not Applicable</v>
      </c>
    </row>
    <row r="976" spans="1:8">
      <c r="A976" s="68" t="s">
        <v>503</v>
      </c>
      <c r="B976" s="73">
        <v>64703271.210000001</v>
      </c>
      <c r="C976" s="73"/>
      <c r="D976" s="73"/>
      <c r="E976" s="73">
        <v>64703271.210000001</v>
      </c>
      <c r="F976" s="42">
        <v>0</v>
      </c>
      <c r="G976" s="42">
        <f t="shared" si="16"/>
        <v>64703271.210000001</v>
      </c>
      <c r="H976" s="2" t="str">
        <f>VLOOKUP(A976,'MASTER 26 27'!A:B,2,0)</f>
        <v>Not Applicable</v>
      </c>
    </row>
    <row r="977" spans="1:8">
      <c r="A977" s="68" t="s">
        <v>496</v>
      </c>
      <c r="B977" s="73">
        <v>-6438533</v>
      </c>
      <c r="C977" s="73"/>
      <c r="D977" s="73"/>
      <c r="E977" s="73">
        <v>-6438533</v>
      </c>
      <c r="F977" s="42">
        <v>0</v>
      </c>
      <c r="G977" s="42">
        <f t="shared" si="16"/>
        <v>-6438533</v>
      </c>
      <c r="H977" s="2" t="str">
        <f>VLOOKUP(A977,'MASTER 26 27'!A:B,2,0)</f>
        <v>Not Applicable</v>
      </c>
    </row>
    <row r="978" spans="1:8">
      <c r="A978" s="68" t="s">
        <v>488</v>
      </c>
      <c r="B978" s="73">
        <v>-173498418.13</v>
      </c>
      <c r="C978" s="73"/>
      <c r="D978" s="73"/>
      <c r="E978" s="73">
        <v>-173498418.13</v>
      </c>
      <c r="F978" s="42">
        <v>0</v>
      </c>
      <c r="G978" s="42">
        <f t="shared" si="16"/>
        <v>-173498418.13</v>
      </c>
      <c r="H978" s="2" t="str">
        <f>VLOOKUP(A978,'MASTER 26 27'!A:B,2,0)</f>
        <v>Not Applicable</v>
      </c>
    </row>
    <row r="979" spans="1:8">
      <c r="A979" s="68" t="s">
        <v>489</v>
      </c>
      <c r="B979" s="73">
        <v>-683479.05</v>
      </c>
      <c r="C979" s="73">
        <v>651344.05000000005</v>
      </c>
      <c r="D979" s="73"/>
      <c r="E979" s="73">
        <v>-32135</v>
      </c>
      <c r="F979" s="42">
        <v>0</v>
      </c>
      <c r="G979" s="42">
        <f t="shared" si="16"/>
        <v>-32135</v>
      </c>
      <c r="H979" s="2" t="str">
        <f>VLOOKUP(A979,'MASTER 26 27'!A:B,2,0)</f>
        <v>Not Applicable</v>
      </c>
    </row>
    <row r="980" spans="1:8">
      <c r="A980" s="68" t="s">
        <v>490</v>
      </c>
      <c r="B980" s="73">
        <v>162669</v>
      </c>
      <c r="C980" s="73"/>
      <c r="D980" s="73"/>
      <c r="E980" s="73">
        <v>162669</v>
      </c>
      <c r="F980" s="42">
        <v>0</v>
      </c>
      <c r="G980" s="42">
        <f t="shared" si="16"/>
        <v>162669</v>
      </c>
      <c r="H980" s="2" t="str">
        <f>VLOOKUP(A980,'MASTER 26 27'!A:B,2,0)</f>
        <v>Not Applicable</v>
      </c>
    </row>
    <row r="981" spans="1:8">
      <c r="A981" s="68" t="s">
        <v>491</v>
      </c>
      <c r="B981" s="73">
        <v>-10188.9</v>
      </c>
      <c r="C981" s="73"/>
      <c r="D981" s="73"/>
      <c r="E981" s="73">
        <v>-10188.9</v>
      </c>
      <c r="F981" s="42">
        <v>0</v>
      </c>
      <c r="G981" s="42">
        <f t="shared" si="16"/>
        <v>-10188.9</v>
      </c>
      <c r="H981" s="2" t="str">
        <f>VLOOKUP(A981,'MASTER 26 27'!A:B,2,0)</f>
        <v>Not Applicable</v>
      </c>
    </row>
    <row r="982" spans="1:8">
      <c r="A982" s="68" t="s">
        <v>492</v>
      </c>
      <c r="B982" s="73">
        <v>-1425427</v>
      </c>
      <c r="C982" s="73"/>
      <c r="D982" s="73"/>
      <c r="E982" s="73">
        <v>-1425427</v>
      </c>
      <c r="F982" s="42">
        <v>0</v>
      </c>
      <c r="G982" s="42">
        <f t="shared" si="16"/>
        <v>-1425427</v>
      </c>
      <c r="H982" s="2" t="str">
        <f>VLOOKUP(A982,'MASTER 26 27'!A:B,2,0)</f>
        <v>Not Applicable</v>
      </c>
    </row>
    <row r="983" spans="1:8">
      <c r="A983" s="68" t="s">
        <v>751</v>
      </c>
      <c r="B983" s="73"/>
      <c r="C983" s="73"/>
      <c r="D983" s="73">
        <v>195465.60000000001</v>
      </c>
      <c r="E983" s="73">
        <v>-195465.60000000001</v>
      </c>
      <c r="F983" s="42">
        <v>0</v>
      </c>
      <c r="G983" s="42">
        <f t="shared" si="16"/>
        <v>-195465.60000000001</v>
      </c>
      <c r="H983" s="2" t="str">
        <f>VLOOKUP(A983,'MASTER 26 27'!A:B,2,0)</f>
        <v>Sale of Finished Goods</v>
      </c>
    </row>
    <row r="984" spans="1:8">
      <c r="A984" s="68" t="s">
        <v>749</v>
      </c>
      <c r="B984" s="73"/>
      <c r="C984" s="73"/>
      <c r="D984" s="73">
        <v>1078476</v>
      </c>
      <c r="E984" s="73">
        <v>-1078476</v>
      </c>
      <c r="F984" s="42">
        <v>0</v>
      </c>
      <c r="G984" s="42">
        <f t="shared" si="16"/>
        <v>-1078476</v>
      </c>
      <c r="H984" s="2" t="str">
        <f>VLOOKUP(A984,'MASTER 26 27'!A:B,2,0)</f>
        <v>Sale of Finished Goods</v>
      </c>
    </row>
    <row r="985" spans="1:8">
      <c r="A985" s="68" t="s">
        <v>752</v>
      </c>
      <c r="B985" s="73"/>
      <c r="C985" s="73"/>
      <c r="D985" s="73">
        <v>36483007.969999999</v>
      </c>
      <c r="E985" s="73">
        <v>-36483007.969999999</v>
      </c>
      <c r="F985" s="42">
        <v>0</v>
      </c>
      <c r="G985" s="42">
        <f t="shared" si="16"/>
        <v>-36483007.969999999</v>
      </c>
      <c r="H985" s="2" t="str">
        <f>VLOOKUP(A985,'MASTER 26 27'!A:B,2,0)</f>
        <v>Sale of Finished Goods</v>
      </c>
    </row>
    <row r="986" spans="1:8">
      <c r="A986" s="68" t="s">
        <v>747</v>
      </c>
      <c r="B986" s="73"/>
      <c r="C986" s="73"/>
      <c r="D986" s="73">
        <v>60138540.479999997</v>
      </c>
      <c r="E986" s="73">
        <v>-60138540.479999997</v>
      </c>
      <c r="F986" s="42">
        <v>0</v>
      </c>
      <c r="G986" s="42">
        <f t="shared" si="16"/>
        <v>-60138540.479999997</v>
      </c>
      <c r="H986" s="2" t="str">
        <f>VLOOKUP(A986,'MASTER 26 27'!A:B,2,0)</f>
        <v>Sale of Finished Goods</v>
      </c>
    </row>
    <row r="987" spans="1:8">
      <c r="A987" s="68" t="s">
        <v>746</v>
      </c>
      <c r="B987" s="73"/>
      <c r="C987" s="73"/>
      <c r="D987" s="73">
        <v>3826534.53</v>
      </c>
      <c r="E987" s="73">
        <v>-3826534.53</v>
      </c>
      <c r="F987" s="42">
        <v>0</v>
      </c>
      <c r="G987" s="42">
        <f t="shared" si="16"/>
        <v>-3826534.53</v>
      </c>
      <c r="H987" s="2" t="str">
        <f>VLOOKUP(A987,'MASTER 26 27'!A:B,2,0)</f>
        <v>Income from Jobwork charges</v>
      </c>
    </row>
    <row r="988" spans="1:8">
      <c r="A988" s="68" t="s">
        <v>743</v>
      </c>
      <c r="B988" s="73"/>
      <c r="C988" s="73"/>
      <c r="D988" s="73">
        <v>3777422.84</v>
      </c>
      <c r="E988" s="73">
        <v>-3777422.84</v>
      </c>
      <c r="F988" s="42">
        <v>0</v>
      </c>
      <c r="G988" s="42">
        <f t="shared" si="16"/>
        <v>-3777422.84</v>
      </c>
      <c r="H988" s="2" t="str">
        <f>VLOOKUP(A988,'MASTER 26 27'!A:B,2,0)</f>
        <v>Sale of Finished Goods</v>
      </c>
    </row>
    <row r="989" spans="1:8">
      <c r="A989" s="68" t="s">
        <v>932</v>
      </c>
      <c r="B989" s="73"/>
      <c r="C989" s="73"/>
      <c r="D989" s="73">
        <v>4270007</v>
      </c>
      <c r="E989" s="73">
        <v>-4270007</v>
      </c>
      <c r="F989" s="42">
        <v>0</v>
      </c>
      <c r="G989" s="42">
        <f t="shared" si="16"/>
        <v>-4270007</v>
      </c>
      <c r="H989" s="2" t="str">
        <f>VLOOKUP(A989,'MASTER 26 27'!A:B,2,0)</f>
        <v>Sale of traded goods</v>
      </c>
    </row>
    <row r="990" spans="1:8">
      <c r="A990" s="68" t="s">
        <v>1108</v>
      </c>
      <c r="B990" s="73"/>
      <c r="C990" s="73"/>
      <c r="D990" s="73">
        <v>394739.88</v>
      </c>
      <c r="E990" s="73">
        <v>-394739.88</v>
      </c>
      <c r="F990" s="42">
        <v>0</v>
      </c>
      <c r="G990" s="42">
        <f t="shared" si="16"/>
        <v>-394739.88</v>
      </c>
      <c r="H990" s="2" t="str">
        <f>VLOOKUP(A990,'MASTER 26 27'!A:B,2,0)</f>
        <v>Sale of traded goods</v>
      </c>
    </row>
    <row r="991" spans="1:8">
      <c r="A991" s="68" t="s">
        <v>1107</v>
      </c>
      <c r="B991" s="73"/>
      <c r="C991" s="73"/>
      <c r="D991" s="73">
        <v>1274150.2</v>
      </c>
      <c r="E991" s="73">
        <v>-1274150.2</v>
      </c>
      <c r="F991" s="42">
        <v>0</v>
      </c>
      <c r="G991" s="42">
        <f t="shared" si="16"/>
        <v>-1274150.2</v>
      </c>
      <c r="H991" s="2" t="str">
        <f>VLOOKUP(A991,'MASTER 26 27'!A:B,2,0)</f>
        <v>Sale of traded goods</v>
      </c>
    </row>
    <row r="992" spans="1:8">
      <c r="A992" s="68" t="s">
        <v>753</v>
      </c>
      <c r="B992" s="73"/>
      <c r="C992" s="73"/>
      <c r="D992" s="73">
        <v>5630432.5999999996</v>
      </c>
      <c r="E992" s="73">
        <v>-5630432.5999999996</v>
      </c>
      <c r="F992" s="42">
        <v>0</v>
      </c>
      <c r="G992" s="42">
        <f t="shared" si="16"/>
        <v>-5630432.5999999996</v>
      </c>
      <c r="H992" s="2" t="str">
        <f>VLOOKUP(A992,'MASTER 26 27'!A:B,2,0)</f>
        <v>Sale of Traded Goods</v>
      </c>
    </row>
    <row r="993" spans="1:8">
      <c r="A993" s="68" t="s">
        <v>20</v>
      </c>
      <c r="B993" s="73"/>
      <c r="C993" s="73"/>
      <c r="D993" s="73">
        <v>141100</v>
      </c>
      <c r="E993" s="73">
        <v>-141100</v>
      </c>
      <c r="F993" s="42">
        <v>0</v>
      </c>
      <c r="G993" s="42">
        <f t="shared" si="16"/>
        <v>-141100</v>
      </c>
      <c r="H993" s="2" t="str">
        <f>VLOOKUP(A993,'MASTER 26 27'!A:B,2,0)</f>
        <v>Sales - Waste &amp; Scrape</v>
      </c>
    </row>
    <row r="994" spans="1:8">
      <c r="A994" s="68" t="s">
        <v>745</v>
      </c>
      <c r="B994" s="73"/>
      <c r="C994" s="73"/>
      <c r="D994" s="73">
        <v>924855</v>
      </c>
      <c r="E994" s="73">
        <v>-924855</v>
      </c>
      <c r="F994" s="42">
        <v>0</v>
      </c>
      <c r="G994" s="42">
        <f t="shared" si="16"/>
        <v>-924855</v>
      </c>
      <c r="H994" s="2" t="str">
        <f>VLOOKUP(A994,'MASTER 26 27'!A:B,2,0)</f>
        <v>Wind mill income</v>
      </c>
    </row>
    <row r="995" spans="1:8">
      <c r="A995" s="68" t="s">
        <v>828</v>
      </c>
      <c r="B995" s="73"/>
      <c r="C995" s="73"/>
      <c r="D995" s="73">
        <v>407650</v>
      </c>
      <c r="E995" s="73">
        <v>-407650</v>
      </c>
      <c r="F995" s="42">
        <v>0</v>
      </c>
      <c r="G995" s="42">
        <f t="shared" si="16"/>
        <v>-407650</v>
      </c>
      <c r="H995" s="2" t="str">
        <f>VLOOKUP(A995,'MASTER 26 27'!A:B,2,0)</f>
        <v>Add: Purchase expenses</v>
      </c>
    </row>
    <row r="996" spans="1:8">
      <c r="A996" s="68" t="s">
        <v>780</v>
      </c>
      <c r="B996" s="73"/>
      <c r="C996" s="73">
        <v>150</v>
      </c>
      <c r="D996" s="73"/>
      <c r="E996" s="73">
        <v>150</v>
      </c>
      <c r="F996" s="42">
        <v>0</v>
      </c>
      <c r="G996" s="42">
        <f t="shared" si="16"/>
        <v>150</v>
      </c>
      <c r="H996" s="2" t="str">
        <f>VLOOKUP(A996,'MASTER 26 27'!A:B,2,0)</f>
        <v>Add: Purchase expenses</v>
      </c>
    </row>
    <row r="997" spans="1:8">
      <c r="A997" s="68" t="s">
        <v>764</v>
      </c>
      <c r="B997" s="73"/>
      <c r="C997" s="73">
        <v>18.43</v>
      </c>
      <c r="D997" s="73">
        <v>10.56</v>
      </c>
      <c r="E997" s="73">
        <v>7.87</v>
      </c>
      <c r="F997" s="42">
        <v>0</v>
      </c>
      <c r="G997" s="42">
        <f t="shared" si="16"/>
        <v>7.87</v>
      </c>
      <c r="H997" s="2" t="str">
        <f>VLOOKUP(A997,'MASTER 26 27'!A:B,2,0)</f>
        <v>Not Applicable</v>
      </c>
    </row>
    <row r="998" spans="1:8">
      <c r="A998" s="68" t="s">
        <v>808</v>
      </c>
      <c r="B998" s="73"/>
      <c r="C998" s="73">
        <v>37228</v>
      </c>
      <c r="D998" s="73"/>
      <c r="E998" s="73">
        <v>37228</v>
      </c>
      <c r="F998" s="42">
        <v>0</v>
      </c>
      <c r="G998" s="42">
        <f t="shared" si="16"/>
        <v>37228</v>
      </c>
      <c r="H998" s="2" t="str">
        <f>VLOOKUP(A998,'MASTER 26 27'!A:B,2,0)</f>
        <v>Add: Purchase expenses</v>
      </c>
    </row>
    <row r="999" spans="1:8">
      <c r="A999" s="68" t="s">
        <v>809</v>
      </c>
      <c r="B999" s="73"/>
      <c r="C999" s="73">
        <v>38920.9</v>
      </c>
      <c r="D999" s="73">
        <v>12500</v>
      </c>
      <c r="E999" s="73">
        <v>26420.9</v>
      </c>
      <c r="F999" s="42">
        <v>0</v>
      </c>
      <c r="G999" s="42">
        <f t="shared" si="16"/>
        <v>26420.9</v>
      </c>
      <c r="H999" s="2" t="str">
        <f>VLOOKUP(A999,'MASTER 26 27'!A:B,2,0)</f>
        <v>Add: Purchase expenses</v>
      </c>
    </row>
    <row r="1000" spans="1:8">
      <c r="A1000" s="68" t="s">
        <v>825</v>
      </c>
      <c r="B1000" s="73"/>
      <c r="C1000" s="73">
        <v>94466</v>
      </c>
      <c r="D1000" s="73"/>
      <c r="E1000" s="73">
        <v>94466</v>
      </c>
      <c r="F1000" s="42">
        <v>0</v>
      </c>
      <c r="G1000" s="42">
        <f t="shared" si="16"/>
        <v>94466</v>
      </c>
      <c r="H1000" s="2" t="str">
        <f>VLOOKUP(A1000,'MASTER 26 27'!A:B,2,0)</f>
        <v>Add: Purchase of Stores, Spares &amp; Consumables</v>
      </c>
    </row>
    <row r="1001" spans="1:8">
      <c r="A1001" s="68" t="s">
        <v>833</v>
      </c>
      <c r="B1001" s="73"/>
      <c r="C1001" s="73">
        <v>89926</v>
      </c>
      <c r="D1001" s="73"/>
      <c r="E1001" s="73">
        <v>89926</v>
      </c>
      <c r="F1001" s="42">
        <v>0</v>
      </c>
      <c r="G1001" s="42">
        <f t="shared" si="16"/>
        <v>89926</v>
      </c>
      <c r="H1001" s="2" t="str">
        <f>VLOOKUP(A1001,'MASTER 26 27'!A:B,2,0)</f>
        <v>Other Administrative Expenses</v>
      </c>
    </row>
    <row r="1002" spans="1:8">
      <c r="A1002" s="68" t="s">
        <v>806</v>
      </c>
      <c r="B1002" s="73"/>
      <c r="C1002" s="73">
        <v>4472</v>
      </c>
      <c r="D1002" s="73"/>
      <c r="E1002" s="73">
        <v>4472</v>
      </c>
      <c r="F1002" s="42">
        <v>0</v>
      </c>
      <c r="G1002" s="42">
        <f t="shared" si="16"/>
        <v>4472</v>
      </c>
      <c r="H1002" s="2" t="str">
        <f>VLOOKUP(A1002,'MASTER 26 27'!A:B,2,0)</f>
        <v>Other Administrative Expenses</v>
      </c>
    </row>
    <row r="1003" spans="1:8">
      <c r="A1003" s="68" t="s">
        <v>800</v>
      </c>
      <c r="B1003" s="73"/>
      <c r="C1003" s="73">
        <v>148933</v>
      </c>
      <c r="D1003" s="73"/>
      <c r="E1003" s="73">
        <v>148933</v>
      </c>
      <c r="F1003" s="42">
        <v>7857975</v>
      </c>
      <c r="G1003" s="42">
        <f t="shared" si="16"/>
        <v>8006908</v>
      </c>
      <c r="H1003" s="2" t="str">
        <f>VLOOKUP(A1003,'MASTER 26 27'!A:B,2,0)</f>
        <v>Labour charges</v>
      </c>
    </row>
    <row r="1004" spans="1:8">
      <c r="A1004" s="68" t="s">
        <v>785</v>
      </c>
      <c r="B1004" s="73"/>
      <c r="C1004" s="73">
        <v>4561154</v>
      </c>
      <c r="D1004" s="73"/>
      <c r="E1004" s="73">
        <v>4561154</v>
      </c>
      <c r="F1004" s="42">
        <v>0</v>
      </c>
      <c r="G1004" s="42">
        <f t="shared" si="16"/>
        <v>4561154</v>
      </c>
      <c r="H1004" s="2" t="str">
        <f>VLOOKUP(A1004,'MASTER 26 27'!A:B,2,0)</f>
        <v>Power and fuel</v>
      </c>
    </row>
    <row r="1005" spans="1:8">
      <c r="A1005" s="68" t="s">
        <v>762</v>
      </c>
      <c r="B1005" s="73"/>
      <c r="C1005" s="73">
        <v>370400</v>
      </c>
      <c r="D1005" s="73"/>
      <c r="E1005" s="73">
        <v>370400</v>
      </c>
      <c r="F1005" s="42">
        <v>0</v>
      </c>
      <c r="G1005" s="42">
        <f t="shared" si="16"/>
        <v>370400</v>
      </c>
      <c r="H1005" s="2" t="str">
        <f>VLOOKUP(A1005,'MASTER 26 27'!A:B,2,0)</f>
        <v>Other Administrative Expenses</v>
      </c>
    </row>
    <row r="1006" spans="1:8">
      <c r="A1006" s="68" t="s">
        <v>1049</v>
      </c>
      <c r="B1006" s="73"/>
      <c r="C1006" s="73">
        <v>150000</v>
      </c>
      <c r="D1006" s="73"/>
      <c r="E1006" s="73">
        <v>150000</v>
      </c>
      <c r="F1006" s="42">
        <v>0</v>
      </c>
      <c r="G1006" s="42">
        <f t="shared" si="16"/>
        <v>150000</v>
      </c>
      <c r="H1006" s="2" t="str">
        <f>VLOOKUP(A1006,'MASTER 26 27'!A:B,2,0)</f>
        <v>Other Administrative Expenses</v>
      </c>
    </row>
    <row r="1007" spans="1:8">
      <c r="A1007" s="68" t="s">
        <v>799</v>
      </c>
      <c r="B1007" s="73"/>
      <c r="C1007" s="73">
        <v>1673485.51</v>
      </c>
      <c r="D1007" s="73"/>
      <c r="E1007" s="73">
        <v>1673485.51</v>
      </c>
      <c r="F1007" s="42">
        <v>0</v>
      </c>
      <c r="G1007" s="42">
        <f t="shared" si="16"/>
        <v>1673485.51</v>
      </c>
      <c r="H1007" s="2" t="str">
        <f>VLOOKUP(A1007,'MASTER 26 27'!A:B,2,0)</f>
        <v xml:space="preserve">Jobwork charges </v>
      </c>
    </row>
    <row r="1008" spans="1:8">
      <c r="A1008" s="68" t="s">
        <v>803</v>
      </c>
      <c r="B1008" s="73"/>
      <c r="C1008" s="73">
        <v>6110</v>
      </c>
      <c r="D1008" s="73"/>
      <c r="E1008" s="73">
        <v>6110</v>
      </c>
      <c r="F1008" s="42">
        <v>69895</v>
      </c>
      <c r="G1008" s="42">
        <f t="shared" si="16"/>
        <v>76005</v>
      </c>
      <c r="H1008" s="2" t="str">
        <f>VLOOKUP(A1008,'MASTER 26 27'!A:B,2,0)</f>
        <v>Freight Outward and C &amp; F Charges</v>
      </c>
    </row>
    <row r="1009" spans="1:8">
      <c r="A1009" s="68" t="s">
        <v>789</v>
      </c>
      <c r="B1009" s="73"/>
      <c r="C1009" s="73">
        <v>52200</v>
      </c>
      <c r="D1009" s="73"/>
      <c r="E1009" s="73">
        <v>52200</v>
      </c>
      <c r="F1009" s="42">
        <v>0</v>
      </c>
      <c r="G1009" s="42">
        <f t="shared" si="16"/>
        <v>52200</v>
      </c>
      <c r="H1009" s="2" t="str">
        <f>VLOOKUP(A1009,'MASTER 26 27'!A:B,2,0)</f>
        <v>Other Manufacturing Expenses</v>
      </c>
    </row>
    <row r="1010" spans="1:8">
      <c r="A1010" s="68" t="s">
        <v>791</v>
      </c>
      <c r="B1010" s="73"/>
      <c r="C1010" s="73">
        <v>62905</v>
      </c>
      <c r="D1010" s="73"/>
      <c r="E1010" s="73">
        <v>62905</v>
      </c>
      <c r="F1010" s="42">
        <v>0</v>
      </c>
      <c r="G1010" s="42">
        <f t="shared" si="16"/>
        <v>62905</v>
      </c>
      <c r="H1010" s="2" t="str">
        <f>VLOOKUP(A1010,'MASTER 26 27'!A:B,2,0)</f>
        <v>Other Administrative Expenses</v>
      </c>
    </row>
    <row r="1011" spans="1:8">
      <c r="A1011" s="68" t="s">
        <v>792</v>
      </c>
      <c r="B1011" s="73"/>
      <c r="C1011" s="73">
        <v>30180</v>
      </c>
      <c r="D1011" s="73"/>
      <c r="E1011" s="73">
        <v>30180</v>
      </c>
      <c r="F1011" s="42">
        <v>0</v>
      </c>
      <c r="G1011" s="42">
        <f t="shared" si="16"/>
        <v>30180</v>
      </c>
      <c r="H1011" s="2" t="str">
        <f>VLOOKUP(A1011,'MASTER 26 27'!A:B,2,0)</f>
        <v>Other Manufacturing Expenses</v>
      </c>
    </row>
    <row r="1012" spans="1:8">
      <c r="A1012" s="68" t="s">
        <v>761</v>
      </c>
      <c r="B1012" s="73"/>
      <c r="C1012" s="73">
        <v>136931.44</v>
      </c>
      <c r="D1012" s="73"/>
      <c r="E1012" s="73">
        <v>136931.44</v>
      </c>
      <c r="F1012" s="42">
        <v>0</v>
      </c>
      <c r="G1012" s="42">
        <f t="shared" si="16"/>
        <v>136931.44</v>
      </c>
      <c r="H1012" s="2" t="str">
        <f>VLOOKUP(A1012,'MASTER 26 27'!A:B,2,0)</f>
        <v>Other Manufacturing Expenses</v>
      </c>
    </row>
    <row r="1013" spans="1:8">
      <c r="A1013" s="68" t="s">
        <v>819</v>
      </c>
      <c r="B1013" s="73"/>
      <c r="C1013" s="73">
        <v>2448</v>
      </c>
      <c r="D1013" s="73"/>
      <c r="E1013" s="73">
        <v>2448</v>
      </c>
      <c r="F1013" s="42">
        <v>0</v>
      </c>
      <c r="G1013" s="42">
        <f t="shared" si="16"/>
        <v>2448</v>
      </c>
      <c r="H1013" s="2" t="str">
        <f>VLOOKUP(A1013,'MASTER 26 27'!A:B,2,0)</f>
        <v>Add: Purchase of packing materials</v>
      </c>
    </row>
    <row r="1014" spans="1:8">
      <c r="A1014" s="68" t="s">
        <v>820</v>
      </c>
      <c r="B1014" s="73"/>
      <c r="C1014" s="73">
        <v>30771443.91</v>
      </c>
      <c r="D1014" s="73"/>
      <c r="E1014" s="73">
        <v>30771443.91</v>
      </c>
      <c r="F1014" s="42">
        <v>0</v>
      </c>
      <c r="G1014" s="42">
        <f t="shared" si="16"/>
        <v>30771443.91</v>
      </c>
      <c r="H1014" s="2" t="str">
        <f>VLOOKUP(A1014,'MASTER 26 27'!A:B,2,0)</f>
        <v>Add: Purchase of raw materials</v>
      </c>
    </row>
    <row r="1015" spans="1:8">
      <c r="A1015" s="68" t="s">
        <v>966</v>
      </c>
      <c r="B1015" s="73"/>
      <c r="C1015" s="73">
        <v>32596</v>
      </c>
      <c r="D1015" s="73"/>
      <c r="E1015" s="73">
        <v>32596</v>
      </c>
      <c r="F1015" s="42">
        <v>0</v>
      </c>
      <c r="G1015" s="42">
        <f t="shared" si="16"/>
        <v>32596</v>
      </c>
      <c r="H1015" s="2" t="str">
        <f>VLOOKUP(A1015,'MASTER 26 27'!A:B,2,0)</f>
        <v>Add: Purchase of Stores, Spares &amp; Consumables</v>
      </c>
    </row>
    <row r="1016" spans="1:8">
      <c r="A1016" s="68" t="s">
        <v>772</v>
      </c>
      <c r="B1016" s="73"/>
      <c r="C1016" s="73">
        <v>240095</v>
      </c>
      <c r="D1016" s="73"/>
      <c r="E1016" s="73">
        <v>240095</v>
      </c>
      <c r="F1016" s="42">
        <v>0</v>
      </c>
      <c r="G1016" s="42">
        <f t="shared" si="16"/>
        <v>240095</v>
      </c>
      <c r="H1016" s="2" t="str">
        <f>VLOOKUP(A1016,'MASTER 26 27'!A:B,2,0)</f>
        <v>Add: Purchase of packing materials</v>
      </c>
    </row>
    <row r="1017" spans="1:8">
      <c r="A1017" s="68" t="s">
        <v>766</v>
      </c>
      <c r="B1017" s="73"/>
      <c r="C1017" s="73">
        <v>440749</v>
      </c>
      <c r="D1017" s="73"/>
      <c r="E1017" s="73">
        <v>440749</v>
      </c>
      <c r="F1017" s="42">
        <v>0</v>
      </c>
      <c r="G1017" s="42">
        <f t="shared" si="16"/>
        <v>440749</v>
      </c>
      <c r="H1017" s="2" t="str">
        <f>VLOOKUP(A1017,'MASTER 26 27'!A:B,2,0)</f>
        <v>Add: Purchase of raw materials</v>
      </c>
    </row>
    <row r="1018" spans="1:8">
      <c r="A1018" s="68" t="s">
        <v>771</v>
      </c>
      <c r="B1018" s="73"/>
      <c r="C1018" s="73">
        <v>40389850.509999998</v>
      </c>
      <c r="D1018" s="73"/>
      <c r="E1018" s="73">
        <v>40389850.509999998</v>
      </c>
      <c r="F1018" s="42">
        <v>0</v>
      </c>
      <c r="G1018" s="42">
        <f t="shared" si="16"/>
        <v>40389850.509999998</v>
      </c>
      <c r="H1018" s="2" t="str">
        <f>VLOOKUP(A1018,'MASTER 26 27'!A:B,2,0)</f>
        <v>Add: Purchase of raw materials</v>
      </c>
    </row>
    <row r="1019" spans="1:8">
      <c r="A1019" s="68" t="s">
        <v>765</v>
      </c>
      <c r="B1019" s="73"/>
      <c r="C1019" s="73">
        <v>7741</v>
      </c>
      <c r="D1019" s="73"/>
      <c r="E1019" s="73">
        <v>7741</v>
      </c>
      <c r="F1019" s="42">
        <v>0</v>
      </c>
      <c r="G1019" s="42">
        <f t="shared" si="16"/>
        <v>7741</v>
      </c>
      <c r="H1019" s="2" t="str">
        <f>VLOOKUP(A1019,'MASTER 26 27'!A:B,2,0)</f>
        <v>Add: Purchase of Stores, Spares &amp; Consumables</v>
      </c>
    </row>
    <row r="1020" spans="1:8">
      <c r="A1020" s="68" t="s">
        <v>768</v>
      </c>
      <c r="B1020" s="73"/>
      <c r="C1020" s="73">
        <v>360736.95</v>
      </c>
      <c r="D1020" s="73"/>
      <c r="E1020" s="73">
        <v>360736.95</v>
      </c>
      <c r="F1020" s="42">
        <v>0</v>
      </c>
      <c r="G1020" s="42">
        <f t="shared" si="16"/>
        <v>360736.95</v>
      </c>
      <c r="H1020" s="2" t="str">
        <f>VLOOKUP(A1020,'MASTER 26 27'!A:B,2,0)</f>
        <v>Add: Purchase of Stores, Spares &amp; Consumables</v>
      </c>
    </row>
    <row r="1021" spans="1:8">
      <c r="A1021" s="68" t="s">
        <v>773</v>
      </c>
      <c r="B1021" s="73"/>
      <c r="C1021" s="73">
        <v>2346623.11</v>
      </c>
      <c r="D1021" s="73"/>
      <c r="E1021" s="73">
        <v>2346623.11</v>
      </c>
      <c r="F1021" s="42">
        <v>0</v>
      </c>
      <c r="G1021" s="42">
        <f t="shared" si="16"/>
        <v>2346623.11</v>
      </c>
      <c r="H1021" s="2" t="str">
        <f>VLOOKUP(A1021,'MASTER 26 27'!A:B,2,0)</f>
        <v>Add: Purchase of Stores, Spares &amp; Consumables</v>
      </c>
    </row>
    <row r="1022" spans="1:8">
      <c r="A1022" s="68" t="s">
        <v>770</v>
      </c>
      <c r="B1022" s="73"/>
      <c r="C1022" s="73">
        <v>8579200</v>
      </c>
      <c r="D1022" s="73"/>
      <c r="E1022" s="73">
        <v>8579200</v>
      </c>
      <c r="F1022" s="42">
        <v>0</v>
      </c>
      <c r="G1022" s="42">
        <f t="shared" si="16"/>
        <v>8579200</v>
      </c>
      <c r="H1022" s="2" t="str">
        <f>VLOOKUP(A1022,'MASTER 26 27'!A:B,2,0)</f>
        <v>Add: Purchase of raw materials</v>
      </c>
    </row>
    <row r="1023" spans="1:8">
      <c r="A1023" s="68" t="s">
        <v>827</v>
      </c>
      <c r="B1023" s="73"/>
      <c r="C1023" s="73">
        <v>69477</v>
      </c>
      <c r="D1023" s="73"/>
      <c r="E1023" s="73">
        <v>69477</v>
      </c>
      <c r="F1023" s="42">
        <v>0</v>
      </c>
      <c r="G1023" s="42">
        <f t="shared" si="16"/>
        <v>69477</v>
      </c>
      <c r="H1023" s="2" t="str">
        <f>VLOOKUP(A1023,'MASTER 26 27'!A:B,2,0)</f>
        <v>Conveyance, vehicle running and traveling expenses</v>
      </c>
    </row>
    <row r="1024" spans="1:8">
      <c r="A1024" s="68" t="s">
        <v>1305</v>
      </c>
      <c r="B1024" s="73"/>
      <c r="C1024" s="73">
        <v>304997</v>
      </c>
      <c r="D1024" s="73"/>
      <c r="E1024" s="73">
        <v>304997</v>
      </c>
      <c r="F1024" s="42">
        <v>0</v>
      </c>
      <c r="G1024" s="42">
        <f t="shared" si="16"/>
        <v>304997</v>
      </c>
      <c r="H1024" s="2" t="str">
        <f>VLOOKUP(A1024,'MASTER 26 27'!A:B,2,0)</f>
        <v>Other Administrative Expenses</v>
      </c>
    </row>
    <row r="1025" spans="1:8">
      <c r="A1025" s="68" t="s">
        <v>832</v>
      </c>
      <c r="B1025" s="73"/>
      <c r="C1025" s="73">
        <v>729426</v>
      </c>
      <c r="D1025" s="73"/>
      <c r="E1025" s="73">
        <v>729426</v>
      </c>
      <c r="F1025" s="42">
        <v>0</v>
      </c>
      <c r="G1025" s="42">
        <f t="shared" si="16"/>
        <v>729426</v>
      </c>
      <c r="H1025" s="2" t="str">
        <f>VLOOKUP(A1025,'MASTER 26 27'!A:B,2,0)</f>
        <v>Other Administrative Expenses</v>
      </c>
    </row>
    <row r="1026" spans="1:8">
      <c r="A1026" s="68" t="s">
        <v>816</v>
      </c>
      <c r="B1026" s="73"/>
      <c r="C1026" s="73">
        <v>423929.59999999998</v>
      </c>
      <c r="D1026" s="73"/>
      <c r="E1026" s="73">
        <v>423929.59999999998</v>
      </c>
      <c r="F1026" s="42">
        <v>310000</v>
      </c>
      <c r="G1026" s="42">
        <f t="shared" si="16"/>
        <v>733929.6</v>
      </c>
      <c r="H1026" s="2" t="str">
        <f>VLOOKUP(A1026,'MASTER 26 27'!A:B,2,0)</f>
        <v>Other Manufacturing Expenses</v>
      </c>
    </row>
    <row r="1027" spans="1:8">
      <c r="A1027" s="68" t="s">
        <v>1306</v>
      </c>
      <c r="B1027" s="73"/>
      <c r="C1027" s="73">
        <v>4000</v>
      </c>
      <c r="D1027" s="73"/>
      <c r="E1027" s="73">
        <v>4000</v>
      </c>
      <c r="F1027" s="42">
        <v>0</v>
      </c>
      <c r="G1027" s="42">
        <f t="shared" si="16"/>
        <v>4000</v>
      </c>
      <c r="H1027" s="2" t="str">
        <f>VLOOKUP(A1027,'MASTER 26 27'!A:B,2,0)</f>
        <v>Other Administrative Expenses</v>
      </c>
    </row>
    <row r="1028" spans="1:8">
      <c r="A1028" s="68" t="s">
        <v>805</v>
      </c>
      <c r="B1028" s="73"/>
      <c r="C1028" s="73">
        <v>1670</v>
      </c>
      <c r="D1028" s="73"/>
      <c r="E1028" s="73">
        <v>1670</v>
      </c>
      <c r="F1028" s="42">
        <v>0</v>
      </c>
      <c r="G1028" s="42">
        <f t="shared" si="16"/>
        <v>1670</v>
      </c>
      <c r="H1028" s="2" t="str">
        <f>VLOOKUP(A1028,'MASTER 26 27'!A:B,2,0)</f>
        <v>Other Administrative Expenses</v>
      </c>
    </row>
    <row r="1029" spans="1:8">
      <c r="A1029" s="68" t="s">
        <v>776</v>
      </c>
      <c r="B1029" s="73"/>
      <c r="C1029" s="73">
        <v>1773</v>
      </c>
      <c r="D1029" s="73"/>
      <c r="E1029" s="73">
        <v>1773</v>
      </c>
      <c r="F1029" s="42">
        <v>0</v>
      </c>
      <c r="G1029" s="42">
        <f t="shared" si="16"/>
        <v>1773</v>
      </c>
      <c r="H1029" s="2" t="str">
        <f>VLOOKUP(A1029,'MASTER 26 27'!A:B,2,0)</f>
        <v>Other Administrative Expenses</v>
      </c>
    </row>
    <row r="1030" spans="1:8">
      <c r="A1030" s="68" t="s">
        <v>783</v>
      </c>
      <c r="B1030" s="73"/>
      <c r="C1030" s="73">
        <v>6535</v>
      </c>
      <c r="D1030" s="73"/>
      <c r="E1030" s="73">
        <v>6535</v>
      </c>
      <c r="F1030" s="42">
        <v>0</v>
      </c>
      <c r="G1030" s="42">
        <f t="shared" si="16"/>
        <v>6535</v>
      </c>
      <c r="H1030" s="2" t="str">
        <f>VLOOKUP(A1030,'MASTER 26 27'!A:B,2,0)</f>
        <v>Conveyance, vehicle running and traveling expenses</v>
      </c>
    </row>
    <row r="1031" spans="1:8">
      <c r="A1031" s="68" t="s">
        <v>784</v>
      </c>
      <c r="B1031" s="73"/>
      <c r="C1031" s="73">
        <v>7760.2</v>
      </c>
      <c r="D1031" s="73"/>
      <c r="E1031" s="73">
        <v>7760.2</v>
      </c>
      <c r="F1031" s="42">
        <v>0</v>
      </c>
      <c r="G1031" s="42">
        <f t="shared" ref="G1031:G1070" si="17">+E1031+F1031</f>
        <v>7760.2</v>
      </c>
      <c r="H1031" s="2" t="str">
        <f>VLOOKUP(A1031,'MASTER 26 27'!A:B,2,0)</f>
        <v>Other Administrative Expenses</v>
      </c>
    </row>
    <row r="1032" spans="1:8">
      <c r="A1032" s="68" t="s">
        <v>786</v>
      </c>
      <c r="B1032" s="73"/>
      <c r="C1032" s="73">
        <v>86416.94</v>
      </c>
      <c r="D1032" s="73"/>
      <c r="E1032" s="73">
        <v>86416.94</v>
      </c>
      <c r="F1032" s="42">
        <v>0</v>
      </c>
      <c r="G1032" s="42">
        <f t="shared" si="17"/>
        <v>86416.94</v>
      </c>
      <c r="H1032" s="2" t="str">
        <f>VLOOKUP(A1032,'MASTER 26 27'!A:B,2,0)</f>
        <v>Other Administrative Expenses</v>
      </c>
    </row>
    <row r="1033" spans="1:8">
      <c r="A1033" s="68" t="s">
        <v>763</v>
      </c>
      <c r="B1033" s="73"/>
      <c r="C1033" s="73">
        <v>3.46</v>
      </c>
      <c r="D1033" s="73">
        <v>4.72</v>
      </c>
      <c r="E1033" s="73">
        <v>-1.26</v>
      </c>
      <c r="F1033" s="42">
        <v>0</v>
      </c>
      <c r="G1033" s="42">
        <f t="shared" si="17"/>
        <v>-1.26</v>
      </c>
      <c r="H1033" s="2" t="str">
        <f>VLOOKUP(A1033,'MASTER 26 27'!A:B,2,0)</f>
        <v>Not Applicable</v>
      </c>
    </row>
    <row r="1034" spans="1:8">
      <c r="A1034" s="68" t="s">
        <v>756</v>
      </c>
      <c r="B1034" s="73"/>
      <c r="C1034" s="73">
        <v>272865.3</v>
      </c>
      <c r="D1034" s="73"/>
      <c r="E1034" s="73">
        <v>272865.3</v>
      </c>
      <c r="F1034" s="42">
        <v>0</v>
      </c>
      <c r="G1034" s="42">
        <f t="shared" si="17"/>
        <v>272865.3</v>
      </c>
      <c r="H1034" s="2" t="str">
        <f>VLOOKUP(A1034,'MASTER 26 27'!A:B,2,0)</f>
        <v>Other Administrative Expenses</v>
      </c>
    </row>
    <row r="1035" spans="1:8">
      <c r="A1035" s="68" t="s">
        <v>757</v>
      </c>
      <c r="B1035" s="73"/>
      <c r="C1035" s="73">
        <v>12700</v>
      </c>
      <c r="D1035" s="73"/>
      <c r="E1035" s="73">
        <v>12700</v>
      </c>
      <c r="F1035" s="42">
        <v>0</v>
      </c>
      <c r="G1035" s="42">
        <f t="shared" si="17"/>
        <v>12700</v>
      </c>
      <c r="H1035" s="2" t="str">
        <f>VLOOKUP(A1035,'MASTER 26 27'!A:B,2,0)</f>
        <v>Other Administrative Expenses</v>
      </c>
    </row>
    <row r="1036" spans="1:8">
      <c r="A1036" s="68" t="s">
        <v>759</v>
      </c>
      <c r="B1036" s="73"/>
      <c r="C1036" s="73">
        <v>10911.84</v>
      </c>
      <c r="D1036" s="73"/>
      <c r="E1036" s="73">
        <v>10911.84</v>
      </c>
      <c r="F1036" s="42">
        <v>0</v>
      </c>
      <c r="G1036" s="42">
        <f t="shared" si="17"/>
        <v>10911.84</v>
      </c>
      <c r="H1036" s="2" t="str">
        <f>VLOOKUP(A1036,'MASTER 26 27'!A:B,2,0)</f>
        <v>Conveyance, vehicle running and traveling expenses</v>
      </c>
    </row>
    <row r="1037" spans="1:8">
      <c r="A1037" s="68" t="s">
        <v>760</v>
      </c>
      <c r="B1037" s="73"/>
      <c r="C1037" s="73">
        <v>67406</v>
      </c>
      <c r="D1037" s="73"/>
      <c r="E1037" s="73">
        <v>67406</v>
      </c>
      <c r="F1037" s="42">
        <v>0</v>
      </c>
      <c r="G1037" s="42">
        <f t="shared" si="17"/>
        <v>67406</v>
      </c>
      <c r="H1037" s="2" t="str">
        <f>VLOOKUP(A1037,'MASTER 26 27'!A:B,2,0)</f>
        <v>Other Administrative Expenses</v>
      </c>
    </row>
    <row r="1038" spans="1:8">
      <c r="A1038" s="68" t="s">
        <v>790</v>
      </c>
      <c r="B1038" s="73"/>
      <c r="C1038" s="73">
        <v>168000</v>
      </c>
      <c r="D1038" s="73"/>
      <c r="E1038" s="73">
        <v>168000</v>
      </c>
      <c r="F1038" s="42">
        <v>0</v>
      </c>
      <c r="G1038" s="42">
        <f t="shared" si="17"/>
        <v>168000</v>
      </c>
      <c r="H1038" s="2" t="str">
        <f>VLOOKUP(A1038,'MASTER 26 27'!A:B,2,0)</f>
        <v>Conveyance, vehicle running and traveling expenses</v>
      </c>
    </row>
    <row r="1039" spans="1:8">
      <c r="A1039" s="68" t="s">
        <v>781</v>
      </c>
      <c r="B1039" s="73"/>
      <c r="C1039" s="73">
        <v>12958</v>
      </c>
      <c r="D1039" s="73"/>
      <c r="E1039" s="73">
        <v>12958</v>
      </c>
      <c r="F1039" s="42">
        <v>0</v>
      </c>
      <c r="G1039" s="42">
        <f t="shared" si="17"/>
        <v>12958</v>
      </c>
      <c r="H1039" s="2" t="str">
        <f>VLOOKUP(A1039,'MASTER 26 27'!A:B,2,0)</f>
        <v>Contribution to provident and other funds</v>
      </c>
    </row>
    <row r="1040" spans="1:8">
      <c r="A1040" s="68" t="s">
        <v>782</v>
      </c>
      <c r="B1040" s="73"/>
      <c r="C1040" s="73">
        <v>323969</v>
      </c>
      <c r="D1040" s="73"/>
      <c r="E1040" s="73">
        <v>323969</v>
      </c>
      <c r="F1040" s="42">
        <v>0</v>
      </c>
      <c r="G1040" s="42">
        <f t="shared" si="17"/>
        <v>323969</v>
      </c>
      <c r="H1040" s="2" t="str">
        <f>VLOOKUP(A1040,'MASTER 26 27'!A:B,2,0)</f>
        <v>Contribution to provident and other funds</v>
      </c>
    </row>
    <row r="1041" spans="1:8">
      <c r="A1041" s="68" t="s">
        <v>843</v>
      </c>
      <c r="B1041" s="73"/>
      <c r="C1041" s="73">
        <v>1332</v>
      </c>
      <c r="D1041" s="73"/>
      <c r="E1041" s="73">
        <v>1332</v>
      </c>
      <c r="F1041" s="42">
        <v>0</v>
      </c>
      <c r="G1041" s="42">
        <f t="shared" si="17"/>
        <v>1332</v>
      </c>
      <c r="H1041" s="2" t="str">
        <f>VLOOKUP(A1041,'MASTER 26 27'!A:B,2,0)</f>
        <v xml:space="preserve">Salaries, wages and  bonus </v>
      </c>
    </row>
    <row r="1042" spans="1:8">
      <c r="A1042" s="68" t="s">
        <v>846</v>
      </c>
      <c r="B1042" s="73"/>
      <c r="C1042" s="73">
        <v>2308</v>
      </c>
      <c r="D1042" s="73"/>
      <c r="E1042" s="73">
        <v>2308</v>
      </c>
      <c r="F1042" s="42">
        <v>0</v>
      </c>
      <c r="G1042" s="42">
        <f t="shared" si="17"/>
        <v>2308</v>
      </c>
      <c r="H1042" s="2" t="str">
        <f>VLOOKUP(A1042,'MASTER 26 27'!A:B,2,0)</f>
        <v xml:space="preserve">Salaries, wages and  bonus </v>
      </c>
    </row>
    <row r="1043" spans="1:8">
      <c r="A1043" s="68" t="s">
        <v>850</v>
      </c>
      <c r="B1043" s="73"/>
      <c r="C1043" s="73">
        <v>462</v>
      </c>
      <c r="D1043" s="73"/>
      <c r="E1043" s="73">
        <v>462</v>
      </c>
      <c r="F1043" s="42">
        <v>0</v>
      </c>
      <c r="G1043" s="42">
        <f t="shared" si="17"/>
        <v>462</v>
      </c>
      <c r="H1043" s="2" t="str">
        <f>VLOOKUP(A1043,'MASTER 26 27'!A:B,2,0)</f>
        <v xml:space="preserve">Salaries, wages and  bonus </v>
      </c>
    </row>
    <row r="1044" spans="1:8">
      <c r="A1044" s="68" t="s">
        <v>853</v>
      </c>
      <c r="B1044" s="73"/>
      <c r="C1044" s="73">
        <v>734</v>
      </c>
      <c r="D1044" s="73"/>
      <c r="E1044" s="73">
        <v>734</v>
      </c>
      <c r="F1044" s="42">
        <v>0</v>
      </c>
      <c r="G1044" s="42">
        <f t="shared" si="17"/>
        <v>734</v>
      </c>
      <c r="H1044" s="2" t="str">
        <f>VLOOKUP(A1044,'MASTER 26 27'!A:B,2,0)</f>
        <v xml:space="preserve">Salaries, wages and  bonus </v>
      </c>
    </row>
    <row r="1045" spans="1:8">
      <c r="A1045" s="68" t="s">
        <v>840</v>
      </c>
      <c r="B1045" s="73"/>
      <c r="C1045" s="73">
        <v>17333</v>
      </c>
      <c r="D1045" s="73"/>
      <c r="E1045" s="73">
        <v>17333</v>
      </c>
      <c r="F1045" s="42">
        <v>0</v>
      </c>
      <c r="G1045" s="42">
        <f t="shared" si="17"/>
        <v>17333</v>
      </c>
      <c r="H1045" s="2" t="str">
        <f>VLOOKUP(A1045,'MASTER 26 27'!A:B,2,0)</f>
        <v xml:space="preserve">Salaries, wages and  bonus </v>
      </c>
    </row>
    <row r="1046" spans="1:8">
      <c r="A1046" s="68" t="s">
        <v>817</v>
      </c>
      <c r="B1046" s="73"/>
      <c r="C1046" s="73">
        <v>86990</v>
      </c>
      <c r="D1046" s="73"/>
      <c r="E1046" s="73">
        <v>86990</v>
      </c>
      <c r="F1046" s="42">
        <v>0</v>
      </c>
      <c r="G1046" s="42">
        <f t="shared" si="17"/>
        <v>86990</v>
      </c>
      <c r="H1046" s="2" t="str">
        <f>VLOOKUP(A1046,'MASTER 26 27'!A:B,2,0)</f>
        <v xml:space="preserve">Salaries, wages and  bonus </v>
      </c>
    </row>
    <row r="1047" spans="1:8">
      <c r="A1047" s="68" t="s">
        <v>801</v>
      </c>
      <c r="B1047" s="73"/>
      <c r="C1047" s="73">
        <v>25581</v>
      </c>
      <c r="D1047" s="73"/>
      <c r="E1047" s="73">
        <v>25581</v>
      </c>
      <c r="F1047" s="42">
        <v>0</v>
      </c>
      <c r="G1047" s="42">
        <f t="shared" si="17"/>
        <v>25581</v>
      </c>
      <c r="H1047" s="2" t="str">
        <f>VLOOKUP(A1047,'MASTER 26 27'!A:B,2,0)</f>
        <v xml:space="preserve">Salaries, wages and  bonus </v>
      </c>
    </row>
    <row r="1048" spans="1:8">
      <c r="A1048" s="68" t="s">
        <v>754</v>
      </c>
      <c r="B1048" s="73"/>
      <c r="C1048" s="73">
        <v>3508</v>
      </c>
      <c r="D1048" s="73"/>
      <c r="E1048" s="73">
        <v>3508</v>
      </c>
      <c r="F1048" s="42">
        <v>9541897</v>
      </c>
      <c r="G1048" s="42">
        <f t="shared" si="17"/>
        <v>9545405</v>
      </c>
      <c r="H1048" s="2" t="str">
        <f>VLOOKUP(A1048,'MASTER 26 27'!A:B,2,0)</f>
        <v xml:space="preserve">Salaries, wages and  bonus </v>
      </c>
    </row>
    <row r="1049" spans="1:8">
      <c r="A1049" s="68" t="s">
        <v>787</v>
      </c>
      <c r="B1049" s="73"/>
      <c r="C1049" s="73">
        <v>26853</v>
      </c>
      <c r="D1049" s="73"/>
      <c r="E1049" s="73">
        <v>26853</v>
      </c>
      <c r="F1049" s="42">
        <v>0</v>
      </c>
      <c r="G1049" s="42">
        <f t="shared" si="17"/>
        <v>26853</v>
      </c>
      <c r="H1049" s="2" t="str">
        <f>VLOOKUP(A1049,'MASTER 26 27'!A:B,2,0)</f>
        <v>Staff welfare expenses</v>
      </c>
    </row>
    <row r="1050" spans="1:8">
      <c r="A1050" s="68" t="s">
        <v>822</v>
      </c>
      <c r="B1050" s="73"/>
      <c r="C1050" s="73">
        <v>187043</v>
      </c>
      <c r="D1050" s="73"/>
      <c r="E1050" s="73">
        <v>187043</v>
      </c>
      <c r="F1050" s="42">
        <v>0</v>
      </c>
      <c r="G1050" s="42">
        <f t="shared" si="17"/>
        <v>187043</v>
      </c>
      <c r="H1050" s="2" t="str">
        <f>VLOOKUP(A1050,'MASTER 26 27'!A:B,2,0)</f>
        <v>Staff welfare expenses</v>
      </c>
    </row>
    <row r="1051" spans="1:8">
      <c r="A1051" s="68" t="s">
        <v>804</v>
      </c>
      <c r="B1051" s="73"/>
      <c r="C1051" s="73">
        <v>3650</v>
      </c>
      <c r="D1051" s="73"/>
      <c r="E1051" s="73">
        <v>3650</v>
      </c>
      <c r="F1051" s="42">
        <v>0</v>
      </c>
      <c r="G1051" s="42">
        <f t="shared" si="17"/>
        <v>3650</v>
      </c>
      <c r="H1051" s="2" t="str">
        <f>VLOOKUP(A1051,'MASTER 26 27'!A:B,2,0)</f>
        <v>Staff welfare expenses</v>
      </c>
    </row>
    <row r="1052" spans="1:8">
      <c r="A1052" s="68" t="s">
        <v>835</v>
      </c>
      <c r="B1052" s="73"/>
      <c r="C1052" s="73">
        <v>40418.65</v>
      </c>
      <c r="D1052" s="73"/>
      <c r="E1052" s="73">
        <v>40418.65</v>
      </c>
      <c r="F1052" s="42">
        <v>0</v>
      </c>
      <c r="G1052" s="42">
        <f t="shared" si="17"/>
        <v>40418.65</v>
      </c>
      <c r="H1052" s="2" t="str">
        <f>VLOOKUP(A1052,'MASTER 26 27'!A:B,2,0)</f>
        <v>Not Applicable</v>
      </c>
    </row>
    <row r="1053" spans="1:8">
      <c r="A1053" s="68" t="s">
        <v>838</v>
      </c>
      <c r="B1053" s="73"/>
      <c r="C1053" s="73">
        <v>42636.959999999999</v>
      </c>
      <c r="D1053" s="73"/>
      <c r="E1053" s="73">
        <v>42636.959999999999</v>
      </c>
      <c r="F1053" s="42">
        <v>0</v>
      </c>
      <c r="G1053" s="42">
        <f t="shared" si="17"/>
        <v>42636.959999999999</v>
      </c>
      <c r="H1053" s="2" t="str">
        <f>VLOOKUP(A1053,'MASTER 26 27'!A:B,2,0)</f>
        <v>Not Applicable</v>
      </c>
    </row>
    <row r="1054" spans="1:8">
      <c r="A1054" s="68" t="s">
        <v>831</v>
      </c>
      <c r="B1054" s="73"/>
      <c r="C1054" s="73">
        <v>85320.36</v>
      </c>
      <c r="D1054" s="73">
        <v>2902530.8</v>
      </c>
      <c r="E1054" s="73">
        <v>-2817210.44</v>
      </c>
      <c r="F1054" s="42">
        <v>0</v>
      </c>
      <c r="G1054" s="42">
        <f t="shared" si="17"/>
        <v>-2817210.44</v>
      </c>
      <c r="H1054" s="2" t="str">
        <f>VLOOKUP(A1054,'MASTER 26 27'!A:B,2,0)</f>
        <v>Exchange Rate Difference</v>
      </c>
    </row>
    <row r="1055" spans="1:8">
      <c r="A1055" s="68" t="s">
        <v>798</v>
      </c>
      <c r="B1055" s="73"/>
      <c r="C1055" s="73">
        <v>28687.15</v>
      </c>
      <c r="D1055" s="73"/>
      <c r="E1055" s="73">
        <v>28687.15</v>
      </c>
      <c r="F1055" s="42">
        <v>0</v>
      </c>
      <c r="G1055" s="42">
        <f t="shared" si="17"/>
        <v>28687.15</v>
      </c>
      <c r="H1055" s="2" t="str">
        <f>VLOOKUP(A1055,'MASTER 26 27'!A:B,2,0)</f>
        <v>Not Applicable</v>
      </c>
    </row>
    <row r="1056" spans="1:8">
      <c r="A1056" s="68" t="s">
        <v>807</v>
      </c>
      <c r="B1056" s="73"/>
      <c r="C1056" s="73">
        <v>453763.51</v>
      </c>
      <c r="D1056" s="73"/>
      <c r="E1056" s="73">
        <v>453763.51</v>
      </c>
      <c r="F1056" s="42">
        <v>0</v>
      </c>
      <c r="G1056" s="42">
        <f t="shared" si="17"/>
        <v>453763.51</v>
      </c>
      <c r="H1056" s="2" t="str">
        <f>VLOOKUP(A1056,'MASTER 26 27'!A:B,2,0)</f>
        <v>Not Applicable</v>
      </c>
    </row>
    <row r="1057" spans="1:8">
      <c r="A1057" s="68" t="s">
        <v>796</v>
      </c>
      <c r="B1057" s="73"/>
      <c r="C1057" s="73">
        <v>69458.58</v>
      </c>
      <c r="D1057" s="73"/>
      <c r="E1057" s="73">
        <v>69458.58</v>
      </c>
      <c r="F1057" s="42">
        <v>0</v>
      </c>
      <c r="G1057" s="42">
        <f t="shared" si="17"/>
        <v>69458.58</v>
      </c>
      <c r="H1057" s="2" t="str">
        <f>VLOOKUP(A1057,'MASTER 26 27'!A:B,2,0)</f>
        <v>Not Applicable</v>
      </c>
    </row>
    <row r="1058" spans="1:8">
      <c r="A1058" s="68" t="s">
        <v>797</v>
      </c>
      <c r="B1058" s="73"/>
      <c r="C1058" s="73">
        <v>11341.85</v>
      </c>
      <c r="D1058" s="73"/>
      <c r="E1058" s="73">
        <v>11341.85</v>
      </c>
      <c r="F1058" s="42">
        <v>0</v>
      </c>
      <c r="G1058" s="42">
        <f t="shared" si="17"/>
        <v>11341.85</v>
      </c>
      <c r="H1058" s="2" t="str">
        <f>VLOOKUP(A1058,'MASTER 26 27'!A:B,2,0)</f>
        <v>Other Administrative Expenses</v>
      </c>
    </row>
    <row r="1059" spans="1:8">
      <c r="A1059" s="68" t="s">
        <v>802</v>
      </c>
      <c r="B1059" s="73"/>
      <c r="C1059" s="73">
        <v>2200</v>
      </c>
      <c r="D1059" s="73"/>
      <c r="E1059" s="73">
        <v>2200</v>
      </c>
      <c r="F1059" s="42">
        <v>0</v>
      </c>
      <c r="G1059" s="42">
        <f t="shared" si="17"/>
        <v>2200</v>
      </c>
      <c r="H1059" s="2" t="str">
        <f>VLOOKUP(A1059,'MASTER 26 27'!A:B,2,0)</f>
        <v>Other Administrative Expenses</v>
      </c>
    </row>
    <row r="1060" spans="1:8">
      <c r="A1060" s="68" t="s">
        <v>775</v>
      </c>
      <c r="B1060" s="73"/>
      <c r="C1060" s="73">
        <v>125996.68</v>
      </c>
      <c r="D1060" s="73"/>
      <c r="E1060" s="73">
        <v>125996.68</v>
      </c>
      <c r="F1060" s="42">
        <v>0</v>
      </c>
      <c r="G1060" s="42">
        <f t="shared" si="17"/>
        <v>125996.68</v>
      </c>
      <c r="H1060" s="2" t="str">
        <f>VLOOKUP(A1060,'MASTER 26 27'!A:B,2,0)</f>
        <v>Other Administrative Expenses</v>
      </c>
    </row>
    <row r="1061" spans="1:8">
      <c r="A1061" s="68" t="s">
        <v>824</v>
      </c>
      <c r="B1061" s="73"/>
      <c r="C1061" s="73">
        <v>411366.6</v>
      </c>
      <c r="D1061" s="73">
        <v>1062</v>
      </c>
      <c r="E1061" s="73">
        <v>410304.6</v>
      </c>
      <c r="F1061" s="42">
        <v>700000</v>
      </c>
      <c r="G1061" s="42">
        <f t="shared" si="17"/>
        <v>1110304.6000000001</v>
      </c>
      <c r="H1061" s="2" t="str">
        <f>VLOOKUP(A1061,'MASTER 26 27'!A:B,2,0)</f>
        <v>Freight Outward and C &amp; F Charges</v>
      </c>
    </row>
    <row r="1062" spans="1:8">
      <c r="A1062" s="68" t="s">
        <v>1079</v>
      </c>
      <c r="B1062" s="73"/>
      <c r="C1062" s="73">
        <v>4999.8599999999997</v>
      </c>
      <c r="D1062" s="73"/>
      <c r="E1062" s="73">
        <v>4999.8599999999997</v>
      </c>
      <c r="F1062" s="42">
        <v>0</v>
      </c>
      <c r="G1062" s="42">
        <f t="shared" si="17"/>
        <v>4999.8599999999997</v>
      </c>
      <c r="H1062" s="2" t="str">
        <f>VLOOKUP(A1062,'MASTER 26 27'!A:B,2,0)</f>
        <v>Freight Outward and C &amp; F Charges</v>
      </c>
    </row>
    <row r="1063" spans="1:8">
      <c r="A1063" s="68" t="s">
        <v>933</v>
      </c>
      <c r="B1063" s="73"/>
      <c r="C1063" s="73">
        <v>2624.32</v>
      </c>
      <c r="D1063" s="73"/>
      <c r="E1063" s="73">
        <v>2624.32</v>
      </c>
      <c r="F1063" s="42">
        <v>0</v>
      </c>
      <c r="G1063" s="42">
        <f t="shared" si="17"/>
        <v>2624.32</v>
      </c>
      <c r="H1063" s="2" t="str">
        <f>VLOOKUP(A1063,'MASTER 26 27'!A:B,2,0)</f>
        <v>Other Administrative Expenses</v>
      </c>
    </row>
    <row r="1064" spans="1:8">
      <c r="A1064" s="68" t="s">
        <v>810</v>
      </c>
      <c r="B1064" s="73"/>
      <c r="C1064" s="73"/>
      <c r="D1064" s="73">
        <v>1550743.28</v>
      </c>
      <c r="E1064" s="73">
        <v>-1550743.28</v>
      </c>
      <c r="F1064" s="42">
        <v>700000</v>
      </c>
      <c r="G1064" s="42">
        <f t="shared" si="17"/>
        <v>-850743.28</v>
      </c>
      <c r="H1064" s="2" t="str">
        <f>VLOOKUP(A1064,'MASTER 26 27'!A:B,2,0)</f>
        <v>Freight Outward and C &amp; F Charges</v>
      </c>
    </row>
    <row r="1065" spans="1:8">
      <c r="A1065" s="68" t="s">
        <v>811</v>
      </c>
      <c r="B1065" s="73"/>
      <c r="C1065" s="73">
        <v>800</v>
      </c>
      <c r="D1065" s="73"/>
      <c r="E1065" s="73">
        <v>800</v>
      </c>
      <c r="F1065" s="42">
        <v>700000</v>
      </c>
      <c r="G1065" s="42">
        <f t="shared" si="17"/>
        <v>700800</v>
      </c>
      <c r="H1065" s="2" t="str">
        <f>VLOOKUP(A1065,'MASTER 26 27'!A:B,2,0)</f>
        <v>Freight Outward and C &amp; F Charges</v>
      </c>
    </row>
    <row r="1066" spans="1:8">
      <c r="A1066" s="68" t="s">
        <v>812</v>
      </c>
      <c r="B1066" s="73"/>
      <c r="C1066" s="73">
        <v>1416845.2</v>
      </c>
      <c r="D1066" s="73">
        <v>13000</v>
      </c>
      <c r="E1066" s="73">
        <v>1403845.2</v>
      </c>
      <c r="F1066" s="42">
        <v>0</v>
      </c>
      <c r="G1066" s="42">
        <f t="shared" si="17"/>
        <v>1403845.2</v>
      </c>
      <c r="H1066" s="2" t="str">
        <f>VLOOKUP(A1066,'MASTER 26 27'!A:B,2,0)</f>
        <v>Freight Outward and C &amp; F Charges</v>
      </c>
    </row>
    <row r="1067" spans="1:8">
      <c r="A1067" s="68" t="s">
        <v>813</v>
      </c>
      <c r="B1067" s="73"/>
      <c r="C1067" s="73">
        <v>360950</v>
      </c>
      <c r="D1067" s="73"/>
      <c r="E1067" s="73">
        <v>360950</v>
      </c>
      <c r="F1067" s="42">
        <v>0</v>
      </c>
      <c r="G1067" s="42">
        <f t="shared" si="17"/>
        <v>360950</v>
      </c>
      <c r="H1067" s="2" t="str">
        <f>VLOOKUP(A1067,'MASTER 26 27'!A:B,2,0)</f>
        <v>Freight Outward and C &amp; F Charges</v>
      </c>
    </row>
    <row r="1068" spans="1:8">
      <c r="A1068" s="68" t="s">
        <v>794</v>
      </c>
      <c r="B1068" s="73"/>
      <c r="C1068" s="73"/>
      <c r="D1068" s="73">
        <v>7749.19</v>
      </c>
      <c r="E1068" s="73">
        <v>-7749.19</v>
      </c>
      <c r="F1068" s="42">
        <v>0</v>
      </c>
      <c r="G1068" s="42">
        <f t="shared" si="17"/>
        <v>-7749.19</v>
      </c>
      <c r="H1068" s="2" t="str">
        <f>VLOOKUP(A1068,'MASTER 26 27'!A:B,2,0)</f>
        <v>Not Applicable</v>
      </c>
    </row>
    <row r="1069" spans="1:8">
      <c r="A1069" s="68" t="s">
        <v>854</v>
      </c>
      <c r="B1069" s="73">
        <v>-737606119.04999995</v>
      </c>
      <c r="C1069" s="73"/>
      <c r="D1069" s="73">
        <v>0.01</v>
      </c>
      <c r="E1069" s="73">
        <v>-737606119.05999994</v>
      </c>
      <c r="F1069" s="42">
        <v>0</v>
      </c>
      <c r="G1069" s="42">
        <f t="shared" si="17"/>
        <v>-737606119.05999994</v>
      </c>
      <c r="H1069" s="2" t="str">
        <f>VLOOKUP(A1069,'MASTER 26 27'!A:B,2,0)</f>
        <v>Not Applicable</v>
      </c>
    </row>
    <row r="1070" spans="1:8">
      <c r="A1070" s="67" t="s">
        <v>1495</v>
      </c>
      <c r="B1070" s="42">
        <f>SUBTOTAL(9,B5:B1069)</f>
        <v>0</v>
      </c>
      <c r="C1070" s="42">
        <f t="shared" ref="C1070:E1070" si="18">SUBTOTAL(9,C5:C1069)</f>
        <v>442466683.11999989</v>
      </c>
      <c r="D1070" s="42">
        <f t="shared" si="18"/>
        <v>442466683.11999995</v>
      </c>
      <c r="E1070" s="42">
        <f t="shared" si="18"/>
        <v>-1.1920928955078125E-6</v>
      </c>
      <c r="F1070" s="42">
        <v>0</v>
      </c>
      <c r="G1070" s="42">
        <f t="shared" si="17"/>
        <v>-1.1920928955078125E-6</v>
      </c>
      <c r="H1070" s="2"/>
    </row>
    <row r="1071" spans="1:8">
      <c r="E1071" s="43">
        <v>0</v>
      </c>
    </row>
  </sheetData>
  <mergeCells count="3">
    <mergeCell ref="C3:D3"/>
    <mergeCell ref="B1:E1"/>
    <mergeCell ref="B2:E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H1139"/>
  <sheetViews>
    <sheetView workbookViewId="0">
      <selection activeCell="F1139" sqref="F1139"/>
    </sheetView>
  </sheetViews>
  <sheetFormatPr defaultRowHeight="12.75"/>
  <cols>
    <col min="1" max="1" width="38" style="1" customWidth="1"/>
    <col min="2" max="2" width="13.28515625" style="77" customWidth="1"/>
    <col min="3" max="3" width="14" style="77" customWidth="1"/>
    <col min="4" max="4" width="14.5703125" style="77" customWidth="1"/>
    <col min="5" max="5" width="15.5703125" style="77" customWidth="1"/>
    <col min="6" max="6" width="12.85546875" style="1" customWidth="1"/>
    <col min="7" max="7" width="15" style="1" customWidth="1"/>
    <col min="8" max="8" width="43.140625" style="1" customWidth="1"/>
    <col min="9" max="16384" width="9.140625" style="1"/>
  </cols>
  <sheetData>
    <row r="1" spans="1:8">
      <c r="A1" s="60"/>
      <c r="B1" s="111" t="s">
        <v>1390</v>
      </c>
      <c r="C1" s="111"/>
      <c r="D1" s="111"/>
      <c r="E1" s="111"/>
    </row>
    <row r="2" spans="1:8">
      <c r="A2" s="61"/>
      <c r="B2" s="111" t="s">
        <v>1501</v>
      </c>
      <c r="C2" s="111"/>
      <c r="D2" s="111"/>
      <c r="E2" s="111"/>
    </row>
    <row r="3" spans="1:8">
      <c r="A3" s="60"/>
      <c r="B3" s="76"/>
      <c r="C3" s="111" t="s">
        <v>1393</v>
      </c>
      <c r="D3" s="111"/>
      <c r="E3" s="76"/>
    </row>
    <row r="4" spans="1:8">
      <c r="A4" s="67" t="s">
        <v>82</v>
      </c>
      <c r="B4" s="71" t="s">
        <v>1392</v>
      </c>
      <c r="C4" s="75" t="s">
        <v>1395</v>
      </c>
      <c r="D4" s="75" t="s">
        <v>1396</v>
      </c>
      <c r="E4" s="71" t="s">
        <v>1394</v>
      </c>
      <c r="F4" s="38" t="s">
        <v>1496</v>
      </c>
      <c r="G4" s="38" t="s">
        <v>1497</v>
      </c>
      <c r="H4" s="81" t="s">
        <v>1498</v>
      </c>
    </row>
    <row r="5" spans="1:8" hidden="1">
      <c r="A5" s="62" t="s">
        <v>329</v>
      </c>
      <c r="B5" s="78">
        <v>127789.26</v>
      </c>
      <c r="C5" s="78"/>
      <c r="D5" s="78"/>
      <c r="E5" s="78">
        <v>127789.26</v>
      </c>
      <c r="F5" s="42">
        <v>0</v>
      </c>
      <c r="G5" s="42">
        <f>+E5+F5</f>
        <v>127789.26</v>
      </c>
      <c r="H5" s="2" t="str">
        <f>VLOOKUP(A5,'TB April'!A:H,8,0)</f>
        <v>Not Applicable</v>
      </c>
    </row>
    <row r="6" spans="1:8" hidden="1">
      <c r="A6" s="62" t="s">
        <v>330</v>
      </c>
      <c r="B6" s="78">
        <v>650</v>
      </c>
      <c r="C6" s="78"/>
      <c r="D6" s="78"/>
      <c r="E6" s="78">
        <v>650</v>
      </c>
      <c r="F6" s="42">
        <v>0</v>
      </c>
      <c r="G6" s="42">
        <f t="shared" ref="G6:G69" si="0">+E6+F6</f>
        <v>650</v>
      </c>
      <c r="H6" s="2" t="str">
        <f>VLOOKUP(A6,'TB April'!A:H,8,0)</f>
        <v>Not Applicable</v>
      </c>
    </row>
    <row r="7" spans="1:8" hidden="1">
      <c r="A7" s="62" t="s">
        <v>331</v>
      </c>
      <c r="B7" s="78">
        <v>6228</v>
      </c>
      <c r="C7" s="78"/>
      <c r="D7" s="78"/>
      <c r="E7" s="78">
        <v>6228</v>
      </c>
      <c r="F7" s="42">
        <v>0</v>
      </c>
      <c r="G7" s="42">
        <f t="shared" si="0"/>
        <v>6228</v>
      </c>
      <c r="H7" s="2" t="str">
        <f>VLOOKUP(A7,'TB April'!A:H,8,0)</f>
        <v>Not Applicable</v>
      </c>
    </row>
    <row r="8" spans="1:8" hidden="1">
      <c r="A8" s="62" t="s">
        <v>332</v>
      </c>
      <c r="B8" s="78">
        <v>473797.97</v>
      </c>
      <c r="C8" s="78"/>
      <c r="D8" s="78"/>
      <c r="E8" s="78">
        <v>473797.97</v>
      </c>
      <c r="F8" s="42">
        <v>0</v>
      </c>
      <c r="G8" s="42">
        <f t="shared" si="0"/>
        <v>473797.97</v>
      </c>
      <c r="H8" s="2" t="str">
        <f>VLOOKUP(A8,'TB April'!A:H,8,0)</f>
        <v>Not Applicable</v>
      </c>
    </row>
    <row r="9" spans="1:8" hidden="1">
      <c r="A9" s="62" t="s">
        <v>333</v>
      </c>
      <c r="B9" s="78">
        <v>196345.38</v>
      </c>
      <c r="C9" s="78"/>
      <c r="D9" s="78"/>
      <c r="E9" s="78">
        <v>196345.38</v>
      </c>
      <c r="F9" s="42">
        <v>0</v>
      </c>
      <c r="G9" s="42">
        <f t="shared" si="0"/>
        <v>196345.38</v>
      </c>
      <c r="H9" s="2" t="str">
        <f>VLOOKUP(A9,'TB April'!A:H,8,0)</f>
        <v>Not Applicable</v>
      </c>
    </row>
    <row r="10" spans="1:8" hidden="1">
      <c r="A10" s="62" t="s">
        <v>334</v>
      </c>
      <c r="B10" s="78">
        <v>8936.56</v>
      </c>
      <c r="C10" s="78"/>
      <c r="D10" s="78"/>
      <c r="E10" s="78">
        <v>8936.56</v>
      </c>
      <c r="F10" s="42">
        <v>0</v>
      </c>
      <c r="G10" s="42">
        <f t="shared" si="0"/>
        <v>8936.56</v>
      </c>
      <c r="H10" s="2" t="str">
        <f>VLOOKUP(A10,'TB April'!A:H,8,0)</f>
        <v>Not Applicable</v>
      </c>
    </row>
    <row r="11" spans="1:8" hidden="1">
      <c r="A11" s="62" t="s">
        <v>335</v>
      </c>
      <c r="B11" s="78">
        <v>8213.7099999999991</v>
      </c>
      <c r="C11" s="78"/>
      <c r="D11" s="78"/>
      <c r="E11" s="78">
        <v>8213.7099999999991</v>
      </c>
      <c r="F11" s="42">
        <v>0</v>
      </c>
      <c r="G11" s="42">
        <f t="shared" si="0"/>
        <v>8213.7099999999991</v>
      </c>
      <c r="H11" s="2" t="str">
        <f>VLOOKUP(A11,'TB April'!A:H,8,0)</f>
        <v>Not Applicable</v>
      </c>
    </row>
    <row r="12" spans="1:8" hidden="1">
      <c r="A12" s="62" t="s">
        <v>1130</v>
      </c>
      <c r="B12" s="78">
        <v>1806.82</v>
      </c>
      <c r="C12" s="78"/>
      <c r="D12" s="78"/>
      <c r="E12" s="78">
        <v>1806.82</v>
      </c>
      <c r="F12" s="42">
        <v>0</v>
      </c>
      <c r="G12" s="42">
        <f t="shared" si="0"/>
        <v>1806.82</v>
      </c>
      <c r="H12" s="2" t="str">
        <f>VLOOKUP(A12,'TB April'!A:H,8,0)</f>
        <v>Not Applicable</v>
      </c>
    </row>
    <row r="13" spans="1:8" hidden="1">
      <c r="A13" s="62" t="s">
        <v>336</v>
      </c>
      <c r="B13" s="78">
        <v>681686</v>
      </c>
      <c r="C13" s="78"/>
      <c r="D13" s="78"/>
      <c r="E13" s="78">
        <v>681686</v>
      </c>
      <c r="F13" s="42">
        <v>0</v>
      </c>
      <c r="G13" s="42">
        <f t="shared" si="0"/>
        <v>681686</v>
      </c>
      <c r="H13" s="2" t="str">
        <f>VLOOKUP(A13,'TB April'!A:H,8,0)</f>
        <v>Not Applicable</v>
      </c>
    </row>
    <row r="14" spans="1:8" hidden="1">
      <c r="A14" s="62" t="s">
        <v>337</v>
      </c>
      <c r="B14" s="78">
        <v>157074.42000000001</v>
      </c>
      <c r="C14" s="78"/>
      <c r="D14" s="78"/>
      <c r="E14" s="78">
        <v>157074.42000000001</v>
      </c>
      <c r="F14" s="42">
        <v>0</v>
      </c>
      <c r="G14" s="42">
        <f t="shared" si="0"/>
        <v>157074.42000000001</v>
      </c>
      <c r="H14" s="2" t="str">
        <f>VLOOKUP(A14,'TB April'!A:H,8,0)</f>
        <v>Not Applicable</v>
      </c>
    </row>
    <row r="15" spans="1:8" hidden="1">
      <c r="A15" s="62" t="s">
        <v>338</v>
      </c>
      <c r="B15" s="78">
        <v>167632.97</v>
      </c>
      <c r="C15" s="78"/>
      <c r="D15" s="78"/>
      <c r="E15" s="78">
        <v>167632.97</v>
      </c>
      <c r="F15" s="42">
        <v>0</v>
      </c>
      <c r="G15" s="42">
        <f t="shared" si="0"/>
        <v>167632.97</v>
      </c>
      <c r="H15" s="2" t="str">
        <f>VLOOKUP(A15,'TB April'!A:H,8,0)</f>
        <v>Not Applicable</v>
      </c>
    </row>
    <row r="16" spans="1:8" hidden="1">
      <c r="A16" s="62" t="s">
        <v>339</v>
      </c>
      <c r="B16" s="78">
        <v>256416</v>
      </c>
      <c r="C16" s="78"/>
      <c r="D16" s="78"/>
      <c r="E16" s="78">
        <v>256416</v>
      </c>
      <c r="F16" s="42">
        <v>0</v>
      </c>
      <c r="G16" s="42">
        <f t="shared" si="0"/>
        <v>256416</v>
      </c>
      <c r="H16" s="2" t="str">
        <f>VLOOKUP(A16,'TB April'!A:H,8,0)</f>
        <v>Not Applicable</v>
      </c>
    </row>
    <row r="17" spans="1:8" hidden="1">
      <c r="A17" s="62" t="s">
        <v>340</v>
      </c>
      <c r="B17" s="78">
        <v>822958.41</v>
      </c>
      <c r="C17" s="78"/>
      <c r="D17" s="78"/>
      <c r="E17" s="78">
        <v>822958.41</v>
      </c>
      <c r="F17" s="42">
        <v>0</v>
      </c>
      <c r="G17" s="42">
        <f t="shared" si="0"/>
        <v>822958.41</v>
      </c>
      <c r="H17" s="2" t="str">
        <f>VLOOKUP(A17,'TB April'!A:H,8,0)</f>
        <v>Not Applicable</v>
      </c>
    </row>
    <row r="18" spans="1:8" hidden="1">
      <c r="A18" s="62" t="s">
        <v>341</v>
      </c>
      <c r="B18" s="78">
        <v>723178.82</v>
      </c>
      <c r="C18" s="78"/>
      <c r="D18" s="78"/>
      <c r="E18" s="78">
        <v>723178.82</v>
      </c>
      <c r="F18" s="42">
        <v>0</v>
      </c>
      <c r="G18" s="42">
        <f t="shared" si="0"/>
        <v>723178.82</v>
      </c>
      <c r="H18" s="2" t="str">
        <f>VLOOKUP(A18,'TB April'!A:H,8,0)</f>
        <v>Not Applicable</v>
      </c>
    </row>
    <row r="19" spans="1:8" hidden="1">
      <c r="A19" s="62" t="s">
        <v>905</v>
      </c>
      <c r="B19" s="78">
        <v>753208.69</v>
      </c>
      <c r="C19" s="78"/>
      <c r="D19" s="78"/>
      <c r="E19" s="78">
        <v>753208.69</v>
      </c>
      <c r="F19" s="42">
        <v>0</v>
      </c>
      <c r="G19" s="42">
        <f t="shared" si="0"/>
        <v>753208.69</v>
      </c>
      <c r="H19" s="2" t="str">
        <f>VLOOKUP(A19,'TB April'!A:H,8,0)</f>
        <v>Not Applicable</v>
      </c>
    </row>
    <row r="20" spans="1:8" hidden="1">
      <c r="A20" s="62" t="s">
        <v>1057</v>
      </c>
      <c r="B20" s="78">
        <v>2359808.65</v>
      </c>
      <c r="C20" s="78"/>
      <c r="D20" s="78"/>
      <c r="E20" s="78">
        <v>2359808.65</v>
      </c>
      <c r="F20" s="42">
        <v>0</v>
      </c>
      <c r="G20" s="42">
        <f t="shared" si="0"/>
        <v>2359808.65</v>
      </c>
      <c r="H20" s="2" t="str">
        <f>VLOOKUP(A20,'TB April'!A:H,8,0)</f>
        <v>Not Applicable</v>
      </c>
    </row>
    <row r="21" spans="1:8" hidden="1">
      <c r="A21" s="62" t="s">
        <v>1397</v>
      </c>
      <c r="B21" s="78"/>
      <c r="C21" s="78">
        <v>510382.57</v>
      </c>
      <c r="D21" s="78"/>
      <c r="E21" s="78">
        <v>510382.57</v>
      </c>
      <c r="F21" s="42">
        <v>0</v>
      </c>
      <c r="G21" s="42">
        <f t="shared" si="0"/>
        <v>510382.57</v>
      </c>
      <c r="H21" s="2" t="str">
        <f>VLOOKUP(A21,'TB April'!A:H,8,0)</f>
        <v>Not Applicable</v>
      </c>
    </row>
    <row r="22" spans="1:8" hidden="1">
      <c r="A22" s="62" t="s">
        <v>1278</v>
      </c>
      <c r="B22" s="78">
        <v>-185354</v>
      </c>
      <c r="C22" s="78"/>
      <c r="D22" s="78"/>
      <c r="E22" s="78">
        <v>-185354</v>
      </c>
      <c r="F22" s="42">
        <v>0</v>
      </c>
      <c r="G22" s="42">
        <f t="shared" si="0"/>
        <v>-185354</v>
      </c>
      <c r="H22" s="2" t="str">
        <f>VLOOKUP(A22,'TB April'!A:H,8,0)</f>
        <v>Not Applicable</v>
      </c>
    </row>
    <row r="23" spans="1:8" hidden="1">
      <c r="A23" s="62" t="s">
        <v>101</v>
      </c>
      <c r="B23" s="78">
        <v>-3371751972.54</v>
      </c>
      <c r="C23" s="78">
        <v>105845742.23999999</v>
      </c>
      <c r="D23" s="78">
        <v>187391752.96000001</v>
      </c>
      <c r="E23" s="78">
        <v>-3453297983.2600002</v>
      </c>
      <c r="F23" s="42">
        <v>0</v>
      </c>
      <c r="G23" s="42">
        <f t="shared" si="0"/>
        <v>-3453297983.2600002</v>
      </c>
      <c r="H23" s="2" t="str">
        <f>VLOOKUP(A23,'TB April'!A:H,8,0)</f>
        <v>Not Applicable</v>
      </c>
    </row>
    <row r="24" spans="1:8" hidden="1">
      <c r="A24" s="62" t="s">
        <v>102</v>
      </c>
      <c r="B24" s="78">
        <v>-33335574.710000001</v>
      </c>
      <c r="C24" s="78"/>
      <c r="D24" s="78"/>
      <c r="E24" s="78">
        <v>-33335574.710000001</v>
      </c>
      <c r="F24" s="42">
        <v>0</v>
      </c>
      <c r="G24" s="42">
        <f t="shared" si="0"/>
        <v>-33335574.710000001</v>
      </c>
      <c r="H24" s="2" t="str">
        <f>VLOOKUP(A24,'TB April'!A:H,8,0)</f>
        <v>Not Applicable</v>
      </c>
    </row>
    <row r="25" spans="1:8" hidden="1">
      <c r="A25" s="62" t="s">
        <v>103</v>
      </c>
      <c r="B25" s="78">
        <v>-973216365.96000004</v>
      </c>
      <c r="C25" s="78"/>
      <c r="D25" s="78"/>
      <c r="E25" s="78">
        <v>-973216365.96000004</v>
      </c>
      <c r="F25" s="42">
        <v>0</v>
      </c>
      <c r="G25" s="42">
        <f t="shared" si="0"/>
        <v>-973216365.96000004</v>
      </c>
      <c r="H25" s="2" t="str">
        <f>VLOOKUP(A25,'TB April'!A:H,8,0)</f>
        <v>Not Applicable</v>
      </c>
    </row>
    <row r="26" spans="1:8" hidden="1">
      <c r="A26" s="62" t="s">
        <v>104</v>
      </c>
      <c r="B26" s="78">
        <v>-141619453.02000001</v>
      </c>
      <c r="C26" s="78"/>
      <c r="D26" s="78"/>
      <c r="E26" s="78">
        <v>-141619453.02000001</v>
      </c>
      <c r="F26" s="42">
        <v>0</v>
      </c>
      <c r="G26" s="42">
        <f t="shared" si="0"/>
        <v>-141619453.02000001</v>
      </c>
      <c r="H26" s="2" t="str">
        <f>VLOOKUP(A26,'TB April'!A:H,8,0)</f>
        <v>Not Applicable</v>
      </c>
    </row>
    <row r="27" spans="1:8" hidden="1">
      <c r="A27" s="62" t="s">
        <v>105</v>
      </c>
      <c r="B27" s="78">
        <v>109261394.04000001</v>
      </c>
      <c r="C27" s="78">
        <v>10715177.689999999</v>
      </c>
      <c r="D27" s="78"/>
      <c r="E27" s="78">
        <v>119976571.73</v>
      </c>
      <c r="F27" s="42">
        <v>0</v>
      </c>
      <c r="G27" s="42">
        <f t="shared" si="0"/>
        <v>119976571.73</v>
      </c>
      <c r="H27" s="2" t="str">
        <f>VLOOKUP(A27,'TB April'!A:H,8,0)</f>
        <v>Not Applicable</v>
      </c>
    </row>
    <row r="28" spans="1:8" hidden="1">
      <c r="A28" s="62" t="s">
        <v>106</v>
      </c>
      <c r="B28" s="78">
        <v>417606643.33999997</v>
      </c>
      <c r="C28" s="78"/>
      <c r="D28" s="78"/>
      <c r="E28" s="78">
        <v>417606643.33999997</v>
      </c>
      <c r="F28" s="42">
        <v>0</v>
      </c>
      <c r="G28" s="42">
        <f t="shared" si="0"/>
        <v>417606643.33999997</v>
      </c>
      <c r="H28" s="2" t="str">
        <f>VLOOKUP(A28,'TB April'!A:H,8,0)</f>
        <v>Not Applicable</v>
      </c>
    </row>
    <row r="29" spans="1:8" hidden="1">
      <c r="A29" s="62" t="s">
        <v>107</v>
      </c>
      <c r="B29" s="78">
        <v>-154365251.06999999</v>
      </c>
      <c r="C29" s="78"/>
      <c r="D29" s="78"/>
      <c r="E29" s="78">
        <v>-154365251.06999999</v>
      </c>
      <c r="F29" s="42">
        <v>0</v>
      </c>
      <c r="G29" s="42">
        <f t="shared" si="0"/>
        <v>-154365251.06999999</v>
      </c>
      <c r="H29" s="2" t="str">
        <f>VLOOKUP(A29,'TB April'!A:H,8,0)</f>
        <v>Not Applicable</v>
      </c>
    </row>
    <row r="30" spans="1:8" hidden="1">
      <c r="A30" s="62" t="s">
        <v>108</v>
      </c>
      <c r="B30" s="78">
        <v>1070438.6000000001</v>
      </c>
      <c r="C30" s="78"/>
      <c r="D30" s="78"/>
      <c r="E30" s="78">
        <v>1070438.6000000001</v>
      </c>
      <c r="F30" s="42">
        <v>0</v>
      </c>
      <c r="G30" s="42">
        <f t="shared" si="0"/>
        <v>1070438.6000000001</v>
      </c>
      <c r="H30" s="2" t="str">
        <f>VLOOKUP(A30,'TB April'!A:H,8,0)</f>
        <v>Not Applicable</v>
      </c>
    </row>
    <row r="31" spans="1:8" hidden="1">
      <c r="A31" s="62" t="s">
        <v>111</v>
      </c>
      <c r="B31" s="78">
        <v>6687573.29</v>
      </c>
      <c r="C31" s="78"/>
      <c r="D31" s="78"/>
      <c r="E31" s="78">
        <v>6687573.29</v>
      </c>
      <c r="F31" s="42">
        <v>0</v>
      </c>
      <c r="G31" s="42">
        <f t="shared" si="0"/>
        <v>6687573.29</v>
      </c>
      <c r="H31" s="2" t="str">
        <f>VLOOKUP(A31,'TB April'!A:H,8,0)</f>
        <v>Not Applicable</v>
      </c>
    </row>
    <row r="32" spans="1:8" hidden="1">
      <c r="A32" s="62" t="s">
        <v>117</v>
      </c>
      <c r="B32" s="78">
        <v>7980.76</v>
      </c>
      <c r="C32" s="78">
        <v>400000</v>
      </c>
      <c r="D32" s="78">
        <v>403681</v>
      </c>
      <c r="E32" s="78">
        <v>4299.76</v>
      </c>
      <c r="F32" s="42">
        <v>0</v>
      </c>
      <c r="G32" s="42">
        <f t="shared" si="0"/>
        <v>4299.76</v>
      </c>
      <c r="H32" s="2" t="str">
        <f>VLOOKUP(A32,'TB April'!A:H,8,0)</f>
        <v>Not Applicable</v>
      </c>
    </row>
    <row r="33" spans="1:8" hidden="1">
      <c r="A33" s="62" t="s">
        <v>118</v>
      </c>
      <c r="B33" s="78">
        <v>4950</v>
      </c>
      <c r="C33" s="78"/>
      <c r="D33" s="78">
        <v>513</v>
      </c>
      <c r="E33" s="78">
        <v>4437</v>
      </c>
      <c r="F33" s="42">
        <v>0</v>
      </c>
      <c r="G33" s="42">
        <f t="shared" si="0"/>
        <v>4437</v>
      </c>
      <c r="H33" s="2" t="str">
        <f>VLOOKUP(A33,'TB April'!A:H,8,0)</f>
        <v>Not Applicable</v>
      </c>
    </row>
    <row r="34" spans="1:8" hidden="1">
      <c r="A34" s="62" t="s">
        <v>1502</v>
      </c>
      <c r="B34" s="78"/>
      <c r="C34" s="78">
        <v>37291</v>
      </c>
      <c r="D34" s="78"/>
      <c r="E34" s="78">
        <v>37291</v>
      </c>
      <c r="F34" s="42">
        <v>0</v>
      </c>
      <c r="G34" s="42">
        <f t="shared" si="0"/>
        <v>37291</v>
      </c>
      <c r="H34" s="2" t="s">
        <v>84</v>
      </c>
    </row>
    <row r="35" spans="1:8" hidden="1">
      <c r="A35" s="62" t="s">
        <v>324</v>
      </c>
      <c r="B35" s="78">
        <v>178885102</v>
      </c>
      <c r="C35" s="78"/>
      <c r="D35" s="78"/>
      <c r="E35" s="78">
        <v>178885102</v>
      </c>
      <c r="F35" s="42">
        <v>0</v>
      </c>
      <c r="G35" s="42">
        <f t="shared" si="0"/>
        <v>178885102</v>
      </c>
      <c r="H35" s="2" t="str">
        <f>VLOOKUP(A35,'TB April'!A:H,8,0)</f>
        <v>Not Applicable</v>
      </c>
    </row>
    <row r="36" spans="1:8" hidden="1">
      <c r="A36" s="62" t="s">
        <v>212</v>
      </c>
      <c r="B36" s="78">
        <v>5000000</v>
      </c>
      <c r="C36" s="78"/>
      <c r="D36" s="78"/>
      <c r="E36" s="78">
        <v>5000000</v>
      </c>
      <c r="F36" s="42">
        <v>0</v>
      </c>
      <c r="G36" s="42">
        <f t="shared" si="0"/>
        <v>5000000</v>
      </c>
      <c r="H36" s="2" t="str">
        <f>VLOOKUP(A36,'TB April'!A:H,8,0)</f>
        <v>Not Applicable</v>
      </c>
    </row>
    <row r="37" spans="1:8" hidden="1">
      <c r="A37" s="62" t="s">
        <v>233</v>
      </c>
      <c r="B37" s="78">
        <v>-2993657.11</v>
      </c>
      <c r="C37" s="78"/>
      <c r="D37" s="78"/>
      <c r="E37" s="78">
        <v>-2993657.11</v>
      </c>
      <c r="F37" s="42">
        <v>0</v>
      </c>
      <c r="G37" s="42">
        <f t="shared" si="0"/>
        <v>-2993657.11</v>
      </c>
      <c r="H37" s="2" t="str">
        <f>VLOOKUP(A37,'TB April'!A:H,8,0)</f>
        <v>Not Applicable</v>
      </c>
    </row>
    <row r="38" spans="1:8" hidden="1">
      <c r="A38" s="62" t="s">
        <v>123</v>
      </c>
      <c r="B38" s="78">
        <v>30184.23</v>
      </c>
      <c r="C38" s="78">
        <v>8981272</v>
      </c>
      <c r="D38" s="78">
        <v>3990955.52</v>
      </c>
      <c r="E38" s="78">
        <v>5020500.71</v>
      </c>
      <c r="F38" s="42">
        <v>0</v>
      </c>
      <c r="G38" s="42">
        <f t="shared" si="0"/>
        <v>5020500.71</v>
      </c>
      <c r="H38" s="2" t="str">
        <f>VLOOKUP(A38,'TB April'!A:H,8,0)</f>
        <v>Not Applicable</v>
      </c>
    </row>
    <row r="39" spans="1:8" hidden="1">
      <c r="A39" s="62" t="s">
        <v>188</v>
      </c>
      <c r="B39" s="78"/>
      <c r="C39" s="78"/>
      <c r="D39" s="78"/>
      <c r="E39" s="78"/>
      <c r="F39" s="42">
        <v>0</v>
      </c>
      <c r="G39" s="42">
        <f t="shared" si="0"/>
        <v>0</v>
      </c>
      <c r="H39" s="2" t="str">
        <f>VLOOKUP(A39,'TB April'!A:H,8,0)</f>
        <v>Not Applicable</v>
      </c>
    </row>
    <row r="40" spans="1:8" hidden="1">
      <c r="A40" s="62" t="s">
        <v>209</v>
      </c>
      <c r="B40" s="78">
        <v>0.04</v>
      </c>
      <c r="C40" s="78">
        <v>2120011.64</v>
      </c>
      <c r="D40" s="78">
        <v>158550.48000000001</v>
      </c>
      <c r="E40" s="78">
        <v>1961461.2</v>
      </c>
      <c r="F40" s="42">
        <v>0</v>
      </c>
      <c r="G40" s="42">
        <f t="shared" si="0"/>
        <v>1961461.2</v>
      </c>
      <c r="H40" s="2" t="str">
        <f>VLOOKUP(A40,'TB April'!A:H,8,0)</f>
        <v>Not Applicable</v>
      </c>
    </row>
    <row r="41" spans="1:8" hidden="1">
      <c r="A41" s="62" t="s">
        <v>307</v>
      </c>
      <c r="B41" s="78">
        <v>30184.23</v>
      </c>
      <c r="C41" s="78">
        <v>8981272</v>
      </c>
      <c r="D41" s="78">
        <v>3990955.52</v>
      </c>
      <c r="E41" s="78">
        <v>5020500.71</v>
      </c>
      <c r="F41" s="42">
        <v>0</v>
      </c>
      <c r="G41" s="42">
        <f t="shared" si="0"/>
        <v>5020500.71</v>
      </c>
      <c r="H41" s="2" t="str">
        <f>VLOOKUP(A41,'TB April'!A:H,8,0)</f>
        <v>Not Applicable</v>
      </c>
    </row>
    <row r="42" spans="1:8" hidden="1">
      <c r="A42" s="62" t="s">
        <v>208</v>
      </c>
      <c r="B42" s="78">
        <v>1259702.33</v>
      </c>
      <c r="C42" s="78"/>
      <c r="D42" s="78"/>
      <c r="E42" s="78">
        <v>1259702.33</v>
      </c>
      <c r="F42" s="42">
        <v>0</v>
      </c>
      <c r="G42" s="42">
        <f t="shared" si="0"/>
        <v>1259702.33</v>
      </c>
      <c r="H42" s="2" t="str">
        <f>VLOOKUP(A42,'TB April'!A:H,8,0)</f>
        <v>Not Applicable</v>
      </c>
    </row>
    <row r="43" spans="1:8" hidden="1">
      <c r="A43" s="62" t="s">
        <v>277</v>
      </c>
      <c r="B43" s="78">
        <v>20192590.559999999</v>
      </c>
      <c r="C43" s="78">
        <v>8112687.4800000004</v>
      </c>
      <c r="D43" s="78">
        <v>7910261.5300000003</v>
      </c>
      <c r="E43" s="78">
        <v>20395016.510000002</v>
      </c>
      <c r="F43" s="42">
        <v>0</v>
      </c>
      <c r="G43" s="42">
        <f t="shared" si="0"/>
        <v>20395016.510000002</v>
      </c>
      <c r="H43" s="2" t="str">
        <f>VLOOKUP(A43,'TB April'!A:H,8,0)</f>
        <v>Not Applicable</v>
      </c>
    </row>
    <row r="44" spans="1:8" hidden="1">
      <c r="A44" s="62" t="s">
        <v>157</v>
      </c>
      <c r="B44" s="78">
        <v>6083898</v>
      </c>
      <c r="C44" s="78"/>
      <c r="D44" s="78"/>
      <c r="E44" s="78">
        <v>6083898</v>
      </c>
      <c r="F44" s="42">
        <v>0</v>
      </c>
      <c r="G44" s="42">
        <f t="shared" si="0"/>
        <v>6083898</v>
      </c>
      <c r="H44" s="2" t="str">
        <f>VLOOKUP(A44,'TB April'!A:H,8,0)</f>
        <v>Not Applicable</v>
      </c>
    </row>
    <row r="45" spans="1:8" hidden="1">
      <c r="A45" s="62" t="s">
        <v>232</v>
      </c>
      <c r="B45" s="78">
        <v>-484344</v>
      </c>
      <c r="C45" s="78"/>
      <c r="D45" s="78"/>
      <c r="E45" s="78">
        <v>-484344</v>
      </c>
      <c r="F45" s="42">
        <v>0</v>
      </c>
      <c r="G45" s="42">
        <f t="shared" si="0"/>
        <v>-484344</v>
      </c>
      <c r="H45" s="2" t="str">
        <f>VLOOKUP(A45,'TB April'!A:H,8,0)</f>
        <v>Not Applicable</v>
      </c>
    </row>
    <row r="46" spans="1:8" hidden="1">
      <c r="A46" s="62" t="s">
        <v>240</v>
      </c>
      <c r="B46" s="78">
        <v>44562171</v>
      </c>
      <c r="C46" s="78"/>
      <c r="D46" s="78"/>
      <c r="E46" s="78">
        <v>44562171</v>
      </c>
      <c r="F46" s="42">
        <v>0</v>
      </c>
      <c r="G46" s="42">
        <f t="shared" si="0"/>
        <v>44562171</v>
      </c>
      <c r="H46" s="2" t="str">
        <f>VLOOKUP(A46,'TB April'!A:H,8,0)</f>
        <v>Not Applicable</v>
      </c>
    </row>
    <row r="47" spans="1:8" hidden="1">
      <c r="A47" s="62" t="s">
        <v>181</v>
      </c>
      <c r="B47" s="78">
        <v>3037413</v>
      </c>
      <c r="C47" s="78"/>
      <c r="D47" s="78"/>
      <c r="E47" s="78">
        <v>3037413</v>
      </c>
      <c r="F47" s="42">
        <v>0</v>
      </c>
      <c r="G47" s="42">
        <f t="shared" si="0"/>
        <v>3037413</v>
      </c>
      <c r="H47" s="2" t="str">
        <f>VLOOKUP(A47,'TB April'!A:H,8,0)</f>
        <v>Not Applicable</v>
      </c>
    </row>
    <row r="48" spans="1:8" hidden="1">
      <c r="A48" s="62" t="s">
        <v>287</v>
      </c>
      <c r="B48" s="78">
        <v>67898.509999999995</v>
      </c>
      <c r="C48" s="78"/>
      <c r="D48" s="78"/>
      <c r="E48" s="78">
        <v>67898.509999999995</v>
      </c>
      <c r="F48" s="42">
        <v>0</v>
      </c>
      <c r="G48" s="42">
        <f t="shared" si="0"/>
        <v>67898.509999999995</v>
      </c>
      <c r="H48" s="2" t="str">
        <f>VLOOKUP(A48,'TB April'!A:H,8,0)</f>
        <v>Not Applicable</v>
      </c>
    </row>
    <row r="49" spans="1:8" hidden="1">
      <c r="A49" s="62" t="s">
        <v>145</v>
      </c>
      <c r="B49" s="78">
        <v>861066</v>
      </c>
      <c r="C49" s="78"/>
      <c r="D49" s="78"/>
      <c r="E49" s="78">
        <v>861066</v>
      </c>
      <c r="F49" s="42">
        <v>0</v>
      </c>
      <c r="G49" s="42">
        <f t="shared" si="0"/>
        <v>861066</v>
      </c>
      <c r="H49" s="2" t="str">
        <f>VLOOKUP(A49,'TB April'!A:H,8,0)</f>
        <v>Not Applicable</v>
      </c>
    </row>
    <row r="50" spans="1:8" hidden="1">
      <c r="A50" s="62" t="s">
        <v>203</v>
      </c>
      <c r="B50" s="78">
        <v>106300</v>
      </c>
      <c r="C50" s="78"/>
      <c r="D50" s="78"/>
      <c r="E50" s="78">
        <v>106300</v>
      </c>
      <c r="F50" s="42">
        <v>0</v>
      </c>
      <c r="G50" s="42">
        <f t="shared" si="0"/>
        <v>106300</v>
      </c>
      <c r="H50" s="2" t="str">
        <f>VLOOKUP(A50,'TB April'!A:H,8,0)</f>
        <v>Not Applicable</v>
      </c>
    </row>
    <row r="51" spans="1:8" hidden="1">
      <c r="A51" s="62" t="s">
        <v>1279</v>
      </c>
      <c r="B51" s="78">
        <v>100980</v>
      </c>
      <c r="C51" s="78"/>
      <c r="D51" s="78"/>
      <c r="E51" s="78">
        <v>100980</v>
      </c>
      <c r="F51" s="42">
        <v>0</v>
      </c>
      <c r="G51" s="42">
        <f t="shared" si="0"/>
        <v>100980</v>
      </c>
      <c r="H51" s="2" t="str">
        <f>VLOOKUP(A51,'TB April'!A:H,8,0)</f>
        <v>Not Applicable</v>
      </c>
    </row>
    <row r="52" spans="1:8" hidden="1">
      <c r="A52" s="62" t="s">
        <v>283</v>
      </c>
      <c r="B52" s="78">
        <v>-400000</v>
      </c>
      <c r="C52" s="78"/>
      <c r="D52" s="78"/>
      <c r="E52" s="78">
        <v>-400000</v>
      </c>
      <c r="F52" s="42">
        <v>0</v>
      </c>
      <c r="G52" s="42">
        <f t="shared" si="0"/>
        <v>-400000</v>
      </c>
      <c r="H52" s="2" t="str">
        <f>VLOOKUP(A52,'TB April'!A:H,8,0)</f>
        <v>Not Applicable</v>
      </c>
    </row>
    <row r="53" spans="1:8" hidden="1">
      <c r="A53" s="62" t="s">
        <v>308</v>
      </c>
      <c r="B53" s="78">
        <v>9000</v>
      </c>
      <c r="C53" s="78"/>
      <c r="D53" s="78"/>
      <c r="E53" s="78">
        <v>9000</v>
      </c>
      <c r="F53" s="42">
        <v>0</v>
      </c>
      <c r="G53" s="42">
        <f t="shared" si="0"/>
        <v>9000</v>
      </c>
      <c r="H53" s="2" t="str">
        <f>VLOOKUP(A53,'TB April'!A:H,8,0)</f>
        <v>Not Applicable</v>
      </c>
    </row>
    <row r="54" spans="1:8" hidden="1">
      <c r="A54" s="62" t="s">
        <v>309</v>
      </c>
      <c r="B54" s="78">
        <v>3000</v>
      </c>
      <c r="C54" s="78"/>
      <c r="D54" s="78"/>
      <c r="E54" s="78">
        <v>3000</v>
      </c>
      <c r="F54" s="42">
        <v>0</v>
      </c>
      <c r="G54" s="42">
        <f t="shared" si="0"/>
        <v>3000</v>
      </c>
      <c r="H54" s="2" t="str">
        <f>VLOOKUP(A54,'TB April'!A:H,8,0)</f>
        <v>Not Applicable</v>
      </c>
    </row>
    <row r="55" spans="1:8" hidden="1">
      <c r="A55" s="62" t="s">
        <v>310</v>
      </c>
      <c r="B55" s="78">
        <v>17933</v>
      </c>
      <c r="C55" s="78"/>
      <c r="D55" s="78"/>
      <c r="E55" s="78">
        <v>17933</v>
      </c>
      <c r="F55" s="42">
        <v>0</v>
      </c>
      <c r="G55" s="42">
        <f t="shared" si="0"/>
        <v>17933</v>
      </c>
      <c r="H55" s="2" t="str">
        <f>VLOOKUP(A55,'TB April'!A:H,8,0)</f>
        <v>Not Applicable</v>
      </c>
    </row>
    <row r="56" spans="1:8" hidden="1">
      <c r="A56" s="62" t="s">
        <v>311</v>
      </c>
      <c r="B56" s="78">
        <v>104000</v>
      </c>
      <c r="C56" s="78"/>
      <c r="D56" s="78"/>
      <c r="E56" s="78">
        <v>104000</v>
      </c>
      <c r="F56" s="42">
        <v>0</v>
      </c>
      <c r="G56" s="42">
        <f t="shared" si="0"/>
        <v>104000</v>
      </c>
      <c r="H56" s="2" t="str">
        <f>VLOOKUP(A56,'TB April'!A:H,8,0)</f>
        <v>Not Applicable</v>
      </c>
    </row>
    <row r="57" spans="1:8" hidden="1">
      <c r="A57" s="62" t="s">
        <v>312</v>
      </c>
      <c r="B57" s="78">
        <v>30000</v>
      </c>
      <c r="C57" s="78"/>
      <c r="D57" s="78"/>
      <c r="E57" s="78">
        <v>30000</v>
      </c>
      <c r="F57" s="42">
        <v>0</v>
      </c>
      <c r="G57" s="42">
        <f t="shared" si="0"/>
        <v>30000</v>
      </c>
      <c r="H57" s="2" t="str">
        <f>VLOOKUP(A57,'TB April'!A:H,8,0)</f>
        <v>Not Applicable</v>
      </c>
    </row>
    <row r="58" spans="1:8" hidden="1">
      <c r="A58" s="62" t="s">
        <v>947</v>
      </c>
      <c r="B58" s="78">
        <v>311200</v>
      </c>
      <c r="C58" s="78"/>
      <c r="D58" s="78"/>
      <c r="E58" s="78">
        <v>311200</v>
      </c>
      <c r="F58" s="42">
        <v>0</v>
      </c>
      <c r="G58" s="42">
        <f t="shared" si="0"/>
        <v>311200</v>
      </c>
      <c r="H58" s="2" t="str">
        <f>VLOOKUP(A58,'TB April'!A:H,8,0)</f>
        <v>Not Applicable</v>
      </c>
    </row>
    <row r="59" spans="1:8" hidden="1">
      <c r="A59" s="62" t="s">
        <v>85</v>
      </c>
      <c r="B59" s="78">
        <v>-955050</v>
      </c>
      <c r="C59" s="78">
        <v>4916800</v>
      </c>
      <c r="D59" s="78">
        <v>1618500</v>
      </c>
      <c r="E59" s="78">
        <v>2343250</v>
      </c>
      <c r="F59" s="42">
        <v>0</v>
      </c>
      <c r="G59" s="42">
        <f t="shared" si="0"/>
        <v>2343250</v>
      </c>
      <c r="H59" s="2" t="str">
        <f>VLOOKUP(A59,'TB April'!A:H,8,0)</f>
        <v>Not Applicable</v>
      </c>
    </row>
    <row r="60" spans="1:8" hidden="1">
      <c r="A60" s="62" t="s">
        <v>320</v>
      </c>
      <c r="B60" s="78">
        <v>2277276</v>
      </c>
      <c r="C60" s="78">
        <v>500000</v>
      </c>
      <c r="D60" s="78">
        <v>80000</v>
      </c>
      <c r="E60" s="78">
        <v>2697276</v>
      </c>
      <c r="F60" s="42">
        <v>0</v>
      </c>
      <c r="G60" s="42">
        <f t="shared" si="0"/>
        <v>2697276</v>
      </c>
      <c r="H60" s="2" t="str">
        <f>VLOOKUP(A60,'TB April'!A:H,8,0)</f>
        <v>Not Applicable</v>
      </c>
    </row>
    <row r="61" spans="1:8" hidden="1">
      <c r="A61" s="62" t="s">
        <v>946</v>
      </c>
      <c r="B61" s="78"/>
      <c r="C61" s="78"/>
      <c r="D61" s="78"/>
      <c r="E61" s="78"/>
      <c r="F61" s="42">
        <v>0</v>
      </c>
      <c r="G61" s="42">
        <f t="shared" si="0"/>
        <v>0</v>
      </c>
      <c r="H61" s="2" t="s">
        <v>84</v>
      </c>
    </row>
    <row r="62" spans="1:8" hidden="1">
      <c r="A62" s="62" t="s">
        <v>1399</v>
      </c>
      <c r="B62" s="78"/>
      <c r="C62" s="78"/>
      <c r="D62" s="78"/>
      <c r="E62" s="78"/>
      <c r="F62" s="42">
        <v>0</v>
      </c>
      <c r="G62" s="42">
        <f t="shared" si="0"/>
        <v>0</v>
      </c>
      <c r="H62" s="2" t="str">
        <f>VLOOKUP(A62,'TB April'!A:H,8,0)</f>
        <v>Not Applicable</v>
      </c>
    </row>
    <row r="63" spans="1:8" hidden="1">
      <c r="A63" s="62" t="s">
        <v>89</v>
      </c>
      <c r="B63" s="78">
        <v>184593.3</v>
      </c>
      <c r="C63" s="78"/>
      <c r="D63" s="78"/>
      <c r="E63" s="78">
        <v>184593.3</v>
      </c>
      <c r="F63" s="42">
        <v>0</v>
      </c>
      <c r="G63" s="42">
        <f t="shared" si="0"/>
        <v>184593.3</v>
      </c>
      <c r="H63" s="2" t="str">
        <f>VLOOKUP(A63,'TB April'!A:H,8,0)</f>
        <v>Not Applicable</v>
      </c>
    </row>
    <row r="64" spans="1:8" hidden="1">
      <c r="A64" s="62" t="s">
        <v>93</v>
      </c>
      <c r="B64" s="78">
        <v>1416914.97</v>
      </c>
      <c r="C64" s="78"/>
      <c r="D64" s="78">
        <v>1397115</v>
      </c>
      <c r="E64" s="78">
        <v>19799.97</v>
      </c>
      <c r="F64" s="42">
        <v>0</v>
      </c>
      <c r="G64" s="42">
        <f t="shared" si="0"/>
        <v>19799.97</v>
      </c>
      <c r="H64" s="2" t="str">
        <f>VLOOKUP(A64,'TB April'!A:H,8,0)</f>
        <v>Not Applicable</v>
      </c>
    </row>
    <row r="65" spans="1:8" hidden="1">
      <c r="A65" s="62" t="s">
        <v>1348</v>
      </c>
      <c r="B65" s="78">
        <v>1078377.3</v>
      </c>
      <c r="C65" s="78">
        <v>1165392.3999999999</v>
      </c>
      <c r="D65" s="78">
        <v>2140049</v>
      </c>
      <c r="E65" s="78">
        <v>103720.7</v>
      </c>
      <c r="F65" s="42">
        <v>0</v>
      </c>
      <c r="G65" s="42">
        <f t="shared" si="0"/>
        <v>103720.7</v>
      </c>
      <c r="H65" s="2" t="str">
        <f>VLOOKUP(A65,'TB April'!A:H,8,0)</f>
        <v>Not Applicable</v>
      </c>
    </row>
    <row r="66" spans="1:8" hidden="1">
      <c r="A66" s="62" t="s">
        <v>95</v>
      </c>
      <c r="B66" s="78"/>
      <c r="C66" s="78"/>
      <c r="D66" s="78"/>
      <c r="E66" s="78"/>
      <c r="F66" s="42">
        <v>0</v>
      </c>
      <c r="G66" s="42">
        <f t="shared" si="0"/>
        <v>0</v>
      </c>
      <c r="H66" s="2" t="str">
        <f>VLOOKUP(A66,'TB April'!A:H,8,0)</f>
        <v>Not Applicable</v>
      </c>
    </row>
    <row r="67" spans="1:8" hidden="1">
      <c r="A67" s="62" t="s">
        <v>94</v>
      </c>
      <c r="B67" s="78"/>
      <c r="C67" s="78"/>
      <c r="D67" s="78"/>
      <c r="E67" s="78"/>
      <c r="F67" s="42">
        <v>0</v>
      </c>
      <c r="G67" s="42">
        <f t="shared" si="0"/>
        <v>0</v>
      </c>
      <c r="H67" s="2" t="str">
        <f>VLOOKUP(A67,'TB April'!A:H,8,0)</f>
        <v>Not Applicable</v>
      </c>
    </row>
    <row r="68" spans="1:8" hidden="1">
      <c r="A68" s="62" t="s">
        <v>97</v>
      </c>
      <c r="B68" s="78"/>
      <c r="C68" s="78"/>
      <c r="D68" s="78"/>
      <c r="E68" s="78"/>
      <c r="F68" s="42">
        <v>0</v>
      </c>
      <c r="G68" s="42">
        <f t="shared" si="0"/>
        <v>0</v>
      </c>
      <c r="H68" s="2" t="str">
        <f>VLOOKUP(A68,'TB April'!A:H,8,0)</f>
        <v>Not Applicable</v>
      </c>
    </row>
    <row r="69" spans="1:8" hidden="1">
      <c r="A69" s="62" t="s">
        <v>934</v>
      </c>
      <c r="B69" s="78">
        <v>876917.2</v>
      </c>
      <c r="C69" s="78"/>
      <c r="D69" s="78"/>
      <c r="E69" s="78">
        <v>876917.2</v>
      </c>
      <c r="F69" s="42">
        <v>0</v>
      </c>
      <c r="G69" s="42">
        <f t="shared" si="0"/>
        <v>876917.2</v>
      </c>
      <c r="H69" s="2" t="str">
        <f>VLOOKUP(A69,'TB April'!A:H,8,0)</f>
        <v>Not Applicable</v>
      </c>
    </row>
    <row r="70" spans="1:8" hidden="1">
      <c r="A70" s="62" t="s">
        <v>109</v>
      </c>
      <c r="B70" s="78"/>
      <c r="C70" s="78"/>
      <c r="D70" s="78"/>
      <c r="E70" s="78"/>
      <c r="F70" s="42">
        <v>0</v>
      </c>
      <c r="G70" s="42">
        <f t="shared" ref="G70:G133" si="1">+E70+F70</f>
        <v>0</v>
      </c>
      <c r="H70" s="2" t="str">
        <f>VLOOKUP(A70,'TB April'!A:H,8,0)</f>
        <v>Not Applicable</v>
      </c>
    </row>
    <row r="71" spans="1:8" hidden="1">
      <c r="A71" s="62" t="s">
        <v>1503</v>
      </c>
      <c r="B71" s="78"/>
      <c r="C71" s="78">
        <v>206500</v>
      </c>
      <c r="D71" s="78"/>
      <c r="E71" s="78">
        <v>206500</v>
      </c>
      <c r="F71" s="42">
        <v>0</v>
      </c>
      <c r="G71" s="42">
        <f t="shared" si="1"/>
        <v>206500</v>
      </c>
      <c r="H71" s="2" t="s">
        <v>84</v>
      </c>
    </row>
    <row r="72" spans="1:8" hidden="1">
      <c r="A72" s="62" t="s">
        <v>110</v>
      </c>
      <c r="B72" s="78"/>
      <c r="C72" s="78"/>
      <c r="D72" s="78"/>
      <c r="E72" s="78"/>
      <c r="F72" s="42">
        <v>0</v>
      </c>
      <c r="G72" s="42">
        <f t="shared" si="1"/>
        <v>0</v>
      </c>
      <c r="H72" s="2" t="str">
        <f>VLOOKUP(A72,'TB April'!A:H,8,0)</f>
        <v>Not Applicable</v>
      </c>
    </row>
    <row r="73" spans="1:8" hidden="1">
      <c r="A73" s="62" t="s">
        <v>1326</v>
      </c>
      <c r="B73" s="78"/>
      <c r="C73" s="78"/>
      <c r="D73" s="78"/>
      <c r="E73" s="78"/>
      <c r="F73" s="42">
        <v>0</v>
      </c>
      <c r="G73" s="42">
        <f t="shared" si="1"/>
        <v>0</v>
      </c>
      <c r="H73" s="2" t="str">
        <f>VLOOKUP(A73,'TB April'!A:H,8,0)</f>
        <v>Not Applicable</v>
      </c>
    </row>
    <row r="74" spans="1:8" hidden="1">
      <c r="A74" s="62" t="s">
        <v>973</v>
      </c>
      <c r="B74" s="78"/>
      <c r="C74" s="78"/>
      <c r="D74" s="78"/>
      <c r="E74" s="78"/>
      <c r="F74" s="42">
        <v>0</v>
      </c>
      <c r="G74" s="42">
        <f t="shared" si="1"/>
        <v>0</v>
      </c>
      <c r="H74" s="2" t="str">
        <f>VLOOKUP(A74,'TB April'!A:H,8,0)</f>
        <v>Not Applicable</v>
      </c>
    </row>
    <row r="75" spans="1:8" hidden="1">
      <c r="A75" s="62" t="s">
        <v>1400</v>
      </c>
      <c r="B75" s="78"/>
      <c r="C75" s="78"/>
      <c r="D75" s="78"/>
      <c r="E75" s="78"/>
      <c r="F75" s="42">
        <v>0</v>
      </c>
      <c r="G75" s="42">
        <f t="shared" si="1"/>
        <v>0</v>
      </c>
      <c r="H75" s="2" t="str">
        <f>VLOOKUP(A75,'TB April'!A:H,8,0)</f>
        <v>Not Applicable</v>
      </c>
    </row>
    <row r="76" spans="1:8" hidden="1">
      <c r="A76" s="62" t="s">
        <v>114</v>
      </c>
      <c r="B76" s="78"/>
      <c r="C76" s="78"/>
      <c r="D76" s="78"/>
      <c r="E76" s="78"/>
      <c r="F76" s="42">
        <v>0</v>
      </c>
      <c r="G76" s="42">
        <f t="shared" si="1"/>
        <v>0</v>
      </c>
      <c r="H76" s="2" t="s">
        <v>84</v>
      </c>
    </row>
    <row r="77" spans="1:8" hidden="1">
      <c r="A77" s="62" t="s">
        <v>1401</v>
      </c>
      <c r="B77" s="78"/>
      <c r="C77" s="78"/>
      <c r="D77" s="78"/>
      <c r="E77" s="78"/>
      <c r="F77" s="42">
        <v>0</v>
      </c>
      <c r="G77" s="42">
        <f t="shared" si="1"/>
        <v>0</v>
      </c>
      <c r="H77" s="2" t="str">
        <f>VLOOKUP(A77,'TB April'!A:H,8,0)</f>
        <v>Not Applicable</v>
      </c>
    </row>
    <row r="78" spans="1:8" hidden="1">
      <c r="A78" s="62" t="s">
        <v>1008</v>
      </c>
      <c r="B78" s="78"/>
      <c r="C78" s="78"/>
      <c r="D78" s="78"/>
      <c r="E78" s="78"/>
      <c r="F78" s="42">
        <v>0</v>
      </c>
      <c r="G78" s="42">
        <f t="shared" si="1"/>
        <v>0</v>
      </c>
      <c r="H78" s="2" t="str">
        <f>VLOOKUP(A78,'TB April'!A:H,8,0)</f>
        <v>Not Applicable</v>
      </c>
    </row>
    <row r="79" spans="1:8" hidden="1">
      <c r="A79" s="62" t="s">
        <v>975</v>
      </c>
      <c r="B79" s="78">
        <v>-87133.69</v>
      </c>
      <c r="C79" s="78"/>
      <c r="D79" s="78">
        <v>118000</v>
      </c>
      <c r="E79" s="78">
        <v>-205133.69</v>
      </c>
      <c r="F79" s="42">
        <v>0</v>
      </c>
      <c r="G79" s="42">
        <f t="shared" si="1"/>
        <v>-205133.69</v>
      </c>
      <c r="H79" s="2" t="str">
        <f>VLOOKUP(A79,'TB April'!A:H,8,0)</f>
        <v>Not Applicable</v>
      </c>
    </row>
    <row r="80" spans="1:8" hidden="1">
      <c r="A80" s="62" t="s">
        <v>1009</v>
      </c>
      <c r="B80" s="78">
        <v>0.1</v>
      </c>
      <c r="C80" s="78"/>
      <c r="D80" s="78"/>
      <c r="E80" s="78">
        <v>0.1</v>
      </c>
      <c r="F80" s="42">
        <v>0</v>
      </c>
      <c r="G80" s="42">
        <f t="shared" si="1"/>
        <v>0.1</v>
      </c>
      <c r="H80" s="2" t="str">
        <f>VLOOKUP(A80,'TB April'!A:H,8,0)</f>
        <v>Not Applicable</v>
      </c>
    </row>
    <row r="81" spans="1:8" hidden="1">
      <c r="A81" s="62" t="s">
        <v>129</v>
      </c>
      <c r="B81" s="78"/>
      <c r="C81" s="78"/>
      <c r="D81" s="78"/>
      <c r="E81" s="78"/>
      <c r="F81" s="42">
        <v>0</v>
      </c>
      <c r="G81" s="42">
        <f t="shared" si="1"/>
        <v>0</v>
      </c>
      <c r="H81" s="2" t="str">
        <f>VLOOKUP(A81,'TB April'!A:H,8,0)</f>
        <v>Not Applicable</v>
      </c>
    </row>
    <row r="82" spans="1:8" hidden="1">
      <c r="A82" s="62" t="s">
        <v>1402</v>
      </c>
      <c r="B82" s="78"/>
      <c r="C82" s="78"/>
      <c r="D82" s="78"/>
      <c r="E82" s="78"/>
      <c r="F82" s="42">
        <v>0</v>
      </c>
      <c r="G82" s="42">
        <f t="shared" si="1"/>
        <v>0</v>
      </c>
      <c r="H82" s="2" t="str">
        <f>VLOOKUP(A82,'TB April'!A:H,8,0)</f>
        <v>Not Applicable</v>
      </c>
    </row>
    <row r="83" spans="1:8" hidden="1">
      <c r="A83" s="62" t="s">
        <v>1403</v>
      </c>
      <c r="B83" s="78"/>
      <c r="C83" s="78"/>
      <c r="D83" s="78"/>
      <c r="E83" s="78"/>
      <c r="F83" s="42">
        <v>0</v>
      </c>
      <c r="G83" s="42">
        <f t="shared" si="1"/>
        <v>0</v>
      </c>
      <c r="H83" s="2" t="str">
        <f>VLOOKUP(A83,'TB April'!A:H,8,0)</f>
        <v>Not Applicable</v>
      </c>
    </row>
    <row r="84" spans="1:8" hidden="1">
      <c r="A84" s="62" t="s">
        <v>142</v>
      </c>
      <c r="B84" s="78">
        <v>1562798.14</v>
      </c>
      <c r="C84" s="78"/>
      <c r="D84" s="78">
        <v>1566340.09</v>
      </c>
      <c r="E84" s="78">
        <v>-3541.95</v>
      </c>
      <c r="F84" s="42">
        <v>0</v>
      </c>
      <c r="G84" s="42">
        <f t="shared" si="1"/>
        <v>-3541.95</v>
      </c>
      <c r="H84" s="2" t="str">
        <f>VLOOKUP(A84,'TB April'!A:H,8,0)</f>
        <v>Not Applicable</v>
      </c>
    </row>
    <row r="85" spans="1:8" hidden="1">
      <c r="A85" s="62" t="s">
        <v>143</v>
      </c>
      <c r="B85" s="78">
        <v>3825909.25</v>
      </c>
      <c r="C85" s="78"/>
      <c r="D85" s="78"/>
      <c r="E85" s="78">
        <v>3825909.25</v>
      </c>
      <c r="F85" s="42">
        <v>0</v>
      </c>
      <c r="G85" s="42">
        <f t="shared" si="1"/>
        <v>3825909.25</v>
      </c>
      <c r="H85" s="2" t="str">
        <f>VLOOKUP(A85,'TB April'!A:H,8,0)</f>
        <v>Not Applicable</v>
      </c>
    </row>
    <row r="86" spans="1:8" hidden="1">
      <c r="A86" s="62" t="s">
        <v>1404</v>
      </c>
      <c r="B86" s="78"/>
      <c r="C86" s="78"/>
      <c r="D86" s="78"/>
      <c r="E86" s="78"/>
      <c r="F86" s="42">
        <v>0</v>
      </c>
      <c r="G86" s="42">
        <f t="shared" si="1"/>
        <v>0</v>
      </c>
      <c r="H86" s="2" t="str">
        <f>VLOOKUP(A86,'TB April'!A:H,8,0)</f>
        <v>Not Applicable</v>
      </c>
    </row>
    <row r="87" spans="1:8" hidden="1">
      <c r="A87" s="62" t="s">
        <v>1173</v>
      </c>
      <c r="B87" s="78">
        <v>7080</v>
      </c>
      <c r="C87" s="78"/>
      <c r="D87" s="78"/>
      <c r="E87" s="78">
        <v>7080</v>
      </c>
      <c r="F87" s="42">
        <v>0</v>
      </c>
      <c r="G87" s="42">
        <f t="shared" si="1"/>
        <v>7080</v>
      </c>
      <c r="H87" s="2" t="str">
        <f>VLOOKUP(A87,'TB April'!A:H,8,0)</f>
        <v>Not Applicable</v>
      </c>
    </row>
    <row r="88" spans="1:8" hidden="1">
      <c r="A88" s="62" t="s">
        <v>1080</v>
      </c>
      <c r="B88" s="78">
        <v>0.08</v>
      </c>
      <c r="C88" s="78"/>
      <c r="D88" s="78"/>
      <c r="E88" s="78">
        <v>0.08</v>
      </c>
      <c r="F88" s="42">
        <v>0</v>
      </c>
      <c r="G88" s="42">
        <f t="shared" si="1"/>
        <v>0.08</v>
      </c>
      <c r="H88" s="2" t="str">
        <f>VLOOKUP(A88,'TB April'!A:H,8,0)</f>
        <v>Not Applicable</v>
      </c>
    </row>
    <row r="89" spans="1:8" hidden="1">
      <c r="A89" s="62" t="s">
        <v>1111</v>
      </c>
      <c r="B89" s="78"/>
      <c r="C89" s="78"/>
      <c r="D89" s="78"/>
      <c r="E89" s="78"/>
      <c r="F89" s="42">
        <v>0</v>
      </c>
      <c r="G89" s="42">
        <f t="shared" si="1"/>
        <v>0</v>
      </c>
      <c r="H89" s="2" t="str">
        <f>VLOOKUP(A89,'TB April'!A:H,8,0)</f>
        <v>Not Applicable</v>
      </c>
    </row>
    <row r="90" spans="1:8" hidden="1">
      <c r="A90" s="62" t="s">
        <v>1405</v>
      </c>
      <c r="B90" s="78"/>
      <c r="C90" s="78"/>
      <c r="D90" s="78"/>
      <c r="E90" s="78"/>
      <c r="F90" s="42">
        <v>0</v>
      </c>
      <c r="G90" s="42">
        <f t="shared" si="1"/>
        <v>0</v>
      </c>
      <c r="H90" s="2" t="str">
        <f>VLOOKUP(A90,'TB April'!A:H,8,0)</f>
        <v>Not Applicable</v>
      </c>
    </row>
    <row r="91" spans="1:8" hidden="1">
      <c r="A91" s="62" t="s">
        <v>1406</v>
      </c>
      <c r="B91" s="78"/>
      <c r="C91" s="78"/>
      <c r="D91" s="78"/>
      <c r="E91" s="78"/>
      <c r="F91" s="42">
        <v>0</v>
      </c>
      <c r="G91" s="42">
        <f t="shared" si="1"/>
        <v>0</v>
      </c>
      <c r="H91" s="2" t="str">
        <f>VLOOKUP(A91,'TB April'!A:H,8,0)</f>
        <v>Not Applicable</v>
      </c>
    </row>
    <row r="92" spans="1:8" hidden="1">
      <c r="A92" s="62" t="s">
        <v>180</v>
      </c>
      <c r="B92" s="78"/>
      <c r="C92" s="78"/>
      <c r="D92" s="78"/>
      <c r="E92" s="78"/>
      <c r="F92" s="42">
        <v>0</v>
      </c>
      <c r="G92" s="42">
        <f t="shared" si="1"/>
        <v>0</v>
      </c>
      <c r="H92" s="2" t="str">
        <f>VLOOKUP(A92,'TB April'!A:H,8,0)</f>
        <v>Not Applicable</v>
      </c>
    </row>
    <row r="93" spans="1:8" hidden="1">
      <c r="A93" s="62" t="s">
        <v>1280</v>
      </c>
      <c r="B93" s="78">
        <v>0.92</v>
      </c>
      <c r="C93" s="78"/>
      <c r="D93" s="78"/>
      <c r="E93" s="78">
        <v>0.92</v>
      </c>
      <c r="F93" s="42">
        <v>0</v>
      </c>
      <c r="G93" s="42">
        <f t="shared" si="1"/>
        <v>0.92</v>
      </c>
      <c r="H93" s="2" t="str">
        <f>VLOOKUP(A93,'TB April'!A:H,8,0)</f>
        <v>Not Applicable</v>
      </c>
    </row>
    <row r="94" spans="1:8" hidden="1">
      <c r="A94" s="62" t="s">
        <v>917</v>
      </c>
      <c r="B94" s="78"/>
      <c r="C94" s="78"/>
      <c r="D94" s="78"/>
      <c r="E94" s="78"/>
      <c r="F94" s="42">
        <v>0</v>
      </c>
      <c r="G94" s="42">
        <f t="shared" si="1"/>
        <v>0</v>
      </c>
      <c r="H94" s="2" t="str">
        <f>VLOOKUP(A94,'TB April'!A:H,8,0)</f>
        <v>Not Applicable</v>
      </c>
    </row>
    <row r="95" spans="1:8" hidden="1">
      <c r="A95" s="62" t="s">
        <v>183</v>
      </c>
      <c r="B95" s="78">
        <v>0.11</v>
      </c>
      <c r="C95" s="78"/>
      <c r="D95" s="78"/>
      <c r="E95" s="78">
        <v>0.11</v>
      </c>
      <c r="F95" s="42">
        <v>0</v>
      </c>
      <c r="G95" s="42">
        <f t="shared" si="1"/>
        <v>0.11</v>
      </c>
      <c r="H95" s="2" t="str">
        <f>VLOOKUP(A95,'TB April'!A:H,8,0)</f>
        <v>Not Applicable</v>
      </c>
    </row>
    <row r="96" spans="1:8" hidden="1">
      <c r="A96" s="62" t="s">
        <v>192</v>
      </c>
      <c r="B96" s="78"/>
      <c r="C96" s="78"/>
      <c r="D96" s="78"/>
      <c r="E96" s="78"/>
      <c r="F96" s="42">
        <v>0</v>
      </c>
      <c r="G96" s="42">
        <f t="shared" si="1"/>
        <v>0</v>
      </c>
      <c r="H96" s="2" t="str">
        <f>VLOOKUP(A96,'TB April'!A:H,8,0)</f>
        <v>Not Applicable</v>
      </c>
    </row>
    <row r="97" spans="1:8" hidden="1">
      <c r="A97" s="62" t="s">
        <v>1407</v>
      </c>
      <c r="B97" s="78"/>
      <c r="C97" s="78"/>
      <c r="D97" s="78"/>
      <c r="E97" s="78"/>
      <c r="F97" s="42">
        <v>0</v>
      </c>
      <c r="G97" s="42">
        <f t="shared" si="1"/>
        <v>0</v>
      </c>
      <c r="H97" s="2" t="str">
        <f>VLOOKUP(A97,'TB April'!A:H,8,0)</f>
        <v>Not Applicable</v>
      </c>
    </row>
    <row r="98" spans="1:8" hidden="1">
      <c r="A98" s="62" t="s">
        <v>196</v>
      </c>
      <c r="B98" s="78">
        <v>124228425.31999999</v>
      </c>
      <c r="C98" s="78"/>
      <c r="D98" s="78"/>
      <c r="E98" s="78">
        <v>124228425.31999999</v>
      </c>
      <c r="F98" s="42">
        <v>0</v>
      </c>
      <c r="G98" s="42">
        <f t="shared" si="1"/>
        <v>124228425.31999999</v>
      </c>
      <c r="H98" s="2" t="str">
        <f>VLOOKUP(A98,'TB April'!A:H,8,0)</f>
        <v>Not Applicable</v>
      </c>
    </row>
    <row r="99" spans="1:8" hidden="1">
      <c r="A99" s="62" t="s">
        <v>197</v>
      </c>
      <c r="B99" s="78">
        <v>105929094.08</v>
      </c>
      <c r="C99" s="78">
        <v>37929036.229999997</v>
      </c>
      <c r="D99" s="78">
        <v>740000</v>
      </c>
      <c r="E99" s="78">
        <v>143118130.31</v>
      </c>
      <c r="F99" s="42">
        <v>0</v>
      </c>
      <c r="G99" s="42">
        <f t="shared" si="1"/>
        <v>143118130.31</v>
      </c>
      <c r="H99" s="2" t="str">
        <f>VLOOKUP(A99,'TB April'!A:H,8,0)</f>
        <v>Not Applicable</v>
      </c>
    </row>
    <row r="100" spans="1:8" hidden="1">
      <c r="A100" s="62" t="s">
        <v>1053</v>
      </c>
      <c r="B100" s="78">
        <v>18614228.199999999</v>
      </c>
      <c r="C100" s="78">
        <v>9616075.4700000007</v>
      </c>
      <c r="D100" s="78"/>
      <c r="E100" s="78">
        <v>28230303.670000002</v>
      </c>
      <c r="F100" s="42">
        <v>0</v>
      </c>
      <c r="G100" s="42">
        <f t="shared" si="1"/>
        <v>28230303.670000002</v>
      </c>
      <c r="H100" s="2" t="str">
        <f>VLOOKUP(A100,'TB April'!A:H,8,0)</f>
        <v>Not Applicable</v>
      </c>
    </row>
    <row r="101" spans="1:8" hidden="1">
      <c r="A101" s="62" t="s">
        <v>198</v>
      </c>
      <c r="B101" s="78"/>
      <c r="C101" s="78"/>
      <c r="D101" s="78"/>
      <c r="E101" s="78"/>
      <c r="F101" s="42">
        <v>0</v>
      </c>
      <c r="G101" s="42">
        <f t="shared" si="1"/>
        <v>0</v>
      </c>
      <c r="H101" s="2" t="str">
        <f>VLOOKUP(A101,'TB April'!A:H,8,0)</f>
        <v>Not Applicable</v>
      </c>
    </row>
    <row r="102" spans="1:8" hidden="1">
      <c r="A102" s="62" t="s">
        <v>1328</v>
      </c>
      <c r="B102" s="78">
        <v>-5256733.6100000003</v>
      </c>
      <c r="C102" s="78">
        <v>7679550.9800000004</v>
      </c>
      <c r="D102" s="78">
        <v>6772464.6699999999</v>
      </c>
      <c r="E102" s="78">
        <v>-4349647.3</v>
      </c>
      <c r="F102" s="42">
        <v>0</v>
      </c>
      <c r="G102" s="42">
        <f t="shared" si="1"/>
        <v>-4349647.3</v>
      </c>
      <c r="H102" s="2" t="str">
        <f>VLOOKUP(A102,'TB April'!A:H,8,0)</f>
        <v>Not Applicable</v>
      </c>
    </row>
    <row r="103" spans="1:8" hidden="1">
      <c r="A103" s="62" t="s">
        <v>855</v>
      </c>
      <c r="B103" s="78">
        <v>1165250</v>
      </c>
      <c r="C103" s="78"/>
      <c r="D103" s="78">
        <v>1165250</v>
      </c>
      <c r="E103" s="78"/>
      <c r="F103" s="42">
        <v>0</v>
      </c>
      <c r="G103" s="42">
        <f t="shared" si="1"/>
        <v>0</v>
      </c>
      <c r="H103" s="2" t="str">
        <f>VLOOKUP(A103,'TB April'!A:H,8,0)</f>
        <v>Not Applicable</v>
      </c>
    </row>
    <row r="104" spans="1:8" hidden="1">
      <c r="A104" s="62" t="s">
        <v>201</v>
      </c>
      <c r="B104" s="78"/>
      <c r="C104" s="78"/>
      <c r="D104" s="78"/>
      <c r="E104" s="78"/>
      <c r="F104" s="42">
        <v>0</v>
      </c>
      <c r="G104" s="42">
        <f t="shared" si="1"/>
        <v>0</v>
      </c>
      <c r="H104" s="2" t="str">
        <f>VLOOKUP(A104,'TB April'!A:H,8,0)</f>
        <v>Not Applicable</v>
      </c>
    </row>
    <row r="105" spans="1:8" hidden="1">
      <c r="A105" s="62" t="s">
        <v>1504</v>
      </c>
      <c r="B105" s="78"/>
      <c r="C105" s="78"/>
      <c r="D105" s="78"/>
      <c r="E105" s="78"/>
      <c r="F105" s="42">
        <v>0</v>
      </c>
      <c r="G105" s="42">
        <f t="shared" si="1"/>
        <v>0</v>
      </c>
      <c r="H105" s="2" t="s">
        <v>84</v>
      </c>
    </row>
    <row r="106" spans="1:8" hidden="1">
      <c r="A106" s="62" t="s">
        <v>210</v>
      </c>
      <c r="B106" s="78"/>
      <c r="C106" s="78"/>
      <c r="D106" s="78"/>
      <c r="E106" s="78"/>
      <c r="F106" s="42">
        <v>0</v>
      </c>
      <c r="G106" s="42">
        <f t="shared" si="1"/>
        <v>0</v>
      </c>
      <c r="H106" s="2" t="str">
        <f>VLOOKUP(A106,'TB April'!A:H,8,0)</f>
        <v>Not Applicable</v>
      </c>
    </row>
    <row r="107" spans="1:8" hidden="1">
      <c r="A107" s="62" t="s">
        <v>211</v>
      </c>
      <c r="B107" s="78"/>
      <c r="C107" s="78"/>
      <c r="D107" s="78"/>
      <c r="E107" s="78"/>
      <c r="F107" s="42">
        <v>0</v>
      </c>
      <c r="G107" s="42">
        <f t="shared" si="1"/>
        <v>0</v>
      </c>
      <c r="H107" s="2" t="str">
        <f>VLOOKUP(A107,'TB April'!A:H,8,0)</f>
        <v>Not Applicable</v>
      </c>
    </row>
    <row r="108" spans="1:8" hidden="1">
      <c r="A108" s="62" t="s">
        <v>1408</v>
      </c>
      <c r="B108" s="78"/>
      <c r="C108" s="78">
        <v>1351507.71</v>
      </c>
      <c r="D108" s="78">
        <v>1351508</v>
      </c>
      <c r="E108" s="78">
        <v>-0.28999999999999998</v>
      </c>
      <c r="F108" s="42">
        <v>0</v>
      </c>
      <c r="G108" s="42">
        <f t="shared" si="1"/>
        <v>-0.28999999999999998</v>
      </c>
      <c r="H108" s="2" t="str">
        <f>VLOOKUP(A108,'TB April'!A:H,8,0)</f>
        <v>Not Applicable</v>
      </c>
    </row>
    <row r="109" spans="1:8" hidden="1">
      <c r="A109" s="62" t="s">
        <v>213</v>
      </c>
      <c r="B109" s="78">
        <v>-60996.61</v>
      </c>
      <c r="C109" s="78"/>
      <c r="D109" s="78"/>
      <c r="E109" s="78">
        <v>-60996.61</v>
      </c>
      <c r="F109" s="42">
        <v>0</v>
      </c>
      <c r="G109" s="42">
        <f t="shared" si="1"/>
        <v>-60996.61</v>
      </c>
      <c r="H109" s="2" t="str">
        <f>VLOOKUP(A109,'TB April'!A:H,8,0)</f>
        <v>Not Applicable</v>
      </c>
    </row>
    <row r="110" spans="1:8" hidden="1">
      <c r="A110" s="62" t="s">
        <v>1129</v>
      </c>
      <c r="B110" s="78"/>
      <c r="C110" s="78"/>
      <c r="D110" s="78"/>
      <c r="E110" s="78"/>
      <c r="F110" s="42">
        <v>0</v>
      </c>
      <c r="G110" s="42">
        <f t="shared" si="1"/>
        <v>0</v>
      </c>
      <c r="H110" s="2" t="str">
        <f>VLOOKUP(A110,'TB April'!A:H,8,0)</f>
        <v>Not Applicable</v>
      </c>
    </row>
    <row r="111" spans="1:8" hidden="1">
      <c r="A111" s="62" t="s">
        <v>1010</v>
      </c>
      <c r="B111" s="78"/>
      <c r="C111" s="78">
        <v>39718.800000000003</v>
      </c>
      <c r="D111" s="78">
        <v>39718</v>
      </c>
      <c r="E111" s="78">
        <v>0.8</v>
      </c>
      <c r="F111" s="42">
        <v>0</v>
      </c>
      <c r="G111" s="42">
        <f t="shared" si="1"/>
        <v>0.8</v>
      </c>
      <c r="H111" s="2" t="str">
        <f>VLOOKUP(A111,'TB April'!A:H,8,0)</f>
        <v>Not Applicable</v>
      </c>
    </row>
    <row r="112" spans="1:8" hidden="1">
      <c r="A112" s="62" t="s">
        <v>214</v>
      </c>
      <c r="B112" s="78"/>
      <c r="C112" s="78"/>
      <c r="D112" s="78"/>
      <c r="E112" s="78"/>
      <c r="F112" s="42">
        <v>0</v>
      </c>
      <c r="G112" s="42">
        <f t="shared" si="1"/>
        <v>0</v>
      </c>
      <c r="H112" s="2" t="str">
        <f>VLOOKUP(A112,'TB April'!A:H,8,0)</f>
        <v>Not Applicable</v>
      </c>
    </row>
    <row r="113" spans="1:8" hidden="1">
      <c r="A113" s="62" t="s">
        <v>215</v>
      </c>
      <c r="B113" s="78"/>
      <c r="C113" s="78"/>
      <c r="D113" s="78"/>
      <c r="E113" s="78"/>
      <c r="F113" s="42">
        <v>0</v>
      </c>
      <c r="G113" s="42">
        <f t="shared" si="1"/>
        <v>0</v>
      </c>
      <c r="H113" s="2" t="str">
        <f>VLOOKUP(A113,'TB April'!A:H,8,0)</f>
        <v>Not Applicable</v>
      </c>
    </row>
    <row r="114" spans="1:8" hidden="1">
      <c r="A114" s="62" t="s">
        <v>216</v>
      </c>
      <c r="B114" s="78"/>
      <c r="C114" s="78"/>
      <c r="D114" s="78"/>
      <c r="E114" s="78"/>
      <c r="F114" s="42">
        <v>0</v>
      </c>
      <c r="G114" s="42">
        <f t="shared" si="1"/>
        <v>0</v>
      </c>
      <c r="H114" s="2" t="str">
        <f>VLOOKUP(A114,'TB April'!A:H,8,0)</f>
        <v>Not Applicable</v>
      </c>
    </row>
    <row r="115" spans="1:8" hidden="1">
      <c r="A115" s="62" t="s">
        <v>220</v>
      </c>
      <c r="B115" s="78"/>
      <c r="C115" s="78"/>
      <c r="D115" s="78"/>
      <c r="E115" s="78"/>
      <c r="F115" s="42">
        <v>0</v>
      </c>
      <c r="G115" s="42">
        <f t="shared" si="1"/>
        <v>0</v>
      </c>
      <c r="H115" s="2" t="str">
        <f>VLOOKUP(A115,'TB April'!A:H,8,0)</f>
        <v>Not Applicable</v>
      </c>
    </row>
    <row r="116" spans="1:8" hidden="1">
      <c r="A116" s="62" t="s">
        <v>221</v>
      </c>
      <c r="B116" s="78">
        <v>38029942.490000002</v>
      </c>
      <c r="C116" s="78"/>
      <c r="D116" s="78"/>
      <c r="E116" s="78">
        <v>38029942.490000002</v>
      </c>
      <c r="F116" s="42">
        <v>0</v>
      </c>
      <c r="G116" s="42">
        <f t="shared" si="1"/>
        <v>38029942.490000002</v>
      </c>
      <c r="H116" s="2" t="str">
        <f>VLOOKUP(A116,'TB April'!A:H,8,0)</f>
        <v>Not Applicable</v>
      </c>
    </row>
    <row r="117" spans="1:8" hidden="1">
      <c r="A117" s="62" t="s">
        <v>222</v>
      </c>
      <c r="B117" s="78">
        <v>285662294.56</v>
      </c>
      <c r="C117" s="78">
        <v>8329322.5599999996</v>
      </c>
      <c r="D117" s="78">
        <v>125452</v>
      </c>
      <c r="E117" s="78">
        <v>293866165.12</v>
      </c>
      <c r="F117" s="42">
        <v>0</v>
      </c>
      <c r="G117" s="42">
        <f t="shared" si="1"/>
        <v>293866165.12</v>
      </c>
      <c r="H117" s="2" t="str">
        <f>VLOOKUP(A117,'TB April'!A:H,8,0)</f>
        <v>Not Applicable</v>
      </c>
    </row>
    <row r="118" spans="1:8" hidden="1">
      <c r="A118" s="62" t="s">
        <v>223</v>
      </c>
      <c r="B118" s="78">
        <v>2002647731.99</v>
      </c>
      <c r="C118" s="78">
        <v>47433981.18</v>
      </c>
      <c r="D118" s="78"/>
      <c r="E118" s="78">
        <v>2050081713.1700001</v>
      </c>
      <c r="F118" s="42">
        <v>0</v>
      </c>
      <c r="G118" s="42">
        <f t="shared" si="1"/>
        <v>2050081713.1700001</v>
      </c>
      <c r="H118" s="2" t="str">
        <f>VLOOKUP(A118,'TB April'!A:H,8,0)</f>
        <v>Not Applicable</v>
      </c>
    </row>
    <row r="119" spans="1:8" hidden="1">
      <c r="A119" s="62" t="s">
        <v>1505</v>
      </c>
      <c r="B119" s="78"/>
      <c r="C119" s="78"/>
      <c r="D119" s="78"/>
      <c r="E119" s="78"/>
      <c r="F119" s="42">
        <v>0</v>
      </c>
      <c r="G119" s="42">
        <f t="shared" si="1"/>
        <v>0</v>
      </c>
      <c r="H119" s="2" t="s">
        <v>84</v>
      </c>
    </row>
    <row r="120" spans="1:8" hidden="1">
      <c r="A120" s="62" t="s">
        <v>226</v>
      </c>
      <c r="B120" s="78">
        <v>4254750.16</v>
      </c>
      <c r="C120" s="78"/>
      <c r="D120" s="78"/>
      <c r="E120" s="78">
        <v>4254750.16</v>
      </c>
      <c r="F120" s="42">
        <v>0</v>
      </c>
      <c r="G120" s="42">
        <f t="shared" si="1"/>
        <v>4254750.16</v>
      </c>
      <c r="H120" s="2" t="str">
        <f>VLOOKUP(A120,'TB April'!A:H,8,0)</f>
        <v>Not Applicable</v>
      </c>
    </row>
    <row r="121" spans="1:8" hidden="1">
      <c r="A121" s="62" t="s">
        <v>229</v>
      </c>
      <c r="B121" s="78"/>
      <c r="C121" s="78"/>
      <c r="D121" s="78"/>
      <c r="E121" s="78"/>
      <c r="F121" s="42">
        <v>0</v>
      </c>
      <c r="G121" s="42">
        <f t="shared" si="1"/>
        <v>0</v>
      </c>
      <c r="H121" s="2" t="str">
        <f>VLOOKUP(A121,'TB April'!A:H,8,0)</f>
        <v>Not Applicable</v>
      </c>
    </row>
    <row r="122" spans="1:8" hidden="1">
      <c r="A122" s="62" t="s">
        <v>1409</v>
      </c>
      <c r="B122" s="78"/>
      <c r="C122" s="78">
        <v>1407150</v>
      </c>
      <c r="D122" s="78">
        <v>1407150</v>
      </c>
      <c r="E122" s="78"/>
      <c r="F122" s="42">
        <v>0</v>
      </c>
      <c r="G122" s="42">
        <f t="shared" si="1"/>
        <v>0</v>
      </c>
      <c r="H122" s="2" t="str">
        <f>VLOOKUP(A122,'TB April'!A:H,8,0)</f>
        <v>Not Applicable</v>
      </c>
    </row>
    <row r="123" spans="1:8" hidden="1">
      <c r="A123" s="62" t="s">
        <v>236</v>
      </c>
      <c r="B123" s="78">
        <v>3709</v>
      </c>
      <c r="C123" s="78"/>
      <c r="D123" s="78"/>
      <c r="E123" s="78">
        <v>3709</v>
      </c>
      <c r="F123" s="42">
        <v>0</v>
      </c>
      <c r="G123" s="42">
        <f t="shared" si="1"/>
        <v>3709</v>
      </c>
      <c r="H123" s="2" t="str">
        <f>VLOOKUP(A123,'TB April'!A:H,8,0)</f>
        <v>Not Applicable</v>
      </c>
    </row>
    <row r="124" spans="1:8" hidden="1">
      <c r="A124" s="62" t="s">
        <v>1506</v>
      </c>
      <c r="B124" s="78"/>
      <c r="C124" s="78"/>
      <c r="D124" s="78">
        <v>100004.72</v>
      </c>
      <c r="E124" s="78">
        <v>-100004.72</v>
      </c>
      <c r="F124" s="42">
        <v>0</v>
      </c>
      <c r="G124" s="42">
        <f t="shared" si="1"/>
        <v>-100004.72</v>
      </c>
      <c r="H124" s="2" t="s">
        <v>84</v>
      </c>
    </row>
    <row r="125" spans="1:8" hidden="1">
      <c r="A125" s="62" t="s">
        <v>234</v>
      </c>
      <c r="B125" s="78"/>
      <c r="C125" s="78"/>
      <c r="D125" s="78"/>
      <c r="E125" s="78"/>
      <c r="F125" s="42">
        <v>0</v>
      </c>
      <c r="G125" s="42">
        <f t="shared" si="1"/>
        <v>0</v>
      </c>
      <c r="H125" s="2" t="str">
        <f>VLOOKUP(A125,'TB April'!A:H,8,0)</f>
        <v>Not Applicable</v>
      </c>
    </row>
    <row r="126" spans="1:8" hidden="1">
      <c r="A126" s="62" t="s">
        <v>1054</v>
      </c>
      <c r="B126" s="78"/>
      <c r="C126" s="78"/>
      <c r="D126" s="78"/>
      <c r="E126" s="78"/>
      <c r="F126" s="42">
        <v>0</v>
      </c>
      <c r="G126" s="42">
        <f t="shared" si="1"/>
        <v>0</v>
      </c>
      <c r="H126" s="2" t="str">
        <f>VLOOKUP(A126,'TB April'!A:H,8,0)</f>
        <v>Not Applicable</v>
      </c>
    </row>
    <row r="127" spans="1:8" hidden="1">
      <c r="A127" s="62" t="s">
        <v>237</v>
      </c>
      <c r="B127" s="78">
        <v>-399.12</v>
      </c>
      <c r="C127" s="78"/>
      <c r="D127" s="78"/>
      <c r="E127" s="78">
        <v>-399.12</v>
      </c>
      <c r="F127" s="42">
        <v>0</v>
      </c>
      <c r="G127" s="42">
        <f t="shared" si="1"/>
        <v>-399.12</v>
      </c>
      <c r="H127" s="2" t="str">
        <f>VLOOKUP(A127,'TB April'!A:H,8,0)</f>
        <v>Not Applicable</v>
      </c>
    </row>
    <row r="128" spans="1:8" hidden="1">
      <c r="A128" s="62" t="s">
        <v>1112</v>
      </c>
      <c r="B128" s="78">
        <v>-0.2</v>
      </c>
      <c r="C128" s="78"/>
      <c r="D128" s="78"/>
      <c r="E128" s="78">
        <v>-0.2</v>
      </c>
      <c r="F128" s="42">
        <v>0</v>
      </c>
      <c r="G128" s="42">
        <f t="shared" si="1"/>
        <v>-0.2</v>
      </c>
      <c r="H128" s="2" t="str">
        <f>VLOOKUP(A128,'TB April'!A:H,8,0)</f>
        <v>Not Applicable</v>
      </c>
    </row>
    <row r="129" spans="1:8" hidden="1">
      <c r="A129" s="62" t="s">
        <v>1410</v>
      </c>
      <c r="B129" s="78"/>
      <c r="C129" s="78"/>
      <c r="D129" s="78"/>
      <c r="E129" s="78"/>
      <c r="F129" s="42">
        <v>0</v>
      </c>
      <c r="G129" s="42">
        <f t="shared" si="1"/>
        <v>0</v>
      </c>
      <c r="H129" s="2" t="str">
        <f>VLOOKUP(A129,'TB April'!A:H,8,0)</f>
        <v>Not Applicable</v>
      </c>
    </row>
    <row r="130" spans="1:8" hidden="1">
      <c r="A130" s="62" t="s">
        <v>856</v>
      </c>
      <c r="B130" s="78"/>
      <c r="C130" s="78"/>
      <c r="D130" s="78"/>
      <c r="E130" s="78"/>
      <c r="F130" s="42">
        <v>0</v>
      </c>
      <c r="G130" s="42">
        <f t="shared" si="1"/>
        <v>0</v>
      </c>
      <c r="H130" s="2" t="str">
        <f>VLOOKUP(A130,'TB April'!A:H,8,0)</f>
        <v>Not Applicable</v>
      </c>
    </row>
    <row r="131" spans="1:8" hidden="1">
      <c r="A131" s="62" t="s">
        <v>1084</v>
      </c>
      <c r="B131" s="78">
        <v>36647.85</v>
      </c>
      <c r="C131" s="78"/>
      <c r="D131" s="78"/>
      <c r="E131" s="78">
        <v>36647.85</v>
      </c>
      <c r="F131" s="42">
        <v>0</v>
      </c>
      <c r="G131" s="42">
        <f t="shared" si="1"/>
        <v>36647.85</v>
      </c>
      <c r="H131" s="2" t="str">
        <f>VLOOKUP(A131,'TB April'!A:H,8,0)</f>
        <v>Not Applicable</v>
      </c>
    </row>
    <row r="132" spans="1:8" hidden="1">
      <c r="A132" s="62" t="s">
        <v>1507</v>
      </c>
      <c r="B132" s="78"/>
      <c r="C132" s="78"/>
      <c r="D132" s="78"/>
      <c r="E132" s="78"/>
      <c r="F132" s="42">
        <v>0</v>
      </c>
      <c r="G132" s="42">
        <f t="shared" si="1"/>
        <v>0</v>
      </c>
      <c r="H132" s="2" t="s">
        <v>84</v>
      </c>
    </row>
    <row r="133" spans="1:8" hidden="1">
      <c r="A133" s="62" t="s">
        <v>251</v>
      </c>
      <c r="B133" s="78">
        <v>5897841.1200000001</v>
      </c>
      <c r="C133" s="78">
        <v>1272601.68</v>
      </c>
      <c r="D133" s="78">
        <v>500000</v>
      </c>
      <c r="E133" s="78">
        <v>6670442.7999999998</v>
      </c>
      <c r="F133" s="42">
        <v>0</v>
      </c>
      <c r="G133" s="42">
        <f t="shared" si="1"/>
        <v>6670442.7999999998</v>
      </c>
      <c r="H133" s="2" t="str">
        <f>VLOOKUP(A133,'TB April'!A:H,8,0)</f>
        <v>Not Applicable</v>
      </c>
    </row>
    <row r="134" spans="1:8" hidden="1">
      <c r="A134" s="62" t="s">
        <v>262</v>
      </c>
      <c r="B134" s="78">
        <v>37315340.590000004</v>
      </c>
      <c r="C134" s="78"/>
      <c r="D134" s="78"/>
      <c r="E134" s="78">
        <v>37315340.590000004</v>
      </c>
      <c r="F134" s="42">
        <v>0</v>
      </c>
      <c r="G134" s="42">
        <f t="shared" ref="G134:G197" si="2">+E134+F134</f>
        <v>37315340.590000004</v>
      </c>
      <c r="H134" s="2" t="str">
        <f>VLOOKUP(A134,'TB April'!A:H,8,0)</f>
        <v>Not Applicable</v>
      </c>
    </row>
    <row r="135" spans="1:8" hidden="1">
      <c r="A135" s="62" t="s">
        <v>263</v>
      </c>
      <c r="B135" s="78">
        <v>144441320.65000001</v>
      </c>
      <c r="C135" s="78"/>
      <c r="D135" s="78"/>
      <c r="E135" s="78">
        <v>144441320.65000001</v>
      </c>
      <c r="F135" s="42">
        <v>0</v>
      </c>
      <c r="G135" s="42">
        <f t="shared" si="2"/>
        <v>144441320.65000001</v>
      </c>
      <c r="H135" s="2" t="str">
        <f>VLOOKUP(A135,'TB April'!A:H,8,0)</f>
        <v>Not Applicable</v>
      </c>
    </row>
    <row r="136" spans="1:8" hidden="1">
      <c r="A136" s="62" t="s">
        <v>264</v>
      </c>
      <c r="B136" s="78">
        <v>83440</v>
      </c>
      <c r="C136" s="78"/>
      <c r="D136" s="78"/>
      <c r="E136" s="78">
        <v>83440</v>
      </c>
      <c r="F136" s="42">
        <v>0</v>
      </c>
      <c r="G136" s="42">
        <f t="shared" si="2"/>
        <v>83440</v>
      </c>
      <c r="H136" s="2" t="str">
        <f>VLOOKUP(A136,'TB April'!A:H,8,0)</f>
        <v>Not Applicable</v>
      </c>
    </row>
    <row r="137" spans="1:8" hidden="1">
      <c r="A137" s="62" t="s">
        <v>265</v>
      </c>
      <c r="B137" s="78">
        <v>-44800</v>
      </c>
      <c r="C137" s="78"/>
      <c r="D137" s="78"/>
      <c r="E137" s="78">
        <v>-44800</v>
      </c>
      <c r="F137" s="42">
        <v>0</v>
      </c>
      <c r="G137" s="42">
        <f t="shared" si="2"/>
        <v>-44800</v>
      </c>
      <c r="H137" s="2" t="str">
        <f>VLOOKUP(A137,'TB April'!A:H,8,0)</f>
        <v>Not Applicable</v>
      </c>
    </row>
    <row r="138" spans="1:8" hidden="1">
      <c r="A138" s="62" t="s">
        <v>266</v>
      </c>
      <c r="B138" s="78">
        <v>4599669.7300000004</v>
      </c>
      <c r="C138" s="78"/>
      <c r="D138" s="78"/>
      <c r="E138" s="78">
        <v>4599669.7300000004</v>
      </c>
      <c r="F138" s="42">
        <v>0</v>
      </c>
      <c r="G138" s="42">
        <f t="shared" si="2"/>
        <v>4599669.7300000004</v>
      </c>
      <c r="H138" s="2" t="str">
        <f>VLOOKUP(A138,'TB April'!A:H,8,0)</f>
        <v>Not Applicable</v>
      </c>
    </row>
    <row r="139" spans="1:8" hidden="1">
      <c r="A139" s="62" t="s">
        <v>271</v>
      </c>
      <c r="B139" s="78">
        <v>1000</v>
      </c>
      <c r="C139" s="78"/>
      <c r="D139" s="78"/>
      <c r="E139" s="78">
        <v>1000</v>
      </c>
      <c r="F139" s="42">
        <v>0</v>
      </c>
      <c r="G139" s="42">
        <f t="shared" si="2"/>
        <v>1000</v>
      </c>
      <c r="H139" s="2" t="str">
        <f>VLOOKUP(A139,'TB April'!A:H,8,0)</f>
        <v>Not Applicable</v>
      </c>
    </row>
    <row r="140" spans="1:8" hidden="1">
      <c r="A140" s="62" t="s">
        <v>1011</v>
      </c>
      <c r="B140" s="78">
        <v>42831</v>
      </c>
      <c r="C140" s="78"/>
      <c r="D140" s="78"/>
      <c r="E140" s="78">
        <v>42831</v>
      </c>
      <c r="F140" s="42">
        <v>0</v>
      </c>
      <c r="G140" s="42">
        <f t="shared" si="2"/>
        <v>42831</v>
      </c>
      <c r="H140" s="2" t="str">
        <f>VLOOKUP(A140,'TB April'!A:H,8,0)</f>
        <v>Not Applicable</v>
      </c>
    </row>
    <row r="141" spans="1:8" hidden="1">
      <c r="A141" s="62" t="s">
        <v>275</v>
      </c>
      <c r="B141" s="78"/>
      <c r="C141" s="78"/>
      <c r="D141" s="78"/>
      <c r="E141" s="78"/>
      <c r="F141" s="42">
        <v>0</v>
      </c>
      <c r="G141" s="42">
        <f t="shared" si="2"/>
        <v>0</v>
      </c>
      <c r="H141" s="2" t="str">
        <f>VLOOKUP(A141,'TB April'!A:H,8,0)</f>
        <v>Not Applicable</v>
      </c>
    </row>
    <row r="142" spans="1:8" hidden="1">
      <c r="A142" s="62" t="s">
        <v>272</v>
      </c>
      <c r="B142" s="78">
        <v>5253236.1500000004</v>
      </c>
      <c r="C142" s="78"/>
      <c r="D142" s="78"/>
      <c r="E142" s="78">
        <v>5253236.1500000004</v>
      </c>
      <c r="F142" s="42">
        <v>0</v>
      </c>
      <c r="G142" s="42">
        <f t="shared" si="2"/>
        <v>5253236.1500000004</v>
      </c>
      <c r="H142" s="2" t="str">
        <f>VLOOKUP(A142,'TB April'!A:H,8,0)</f>
        <v>Not Applicable</v>
      </c>
    </row>
    <row r="143" spans="1:8" hidden="1">
      <c r="A143" s="62" t="s">
        <v>273</v>
      </c>
      <c r="B143" s="78"/>
      <c r="C143" s="78"/>
      <c r="D143" s="78"/>
      <c r="E143" s="78"/>
      <c r="F143" s="42">
        <v>0</v>
      </c>
      <c r="G143" s="42">
        <f t="shared" si="2"/>
        <v>0</v>
      </c>
      <c r="H143" s="2" t="s">
        <v>84</v>
      </c>
    </row>
    <row r="144" spans="1:8" hidden="1">
      <c r="A144" s="62" t="s">
        <v>997</v>
      </c>
      <c r="B144" s="78">
        <v>790600</v>
      </c>
      <c r="C144" s="78">
        <v>849600</v>
      </c>
      <c r="D144" s="78">
        <v>790600</v>
      </c>
      <c r="E144" s="78">
        <v>849600</v>
      </c>
      <c r="F144" s="42">
        <v>0</v>
      </c>
      <c r="G144" s="42">
        <f t="shared" si="2"/>
        <v>849600</v>
      </c>
      <c r="H144" s="2" t="str">
        <f>VLOOKUP(A144,'TB April'!A:H,8,0)</f>
        <v>Not Applicable</v>
      </c>
    </row>
    <row r="145" spans="1:8" hidden="1">
      <c r="A145" s="62" t="s">
        <v>1411</v>
      </c>
      <c r="B145" s="78"/>
      <c r="C145" s="78"/>
      <c r="D145" s="78"/>
      <c r="E145" s="78"/>
      <c r="F145" s="42">
        <v>0</v>
      </c>
      <c r="G145" s="42">
        <f t="shared" si="2"/>
        <v>0</v>
      </c>
      <c r="H145" s="2" t="str">
        <f>VLOOKUP(A145,'TB April'!A:H,8,0)</f>
        <v>Not Applicable</v>
      </c>
    </row>
    <row r="146" spans="1:8" hidden="1">
      <c r="A146" s="62" t="s">
        <v>278</v>
      </c>
      <c r="B146" s="78">
        <v>-41231265.590000004</v>
      </c>
      <c r="C146" s="78"/>
      <c r="D146" s="78"/>
      <c r="E146" s="78">
        <v>-41231265.590000004</v>
      </c>
      <c r="F146" s="42">
        <v>0</v>
      </c>
      <c r="G146" s="42">
        <f t="shared" si="2"/>
        <v>-41231265.590000004</v>
      </c>
      <c r="H146" s="2" t="str">
        <f>VLOOKUP(A146,'TB April'!A:H,8,0)</f>
        <v>Not Applicable</v>
      </c>
    </row>
    <row r="147" spans="1:8" hidden="1">
      <c r="A147" s="62" t="s">
        <v>279</v>
      </c>
      <c r="B147" s="78">
        <v>2313539751.3099999</v>
      </c>
      <c r="C147" s="78">
        <v>17196687.199999999</v>
      </c>
      <c r="D147" s="78"/>
      <c r="E147" s="78">
        <v>2330736438.5100002</v>
      </c>
      <c r="F147" s="42">
        <v>0</v>
      </c>
      <c r="G147" s="42">
        <f t="shared" si="2"/>
        <v>2330736438.5100002</v>
      </c>
      <c r="H147" s="2" t="str">
        <f>VLOOKUP(A147,'TB April'!A:H,8,0)</f>
        <v>Not Applicable</v>
      </c>
    </row>
    <row r="148" spans="1:8" hidden="1">
      <c r="A148" s="62" t="s">
        <v>280</v>
      </c>
      <c r="B148" s="78">
        <v>14907.1</v>
      </c>
      <c r="C148" s="78"/>
      <c r="D148" s="78"/>
      <c r="E148" s="78">
        <v>14907.1</v>
      </c>
      <c r="F148" s="42">
        <v>0</v>
      </c>
      <c r="G148" s="42">
        <f t="shared" si="2"/>
        <v>14907.1</v>
      </c>
      <c r="H148" s="2" t="str">
        <f>VLOOKUP(A148,'TB April'!A:H,8,0)</f>
        <v>Not Applicable</v>
      </c>
    </row>
    <row r="149" spans="1:8" hidden="1">
      <c r="A149" s="62" t="s">
        <v>1412</v>
      </c>
      <c r="B149" s="78"/>
      <c r="C149" s="78"/>
      <c r="D149" s="78"/>
      <c r="E149" s="78"/>
      <c r="F149" s="42">
        <v>0</v>
      </c>
      <c r="G149" s="42">
        <f t="shared" si="2"/>
        <v>0</v>
      </c>
      <c r="H149" s="2" t="str">
        <f>VLOOKUP(A149,'TB April'!A:H,8,0)</f>
        <v>Not Applicable</v>
      </c>
    </row>
    <row r="150" spans="1:8" hidden="1">
      <c r="A150" s="62" t="s">
        <v>281</v>
      </c>
      <c r="B150" s="78">
        <v>334761187.47000003</v>
      </c>
      <c r="C150" s="78"/>
      <c r="D150" s="78"/>
      <c r="E150" s="78">
        <v>334761187.47000003</v>
      </c>
      <c r="F150" s="42">
        <v>0</v>
      </c>
      <c r="G150" s="42">
        <f t="shared" si="2"/>
        <v>334761187.47000003</v>
      </c>
      <c r="H150" s="2" t="str">
        <f>VLOOKUP(A150,'TB April'!A:H,8,0)</f>
        <v>Not Applicable</v>
      </c>
    </row>
    <row r="151" spans="1:8" hidden="1">
      <c r="A151" s="62" t="s">
        <v>282</v>
      </c>
      <c r="B151" s="78">
        <v>190645194.84999999</v>
      </c>
      <c r="C151" s="78"/>
      <c r="D151" s="78"/>
      <c r="E151" s="78">
        <v>190645194.84999999</v>
      </c>
      <c r="F151" s="42">
        <v>0</v>
      </c>
      <c r="G151" s="42">
        <f t="shared" si="2"/>
        <v>190645194.84999999</v>
      </c>
      <c r="H151" s="2" t="str">
        <f>VLOOKUP(A151,'TB April'!A:H,8,0)</f>
        <v>Not Applicable</v>
      </c>
    </row>
    <row r="152" spans="1:8" hidden="1">
      <c r="A152" s="62" t="s">
        <v>284</v>
      </c>
      <c r="B152" s="78">
        <v>1250730553.02</v>
      </c>
      <c r="C152" s="78">
        <v>46707766.469999999</v>
      </c>
      <c r="D152" s="78"/>
      <c r="E152" s="78">
        <v>1297438319.49</v>
      </c>
      <c r="F152" s="42">
        <v>0</v>
      </c>
      <c r="G152" s="42">
        <f t="shared" si="2"/>
        <v>1297438319.49</v>
      </c>
      <c r="H152" s="2" t="str">
        <f>VLOOKUP(A152,'TB April'!A:H,8,0)</f>
        <v>Not Applicable</v>
      </c>
    </row>
    <row r="153" spans="1:8" hidden="1">
      <c r="A153" s="62" t="s">
        <v>998</v>
      </c>
      <c r="B153" s="78">
        <v>458670</v>
      </c>
      <c r="C153" s="78"/>
      <c r="D153" s="78"/>
      <c r="E153" s="78">
        <v>458670</v>
      </c>
      <c r="F153" s="42">
        <v>0</v>
      </c>
      <c r="G153" s="42">
        <f t="shared" si="2"/>
        <v>458670</v>
      </c>
      <c r="H153" s="2" t="str">
        <f>VLOOKUP(A153,'TB April'!A:H,8,0)</f>
        <v>Not Applicable</v>
      </c>
    </row>
    <row r="154" spans="1:8" hidden="1">
      <c r="A154" s="62" t="s">
        <v>292</v>
      </c>
      <c r="B154" s="78">
        <v>580857.16</v>
      </c>
      <c r="C154" s="78"/>
      <c r="D154" s="78"/>
      <c r="E154" s="78">
        <v>580857.16</v>
      </c>
      <c r="F154" s="42">
        <v>0</v>
      </c>
      <c r="G154" s="42">
        <f t="shared" si="2"/>
        <v>580857.16</v>
      </c>
      <c r="H154" s="2" t="str">
        <f>VLOOKUP(A154,'TB April'!A:H,8,0)</f>
        <v>Not Applicable</v>
      </c>
    </row>
    <row r="155" spans="1:8" hidden="1">
      <c r="A155" s="62" t="s">
        <v>957</v>
      </c>
      <c r="B155" s="78">
        <v>0.6</v>
      </c>
      <c r="C155" s="78"/>
      <c r="D155" s="78"/>
      <c r="E155" s="78">
        <v>0.6</v>
      </c>
      <c r="F155" s="42">
        <v>0</v>
      </c>
      <c r="G155" s="42">
        <f t="shared" si="2"/>
        <v>0.6</v>
      </c>
      <c r="H155" s="2" t="str">
        <f>VLOOKUP(A155,'TB April'!A:H,8,0)</f>
        <v>Not Applicable</v>
      </c>
    </row>
    <row r="156" spans="1:8" hidden="1">
      <c r="A156" s="62" t="s">
        <v>1002</v>
      </c>
      <c r="B156" s="78"/>
      <c r="C156" s="78"/>
      <c r="D156" s="78"/>
      <c r="E156" s="78"/>
      <c r="F156" s="42">
        <v>0</v>
      </c>
      <c r="G156" s="42">
        <f t="shared" si="2"/>
        <v>0</v>
      </c>
      <c r="H156" s="2" t="str">
        <f>VLOOKUP(A156,'TB April'!A:H,8,0)</f>
        <v>Not Applicable</v>
      </c>
    </row>
    <row r="157" spans="1:8" hidden="1">
      <c r="A157" s="62" t="s">
        <v>918</v>
      </c>
      <c r="B157" s="78"/>
      <c r="C157" s="78"/>
      <c r="D157" s="78"/>
      <c r="E157" s="78"/>
      <c r="F157" s="42">
        <v>0</v>
      </c>
      <c r="G157" s="42">
        <f t="shared" si="2"/>
        <v>0</v>
      </c>
      <c r="H157" s="2" t="str">
        <f>VLOOKUP(A157,'TB April'!A:H,8,0)</f>
        <v>Not Applicable</v>
      </c>
    </row>
    <row r="158" spans="1:8" hidden="1">
      <c r="A158" s="62" t="s">
        <v>920</v>
      </c>
      <c r="B158" s="78"/>
      <c r="C158" s="78"/>
      <c r="D158" s="78"/>
      <c r="E158" s="78"/>
      <c r="F158" s="42">
        <v>0</v>
      </c>
      <c r="G158" s="42">
        <f t="shared" si="2"/>
        <v>0</v>
      </c>
      <c r="H158" s="2" t="s">
        <v>84</v>
      </c>
    </row>
    <row r="159" spans="1:8" hidden="1">
      <c r="A159" s="62" t="s">
        <v>299</v>
      </c>
      <c r="B159" s="78"/>
      <c r="C159" s="78"/>
      <c r="D159" s="78"/>
      <c r="E159" s="78"/>
      <c r="F159" s="42">
        <v>0</v>
      </c>
      <c r="G159" s="42">
        <f t="shared" si="2"/>
        <v>0</v>
      </c>
      <c r="H159" s="2" t="str">
        <f>VLOOKUP(A159,'TB April'!A:H,8,0)</f>
        <v>Not Applicable</v>
      </c>
    </row>
    <row r="160" spans="1:8" hidden="1">
      <c r="A160" s="62" t="s">
        <v>1413</v>
      </c>
      <c r="B160" s="78"/>
      <c r="C160" s="78"/>
      <c r="D160" s="78"/>
      <c r="E160" s="78"/>
      <c r="F160" s="42">
        <v>0</v>
      </c>
      <c r="G160" s="42">
        <f t="shared" si="2"/>
        <v>0</v>
      </c>
      <c r="H160" s="2" t="str">
        <f>VLOOKUP(A160,'TB April'!A:H,8,0)</f>
        <v>Not Applicable</v>
      </c>
    </row>
    <row r="161" spans="1:8" hidden="1">
      <c r="A161" s="62" t="s">
        <v>302</v>
      </c>
      <c r="B161" s="78"/>
      <c r="C161" s="78"/>
      <c r="D161" s="78"/>
      <c r="E161" s="78"/>
      <c r="F161" s="42">
        <v>0</v>
      </c>
      <c r="G161" s="42">
        <f t="shared" si="2"/>
        <v>0</v>
      </c>
      <c r="H161" s="2" t="str">
        <f>VLOOKUP(A161,'TB April'!A:H,8,0)</f>
        <v>Not Applicable</v>
      </c>
    </row>
    <row r="162" spans="1:8" hidden="1">
      <c r="A162" s="62" t="s">
        <v>1508</v>
      </c>
      <c r="B162" s="78"/>
      <c r="C162" s="78">
        <v>220</v>
      </c>
      <c r="D162" s="78">
        <v>12980</v>
      </c>
      <c r="E162" s="78">
        <v>-12760</v>
      </c>
      <c r="F162" s="42">
        <v>0</v>
      </c>
      <c r="G162" s="42">
        <f t="shared" si="2"/>
        <v>-12760</v>
      </c>
      <c r="H162" s="2" t="s">
        <v>84</v>
      </c>
    </row>
    <row r="163" spans="1:8" hidden="1">
      <c r="A163" s="62" t="s">
        <v>313</v>
      </c>
      <c r="B163" s="78"/>
      <c r="C163" s="78"/>
      <c r="D163" s="78"/>
      <c r="E163" s="78"/>
      <c r="F163" s="42">
        <v>0</v>
      </c>
      <c r="G163" s="42">
        <f t="shared" si="2"/>
        <v>0</v>
      </c>
      <c r="H163" s="2" t="str">
        <f>VLOOKUP(A163,'TB April'!A:H,8,0)</f>
        <v>Not Applicable</v>
      </c>
    </row>
    <row r="164" spans="1:8" hidden="1">
      <c r="A164" s="62" t="s">
        <v>314</v>
      </c>
      <c r="B164" s="78">
        <v>0.21</v>
      </c>
      <c r="C164" s="78"/>
      <c r="D164" s="78">
        <v>500000</v>
      </c>
      <c r="E164" s="78">
        <v>-499999.79</v>
      </c>
      <c r="F164" s="42">
        <v>0</v>
      </c>
      <c r="G164" s="42">
        <f t="shared" si="2"/>
        <v>-499999.79</v>
      </c>
      <c r="H164" s="2" t="str">
        <f>VLOOKUP(A164,'TB April'!A:H,8,0)</f>
        <v>Not Applicable</v>
      </c>
    </row>
    <row r="165" spans="1:8" hidden="1">
      <c r="A165" s="62" t="s">
        <v>1156</v>
      </c>
      <c r="B165" s="78">
        <v>0.4</v>
      </c>
      <c r="C165" s="78"/>
      <c r="D165" s="78"/>
      <c r="E165" s="78">
        <v>0.4</v>
      </c>
      <c r="F165" s="42">
        <v>0</v>
      </c>
      <c r="G165" s="42">
        <f t="shared" si="2"/>
        <v>0.4</v>
      </c>
      <c r="H165" s="2" t="str">
        <f>VLOOKUP(A165,'TB April'!A:H,8,0)</f>
        <v>Not Applicable</v>
      </c>
    </row>
    <row r="166" spans="1:8" hidden="1">
      <c r="A166" s="62" t="s">
        <v>1414</v>
      </c>
      <c r="B166" s="78"/>
      <c r="C166" s="78"/>
      <c r="D166" s="78"/>
      <c r="E166" s="78"/>
      <c r="F166" s="42">
        <v>0</v>
      </c>
      <c r="G166" s="42">
        <f t="shared" si="2"/>
        <v>0</v>
      </c>
      <c r="H166" s="2" t="str">
        <f>VLOOKUP(A166,'TB April'!A:H,8,0)</f>
        <v>Not Applicable</v>
      </c>
    </row>
    <row r="167" spans="1:8" hidden="1">
      <c r="A167" s="62" t="s">
        <v>1415</v>
      </c>
      <c r="B167" s="78"/>
      <c r="C167" s="78"/>
      <c r="D167" s="78"/>
      <c r="E167" s="78"/>
      <c r="F167" s="42">
        <v>0</v>
      </c>
      <c r="G167" s="42">
        <f t="shared" si="2"/>
        <v>0</v>
      </c>
      <c r="H167" s="2" t="str">
        <f>VLOOKUP(A167,'TB April'!A:H,8,0)</f>
        <v>Not Applicable</v>
      </c>
    </row>
    <row r="168" spans="1:8" hidden="1">
      <c r="A168" s="62" t="s">
        <v>315</v>
      </c>
      <c r="B168" s="78"/>
      <c r="C168" s="78"/>
      <c r="D168" s="78"/>
      <c r="E168" s="78"/>
      <c r="F168" s="42">
        <v>0</v>
      </c>
      <c r="G168" s="42">
        <f t="shared" si="2"/>
        <v>0</v>
      </c>
      <c r="H168" s="2" t="str">
        <f>VLOOKUP(A168,'TB April'!A:H,8,0)</f>
        <v>Not Applicable</v>
      </c>
    </row>
    <row r="169" spans="1:8" hidden="1">
      <c r="A169" s="62" t="s">
        <v>316</v>
      </c>
      <c r="B169" s="78"/>
      <c r="C169" s="78"/>
      <c r="D169" s="78"/>
      <c r="E169" s="78"/>
      <c r="F169" s="42">
        <v>0</v>
      </c>
      <c r="G169" s="42">
        <f t="shared" si="2"/>
        <v>0</v>
      </c>
      <c r="H169" s="2" t="str">
        <f>VLOOKUP(A169,'TB April'!A:H,8,0)</f>
        <v>Not Applicable</v>
      </c>
    </row>
    <row r="170" spans="1:8" hidden="1">
      <c r="A170" s="62" t="s">
        <v>999</v>
      </c>
      <c r="B170" s="78">
        <v>5927.06</v>
      </c>
      <c r="C170" s="78"/>
      <c r="D170" s="78"/>
      <c r="E170" s="78">
        <v>5927.06</v>
      </c>
      <c r="F170" s="42">
        <v>0</v>
      </c>
      <c r="G170" s="42">
        <f t="shared" si="2"/>
        <v>5927.06</v>
      </c>
      <c r="H170" s="2" t="str">
        <f>VLOOKUP(A170,'TB April'!A:H,8,0)</f>
        <v>Not Applicable</v>
      </c>
    </row>
    <row r="171" spans="1:8" hidden="1">
      <c r="A171" s="62" t="s">
        <v>328</v>
      </c>
      <c r="B171" s="78"/>
      <c r="C171" s="78"/>
      <c r="D171" s="78"/>
      <c r="E171" s="78"/>
      <c r="F171" s="42">
        <v>0</v>
      </c>
      <c r="G171" s="42">
        <f t="shared" si="2"/>
        <v>0</v>
      </c>
      <c r="H171" s="2" t="str">
        <f>VLOOKUP(A171,'TB April'!A:H,8,0)</f>
        <v>Not Applicable</v>
      </c>
    </row>
    <row r="172" spans="1:8" hidden="1">
      <c r="A172" s="62" t="s">
        <v>921</v>
      </c>
      <c r="B172" s="78"/>
      <c r="C172" s="78"/>
      <c r="D172" s="78"/>
      <c r="E172" s="78"/>
      <c r="F172" s="42">
        <v>0</v>
      </c>
      <c r="G172" s="42">
        <f t="shared" si="2"/>
        <v>0</v>
      </c>
      <c r="H172" s="2" t="s">
        <v>84</v>
      </c>
    </row>
    <row r="173" spans="1:8" hidden="1">
      <c r="A173" s="62" t="s">
        <v>1021</v>
      </c>
      <c r="B173" s="78">
        <v>43680</v>
      </c>
      <c r="C173" s="78"/>
      <c r="D173" s="78"/>
      <c r="E173" s="78">
        <v>43680</v>
      </c>
      <c r="F173" s="42">
        <v>0</v>
      </c>
      <c r="G173" s="42">
        <f t="shared" si="2"/>
        <v>43680</v>
      </c>
      <c r="H173" s="2" t="str">
        <f>VLOOKUP(A173,'TB April'!A:H,8,0)</f>
        <v>Not Applicable</v>
      </c>
    </row>
    <row r="174" spans="1:8" hidden="1">
      <c r="A174" s="62" t="s">
        <v>1255</v>
      </c>
      <c r="B174" s="78">
        <v>660271.35999999999</v>
      </c>
      <c r="C174" s="78">
        <v>169827.96</v>
      </c>
      <c r="D174" s="78">
        <v>368516</v>
      </c>
      <c r="E174" s="78">
        <v>461583.32</v>
      </c>
      <c r="F174" s="42">
        <v>0</v>
      </c>
      <c r="G174" s="42">
        <f t="shared" si="2"/>
        <v>461583.32</v>
      </c>
      <c r="H174" s="2" t="str">
        <f>VLOOKUP(A174,'TB April'!A:H,8,0)</f>
        <v>Not Applicable</v>
      </c>
    </row>
    <row r="175" spans="1:8" hidden="1">
      <c r="A175" s="62" t="s">
        <v>1416</v>
      </c>
      <c r="B175" s="78"/>
      <c r="C175" s="78"/>
      <c r="D175" s="78"/>
      <c r="E175" s="78"/>
      <c r="F175" s="42">
        <v>0</v>
      </c>
      <c r="G175" s="42">
        <f t="shared" si="2"/>
        <v>0</v>
      </c>
      <c r="H175" s="2" t="str">
        <f>VLOOKUP(A175,'TB April'!A:H,8,0)</f>
        <v>Not Applicable</v>
      </c>
    </row>
    <row r="176" spans="1:8" hidden="1">
      <c r="A176" s="62" t="s">
        <v>350</v>
      </c>
      <c r="B176" s="78">
        <v>2043</v>
      </c>
      <c r="C176" s="78"/>
      <c r="D176" s="78"/>
      <c r="E176" s="78">
        <v>2043</v>
      </c>
      <c r="F176" s="42">
        <v>0</v>
      </c>
      <c r="G176" s="42">
        <f t="shared" si="2"/>
        <v>2043</v>
      </c>
      <c r="H176" s="2" t="str">
        <f>VLOOKUP(A176,'TB April'!A:H,8,0)</f>
        <v>Not Applicable</v>
      </c>
    </row>
    <row r="177" spans="1:8" hidden="1">
      <c r="A177" s="62" t="s">
        <v>351</v>
      </c>
      <c r="B177" s="78"/>
      <c r="C177" s="78"/>
      <c r="D177" s="78"/>
      <c r="E177" s="78"/>
      <c r="F177" s="42">
        <v>0</v>
      </c>
      <c r="G177" s="42">
        <f t="shared" si="2"/>
        <v>0</v>
      </c>
      <c r="H177" s="2" t="str">
        <f>VLOOKUP(A177,'TB April'!A:H,8,0)</f>
        <v>Not Applicable</v>
      </c>
    </row>
    <row r="178" spans="1:8" hidden="1">
      <c r="A178" s="62" t="s">
        <v>922</v>
      </c>
      <c r="B178" s="78"/>
      <c r="C178" s="78"/>
      <c r="D178" s="78"/>
      <c r="E178" s="78"/>
      <c r="F178" s="42">
        <v>0</v>
      </c>
      <c r="G178" s="42">
        <f t="shared" si="2"/>
        <v>0</v>
      </c>
      <c r="H178" s="2" t="str">
        <f>VLOOKUP(A178,'TB April'!A:H,8,0)</f>
        <v>Not Applicable</v>
      </c>
    </row>
    <row r="179" spans="1:8" hidden="1">
      <c r="A179" s="62" t="s">
        <v>1509</v>
      </c>
      <c r="B179" s="78"/>
      <c r="C179" s="78"/>
      <c r="D179" s="78"/>
      <c r="E179" s="78"/>
      <c r="F179" s="42">
        <v>0</v>
      </c>
      <c r="G179" s="42">
        <f t="shared" si="2"/>
        <v>0</v>
      </c>
      <c r="H179" s="2" t="s">
        <v>84</v>
      </c>
    </row>
    <row r="180" spans="1:8" hidden="1">
      <c r="A180" s="62" t="s">
        <v>83</v>
      </c>
      <c r="B180" s="78"/>
      <c r="C180" s="78"/>
      <c r="D180" s="78"/>
      <c r="E180" s="78"/>
      <c r="F180" s="42">
        <v>0</v>
      </c>
      <c r="G180" s="42">
        <f t="shared" si="2"/>
        <v>0</v>
      </c>
      <c r="H180" s="2" t="str">
        <f>VLOOKUP(A180,'TB April'!A:H,8,0)</f>
        <v>Not Applicable</v>
      </c>
    </row>
    <row r="181" spans="1:8" hidden="1">
      <c r="A181" s="62" t="s">
        <v>88</v>
      </c>
      <c r="B181" s="78"/>
      <c r="C181" s="78"/>
      <c r="D181" s="78"/>
      <c r="E181" s="78"/>
      <c r="F181" s="42">
        <v>0</v>
      </c>
      <c r="G181" s="42">
        <f t="shared" si="2"/>
        <v>0</v>
      </c>
      <c r="H181" s="2" t="str">
        <f>VLOOKUP(A181,'TB April'!A:H,8,0)</f>
        <v>Not Applicable</v>
      </c>
    </row>
    <row r="182" spans="1:8" hidden="1">
      <c r="A182" s="62" t="s">
        <v>90</v>
      </c>
      <c r="B182" s="78"/>
      <c r="C182" s="78"/>
      <c r="D182" s="78"/>
      <c r="E182" s="78"/>
      <c r="F182" s="42">
        <v>0</v>
      </c>
      <c r="G182" s="42">
        <f t="shared" si="2"/>
        <v>0</v>
      </c>
      <c r="H182" s="2" t="str">
        <f>VLOOKUP(A182,'TB April'!A:H,8,0)</f>
        <v>Not Applicable</v>
      </c>
    </row>
    <row r="183" spans="1:8" hidden="1">
      <c r="A183" s="62" t="s">
        <v>96</v>
      </c>
      <c r="B183" s="78"/>
      <c r="C183" s="78"/>
      <c r="D183" s="78"/>
      <c r="E183" s="78"/>
      <c r="F183" s="42">
        <v>0</v>
      </c>
      <c r="G183" s="42">
        <f t="shared" si="2"/>
        <v>0</v>
      </c>
      <c r="H183" s="2" t="str">
        <f>VLOOKUP(A183,'TB April'!A:H,8,0)</f>
        <v>Not Applicable</v>
      </c>
    </row>
    <row r="184" spans="1:8" hidden="1">
      <c r="A184" s="62" t="s">
        <v>1281</v>
      </c>
      <c r="B184" s="78">
        <v>511492.5</v>
      </c>
      <c r="C184" s="78"/>
      <c r="D184" s="78"/>
      <c r="E184" s="78">
        <v>511492.5</v>
      </c>
      <c r="F184" s="42">
        <v>0</v>
      </c>
      <c r="G184" s="42">
        <f t="shared" si="2"/>
        <v>511492.5</v>
      </c>
      <c r="H184" s="2" t="str">
        <f>VLOOKUP(A184,'TB April'!A:H,8,0)</f>
        <v>Not Applicable</v>
      </c>
    </row>
    <row r="185" spans="1:8" hidden="1">
      <c r="A185" s="62" t="s">
        <v>98</v>
      </c>
      <c r="B185" s="78"/>
      <c r="C185" s="78"/>
      <c r="D185" s="78"/>
      <c r="E185" s="78"/>
      <c r="F185" s="42">
        <v>0</v>
      </c>
      <c r="G185" s="42">
        <f t="shared" si="2"/>
        <v>0</v>
      </c>
      <c r="H185" s="2" t="str">
        <f>VLOOKUP(A185,'TB April'!A:H,8,0)</f>
        <v>Not Applicable</v>
      </c>
    </row>
    <row r="186" spans="1:8" hidden="1">
      <c r="A186" s="62" t="s">
        <v>100</v>
      </c>
      <c r="B186" s="78">
        <v>0.01</v>
      </c>
      <c r="C186" s="78"/>
      <c r="D186" s="78"/>
      <c r="E186" s="78">
        <v>0.01</v>
      </c>
      <c r="F186" s="42">
        <v>0</v>
      </c>
      <c r="G186" s="42">
        <f t="shared" si="2"/>
        <v>0.01</v>
      </c>
      <c r="H186" s="2" t="str">
        <f>VLOOKUP(A186,'TB April'!A:H,8,0)</f>
        <v>Not Applicable</v>
      </c>
    </row>
    <row r="187" spans="1:8" hidden="1">
      <c r="A187" s="62" t="s">
        <v>113</v>
      </c>
      <c r="B187" s="78"/>
      <c r="C187" s="78"/>
      <c r="D187" s="78"/>
      <c r="E187" s="78"/>
      <c r="F187" s="42">
        <v>0</v>
      </c>
      <c r="G187" s="42">
        <f t="shared" si="2"/>
        <v>0</v>
      </c>
      <c r="H187" s="2" t="str">
        <f>VLOOKUP(A187,'TB April'!A:H,8,0)</f>
        <v>Not Applicable</v>
      </c>
    </row>
    <row r="188" spans="1:8" hidden="1">
      <c r="A188" s="62" t="s">
        <v>120</v>
      </c>
      <c r="B188" s="78"/>
      <c r="C188" s="78"/>
      <c r="D188" s="78"/>
      <c r="E188" s="78"/>
      <c r="F188" s="42">
        <v>0</v>
      </c>
      <c r="G188" s="42">
        <f t="shared" si="2"/>
        <v>0</v>
      </c>
      <c r="H188" s="2" t="str">
        <f>VLOOKUP(A188,'TB April'!A:H,8,0)</f>
        <v>Not Applicable</v>
      </c>
    </row>
    <row r="189" spans="1:8" hidden="1">
      <c r="A189" s="62" t="s">
        <v>1330</v>
      </c>
      <c r="B189" s="78">
        <v>3205673.42</v>
      </c>
      <c r="C189" s="78"/>
      <c r="D189" s="78">
        <v>3205673.42</v>
      </c>
      <c r="E189" s="78"/>
      <c r="F189" s="42">
        <v>0</v>
      </c>
      <c r="G189" s="42">
        <f t="shared" si="2"/>
        <v>0</v>
      </c>
      <c r="H189" s="2" t="str">
        <f>VLOOKUP(A189,'TB April'!A:H,8,0)</f>
        <v>Not Applicable</v>
      </c>
    </row>
    <row r="190" spans="1:8" hidden="1">
      <c r="A190" s="62" t="s">
        <v>892</v>
      </c>
      <c r="B190" s="78">
        <v>0.04</v>
      </c>
      <c r="C190" s="78"/>
      <c r="D190" s="78"/>
      <c r="E190" s="78">
        <v>0.04</v>
      </c>
      <c r="F190" s="42">
        <v>0</v>
      </c>
      <c r="G190" s="42">
        <f t="shared" si="2"/>
        <v>0.04</v>
      </c>
      <c r="H190" s="2" t="str">
        <f>VLOOKUP(A190,'TB April'!A:H,8,0)</f>
        <v>Not Applicable</v>
      </c>
    </row>
    <row r="191" spans="1:8" hidden="1">
      <c r="A191" s="62" t="s">
        <v>893</v>
      </c>
      <c r="B191" s="78">
        <v>3886371.7</v>
      </c>
      <c r="C191" s="78"/>
      <c r="D191" s="78"/>
      <c r="E191" s="78">
        <v>3886371.7</v>
      </c>
      <c r="F191" s="42">
        <v>0</v>
      </c>
      <c r="G191" s="42">
        <f t="shared" si="2"/>
        <v>3886371.7</v>
      </c>
      <c r="H191" s="2" t="str">
        <f>VLOOKUP(A191,'TB April'!A:H,8,0)</f>
        <v>Not Applicable</v>
      </c>
    </row>
    <row r="192" spans="1:8" hidden="1">
      <c r="A192" s="62" t="s">
        <v>121</v>
      </c>
      <c r="B192" s="78">
        <v>1401640</v>
      </c>
      <c r="C192" s="78"/>
      <c r="D192" s="78">
        <v>1432063.84</v>
      </c>
      <c r="E192" s="78">
        <v>-30423.84</v>
      </c>
      <c r="F192" s="42">
        <v>0</v>
      </c>
      <c r="G192" s="42">
        <f t="shared" si="2"/>
        <v>-30423.84</v>
      </c>
      <c r="H192" s="2" t="str">
        <f>VLOOKUP(A192,'TB April'!A:H,8,0)</f>
        <v>Not Applicable</v>
      </c>
    </row>
    <row r="193" spans="1:8" hidden="1">
      <c r="A193" s="62" t="s">
        <v>122</v>
      </c>
      <c r="B193" s="78">
        <v>26659540.510000002</v>
      </c>
      <c r="C193" s="78"/>
      <c r="D193" s="78">
        <v>6495061.5</v>
      </c>
      <c r="E193" s="78">
        <v>20164479.010000002</v>
      </c>
      <c r="F193" s="42">
        <v>0</v>
      </c>
      <c r="G193" s="42">
        <f t="shared" si="2"/>
        <v>20164479.010000002</v>
      </c>
      <c r="H193" s="2" t="str">
        <f>VLOOKUP(A193,'TB April'!A:H,8,0)</f>
        <v>Not Applicable</v>
      </c>
    </row>
    <row r="194" spans="1:8" hidden="1">
      <c r="A194" s="62" t="s">
        <v>126</v>
      </c>
      <c r="B194" s="78"/>
      <c r="C194" s="78"/>
      <c r="D194" s="78"/>
      <c r="E194" s="78"/>
      <c r="F194" s="42">
        <v>0</v>
      </c>
      <c r="G194" s="42">
        <f t="shared" si="2"/>
        <v>0</v>
      </c>
      <c r="H194" s="2" t="str">
        <f>VLOOKUP(A194,'TB April'!A:H,8,0)</f>
        <v>Not Applicable</v>
      </c>
    </row>
    <row r="195" spans="1:8" hidden="1">
      <c r="A195" s="62" t="s">
        <v>132</v>
      </c>
      <c r="B195" s="78">
        <v>3151699.2</v>
      </c>
      <c r="C195" s="78"/>
      <c r="D195" s="78"/>
      <c r="E195" s="78">
        <v>3151699.2</v>
      </c>
      <c r="F195" s="42">
        <v>0</v>
      </c>
      <c r="G195" s="42">
        <f t="shared" si="2"/>
        <v>3151699.2</v>
      </c>
      <c r="H195" s="2" t="str">
        <f>VLOOKUP(A195,'TB April'!A:H,8,0)</f>
        <v>Not Applicable</v>
      </c>
    </row>
    <row r="196" spans="1:8" hidden="1">
      <c r="A196" s="62" t="s">
        <v>133</v>
      </c>
      <c r="B196" s="78"/>
      <c r="C196" s="78"/>
      <c r="D196" s="78"/>
      <c r="E196" s="78"/>
      <c r="F196" s="42">
        <v>0</v>
      </c>
      <c r="G196" s="42">
        <f t="shared" si="2"/>
        <v>0</v>
      </c>
      <c r="H196" s="2" t="str">
        <f>VLOOKUP(A196,'TB April'!A:H,8,0)</f>
        <v>Not Applicable</v>
      </c>
    </row>
    <row r="197" spans="1:8" hidden="1">
      <c r="A197" s="62" t="s">
        <v>134</v>
      </c>
      <c r="B197" s="78"/>
      <c r="C197" s="78"/>
      <c r="D197" s="78"/>
      <c r="E197" s="78"/>
      <c r="F197" s="42">
        <v>0</v>
      </c>
      <c r="G197" s="42">
        <f t="shared" si="2"/>
        <v>0</v>
      </c>
      <c r="H197" s="2" t="str">
        <f>VLOOKUP(A197,'TB April'!A:H,8,0)</f>
        <v>Not Applicable</v>
      </c>
    </row>
    <row r="198" spans="1:8" hidden="1">
      <c r="A198" s="62" t="s">
        <v>135</v>
      </c>
      <c r="B198" s="78"/>
      <c r="C198" s="78"/>
      <c r="D198" s="78"/>
      <c r="E198" s="78"/>
      <c r="F198" s="42">
        <v>0</v>
      </c>
      <c r="G198" s="42">
        <f t="shared" ref="G198:G261" si="3">+E198+F198</f>
        <v>0</v>
      </c>
      <c r="H198" s="2" t="str">
        <f>VLOOKUP(A198,'TB April'!A:H,8,0)</f>
        <v>Not Applicable</v>
      </c>
    </row>
    <row r="199" spans="1:8" hidden="1">
      <c r="A199" s="62" t="s">
        <v>137</v>
      </c>
      <c r="B199" s="78"/>
      <c r="C199" s="78"/>
      <c r="D199" s="78"/>
      <c r="E199" s="78"/>
      <c r="F199" s="42">
        <v>0</v>
      </c>
      <c r="G199" s="42">
        <f t="shared" si="3"/>
        <v>0</v>
      </c>
      <c r="H199" s="2" t="str">
        <f>VLOOKUP(A199,'TB April'!A:H,8,0)</f>
        <v>Not Applicable</v>
      </c>
    </row>
    <row r="200" spans="1:8" hidden="1">
      <c r="A200" s="62" t="s">
        <v>138</v>
      </c>
      <c r="B200" s="78"/>
      <c r="C200" s="78"/>
      <c r="D200" s="78"/>
      <c r="E200" s="78"/>
      <c r="F200" s="42">
        <v>0</v>
      </c>
      <c r="G200" s="42">
        <f t="shared" si="3"/>
        <v>0</v>
      </c>
      <c r="H200" s="2" t="str">
        <f>VLOOKUP(A200,'TB April'!A:H,8,0)</f>
        <v>Not Applicable</v>
      </c>
    </row>
    <row r="201" spans="1:8" hidden="1">
      <c r="A201" s="62" t="s">
        <v>152</v>
      </c>
      <c r="B201" s="78"/>
      <c r="C201" s="78"/>
      <c r="D201" s="78"/>
      <c r="E201" s="78"/>
      <c r="F201" s="42">
        <v>0</v>
      </c>
      <c r="G201" s="42">
        <f t="shared" si="3"/>
        <v>0</v>
      </c>
      <c r="H201" s="2" t="str">
        <f>VLOOKUP(A201,'TB April'!A:H,8,0)</f>
        <v>Not Applicable</v>
      </c>
    </row>
    <row r="202" spans="1:8" hidden="1">
      <c r="A202" s="62" t="s">
        <v>894</v>
      </c>
      <c r="B202" s="78"/>
      <c r="C202" s="78"/>
      <c r="D202" s="78"/>
      <c r="E202" s="78"/>
      <c r="F202" s="42">
        <v>0</v>
      </c>
      <c r="G202" s="42">
        <f t="shared" si="3"/>
        <v>0</v>
      </c>
      <c r="H202" s="2" t="str">
        <f>VLOOKUP(A202,'TB April'!A:H,8,0)</f>
        <v>Not Applicable</v>
      </c>
    </row>
    <row r="203" spans="1:8" hidden="1">
      <c r="A203" s="62" t="s">
        <v>154</v>
      </c>
      <c r="B203" s="78"/>
      <c r="C203" s="78"/>
      <c r="D203" s="78"/>
      <c r="E203" s="78"/>
      <c r="F203" s="42">
        <v>0</v>
      </c>
      <c r="G203" s="42">
        <f t="shared" si="3"/>
        <v>0</v>
      </c>
      <c r="H203" s="2" t="str">
        <f>VLOOKUP(A203,'TB April'!A:H,8,0)</f>
        <v>Not Applicable</v>
      </c>
    </row>
    <row r="204" spans="1:8" hidden="1">
      <c r="A204" s="62" t="s">
        <v>165</v>
      </c>
      <c r="B204" s="78"/>
      <c r="C204" s="78"/>
      <c r="D204" s="78"/>
      <c r="E204" s="78"/>
      <c r="F204" s="42">
        <v>0</v>
      </c>
      <c r="G204" s="42">
        <f t="shared" si="3"/>
        <v>0</v>
      </c>
      <c r="H204" s="2" t="str">
        <f>VLOOKUP(A204,'TB April'!A:H,8,0)</f>
        <v>Not Applicable</v>
      </c>
    </row>
    <row r="205" spans="1:8" hidden="1">
      <c r="A205" s="62" t="s">
        <v>158</v>
      </c>
      <c r="B205" s="78"/>
      <c r="C205" s="78"/>
      <c r="D205" s="78"/>
      <c r="E205" s="78"/>
      <c r="F205" s="42">
        <v>0</v>
      </c>
      <c r="G205" s="42">
        <f t="shared" si="3"/>
        <v>0</v>
      </c>
      <c r="H205" s="2" t="str">
        <f>VLOOKUP(A205,'TB April'!A:H,8,0)</f>
        <v>Not Applicable</v>
      </c>
    </row>
    <row r="206" spans="1:8" hidden="1">
      <c r="A206" s="62" t="s">
        <v>169</v>
      </c>
      <c r="B206" s="78">
        <v>96740594.230000004</v>
      </c>
      <c r="C206" s="78">
        <v>17577913.43</v>
      </c>
      <c r="D206" s="78">
        <v>41446814.57</v>
      </c>
      <c r="E206" s="78">
        <v>72871693.090000004</v>
      </c>
      <c r="F206" s="42">
        <v>0</v>
      </c>
      <c r="G206" s="42">
        <f t="shared" si="3"/>
        <v>72871693.090000004</v>
      </c>
      <c r="H206" s="2" t="str">
        <f>VLOOKUP(A206,'TB April'!A:H,8,0)</f>
        <v>Not Applicable</v>
      </c>
    </row>
    <row r="207" spans="1:8" hidden="1">
      <c r="A207" s="62" t="s">
        <v>174</v>
      </c>
      <c r="B207" s="78">
        <v>31380.02</v>
      </c>
      <c r="C207" s="78"/>
      <c r="D207" s="78"/>
      <c r="E207" s="78">
        <v>31380.02</v>
      </c>
      <c r="F207" s="42">
        <v>0</v>
      </c>
      <c r="G207" s="42">
        <f t="shared" si="3"/>
        <v>31380.02</v>
      </c>
      <c r="H207" s="2" t="str">
        <f>VLOOKUP(A207,'TB April'!A:H,8,0)</f>
        <v>Not Applicable</v>
      </c>
    </row>
    <row r="208" spans="1:8" hidden="1">
      <c r="A208" s="62" t="s">
        <v>1349</v>
      </c>
      <c r="B208" s="78">
        <v>6306819.7599999998</v>
      </c>
      <c r="C208" s="78">
        <v>6382670.8899999997</v>
      </c>
      <c r="D208" s="78"/>
      <c r="E208" s="78">
        <v>12689490.65</v>
      </c>
      <c r="F208" s="42">
        <v>0</v>
      </c>
      <c r="G208" s="42">
        <f t="shared" si="3"/>
        <v>12689490.65</v>
      </c>
      <c r="H208" s="2" t="str">
        <f>VLOOKUP(A208,'TB April'!A:H,8,0)</f>
        <v>Not Applicable</v>
      </c>
    </row>
    <row r="209" spans="1:8" hidden="1">
      <c r="A209" s="62" t="s">
        <v>1081</v>
      </c>
      <c r="B209" s="78"/>
      <c r="C209" s="78"/>
      <c r="D209" s="78"/>
      <c r="E209" s="78"/>
      <c r="F209" s="42">
        <v>0</v>
      </c>
      <c r="G209" s="42">
        <f t="shared" si="3"/>
        <v>0</v>
      </c>
      <c r="H209" s="2" t="str">
        <f>VLOOKUP(A209,'TB April'!A:H,8,0)</f>
        <v>Not Applicable</v>
      </c>
    </row>
    <row r="210" spans="1:8" hidden="1">
      <c r="A210" s="62" t="s">
        <v>956</v>
      </c>
      <c r="B210" s="78"/>
      <c r="C210" s="78"/>
      <c r="D210" s="78"/>
      <c r="E210" s="78"/>
      <c r="F210" s="42">
        <v>0</v>
      </c>
      <c r="G210" s="42">
        <f t="shared" si="3"/>
        <v>0</v>
      </c>
      <c r="H210" s="2" t="str">
        <f>VLOOKUP(A210,'TB April'!A:H,8,0)</f>
        <v>Not Applicable</v>
      </c>
    </row>
    <row r="211" spans="1:8" hidden="1">
      <c r="A211" s="62" t="s">
        <v>185</v>
      </c>
      <c r="B211" s="78"/>
      <c r="C211" s="78"/>
      <c r="D211" s="78"/>
      <c r="E211" s="78"/>
      <c r="F211" s="42">
        <v>0</v>
      </c>
      <c r="G211" s="42">
        <f t="shared" si="3"/>
        <v>0</v>
      </c>
      <c r="H211" s="2" t="str">
        <f>VLOOKUP(A211,'TB April'!A:H,8,0)</f>
        <v>Not Applicable</v>
      </c>
    </row>
    <row r="212" spans="1:8" hidden="1">
      <c r="A212" s="62" t="s">
        <v>184</v>
      </c>
      <c r="B212" s="78"/>
      <c r="C212" s="78"/>
      <c r="D212" s="78"/>
      <c r="E212" s="78"/>
      <c r="F212" s="42">
        <v>0</v>
      </c>
      <c r="G212" s="42">
        <f t="shared" si="3"/>
        <v>0</v>
      </c>
      <c r="H212" s="2" t="str">
        <f>VLOOKUP(A212,'TB April'!A:H,8,0)</f>
        <v>Not Applicable</v>
      </c>
    </row>
    <row r="213" spans="1:8" hidden="1">
      <c r="A213" s="62" t="s">
        <v>194</v>
      </c>
      <c r="B213" s="78"/>
      <c r="C213" s="78"/>
      <c r="D213" s="78"/>
      <c r="E213" s="78"/>
      <c r="F213" s="42">
        <v>0</v>
      </c>
      <c r="G213" s="42">
        <f t="shared" si="3"/>
        <v>0</v>
      </c>
      <c r="H213" s="2" t="str">
        <f>VLOOKUP(A213,'TB April'!A:H,8,0)</f>
        <v>Not Applicable</v>
      </c>
    </row>
    <row r="214" spans="1:8" hidden="1">
      <c r="A214" s="62" t="s">
        <v>193</v>
      </c>
      <c r="B214" s="78"/>
      <c r="C214" s="78"/>
      <c r="D214" s="78"/>
      <c r="E214" s="78"/>
      <c r="F214" s="42">
        <v>0</v>
      </c>
      <c r="G214" s="42">
        <f t="shared" si="3"/>
        <v>0</v>
      </c>
      <c r="H214" s="2" t="str">
        <f>VLOOKUP(A214,'TB April'!A:H,8,0)</f>
        <v>Not Applicable</v>
      </c>
    </row>
    <row r="215" spans="1:8" hidden="1">
      <c r="A215" s="62" t="s">
        <v>189</v>
      </c>
      <c r="B215" s="78"/>
      <c r="C215" s="78"/>
      <c r="D215" s="78"/>
      <c r="E215" s="78"/>
      <c r="F215" s="42">
        <v>0</v>
      </c>
      <c r="G215" s="42">
        <f t="shared" si="3"/>
        <v>0</v>
      </c>
      <c r="H215" s="2" t="str">
        <f>VLOOKUP(A215,'TB April'!A:H,8,0)</f>
        <v>Not Applicable</v>
      </c>
    </row>
    <row r="216" spans="1:8" hidden="1">
      <c r="A216" s="62" t="s">
        <v>190</v>
      </c>
      <c r="B216" s="78"/>
      <c r="C216" s="78"/>
      <c r="D216" s="78"/>
      <c r="E216" s="78"/>
      <c r="F216" s="42">
        <v>0</v>
      </c>
      <c r="G216" s="42">
        <f t="shared" si="3"/>
        <v>0</v>
      </c>
      <c r="H216" s="2" t="str">
        <f>VLOOKUP(A216,'TB April'!A:H,8,0)</f>
        <v>Not Applicable</v>
      </c>
    </row>
    <row r="217" spans="1:8" hidden="1">
      <c r="A217" s="62" t="s">
        <v>199</v>
      </c>
      <c r="B217" s="78"/>
      <c r="C217" s="78"/>
      <c r="D217" s="78"/>
      <c r="E217" s="78"/>
      <c r="F217" s="42">
        <v>0</v>
      </c>
      <c r="G217" s="42">
        <f t="shared" si="3"/>
        <v>0</v>
      </c>
      <c r="H217" s="2" t="str">
        <f>VLOOKUP(A217,'TB April'!A:H,8,0)</f>
        <v>Not Applicable</v>
      </c>
    </row>
    <row r="218" spans="1:8" hidden="1">
      <c r="A218" s="62" t="s">
        <v>200</v>
      </c>
      <c r="B218" s="78"/>
      <c r="C218" s="78"/>
      <c r="D218" s="78"/>
      <c r="E218" s="78"/>
      <c r="F218" s="42">
        <v>0</v>
      </c>
      <c r="G218" s="42">
        <f t="shared" si="3"/>
        <v>0</v>
      </c>
      <c r="H218" s="2" t="str">
        <f>VLOOKUP(A218,'TB April'!A:H,8,0)</f>
        <v>Not Applicable</v>
      </c>
    </row>
    <row r="219" spans="1:8" hidden="1">
      <c r="A219" s="62" t="s">
        <v>217</v>
      </c>
      <c r="B219" s="78"/>
      <c r="C219" s="78"/>
      <c r="D219" s="78"/>
      <c r="E219" s="78"/>
      <c r="F219" s="42">
        <v>0</v>
      </c>
      <c r="G219" s="42">
        <f t="shared" si="3"/>
        <v>0</v>
      </c>
      <c r="H219" s="2" t="str">
        <f>VLOOKUP(A219,'TB April'!A:H,8,0)</f>
        <v>Not Applicable</v>
      </c>
    </row>
    <row r="220" spans="1:8" hidden="1">
      <c r="A220" s="62" t="s">
        <v>218</v>
      </c>
      <c r="B220" s="78">
        <v>6380967.2599999998</v>
      </c>
      <c r="C220" s="78">
        <v>12387197.65</v>
      </c>
      <c r="D220" s="78">
        <v>18768164.010000002</v>
      </c>
      <c r="E220" s="78">
        <v>0.9</v>
      </c>
      <c r="F220" s="42">
        <v>0</v>
      </c>
      <c r="G220" s="42">
        <f t="shared" si="3"/>
        <v>0.9</v>
      </c>
      <c r="H220" s="2" t="str">
        <f>VLOOKUP(A220,'TB April'!A:H,8,0)</f>
        <v>Not Applicable</v>
      </c>
    </row>
    <row r="221" spans="1:8" hidden="1">
      <c r="A221" s="62" t="s">
        <v>219</v>
      </c>
      <c r="B221" s="78">
        <v>38729992.630000003</v>
      </c>
      <c r="C221" s="78">
        <v>26814730.579999998</v>
      </c>
      <c r="D221" s="78">
        <v>19291600.390000001</v>
      </c>
      <c r="E221" s="78">
        <v>46253122.82</v>
      </c>
      <c r="F221" s="42">
        <v>0</v>
      </c>
      <c r="G221" s="42">
        <f t="shared" si="3"/>
        <v>46253122.82</v>
      </c>
      <c r="H221" s="2" t="str">
        <f>VLOOKUP(A221,'TB April'!A:H,8,0)</f>
        <v>Not Applicable</v>
      </c>
    </row>
    <row r="222" spans="1:8" hidden="1">
      <c r="A222" s="62" t="s">
        <v>969</v>
      </c>
      <c r="B222" s="78">
        <v>-0.04</v>
      </c>
      <c r="C222" s="78"/>
      <c r="D222" s="78"/>
      <c r="E222" s="78">
        <v>-0.04</v>
      </c>
      <c r="F222" s="42">
        <v>0</v>
      </c>
      <c r="G222" s="42">
        <f t="shared" si="3"/>
        <v>-0.04</v>
      </c>
      <c r="H222" s="2" t="str">
        <f>VLOOKUP(A222,'TB April'!A:H,8,0)</f>
        <v>Not Applicable</v>
      </c>
    </row>
    <row r="223" spans="1:8" hidden="1">
      <c r="A223" s="62" t="s">
        <v>225</v>
      </c>
      <c r="B223" s="78"/>
      <c r="C223" s="78"/>
      <c r="D223" s="78"/>
      <c r="E223" s="78"/>
      <c r="F223" s="42">
        <v>0</v>
      </c>
      <c r="G223" s="42">
        <f t="shared" si="3"/>
        <v>0</v>
      </c>
      <c r="H223" s="2" t="str">
        <f>VLOOKUP(A223,'TB April'!A:H,8,0)</f>
        <v>Not Applicable</v>
      </c>
    </row>
    <row r="224" spans="1:8" hidden="1">
      <c r="A224" s="62" t="s">
        <v>224</v>
      </c>
      <c r="B224" s="78">
        <v>-607862.51</v>
      </c>
      <c r="C224" s="78"/>
      <c r="D224" s="78"/>
      <c r="E224" s="78">
        <v>-607862.51</v>
      </c>
      <c r="F224" s="42">
        <v>0</v>
      </c>
      <c r="G224" s="42">
        <f t="shared" si="3"/>
        <v>-607862.51</v>
      </c>
      <c r="H224" s="2" t="str">
        <f>VLOOKUP(A224,'TB April'!A:H,8,0)</f>
        <v>Not Applicable</v>
      </c>
    </row>
    <row r="225" spans="1:8" hidden="1">
      <c r="A225" s="62" t="s">
        <v>227</v>
      </c>
      <c r="B225" s="78"/>
      <c r="C225" s="78"/>
      <c r="D225" s="78"/>
      <c r="E225" s="78"/>
      <c r="F225" s="42">
        <v>0</v>
      </c>
      <c r="G225" s="42">
        <f t="shared" si="3"/>
        <v>0</v>
      </c>
      <c r="H225" s="2" t="str">
        <f>VLOOKUP(A225,'TB April'!A:H,8,0)</f>
        <v>Not Applicable</v>
      </c>
    </row>
    <row r="226" spans="1:8" hidden="1">
      <c r="A226" s="62" t="s">
        <v>230</v>
      </c>
      <c r="B226" s="78"/>
      <c r="C226" s="78">
        <v>9906783.4700000007</v>
      </c>
      <c r="D226" s="78">
        <v>2609101.35</v>
      </c>
      <c r="E226" s="78">
        <v>7297682.1200000001</v>
      </c>
      <c r="F226" s="42">
        <v>0</v>
      </c>
      <c r="G226" s="42">
        <f t="shared" si="3"/>
        <v>7297682.1200000001</v>
      </c>
      <c r="H226" s="2" t="str">
        <f>VLOOKUP(A226,'TB April'!A:H,8,0)</f>
        <v>Not Applicable</v>
      </c>
    </row>
    <row r="227" spans="1:8" hidden="1">
      <c r="A227" s="62" t="s">
        <v>863</v>
      </c>
      <c r="B227" s="78"/>
      <c r="C227" s="78"/>
      <c r="D227" s="78"/>
      <c r="E227" s="78"/>
      <c r="F227" s="42">
        <v>0</v>
      </c>
      <c r="G227" s="42">
        <f t="shared" si="3"/>
        <v>0</v>
      </c>
      <c r="H227" s="2" t="str">
        <f>VLOOKUP(A227,'TB April'!A:H,8,0)</f>
        <v>Not Applicable</v>
      </c>
    </row>
    <row r="228" spans="1:8" hidden="1">
      <c r="A228" s="62" t="s">
        <v>976</v>
      </c>
      <c r="B228" s="78">
        <v>66.33</v>
      </c>
      <c r="C228" s="78"/>
      <c r="D228" s="78"/>
      <c r="E228" s="78">
        <v>66.33</v>
      </c>
      <c r="F228" s="42">
        <v>0</v>
      </c>
      <c r="G228" s="42">
        <f t="shared" si="3"/>
        <v>66.33</v>
      </c>
      <c r="H228" s="2" t="str">
        <f>VLOOKUP(A228,'TB April'!A:H,8,0)</f>
        <v>Not Applicable</v>
      </c>
    </row>
    <row r="229" spans="1:8" hidden="1">
      <c r="A229" s="62" t="s">
        <v>235</v>
      </c>
      <c r="B229" s="78"/>
      <c r="C229" s="78"/>
      <c r="D229" s="78"/>
      <c r="E229" s="78"/>
      <c r="F229" s="42">
        <v>0</v>
      </c>
      <c r="G229" s="42">
        <f t="shared" si="3"/>
        <v>0</v>
      </c>
      <c r="H229" s="2" t="str">
        <f>VLOOKUP(A229,'TB April'!A:H,8,0)</f>
        <v>Not Applicable</v>
      </c>
    </row>
    <row r="230" spans="1:8" hidden="1">
      <c r="A230" s="62" t="s">
        <v>1174</v>
      </c>
      <c r="B230" s="78">
        <v>584231.6</v>
      </c>
      <c r="C230" s="78"/>
      <c r="D230" s="78"/>
      <c r="E230" s="78">
        <v>584231.6</v>
      </c>
      <c r="F230" s="42">
        <v>0</v>
      </c>
      <c r="G230" s="42">
        <f t="shared" si="3"/>
        <v>584231.6</v>
      </c>
      <c r="H230" s="2" t="str">
        <f>VLOOKUP(A230,'TB April'!A:H,8,0)</f>
        <v>Not Applicable</v>
      </c>
    </row>
    <row r="231" spans="1:8" hidden="1">
      <c r="A231" s="62" t="s">
        <v>238</v>
      </c>
      <c r="B231" s="78">
        <v>0.03</v>
      </c>
      <c r="C231" s="78"/>
      <c r="D231" s="78"/>
      <c r="E231" s="78">
        <v>0.03</v>
      </c>
      <c r="F231" s="42">
        <v>0</v>
      </c>
      <c r="G231" s="42">
        <f t="shared" si="3"/>
        <v>0.03</v>
      </c>
      <c r="H231" s="2" t="str">
        <f>VLOOKUP(A231,'TB April'!A:H,8,0)</f>
        <v>Not Applicable</v>
      </c>
    </row>
    <row r="232" spans="1:8" hidden="1">
      <c r="A232" s="62" t="s">
        <v>239</v>
      </c>
      <c r="B232" s="78"/>
      <c r="C232" s="78"/>
      <c r="D232" s="78"/>
      <c r="E232" s="78"/>
      <c r="F232" s="42">
        <v>0</v>
      </c>
      <c r="G232" s="42">
        <f t="shared" si="3"/>
        <v>0</v>
      </c>
      <c r="H232" s="2" t="str">
        <f>VLOOKUP(A232,'TB April'!A:H,8,0)</f>
        <v>Not Applicable</v>
      </c>
    </row>
    <row r="233" spans="1:8" hidden="1">
      <c r="A233" s="62" t="s">
        <v>241</v>
      </c>
      <c r="B233" s="78"/>
      <c r="C233" s="78"/>
      <c r="D233" s="78"/>
      <c r="E233" s="78"/>
      <c r="F233" s="42">
        <v>0</v>
      </c>
      <c r="G233" s="42">
        <f t="shared" si="3"/>
        <v>0</v>
      </c>
      <c r="H233" s="2" t="str">
        <f>VLOOKUP(A233,'TB April'!A:H,8,0)</f>
        <v>Not Applicable</v>
      </c>
    </row>
    <row r="234" spans="1:8" hidden="1">
      <c r="A234" s="62" t="s">
        <v>243</v>
      </c>
      <c r="B234" s="78">
        <v>-231550.7</v>
      </c>
      <c r="C234" s="78"/>
      <c r="D234" s="78"/>
      <c r="E234" s="78">
        <v>-231550.7</v>
      </c>
      <c r="F234" s="42">
        <v>0</v>
      </c>
      <c r="G234" s="42">
        <f t="shared" si="3"/>
        <v>-231550.7</v>
      </c>
      <c r="H234" s="2" t="str">
        <f>VLOOKUP(A234,'TB April'!A:H,8,0)</f>
        <v>Not Applicable</v>
      </c>
    </row>
    <row r="235" spans="1:8" hidden="1">
      <c r="A235" s="62" t="s">
        <v>249</v>
      </c>
      <c r="B235" s="78"/>
      <c r="C235" s="78"/>
      <c r="D235" s="78"/>
      <c r="E235" s="78"/>
      <c r="F235" s="42">
        <v>0</v>
      </c>
      <c r="G235" s="42">
        <f t="shared" si="3"/>
        <v>0</v>
      </c>
      <c r="H235" s="2" t="str">
        <f>VLOOKUP(A235,'TB April'!A:H,8,0)</f>
        <v>Not Applicable</v>
      </c>
    </row>
    <row r="236" spans="1:8" hidden="1">
      <c r="A236" s="62" t="s">
        <v>252</v>
      </c>
      <c r="B236" s="78">
        <v>-1056500.3799999999</v>
      </c>
      <c r="C236" s="78"/>
      <c r="D236" s="78"/>
      <c r="E236" s="78">
        <v>-1056500.3799999999</v>
      </c>
      <c r="F236" s="42">
        <v>0</v>
      </c>
      <c r="G236" s="42">
        <f t="shared" si="3"/>
        <v>-1056500.3799999999</v>
      </c>
      <c r="H236" s="2" t="str">
        <f>VLOOKUP(A236,'TB April'!A:H,8,0)</f>
        <v>Not Applicable</v>
      </c>
    </row>
    <row r="237" spans="1:8" hidden="1">
      <c r="A237" s="62" t="s">
        <v>253</v>
      </c>
      <c r="B237" s="78"/>
      <c r="C237" s="78"/>
      <c r="D237" s="78"/>
      <c r="E237" s="78"/>
      <c r="F237" s="42">
        <v>0</v>
      </c>
      <c r="G237" s="42">
        <f t="shared" si="3"/>
        <v>0</v>
      </c>
      <c r="H237" s="2" t="str">
        <f>VLOOKUP(A237,'TB April'!A:H,8,0)</f>
        <v>Not Applicable</v>
      </c>
    </row>
    <row r="238" spans="1:8" hidden="1">
      <c r="A238" s="62" t="s">
        <v>254</v>
      </c>
      <c r="B238" s="78"/>
      <c r="C238" s="78"/>
      <c r="D238" s="78"/>
      <c r="E238" s="78"/>
      <c r="F238" s="42">
        <v>0</v>
      </c>
      <c r="G238" s="42">
        <f t="shared" si="3"/>
        <v>0</v>
      </c>
      <c r="H238" s="2" t="str">
        <f>VLOOKUP(A238,'TB April'!A:H,8,0)</f>
        <v>Not Applicable</v>
      </c>
    </row>
    <row r="239" spans="1:8" hidden="1">
      <c r="A239" s="62" t="s">
        <v>255</v>
      </c>
      <c r="B239" s="78"/>
      <c r="C239" s="78"/>
      <c r="D239" s="78"/>
      <c r="E239" s="78"/>
      <c r="F239" s="42">
        <v>0</v>
      </c>
      <c r="G239" s="42">
        <f t="shared" si="3"/>
        <v>0</v>
      </c>
      <c r="H239" s="2" t="str">
        <f>VLOOKUP(A239,'TB April'!A:H,8,0)</f>
        <v>Not Applicable</v>
      </c>
    </row>
    <row r="240" spans="1:8" hidden="1">
      <c r="A240" s="62" t="s">
        <v>256</v>
      </c>
      <c r="B240" s="78"/>
      <c r="C240" s="78"/>
      <c r="D240" s="78"/>
      <c r="E240" s="78"/>
      <c r="F240" s="42">
        <v>0</v>
      </c>
      <c r="G240" s="42">
        <f t="shared" si="3"/>
        <v>0</v>
      </c>
      <c r="H240" s="2" t="str">
        <f>VLOOKUP(A240,'TB April'!A:H,8,0)</f>
        <v>Not Applicable</v>
      </c>
    </row>
    <row r="241" spans="1:8" hidden="1">
      <c r="A241" s="62" t="s">
        <v>1510</v>
      </c>
      <c r="B241" s="78"/>
      <c r="C241" s="78"/>
      <c r="D241" s="78"/>
      <c r="E241" s="78"/>
      <c r="F241" s="42">
        <v>0</v>
      </c>
      <c r="G241" s="42">
        <f t="shared" si="3"/>
        <v>0</v>
      </c>
      <c r="H241" s="2" t="s">
        <v>84</v>
      </c>
    </row>
    <row r="242" spans="1:8" hidden="1">
      <c r="A242" s="62" t="s">
        <v>257</v>
      </c>
      <c r="B242" s="78"/>
      <c r="C242" s="78"/>
      <c r="D242" s="78"/>
      <c r="E242" s="78"/>
      <c r="F242" s="42">
        <v>0</v>
      </c>
      <c r="G242" s="42">
        <f t="shared" si="3"/>
        <v>0</v>
      </c>
      <c r="H242" s="2" t="str">
        <f>VLOOKUP(A242,'TB April'!A:H,8,0)</f>
        <v>Not Applicable</v>
      </c>
    </row>
    <row r="243" spans="1:8" hidden="1">
      <c r="A243" s="62" t="s">
        <v>259</v>
      </c>
      <c r="B243" s="78">
        <v>2061.2199999999998</v>
      </c>
      <c r="C243" s="78"/>
      <c r="D243" s="78"/>
      <c r="E243" s="78">
        <v>2061.2199999999998</v>
      </c>
      <c r="F243" s="42">
        <v>0</v>
      </c>
      <c r="G243" s="42">
        <f t="shared" si="3"/>
        <v>2061.2199999999998</v>
      </c>
      <c r="H243" s="2" t="str">
        <f>VLOOKUP(A243,'TB April'!A:H,8,0)</f>
        <v>Not Applicable</v>
      </c>
    </row>
    <row r="244" spans="1:8" hidden="1">
      <c r="A244" s="62" t="s">
        <v>260</v>
      </c>
      <c r="B244" s="78">
        <v>10015039.57</v>
      </c>
      <c r="C244" s="78"/>
      <c r="D244" s="78"/>
      <c r="E244" s="78">
        <v>10015039.57</v>
      </c>
      <c r="F244" s="42">
        <v>0</v>
      </c>
      <c r="G244" s="42">
        <f t="shared" si="3"/>
        <v>10015039.57</v>
      </c>
      <c r="H244" s="2" t="str">
        <f>VLOOKUP(A244,'TB April'!A:H,8,0)</f>
        <v>Not Applicable</v>
      </c>
    </row>
    <row r="245" spans="1:8" hidden="1">
      <c r="A245" s="62" t="s">
        <v>261</v>
      </c>
      <c r="B245" s="78"/>
      <c r="C245" s="78"/>
      <c r="D245" s="78"/>
      <c r="E245" s="78"/>
      <c r="F245" s="42">
        <v>0</v>
      </c>
      <c r="G245" s="42">
        <f t="shared" si="3"/>
        <v>0</v>
      </c>
      <c r="H245" s="2" t="str">
        <f>VLOOKUP(A245,'TB April'!A:H,8,0)</f>
        <v>Not Applicable</v>
      </c>
    </row>
    <row r="246" spans="1:8" hidden="1">
      <c r="A246" s="62" t="s">
        <v>267</v>
      </c>
      <c r="B246" s="78">
        <v>163639685.36000001</v>
      </c>
      <c r="C246" s="78">
        <v>1279171.53</v>
      </c>
      <c r="D246" s="78"/>
      <c r="E246" s="78">
        <v>164918856.88999999</v>
      </c>
      <c r="F246" s="42">
        <v>0</v>
      </c>
      <c r="G246" s="42">
        <f t="shared" si="3"/>
        <v>164918856.88999999</v>
      </c>
      <c r="H246" s="2" t="str">
        <f>VLOOKUP(A246,'TB April'!A:H,8,0)</f>
        <v>Not Applicable</v>
      </c>
    </row>
    <row r="247" spans="1:8" hidden="1">
      <c r="A247" s="62" t="s">
        <v>268</v>
      </c>
      <c r="B247" s="78">
        <v>-3253294.89</v>
      </c>
      <c r="C247" s="78"/>
      <c r="D247" s="78"/>
      <c r="E247" s="78">
        <v>-3253294.89</v>
      </c>
      <c r="F247" s="42">
        <v>0</v>
      </c>
      <c r="G247" s="42">
        <f t="shared" si="3"/>
        <v>-3253294.89</v>
      </c>
      <c r="H247" s="2" t="str">
        <f>VLOOKUP(A247,'TB April'!A:H,8,0)</f>
        <v>Not Applicable</v>
      </c>
    </row>
    <row r="248" spans="1:8" hidden="1">
      <c r="A248" s="62" t="s">
        <v>269</v>
      </c>
      <c r="B248" s="78"/>
      <c r="C248" s="78"/>
      <c r="D248" s="78"/>
      <c r="E248" s="78"/>
      <c r="F248" s="42">
        <v>0</v>
      </c>
      <c r="G248" s="42">
        <f t="shared" si="3"/>
        <v>0</v>
      </c>
      <c r="H248" s="2" t="str">
        <f>VLOOKUP(A248,'TB April'!A:H,8,0)</f>
        <v>Not Applicable</v>
      </c>
    </row>
    <row r="249" spans="1:8" hidden="1">
      <c r="A249" s="62" t="s">
        <v>270</v>
      </c>
      <c r="B249" s="78"/>
      <c r="C249" s="78"/>
      <c r="D249" s="78"/>
      <c r="E249" s="78"/>
      <c r="F249" s="42">
        <v>0</v>
      </c>
      <c r="G249" s="42">
        <f t="shared" si="3"/>
        <v>0</v>
      </c>
      <c r="H249" s="2" t="str">
        <f>VLOOKUP(A249,'TB April'!A:H,8,0)</f>
        <v>Not Applicable</v>
      </c>
    </row>
    <row r="250" spans="1:8" hidden="1">
      <c r="A250" s="62" t="s">
        <v>274</v>
      </c>
      <c r="B250" s="78"/>
      <c r="C250" s="78"/>
      <c r="D250" s="78"/>
      <c r="E250" s="78"/>
      <c r="F250" s="42">
        <v>0</v>
      </c>
      <c r="G250" s="42">
        <f t="shared" si="3"/>
        <v>0</v>
      </c>
      <c r="H250" s="2" t="str">
        <f>VLOOKUP(A250,'TB April'!A:H,8,0)</f>
        <v>Not Applicable</v>
      </c>
    </row>
    <row r="251" spans="1:8" hidden="1">
      <c r="A251" s="62" t="s">
        <v>286</v>
      </c>
      <c r="B251" s="78"/>
      <c r="C251" s="78"/>
      <c r="D251" s="78"/>
      <c r="E251" s="78"/>
      <c r="F251" s="42">
        <v>0</v>
      </c>
      <c r="G251" s="42">
        <f t="shared" si="3"/>
        <v>0</v>
      </c>
      <c r="H251" s="2" t="str">
        <f>VLOOKUP(A251,'TB April'!A:H,8,0)</f>
        <v>Not Applicable</v>
      </c>
    </row>
    <row r="252" spans="1:8" hidden="1">
      <c r="A252" s="62" t="s">
        <v>290</v>
      </c>
      <c r="B252" s="78">
        <v>3816893.58</v>
      </c>
      <c r="C252" s="78"/>
      <c r="D252" s="78"/>
      <c r="E252" s="78">
        <v>3816893.58</v>
      </c>
      <c r="F252" s="42">
        <v>0</v>
      </c>
      <c r="G252" s="42">
        <f t="shared" si="3"/>
        <v>3816893.58</v>
      </c>
      <c r="H252" s="2" t="str">
        <f>VLOOKUP(A252,'TB April'!A:H,8,0)</f>
        <v>Not Applicable</v>
      </c>
    </row>
    <row r="253" spans="1:8" hidden="1">
      <c r="A253" s="62" t="s">
        <v>288</v>
      </c>
      <c r="B253" s="78"/>
      <c r="C253" s="78"/>
      <c r="D253" s="78"/>
      <c r="E253" s="78"/>
      <c r="F253" s="42">
        <v>0</v>
      </c>
      <c r="G253" s="42">
        <f t="shared" si="3"/>
        <v>0</v>
      </c>
      <c r="H253" s="2" t="str">
        <f>VLOOKUP(A253,'TB April'!A:H,8,0)</f>
        <v>Not Applicable</v>
      </c>
    </row>
    <row r="254" spans="1:8" hidden="1">
      <c r="A254" s="62" t="s">
        <v>291</v>
      </c>
      <c r="B254" s="78"/>
      <c r="C254" s="78"/>
      <c r="D254" s="78"/>
      <c r="E254" s="78"/>
      <c r="F254" s="42">
        <v>0</v>
      </c>
      <c r="G254" s="42">
        <f t="shared" si="3"/>
        <v>0</v>
      </c>
      <c r="H254" s="2" t="str">
        <f>VLOOKUP(A254,'TB April'!A:H,8,0)</f>
        <v>Not Applicable</v>
      </c>
    </row>
    <row r="255" spans="1:8" hidden="1">
      <c r="A255" s="62" t="s">
        <v>1020</v>
      </c>
      <c r="B255" s="78"/>
      <c r="C255" s="78"/>
      <c r="D255" s="78"/>
      <c r="E255" s="78"/>
      <c r="F255" s="42">
        <v>0</v>
      </c>
      <c r="G255" s="42">
        <f t="shared" si="3"/>
        <v>0</v>
      </c>
      <c r="H255" s="2" t="str">
        <f>VLOOKUP(A255,'TB April'!A:H,8,0)</f>
        <v>Not Applicable</v>
      </c>
    </row>
    <row r="256" spans="1:8" hidden="1">
      <c r="A256" s="62" t="s">
        <v>293</v>
      </c>
      <c r="B256" s="78"/>
      <c r="C256" s="78"/>
      <c r="D256" s="78"/>
      <c r="E256" s="78"/>
      <c r="F256" s="42">
        <v>0</v>
      </c>
      <c r="G256" s="42">
        <f t="shared" si="3"/>
        <v>0</v>
      </c>
      <c r="H256" s="2" t="str">
        <f>VLOOKUP(A256,'TB April'!A:H,8,0)</f>
        <v>Not Applicable</v>
      </c>
    </row>
    <row r="257" spans="1:8" hidden="1">
      <c r="A257" s="62" t="s">
        <v>294</v>
      </c>
      <c r="B257" s="78"/>
      <c r="C257" s="78"/>
      <c r="D257" s="78"/>
      <c r="E257" s="78"/>
      <c r="F257" s="42">
        <v>0</v>
      </c>
      <c r="G257" s="42">
        <f t="shared" si="3"/>
        <v>0</v>
      </c>
      <c r="H257" s="2" t="str">
        <f>VLOOKUP(A257,'TB April'!A:H,8,0)</f>
        <v>Not Applicable</v>
      </c>
    </row>
    <row r="258" spans="1:8" hidden="1">
      <c r="A258" s="62" t="s">
        <v>295</v>
      </c>
      <c r="B258" s="78"/>
      <c r="C258" s="78"/>
      <c r="D258" s="78"/>
      <c r="E258" s="78"/>
      <c r="F258" s="42">
        <v>0</v>
      </c>
      <c r="G258" s="42">
        <f t="shared" si="3"/>
        <v>0</v>
      </c>
      <c r="H258" s="2" t="str">
        <f>VLOOKUP(A258,'TB April'!A:H,8,0)</f>
        <v>Not Applicable</v>
      </c>
    </row>
    <row r="259" spans="1:8" hidden="1">
      <c r="A259" s="62" t="s">
        <v>297</v>
      </c>
      <c r="B259" s="78"/>
      <c r="C259" s="78"/>
      <c r="D259" s="78"/>
      <c r="E259" s="78"/>
      <c r="F259" s="42">
        <v>0</v>
      </c>
      <c r="G259" s="42">
        <f t="shared" si="3"/>
        <v>0</v>
      </c>
      <c r="H259" s="2" t="str">
        <f>VLOOKUP(A259,'TB April'!A:H,8,0)</f>
        <v>Not Applicable</v>
      </c>
    </row>
    <row r="260" spans="1:8" hidden="1">
      <c r="A260" s="62" t="s">
        <v>300</v>
      </c>
      <c r="B260" s="78">
        <v>-21431.97</v>
      </c>
      <c r="C260" s="78"/>
      <c r="D260" s="78"/>
      <c r="E260" s="78">
        <v>-21431.97</v>
      </c>
      <c r="F260" s="42">
        <v>0</v>
      </c>
      <c r="G260" s="42">
        <f t="shared" si="3"/>
        <v>-21431.97</v>
      </c>
      <c r="H260" s="2" t="str">
        <f>VLOOKUP(A260,'TB April'!A:H,8,0)</f>
        <v>Not Applicable</v>
      </c>
    </row>
    <row r="261" spans="1:8" hidden="1">
      <c r="A261" s="62" t="s">
        <v>301</v>
      </c>
      <c r="B261" s="78"/>
      <c r="C261" s="78"/>
      <c r="D261" s="78"/>
      <c r="E261" s="78"/>
      <c r="F261" s="42">
        <v>0</v>
      </c>
      <c r="G261" s="42">
        <f t="shared" si="3"/>
        <v>0</v>
      </c>
      <c r="H261" s="2" t="str">
        <f>VLOOKUP(A261,'TB April'!A:H,8,0)</f>
        <v>Not Applicable</v>
      </c>
    </row>
    <row r="262" spans="1:8" hidden="1">
      <c r="A262" s="62" t="s">
        <v>1327</v>
      </c>
      <c r="B262" s="78"/>
      <c r="C262" s="78"/>
      <c r="D262" s="78"/>
      <c r="E262" s="78"/>
      <c r="F262" s="42">
        <v>0</v>
      </c>
      <c r="G262" s="42">
        <f t="shared" ref="G262:G325" si="4">+E262+F262</f>
        <v>0</v>
      </c>
      <c r="H262" s="2" t="s">
        <v>84</v>
      </c>
    </row>
    <row r="263" spans="1:8" hidden="1">
      <c r="A263" s="62" t="s">
        <v>1420</v>
      </c>
      <c r="B263" s="78"/>
      <c r="C263" s="78"/>
      <c r="D263" s="78"/>
      <c r="E263" s="78"/>
      <c r="F263" s="42">
        <v>0</v>
      </c>
      <c r="G263" s="42">
        <f t="shared" si="4"/>
        <v>0</v>
      </c>
      <c r="H263" s="2" t="str">
        <f>VLOOKUP(A263,'TB April'!A:H,8,0)</f>
        <v>Not Applicable</v>
      </c>
    </row>
    <row r="264" spans="1:8" hidden="1">
      <c r="A264" s="62" t="s">
        <v>859</v>
      </c>
      <c r="B264" s="78"/>
      <c r="C264" s="78"/>
      <c r="D264" s="78"/>
      <c r="E264" s="78"/>
      <c r="F264" s="42">
        <v>0</v>
      </c>
      <c r="G264" s="42">
        <f t="shared" si="4"/>
        <v>0</v>
      </c>
      <c r="H264" s="2" t="str">
        <f>VLOOKUP(A264,'TB April'!A:H,8,0)</f>
        <v>Not Applicable</v>
      </c>
    </row>
    <row r="265" spans="1:8" hidden="1">
      <c r="A265" s="62" t="s">
        <v>303</v>
      </c>
      <c r="B265" s="78"/>
      <c r="C265" s="78"/>
      <c r="D265" s="78"/>
      <c r="E265" s="78"/>
      <c r="F265" s="42">
        <v>0</v>
      </c>
      <c r="G265" s="42">
        <f t="shared" si="4"/>
        <v>0</v>
      </c>
      <c r="H265" s="2" t="str">
        <f>VLOOKUP(A265,'TB April'!A:H,8,0)</f>
        <v>Not Applicable</v>
      </c>
    </row>
    <row r="266" spans="1:8" hidden="1">
      <c r="A266" s="62" t="s">
        <v>304</v>
      </c>
      <c r="B266" s="78">
        <v>0.01</v>
      </c>
      <c r="C266" s="78"/>
      <c r="D266" s="78"/>
      <c r="E266" s="78">
        <v>0.01</v>
      </c>
      <c r="F266" s="42">
        <v>0</v>
      </c>
      <c r="G266" s="42">
        <f t="shared" si="4"/>
        <v>0.01</v>
      </c>
      <c r="H266" s="2" t="str">
        <f>VLOOKUP(A266,'TB April'!A:H,8,0)</f>
        <v>Not Applicable</v>
      </c>
    </row>
    <row r="267" spans="1:8" hidden="1">
      <c r="A267" s="62" t="s">
        <v>306</v>
      </c>
      <c r="B267" s="78"/>
      <c r="C267" s="78"/>
      <c r="D267" s="78"/>
      <c r="E267" s="78"/>
      <c r="F267" s="42">
        <v>0</v>
      </c>
      <c r="G267" s="42">
        <f t="shared" si="4"/>
        <v>0</v>
      </c>
      <c r="H267" s="2" t="str">
        <f>VLOOKUP(A267,'TB April'!A:H,8,0)</f>
        <v>Not Applicable</v>
      </c>
    </row>
    <row r="268" spans="1:8" hidden="1">
      <c r="A268" s="62" t="s">
        <v>318</v>
      </c>
      <c r="B268" s="78"/>
      <c r="C268" s="78"/>
      <c r="D268" s="78"/>
      <c r="E268" s="78"/>
      <c r="F268" s="42">
        <v>0</v>
      </c>
      <c r="G268" s="42">
        <f t="shared" si="4"/>
        <v>0</v>
      </c>
      <c r="H268" s="2" t="str">
        <f>VLOOKUP(A268,'TB April'!A:H,8,0)</f>
        <v>Not Applicable</v>
      </c>
    </row>
    <row r="269" spans="1:8" hidden="1">
      <c r="A269" s="62" t="s">
        <v>319</v>
      </c>
      <c r="B269" s="78"/>
      <c r="C269" s="78"/>
      <c r="D269" s="78"/>
      <c r="E269" s="78"/>
      <c r="F269" s="42">
        <v>0</v>
      </c>
      <c r="G269" s="42">
        <f t="shared" si="4"/>
        <v>0</v>
      </c>
      <c r="H269" s="2" t="str">
        <f>VLOOKUP(A269,'TB April'!A:H,8,0)</f>
        <v>Not Applicable</v>
      </c>
    </row>
    <row r="270" spans="1:8" hidden="1">
      <c r="A270" s="62" t="s">
        <v>344</v>
      </c>
      <c r="B270" s="78"/>
      <c r="C270" s="78"/>
      <c r="D270" s="78"/>
      <c r="E270" s="78"/>
      <c r="F270" s="42">
        <v>0</v>
      </c>
      <c r="G270" s="42">
        <f t="shared" si="4"/>
        <v>0</v>
      </c>
      <c r="H270" s="2" t="str">
        <f>VLOOKUP(A270,'TB April'!A:H,8,0)</f>
        <v>Not Applicable</v>
      </c>
    </row>
    <row r="271" spans="1:8" hidden="1">
      <c r="A271" s="62" t="s">
        <v>342</v>
      </c>
      <c r="B271" s="78">
        <v>3735890.99</v>
      </c>
      <c r="C271" s="78"/>
      <c r="D271" s="78"/>
      <c r="E271" s="78">
        <v>3735890.99</v>
      </c>
      <c r="F271" s="42">
        <v>0</v>
      </c>
      <c r="G271" s="42">
        <f t="shared" si="4"/>
        <v>3735890.99</v>
      </c>
      <c r="H271" s="2" t="str">
        <f>VLOOKUP(A271,'TB April'!A:H,8,0)</f>
        <v>Not Applicable</v>
      </c>
    </row>
    <row r="272" spans="1:8" hidden="1">
      <c r="A272" s="62" t="s">
        <v>343</v>
      </c>
      <c r="B272" s="78">
        <v>27243559.170000002</v>
      </c>
      <c r="C272" s="78">
        <v>16974341.010000002</v>
      </c>
      <c r="D272" s="78">
        <v>6754980.0199999996</v>
      </c>
      <c r="E272" s="78">
        <v>37462920.159999996</v>
      </c>
      <c r="F272" s="42">
        <v>0</v>
      </c>
      <c r="G272" s="42">
        <f t="shared" si="4"/>
        <v>37462920.159999996</v>
      </c>
      <c r="H272" s="2" t="str">
        <f>VLOOKUP(A272,'TB April'!A:H,8,0)</f>
        <v>Not Applicable</v>
      </c>
    </row>
    <row r="273" spans="1:8" hidden="1">
      <c r="A273" s="62" t="s">
        <v>875</v>
      </c>
      <c r="B273" s="78"/>
      <c r="C273" s="78"/>
      <c r="D273" s="78"/>
      <c r="E273" s="78"/>
      <c r="F273" s="42">
        <v>0</v>
      </c>
      <c r="G273" s="42">
        <f t="shared" si="4"/>
        <v>0</v>
      </c>
      <c r="H273" s="2" t="str">
        <f>VLOOKUP(A273,'TB April'!A:H,8,0)</f>
        <v>Not Applicable</v>
      </c>
    </row>
    <row r="274" spans="1:8" hidden="1">
      <c r="A274" s="62" t="s">
        <v>347</v>
      </c>
      <c r="B274" s="78"/>
      <c r="C274" s="78"/>
      <c r="D274" s="78"/>
      <c r="E274" s="78"/>
      <c r="F274" s="42">
        <v>0</v>
      </c>
      <c r="G274" s="42">
        <f t="shared" si="4"/>
        <v>0</v>
      </c>
      <c r="H274" s="2" t="str">
        <f>VLOOKUP(A274,'TB April'!A:H,8,0)</f>
        <v>Not Applicable</v>
      </c>
    </row>
    <row r="275" spans="1:8" hidden="1">
      <c r="A275" s="62" t="s">
        <v>349</v>
      </c>
      <c r="B275" s="78"/>
      <c r="C275" s="78"/>
      <c r="D275" s="78"/>
      <c r="E275" s="78"/>
      <c r="F275" s="42">
        <v>0</v>
      </c>
      <c r="G275" s="42">
        <f t="shared" si="4"/>
        <v>0</v>
      </c>
      <c r="H275" s="2" t="str">
        <f>VLOOKUP(A275,'TB April'!A:H,8,0)</f>
        <v>Not Applicable</v>
      </c>
    </row>
    <row r="276" spans="1:8" hidden="1">
      <c r="A276" s="62" t="s">
        <v>352</v>
      </c>
      <c r="B276" s="78"/>
      <c r="C276" s="78"/>
      <c r="D276" s="78"/>
      <c r="E276" s="78"/>
      <c r="F276" s="42">
        <v>0</v>
      </c>
      <c r="G276" s="42">
        <f t="shared" si="4"/>
        <v>0</v>
      </c>
      <c r="H276" s="2" t="str">
        <f>VLOOKUP(A276,'TB April'!A:H,8,0)</f>
        <v>Not Applicable</v>
      </c>
    </row>
    <row r="277" spans="1:8" hidden="1">
      <c r="A277" s="62" t="s">
        <v>353</v>
      </c>
      <c r="B277" s="78"/>
      <c r="C277" s="78"/>
      <c r="D277" s="78"/>
      <c r="E277" s="78"/>
      <c r="F277" s="42">
        <v>0</v>
      </c>
      <c r="G277" s="42">
        <f t="shared" si="4"/>
        <v>0</v>
      </c>
      <c r="H277" s="2" t="str">
        <f>VLOOKUP(A277,'TB April'!A:H,8,0)</f>
        <v>Not Applicable</v>
      </c>
    </row>
    <row r="278" spans="1:8" hidden="1">
      <c r="A278" s="62" t="s">
        <v>365</v>
      </c>
      <c r="B278" s="78">
        <v>3887636.38</v>
      </c>
      <c r="C278" s="78"/>
      <c r="D278" s="78">
        <v>3887636.38</v>
      </c>
      <c r="E278" s="78"/>
      <c r="F278" s="42">
        <v>0</v>
      </c>
      <c r="G278" s="42">
        <f t="shared" si="4"/>
        <v>0</v>
      </c>
      <c r="H278" s="2" t="str">
        <f>VLOOKUP(A278,'TB April'!A:H,8,0)</f>
        <v>Not Applicable</v>
      </c>
    </row>
    <row r="279" spans="1:8" hidden="1">
      <c r="A279" s="62" t="s">
        <v>361</v>
      </c>
      <c r="B279" s="78"/>
      <c r="C279" s="78"/>
      <c r="D279" s="78"/>
      <c r="E279" s="78"/>
      <c r="F279" s="42">
        <v>0</v>
      </c>
      <c r="G279" s="42">
        <f t="shared" si="4"/>
        <v>0</v>
      </c>
      <c r="H279" s="2" t="str">
        <f>VLOOKUP(A279,'TB April'!A:H,8,0)</f>
        <v>Not Applicable</v>
      </c>
    </row>
    <row r="280" spans="1:8" hidden="1">
      <c r="A280" s="62" t="s">
        <v>364</v>
      </c>
      <c r="B280" s="78"/>
      <c r="C280" s="78"/>
      <c r="D280" s="78"/>
      <c r="E280" s="78"/>
      <c r="F280" s="42">
        <v>0</v>
      </c>
      <c r="G280" s="42">
        <f t="shared" si="4"/>
        <v>0</v>
      </c>
      <c r="H280" s="2" t="str">
        <f>VLOOKUP(A280,'TB April'!A:H,8,0)</f>
        <v>Not Applicable</v>
      </c>
    </row>
    <row r="281" spans="1:8" hidden="1">
      <c r="A281" s="62" t="s">
        <v>167</v>
      </c>
      <c r="B281" s="78">
        <v>9381617.2699999996</v>
      </c>
      <c r="C281" s="78"/>
      <c r="D281" s="78"/>
      <c r="E281" s="78">
        <v>9381617.2699999996</v>
      </c>
      <c r="F281" s="42">
        <v>0</v>
      </c>
      <c r="G281" s="42">
        <f t="shared" si="4"/>
        <v>9381617.2699999996</v>
      </c>
      <c r="H281" s="2" t="str">
        <f>VLOOKUP(A281,'TB April'!A:H,8,0)</f>
        <v>Not Applicable</v>
      </c>
    </row>
    <row r="282" spans="1:8" hidden="1">
      <c r="A282" s="62" t="s">
        <v>179</v>
      </c>
      <c r="B282" s="78">
        <v>3500808.87</v>
      </c>
      <c r="C282" s="78"/>
      <c r="D282" s="78"/>
      <c r="E282" s="78">
        <v>3500808.87</v>
      </c>
      <c r="F282" s="42">
        <v>0</v>
      </c>
      <c r="G282" s="42">
        <f t="shared" si="4"/>
        <v>3500808.87</v>
      </c>
      <c r="H282" s="2" t="str">
        <f>VLOOKUP(A282,'TB April'!A:H,8,0)</f>
        <v>Not Applicable</v>
      </c>
    </row>
    <row r="283" spans="1:8" hidden="1">
      <c r="A283" s="62" t="s">
        <v>166</v>
      </c>
      <c r="B283" s="78">
        <v>94180171.590000004</v>
      </c>
      <c r="C283" s="78"/>
      <c r="D283" s="78"/>
      <c r="E283" s="78">
        <v>94180171.590000004</v>
      </c>
      <c r="F283" s="42">
        <v>0</v>
      </c>
      <c r="G283" s="42">
        <f t="shared" si="4"/>
        <v>94180171.590000004</v>
      </c>
      <c r="H283" s="2" t="str">
        <f>VLOOKUP(A283,'TB April'!A:H,8,0)</f>
        <v>Not Applicable</v>
      </c>
    </row>
    <row r="284" spans="1:8" hidden="1">
      <c r="A284" s="62" t="s">
        <v>231</v>
      </c>
      <c r="B284" s="78">
        <v>10039863</v>
      </c>
      <c r="C284" s="78"/>
      <c r="D284" s="78"/>
      <c r="E284" s="78">
        <v>10039863</v>
      </c>
      <c r="F284" s="42">
        <v>0</v>
      </c>
      <c r="G284" s="42">
        <f t="shared" si="4"/>
        <v>10039863</v>
      </c>
      <c r="H284" s="2" t="str">
        <f>VLOOKUP(A284,'TB April'!A:H,8,0)</f>
        <v>Not Applicable</v>
      </c>
    </row>
    <row r="285" spans="1:8" hidden="1">
      <c r="A285" s="62" t="s">
        <v>116</v>
      </c>
      <c r="B285" s="78">
        <v>13500</v>
      </c>
      <c r="C285" s="78"/>
      <c r="D285" s="78"/>
      <c r="E285" s="78">
        <v>13500</v>
      </c>
      <c r="F285" s="42">
        <v>0</v>
      </c>
      <c r="G285" s="42">
        <f t="shared" si="4"/>
        <v>13500</v>
      </c>
      <c r="H285" s="2" t="str">
        <f>VLOOKUP(A285,'TB April'!A:H,8,0)</f>
        <v>Not Applicable</v>
      </c>
    </row>
    <row r="286" spans="1:8" hidden="1">
      <c r="A286" s="62" t="s">
        <v>163</v>
      </c>
      <c r="B286" s="78">
        <v>31000</v>
      </c>
      <c r="C286" s="78"/>
      <c r="D286" s="78"/>
      <c r="E286" s="78">
        <v>31000</v>
      </c>
      <c r="F286" s="42">
        <v>0</v>
      </c>
      <c r="G286" s="42">
        <f t="shared" si="4"/>
        <v>31000</v>
      </c>
      <c r="H286" s="2" t="str">
        <f>VLOOKUP(A286,'TB April'!A:H,8,0)</f>
        <v>Not Applicable</v>
      </c>
    </row>
    <row r="287" spans="1:8" hidden="1">
      <c r="A287" s="62" t="s">
        <v>164</v>
      </c>
      <c r="B287" s="78">
        <v>53550</v>
      </c>
      <c r="C287" s="78"/>
      <c r="D287" s="78"/>
      <c r="E287" s="78">
        <v>53550</v>
      </c>
      <c r="F287" s="42">
        <v>0</v>
      </c>
      <c r="G287" s="42">
        <f t="shared" si="4"/>
        <v>53550</v>
      </c>
      <c r="H287" s="2" t="str">
        <f>VLOOKUP(A287,'TB April'!A:H,8,0)</f>
        <v>Not Applicable</v>
      </c>
    </row>
    <row r="288" spans="1:8" hidden="1">
      <c r="A288" s="62" t="s">
        <v>242</v>
      </c>
      <c r="B288" s="78">
        <v>56429</v>
      </c>
      <c r="C288" s="78"/>
      <c r="D288" s="78"/>
      <c r="E288" s="78">
        <v>56429</v>
      </c>
      <c r="F288" s="42">
        <v>0</v>
      </c>
      <c r="G288" s="42">
        <f t="shared" si="4"/>
        <v>56429</v>
      </c>
      <c r="H288" s="2" t="str">
        <f>VLOOKUP(A288,'TB April'!A:H,8,0)</f>
        <v>Not Applicable</v>
      </c>
    </row>
    <row r="289" spans="1:8" hidden="1">
      <c r="A289" s="62" t="s">
        <v>258</v>
      </c>
      <c r="B289" s="78">
        <v>117232.81</v>
      </c>
      <c r="C289" s="78"/>
      <c r="D289" s="78"/>
      <c r="E289" s="78">
        <v>117232.81</v>
      </c>
      <c r="F289" s="42">
        <v>0</v>
      </c>
      <c r="G289" s="42">
        <f t="shared" si="4"/>
        <v>117232.81</v>
      </c>
      <c r="H289" s="2" t="str">
        <f>VLOOKUP(A289,'TB April'!A:H,8,0)</f>
        <v>Not Applicable</v>
      </c>
    </row>
    <row r="290" spans="1:8" hidden="1">
      <c r="A290" s="62" t="s">
        <v>296</v>
      </c>
      <c r="B290" s="78">
        <v>2090000</v>
      </c>
      <c r="C290" s="78"/>
      <c r="D290" s="78"/>
      <c r="E290" s="78">
        <v>2090000</v>
      </c>
      <c r="F290" s="42">
        <v>0</v>
      </c>
      <c r="G290" s="42">
        <f t="shared" si="4"/>
        <v>2090000</v>
      </c>
      <c r="H290" s="2" t="str">
        <f>VLOOKUP(A290,'TB April'!A:H,8,0)</f>
        <v>Not Applicable</v>
      </c>
    </row>
    <row r="291" spans="1:8" hidden="1">
      <c r="A291" s="62" t="s">
        <v>345</v>
      </c>
      <c r="B291" s="78">
        <v>34721.1</v>
      </c>
      <c r="C291" s="78"/>
      <c r="D291" s="78"/>
      <c r="E291" s="78">
        <v>34721.1</v>
      </c>
      <c r="F291" s="42">
        <v>0</v>
      </c>
      <c r="G291" s="42">
        <f t="shared" si="4"/>
        <v>34721.1</v>
      </c>
      <c r="H291" s="2" t="str">
        <f>VLOOKUP(A291,'TB April'!A:H,8,0)</f>
        <v>Not Applicable</v>
      </c>
    </row>
    <row r="292" spans="1:8" hidden="1">
      <c r="A292" s="62" t="s">
        <v>87</v>
      </c>
      <c r="B292" s="78">
        <v>447443.5</v>
      </c>
      <c r="C292" s="78"/>
      <c r="D292" s="78"/>
      <c r="E292" s="78">
        <v>447443.5</v>
      </c>
      <c r="F292" s="42">
        <v>0</v>
      </c>
      <c r="G292" s="42">
        <f t="shared" si="4"/>
        <v>447443.5</v>
      </c>
      <c r="H292" s="2" t="str">
        <f>VLOOKUP(A292,'TB April'!A:H,8,0)</f>
        <v>Not Applicable</v>
      </c>
    </row>
    <row r="293" spans="1:8" hidden="1">
      <c r="A293" s="62" t="s">
        <v>150</v>
      </c>
      <c r="B293" s="78">
        <v>1051369</v>
      </c>
      <c r="C293" s="78"/>
      <c r="D293" s="78"/>
      <c r="E293" s="78">
        <v>1051369</v>
      </c>
      <c r="F293" s="42">
        <v>0</v>
      </c>
      <c r="G293" s="42">
        <f t="shared" si="4"/>
        <v>1051369</v>
      </c>
      <c r="H293" s="2" t="str">
        <f>VLOOKUP(A293,'TB April'!A:H,8,0)</f>
        <v>Not Applicable</v>
      </c>
    </row>
    <row r="294" spans="1:8" hidden="1">
      <c r="A294" s="62" t="s">
        <v>119</v>
      </c>
      <c r="B294" s="78">
        <v>1403125.05</v>
      </c>
      <c r="C294" s="78"/>
      <c r="D294" s="78"/>
      <c r="E294" s="78">
        <v>1403125.05</v>
      </c>
      <c r="F294" s="42">
        <v>0</v>
      </c>
      <c r="G294" s="42">
        <f t="shared" si="4"/>
        <v>1403125.05</v>
      </c>
      <c r="H294" s="2" t="str">
        <f>VLOOKUP(A294,'TB April'!A:H,8,0)</f>
        <v>Not Applicable</v>
      </c>
    </row>
    <row r="295" spans="1:8" hidden="1">
      <c r="A295" s="62" t="s">
        <v>148</v>
      </c>
      <c r="B295" s="78">
        <v>200728.55</v>
      </c>
      <c r="C295" s="78"/>
      <c r="D295" s="78"/>
      <c r="E295" s="78">
        <v>200728.55</v>
      </c>
      <c r="F295" s="42">
        <v>0</v>
      </c>
      <c r="G295" s="42">
        <f t="shared" si="4"/>
        <v>200728.55</v>
      </c>
      <c r="H295" s="2" t="str">
        <f>VLOOKUP(A295,'TB April'!A:H,8,0)</f>
        <v>Not Applicable</v>
      </c>
    </row>
    <row r="296" spans="1:8" hidden="1">
      <c r="A296" s="62" t="s">
        <v>358</v>
      </c>
      <c r="B296" s="78">
        <v>483189.07</v>
      </c>
      <c r="C296" s="78"/>
      <c r="D296" s="78"/>
      <c r="E296" s="78">
        <v>483189.07</v>
      </c>
      <c r="F296" s="42">
        <v>0</v>
      </c>
      <c r="G296" s="42">
        <f t="shared" si="4"/>
        <v>483189.07</v>
      </c>
      <c r="H296" s="2" t="str">
        <f>VLOOKUP(A296,'TB April'!A:H,8,0)</f>
        <v>Not Applicable</v>
      </c>
    </row>
    <row r="297" spans="1:8" hidden="1">
      <c r="A297" s="62" t="s">
        <v>127</v>
      </c>
      <c r="B297" s="78">
        <v>34794806.829999998</v>
      </c>
      <c r="C297" s="78"/>
      <c r="D297" s="78"/>
      <c r="E297" s="78">
        <v>34794806.829999998</v>
      </c>
      <c r="F297" s="42">
        <v>0</v>
      </c>
      <c r="G297" s="42">
        <f t="shared" si="4"/>
        <v>34794806.829999998</v>
      </c>
      <c r="H297" s="2" t="str">
        <f>VLOOKUP(A297,'TB April'!A:H,8,0)</f>
        <v>Not Applicable</v>
      </c>
    </row>
    <row r="298" spans="1:8" hidden="1">
      <c r="A298" s="62" t="s">
        <v>128</v>
      </c>
      <c r="B298" s="78">
        <v>49292293.990000002</v>
      </c>
      <c r="C298" s="78"/>
      <c r="D298" s="78"/>
      <c r="E298" s="78">
        <v>49292293.990000002</v>
      </c>
      <c r="F298" s="42">
        <v>0</v>
      </c>
      <c r="G298" s="42">
        <f t="shared" si="4"/>
        <v>49292293.990000002</v>
      </c>
      <c r="H298" s="2" t="str">
        <f>VLOOKUP(A298,'TB April'!A:H,8,0)</f>
        <v>Not Applicable</v>
      </c>
    </row>
    <row r="299" spans="1:8" hidden="1">
      <c r="A299" s="62" t="s">
        <v>363</v>
      </c>
      <c r="B299" s="78">
        <v>44090</v>
      </c>
      <c r="C299" s="78"/>
      <c r="D299" s="78"/>
      <c r="E299" s="78">
        <v>44090</v>
      </c>
      <c r="F299" s="42">
        <v>0</v>
      </c>
      <c r="G299" s="42">
        <f t="shared" si="4"/>
        <v>44090</v>
      </c>
      <c r="H299" s="2" t="str">
        <f>VLOOKUP(A299,'TB April'!A:H,8,0)</f>
        <v>Not Applicable</v>
      </c>
    </row>
    <row r="300" spans="1:8" hidden="1">
      <c r="A300" s="62" t="s">
        <v>131</v>
      </c>
      <c r="B300" s="78">
        <v>462700</v>
      </c>
      <c r="C300" s="78">
        <v>72156</v>
      </c>
      <c r="D300" s="78"/>
      <c r="E300" s="78">
        <v>534856</v>
      </c>
      <c r="F300" s="42">
        <v>0</v>
      </c>
      <c r="G300" s="42">
        <f t="shared" si="4"/>
        <v>534856</v>
      </c>
      <c r="H300" s="2" t="str">
        <f>VLOOKUP(A300,'TB April'!A:H,8,0)</f>
        <v>Not Applicable</v>
      </c>
    </row>
    <row r="301" spans="1:8" hidden="1">
      <c r="A301" s="62" t="s">
        <v>155</v>
      </c>
      <c r="B301" s="78">
        <v>9196089.25</v>
      </c>
      <c r="C301" s="78"/>
      <c r="D301" s="78"/>
      <c r="E301" s="78">
        <v>9196089.25</v>
      </c>
      <c r="F301" s="42">
        <v>0</v>
      </c>
      <c r="G301" s="42">
        <f t="shared" si="4"/>
        <v>9196089.25</v>
      </c>
      <c r="H301" s="2" t="str">
        <f>VLOOKUP(A301,'TB April'!A:H,8,0)</f>
        <v>Not Applicable</v>
      </c>
    </row>
    <row r="302" spans="1:8" hidden="1">
      <c r="A302" s="62" t="s">
        <v>156</v>
      </c>
      <c r="B302" s="78">
        <v>116092.3</v>
      </c>
      <c r="C302" s="78"/>
      <c r="D302" s="78"/>
      <c r="E302" s="78">
        <v>116092.3</v>
      </c>
      <c r="F302" s="42">
        <v>0</v>
      </c>
      <c r="G302" s="42">
        <f t="shared" si="4"/>
        <v>116092.3</v>
      </c>
      <c r="H302" s="2" t="str">
        <f>VLOOKUP(A302,'TB April'!A:H,8,0)</f>
        <v>Not Applicable</v>
      </c>
    </row>
    <row r="303" spans="1:8" hidden="1">
      <c r="A303" s="62" t="s">
        <v>168</v>
      </c>
      <c r="B303" s="78">
        <v>4952525.9400000004</v>
      </c>
      <c r="C303" s="78">
        <v>19800</v>
      </c>
      <c r="D303" s="78"/>
      <c r="E303" s="78">
        <v>4972325.9400000004</v>
      </c>
      <c r="F303" s="42">
        <v>0</v>
      </c>
      <c r="G303" s="42">
        <f t="shared" si="4"/>
        <v>4972325.9400000004</v>
      </c>
      <c r="H303" s="2" t="str">
        <f>VLOOKUP(A303,'TB April'!A:H,8,0)</f>
        <v>Not Applicable</v>
      </c>
    </row>
    <row r="304" spans="1:8" hidden="1">
      <c r="A304" s="62" t="s">
        <v>182</v>
      </c>
      <c r="B304" s="78">
        <v>1011000</v>
      </c>
      <c r="C304" s="78"/>
      <c r="D304" s="78"/>
      <c r="E304" s="78">
        <v>1011000</v>
      </c>
      <c r="F304" s="42">
        <v>0</v>
      </c>
      <c r="G304" s="42">
        <f t="shared" si="4"/>
        <v>1011000</v>
      </c>
      <c r="H304" s="2" t="str">
        <f>VLOOKUP(A304,'TB April'!A:H,8,0)</f>
        <v>Not Applicable</v>
      </c>
    </row>
    <row r="305" spans="1:8" hidden="1">
      <c r="A305" s="62" t="s">
        <v>99</v>
      </c>
      <c r="B305" s="78">
        <v>854410</v>
      </c>
      <c r="C305" s="78"/>
      <c r="D305" s="78"/>
      <c r="E305" s="78">
        <v>854410</v>
      </c>
      <c r="F305" s="42">
        <v>0</v>
      </c>
      <c r="G305" s="42">
        <f t="shared" si="4"/>
        <v>854410</v>
      </c>
      <c r="H305" s="2" t="str">
        <f>VLOOKUP(A305,'TB April'!A:H,8,0)</f>
        <v>Not Applicable</v>
      </c>
    </row>
    <row r="306" spans="1:8" hidden="1">
      <c r="A306" s="62" t="s">
        <v>112</v>
      </c>
      <c r="B306" s="78">
        <v>16200</v>
      </c>
      <c r="C306" s="78"/>
      <c r="D306" s="78"/>
      <c r="E306" s="78">
        <v>16200</v>
      </c>
      <c r="F306" s="42">
        <v>0</v>
      </c>
      <c r="G306" s="42">
        <f t="shared" si="4"/>
        <v>16200</v>
      </c>
      <c r="H306" s="2" t="str">
        <f>VLOOKUP(A306,'TB April'!A:H,8,0)</f>
        <v>Not Applicable</v>
      </c>
    </row>
    <row r="307" spans="1:8" hidden="1">
      <c r="A307" s="62" t="s">
        <v>162</v>
      </c>
      <c r="B307" s="78">
        <v>9351983.25</v>
      </c>
      <c r="C307" s="78"/>
      <c r="D307" s="78"/>
      <c r="E307" s="78">
        <v>9351983.25</v>
      </c>
      <c r="F307" s="42">
        <v>0</v>
      </c>
      <c r="G307" s="42">
        <f t="shared" si="4"/>
        <v>9351983.25</v>
      </c>
      <c r="H307" s="2" t="str">
        <f>VLOOKUP(A307,'TB April'!A:H,8,0)</f>
        <v>Not Applicable</v>
      </c>
    </row>
    <row r="308" spans="1:8" hidden="1">
      <c r="A308" s="62" t="s">
        <v>204</v>
      </c>
      <c r="B308" s="78">
        <v>495000</v>
      </c>
      <c r="C308" s="78"/>
      <c r="D308" s="78"/>
      <c r="E308" s="78">
        <v>495000</v>
      </c>
      <c r="F308" s="42">
        <v>0</v>
      </c>
      <c r="G308" s="42">
        <f t="shared" si="4"/>
        <v>495000</v>
      </c>
      <c r="H308" s="2" t="str">
        <f>VLOOKUP(A308,'TB April'!A:H,8,0)</f>
        <v>Not Applicable</v>
      </c>
    </row>
    <row r="309" spans="1:8" hidden="1">
      <c r="A309" s="62" t="s">
        <v>205</v>
      </c>
      <c r="B309" s="78">
        <v>7089366.9500000002</v>
      </c>
      <c r="C309" s="78"/>
      <c r="D309" s="78"/>
      <c r="E309" s="78">
        <v>7089366.9500000002</v>
      </c>
      <c r="F309" s="42">
        <v>0</v>
      </c>
      <c r="G309" s="42">
        <f t="shared" si="4"/>
        <v>7089366.9500000002</v>
      </c>
      <c r="H309" s="2" t="str">
        <f>VLOOKUP(A309,'TB April'!A:H,8,0)</f>
        <v>Not Applicable</v>
      </c>
    </row>
    <row r="310" spans="1:8" hidden="1">
      <c r="A310" s="62" t="s">
        <v>326</v>
      </c>
      <c r="B310" s="78">
        <v>286177</v>
      </c>
      <c r="C310" s="78"/>
      <c r="D310" s="78"/>
      <c r="E310" s="78">
        <v>286177</v>
      </c>
      <c r="F310" s="42">
        <v>0</v>
      </c>
      <c r="G310" s="42">
        <f t="shared" si="4"/>
        <v>286177</v>
      </c>
      <c r="H310" s="2" t="str">
        <f>VLOOKUP(A310,'TB April'!A:H,8,0)</f>
        <v>Not Applicable</v>
      </c>
    </row>
    <row r="311" spans="1:8" hidden="1">
      <c r="A311" s="62" t="s">
        <v>171</v>
      </c>
      <c r="B311" s="78">
        <v>3500000</v>
      </c>
      <c r="C311" s="78"/>
      <c r="D311" s="78"/>
      <c r="E311" s="78">
        <v>3500000</v>
      </c>
      <c r="F311" s="42">
        <v>0</v>
      </c>
      <c r="G311" s="42">
        <f t="shared" si="4"/>
        <v>3500000</v>
      </c>
      <c r="H311" s="2" t="str">
        <f>VLOOKUP(A311,'TB April'!A:H,8,0)</f>
        <v>Not Applicable</v>
      </c>
    </row>
    <row r="312" spans="1:8" hidden="1">
      <c r="A312" s="62" t="s">
        <v>149</v>
      </c>
      <c r="B312" s="78">
        <v>52020</v>
      </c>
      <c r="C312" s="78"/>
      <c r="D312" s="78"/>
      <c r="E312" s="78">
        <v>52020</v>
      </c>
      <c r="F312" s="42">
        <v>0</v>
      </c>
      <c r="G312" s="42">
        <f t="shared" si="4"/>
        <v>52020</v>
      </c>
      <c r="H312" s="2" t="str">
        <f>VLOOKUP(A312,'TB April'!A:H,8,0)</f>
        <v>Not Applicable</v>
      </c>
    </row>
    <row r="313" spans="1:8" hidden="1">
      <c r="A313" s="62" t="s">
        <v>298</v>
      </c>
      <c r="B313" s="78">
        <v>9443.83</v>
      </c>
      <c r="C313" s="78"/>
      <c r="D313" s="78"/>
      <c r="E313" s="78">
        <v>9443.83</v>
      </c>
      <c r="F313" s="42">
        <v>0</v>
      </c>
      <c r="G313" s="42">
        <f t="shared" si="4"/>
        <v>9443.83</v>
      </c>
      <c r="H313" s="2" t="str">
        <f>VLOOKUP(A313,'TB April'!A:H,8,0)</f>
        <v>Not Applicable</v>
      </c>
    </row>
    <row r="314" spans="1:8" hidden="1">
      <c r="A314" s="62" t="s">
        <v>346</v>
      </c>
      <c r="B314" s="78">
        <v>1631889.63</v>
      </c>
      <c r="C314" s="78"/>
      <c r="D314" s="78"/>
      <c r="E314" s="78">
        <v>1631889.63</v>
      </c>
      <c r="F314" s="42">
        <v>0</v>
      </c>
      <c r="G314" s="42">
        <f t="shared" si="4"/>
        <v>1631889.63</v>
      </c>
      <c r="H314" s="2" t="str">
        <f>VLOOKUP(A314,'TB April'!A:H,8,0)</f>
        <v>Not Applicable</v>
      </c>
    </row>
    <row r="315" spans="1:8" hidden="1">
      <c r="A315" s="62" t="s">
        <v>357</v>
      </c>
      <c r="B315" s="78">
        <v>128375</v>
      </c>
      <c r="C315" s="78"/>
      <c r="D315" s="78"/>
      <c r="E315" s="78">
        <v>128375</v>
      </c>
      <c r="F315" s="42">
        <v>0</v>
      </c>
      <c r="G315" s="42">
        <f t="shared" si="4"/>
        <v>128375</v>
      </c>
      <c r="H315" s="2" t="str">
        <f>VLOOKUP(A315,'TB April'!A:H,8,0)</f>
        <v>Not Applicable</v>
      </c>
    </row>
    <row r="316" spans="1:8" hidden="1">
      <c r="A316" s="62" t="s">
        <v>206</v>
      </c>
      <c r="B316" s="78">
        <v>634840</v>
      </c>
      <c r="C316" s="78">
        <v>10000</v>
      </c>
      <c r="D316" s="78"/>
      <c r="E316" s="78">
        <v>644840</v>
      </c>
      <c r="F316" s="42">
        <v>0</v>
      </c>
      <c r="G316" s="42">
        <f t="shared" si="4"/>
        <v>644840</v>
      </c>
      <c r="H316" s="2" t="str">
        <f>VLOOKUP(A316,'TB April'!A:H,8,0)</f>
        <v>Not Applicable</v>
      </c>
    </row>
    <row r="317" spans="1:8" hidden="1">
      <c r="A317" s="62" t="s">
        <v>207</v>
      </c>
      <c r="B317" s="78">
        <v>1564968</v>
      </c>
      <c r="C317" s="78"/>
      <c r="D317" s="78"/>
      <c r="E317" s="78">
        <v>1564968</v>
      </c>
      <c r="F317" s="42">
        <v>0</v>
      </c>
      <c r="G317" s="42">
        <f t="shared" si="4"/>
        <v>1564968</v>
      </c>
      <c r="H317" s="2" t="str">
        <f>VLOOKUP(A317,'TB April'!A:H,8,0)</f>
        <v>Not Applicable</v>
      </c>
    </row>
    <row r="318" spans="1:8" hidden="1">
      <c r="A318" s="62" t="s">
        <v>248</v>
      </c>
      <c r="B318" s="78">
        <v>708000</v>
      </c>
      <c r="C318" s="78"/>
      <c r="D318" s="78"/>
      <c r="E318" s="78">
        <v>708000</v>
      </c>
      <c r="F318" s="42">
        <v>0</v>
      </c>
      <c r="G318" s="42">
        <f t="shared" si="4"/>
        <v>708000</v>
      </c>
      <c r="H318" s="2" t="str">
        <f>VLOOKUP(A318,'TB April'!A:H,8,0)</f>
        <v>Not Applicable</v>
      </c>
    </row>
    <row r="319" spans="1:8" hidden="1">
      <c r="A319" s="62" t="s">
        <v>285</v>
      </c>
      <c r="B319" s="78">
        <v>3193887.76</v>
      </c>
      <c r="C319" s="78"/>
      <c r="D319" s="78"/>
      <c r="E319" s="78">
        <v>3193887.76</v>
      </c>
      <c r="F319" s="42">
        <v>0</v>
      </c>
      <c r="G319" s="42">
        <f t="shared" si="4"/>
        <v>3193887.76</v>
      </c>
      <c r="H319" s="2" t="str">
        <f>VLOOKUP(A319,'TB April'!A:H,8,0)</f>
        <v>Not Applicable</v>
      </c>
    </row>
    <row r="320" spans="1:8" hidden="1">
      <c r="A320" s="62" t="s">
        <v>228</v>
      </c>
      <c r="B320" s="78">
        <v>379000</v>
      </c>
      <c r="C320" s="78"/>
      <c r="D320" s="78"/>
      <c r="E320" s="78">
        <v>379000</v>
      </c>
      <c r="F320" s="42">
        <v>0</v>
      </c>
      <c r="G320" s="42">
        <f t="shared" si="4"/>
        <v>379000</v>
      </c>
      <c r="H320" s="2" t="str">
        <f>VLOOKUP(A320,'TB April'!A:H,8,0)</f>
        <v>Not Applicable</v>
      </c>
    </row>
    <row r="321" spans="1:8" hidden="1">
      <c r="A321" s="62" t="s">
        <v>250</v>
      </c>
      <c r="B321" s="78">
        <v>2467345</v>
      </c>
      <c r="C321" s="78"/>
      <c r="D321" s="78"/>
      <c r="E321" s="78">
        <v>2467345</v>
      </c>
      <c r="F321" s="42">
        <v>0</v>
      </c>
      <c r="G321" s="42">
        <f t="shared" si="4"/>
        <v>2467345</v>
      </c>
      <c r="H321" s="2" t="str">
        <f>VLOOKUP(A321,'TB April'!A:H,8,0)</f>
        <v>Not Applicable</v>
      </c>
    </row>
    <row r="322" spans="1:8" hidden="1">
      <c r="A322" s="62" t="s">
        <v>130</v>
      </c>
      <c r="B322" s="78">
        <v>529727.6</v>
      </c>
      <c r="C322" s="78"/>
      <c r="D322" s="78"/>
      <c r="E322" s="78">
        <v>529727.6</v>
      </c>
      <c r="F322" s="42">
        <v>0</v>
      </c>
      <c r="G322" s="42">
        <f t="shared" si="4"/>
        <v>529727.6</v>
      </c>
      <c r="H322" s="2" t="str">
        <f>VLOOKUP(A322,'TB April'!A:H,8,0)</f>
        <v>Not Applicable</v>
      </c>
    </row>
    <row r="323" spans="1:8" hidden="1">
      <c r="A323" s="62" t="s">
        <v>172</v>
      </c>
      <c r="B323" s="78">
        <v>1853402.6</v>
      </c>
      <c r="C323" s="78"/>
      <c r="D323" s="78"/>
      <c r="E323" s="78">
        <v>1853402.6</v>
      </c>
      <c r="F323" s="42">
        <v>0</v>
      </c>
      <c r="G323" s="42">
        <f t="shared" si="4"/>
        <v>1853402.6</v>
      </c>
      <c r="H323" s="2" t="str">
        <f>VLOOKUP(A323,'TB April'!A:H,8,0)</f>
        <v>Not Applicable</v>
      </c>
    </row>
    <row r="324" spans="1:8" hidden="1">
      <c r="A324" s="62" t="s">
        <v>173</v>
      </c>
      <c r="B324" s="78">
        <v>1617335</v>
      </c>
      <c r="C324" s="78"/>
      <c r="D324" s="78"/>
      <c r="E324" s="78">
        <v>1617335</v>
      </c>
      <c r="F324" s="42">
        <v>0</v>
      </c>
      <c r="G324" s="42">
        <f t="shared" si="4"/>
        <v>1617335</v>
      </c>
      <c r="H324" s="2" t="str">
        <f>VLOOKUP(A324,'TB April'!A:H,8,0)</f>
        <v>Not Applicable</v>
      </c>
    </row>
    <row r="325" spans="1:8" hidden="1">
      <c r="A325" s="62" t="s">
        <v>276</v>
      </c>
      <c r="B325" s="78">
        <v>62823024.82</v>
      </c>
      <c r="C325" s="78"/>
      <c r="D325" s="78"/>
      <c r="E325" s="78">
        <v>62823024.82</v>
      </c>
      <c r="F325" s="42">
        <v>0</v>
      </c>
      <c r="G325" s="42">
        <f t="shared" si="4"/>
        <v>62823024.82</v>
      </c>
      <c r="H325" s="2" t="str">
        <f>VLOOKUP(A325,'TB April'!A:H,8,0)</f>
        <v>Not Applicable</v>
      </c>
    </row>
    <row r="326" spans="1:8" hidden="1">
      <c r="A326" s="62" t="s">
        <v>317</v>
      </c>
      <c r="B326" s="78">
        <v>36486616.130000003</v>
      </c>
      <c r="C326" s="78"/>
      <c r="D326" s="78"/>
      <c r="E326" s="78">
        <v>36486616.130000003</v>
      </c>
      <c r="F326" s="42">
        <v>0</v>
      </c>
      <c r="G326" s="42">
        <f t="shared" ref="G326:G389" si="5">+E326+F326</f>
        <v>36486616.130000003</v>
      </c>
      <c r="H326" s="2" t="str">
        <f>VLOOKUP(A326,'TB April'!A:H,8,0)</f>
        <v>Not Applicable</v>
      </c>
    </row>
    <row r="327" spans="1:8" hidden="1">
      <c r="A327" s="62" t="s">
        <v>348</v>
      </c>
      <c r="B327" s="78">
        <v>24243</v>
      </c>
      <c r="C327" s="78"/>
      <c r="D327" s="78"/>
      <c r="E327" s="78">
        <v>24243</v>
      </c>
      <c r="F327" s="42">
        <v>0</v>
      </c>
      <c r="G327" s="42">
        <f t="shared" si="5"/>
        <v>24243</v>
      </c>
      <c r="H327" s="2" t="str">
        <f>VLOOKUP(A327,'TB April'!A:H,8,0)</f>
        <v>Not Applicable</v>
      </c>
    </row>
    <row r="328" spans="1:8" hidden="1">
      <c r="A328" s="62" t="s">
        <v>147</v>
      </c>
      <c r="B328" s="78">
        <v>360000</v>
      </c>
      <c r="C328" s="78"/>
      <c r="D328" s="78"/>
      <c r="E328" s="78">
        <v>360000</v>
      </c>
      <c r="F328" s="42">
        <v>0</v>
      </c>
      <c r="G328" s="42">
        <f t="shared" si="5"/>
        <v>360000</v>
      </c>
      <c r="H328" s="2" t="str">
        <f>VLOOKUP(A328,'TB April'!A:H,8,0)</f>
        <v>Not Applicable</v>
      </c>
    </row>
    <row r="329" spans="1:8" hidden="1">
      <c r="A329" s="62" t="s">
        <v>362</v>
      </c>
      <c r="B329" s="78">
        <v>68557970.409999996</v>
      </c>
      <c r="C329" s="78"/>
      <c r="D329" s="78"/>
      <c r="E329" s="78">
        <v>68557970.409999996</v>
      </c>
      <c r="F329" s="42">
        <v>0</v>
      </c>
      <c r="G329" s="42">
        <f t="shared" si="5"/>
        <v>68557970.409999996</v>
      </c>
      <c r="H329" s="2" t="str">
        <f>VLOOKUP(A329,'TB April'!A:H,8,0)</f>
        <v>Not Applicable</v>
      </c>
    </row>
    <row r="330" spans="1:8" hidden="1">
      <c r="A330" s="62" t="s">
        <v>289</v>
      </c>
      <c r="B330" s="78">
        <v>1398408.4</v>
      </c>
      <c r="C330" s="78"/>
      <c r="D330" s="78"/>
      <c r="E330" s="78">
        <v>1398408.4</v>
      </c>
      <c r="F330" s="42">
        <v>0</v>
      </c>
      <c r="G330" s="42">
        <f t="shared" si="5"/>
        <v>1398408.4</v>
      </c>
      <c r="H330" s="2" t="str">
        <f>VLOOKUP(A330,'TB April'!A:H,8,0)</f>
        <v>Not Applicable</v>
      </c>
    </row>
    <row r="331" spans="1:8" hidden="1">
      <c r="A331" s="62" t="s">
        <v>322</v>
      </c>
      <c r="B331" s="78">
        <v>27382501.739999998</v>
      </c>
      <c r="C331" s="78">
        <v>369000</v>
      </c>
      <c r="D331" s="78"/>
      <c r="E331" s="78">
        <v>27751501.739999998</v>
      </c>
      <c r="F331" s="42">
        <v>0</v>
      </c>
      <c r="G331" s="42">
        <f t="shared" si="5"/>
        <v>27751501.739999998</v>
      </c>
      <c r="H331" s="2" t="str">
        <f>VLOOKUP(A331,'TB April'!A:H,8,0)</f>
        <v>Not Applicable</v>
      </c>
    </row>
    <row r="332" spans="1:8" hidden="1">
      <c r="A332" s="62" t="s">
        <v>323</v>
      </c>
      <c r="B332" s="78">
        <v>3211189.8</v>
      </c>
      <c r="C332" s="78"/>
      <c r="D332" s="78"/>
      <c r="E332" s="78">
        <v>3211189.8</v>
      </c>
      <c r="F332" s="42">
        <v>0</v>
      </c>
      <c r="G332" s="42">
        <f t="shared" si="5"/>
        <v>3211189.8</v>
      </c>
      <c r="H332" s="2" t="str">
        <f>VLOOKUP(A332,'TB April'!A:H,8,0)</f>
        <v>Not Applicable</v>
      </c>
    </row>
    <row r="333" spans="1:8" hidden="1">
      <c r="A333" s="62" t="s">
        <v>92</v>
      </c>
      <c r="B333" s="78">
        <v>24410011.23</v>
      </c>
      <c r="C333" s="78"/>
      <c r="D333" s="78"/>
      <c r="E333" s="78">
        <v>24410011.23</v>
      </c>
      <c r="F333" s="42">
        <v>0</v>
      </c>
      <c r="G333" s="42">
        <f t="shared" si="5"/>
        <v>24410011.23</v>
      </c>
      <c r="H333" s="2" t="str">
        <f>VLOOKUP(A333,'TB April'!A:H,8,0)</f>
        <v>Not Applicable</v>
      </c>
    </row>
    <row r="334" spans="1:8" hidden="1">
      <c r="A334" s="62" t="s">
        <v>124</v>
      </c>
      <c r="B334" s="78">
        <v>574500</v>
      </c>
      <c r="C334" s="78"/>
      <c r="D334" s="78"/>
      <c r="E334" s="78">
        <v>574500</v>
      </c>
      <c r="F334" s="42">
        <v>0</v>
      </c>
      <c r="G334" s="42">
        <f t="shared" si="5"/>
        <v>574500</v>
      </c>
      <c r="H334" s="2" t="str">
        <f>VLOOKUP(A334,'TB April'!A:H,8,0)</f>
        <v>Not Applicable</v>
      </c>
    </row>
    <row r="335" spans="1:8" hidden="1">
      <c r="A335" s="62" t="s">
        <v>125</v>
      </c>
      <c r="B335" s="78">
        <v>9371448</v>
      </c>
      <c r="C335" s="78"/>
      <c r="D335" s="78"/>
      <c r="E335" s="78">
        <v>9371448</v>
      </c>
      <c r="F335" s="42">
        <v>0</v>
      </c>
      <c r="G335" s="42">
        <f t="shared" si="5"/>
        <v>9371448</v>
      </c>
      <c r="H335" s="2" t="str">
        <f>VLOOKUP(A335,'TB April'!A:H,8,0)</f>
        <v>Not Applicable</v>
      </c>
    </row>
    <row r="336" spans="1:8" hidden="1">
      <c r="A336" s="62" t="s">
        <v>159</v>
      </c>
      <c r="B336" s="78">
        <v>28350</v>
      </c>
      <c r="C336" s="78"/>
      <c r="D336" s="78"/>
      <c r="E336" s="78">
        <v>28350</v>
      </c>
      <c r="F336" s="42">
        <v>0</v>
      </c>
      <c r="G336" s="42">
        <f t="shared" si="5"/>
        <v>28350</v>
      </c>
      <c r="H336" s="2" t="str">
        <f>VLOOKUP(A336,'TB April'!A:H,8,0)</f>
        <v>Not Applicable</v>
      </c>
    </row>
    <row r="337" spans="1:8" hidden="1">
      <c r="A337" s="62" t="s">
        <v>160</v>
      </c>
      <c r="B337" s="78">
        <v>30366108.780000001</v>
      </c>
      <c r="C337" s="78"/>
      <c r="D337" s="78"/>
      <c r="E337" s="78">
        <v>30366108.780000001</v>
      </c>
      <c r="F337" s="42">
        <v>0</v>
      </c>
      <c r="G337" s="42">
        <f t="shared" si="5"/>
        <v>30366108.780000001</v>
      </c>
      <c r="H337" s="2" t="str">
        <f>VLOOKUP(A337,'TB April'!A:H,8,0)</f>
        <v>Not Applicable</v>
      </c>
    </row>
    <row r="338" spans="1:8" hidden="1">
      <c r="A338" s="62" t="s">
        <v>161</v>
      </c>
      <c r="B338" s="78">
        <v>39942385.469999999</v>
      </c>
      <c r="C338" s="78"/>
      <c r="D338" s="78"/>
      <c r="E338" s="78">
        <v>39942385.469999999</v>
      </c>
      <c r="F338" s="42">
        <v>0</v>
      </c>
      <c r="G338" s="42">
        <f t="shared" si="5"/>
        <v>39942385.469999999</v>
      </c>
      <c r="H338" s="2" t="str">
        <f>VLOOKUP(A338,'TB April'!A:H,8,0)</f>
        <v>Not Applicable</v>
      </c>
    </row>
    <row r="339" spans="1:8" hidden="1">
      <c r="A339" s="62" t="s">
        <v>170</v>
      </c>
      <c r="B339" s="78">
        <v>96500</v>
      </c>
      <c r="C339" s="78"/>
      <c r="D339" s="78"/>
      <c r="E339" s="78">
        <v>96500</v>
      </c>
      <c r="F339" s="42">
        <v>0</v>
      </c>
      <c r="G339" s="42">
        <f t="shared" si="5"/>
        <v>96500</v>
      </c>
      <c r="H339" s="2" t="str">
        <f>VLOOKUP(A339,'TB April'!A:H,8,0)</f>
        <v>Not Applicable</v>
      </c>
    </row>
    <row r="340" spans="1:8" hidden="1">
      <c r="A340" s="62" t="s">
        <v>187</v>
      </c>
      <c r="B340" s="78">
        <v>100000</v>
      </c>
      <c r="C340" s="78"/>
      <c r="D340" s="78"/>
      <c r="E340" s="78">
        <v>100000</v>
      </c>
      <c r="F340" s="42">
        <v>0</v>
      </c>
      <c r="G340" s="42">
        <f t="shared" si="5"/>
        <v>100000</v>
      </c>
      <c r="H340" s="2" t="str">
        <f>VLOOKUP(A340,'TB April'!A:H,8,0)</f>
        <v>Not Applicable</v>
      </c>
    </row>
    <row r="341" spans="1:8" hidden="1">
      <c r="A341" s="62" t="s">
        <v>202</v>
      </c>
      <c r="B341" s="78">
        <v>186280</v>
      </c>
      <c r="C341" s="78"/>
      <c r="D341" s="78"/>
      <c r="E341" s="78">
        <v>186280</v>
      </c>
      <c r="F341" s="42">
        <v>0</v>
      </c>
      <c r="G341" s="42">
        <f t="shared" si="5"/>
        <v>186280</v>
      </c>
      <c r="H341" s="2" t="str">
        <f>VLOOKUP(A341,'TB April'!A:H,8,0)</f>
        <v>Not Applicable</v>
      </c>
    </row>
    <row r="342" spans="1:8" hidden="1">
      <c r="A342" s="62" t="s">
        <v>244</v>
      </c>
      <c r="B342" s="78">
        <v>65000</v>
      </c>
      <c r="C342" s="78"/>
      <c r="D342" s="78"/>
      <c r="E342" s="78">
        <v>65000</v>
      </c>
      <c r="F342" s="42">
        <v>0</v>
      </c>
      <c r="G342" s="42">
        <f t="shared" si="5"/>
        <v>65000</v>
      </c>
      <c r="H342" s="2" t="str">
        <f>VLOOKUP(A342,'TB April'!A:H,8,0)</f>
        <v>Not Applicable</v>
      </c>
    </row>
    <row r="343" spans="1:8" hidden="1">
      <c r="A343" s="62" t="s">
        <v>325</v>
      </c>
      <c r="B343" s="78">
        <v>57500</v>
      </c>
      <c r="C343" s="78"/>
      <c r="D343" s="78"/>
      <c r="E343" s="78">
        <v>57500</v>
      </c>
      <c r="F343" s="42">
        <v>0</v>
      </c>
      <c r="G343" s="42">
        <f t="shared" si="5"/>
        <v>57500</v>
      </c>
      <c r="H343" s="2" t="str">
        <f>VLOOKUP(A343,'TB April'!A:H,8,0)</f>
        <v>Not Applicable</v>
      </c>
    </row>
    <row r="344" spans="1:8" hidden="1">
      <c r="A344" s="62" t="s">
        <v>86</v>
      </c>
      <c r="B344" s="78">
        <v>879414</v>
      </c>
      <c r="C344" s="78"/>
      <c r="D344" s="78"/>
      <c r="E344" s="78">
        <v>879414</v>
      </c>
      <c r="F344" s="42">
        <v>0</v>
      </c>
      <c r="G344" s="42">
        <f t="shared" si="5"/>
        <v>879414</v>
      </c>
      <c r="H344" s="2" t="str">
        <f>VLOOKUP(A344,'TB April'!A:H,8,0)</f>
        <v>Not Applicable</v>
      </c>
    </row>
    <row r="345" spans="1:8" hidden="1">
      <c r="A345" s="62" t="s">
        <v>139</v>
      </c>
      <c r="B345" s="78">
        <v>85795</v>
      </c>
      <c r="C345" s="78"/>
      <c r="D345" s="78"/>
      <c r="E345" s="78">
        <v>85795</v>
      </c>
      <c r="F345" s="42">
        <v>0</v>
      </c>
      <c r="G345" s="42">
        <f t="shared" si="5"/>
        <v>85795</v>
      </c>
      <c r="H345" s="2" t="str">
        <f>VLOOKUP(A345,'TB April'!A:H,8,0)</f>
        <v>Not Applicable</v>
      </c>
    </row>
    <row r="346" spans="1:8" hidden="1">
      <c r="A346" s="62" t="s">
        <v>140</v>
      </c>
      <c r="B346" s="78">
        <v>140000</v>
      </c>
      <c r="C346" s="78"/>
      <c r="D346" s="78"/>
      <c r="E346" s="78">
        <v>140000</v>
      </c>
      <c r="F346" s="42">
        <v>0</v>
      </c>
      <c r="G346" s="42">
        <f t="shared" si="5"/>
        <v>140000</v>
      </c>
      <c r="H346" s="2" t="str">
        <f>VLOOKUP(A346,'TB April'!A:H,8,0)</f>
        <v>Not Applicable</v>
      </c>
    </row>
    <row r="347" spans="1:8" hidden="1">
      <c r="A347" s="62" t="s">
        <v>141</v>
      </c>
      <c r="B347" s="78">
        <v>93100</v>
      </c>
      <c r="C347" s="78"/>
      <c r="D347" s="78"/>
      <c r="E347" s="78">
        <v>93100</v>
      </c>
      <c r="F347" s="42">
        <v>0</v>
      </c>
      <c r="G347" s="42">
        <f t="shared" si="5"/>
        <v>93100</v>
      </c>
      <c r="H347" s="2" t="str">
        <f>VLOOKUP(A347,'TB April'!A:H,8,0)</f>
        <v>Not Applicable</v>
      </c>
    </row>
    <row r="348" spans="1:8" hidden="1">
      <c r="A348" s="62" t="s">
        <v>91</v>
      </c>
      <c r="B348" s="78">
        <v>16675</v>
      </c>
      <c r="C348" s="78"/>
      <c r="D348" s="78"/>
      <c r="E348" s="78">
        <v>16675</v>
      </c>
      <c r="F348" s="42">
        <v>0</v>
      </c>
      <c r="G348" s="42">
        <f t="shared" si="5"/>
        <v>16675</v>
      </c>
      <c r="H348" s="2" t="str">
        <f>VLOOKUP(A348,'TB April'!A:H,8,0)</f>
        <v>Not Applicable</v>
      </c>
    </row>
    <row r="349" spans="1:8" hidden="1">
      <c r="A349" s="62" t="s">
        <v>146</v>
      </c>
      <c r="B349" s="78">
        <v>2659625.63</v>
      </c>
      <c r="C349" s="78"/>
      <c r="D349" s="78"/>
      <c r="E349" s="78">
        <v>2659625.63</v>
      </c>
      <c r="F349" s="42">
        <v>0</v>
      </c>
      <c r="G349" s="42">
        <f t="shared" si="5"/>
        <v>2659625.63</v>
      </c>
      <c r="H349" s="2" t="str">
        <f>VLOOKUP(A349,'TB April'!A:H,8,0)</f>
        <v>Not Applicable</v>
      </c>
    </row>
    <row r="350" spans="1:8" hidden="1">
      <c r="A350" s="62" t="s">
        <v>151</v>
      </c>
      <c r="B350" s="78">
        <v>98304</v>
      </c>
      <c r="C350" s="78"/>
      <c r="D350" s="78"/>
      <c r="E350" s="78">
        <v>98304</v>
      </c>
      <c r="F350" s="42">
        <v>0</v>
      </c>
      <c r="G350" s="42">
        <f t="shared" si="5"/>
        <v>98304</v>
      </c>
      <c r="H350" s="2" t="str">
        <f>VLOOKUP(A350,'TB April'!A:H,8,0)</f>
        <v>Not Applicable</v>
      </c>
    </row>
    <row r="351" spans="1:8" hidden="1">
      <c r="A351" s="62" t="s">
        <v>191</v>
      </c>
      <c r="B351" s="78">
        <v>7650</v>
      </c>
      <c r="C351" s="78"/>
      <c r="D351" s="78"/>
      <c r="E351" s="78">
        <v>7650</v>
      </c>
      <c r="F351" s="42">
        <v>0</v>
      </c>
      <c r="G351" s="42">
        <f t="shared" si="5"/>
        <v>7650</v>
      </c>
      <c r="H351" s="2" t="str">
        <f>VLOOKUP(A351,'TB April'!A:H,8,0)</f>
        <v>Not Applicable</v>
      </c>
    </row>
    <row r="352" spans="1:8" hidden="1">
      <c r="A352" s="62" t="s">
        <v>195</v>
      </c>
      <c r="B352" s="78">
        <v>211477</v>
      </c>
      <c r="C352" s="78"/>
      <c r="D352" s="78"/>
      <c r="E352" s="78">
        <v>211477</v>
      </c>
      <c r="F352" s="42">
        <v>0</v>
      </c>
      <c r="G352" s="42">
        <f t="shared" si="5"/>
        <v>211477</v>
      </c>
      <c r="H352" s="2" t="str">
        <f>VLOOKUP(A352,'TB April'!A:H,8,0)</f>
        <v>Not Applicable</v>
      </c>
    </row>
    <row r="353" spans="1:8" hidden="1">
      <c r="A353" s="62" t="s">
        <v>305</v>
      </c>
      <c r="B353" s="78">
        <v>90000</v>
      </c>
      <c r="C353" s="78"/>
      <c r="D353" s="78"/>
      <c r="E353" s="78">
        <v>90000</v>
      </c>
      <c r="F353" s="42">
        <v>0</v>
      </c>
      <c r="G353" s="42">
        <f t="shared" si="5"/>
        <v>90000</v>
      </c>
      <c r="H353" s="2" t="str">
        <f>VLOOKUP(A353,'TB April'!A:H,8,0)</f>
        <v>Not Applicable</v>
      </c>
    </row>
    <row r="354" spans="1:8" hidden="1">
      <c r="A354" s="62" t="s">
        <v>327</v>
      </c>
      <c r="B354" s="78">
        <v>758907.36</v>
      </c>
      <c r="C354" s="78"/>
      <c r="D354" s="78"/>
      <c r="E354" s="78">
        <v>758907.36</v>
      </c>
      <c r="F354" s="42">
        <v>0</v>
      </c>
      <c r="G354" s="42">
        <f t="shared" si="5"/>
        <v>758907.36</v>
      </c>
      <c r="H354" s="2" t="str">
        <f>VLOOKUP(A354,'TB April'!A:H,8,0)</f>
        <v>Not Applicable</v>
      </c>
    </row>
    <row r="355" spans="1:8" hidden="1">
      <c r="A355" s="62" t="s">
        <v>354</v>
      </c>
      <c r="B355" s="78">
        <v>349108.97</v>
      </c>
      <c r="C355" s="78"/>
      <c r="D355" s="78"/>
      <c r="E355" s="78">
        <v>349108.97</v>
      </c>
      <c r="F355" s="42">
        <v>0</v>
      </c>
      <c r="G355" s="42">
        <f t="shared" si="5"/>
        <v>349108.97</v>
      </c>
      <c r="H355" s="2" t="str">
        <f>VLOOKUP(A355,'TB April'!A:H,8,0)</f>
        <v>Not Applicable</v>
      </c>
    </row>
    <row r="356" spans="1:8" hidden="1">
      <c r="A356" s="62" t="s">
        <v>355</v>
      </c>
      <c r="B356" s="78">
        <v>1571437</v>
      </c>
      <c r="C356" s="78"/>
      <c r="D356" s="78"/>
      <c r="E356" s="78">
        <v>1571437</v>
      </c>
      <c r="F356" s="42">
        <v>0</v>
      </c>
      <c r="G356" s="42">
        <f t="shared" si="5"/>
        <v>1571437</v>
      </c>
      <c r="H356" s="2" t="str">
        <f>VLOOKUP(A356,'TB April'!A:H,8,0)</f>
        <v>Not Applicable</v>
      </c>
    </row>
    <row r="357" spans="1:8" hidden="1">
      <c r="A357" s="62" t="s">
        <v>356</v>
      </c>
      <c r="B357" s="78">
        <v>68400</v>
      </c>
      <c r="C357" s="78"/>
      <c r="D357" s="78"/>
      <c r="E357" s="78">
        <v>68400</v>
      </c>
      <c r="F357" s="42">
        <v>0</v>
      </c>
      <c r="G357" s="42">
        <f t="shared" si="5"/>
        <v>68400</v>
      </c>
      <c r="H357" s="2" t="str">
        <f>VLOOKUP(A357,'TB April'!A:H,8,0)</f>
        <v>Not Applicable</v>
      </c>
    </row>
    <row r="358" spans="1:8" hidden="1">
      <c r="A358" s="62" t="s">
        <v>359</v>
      </c>
      <c r="B358" s="78">
        <v>429513.24</v>
      </c>
      <c r="C358" s="78"/>
      <c r="D358" s="78"/>
      <c r="E358" s="78">
        <v>429513.24</v>
      </c>
      <c r="F358" s="42">
        <v>0</v>
      </c>
      <c r="G358" s="42">
        <f t="shared" si="5"/>
        <v>429513.24</v>
      </c>
      <c r="H358" s="2" t="str">
        <f>VLOOKUP(A358,'TB April'!A:H,8,0)</f>
        <v>Not Applicable</v>
      </c>
    </row>
    <row r="359" spans="1:8" hidden="1">
      <c r="A359" s="62" t="s">
        <v>360</v>
      </c>
      <c r="B359" s="78">
        <v>5850</v>
      </c>
      <c r="C359" s="78"/>
      <c r="D359" s="78"/>
      <c r="E359" s="78">
        <v>5850</v>
      </c>
      <c r="F359" s="42">
        <v>0</v>
      </c>
      <c r="G359" s="42">
        <f t="shared" si="5"/>
        <v>5850</v>
      </c>
      <c r="H359" s="2" t="str">
        <f>VLOOKUP(A359,'TB April'!A:H,8,0)</f>
        <v>Not Applicable</v>
      </c>
    </row>
    <row r="360" spans="1:8" hidden="1">
      <c r="A360" s="62" t="s">
        <v>136</v>
      </c>
      <c r="B360" s="78">
        <v>1015945.55</v>
      </c>
      <c r="C360" s="78"/>
      <c r="D360" s="78"/>
      <c r="E360" s="78">
        <v>1015945.55</v>
      </c>
      <c r="F360" s="42">
        <v>0</v>
      </c>
      <c r="G360" s="42">
        <f t="shared" si="5"/>
        <v>1015945.55</v>
      </c>
      <c r="H360" s="2" t="str">
        <f>VLOOKUP(A360,'TB April'!A:H,8,0)</f>
        <v>Not Applicable</v>
      </c>
    </row>
    <row r="361" spans="1:8" hidden="1">
      <c r="A361" s="62" t="s">
        <v>1052</v>
      </c>
      <c r="B361" s="78">
        <v>5673027</v>
      </c>
      <c r="C361" s="78"/>
      <c r="D361" s="78"/>
      <c r="E361" s="78">
        <v>5673027</v>
      </c>
      <c r="F361" s="42">
        <v>0</v>
      </c>
      <c r="G361" s="42">
        <f t="shared" si="5"/>
        <v>5673027</v>
      </c>
      <c r="H361" s="2" t="str">
        <f>VLOOKUP(A361,'TB April'!A:H,8,0)</f>
        <v>Not Applicable</v>
      </c>
    </row>
    <row r="362" spans="1:8" hidden="1">
      <c r="A362" s="62" t="s">
        <v>115</v>
      </c>
      <c r="B362" s="78">
        <v>733185</v>
      </c>
      <c r="C362" s="78"/>
      <c r="D362" s="78"/>
      <c r="E362" s="78">
        <v>733185</v>
      </c>
      <c r="F362" s="42">
        <v>0</v>
      </c>
      <c r="G362" s="42">
        <f t="shared" si="5"/>
        <v>733185</v>
      </c>
      <c r="H362" s="2" t="str">
        <f>VLOOKUP(A362,'TB April'!A:H,8,0)</f>
        <v>Not Applicable</v>
      </c>
    </row>
    <row r="363" spans="1:8" hidden="1">
      <c r="A363" s="62" t="s">
        <v>144</v>
      </c>
      <c r="B363" s="78">
        <v>2750</v>
      </c>
      <c r="C363" s="78"/>
      <c r="D363" s="78"/>
      <c r="E363" s="78">
        <v>2750</v>
      </c>
      <c r="F363" s="42">
        <v>0</v>
      </c>
      <c r="G363" s="42">
        <f t="shared" si="5"/>
        <v>2750</v>
      </c>
      <c r="H363" s="2" t="str">
        <f>VLOOKUP(A363,'TB April'!A:H,8,0)</f>
        <v>Not Applicable</v>
      </c>
    </row>
    <row r="364" spans="1:8" hidden="1">
      <c r="A364" s="62" t="s">
        <v>245</v>
      </c>
      <c r="B364" s="78">
        <v>36400</v>
      </c>
      <c r="C364" s="78"/>
      <c r="D364" s="78"/>
      <c r="E364" s="78">
        <v>36400</v>
      </c>
      <c r="F364" s="42">
        <v>0</v>
      </c>
      <c r="G364" s="42">
        <f t="shared" si="5"/>
        <v>36400</v>
      </c>
      <c r="H364" s="2" t="str">
        <f>VLOOKUP(A364,'TB April'!A:H,8,0)</f>
        <v>Not Applicable</v>
      </c>
    </row>
    <row r="365" spans="1:8" hidden="1">
      <c r="A365" s="62" t="s">
        <v>246</v>
      </c>
      <c r="B365" s="78">
        <v>43030</v>
      </c>
      <c r="C365" s="78"/>
      <c r="D365" s="78"/>
      <c r="E365" s="78">
        <v>43030</v>
      </c>
      <c r="F365" s="42">
        <v>0</v>
      </c>
      <c r="G365" s="42">
        <f t="shared" si="5"/>
        <v>43030</v>
      </c>
      <c r="H365" s="2" t="str">
        <f>VLOOKUP(A365,'TB April'!A:H,8,0)</f>
        <v>Not Applicable</v>
      </c>
    </row>
    <row r="366" spans="1:8" hidden="1">
      <c r="A366" s="62" t="s">
        <v>247</v>
      </c>
      <c r="B366" s="78">
        <v>43030</v>
      </c>
      <c r="C366" s="78"/>
      <c r="D366" s="78"/>
      <c r="E366" s="78">
        <v>43030</v>
      </c>
      <c r="F366" s="42">
        <v>0</v>
      </c>
      <c r="G366" s="42">
        <f t="shared" si="5"/>
        <v>43030</v>
      </c>
      <c r="H366" s="2" t="str">
        <f>VLOOKUP(A366,'TB April'!A:H,8,0)</f>
        <v>Not Applicable</v>
      </c>
    </row>
    <row r="367" spans="1:8" hidden="1">
      <c r="A367" s="62" t="s">
        <v>175</v>
      </c>
      <c r="B367" s="78">
        <v>1818539</v>
      </c>
      <c r="C367" s="78"/>
      <c r="D367" s="78"/>
      <c r="E367" s="78">
        <v>1818539</v>
      </c>
      <c r="F367" s="42">
        <v>0</v>
      </c>
      <c r="G367" s="42">
        <f t="shared" si="5"/>
        <v>1818539</v>
      </c>
      <c r="H367" s="2" t="str">
        <f>VLOOKUP(A367,'TB April'!A:H,8,0)</f>
        <v>Not Applicable</v>
      </c>
    </row>
    <row r="368" spans="1:8" hidden="1">
      <c r="A368" s="62" t="s">
        <v>176</v>
      </c>
      <c r="B368" s="78">
        <v>766214</v>
      </c>
      <c r="C368" s="78"/>
      <c r="D368" s="78"/>
      <c r="E368" s="78">
        <v>766214</v>
      </c>
      <c r="F368" s="42">
        <v>0</v>
      </c>
      <c r="G368" s="42">
        <f t="shared" si="5"/>
        <v>766214</v>
      </c>
      <c r="H368" s="2" t="str">
        <f>VLOOKUP(A368,'TB April'!A:H,8,0)</f>
        <v>Not Applicable</v>
      </c>
    </row>
    <row r="369" spans="1:8" hidden="1">
      <c r="A369" s="62" t="s">
        <v>177</v>
      </c>
      <c r="B369" s="78">
        <v>3428358</v>
      </c>
      <c r="C369" s="78"/>
      <c r="D369" s="78"/>
      <c r="E369" s="78">
        <v>3428358</v>
      </c>
      <c r="F369" s="42">
        <v>0</v>
      </c>
      <c r="G369" s="42">
        <f t="shared" si="5"/>
        <v>3428358</v>
      </c>
      <c r="H369" s="2" t="str">
        <f>VLOOKUP(A369,'TB April'!A:H,8,0)</f>
        <v>Not Applicable</v>
      </c>
    </row>
    <row r="370" spans="1:8" hidden="1">
      <c r="A370" s="62" t="s">
        <v>178</v>
      </c>
      <c r="B370" s="78">
        <v>1419968.98</v>
      </c>
      <c r="C370" s="78"/>
      <c r="D370" s="78"/>
      <c r="E370" s="78">
        <v>1419968.98</v>
      </c>
      <c r="F370" s="42">
        <v>0</v>
      </c>
      <c r="G370" s="42">
        <f t="shared" si="5"/>
        <v>1419968.98</v>
      </c>
      <c r="H370" s="2" t="str">
        <f>VLOOKUP(A370,'TB April'!A:H,8,0)</f>
        <v>Not Applicable</v>
      </c>
    </row>
    <row r="371" spans="1:8" hidden="1">
      <c r="A371" s="62" t="s">
        <v>321</v>
      </c>
      <c r="B371" s="78">
        <v>2154376</v>
      </c>
      <c r="C371" s="78"/>
      <c r="D371" s="78"/>
      <c r="E371" s="78">
        <v>2154376</v>
      </c>
      <c r="F371" s="42">
        <v>0</v>
      </c>
      <c r="G371" s="42">
        <f t="shared" si="5"/>
        <v>2154376</v>
      </c>
      <c r="H371" s="2" t="str">
        <f>VLOOKUP(A371,'TB April'!A:H,8,0)</f>
        <v>Not Applicable</v>
      </c>
    </row>
    <row r="372" spans="1:8" hidden="1">
      <c r="A372" s="62" t="s">
        <v>486</v>
      </c>
      <c r="B372" s="78">
        <v>-590104048.52999997</v>
      </c>
      <c r="C372" s="78"/>
      <c r="D372" s="78"/>
      <c r="E372" s="78">
        <v>-590104048.52999997</v>
      </c>
      <c r="F372" s="42">
        <v>0</v>
      </c>
      <c r="G372" s="42">
        <f t="shared" si="5"/>
        <v>-590104048.52999997</v>
      </c>
      <c r="H372" s="2" t="str">
        <f>VLOOKUP(A372,'TB April'!A:H,8,0)</f>
        <v>Not Applicable</v>
      </c>
    </row>
    <row r="373" spans="1:8" hidden="1">
      <c r="A373" s="62" t="s">
        <v>664</v>
      </c>
      <c r="B373" s="78"/>
      <c r="C373" s="78">
        <v>3825889.17</v>
      </c>
      <c r="D373" s="78">
        <v>11445580.310000001</v>
      </c>
      <c r="E373" s="78">
        <v>-7619691.1399999997</v>
      </c>
      <c r="F373" s="42">
        <v>0</v>
      </c>
      <c r="G373" s="42">
        <f t="shared" si="5"/>
        <v>-7619691.1399999997</v>
      </c>
      <c r="H373" s="2" t="str">
        <f>VLOOKUP(A373,'TB April'!A:H,8,0)</f>
        <v>Not Applicable</v>
      </c>
    </row>
    <row r="374" spans="1:8" hidden="1">
      <c r="A374" s="62" t="s">
        <v>595</v>
      </c>
      <c r="B374" s="78"/>
      <c r="C374" s="78">
        <v>258483.19</v>
      </c>
      <c r="D374" s="78">
        <v>258483.19</v>
      </c>
      <c r="E374" s="78"/>
      <c r="F374" s="42">
        <v>0</v>
      </c>
      <c r="G374" s="42">
        <f t="shared" si="5"/>
        <v>0</v>
      </c>
      <c r="H374" s="2" t="str">
        <f>VLOOKUP(A374,'TB April'!A:H,8,0)</f>
        <v>Not Applicable</v>
      </c>
    </row>
    <row r="375" spans="1:8" hidden="1">
      <c r="A375" s="62" t="s">
        <v>434</v>
      </c>
      <c r="B375" s="78"/>
      <c r="C375" s="78">
        <v>3825889.17</v>
      </c>
      <c r="D375" s="78">
        <v>11445580.310000001</v>
      </c>
      <c r="E375" s="78">
        <v>-7619691.1399999997</v>
      </c>
      <c r="F375" s="42">
        <v>0</v>
      </c>
      <c r="G375" s="42">
        <f t="shared" si="5"/>
        <v>-7619691.1399999997</v>
      </c>
      <c r="H375" s="2" t="str">
        <f>VLOOKUP(A375,'TB April'!A:H,8,0)</f>
        <v>Not Applicable</v>
      </c>
    </row>
    <row r="376" spans="1:8" hidden="1">
      <c r="A376" s="62" t="s">
        <v>485</v>
      </c>
      <c r="B376" s="78">
        <v>-74528</v>
      </c>
      <c r="C376" s="78">
        <v>143400</v>
      </c>
      <c r="D376" s="78">
        <v>66200</v>
      </c>
      <c r="E376" s="78">
        <v>2672</v>
      </c>
      <c r="F376" s="42">
        <v>0</v>
      </c>
      <c r="G376" s="42">
        <f t="shared" si="5"/>
        <v>2672</v>
      </c>
      <c r="H376" s="2" t="str">
        <f>VLOOKUP(A376,'TB April'!A:H,8,0)</f>
        <v>Not Applicable</v>
      </c>
    </row>
    <row r="377" spans="1:8" hidden="1">
      <c r="A377" s="62" t="s">
        <v>395</v>
      </c>
      <c r="B377" s="78"/>
      <c r="C377" s="78"/>
      <c r="D377" s="78"/>
      <c r="E377" s="78"/>
      <c r="F377" s="42">
        <v>0</v>
      </c>
      <c r="G377" s="42">
        <f t="shared" si="5"/>
        <v>0</v>
      </c>
      <c r="H377" s="2" t="str">
        <f>VLOOKUP(A377,'TB April'!A:H,8,0)</f>
        <v>Not Applicable</v>
      </c>
    </row>
    <row r="378" spans="1:8" hidden="1">
      <c r="A378" s="62" t="s">
        <v>396</v>
      </c>
      <c r="B378" s="78"/>
      <c r="C378" s="78"/>
      <c r="D378" s="78"/>
      <c r="E378" s="78"/>
      <c r="F378" s="42">
        <v>0</v>
      </c>
      <c r="G378" s="42">
        <f t="shared" si="5"/>
        <v>0</v>
      </c>
      <c r="H378" s="2" t="str">
        <f>VLOOKUP(A378,'TB April'!A:H,8,0)</f>
        <v>Not Applicable</v>
      </c>
    </row>
    <row r="379" spans="1:8" hidden="1">
      <c r="A379" s="62" t="s">
        <v>397</v>
      </c>
      <c r="B379" s="78"/>
      <c r="C379" s="78"/>
      <c r="D379" s="78"/>
      <c r="E379" s="78"/>
      <c r="F379" s="42">
        <v>0</v>
      </c>
      <c r="G379" s="42">
        <f t="shared" si="5"/>
        <v>0</v>
      </c>
      <c r="H379" s="2" t="str">
        <f>VLOOKUP(A379,'TB April'!A:H,8,0)</f>
        <v>Not Applicable</v>
      </c>
    </row>
    <row r="380" spans="1:8" hidden="1">
      <c r="A380" s="62" t="s">
        <v>398</v>
      </c>
      <c r="B380" s="78"/>
      <c r="C380" s="78"/>
      <c r="D380" s="78"/>
      <c r="E380" s="78"/>
      <c r="F380" s="42">
        <v>0</v>
      </c>
      <c r="G380" s="42">
        <f t="shared" si="5"/>
        <v>0</v>
      </c>
      <c r="H380" s="2" t="s">
        <v>84</v>
      </c>
    </row>
    <row r="381" spans="1:8" hidden="1">
      <c r="A381" s="62" t="s">
        <v>1308</v>
      </c>
      <c r="B381" s="78"/>
      <c r="C381" s="78"/>
      <c r="D381" s="78"/>
      <c r="E381" s="78"/>
      <c r="F381" s="42">
        <v>0</v>
      </c>
      <c r="G381" s="42">
        <f t="shared" si="5"/>
        <v>0</v>
      </c>
      <c r="H381" s="2" t="str">
        <f>VLOOKUP(A381,'TB April'!A:H,8,0)</f>
        <v>Not Applicable</v>
      </c>
    </row>
    <row r="382" spans="1:8" hidden="1">
      <c r="A382" s="62" t="s">
        <v>1061</v>
      </c>
      <c r="B382" s="78"/>
      <c r="C382" s="78"/>
      <c r="D382" s="78"/>
      <c r="E382" s="78"/>
      <c r="F382" s="42">
        <v>0</v>
      </c>
      <c r="G382" s="42">
        <f t="shared" si="5"/>
        <v>0</v>
      </c>
      <c r="H382" s="2" t="s">
        <v>84</v>
      </c>
    </row>
    <row r="383" spans="1:8" hidden="1">
      <c r="A383" s="62" t="s">
        <v>1422</v>
      </c>
      <c r="B383" s="78"/>
      <c r="C383" s="78"/>
      <c r="D383" s="78">
        <v>4108.76</v>
      </c>
      <c r="E383" s="78">
        <v>-4108.76</v>
      </c>
      <c r="F383" s="42">
        <v>0</v>
      </c>
      <c r="G383" s="42">
        <f t="shared" si="5"/>
        <v>-4108.76</v>
      </c>
      <c r="H383" s="2" t="str">
        <f>VLOOKUP(A383,'TB April'!A:H,8,0)</f>
        <v>Not Applicable</v>
      </c>
    </row>
    <row r="384" spans="1:8" hidden="1">
      <c r="A384" s="62" t="s">
        <v>399</v>
      </c>
      <c r="B384" s="78"/>
      <c r="C384" s="78"/>
      <c r="D384" s="78">
        <v>10000</v>
      </c>
      <c r="E384" s="78">
        <v>-10000</v>
      </c>
      <c r="F384" s="42">
        <v>0</v>
      </c>
      <c r="G384" s="42">
        <f t="shared" si="5"/>
        <v>-10000</v>
      </c>
      <c r="H384" s="2" t="s">
        <v>84</v>
      </c>
    </row>
    <row r="385" spans="1:8" hidden="1">
      <c r="A385" s="62" t="s">
        <v>400</v>
      </c>
      <c r="B385" s="78">
        <v>-18553</v>
      </c>
      <c r="C385" s="78"/>
      <c r="D385" s="78">
        <v>312428</v>
      </c>
      <c r="E385" s="78">
        <v>-330981</v>
      </c>
      <c r="F385" s="42">
        <v>0</v>
      </c>
      <c r="G385" s="42">
        <f t="shared" si="5"/>
        <v>-330981</v>
      </c>
      <c r="H385" s="2" t="str">
        <f>VLOOKUP(A385,'TB April'!A:H,8,0)</f>
        <v>Not Applicable</v>
      </c>
    </row>
    <row r="386" spans="1:8" hidden="1">
      <c r="A386" s="62" t="s">
        <v>971</v>
      </c>
      <c r="B386" s="78"/>
      <c r="C386" s="78"/>
      <c r="D386" s="78">
        <v>53940</v>
      </c>
      <c r="E386" s="78">
        <v>-53940</v>
      </c>
      <c r="F386" s="42">
        <v>0</v>
      </c>
      <c r="G386" s="42">
        <f t="shared" si="5"/>
        <v>-53940</v>
      </c>
      <c r="H386" s="2" t="str">
        <f>VLOOKUP(A386,'TB April'!A:H,8,0)</f>
        <v>Not Applicable</v>
      </c>
    </row>
    <row r="387" spans="1:8" hidden="1">
      <c r="A387" s="62" t="s">
        <v>401</v>
      </c>
      <c r="B387" s="78"/>
      <c r="C387" s="78"/>
      <c r="D387" s="78">
        <v>19722</v>
      </c>
      <c r="E387" s="78">
        <v>-19722</v>
      </c>
      <c r="F387" s="42">
        <v>0</v>
      </c>
      <c r="G387" s="42">
        <f t="shared" si="5"/>
        <v>-19722</v>
      </c>
      <c r="H387" s="2" t="str">
        <f>VLOOKUP(A387,'TB April'!A:H,8,0)</f>
        <v>Not Applicable</v>
      </c>
    </row>
    <row r="388" spans="1:8" hidden="1">
      <c r="A388" s="62" t="s">
        <v>402</v>
      </c>
      <c r="B388" s="78"/>
      <c r="C388" s="78"/>
      <c r="D388" s="78">
        <v>100867.89</v>
      </c>
      <c r="E388" s="78">
        <v>-100867.89</v>
      </c>
      <c r="F388" s="42">
        <v>0</v>
      </c>
      <c r="G388" s="42">
        <f t="shared" si="5"/>
        <v>-100867.89</v>
      </c>
      <c r="H388" s="2" t="str">
        <f>VLOOKUP(A388,'TB April'!A:H,8,0)</f>
        <v>Not Applicable</v>
      </c>
    </row>
    <row r="389" spans="1:8" hidden="1">
      <c r="A389" s="62" t="s">
        <v>673</v>
      </c>
      <c r="B389" s="78">
        <v>-1494215</v>
      </c>
      <c r="C389" s="78"/>
      <c r="D389" s="78"/>
      <c r="E389" s="78">
        <v>-1494215</v>
      </c>
      <c r="F389" s="42">
        <v>0</v>
      </c>
      <c r="G389" s="42">
        <f t="shared" si="5"/>
        <v>-1494215</v>
      </c>
      <c r="H389" s="2" t="str">
        <f>VLOOKUP(A389,'TB April'!A:H,8,0)</f>
        <v>Not Applicable</v>
      </c>
    </row>
    <row r="390" spans="1:8" hidden="1">
      <c r="A390" s="62" t="s">
        <v>637</v>
      </c>
      <c r="B390" s="78">
        <v>-732602</v>
      </c>
      <c r="C390" s="78">
        <v>588123</v>
      </c>
      <c r="D390" s="78">
        <v>277078</v>
      </c>
      <c r="E390" s="78">
        <v>-421557</v>
      </c>
      <c r="F390" s="42">
        <v>0</v>
      </c>
      <c r="G390" s="42">
        <f t="shared" ref="G390:G453" si="6">+E390+F390</f>
        <v>-421557</v>
      </c>
      <c r="H390" s="2" t="str">
        <f>VLOOKUP(A390,'TB April'!A:H,8,0)</f>
        <v>Not Applicable</v>
      </c>
    </row>
    <row r="391" spans="1:8" hidden="1">
      <c r="A391" s="62" t="s">
        <v>626</v>
      </c>
      <c r="B391" s="78">
        <v>36125</v>
      </c>
      <c r="C391" s="78">
        <v>105156</v>
      </c>
      <c r="D391" s="78">
        <v>105157</v>
      </c>
      <c r="E391" s="78">
        <v>36124</v>
      </c>
      <c r="F391" s="42">
        <v>0</v>
      </c>
      <c r="G391" s="42">
        <f t="shared" si="6"/>
        <v>36124</v>
      </c>
      <c r="H391" s="2" t="str">
        <f>VLOOKUP(A391,'TB April'!A:H,8,0)</f>
        <v>Not Applicable</v>
      </c>
    </row>
    <row r="392" spans="1:8" hidden="1">
      <c r="A392" s="62" t="s">
        <v>455</v>
      </c>
      <c r="B392" s="78">
        <v>-8641911.9800000004</v>
      </c>
      <c r="C392" s="78">
        <v>11070022</v>
      </c>
      <c r="D392" s="78">
        <v>6842638</v>
      </c>
      <c r="E392" s="78">
        <v>-4414527.9800000004</v>
      </c>
      <c r="F392" s="42">
        <v>0</v>
      </c>
      <c r="G392" s="42">
        <f t="shared" si="6"/>
        <v>-4414527.9800000004</v>
      </c>
      <c r="H392" s="2" t="str">
        <f>VLOOKUP(A392,'TB April'!A:H,8,0)</f>
        <v>Not Applicable</v>
      </c>
    </row>
    <row r="393" spans="1:8" hidden="1">
      <c r="A393" s="62" t="s">
        <v>1423</v>
      </c>
      <c r="B393" s="78">
        <v>-5841</v>
      </c>
      <c r="C393" s="78"/>
      <c r="D393" s="78">
        <v>3953</v>
      </c>
      <c r="E393" s="78">
        <v>-9794</v>
      </c>
      <c r="F393" s="42">
        <v>0</v>
      </c>
      <c r="G393" s="42">
        <f t="shared" si="6"/>
        <v>-9794</v>
      </c>
      <c r="H393" s="2" t="str">
        <f>VLOOKUP(A393,'TB April'!A:H,8,0)</f>
        <v>Not Applicable</v>
      </c>
    </row>
    <row r="394" spans="1:8" hidden="1">
      <c r="A394" s="62" t="s">
        <v>1511</v>
      </c>
      <c r="B394" s="78"/>
      <c r="C394" s="78"/>
      <c r="D394" s="78"/>
      <c r="E394" s="78"/>
      <c r="F394" s="42">
        <v>0</v>
      </c>
      <c r="G394" s="42">
        <f t="shared" si="6"/>
        <v>0</v>
      </c>
      <c r="H394" s="2" t="s">
        <v>84</v>
      </c>
    </row>
    <row r="395" spans="1:8" hidden="1">
      <c r="A395" s="62" t="s">
        <v>1350</v>
      </c>
      <c r="B395" s="78">
        <v>-34321.599999999999</v>
      </c>
      <c r="C395" s="78">
        <v>34321.599999999999</v>
      </c>
      <c r="D395" s="78">
        <v>38516</v>
      </c>
      <c r="E395" s="78">
        <v>-38516</v>
      </c>
      <c r="F395" s="42">
        <v>0</v>
      </c>
      <c r="G395" s="42">
        <f t="shared" si="6"/>
        <v>-38516</v>
      </c>
      <c r="H395" s="2" t="str">
        <f>VLOOKUP(A395,'TB April'!A:H,8,0)</f>
        <v>Not Applicable</v>
      </c>
    </row>
    <row r="396" spans="1:8" hidden="1">
      <c r="A396" s="62" t="s">
        <v>644</v>
      </c>
      <c r="B396" s="78">
        <v>-2537</v>
      </c>
      <c r="C396" s="78"/>
      <c r="D396" s="78">
        <v>4891</v>
      </c>
      <c r="E396" s="78">
        <v>-7428</v>
      </c>
      <c r="F396" s="42">
        <v>0</v>
      </c>
      <c r="G396" s="42">
        <f t="shared" si="6"/>
        <v>-7428</v>
      </c>
      <c r="H396" s="2" t="str">
        <f>VLOOKUP(A396,'TB April'!A:H,8,0)</f>
        <v>Not Applicable</v>
      </c>
    </row>
    <row r="397" spans="1:8" hidden="1">
      <c r="A397" s="62" t="s">
        <v>1424</v>
      </c>
      <c r="B397" s="78"/>
      <c r="C397" s="78"/>
      <c r="D397" s="78"/>
      <c r="E397" s="78"/>
      <c r="F397" s="42">
        <v>0</v>
      </c>
      <c r="G397" s="42">
        <f t="shared" si="6"/>
        <v>0</v>
      </c>
      <c r="H397" s="2" t="str">
        <f>VLOOKUP(A397,'TB April'!A:H,8,0)</f>
        <v>Not Applicable</v>
      </c>
    </row>
    <row r="398" spans="1:8" hidden="1">
      <c r="A398" s="62" t="s">
        <v>1038</v>
      </c>
      <c r="B398" s="78">
        <v>-5992</v>
      </c>
      <c r="C398" s="78"/>
      <c r="D398" s="78"/>
      <c r="E398" s="78">
        <v>-5992</v>
      </c>
      <c r="F398" s="42">
        <v>0</v>
      </c>
      <c r="G398" s="42">
        <f t="shared" si="6"/>
        <v>-5992</v>
      </c>
      <c r="H398" s="2" t="str">
        <f>VLOOKUP(A398,'TB April'!A:H,8,0)</f>
        <v>Not Applicable</v>
      </c>
    </row>
    <row r="399" spans="1:8" hidden="1">
      <c r="A399" s="62" t="s">
        <v>482</v>
      </c>
      <c r="B399" s="78">
        <v>-197176</v>
      </c>
      <c r="C399" s="78"/>
      <c r="D399" s="78"/>
      <c r="E399" s="78">
        <v>-197176</v>
      </c>
      <c r="F399" s="42">
        <v>0</v>
      </c>
      <c r="G399" s="42">
        <f t="shared" si="6"/>
        <v>-197176</v>
      </c>
      <c r="H399" s="2" t="str">
        <f>VLOOKUP(A399,'TB April'!A:H,8,0)</f>
        <v>Not Applicable</v>
      </c>
    </row>
    <row r="400" spans="1:8" hidden="1">
      <c r="A400" s="62" t="s">
        <v>478</v>
      </c>
      <c r="B400" s="78">
        <v>-5377</v>
      </c>
      <c r="C400" s="78"/>
      <c r="D400" s="78"/>
      <c r="E400" s="78">
        <v>-5377</v>
      </c>
      <c r="F400" s="42">
        <v>0</v>
      </c>
      <c r="G400" s="42">
        <f t="shared" si="6"/>
        <v>-5377</v>
      </c>
      <c r="H400" s="2" t="str">
        <f>VLOOKUP(A400,'TB April'!A:H,8,0)</f>
        <v>Not Applicable</v>
      </c>
    </row>
    <row r="401" spans="1:8" hidden="1">
      <c r="A401" s="62" t="s">
        <v>1425</v>
      </c>
      <c r="B401" s="78"/>
      <c r="C401" s="78"/>
      <c r="D401" s="78"/>
      <c r="E401" s="78"/>
      <c r="F401" s="42">
        <v>0</v>
      </c>
      <c r="G401" s="42">
        <f t="shared" si="6"/>
        <v>0</v>
      </c>
      <c r="H401" s="2" t="str">
        <f>VLOOKUP(A401,'TB April'!A:H,8,0)</f>
        <v>Not Applicable</v>
      </c>
    </row>
    <row r="402" spans="1:8" hidden="1">
      <c r="A402" s="62" t="s">
        <v>431</v>
      </c>
      <c r="B402" s="78"/>
      <c r="C402" s="78"/>
      <c r="D402" s="78"/>
      <c r="E402" s="78"/>
      <c r="F402" s="42">
        <v>0</v>
      </c>
      <c r="G402" s="42">
        <f t="shared" si="6"/>
        <v>0</v>
      </c>
      <c r="H402" s="2" t="str">
        <f>VLOOKUP(A402,'TB April'!A:H,8,0)</f>
        <v>Not Applicable</v>
      </c>
    </row>
    <row r="403" spans="1:8" hidden="1">
      <c r="A403" s="62" t="s">
        <v>418</v>
      </c>
      <c r="B403" s="78">
        <v>-11250</v>
      </c>
      <c r="C403" s="78">
        <v>11250</v>
      </c>
      <c r="D403" s="78"/>
      <c r="E403" s="78"/>
      <c r="F403" s="42">
        <v>0</v>
      </c>
      <c r="G403" s="42">
        <f t="shared" si="6"/>
        <v>0</v>
      </c>
      <c r="H403" s="2" t="str">
        <f>VLOOKUP(A403,'TB April'!A:H,8,0)</f>
        <v>Not Applicable</v>
      </c>
    </row>
    <row r="404" spans="1:8" hidden="1">
      <c r="A404" s="62" t="s">
        <v>416</v>
      </c>
      <c r="B404" s="78">
        <v>-424</v>
      </c>
      <c r="C404" s="78">
        <v>138</v>
      </c>
      <c r="D404" s="78">
        <v>14800</v>
      </c>
      <c r="E404" s="78">
        <v>-15086</v>
      </c>
      <c r="F404" s="42">
        <v>0</v>
      </c>
      <c r="G404" s="42">
        <f t="shared" si="6"/>
        <v>-15086</v>
      </c>
      <c r="H404" s="2" t="str">
        <f>VLOOKUP(A404,'TB April'!A:H,8,0)</f>
        <v>Not Applicable</v>
      </c>
    </row>
    <row r="405" spans="1:8" hidden="1">
      <c r="A405" s="62" t="s">
        <v>377</v>
      </c>
      <c r="B405" s="78"/>
      <c r="C405" s="78">
        <v>6422.14</v>
      </c>
      <c r="D405" s="78">
        <v>6423</v>
      </c>
      <c r="E405" s="78">
        <v>-0.86</v>
      </c>
      <c r="F405" s="42">
        <v>0</v>
      </c>
      <c r="G405" s="42">
        <f t="shared" si="6"/>
        <v>-0.86</v>
      </c>
      <c r="H405" s="2" t="str">
        <f>VLOOKUP(A405,'TB April'!A:H,8,0)</f>
        <v>Not Applicable</v>
      </c>
    </row>
    <row r="406" spans="1:8" hidden="1">
      <c r="A406" s="62" t="s">
        <v>382</v>
      </c>
      <c r="B406" s="78">
        <v>-150.47999999999999</v>
      </c>
      <c r="C406" s="78"/>
      <c r="D406" s="78"/>
      <c r="E406" s="78">
        <v>-150.47999999999999</v>
      </c>
      <c r="F406" s="42">
        <v>0</v>
      </c>
      <c r="G406" s="42">
        <f t="shared" si="6"/>
        <v>-150.47999999999999</v>
      </c>
      <c r="H406" s="2" t="str">
        <f>VLOOKUP(A406,'TB April'!A:H,8,0)</f>
        <v>Not Applicable</v>
      </c>
    </row>
    <row r="407" spans="1:8" hidden="1">
      <c r="A407" s="62" t="s">
        <v>1426</v>
      </c>
      <c r="B407" s="78">
        <v>-420</v>
      </c>
      <c r="C407" s="78">
        <v>480</v>
      </c>
      <c r="D407" s="78">
        <v>3147</v>
      </c>
      <c r="E407" s="78">
        <v>-3087</v>
      </c>
      <c r="F407" s="42">
        <v>0</v>
      </c>
      <c r="G407" s="42">
        <f t="shared" si="6"/>
        <v>-3087</v>
      </c>
      <c r="H407" s="2" t="str">
        <f>VLOOKUP(A407,'TB April'!A:H,8,0)</f>
        <v>Not Applicable</v>
      </c>
    </row>
    <row r="408" spans="1:8" hidden="1">
      <c r="A408" s="62" t="s">
        <v>995</v>
      </c>
      <c r="B408" s="78"/>
      <c r="C408" s="78"/>
      <c r="D408" s="78"/>
      <c r="E408" s="78"/>
      <c r="F408" s="42">
        <v>0</v>
      </c>
      <c r="G408" s="42">
        <f t="shared" si="6"/>
        <v>0</v>
      </c>
      <c r="H408" s="2" t="str">
        <f>VLOOKUP(A408,'TB April'!A:H,8,0)</f>
        <v>Not Applicable</v>
      </c>
    </row>
    <row r="409" spans="1:8" hidden="1">
      <c r="A409" s="62" t="s">
        <v>741</v>
      </c>
      <c r="B409" s="78">
        <v>-43311</v>
      </c>
      <c r="C409" s="78">
        <v>44992</v>
      </c>
      <c r="D409" s="78">
        <v>72806</v>
      </c>
      <c r="E409" s="78">
        <v>-71125</v>
      </c>
      <c r="F409" s="42">
        <v>0</v>
      </c>
      <c r="G409" s="42">
        <f t="shared" si="6"/>
        <v>-71125</v>
      </c>
      <c r="H409" s="2" t="str">
        <f>VLOOKUP(A409,'TB April'!A:H,8,0)</f>
        <v>Not Applicable</v>
      </c>
    </row>
    <row r="410" spans="1:8" hidden="1">
      <c r="A410" s="62" t="s">
        <v>676</v>
      </c>
      <c r="B410" s="78">
        <v>-8821</v>
      </c>
      <c r="C410" s="78">
        <v>8821</v>
      </c>
      <c r="D410" s="78"/>
      <c r="E410" s="78"/>
      <c r="F410" s="42">
        <v>0</v>
      </c>
      <c r="G410" s="42">
        <f t="shared" si="6"/>
        <v>0</v>
      </c>
      <c r="H410" s="2" t="str">
        <f>VLOOKUP(A410,'TB April'!A:H,8,0)</f>
        <v>Not Applicable</v>
      </c>
    </row>
    <row r="411" spans="1:8" hidden="1">
      <c r="A411" s="62" t="s">
        <v>729</v>
      </c>
      <c r="B411" s="78">
        <v>-25095</v>
      </c>
      <c r="C411" s="78"/>
      <c r="D411" s="78">
        <v>14910</v>
      </c>
      <c r="E411" s="78">
        <v>-40005</v>
      </c>
      <c r="F411" s="42">
        <v>0</v>
      </c>
      <c r="G411" s="42">
        <f t="shared" si="6"/>
        <v>-40005</v>
      </c>
      <c r="H411" s="2" t="str">
        <f>VLOOKUP(A411,'TB April'!A:H,8,0)</f>
        <v>Not Applicable</v>
      </c>
    </row>
    <row r="412" spans="1:8" hidden="1">
      <c r="A412" s="62" t="s">
        <v>1427</v>
      </c>
      <c r="B412" s="78"/>
      <c r="C412" s="78"/>
      <c r="D412" s="78">
        <v>10537</v>
      </c>
      <c r="E412" s="78">
        <v>-10537</v>
      </c>
      <c r="F412" s="42">
        <v>0</v>
      </c>
      <c r="G412" s="42">
        <f t="shared" si="6"/>
        <v>-10537</v>
      </c>
      <c r="H412" s="2" t="str">
        <f>VLOOKUP(A412,'TB April'!A:H,8,0)</f>
        <v>Not Applicable</v>
      </c>
    </row>
    <row r="413" spans="1:8" hidden="1">
      <c r="A413" s="62" t="s">
        <v>1512</v>
      </c>
      <c r="B413" s="78"/>
      <c r="C413" s="78">
        <v>1411</v>
      </c>
      <c r="D413" s="78">
        <v>1411</v>
      </c>
      <c r="E413" s="78"/>
      <c r="F413" s="42">
        <v>0</v>
      </c>
      <c r="G413" s="42">
        <f t="shared" si="6"/>
        <v>0</v>
      </c>
      <c r="H413" s="2" t="s">
        <v>84</v>
      </c>
    </row>
    <row r="414" spans="1:8" hidden="1">
      <c r="A414" s="62" t="s">
        <v>727</v>
      </c>
      <c r="B414" s="78">
        <v>-79852.479999999996</v>
      </c>
      <c r="C414" s="78">
        <v>263346.5</v>
      </c>
      <c r="D414" s="78">
        <v>300131.82</v>
      </c>
      <c r="E414" s="78">
        <v>-116637.8</v>
      </c>
      <c r="F414" s="42">
        <v>0</v>
      </c>
      <c r="G414" s="42">
        <f t="shared" si="6"/>
        <v>-116637.8</v>
      </c>
      <c r="H414" s="2" t="str">
        <f>VLOOKUP(A414,'TB April'!A:H,8,0)</f>
        <v>Not Applicable</v>
      </c>
    </row>
    <row r="415" spans="1:8" hidden="1">
      <c r="A415" s="62" t="s">
        <v>1428</v>
      </c>
      <c r="B415" s="78">
        <v>2078.34</v>
      </c>
      <c r="C415" s="78"/>
      <c r="D415" s="78"/>
      <c r="E415" s="78">
        <v>2078.34</v>
      </c>
      <c r="F415" s="42">
        <v>0</v>
      </c>
      <c r="G415" s="42">
        <f t="shared" si="6"/>
        <v>2078.34</v>
      </c>
      <c r="H415" s="2" t="str">
        <f>VLOOKUP(A415,'TB April'!A:H,8,0)</f>
        <v>Not Applicable</v>
      </c>
    </row>
    <row r="416" spans="1:8" hidden="1">
      <c r="A416" s="62" t="s">
        <v>726</v>
      </c>
      <c r="B416" s="78">
        <v>-524510</v>
      </c>
      <c r="C416" s="78"/>
      <c r="D416" s="78"/>
      <c r="E416" s="78">
        <v>-524510</v>
      </c>
      <c r="F416" s="42">
        <v>0</v>
      </c>
      <c r="G416" s="42">
        <f t="shared" si="6"/>
        <v>-524510</v>
      </c>
      <c r="H416" s="2" t="str">
        <f>VLOOKUP(A416,'TB April'!A:H,8,0)</f>
        <v>Not Applicable</v>
      </c>
    </row>
    <row r="417" spans="1:8" hidden="1">
      <c r="A417" s="62" t="s">
        <v>1331</v>
      </c>
      <c r="B417" s="78">
        <v>-670</v>
      </c>
      <c r="C417" s="78"/>
      <c r="D417" s="78"/>
      <c r="E417" s="78">
        <v>-670</v>
      </c>
      <c r="F417" s="42">
        <v>0</v>
      </c>
      <c r="G417" s="42">
        <f t="shared" si="6"/>
        <v>-670</v>
      </c>
      <c r="H417" s="2" t="str">
        <f>VLOOKUP(A417,'TB April'!A:H,8,0)</f>
        <v>Not Applicable</v>
      </c>
    </row>
    <row r="418" spans="1:8" hidden="1">
      <c r="A418" s="62" t="s">
        <v>1317</v>
      </c>
      <c r="B418" s="78">
        <v>-1000252</v>
      </c>
      <c r="C418" s="78">
        <v>2048649</v>
      </c>
      <c r="D418" s="78">
        <v>1048397</v>
      </c>
      <c r="E418" s="78"/>
      <c r="F418" s="42">
        <v>0</v>
      </c>
      <c r="G418" s="42">
        <f t="shared" si="6"/>
        <v>0</v>
      </c>
      <c r="H418" s="2" t="str">
        <f>VLOOKUP(A418,'TB April'!A:H,8,0)</f>
        <v>Not Applicable</v>
      </c>
    </row>
    <row r="419" spans="1:8" hidden="1">
      <c r="A419" s="62" t="s">
        <v>714</v>
      </c>
      <c r="B419" s="78"/>
      <c r="C419" s="78">
        <v>129210</v>
      </c>
      <c r="D419" s="78">
        <v>129210</v>
      </c>
      <c r="E419" s="78"/>
      <c r="F419" s="42">
        <v>0</v>
      </c>
      <c r="G419" s="42">
        <f t="shared" si="6"/>
        <v>0</v>
      </c>
      <c r="H419" s="2" t="str">
        <f>VLOOKUP(A419,'TB April'!A:H,8,0)</f>
        <v>Not Applicable</v>
      </c>
    </row>
    <row r="420" spans="1:8" hidden="1">
      <c r="A420" s="62" t="s">
        <v>722</v>
      </c>
      <c r="B420" s="78"/>
      <c r="C420" s="78"/>
      <c r="D420" s="78">
        <v>2962</v>
      </c>
      <c r="E420" s="78">
        <v>-2962</v>
      </c>
      <c r="F420" s="42">
        <v>0</v>
      </c>
      <c r="G420" s="42">
        <f t="shared" si="6"/>
        <v>-2962</v>
      </c>
      <c r="H420" s="2" t="s">
        <v>84</v>
      </c>
    </row>
    <row r="421" spans="1:8" hidden="1">
      <c r="A421" s="62" t="s">
        <v>1429</v>
      </c>
      <c r="B421" s="78"/>
      <c r="C421" s="78"/>
      <c r="D421" s="78">
        <v>26668</v>
      </c>
      <c r="E421" s="78">
        <v>-26668</v>
      </c>
      <c r="F421" s="42">
        <v>0</v>
      </c>
      <c r="G421" s="42">
        <f t="shared" si="6"/>
        <v>-26668</v>
      </c>
      <c r="H421" s="2" t="str">
        <f>VLOOKUP(A421,'TB April'!A:H,8,0)</f>
        <v>Not Applicable</v>
      </c>
    </row>
    <row r="422" spans="1:8" hidden="1">
      <c r="A422" s="62" t="s">
        <v>723</v>
      </c>
      <c r="B422" s="78">
        <v>-38457</v>
      </c>
      <c r="C422" s="78">
        <v>39763</v>
      </c>
      <c r="D422" s="78">
        <v>90934.32</v>
      </c>
      <c r="E422" s="78">
        <v>-89628.32</v>
      </c>
      <c r="F422" s="42">
        <v>0</v>
      </c>
      <c r="G422" s="42">
        <f t="shared" si="6"/>
        <v>-89628.32</v>
      </c>
      <c r="H422" s="2" t="str">
        <f>VLOOKUP(A422,'TB April'!A:H,8,0)</f>
        <v>Not Applicable</v>
      </c>
    </row>
    <row r="423" spans="1:8" hidden="1">
      <c r="A423" s="62" t="s">
        <v>1430</v>
      </c>
      <c r="B423" s="78"/>
      <c r="C423" s="78"/>
      <c r="D423" s="78"/>
      <c r="E423" s="78"/>
      <c r="F423" s="42">
        <v>0</v>
      </c>
      <c r="G423" s="42">
        <f t="shared" si="6"/>
        <v>0</v>
      </c>
      <c r="H423" s="2" t="str">
        <f>VLOOKUP(A423,'TB April'!A:H,8,0)</f>
        <v>Not Applicable</v>
      </c>
    </row>
    <row r="424" spans="1:8" hidden="1">
      <c r="A424" s="62" t="s">
        <v>724</v>
      </c>
      <c r="B424" s="78">
        <v>-14491.4</v>
      </c>
      <c r="C424" s="78"/>
      <c r="D424" s="78"/>
      <c r="E424" s="78">
        <v>-14491.4</v>
      </c>
      <c r="F424" s="42">
        <v>0</v>
      </c>
      <c r="G424" s="42">
        <f t="shared" si="6"/>
        <v>-14491.4</v>
      </c>
      <c r="H424" s="2" t="str">
        <f>VLOOKUP(A424,'TB April'!A:H,8,0)</f>
        <v>Not Applicable</v>
      </c>
    </row>
    <row r="425" spans="1:8" hidden="1">
      <c r="A425" s="62" t="s">
        <v>1005</v>
      </c>
      <c r="B425" s="78"/>
      <c r="C425" s="78"/>
      <c r="D425" s="78"/>
      <c r="E425" s="78"/>
      <c r="F425" s="42">
        <v>0</v>
      </c>
      <c r="G425" s="42">
        <f t="shared" si="6"/>
        <v>0</v>
      </c>
      <c r="H425" s="2" t="str">
        <f>VLOOKUP(A425,'TB April'!A:H,8,0)</f>
        <v>Not Applicable</v>
      </c>
    </row>
    <row r="426" spans="1:8" hidden="1">
      <c r="A426" s="62" t="s">
        <v>1257</v>
      </c>
      <c r="B426" s="78">
        <v>20060</v>
      </c>
      <c r="C426" s="78"/>
      <c r="D426" s="78"/>
      <c r="E426" s="78">
        <v>20060</v>
      </c>
      <c r="F426" s="42">
        <v>0</v>
      </c>
      <c r="G426" s="42">
        <f t="shared" si="6"/>
        <v>20060</v>
      </c>
      <c r="H426" s="2" t="str">
        <f>VLOOKUP(A426,'TB April'!A:H,8,0)</f>
        <v>Not Applicable</v>
      </c>
    </row>
    <row r="427" spans="1:8" hidden="1">
      <c r="A427" s="62" t="s">
        <v>719</v>
      </c>
      <c r="B427" s="78">
        <v>-215896.93</v>
      </c>
      <c r="C427" s="78">
        <v>996926</v>
      </c>
      <c r="D427" s="78">
        <v>901841</v>
      </c>
      <c r="E427" s="78">
        <v>-120811.93</v>
      </c>
      <c r="F427" s="42">
        <v>0</v>
      </c>
      <c r="G427" s="42">
        <f t="shared" si="6"/>
        <v>-120811.93</v>
      </c>
      <c r="H427" s="2" t="str">
        <f>VLOOKUP(A427,'TB April'!A:H,8,0)</f>
        <v>Not Applicable</v>
      </c>
    </row>
    <row r="428" spans="1:8" hidden="1">
      <c r="A428" s="62" t="s">
        <v>720</v>
      </c>
      <c r="B428" s="78"/>
      <c r="C428" s="78"/>
      <c r="D428" s="78"/>
      <c r="E428" s="78"/>
      <c r="F428" s="42">
        <v>0</v>
      </c>
      <c r="G428" s="42">
        <f t="shared" si="6"/>
        <v>0</v>
      </c>
      <c r="H428" s="2" t="s">
        <v>84</v>
      </c>
    </row>
    <row r="429" spans="1:8" hidden="1">
      <c r="A429" s="62" t="s">
        <v>713</v>
      </c>
      <c r="B429" s="78">
        <v>-6066</v>
      </c>
      <c r="C429" s="78">
        <v>6066</v>
      </c>
      <c r="D429" s="78"/>
      <c r="E429" s="78"/>
      <c r="F429" s="42">
        <v>0</v>
      </c>
      <c r="G429" s="42">
        <f t="shared" si="6"/>
        <v>0</v>
      </c>
      <c r="H429" s="2" t="str">
        <f>VLOOKUP(A429,'TB April'!A:H,8,0)</f>
        <v>Not Applicable</v>
      </c>
    </row>
    <row r="430" spans="1:8" hidden="1">
      <c r="A430" s="62" t="s">
        <v>700</v>
      </c>
      <c r="B430" s="78"/>
      <c r="C430" s="78">
        <v>1121</v>
      </c>
      <c r="D430" s="78">
        <v>1121</v>
      </c>
      <c r="E430" s="78"/>
      <c r="F430" s="42">
        <v>0</v>
      </c>
      <c r="G430" s="42">
        <f t="shared" si="6"/>
        <v>0</v>
      </c>
      <c r="H430" s="2" t="str">
        <f>VLOOKUP(A430,'TB April'!A:H,8,0)</f>
        <v>Not Applicable</v>
      </c>
    </row>
    <row r="431" spans="1:8" hidden="1">
      <c r="A431" s="62" t="s">
        <v>701</v>
      </c>
      <c r="B431" s="78">
        <v>-0.8</v>
      </c>
      <c r="C431" s="78"/>
      <c r="D431" s="78">
        <v>9888</v>
      </c>
      <c r="E431" s="78">
        <v>-9888.7999999999993</v>
      </c>
      <c r="F431" s="42">
        <v>0</v>
      </c>
      <c r="G431" s="42">
        <f t="shared" si="6"/>
        <v>-9888.7999999999993</v>
      </c>
      <c r="H431" s="2" t="str">
        <f>VLOOKUP(A431,'TB April'!A:H,8,0)</f>
        <v>Not Applicable</v>
      </c>
    </row>
    <row r="432" spans="1:8" hidden="1">
      <c r="A432" s="62" t="s">
        <v>987</v>
      </c>
      <c r="B432" s="78"/>
      <c r="C432" s="78">
        <v>17700</v>
      </c>
      <c r="D432" s="78">
        <v>17700</v>
      </c>
      <c r="E432" s="78"/>
      <c r="F432" s="42">
        <v>0</v>
      </c>
      <c r="G432" s="42">
        <f t="shared" si="6"/>
        <v>0</v>
      </c>
      <c r="H432" s="2" t="str">
        <f>VLOOKUP(A432,'TB April'!A:H,8,0)</f>
        <v>Not Applicable</v>
      </c>
    </row>
    <row r="433" spans="1:8" hidden="1">
      <c r="A433" s="62" t="s">
        <v>1431</v>
      </c>
      <c r="B433" s="78"/>
      <c r="C433" s="78">
        <v>15258</v>
      </c>
      <c r="D433" s="78">
        <v>15258</v>
      </c>
      <c r="E433" s="78"/>
      <c r="F433" s="42">
        <v>0</v>
      </c>
      <c r="G433" s="42">
        <f t="shared" si="6"/>
        <v>0</v>
      </c>
      <c r="H433" s="2" t="str">
        <f>VLOOKUP(A433,'TB April'!A:H,8,0)</f>
        <v>Not Applicable</v>
      </c>
    </row>
    <row r="434" spans="1:8" hidden="1">
      <c r="A434" s="62" t="s">
        <v>679</v>
      </c>
      <c r="B434" s="78">
        <v>-35156.6</v>
      </c>
      <c r="C434" s="78">
        <v>41795.599999999999</v>
      </c>
      <c r="D434" s="78">
        <v>14042</v>
      </c>
      <c r="E434" s="78">
        <v>-7403</v>
      </c>
      <c r="F434" s="42">
        <v>0</v>
      </c>
      <c r="G434" s="42">
        <f t="shared" si="6"/>
        <v>-7403</v>
      </c>
      <c r="H434" s="2" t="str">
        <f>VLOOKUP(A434,'TB April'!A:H,8,0)</f>
        <v>Not Applicable</v>
      </c>
    </row>
    <row r="435" spans="1:8" hidden="1">
      <c r="A435" s="62" t="s">
        <v>680</v>
      </c>
      <c r="B435" s="78">
        <v>-222313</v>
      </c>
      <c r="C435" s="78">
        <v>247536</v>
      </c>
      <c r="D435" s="78">
        <v>152288</v>
      </c>
      <c r="E435" s="78">
        <v>-127065</v>
      </c>
      <c r="F435" s="42">
        <v>0</v>
      </c>
      <c r="G435" s="42">
        <f t="shared" si="6"/>
        <v>-127065</v>
      </c>
      <c r="H435" s="2" t="str">
        <f>VLOOKUP(A435,'TB April'!A:H,8,0)</f>
        <v>Not Applicable</v>
      </c>
    </row>
    <row r="436" spans="1:8" hidden="1">
      <c r="A436" s="62" t="s">
        <v>1432</v>
      </c>
      <c r="B436" s="78">
        <v>-9048</v>
      </c>
      <c r="C436" s="78">
        <v>9048</v>
      </c>
      <c r="D436" s="78"/>
      <c r="E436" s="78"/>
      <c r="F436" s="42">
        <v>0</v>
      </c>
      <c r="G436" s="42">
        <f t="shared" si="6"/>
        <v>0</v>
      </c>
      <c r="H436" s="2" t="str">
        <f>VLOOKUP(A436,'TB April'!A:H,8,0)</f>
        <v>Not Applicable</v>
      </c>
    </row>
    <row r="437" spans="1:8" hidden="1">
      <c r="A437" s="62" t="s">
        <v>706</v>
      </c>
      <c r="B437" s="78"/>
      <c r="C437" s="78"/>
      <c r="D437" s="78"/>
      <c r="E437" s="78"/>
      <c r="F437" s="42">
        <v>0</v>
      </c>
      <c r="G437" s="42">
        <f t="shared" si="6"/>
        <v>0</v>
      </c>
      <c r="H437" s="2" t="str">
        <f>VLOOKUP(A437,'TB April'!A:H,8,0)</f>
        <v>Not Applicable</v>
      </c>
    </row>
    <row r="438" spans="1:8" hidden="1">
      <c r="A438" s="62" t="s">
        <v>707</v>
      </c>
      <c r="B438" s="78">
        <v>-4776</v>
      </c>
      <c r="C438" s="78">
        <v>4776</v>
      </c>
      <c r="D438" s="78"/>
      <c r="E438" s="78"/>
      <c r="F438" s="42">
        <v>0</v>
      </c>
      <c r="G438" s="42">
        <f t="shared" si="6"/>
        <v>0</v>
      </c>
      <c r="H438" s="2" t="str">
        <f>VLOOKUP(A438,'TB April'!A:H,8,0)</f>
        <v>Not Applicable</v>
      </c>
    </row>
    <row r="439" spans="1:8" hidden="1">
      <c r="A439" s="62" t="s">
        <v>708</v>
      </c>
      <c r="B439" s="78">
        <v>-85570</v>
      </c>
      <c r="C439" s="78">
        <v>96596</v>
      </c>
      <c r="D439" s="78">
        <v>28730</v>
      </c>
      <c r="E439" s="78">
        <v>-17704</v>
      </c>
      <c r="F439" s="42">
        <v>0</v>
      </c>
      <c r="G439" s="42">
        <f t="shared" si="6"/>
        <v>-17704</v>
      </c>
      <c r="H439" s="2" t="str">
        <f>VLOOKUP(A439,'TB April'!A:H,8,0)</f>
        <v>Not Applicable</v>
      </c>
    </row>
    <row r="440" spans="1:8" hidden="1">
      <c r="A440" s="62" t="s">
        <v>710</v>
      </c>
      <c r="B440" s="78">
        <v>-11033</v>
      </c>
      <c r="C440" s="78"/>
      <c r="D440" s="78"/>
      <c r="E440" s="78">
        <v>-11033</v>
      </c>
      <c r="F440" s="42">
        <v>0</v>
      </c>
      <c r="G440" s="42">
        <f t="shared" si="6"/>
        <v>-11033</v>
      </c>
      <c r="H440" s="2" t="str">
        <f>VLOOKUP(A440,'TB April'!A:H,8,0)</f>
        <v>Not Applicable</v>
      </c>
    </row>
    <row r="441" spans="1:8" hidden="1">
      <c r="A441" s="62" t="s">
        <v>712</v>
      </c>
      <c r="B441" s="78"/>
      <c r="C441" s="78"/>
      <c r="D441" s="78"/>
      <c r="E441" s="78"/>
      <c r="F441" s="42">
        <v>0</v>
      </c>
      <c r="G441" s="42">
        <f t="shared" si="6"/>
        <v>0</v>
      </c>
      <c r="H441" s="2" t="str">
        <f>VLOOKUP(A441,'TB April'!A:H,8,0)</f>
        <v>Not Applicable</v>
      </c>
    </row>
    <row r="442" spans="1:8" hidden="1">
      <c r="A442" s="62" t="s">
        <v>697</v>
      </c>
      <c r="B442" s="78">
        <v>-0.2</v>
      </c>
      <c r="C442" s="78"/>
      <c r="D442" s="78"/>
      <c r="E442" s="78">
        <v>-0.2</v>
      </c>
      <c r="F442" s="42">
        <v>0</v>
      </c>
      <c r="G442" s="42">
        <f t="shared" si="6"/>
        <v>-0.2</v>
      </c>
      <c r="H442" s="2" t="str">
        <f>VLOOKUP(A442,'TB April'!A:H,8,0)</f>
        <v>Not Applicable</v>
      </c>
    </row>
    <row r="443" spans="1:8" hidden="1">
      <c r="A443" s="62" t="s">
        <v>682</v>
      </c>
      <c r="B443" s="78"/>
      <c r="C443" s="78">
        <v>10997.6</v>
      </c>
      <c r="D443" s="78">
        <v>10997.6</v>
      </c>
      <c r="E443" s="78"/>
      <c r="F443" s="42">
        <v>0</v>
      </c>
      <c r="G443" s="42">
        <f t="shared" si="6"/>
        <v>0</v>
      </c>
      <c r="H443" s="2" t="str">
        <f>VLOOKUP(A443,'TB April'!A:H,8,0)</f>
        <v>Not Applicable</v>
      </c>
    </row>
    <row r="444" spans="1:8" hidden="1">
      <c r="A444" s="62" t="s">
        <v>678</v>
      </c>
      <c r="B444" s="78">
        <v>-9842</v>
      </c>
      <c r="C444" s="78">
        <v>6222</v>
      </c>
      <c r="D444" s="78">
        <v>2419</v>
      </c>
      <c r="E444" s="78">
        <v>-6039</v>
      </c>
      <c r="F444" s="42">
        <v>0</v>
      </c>
      <c r="G444" s="42">
        <f t="shared" si="6"/>
        <v>-6039</v>
      </c>
      <c r="H444" s="2" t="str">
        <f>VLOOKUP(A444,'TB April'!A:H,8,0)</f>
        <v>Not Applicable</v>
      </c>
    </row>
    <row r="445" spans="1:8" hidden="1">
      <c r="A445" s="62" t="s">
        <v>675</v>
      </c>
      <c r="B445" s="78">
        <v>-615888</v>
      </c>
      <c r="C445" s="78">
        <v>784888</v>
      </c>
      <c r="D445" s="78">
        <v>823652</v>
      </c>
      <c r="E445" s="78">
        <v>-654652</v>
      </c>
      <c r="F445" s="42">
        <v>0</v>
      </c>
      <c r="G445" s="42">
        <f t="shared" si="6"/>
        <v>-654652</v>
      </c>
      <c r="H445" s="2" t="str">
        <f>VLOOKUP(A445,'TB April'!A:H,8,0)</f>
        <v>Not Applicable</v>
      </c>
    </row>
    <row r="446" spans="1:8" hidden="1">
      <c r="A446" s="62" t="s">
        <v>670</v>
      </c>
      <c r="B446" s="78">
        <v>-376908</v>
      </c>
      <c r="C446" s="78">
        <v>88187</v>
      </c>
      <c r="D446" s="78">
        <v>34638</v>
      </c>
      <c r="E446" s="78">
        <v>-323359</v>
      </c>
      <c r="F446" s="42">
        <v>0</v>
      </c>
      <c r="G446" s="42">
        <f t="shared" si="6"/>
        <v>-323359</v>
      </c>
      <c r="H446" s="2" t="str">
        <f>VLOOKUP(A446,'TB April'!A:H,8,0)</f>
        <v>Not Applicable</v>
      </c>
    </row>
    <row r="447" spans="1:8" hidden="1">
      <c r="A447" s="62" t="s">
        <v>671</v>
      </c>
      <c r="B447" s="78">
        <v>-529509.01</v>
      </c>
      <c r="C447" s="78">
        <v>252291</v>
      </c>
      <c r="D447" s="78">
        <v>93843</v>
      </c>
      <c r="E447" s="78">
        <v>-371061.01</v>
      </c>
      <c r="F447" s="42">
        <v>0</v>
      </c>
      <c r="G447" s="42">
        <f t="shared" si="6"/>
        <v>-371061.01</v>
      </c>
      <c r="H447" s="2" t="str">
        <f>VLOOKUP(A447,'TB April'!A:H,8,0)</f>
        <v>Not Applicable</v>
      </c>
    </row>
    <row r="448" spans="1:8" hidden="1">
      <c r="A448" s="62" t="s">
        <v>672</v>
      </c>
      <c r="B448" s="78">
        <v>-759069.8</v>
      </c>
      <c r="C448" s="78">
        <v>285155</v>
      </c>
      <c r="D448" s="78">
        <v>244811</v>
      </c>
      <c r="E448" s="78">
        <v>-718725.8</v>
      </c>
      <c r="F448" s="42">
        <v>0</v>
      </c>
      <c r="G448" s="42">
        <f t="shared" si="6"/>
        <v>-718725.8</v>
      </c>
      <c r="H448" s="2" t="str">
        <f>VLOOKUP(A448,'TB April'!A:H,8,0)</f>
        <v>Not Applicable</v>
      </c>
    </row>
    <row r="449" spans="1:8" hidden="1">
      <c r="A449" s="62" t="s">
        <v>677</v>
      </c>
      <c r="B449" s="78">
        <v>-8083</v>
      </c>
      <c r="C449" s="78">
        <v>8083</v>
      </c>
      <c r="D449" s="78">
        <v>5381</v>
      </c>
      <c r="E449" s="78">
        <v>-5381</v>
      </c>
      <c r="F449" s="42">
        <v>0</v>
      </c>
      <c r="G449" s="42">
        <f t="shared" si="6"/>
        <v>-5381</v>
      </c>
      <c r="H449" s="2" t="str">
        <f>VLOOKUP(A449,'TB April'!A:H,8,0)</f>
        <v>Not Applicable</v>
      </c>
    </row>
    <row r="450" spans="1:8" hidden="1">
      <c r="A450" s="62" t="s">
        <v>1433</v>
      </c>
      <c r="B450" s="78">
        <v>-1</v>
      </c>
      <c r="C450" s="78"/>
      <c r="D450" s="78"/>
      <c r="E450" s="78">
        <v>-1</v>
      </c>
      <c r="F450" s="42">
        <v>0</v>
      </c>
      <c r="G450" s="42">
        <f t="shared" si="6"/>
        <v>-1</v>
      </c>
      <c r="H450" s="2" t="str">
        <f>VLOOKUP(A450,'TB April'!A:H,8,0)</f>
        <v>Not Applicable</v>
      </c>
    </row>
    <row r="451" spans="1:8" hidden="1">
      <c r="A451" s="62" t="s">
        <v>1259</v>
      </c>
      <c r="B451" s="78">
        <v>3</v>
      </c>
      <c r="C451" s="78"/>
      <c r="D451" s="78"/>
      <c r="E451" s="78">
        <v>3</v>
      </c>
      <c r="F451" s="42">
        <v>0</v>
      </c>
      <c r="G451" s="42">
        <f t="shared" si="6"/>
        <v>3</v>
      </c>
      <c r="H451" s="2" t="str">
        <f>VLOOKUP(A451,'TB April'!A:H,8,0)</f>
        <v>Not Applicable</v>
      </c>
    </row>
    <row r="452" spans="1:8" hidden="1">
      <c r="A452" s="62" t="s">
        <v>1287</v>
      </c>
      <c r="B452" s="78">
        <v>-1684</v>
      </c>
      <c r="C452" s="78">
        <v>1684</v>
      </c>
      <c r="D452" s="78">
        <v>1168</v>
      </c>
      <c r="E452" s="78">
        <v>-1168</v>
      </c>
      <c r="F452" s="42">
        <v>0</v>
      </c>
      <c r="G452" s="42">
        <f t="shared" si="6"/>
        <v>-1168</v>
      </c>
      <c r="H452" s="2" t="str">
        <f>VLOOKUP(A452,'TB April'!A:H,8,0)</f>
        <v>Not Applicable</v>
      </c>
    </row>
    <row r="453" spans="1:8" hidden="1">
      <c r="A453" s="62" t="s">
        <v>1310</v>
      </c>
      <c r="B453" s="78"/>
      <c r="C453" s="78"/>
      <c r="D453" s="78"/>
      <c r="E453" s="78"/>
      <c r="F453" s="42">
        <v>0</v>
      </c>
      <c r="G453" s="42">
        <f t="shared" si="6"/>
        <v>0</v>
      </c>
      <c r="H453" s="2" t="str">
        <f>VLOOKUP(A453,'TB April'!A:H,8,0)</f>
        <v>Not Applicable</v>
      </c>
    </row>
    <row r="454" spans="1:8" hidden="1">
      <c r="A454" s="62" t="s">
        <v>662</v>
      </c>
      <c r="B454" s="78">
        <v>-69292</v>
      </c>
      <c r="C454" s="78">
        <v>75670</v>
      </c>
      <c r="D454" s="78">
        <v>13983</v>
      </c>
      <c r="E454" s="78">
        <v>-7605</v>
      </c>
      <c r="F454" s="42">
        <v>0</v>
      </c>
      <c r="G454" s="42">
        <f t="shared" ref="G454:G517" si="7">+E454+F454</f>
        <v>-7605</v>
      </c>
      <c r="H454" s="2" t="str">
        <f>VLOOKUP(A454,'TB April'!A:H,8,0)</f>
        <v>Not Applicable</v>
      </c>
    </row>
    <row r="455" spans="1:8" hidden="1">
      <c r="A455" s="62" t="s">
        <v>862</v>
      </c>
      <c r="B455" s="78">
        <v>34.36</v>
      </c>
      <c r="C455" s="78"/>
      <c r="D455" s="78"/>
      <c r="E455" s="78">
        <v>34.36</v>
      </c>
      <c r="F455" s="42">
        <v>0</v>
      </c>
      <c r="G455" s="42">
        <f t="shared" si="7"/>
        <v>34.36</v>
      </c>
      <c r="H455" s="2" t="str">
        <f>VLOOKUP(A455,'TB April'!A:H,8,0)</f>
        <v>Not Applicable</v>
      </c>
    </row>
    <row r="456" spans="1:8" hidden="1">
      <c r="A456" s="62" t="s">
        <v>657</v>
      </c>
      <c r="B456" s="78"/>
      <c r="C456" s="78"/>
      <c r="D456" s="78"/>
      <c r="E456" s="78"/>
      <c r="F456" s="42">
        <v>0</v>
      </c>
      <c r="G456" s="42">
        <f t="shared" si="7"/>
        <v>0</v>
      </c>
      <c r="H456" s="2" t="str">
        <f>VLOOKUP(A456,'TB April'!A:H,8,0)</f>
        <v>Not Applicable</v>
      </c>
    </row>
    <row r="457" spans="1:8" hidden="1">
      <c r="A457" s="62" t="s">
        <v>1434</v>
      </c>
      <c r="B457" s="78">
        <v>10683.33</v>
      </c>
      <c r="C457" s="78">
        <v>2596</v>
      </c>
      <c r="D457" s="78">
        <v>708</v>
      </c>
      <c r="E457" s="78">
        <v>12571.33</v>
      </c>
      <c r="F457" s="42">
        <v>0</v>
      </c>
      <c r="G457" s="42">
        <f t="shared" si="7"/>
        <v>12571.33</v>
      </c>
      <c r="H457" s="2" t="str">
        <f>VLOOKUP(A457,'TB April'!A:H,8,0)</f>
        <v>Not Applicable</v>
      </c>
    </row>
    <row r="458" spans="1:8" hidden="1">
      <c r="A458" s="62" t="s">
        <v>648</v>
      </c>
      <c r="B458" s="78">
        <v>-4886</v>
      </c>
      <c r="C458" s="78"/>
      <c r="D458" s="78">
        <v>3983</v>
      </c>
      <c r="E458" s="78">
        <v>-8869</v>
      </c>
      <c r="F458" s="42">
        <v>0</v>
      </c>
      <c r="G458" s="42">
        <f t="shared" si="7"/>
        <v>-8869</v>
      </c>
      <c r="H458" s="2" t="str">
        <f>VLOOKUP(A458,'TB April'!A:H,8,0)</f>
        <v>Not Applicable</v>
      </c>
    </row>
    <row r="459" spans="1:8" hidden="1">
      <c r="A459" s="62" t="s">
        <v>1160</v>
      </c>
      <c r="B459" s="78">
        <v>-36014</v>
      </c>
      <c r="C459" s="78">
        <v>36014</v>
      </c>
      <c r="D459" s="78">
        <v>26491</v>
      </c>
      <c r="E459" s="78">
        <v>-26491</v>
      </c>
      <c r="F459" s="42">
        <v>0</v>
      </c>
      <c r="G459" s="42">
        <f t="shared" si="7"/>
        <v>-26491</v>
      </c>
      <c r="H459" s="2" t="str">
        <f>VLOOKUP(A459,'TB April'!A:H,8,0)</f>
        <v>Not Applicable</v>
      </c>
    </row>
    <row r="460" spans="1:8" hidden="1">
      <c r="A460" s="62" t="s">
        <v>641</v>
      </c>
      <c r="B460" s="78"/>
      <c r="C460" s="78">
        <v>166162.5</v>
      </c>
      <c r="D460" s="78">
        <v>581931</v>
      </c>
      <c r="E460" s="78">
        <v>-415768.5</v>
      </c>
      <c r="F460" s="42">
        <v>0</v>
      </c>
      <c r="G460" s="42">
        <f t="shared" si="7"/>
        <v>-415768.5</v>
      </c>
      <c r="H460" s="2" t="str">
        <f>VLOOKUP(A460,'TB April'!A:H,8,0)</f>
        <v>Not Applicable</v>
      </c>
    </row>
    <row r="461" spans="1:8" hidden="1">
      <c r="A461" s="62" t="s">
        <v>1435</v>
      </c>
      <c r="B461" s="78"/>
      <c r="C461" s="78"/>
      <c r="D461" s="78"/>
      <c r="E461" s="78"/>
      <c r="F461" s="42">
        <v>0</v>
      </c>
      <c r="G461" s="42">
        <f t="shared" si="7"/>
        <v>0</v>
      </c>
      <c r="H461" s="2" t="str">
        <f>VLOOKUP(A461,'TB April'!A:H,8,0)</f>
        <v>Not Applicable</v>
      </c>
    </row>
    <row r="462" spans="1:8" hidden="1">
      <c r="A462" s="62" t="s">
        <v>639</v>
      </c>
      <c r="B462" s="78"/>
      <c r="C462" s="78"/>
      <c r="D462" s="78"/>
      <c r="E462" s="78"/>
      <c r="F462" s="42">
        <v>0</v>
      </c>
      <c r="G462" s="42">
        <f t="shared" si="7"/>
        <v>0</v>
      </c>
      <c r="H462" s="2" t="str">
        <f>VLOOKUP(A462,'TB April'!A:H,8,0)</f>
        <v>Not Applicable</v>
      </c>
    </row>
    <row r="463" spans="1:8" hidden="1">
      <c r="A463" s="62" t="s">
        <v>1513</v>
      </c>
      <c r="B463" s="78"/>
      <c r="C463" s="78"/>
      <c r="D463" s="78"/>
      <c r="E463" s="78"/>
      <c r="F463" s="42">
        <v>0</v>
      </c>
      <c r="G463" s="42">
        <f t="shared" si="7"/>
        <v>0</v>
      </c>
      <c r="H463" s="2" t="s">
        <v>84</v>
      </c>
    </row>
    <row r="464" spans="1:8" hidden="1">
      <c r="A464" s="62" t="s">
        <v>636</v>
      </c>
      <c r="B464" s="78">
        <v>-86536</v>
      </c>
      <c r="C464" s="78"/>
      <c r="D464" s="78">
        <v>128808.4</v>
      </c>
      <c r="E464" s="78">
        <v>-215344.4</v>
      </c>
      <c r="F464" s="42">
        <v>0</v>
      </c>
      <c r="G464" s="42">
        <f t="shared" si="7"/>
        <v>-215344.4</v>
      </c>
      <c r="H464" s="2" t="str">
        <f>VLOOKUP(A464,'TB April'!A:H,8,0)</f>
        <v>Not Applicable</v>
      </c>
    </row>
    <row r="465" spans="1:8" hidden="1">
      <c r="A465" s="62" t="s">
        <v>943</v>
      </c>
      <c r="B465" s="78">
        <v>-3363</v>
      </c>
      <c r="C465" s="78">
        <v>3363</v>
      </c>
      <c r="D465" s="78">
        <v>11800</v>
      </c>
      <c r="E465" s="78">
        <v>-11800</v>
      </c>
      <c r="F465" s="42">
        <v>0</v>
      </c>
      <c r="G465" s="42">
        <f t="shared" si="7"/>
        <v>-11800</v>
      </c>
      <c r="H465" s="2" t="str">
        <f>VLOOKUP(A465,'TB April'!A:H,8,0)</f>
        <v>Not Applicable</v>
      </c>
    </row>
    <row r="466" spans="1:8" hidden="1">
      <c r="A466" s="62" t="s">
        <v>632</v>
      </c>
      <c r="B466" s="78">
        <v>-13664</v>
      </c>
      <c r="C466" s="78">
        <v>13664</v>
      </c>
      <c r="D466" s="78"/>
      <c r="E466" s="78"/>
      <c r="F466" s="42">
        <v>0</v>
      </c>
      <c r="G466" s="42">
        <f t="shared" si="7"/>
        <v>0</v>
      </c>
      <c r="H466" s="2" t="str">
        <f>VLOOKUP(A466,'TB April'!A:H,8,0)</f>
        <v>Not Applicable</v>
      </c>
    </row>
    <row r="467" spans="1:8" hidden="1">
      <c r="A467" s="62" t="s">
        <v>1148</v>
      </c>
      <c r="B467" s="78">
        <v>323.94</v>
      </c>
      <c r="C467" s="78"/>
      <c r="D467" s="78"/>
      <c r="E467" s="78">
        <v>323.94</v>
      </c>
      <c r="F467" s="42">
        <v>0</v>
      </c>
      <c r="G467" s="42">
        <f t="shared" si="7"/>
        <v>323.94</v>
      </c>
      <c r="H467" s="2" t="str">
        <f>VLOOKUP(A467,'TB April'!A:H,8,0)</f>
        <v>Not Applicable</v>
      </c>
    </row>
    <row r="468" spans="1:8" hidden="1">
      <c r="A468" s="62" t="s">
        <v>1238</v>
      </c>
      <c r="B468" s="78">
        <v>-17043</v>
      </c>
      <c r="C468" s="78"/>
      <c r="D468" s="78"/>
      <c r="E468" s="78">
        <v>-17043</v>
      </c>
      <c r="F468" s="42">
        <v>0</v>
      </c>
      <c r="G468" s="42">
        <f t="shared" si="7"/>
        <v>-17043</v>
      </c>
      <c r="H468" s="2" t="str">
        <f>VLOOKUP(A468,'TB April'!A:H,8,0)</f>
        <v>Not Applicable</v>
      </c>
    </row>
    <row r="469" spans="1:8" hidden="1">
      <c r="A469" s="62" t="s">
        <v>891</v>
      </c>
      <c r="B469" s="78"/>
      <c r="C469" s="78"/>
      <c r="D469" s="78">
        <v>12611</v>
      </c>
      <c r="E469" s="78">
        <v>-12611</v>
      </c>
      <c r="F469" s="42">
        <v>0</v>
      </c>
      <c r="G469" s="42">
        <f t="shared" si="7"/>
        <v>-12611</v>
      </c>
      <c r="H469" s="2" t="str">
        <f>VLOOKUP(A469,'TB April'!A:H,8,0)</f>
        <v>Not Applicable</v>
      </c>
    </row>
    <row r="470" spans="1:8" hidden="1">
      <c r="A470" s="62" t="s">
        <v>1436</v>
      </c>
      <c r="B470" s="78">
        <v>-830</v>
      </c>
      <c r="C470" s="78"/>
      <c r="D470" s="78"/>
      <c r="E470" s="78">
        <v>-830</v>
      </c>
      <c r="F470" s="42">
        <v>0</v>
      </c>
      <c r="G470" s="42">
        <f t="shared" si="7"/>
        <v>-830</v>
      </c>
      <c r="H470" s="2" t="str">
        <f>VLOOKUP(A470,'TB April'!A:H,8,0)</f>
        <v>Not Applicable</v>
      </c>
    </row>
    <row r="471" spans="1:8" hidden="1">
      <c r="A471" s="62" t="s">
        <v>624</v>
      </c>
      <c r="B471" s="78">
        <v>-66336.52</v>
      </c>
      <c r="C471" s="78">
        <v>95447.78</v>
      </c>
      <c r="D471" s="78">
        <v>57526.96</v>
      </c>
      <c r="E471" s="78">
        <v>-28415.7</v>
      </c>
      <c r="F471" s="42">
        <v>0</v>
      </c>
      <c r="G471" s="42">
        <f t="shared" si="7"/>
        <v>-28415.7</v>
      </c>
      <c r="H471" s="2" t="str">
        <f>VLOOKUP(A471,'TB April'!A:H,8,0)</f>
        <v>Not Applicable</v>
      </c>
    </row>
    <row r="472" spans="1:8" hidden="1">
      <c r="A472" s="62" t="s">
        <v>623</v>
      </c>
      <c r="B472" s="78">
        <v>-56883.74</v>
      </c>
      <c r="C472" s="78">
        <v>68008.759999999995</v>
      </c>
      <c r="D472" s="78">
        <v>25765.32</v>
      </c>
      <c r="E472" s="78">
        <v>-14640.3</v>
      </c>
      <c r="F472" s="42">
        <v>0</v>
      </c>
      <c r="G472" s="42">
        <f t="shared" si="7"/>
        <v>-14640.3</v>
      </c>
      <c r="H472" s="2" t="str">
        <f>VLOOKUP(A472,'TB April'!A:H,8,0)</f>
        <v>Not Applicable</v>
      </c>
    </row>
    <row r="473" spans="1:8" hidden="1">
      <c r="A473" s="62" t="s">
        <v>620</v>
      </c>
      <c r="B473" s="78">
        <v>-58114.01</v>
      </c>
      <c r="C473" s="78">
        <v>58114</v>
      </c>
      <c r="D473" s="78">
        <v>23698</v>
      </c>
      <c r="E473" s="78">
        <v>-23698.01</v>
      </c>
      <c r="F473" s="42">
        <v>0</v>
      </c>
      <c r="G473" s="42">
        <f t="shared" si="7"/>
        <v>-23698.01</v>
      </c>
      <c r="H473" s="2" t="str">
        <f>VLOOKUP(A473,'TB April'!A:H,8,0)</f>
        <v>Not Applicable</v>
      </c>
    </row>
    <row r="474" spans="1:8" hidden="1">
      <c r="A474" s="62" t="s">
        <v>1437</v>
      </c>
      <c r="B474" s="78"/>
      <c r="C474" s="78"/>
      <c r="D474" s="78"/>
      <c r="E474" s="78"/>
      <c r="F474" s="42">
        <v>0</v>
      </c>
      <c r="G474" s="42">
        <f t="shared" si="7"/>
        <v>0</v>
      </c>
      <c r="H474" s="2" t="str">
        <f>VLOOKUP(A474,'TB April'!A:H,8,0)</f>
        <v>Not Applicable</v>
      </c>
    </row>
    <row r="475" spans="1:8" hidden="1">
      <c r="A475" s="62" t="s">
        <v>619</v>
      </c>
      <c r="B475" s="78">
        <v>-14581.4</v>
      </c>
      <c r="C475" s="78">
        <v>14581</v>
      </c>
      <c r="D475" s="78">
        <v>1156</v>
      </c>
      <c r="E475" s="78">
        <v>-1156.4000000000001</v>
      </c>
      <c r="F475" s="42">
        <v>0</v>
      </c>
      <c r="G475" s="42">
        <f t="shared" si="7"/>
        <v>-1156.4000000000001</v>
      </c>
      <c r="H475" s="2" t="str">
        <f>VLOOKUP(A475,'TB April'!A:H,8,0)</f>
        <v>Not Applicable</v>
      </c>
    </row>
    <row r="476" spans="1:8" hidden="1">
      <c r="A476" s="62" t="s">
        <v>613</v>
      </c>
      <c r="B476" s="78"/>
      <c r="C476" s="78"/>
      <c r="D476" s="78"/>
      <c r="E476" s="78"/>
      <c r="F476" s="42">
        <v>0</v>
      </c>
      <c r="G476" s="42">
        <f t="shared" si="7"/>
        <v>0</v>
      </c>
      <c r="H476" s="2" t="s">
        <v>84</v>
      </c>
    </row>
    <row r="477" spans="1:8" hidden="1">
      <c r="A477" s="62" t="s">
        <v>616</v>
      </c>
      <c r="B477" s="78">
        <v>-45725</v>
      </c>
      <c r="C477" s="78">
        <v>57171</v>
      </c>
      <c r="D477" s="78">
        <v>48085</v>
      </c>
      <c r="E477" s="78">
        <v>-36639</v>
      </c>
      <c r="F477" s="42">
        <v>0</v>
      </c>
      <c r="G477" s="42">
        <f t="shared" si="7"/>
        <v>-36639</v>
      </c>
      <c r="H477" s="2" t="str">
        <f>VLOOKUP(A477,'TB April'!A:H,8,0)</f>
        <v>Not Applicable</v>
      </c>
    </row>
    <row r="478" spans="1:8" hidden="1">
      <c r="A478" s="62" t="s">
        <v>963</v>
      </c>
      <c r="B478" s="78">
        <v>-0.06</v>
      </c>
      <c r="C478" s="78"/>
      <c r="D478" s="78"/>
      <c r="E478" s="78">
        <v>-0.06</v>
      </c>
      <c r="F478" s="42">
        <v>0</v>
      </c>
      <c r="G478" s="42">
        <f t="shared" si="7"/>
        <v>-0.06</v>
      </c>
      <c r="H478" s="2" t="str">
        <f>VLOOKUP(A478,'TB April'!A:H,8,0)</f>
        <v>Not Applicable</v>
      </c>
    </row>
    <row r="479" spans="1:8" hidden="1">
      <c r="A479" s="62" t="s">
        <v>1214</v>
      </c>
      <c r="B479" s="78">
        <v>-32720</v>
      </c>
      <c r="C479" s="78">
        <v>32720</v>
      </c>
      <c r="D479" s="78">
        <v>19819</v>
      </c>
      <c r="E479" s="78">
        <v>-19819</v>
      </c>
      <c r="F479" s="42">
        <v>0</v>
      </c>
      <c r="G479" s="42">
        <f t="shared" si="7"/>
        <v>-19819</v>
      </c>
      <c r="H479" s="2" t="str">
        <f>VLOOKUP(A479,'TB April'!A:H,8,0)</f>
        <v>Not Applicable</v>
      </c>
    </row>
    <row r="480" spans="1:8" hidden="1">
      <c r="A480" s="62" t="s">
        <v>1438</v>
      </c>
      <c r="B480" s="78">
        <v>-5239</v>
      </c>
      <c r="C480" s="78"/>
      <c r="D480" s="78"/>
      <c r="E480" s="78">
        <v>-5239</v>
      </c>
      <c r="F480" s="42">
        <v>0</v>
      </c>
      <c r="G480" s="42">
        <f t="shared" si="7"/>
        <v>-5239</v>
      </c>
      <c r="H480" s="2" t="str">
        <f>VLOOKUP(A480,'TB April'!A:H,8,0)</f>
        <v>Not Applicable</v>
      </c>
    </row>
    <row r="481" spans="1:8" hidden="1">
      <c r="A481" s="62" t="s">
        <v>940</v>
      </c>
      <c r="B481" s="78">
        <v>-0.2</v>
      </c>
      <c r="C481" s="78"/>
      <c r="D481" s="78"/>
      <c r="E481" s="78">
        <v>-0.2</v>
      </c>
      <c r="F481" s="42">
        <v>0</v>
      </c>
      <c r="G481" s="42">
        <f t="shared" si="7"/>
        <v>-0.2</v>
      </c>
      <c r="H481" s="2" t="str">
        <f>VLOOKUP(A481,'TB April'!A:H,8,0)</f>
        <v>Not Applicable</v>
      </c>
    </row>
    <row r="482" spans="1:8" hidden="1">
      <c r="A482" s="62" t="s">
        <v>600</v>
      </c>
      <c r="B482" s="78"/>
      <c r="C482" s="78">
        <v>89</v>
      </c>
      <c r="D482" s="78">
        <v>10502</v>
      </c>
      <c r="E482" s="78">
        <v>-10413</v>
      </c>
      <c r="F482" s="42">
        <v>0</v>
      </c>
      <c r="G482" s="42">
        <f t="shared" si="7"/>
        <v>-10413</v>
      </c>
      <c r="H482" s="2" t="str">
        <f>VLOOKUP(A482,'TB April'!A:H,8,0)</f>
        <v>Not Applicable</v>
      </c>
    </row>
    <row r="483" spans="1:8" hidden="1">
      <c r="A483" s="62" t="s">
        <v>1439</v>
      </c>
      <c r="B483" s="78">
        <v>-2576</v>
      </c>
      <c r="C483" s="78"/>
      <c r="D483" s="78"/>
      <c r="E483" s="78">
        <v>-2576</v>
      </c>
      <c r="F483" s="42">
        <v>0</v>
      </c>
      <c r="G483" s="42">
        <f t="shared" si="7"/>
        <v>-2576</v>
      </c>
      <c r="H483" s="2" t="str">
        <f>VLOOKUP(A483,'TB April'!A:H,8,0)</f>
        <v>Not Applicable</v>
      </c>
    </row>
    <row r="484" spans="1:8" hidden="1">
      <c r="A484" s="62" t="s">
        <v>1334</v>
      </c>
      <c r="B484" s="78"/>
      <c r="C484" s="78"/>
      <c r="D484" s="78"/>
      <c r="E484" s="78"/>
      <c r="F484" s="42">
        <v>0</v>
      </c>
      <c r="G484" s="42">
        <f t="shared" si="7"/>
        <v>0</v>
      </c>
      <c r="H484" s="2" t="str">
        <f>VLOOKUP(A484,'TB April'!A:H,8,0)</f>
        <v>Not Applicable</v>
      </c>
    </row>
    <row r="485" spans="1:8" hidden="1">
      <c r="A485" s="62" t="s">
        <v>591</v>
      </c>
      <c r="B485" s="78">
        <v>-61629.86</v>
      </c>
      <c r="C485" s="78"/>
      <c r="D485" s="78"/>
      <c r="E485" s="78">
        <v>-61629.86</v>
      </c>
      <c r="F485" s="42">
        <v>0</v>
      </c>
      <c r="G485" s="42">
        <f t="shared" si="7"/>
        <v>-61629.86</v>
      </c>
      <c r="H485" s="2" t="str">
        <f>VLOOKUP(A485,'TB April'!A:H,8,0)</f>
        <v>Not Applicable</v>
      </c>
    </row>
    <row r="486" spans="1:8" hidden="1">
      <c r="A486" s="62" t="s">
        <v>1440</v>
      </c>
      <c r="B486" s="78">
        <v>-72712</v>
      </c>
      <c r="C486" s="78"/>
      <c r="D486" s="78">
        <v>1000</v>
      </c>
      <c r="E486" s="78">
        <v>-73712</v>
      </c>
      <c r="F486" s="42">
        <v>0</v>
      </c>
      <c r="G486" s="42">
        <f t="shared" si="7"/>
        <v>-73712</v>
      </c>
      <c r="H486" s="2" t="str">
        <f>VLOOKUP(A486,'TB April'!A:H,8,0)</f>
        <v>Not Applicable</v>
      </c>
    </row>
    <row r="487" spans="1:8" hidden="1">
      <c r="A487" s="62" t="s">
        <v>1179</v>
      </c>
      <c r="B487" s="78">
        <v>-3328</v>
      </c>
      <c r="C487" s="78"/>
      <c r="D487" s="78"/>
      <c r="E487" s="78">
        <v>-3328</v>
      </c>
      <c r="F487" s="42">
        <v>0</v>
      </c>
      <c r="G487" s="42">
        <f t="shared" si="7"/>
        <v>-3328</v>
      </c>
      <c r="H487" s="2" t="str">
        <f>VLOOKUP(A487,'TB April'!A:H,8,0)</f>
        <v>Not Applicable</v>
      </c>
    </row>
    <row r="488" spans="1:8" hidden="1">
      <c r="A488" s="62" t="s">
        <v>1069</v>
      </c>
      <c r="B488" s="78">
        <v>-15895</v>
      </c>
      <c r="C488" s="78">
        <v>2628</v>
      </c>
      <c r="D488" s="78">
        <v>28216</v>
      </c>
      <c r="E488" s="78">
        <v>-41483</v>
      </c>
      <c r="F488" s="42">
        <v>0</v>
      </c>
      <c r="G488" s="42">
        <f t="shared" si="7"/>
        <v>-41483</v>
      </c>
      <c r="H488" s="2" t="str">
        <f>VLOOKUP(A488,'TB April'!A:H,8,0)</f>
        <v>Not Applicable</v>
      </c>
    </row>
    <row r="489" spans="1:8" hidden="1">
      <c r="A489" s="62" t="s">
        <v>586</v>
      </c>
      <c r="B489" s="78">
        <v>-31508.18</v>
      </c>
      <c r="C489" s="78">
        <v>2074</v>
      </c>
      <c r="D489" s="78">
        <v>11611</v>
      </c>
      <c r="E489" s="78">
        <v>-41045.18</v>
      </c>
      <c r="F489" s="42">
        <v>0</v>
      </c>
      <c r="G489" s="42">
        <f t="shared" si="7"/>
        <v>-41045.18</v>
      </c>
      <c r="H489" s="2" t="str">
        <f>VLOOKUP(A489,'TB April'!A:H,8,0)</f>
        <v>Not Applicable</v>
      </c>
    </row>
    <row r="490" spans="1:8" hidden="1">
      <c r="A490" s="62" t="s">
        <v>579</v>
      </c>
      <c r="B490" s="78">
        <v>-12489</v>
      </c>
      <c r="C490" s="78"/>
      <c r="D490" s="78"/>
      <c r="E490" s="78">
        <v>-12489</v>
      </c>
      <c r="F490" s="42">
        <v>0</v>
      </c>
      <c r="G490" s="42">
        <f t="shared" si="7"/>
        <v>-12489</v>
      </c>
      <c r="H490" s="2" t="str">
        <f>VLOOKUP(A490,'TB April'!A:H,8,0)</f>
        <v>Not Applicable</v>
      </c>
    </row>
    <row r="491" spans="1:8" hidden="1">
      <c r="A491" s="62" t="s">
        <v>574</v>
      </c>
      <c r="B491" s="78">
        <v>-122395.71</v>
      </c>
      <c r="C491" s="78">
        <v>100174</v>
      </c>
      <c r="D491" s="78">
        <v>62279</v>
      </c>
      <c r="E491" s="78">
        <v>-84500.71</v>
      </c>
      <c r="F491" s="42">
        <v>0</v>
      </c>
      <c r="G491" s="42">
        <f t="shared" si="7"/>
        <v>-84500.71</v>
      </c>
      <c r="H491" s="2" t="str">
        <f>VLOOKUP(A491,'TB April'!A:H,8,0)</f>
        <v>Not Applicable</v>
      </c>
    </row>
    <row r="492" spans="1:8" hidden="1">
      <c r="A492" s="62" t="s">
        <v>575</v>
      </c>
      <c r="B492" s="78">
        <v>-3610</v>
      </c>
      <c r="C492" s="78"/>
      <c r="D492" s="78"/>
      <c r="E492" s="78">
        <v>-3610</v>
      </c>
      <c r="F492" s="42">
        <v>0</v>
      </c>
      <c r="G492" s="42">
        <f t="shared" si="7"/>
        <v>-3610</v>
      </c>
      <c r="H492" s="2" t="str">
        <f>VLOOKUP(A492,'TB April'!A:H,8,0)</f>
        <v>Not Applicable</v>
      </c>
    </row>
    <row r="493" spans="1:8" hidden="1">
      <c r="A493" s="62" t="s">
        <v>568</v>
      </c>
      <c r="B493" s="78">
        <v>-5192</v>
      </c>
      <c r="C493" s="78"/>
      <c r="D493" s="78"/>
      <c r="E493" s="78">
        <v>-5192</v>
      </c>
      <c r="F493" s="42">
        <v>0</v>
      </c>
      <c r="G493" s="42">
        <f t="shared" si="7"/>
        <v>-5192</v>
      </c>
      <c r="H493" s="2" t="str">
        <f>VLOOKUP(A493,'TB April'!A:H,8,0)</f>
        <v>Not Applicable</v>
      </c>
    </row>
    <row r="494" spans="1:8" hidden="1">
      <c r="A494" s="62" t="s">
        <v>570</v>
      </c>
      <c r="B494" s="78"/>
      <c r="C494" s="78"/>
      <c r="D494" s="78">
        <v>3304</v>
      </c>
      <c r="E494" s="78">
        <v>-3304</v>
      </c>
      <c r="F494" s="42">
        <v>0</v>
      </c>
      <c r="G494" s="42">
        <f t="shared" si="7"/>
        <v>-3304</v>
      </c>
      <c r="H494" s="2" t="s">
        <v>84</v>
      </c>
    </row>
    <row r="495" spans="1:8" hidden="1">
      <c r="A495" s="62" t="s">
        <v>572</v>
      </c>
      <c r="B495" s="78">
        <v>-2944</v>
      </c>
      <c r="C495" s="78">
        <v>2944</v>
      </c>
      <c r="D495" s="78"/>
      <c r="E495" s="78"/>
      <c r="F495" s="42">
        <v>0</v>
      </c>
      <c r="G495" s="42">
        <f t="shared" si="7"/>
        <v>0</v>
      </c>
      <c r="H495" s="2" t="str">
        <f>VLOOKUP(A495,'TB April'!A:H,8,0)</f>
        <v>Not Applicable</v>
      </c>
    </row>
    <row r="496" spans="1:8" hidden="1">
      <c r="A496" s="62" t="s">
        <v>1262</v>
      </c>
      <c r="B496" s="78">
        <v>-61655</v>
      </c>
      <c r="C496" s="78">
        <v>61655</v>
      </c>
      <c r="D496" s="78"/>
      <c r="E496" s="78"/>
      <c r="F496" s="42">
        <v>0</v>
      </c>
      <c r="G496" s="42">
        <f t="shared" si="7"/>
        <v>0</v>
      </c>
      <c r="H496" s="2" t="str">
        <f>VLOOKUP(A496,'TB April'!A:H,8,0)</f>
        <v>Not Applicable</v>
      </c>
    </row>
    <row r="497" spans="1:8" hidden="1">
      <c r="A497" s="62" t="s">
        <v>1351</v>
      </c>
      <c r="B497" s="78">
        <v>-2443</v>
      </c>
      <c r="C497" s="78">
        <v>2443</v>
      </c>
      <c r="D497" s="78"/>
      <c r="E497" s="78"/>
      <c r="F497" s="42">
        <v>0</v>
      </c>
      <c r="G497" s="42">
        <f t="shared" si="7"/>
        <v>0</v>
      </c>
      <c r="H497" s="2" t="str">
        <f>VLOOKUP(A497,'TB April'!A:H,8,0)</f>
        <v>Not Applicable</v>
      </c>
    </row>
    <row r="498" spans="1:8" hidden="1">
      <c r="A498" s="62" t="s">
        <v>1441</v>
      </c>
      <c r="B498" s="78"/>
      <c r="C498" s="78"/>
      <c r="D498" s="78"/>
      <c r="E498" s="78"/>
      <c r="F498" s="42">
        <v>0</v>
      </c>
      <c r="G498" s="42">
        <f t="shared" si="7"/>
        <v>0</v>
      </c>
      <c r="H498" s="2" t="str">
        <f>VLOOKUP(A498,'TB April'!A:H,8,0)</f>
        <v>Not Applicable</v>
      </c>
    </row>
    <row r="499" spans="1:8" hidden="1">
      <c r="A499" s="62" t="s">
        <v>1442</v>
      </c>
      <c r="B499" s="78">
        <v>16500</v>
      </c>
      <c r="C499" s="78"/>
      <c r="D499" s="78"/>
      <c r="E499" s="78">
        <v>16500</v>
      </c>
      <c r="F499" s="42">
        <v>0</v>
      </c>
      <c r="G499" s="42">
        <f t="shared" si="7"/>
        <v>16500</v>
      </c>
      <c r="H499" s="2" t="str">
        <f>VLOOKUP(A499,'TB April'!A:H,8,0)</f>
        <v>Not Applicable</v>
      </c>
    </row>
    <row r="500" spans="1:8" hidden="1">
      <c r="A500" s="62" t="s">
        <v>563</v>
      </c>
      <c r="B500" s="78">
        <v>-11151</v>
      </c>
      <c r="C500" s="78">
        <v>14868</v>
      </c>
      <c r="D500" s="78">
        <v>11151</v>
      </c>
      <c r="E500" s="78">
        <v>-7434</v>
      </c>
      <c r="F500" s="42">
        <v>0</v>
      </c>
      <c r="G500" s="42">
        <f t="shared" si="7"/>
        <v>-7434</v>
      </c>
      <c r="H500" s="2" t="str">
        <f>VLOOKUP(A500,'TB April'!A:H,8,0)</f>
        <v>Not Applicable</v>
      </c>
    </row>
    <row r="501" spans="1:8" hidden="1">
      <c r="A501" s="62" t="s">
        <v>564</v>
      </c>
      <c r="B501" s="78">
        <v>-370</v>
      </c>
      <c r="C501" s="78">
        <v>370</v>
      </c>
      <c r="D501" s="78"/>
      <c r="E501" s="78"/>
      <c r="F501" s="42">
        <v>0</v>
      </c>
      <c r="G501" s="42">
        <f t="shared" si="7"/>
        <v>0</v>
      </c>
      <c r="H501" s="2" t="str">
        <f>VLOOKUP(A501,'TB April'!A:H,8,0)</f>
        <v>Not Applicable</v>
      </c>
    </row>
    <row r="502" spans="1:8" hidden="1">
      <c r="A502" s="62" t="s">
        <v>982</v>
      </c>
      <c r="B502" s="78">
        <v>-4720</v>
      </c>
      <c r="C502" s="78">
        <v>4720</v>
      </c>
      <c r="D502" s="78"/>
      <c r="E502" s="78"/>
      <c r="F502" s="42">
        <v>0</v>
      </c>
      <c r="G502" s="42">
        <f t="shared" si="7"/>
        <v>0</v>
      </c>
      <c r="H502" s="2" t="str">
        <f>VLOOKUP(A502,'TB April'!A:H,8,0)</f>
        <v>Not Applicable</v>
      </c>
    </row>
    <row r="503" spans="1:8" hidden="1">
      <c r="A503" s="62" t="s">
        <v>983</v>
      </c>
      <c r="B503" s="78">
        <v>-5192</v>
      </c>
      <c r="C503" s="78">
        <v>10384</v>
      </c>
      <c r="D503" s="78">
        <v>10561</v>
      </c>
      <c r="E503" s="78">
        <v>-5369</v>
      </c>
      <c r="F503" s="42">
        <v>0</v>
      </c>
      <c r="G503" s="42">
        <f t="shared" si="7"/>
        <v>-5369</v>
      </c>
      <c r="H503" s="2" t="str">
        <f>VLOOKUP(A503,'TB April'!A:H,8,0)</f>
        <v>Not Applicable</v>
      </c>
    </row>
    <row r="504" spans="1:8" hidden="1">
      <c r="A504" s="62" t="s">
        <v>566</v>
      </c>
      <c r="B504" s="78">
        <v>-6455</v>
      </c>
      <c r="C504" s="78">
        <v>2915</v>
      </c>
      <c r="D504" s="78"/>
      <c r="E504" s="78">
        <v>-3540</v>
      </c>
      <c r="F504" s="42">
        <v>0</v>
      </c>
      <c r="G504" s="42">
        <f t="shared" si="7"/>
        <v>-3540</v>
      </c>
      <c r="H504" s="2" t="str">
        <f>VLOOKUP(A504,'TB April'!A:H,8,0)</f>
        <v>Not Applicable</v>
      </c>
    </row>
    <row r="505" spans="1:8" hidden="1">
      <c r="A505" s="62" t="s">
        <v>1444</v>
      </c>
      <c r="B505" s="78"/>
      <c r="C505" s="78"/>
      <c r="D505" s="78"/>
      <c r="E505" s="78"/>
      <c r="F505" s="42">
        <v>0</v>
      </c>
      <c r="G505" s="42">
        <f t="shared" si="7"/>
        <v>0</v>
      </c>
      <c r="H505" s="2" t="str">
        <f>VLOOKUP(A505,'TB April'!A:H,8,0)</f>
        <v>Not Applicable</v>
      </c>
    </row>
    <row r="506" spans="1:8" hidden="1">
      <c r="A506" s="62" t="s">
        <v>938</v>
      </c>
      <c r="B506" s="78">
        <v>-67989.240000000005</v>
      </c>
      <c r="C506" s="78">
        <v>44333.19</v>
      </c>
      <c r="D506" s="78">
        <v>21187.93</v>
      </c>
      <c r="E506" s="78">
        <v>-44843.98</v>
      </c>
      <c r="F506" s="42">
        <v>0</v>
      </c>
      <c r="G506" s="42">
        <f t="shared" si="7"/>
        <v>-44843.98</v>
      </c>
      <c r="H506" s="2" t="str">
        <f>VLOOKUP(A506,'TB April'!A:H,8,0)</f>
        <v>Not Applicable</v>
      </c>
    </row>
    <row r="507" spans="1:8" hidden="1">
      <c r="A507" s="62" t="s">
        <v>939</v>
      </c>
      <c r="B507" s="78">
        <v>-272501.25</v>
      </c>
      <c r="C507" s="78">
        <v>261658.54</v>
      </c>
      <c r="D507" s="78">
        <v>38341.629999999997</v>
      </c>
      <c r="E507" s="78">
        <v>-49184.34</v>
      </c>
      <c r="F507" s="42">
        <v>0</v>
      </c>
      <c r="G507" s="42">
        <f t="shared" si="7"/>
        <v>-49184.34</v>
      </c>
      <c r="H507" s="2" t="str">
        <f>VLOOKUP(A507,'TB April'!A:H,8,0)</f>
        <v>Not Applicable</v>
      </c>
    </row>
    <row r="508" spans="1:8" hidden="1">
      <c r="A508" s="62" t="s">
        <v>558</v>
      </c>
      <c r="B508" s="78">
        <v>-369869.69</v>
      </c>
      <c r="C508" s="78"/>
      <c r="D508" s="78"/>
      <c r="E508" s="78">
        <v>-369869.69</v>
      </c>
      <c r="F508" s="42">
        <v>0</v>
      </c>
      <c r="G508" s="42">
        <f t="shared" si="7"/>
        <v>-369869.69</v>
      </c>
      <c r="H508" s="2" t="str">
        <f>VLOOKUP(A508,'TB April'!A:H,8,0)</f>
        <v>Not Applicable</v>
      </c>
    </row>
    <row r="509" spans="1:8" hidden="1">
      <c r="A509" s="62" t="s">
        <v>559</v>
      </c>
      <c r="B509" s="78">
        <v>-51379.05</v>
      </c>
      <c r="C509" s="78"/>
      <c r="D509" s="78"/>
      <c r="E509" s="78">
        <v>-51379.05</v>
      </c>
      <c r="F509" s="42">
        <v>0</v>
      </c>
      <c r="G509" s="42">
        <f t="shared" si="7"/>
        <v>-51379.05</v>
      </c>
      <c r="H509" s="2" t="str">
        <f>VLOOKUP(A509,'TB April'!A:H,8,0)</f>
        <v>Not Applicable</v>
      </c>
    </row>
    <row r="510" spans="1:8" hidden="1">
      <c r="A510" s="62" t="s">
        <v>1445</v>
      </c>
      <c r="B510" s="78">
        <v>128</v>
      </c>
      <c r="C510" s="78"/>
      <c r="D510" s="78"/>
      <c r="E510" s="78">
        <v>128</v>
      </c>
      <c r="F510" s="42">
        <v>0</v>
      </c>
      <c r="G510" s="42">
        <f t="shared" si="7"/>
        <v>128</v>
      </c>
      <c r="H510" s="2" t="str">
        <f>VLOOKUP(A510,'TB April'!A:H,8,0)</f>
        <v>Not Applicable</v>
      </c>
    </row>
    <row r="511" spans="1:8" hidden="1">
      <c r="A511" s="62" t="s">
        <v>1514</v>
      </c>
      <c r="B511" s="78"/>
      <c r="C511" s="78"/>
      <c r="D511" s="78">
        <v>23010</v>
      </c>
      <c r="E511" s="78">
        <v>-23010</v>
      </c>
      <c r="F511" s="42">
        <v>0</v>
      </c>
      <c r="G511" s="42">
        <f t="shared" si="7"/>
        <v>-23010</v>
      </c>
      <c r="H511" s="2" t="s">
        <v>84</v>
      </c>
    </row>
    <row r="512" spans="1:8" hidden="1">
      <c r="A512" s="62" t="s">
        <v>553</v>
      </c>
      <c r="B512" s="78">
        <v>-363.33</v>
      </c>
      <c r="C512" s="78"/>
      <c r="D512" s="78"/>
      <c r="E512" s="78">
        <v>-363.33</v>
      </c>
      <c r="F512" s="42">
        <v>0</v>
      </c>
      <c r="G512" s="42">
        <f t="shared" si="7"/>
        <v>-363.33</v>
      </c>
      <c r="H512" s="2" t="str">
        <f>VLOOKUP(A512,'TB April'!A:H,8,0)</f>
        <v>Not Applicable</v>
      </c>
    </row>
    <row r="513" spans="1:8" hidden="1">
      <c r="A513" s="62" t="s">
        <v>1182</v>
      </c>
      <c r="B513" s="78">
        <v>-4209.1400000000003</v>
      </c>
      <c r="C513" s="78">
        <v>4208</v>
      </c>
      <c r="D513" s="78">
        <v>1024</v>
      </c>
      <c r="E513" s="78">
        <v>-1025.1400000000001</v>
      </c>
      <c r="F513" s="42">
        <v>0</v>
      </c>
      <c r="G513" s="42">
        <f t="shared" si="7"/>
        <v>-1025.1400000000001</v>
      </c>
      <c r="H513" s="2" t="str">
        <f>VLOOKUP(A513,'TB April'!A:H,8,0)</f>
        <v>Not Applicable</v>
      </c>
    </row>
    <row r="514" spans="1:8" hidden="1">
      <c r="A514" s="62" t="s">
        <v>548</v>
      </c>
      <c r="B514" s="78">
        <v>-71007.13</v>
      </c>
      <c r="C514" s="78">
        <v>206846.13</v>
      </c>
      <c r="D514" s="78">
        <v>261948</v>
      </c>
      <c r="E514" s="78">
        <v>-126109</v>
      </c>
      <c r="F514" s="42">
        <v>0</v>
      </c>
      <c r="G514" s="42">
        <f t="shared" si="7"/>
        <v>-126109</v>
      </c>
      <c r="H514" s="2" t="str">
        <f>VLOOKUP(A514,'TB April'!A:H,8,0)</f>
        <v>Not Applicable</v>
      </c>
    </row>
    <row r="515" spans="1:8" hidden="1">
      <c r="A515" s="62" t="s">
        <v>1446</v>
      </c>
      <c r="B515" s="78">
        <v>-4366</v>
      </c>
      <c r="C515" s="78">
        <v>4366</v>
      </c>
      <c r="D515" s="78"/>
      <c r="E515" s="78"/>
      <c r="F515" s="42">
        <v>0</v>
      </c>
      <c r="G515" s="42">
        <f t="shared" si="7"/>
        <v>0</v>
      </c>
      <c r="H515" s="2" t="str">
        <f>VLOOKUP(A515,'TB April'!A:H,8,0)</f>
        <v>Not Applicable</v>
      </c>
    </row>
    <row r="516" spans="1:8" hidden="1">
      <c r="A516" s="62" t="s">
        <v>1017</v>
      </c>
      <c r="B516" s="78">
        <v>-18880</v>
      </c>
      <c r="C516" s="78">
        <v>18880</v>
      </c>
      <c r="D516" s="78"/>
      <c r="E516" s="78"/>
      <c r="F516" s="42">
        <v>0</v>
      </c>
      <c r="G516" s="42">
        <f t="shared" si="7"/>
        <v>0</v>
      </c>
      <c r="H516" s="2" t="str">
        <f>VLOOKUP(A516,'TB April'!A:H,8,0)</f>
        <v>Not Applicable</v>
      </c>
    </row>
    <row r="517" spans="1:8" hidden="1">
      <c r="A517" s="62" t="s">
        <v>1320</v>
      </c>
      <c r="B517" s="78">
        <v>100501.5</v>
      </c>
      <c r="C517" s="78">
        <v>45736.800000000003</v>
      </c>
      <c r="D517" s="78">
        <v>146239</v>
      </c>
      <c r="E517" s="78">
        <v>-0.7</v>
      </c>
      <c r="F517" s="42">
        <v>0</v>
      </c>
      <c r="G517" s="42">
        <f t="shared" si="7"/>
        <v>-0.7</v>
      </c>
      <c r="H517" s="2" t="str">
        <f>VLOOKUP(A517,'TB April'!A:H,8,0)</f>
        <v>Not Applicable</v>
      </c>
    </row>
    <row r="518" spans="1:8" hidden="1">
      <c r="A518" s="62" t="s">
        <v>1447</v>
      </c>
      <c r="B518" s="78">
        <v>1021.88</v>
      </c>
      <c r="C518" s="78"/>
      <c r="D518" s="78"/>
      <c r="E518" s="78">
        <v>1021.88</v>
      </c>
      <c r="F518" s="42">
        <v>0</v>
      </c>
      <c r="G518" s="42">
        <f t="shared" ref="G518:G581" si="8">+E518+F518</f>
        <v>1021.88</v>
      </c>
      <c r="H518" s="2" t="str">
        <f>VLOOKUP(A518,'TB April'!A:H,8,0)</f>
        <v>Not Applicable</v>
      </c>
    </row>
    <row r="519" spans="1:8" hidden="1">
      <c r="A519" s="62" t="s">
        <v>1337</v>
      </c>
      <c r="B519" s="78">
        <v>-840</v>
      </c>
      <c r="C519" s="78"/>
      <c r="D519" s="78"/>
      <c r="E519" s="78">
        <v>-840</v>
      </c>
      <c r="F519" s="42">
        <v>0</v>
      </c>
      <c r="G519" s="42">
        <f t="shared" si="8"/>
        <v>-840</v>
      </c>
      <c r="H519" s="2" t="str">
        <f>VLOOKUP(A519,'TB April'!A:H,8,0)</f>
        <v>Not Applicable</v>
      </c>
    </row>
    <row r="520" spans="1:8" hidden="1">
      <c r="A520" s="62" t="s">
        <v>536</v>
      </c>
      <c r="B520" s="78">
        <v>-5960</v>
      </c>
      <c r="C520" s="78">
        <v>5960</v>
      </c>
      <c r="D520" s="78"/>
      <c r="E520" s="78"/>
      <c r="F520" s="42">
        <v>0</v>
      </c>
      <c r="G520" s="42">
        <f t="shared" si="8"/>
        <v>0</v>
      </c>
      <c r="H520" s="2" t="str">
        <f>VLOOKUP(A520,'TB April'!A:H,8,0)</f>
        <v>Not Applicable</v>
      </c>
    </row>
    <row r="521" spans="1:8" hidden="1">
      <c r="A521" s="62" t="s">
        <v>532</v>
      </c>
      <c r="B521" s="78">
        <v>-15458</v>
      </c>
      <c r="C521" s="78"/>
      <c r="D521" s="78"/>
      <c r="E521" s="78">
        <v>-15458</v>
      </c>
      <c r="F521" s="42">
        <v>0</v>
      </c>
      <c r="G521" s="42">
        <f t="shared" si="8"/>
        <v>-15458</v>
      </c>
      <c r="H521" s="2" t="str">
        <f>VLOOKUP(A521,'TB April'!A:H,8,0)</f>
        <v>Not Applicable</v>
      </c>
    </row>
    <row r="522" spans="1:8" hidden="1">
      <c r="A522" s="62" t="s">
        <v>1448</v>
      </c>
      <c r="B522" s="78">
        <v>-28477</v>
      </c>
      <c r="C522" s="78"/>
      <c r="D522" s="78"/>
      <c r="E522" s="78">
        <v>-28477</v>
      </c>
      <c r="F522" s="42">
        <v>0</v>
      </c>
      <c r="G522" s="42">
        <f t="shared" si="8"/>
        <v>-28477</v>
      </c>
      <c r="H522" s="2" t="str">
        <f>VLOOKUP(A522,'TB April'!A:H,8,0)</f>
        <v>Not Applicable</v>
      </c>
    </row>
    <row r="523" spans="1:8" hidden="1">
      <c r="A523" s="62" t="s">
        <v>530</v>
      </c>
      <c r="B523" s="78">
        <v>-84201</v>
      </c>
      <c r="C523" s="78">
        <v>100284</v>
      </c>
      <c r="D523" s="78">
        <v>30083</v>
      </c>
      <c r="E523" s="78">
        <v>-14000</v>
      </c>
      <c r="F523" s="42">
        <v>0</v>
      </c>
      <c r="G523" s="42">
        <f t="shared" si="8"/>
        <v>-14000</v>
      </c>
      <c r="H523" s="2" t="str">
        <f>VLOOKUP(A523,'TB April'!A:H,8,0)</f>
        <v>Not Applicable</v>
      </c>
    </row>
    <row r="524" spans="1:8" hidden="1">
      <c r="A524" s="62" t="s">
        <v>1449</v>
      </c>
      <c r="B524" s="78">
        <v>-38744</v>
      </c>
      <c r="C524" s="78"/>
      <c r="D524" s="78"/>
      <c r="E524" s="78">
        <v>-38744</v>
      </c>
      <c r="F524" s="42">
        <v>0</v>
      </c>
      <c r="G524" s="42">
        <f t="shared" si="8"/>
        <v>-38744</v>
      </c>
      <c r="H524" s="2" t="str">
        <f>VLOOKUP(A524,'TB April'!A:H,8,0)</f>
        <v>Not Applicable</v>
      </c>
    </row>
    <row r="525" spans="1:8" hidden="1">
      <c r="A525" s="62" t="s">
        <v>529</v>
      </c>
      <c r="B525" s="78">
        <v>-38962.5</v>
      </c>
      <c r="C525" s="78">
        <v>18726</v>
      </c>
      <c r="D525" s="78">
        <v>46728</v>
      </c>
      <c r="E525" s="78">
        <v>-66964.5</v>
      </c>
      <c r="F525" s="42">
        <v>0</v>
      </c>
      <c r="G525" s="42">
        <f t="shared" si="8"/>
        <v>-66964.5</v>
      </c>
      <c r="H525" s="2" t="str">
        <f>VLOOKUP(A525,'TB April'!A:H,8,0)</f>
        <v>Not Applicable</v>
      </c>
    </row>
    <row r="526" spans="1:8" hidden="1">
      <c r="A526" s="62" t="s">
        <v>1450</v>
      </c>
      <c r="B526" s="78"/>
      <c r="C526" s="78"/>
      <c r="D526" s="78"/>
      <c r="E526" s="78"/>
      <c r="F526" s="42">
        <v>0</v>
      </c>
      <c r="G526" s="42">
        <f t="shared" si="8"/>
        <v>0</v>
      </c>
      <c r="H526" s="2" t="str">
        <f>VLOOKUP(A526,'TB April'!A:H,8,0)</f>
        <v>Not Applicable</v>
      </c>
    </row>
    <row r="527" spans="1:8" hidden="1">
      <c r="A527" s="62" t="s">
        <v>522</v>
      </c>
      <c r="B527" s="78">
        <v>-16891.400000000001</v>
      </c>
      <c r="C527" s="78">
        <v>12620</v>
      </c>
      <c r="D527" s="78">
        <v>5345</v>
      </c>
      <c r="E527" s="78">
        <v>-9616.4</v>
      </c>
      <c r="F527" s="42">
        <v>0</v>
      </c>
      <c r="G527" s="42">
        <f t="shared" si="8"/>
        <v>-9616.4</v>
      </c>
      <c r="H527" s="2" t="str">
        <f>VLOOKUP(A527,'TB April'!A:H,8,0)</f>
        <v>Not Applicable</v>
      </c>
    </row>
    <row r="528" spans="1:8" hidden="1">
      <c r="A528" s="62" t="s">
        <v>523</v>
      </c>
      <c r="B528" s="78">
        <v>3266.14</v>
      </c>
      <c r="C528" s="78"/>
      <c r="D528" s="78">
        <v>3266</v>
      </c>
      <c r="E528" s="78">
        <v>0.14000000000000001</v>
      </c>
      <c r="F528" s="42">
        <v>0</v>
      </c>
      <c r="G528" s="42">
        <f t="shared" si="8"/>
        <v>0.14000000000000001</v>
      </c>
      <c r="H528" s="2" t="str">
        <f>VLOOKUP(A528,'TB April'!A:H,8,0)</f>
        <v>Not Applicable</v>
      </c>
    </row>
    <row r="529" spans="1:8" hidden="1">
      <c r="A529" s="62" t="s">
        <v>1451</v>
      </c>
      <c r="B529" s="78">
        <v>-330.4</v>
      </c>
      <c r="C529" s="78"/>
      <c r="D529" s="78"/>
      <c r="E529" s="78">
        <v>-330.4</v>
      </c>
      <c r="F529" s="42">
        <v>0</v>
      </c>
      <c r="G529" s="42">
        <f t="shared" si="8"/>
        <v>-330.4</v>
      </c>
      <c r="H529" s="2" t="str">
        <f>VLOOKUP(A529,'TB April'!A:H,8,0)</f>
        <v>Not Applicable</v>
      </c>
    </row>
    <row r="530" spans="1:8" hidden="1">
      <c r="A530" s="62" t="s">
        <v>520</v>
      </c>
      <c r="B530" s="78">
        <v>-8153</v>
      </c>
      <c r="C530" s="78">
        <v>8153</v>
      </c>
      <c r="D530" s="78"/>
      <c r="E530" s="78"/>
      <c r="F530" s="42">
        <v>0</v>
      </c>
      <c r="G530" s="42">
        <f t="shared" si="8"/>
        <v>0</v>
      </c>
      <c r="H530" s="2" t="str">
        <f>VLOOKUP(A530,'TB April'!A:H,8,0)</f>
        <v>Not Applicable</v>
      </c>
    </row>
    <row r="531" spans="1:8" hidden="1">
      <c r="A531" s="62" t="s">
        <v>1016</v>
      </c>
      <c r="B531" s="78">
        <v>29517.8</v>
      </c>
      <c r="C531" s="78"/>
      <c r="D531" s="78">
        <v>25618</v>
      </c>
      <c r="E531" s="78">
        <v>3899.8</v>
      </c>
      <c r="F531" s="42">
        <v>0</v>
      </c>
      <c r="G531" s="42">
        <f t="shared" si="8"/>
        <v>3899.8</v>
      </c>
      <c r="H531" s="2" t="str">
        <f>VLOOKUP(A531,'TB April'!A:H,8,0)</f>
        <v>Not Applicable</v>
      </c>
    </row>
    <row r="532" spans="1:8" hidden="1">
      <c r="A532" s="62" t="s">
        <v>512</v>
      </c>
      <c r="B532" s="78"/>
      <c r="C532" s="78"/>
      <c r="D532" s="78"/>
      <c r="E532" s="78"/>
      <c r="F532" s="42">
        <v>0</v>
      </c>
      <c r="G532" s="42">
        <f t="shared" si="8"/>
        <v>0</v>
      </c>
      <c r="H532" s="2" t="str">
        <f>VLOOKUP(A532,'TB April'!A:H,8,0)</f>
        <v>Not Applicable</v>
      </c>
    </row>
    <row r="533" spans="1:8" hidden="1">
      <c r="A533" s="62" t="s">
        <v>1452</v>
      </c>
      <c r="B533" s="78"/>
      <c r="C533" s="78"/>
      <c r="D533" s="78"/>
      <c r="E533" s="78"/>
      <c r="F533" s="42">
        <v>0</v>
      </c>
      <c r="G533" s="42">
        <f t="shared" si="8"/>
        <v>0</v>
      </c>
      <c r="H533" s="2" t="str">
        <f>VLOOKUP(A533,'TB April'!A:H,8,0)</f>
        <v>Not Applicable</v>
      </c>
    </row>
    <row r="534" spans="1:8" hidden="1">
      <c r="A534" s="62" t="s">
        <v>857</v>
      </c>
      <c r="B534" s="78">
        <v>-110405</v>
      </c>
      <c r="C534" s="78">
        <v>135129</v>
      </c>
      <c r="D534" s="78">
        <v>61159</v>
      </c>
      <c r="E534" s="78">
        <v>-36435</v>
      </c>
      <c r="F534" s="42">
        <v>0</v>
      </c>
      <c r="G534" s="42">
        <f t="shared" si="8"/>
        <v>-36435</v>
      </c>
      <c r="H534" s="2" t="str">
        <f>VLOOKUP(A534,'TB April'!A:H,8,0)</f>
        <v>Not Applicable</v>
      </c>
    </row>
    <row r="535" spans="1:8" hidden="1">
      <c r="A535" s="62" t="s">
        <v>1118</v>
      </c>
      <c r="B535" s="78">
        <v>-41712.94</v>
      </c>
      <c r="C535" s="78">
        <v>209312</v>
      </c>
      <c r="D535" s="78">
        <v>194890</v>
      </c>
      <c r="E535" s="78">
        <v>-27290.94</v>
      </c>
      <c r="F535" s="42">
        <v>0</v>
      </c>
      <c r="G535" s="42">
        <f t="shared" si="8"/>
        <v>-27290.94</v>
      </c>
      <c r="H535" s="2" t="str">
        <f>VLOOKUP(A535,'TB April'!A:H,8,0)</f>
        <v>Not Applicable</v>
      </c>
    </row>
    <row r="536" spans="1:8" hidden="1">
      <c r="A536" s="62" t="s">
        <v>493</v>
      </c>
      <c r="B536" s="78"/>
      <c r="C536" s="78"/>
      <c r="D536" s="78"/>
      <c r="E536" s="78"/>
      <c r="F536" s="42">
        <v>0</v>
      </c>
      <c r="G536" s="42">
        <f t="shared" si="8"/>
        <v>0</v>
      </c>
      <c r="H536" s="2" t="str">
        <f>VLOOKUP(A536,'TB April'!A:H,8,0)</f>
        <v>Not Applicable</v>
      </c>
    </row>
    <row r="537" spans="1:8" hidden="1">
      <c r="A537" s="62" t="s">
        <v>484</v>
      </c>
      <c r="B537" s="78">
        <v>-18145.099999999999</v>
      </c>
      <c r="C537" s="78">
        <v>18145.099999999999</v>
      </c>
      <c r="D537" s="78"/>
      <c r="E537" s="78"/>
      <c r="F537" s="42">
        <v>0</v>
      </c>
      <c r="G537" s="42">
        <f t="shared" si="8"/>
        <v>0</v>
      </c>
      <c r="H537" s="2" t="str">
        <f>VLOOKUP(A537,'TB April'!A:H,8,0)</f>
        <v>Not Applicable</v>
      </c>
    </row>
    <row r="538" spans="1:8" hidden="1">
      <c r="A538" s="62" t="s">
        <v>1453</v>
      </c>
      <c r="B538" s="78"/>
      <c r="C538" s="78"/>
      <c r="D538" s="78"/>
      <c r="E538" s="78"/>
      <c r="F538" s="42">
        <v>0</v>
      </c>
      <c r="G538" s="42">
        <f t="shared" si="8"/>
        <v>0</v>
      </c>
      <c r="H538" s="2" t="str">
        <f>VLOOKUP(A538,'TB April'!A:H,8,0)</f>
        <v>Not Applicable</v>
      </c>
    </row>
    <row r="539" spans="1:8" hidden="1">
      <c r="A539" s="62" t="s">
        <v>481</v>
      </c>
      <c r="B539" s="78">
        <v>-466.6</v>
      </c>
      <c r="C539" s="78">
        <v>4578</v>
      </c>
      <c r="D539" s="78">
        <v>2478</v>
      </c>
      <c r="E539" s="78">
        <v>1633.4</v>
      </c>
      <c r="F539" s="42">
        <v>0</v>
      </c>
      <c r="G539" s="42">
        <f t="shared" si="8"/>
        <v>1633.4</v>
      </c>
      <c r="H539" s="2" t="str">
        <f>VLOOKUP(A539,'TB April'!A:H,8,0)</f>
        <v>Not Applicable</v>
      </c>
    </row>
    <row r="540" spans="1:8" hidden="1">
      <c r="A540" s="62" t="s">
        <v>466</v>
      </c>
      <c r="B540" s="78"/>
      <c r="C540" s="78"/>
      <c r="D540" s="78">
        <v>23388</v>
      </c>
      <c r="E540" s="78">
        <v>-23388</v>
      </c>
      <c r="F540" s="42">
        <v>0</v>
      </c>
      <c r="G540" s="42">
        <f t="shared" si="8"/>
        <v>-23388</v>
      </c>
      <c r="H540" s="2" t="str">
        <f>VLOOKUP(A540,'TB April'!A:H,8,0)</f>
        <v>Not Applicable</v>
      </c>
    </row>
    <row r="541" spans="1:8" hidden="1">
      <c r="A541" s="62" t="s">
        <v>467</v>
      </c>
      <c r="B541" s="78">
        <v>-3363</v>
      </c>
      <c r="C541" s="78">
        <v>3363</v>
      </c>
      <c r="D541" s="78"/>
      <c r="E541" s="78"/>
      <c r="F541" s="42">
        <v>0</v>
      </c>
      <c r="G541" s="42">
        <f t="shared" si="8"/>
        <v>0</v>
      </c>
      <c r="H541" s="2" t="str">
        <f>VLOOKUP(A541,'TB April'!A:H,8,0)</f>
        <v>Not Applicable</v>
      </c>
    </row>
    <row r="542" spans="1:8" hidden="1">
      <c r="A542" s="62" t="s">
        <v>868</v>
      </c>
      <c r="B542" s="78">
        <v>-16992</v>
      </c>
      <c r="C542" s="78"/>
      <c r="D542" s="78"/>
      <c r="E542" s="78">
        <v>-16992</v>
      </c>
      <c r="F542" s="42">
        <v>0</v>
      </c>
      <c r="G542" s="42">
        <f t="shared" si="8"/>
        <v>-16992</v>
      </c>
      <c r="H542" s="2" t="str">
        <f>VLOOKUP(A542,'TB April'!A:H,8,0)</f>
        <v>Not Applicable</v>
      </c>
    </row>
    <row r="543" spans="1:8" hidden="1">
      <c r="A543" s="62" t="s">
        <v>1037</v>
      </c>
      <c r="B543" s="78"/>
      <c r="C543" s="78">
        <v>24898</v>
      </c>
      <c r="D543" s="78">
        <v>24898</v>
      </c>
      <c r="E543" s="78"/>
      <c r="F543" s="42">
        <v>0</v>
      </c>
      <c r="G543" s="42">
        <f t="shared" si="8"/>
        <v>0</v>
      </c>
      <c r="H543" s="2" t="str">
        <f>VLOOKUP(A543,'TB April'!A:H,8,0)</f>
        <v>Not Applicable</v>
      </c>
    </row>
    <row r="544" spans="1:8" hidden="1">
      <c r="A544" s="62" t="s">
        <v>897</v>
      </c>
      <c r="B544" s="78">
        <v>118.8</v>
      </c>
      <c r="C544" s="78"/>
      <c r="D544" s="78"/>
      <c r="E544" s="78">
        <v>118.8</v>
      </c>
      <c r="F544" s="42">
        <v>0</v>
      </c>
      <c r="G544" s="42">
        <f t="shared" si="8"/>
        <v>118.8</v>
      </c>
      <c r="H544" s="2" t="str">
        <f>VLOOKUP(A544,'TB April'!A:H,8,0)</f>
        <v>Not Applicable</v>
      </c>
    </row>
    <row r="545" spans="1:8" hidden="1">
      <c r="A545" s="62" t="s">
        <v>1217</v>
      </c>
      <c r="B545" s="78">
        <v>-51715</v>
      </c>
      <c r="C545" s="78">
        <v>51715</v>
      </c>
      <c r="D545" s="78"/>
      <c r="E545" s="78"/>
      <c r="F545" s="42">
        <v>0</v>
      </c>
      <c r="G545" s="42">
        <f t="shared" si="8"/>
        <v>0</v>
      </c>
      <c r="H545" s="2" t="str">
        <f>VLOOKUP(A545,'TB April'!A:H,8,0)</f>
        <v>Not Applicable</v>
      </c>
    </row>
    <row r="546" spans="1:8" hidden="1">
      <c r="A546" s="62" t="s">
        <v>1515</v>
      </c>
      <c r="B546" s="78"/>
      <c r="C546" s="78"/>
      <c r="D546" s="78"/>
      <c r="E546" s="78"/>
      <c r="F546" s="42">
        <v>0</v>
      </c>
      <c r="G546" s="42">
        <f t="shared" si="8"/>
        <v>0</v>
      </c>
      <c r="H546" s="2" t="s">
        <v>84</v>
      </c>
    </row>
    <row r="547" spans="1:8" hidden="1">
      <c r="A547" s="62" t="s">
        <v>459</v>
      </c>
      <c r="B547" s="78">
        <v>-14300</v>
      </c>
      <c r="C547" s="78">
        <v>14300</v>
      </c>
      <c r="D547" s="78"/>
      <c r="E547" s="78"/>
      <c r="F547" s="42">
        <v>0</v>
      </c>
      <c r="G547" s="42">
        <f t="shared" si="8"/>
        <v>0</v>
      </c>
      <c r="H547" s="2" t="str">
        <f>VLOOKUP(A547,'TB April'!A:H,8,0)</f>
        <v>Not Applicable</v>
      </c>
    </row>
    <row r="548" spans="1:8" hidden="1">
      <c r="A548" s="62" t="s">
        <v>1454</v>
      </c>
      <c r="B548" s="78"/>
      <c r="C548" s="78">
        <v>1309.8</v>
      </c>
      <c r="D548" s="78">
        <v>1309.8</v>
      </c>
      <c r="E548" s="78"/>
      <c r="F548" s="42">
        <v>0</v>
      </c>
      <c r="G548" s="42">
        <f t="shared" si="8"/>
        <v>0</v>
      </c>
      <c r="H548" s="2" t="str">
        <f>VLOOKUP(A548,'TB April'!A:H,8,0)</f>
        <v>Not Applicable</v>
      </c>
    </row>
    <row r="549" spans="1:8" hidden="1">
      <c r="A549" s="62" t="s">
        <v>1455</v>
      </c>
      <c r="B549" s="78"/>
      <c r="C549" s="78"/>
      <c r="D549" s="78"/>
      <c r="E549" s="78"/>
      <c r="F549" s="42">
        <v>0</v>
      </c>
      <c r="G549" s="42">
        <f t="shared" si="8"/>
        <v>0</v>
      </c>
      <c r="H549" s="2" t="str">
        <f>VLOOKUP(A549,'TB April'!A:H,8,0)</f>
        <v>Not Applicable</v>
      </c>
    </row>
    <row r="550" spans="1:8" hidden="1">
      <c r="A550" s="62" t="s">
        <v>409</v>
      </c>
      <c r="B550" s="78"/>
      <c r="C550" s="78">
        <v>23930</v>
      </c>
      <c r="D550" s="78">
        <v>23930</v>
      </c>
      <c r="E550" s="78"/>
      <c r="F550" s="42">
        <v>0</v>
      </c>
      <c r="G550" s="42">
        <f t="shared" si="8"/>
        <v>0</v>
      </c>
      <c r="H550" s="2" t="str">
        <f>VLOOKUP(A550,'TB April'!A:H,8,0)</f>
        <v>Not Applicable</v>
      </c>
    </row>
    <row r="551" spans="1:8" hidden="1">
      <c r="A551" s="62" t="s">
        <v>978</v>
      </c>
      <c r="B551" s="78">
        <v>-8198</v>
      </c>
      <c r="C551" s="78"/>
      <c r="D551" s="78"/>
      <c r="E551" s="78">
        <v>-8198</v>
      </c>
      <c r="F551" s="42">
        <v>0</v>
      </c>
      <c r="G551" s="42">
        <f t="shared" si="8"/>
        <v>-8198</v>
      </c>
      <c r="H551" s="2" t="str">
        <f>VLOOKUP(A551,'TB April'!A:H,8,0)</f>
        <v>Not Applicable</v>
      </c>
    </row>
    <row r="552" spans="1:8" hidden="1">
      <c r="A552" s="62" t="s">
        <v>453</v>
      </c>
      <c r="B552" s="78">
        <v>-315182</v>
      </c>
      <c r="C552" s="78">
        <v>437066</v>
      </c>
      <c r="D552" s="78">
        <v>363503</v>
      </c>
      <c r="E552" s="78">
        <v>-241619</v>
      </c>
      <c r="F552" s="42">
        <v>0</v>
      </c>
      <c r="G552" s="42">
        <f t="shared" si="8"/>
        <v>-241619</v>
      </c>
      <c r="H552" s="2" t="str">
        <f>VLOOKUP(A552,'TB April'!A:H,8,0)</f>
        <v>Not Applicable</v>
      </c>
    </row>
    <row r="553" spans="1:8" hidden="1">
      <c r="A553" s="62" t="s">
        <v>449</v>
      </c>
      <c r="B553" s="78">
        <v>-6136</v>
      </c>
      <c r="C553" s="78">
        <v>179</v>
      </c>
      <c r="D553" s="78">
        <v>179</v>
      </c>
      <c r="E553" s="78">
        <v>-6136</v>
      </c>
      <c r="F553" s="42">
        <v>0</v>
      </c>
      <c r="G553" s="42">
        <f t="shared" si="8"/>
        <v>-6136</v>
      </c>
      <c r="H553" s="2" t="str">
        <f>VLOOKUP(A553,'TB April'!A:H,8,0)</f>
        <v>Not Applicable</v>
      </c>
    </row>
    <row r="554" spans="1:8" hidden="1">
      <c r="A554" s="62" t="s">
        <v>1096</v>
      </c>
      <c r="B554" s="78"/>
      <c r="C554" s="78"/>
      <c r="D554" s="78"/>
      <c r="E554" s="78"/>
      <c r="F554" s="42">
        <v>0</v>
      </c>
      <c r="G554" s="42">
        <f t="shared" si="8"/>
        <v>0</v>
      </c>
      <c r="H554" s="2" t="str">
        <f>VLOOKUP(A554,'TB April'!A:H,8,0)</f>
        <v>Not Applicable</v>
      </c>
    </row>
    <row r="555" spans="1:8" hidden="1">
      <c r="A555" s="62" t="s">
        <v>450</v>
      </c>
      <c r="B555" s="78">
        <v>-4213</v>
      </c>
      <c r="C555" s="78">
        <v>30291</v>
      </c>
      <c r="D555" s="78">
        <v>27989.8</v>
      </c>
      <c r="E555" s="78">
        <v>-1911.8</v>
      </c>
      <c r="F555" s="42">
        <v>0</v>
      </c>
      <c r="G555" s="42">
        <f t="shared" si="8"/>
        <v>-1911.8</v>
      </c>
      <c r="H555" s="2" t="str">
        <f>VLOOKUP(A555,'TB April'!A:H,8,0)</f>
        <v>Not Applicable</v>
      </c>
    </row>
    <row r="556" spans="1:8" hidden="1">
      <c r="A556" s="62" t="s">
        <v>451</v>
      </c>
      <c r="B556" s="78">
        <v>-68735</v>
      </c>
      <c r="C556" s="78">
        <v>68735</v>
      </c>
      <c r="D556" s="78"/>
      <c r="E556" s="78"/>
      <c r="F556" s="42">
        <v>0</v>
      </c>
      <c r="G556" s="42">
        <f t="shared" si="8"/>
        <v>0</v>
      </c>
      <c r="H556" s="2" t="str">
        <f>VLOOKUP(A556,'TB April'!A:H,8,0)</f>
        <v>Not Applicable</v>
      </c>
    </row>
    <row r="557" spans="1:8" hidden="1">
      <c r="A557" s="62" t="s">
        <v>452</v>
      </c>
      <c r="B557" s="78"/>
      <c r="C557" s="78">
        <v>4903.5</v>
      </c>
      <c r="D557" s="78">
        <v>4903.5</v>
      </c>
      <c r="E557" s="78"/>
      <c r="F557" s="42">
        <v>0</v>
      </c>
      <c r="G557" s="42">
        <f t="shared" si="8"/>
        <v>0</v>
      </c>
      <c r="H557" s="2" t="str">
        <f>VLOOKUP(A557,'TB April'!A:H,8,0)</f>
        <v>Not Applicable</v>
      </c>
    </row>
    <row r="558" spans="1:8" hidden="1">
      <c r="A558" s="62" t="s">
        <v>435</v>
      </c>
      <c r="B558" s="78">
        <v>-2047</v>
      </c>
      <c r="C558" s="78">
        <v>29</v>
      </c>
      <c r="D558" s="78">
        <v>3044</v>
      </c>
      <c r="E558" s="78">
        <v>-5062</v>
      </c>
      <c r="F558" s="42">
        <v>0</v>
      </c>
      <c r="G558" s="42">
        <f t="shared" si="8"/>
        <v>-5062</v>
      </c>
      <c r="H558" s="2" t="str">
        <f>VLOOKUP(A558,'TB April'!A:H,8,0)</f>
        <v>Not Applicable</v>
      </c>
    </row>
    <row r="559" spans="1:8" hidden="1">
      <c r="A559" s="62" t="s">
        <v>439</v>
      </c>
      <c r="B559" s="78">
        <v>-200412.23</v>
      </c>
      <c r="C559" s="78">
        <v>59472</v>
      </c>
      <c r="D559" s="78">
        <v>18172</v>
      </c>
      <c r="E559" s="78">
        <v>-159112.23000000001</v>
      </c>
      <c r="F559" s="42">
        <v>0</v>
      </c>
      <c r="G559" s="42">
        <f t="shared" si="8"/>
        <v>-159112.23000000001</v>
      </c>
      <c r="H559" s="2" t="str">
        <f>VLOOKUP(A559,'TB April'!A:H,8,0)</f>
        <v>Not Applicable</v>
      </c>
    </row>
    <row r="560" spans="1:8" hidden="1">
      <c r="A560" s="62" t="s">
        <v>440</v>
      </c>
      <c r="B560" s="78"/>
      <c r="C560" s="78"/>
      <c r="D560" s="78"/>
      <c r="E560" s="78"/>
      <c r="F560" s="42">
        <v>0</v>
      </c>
      <c r="G560" s="42">
        <f t="shared" si="8"/>
        <v>0</v>
      </c>
      <c r="H560" s="2" t="str">
        <f>VLOOKUP(A560,'TB April'!A:H,8,0)</f>
        <v>Not Applicable</v>
      </c>
    </row>
    <row r="561" spans="1:8" hidden="1">
      <c r="A561" s="62" t="s">
        <v>1063</v>
      </c>
      <c r="B561" s="78">
        <v>0.14000000000000001</v>
      </c>
      <c r="C561" s="78"/>
      <c r="D561" s="78"/>
      <c r="E561" s="78">
        <v>0.14000000000000001</v>
      </c>
      <c r="F561" s="42">
        <v>0</v>
      </c>
      <c r="G561" s="42">
        <f t="shared" si="8"/>
        <v>0.14000000000000001</v>
      </c>
      <c r="H561" s="2" t="str">
        <f>VLOOKUP(A561,'TB April'!A:H,8,0)</f>
        <v>Not Applicable</v>
      </c>
    </row>
    <row r="562" spans="1:8" hidden="1">
      <c r="A562" s="62" t="s">
        <v>1339</v>
      </c>
      <c r="B562" s="78">
        <v>-43660</v>
      </c>
      <c r="C562" s="78">
        <v>62835</v>
      </c>
      <c r="D562" s="78">
        <v>29795</v>
      </c>
      <c r="E562" s="78">
        <v>-10620</v>
      </c>
      <c r="F562" s="42">
        <v>0</v>
      </c>
      <c r="G562" s="42">
        <f t="shared" si="8"/>
        <v>-10620</v>
      </c>
      <c r="H562" s="2" t="str">
        <f>VLOOKUP(A562,'TB April'!A:H,8,0)</f>
        <v>Not Applicable</v>
      </c>
    </row>
    <row r="563" spans="1:8" hidden="1">
      <c r="A563" s="62" t="s">
        <v>432</v>
      </c>
      <c r="B563" s="78"/>
      <c r="C563" s="78"/>
      <c r="D563" s="78"/>
      <c r="E563" s="78"/>
      <c r="F563" s="42">
        <v>0</v>
      </c>
      <c r="G563" s="42">
        <f t="shared" si="8"/>
        <v>0</v>
      </c>
      <c r="H563" s="2" t="str">
        <f>VLOOKUP(A563,'TB April'!A:H,8,0)</f>
        <v>Not Applicable</v>
      </c>
    </row>
    <row r="564" spans="1:8" hidden="1">
      <c r="A564" s="62" t="s">
        <v>427</v>
      </c>
      <c r="B564" s="78">
        <v>6938.4</v>
      </c>
      <c r="C564" s="78"/>
      <c r="D564" s="78">
        <v>6939</v>
      </c>
      <c r="E564" s="78">
        <v>-0.6</v>
      </c>
      <c r="F564" s="42">
        <v>0</v>
      </c>
      <c r="G564" s="42">
        <f t="shared" si="8"/>
        <v>-0.6</v>
      </c>
      <c r="H564" s="2" t="str">
        <f>VLOOKUP(A564,'TB April'!A:H,8,0)</f>
        <v>Not Applicable</v>
      </c>
    </row>
    <row r="565" spans="1:8" hidden="1">
      <c r="A565" s="62" t="s">
        <v>429</v>
      </c>
      <c r="B565" s="78">
        <v>-47161</v>
      </c>
      <c r="C565" s="78">
        <v>38625</v>
      </c>
      <c r="D565" s="78">
        <v>8103</v>
      </c>
      <c r="E565" s="78">
        <v>-16639</v>
      </c>
      <c r="F565" s="42">
        <v>0</v>
      </c>
      <c r="G565" s="42">
        <f t="shared" si="8"/>
        <v>-16639</v>
      </c>
      <c r="H565" s="2" t="str">
        <f>VLOOKUP(A565,'TB April'!A:H,8,0)</f>
        <v>Not Applicable</v>
      </c>
    </row>
    <row r="566" spans="1:8" hidden="1">
      <c r="A566" s="62" t="s">
        <v>1341</v>
      </c>
      <c r="B566" s="78">
        <v>-28261</v>
      </c>
      <c r="C566" s="78"/>
      <c r="D566" s="78"/>
      <c r="E566" s="78">
        <v>-28261</v>
      </c>
      <c r="F566" s="42">
        <v>0</v>
      </c>
      <c r="G566" s="42">
        <f t="shared" si="8"/>
        <v>-28261</v>
      </c>
      <c r="H566" s="2" t="str">
        <f>VLOOKUP(A566,'TB April'!A:H,8,0)</f>
        <v>Not Applicable</v>
      </c>
    </row>
    <row r="567" spans="1:8" hidden="1">
      <c r="A567" s="62" t="s">
        <v>423</v>
      </c>
      <c r="B567" s="78"/>
      <c r="C567" s="78"/>
      <c r="D567" s="78"/>
      <c r="E567" s="78"/>
      <c r="F567" s="42">
        <v>0</v>
      </c>
      <c r="G567" s="42">
        <f t="shared" si="8"/>
        <v>0</v>
      </c>
      <c r="H567" s="2" t="str">
        <f>VLOOKUP(A567,'TB April'!A:H,8,0)</f>
        <v>Not Applicable</v>
      </c>
    </row>
    <row r="568" spans="1:8" hidden="1">
      <c r="A568" s="62" t="s">
        <v>424</v>
      </c>
      <c r="B568" s="78">
        <v>-40521</v>
      </c>
      <c r="C568" s="78">
        <v>51731</v>
      </c>
      <c r="D568" s="78">
        <v>11210</v>
      </c>
      <c r="E568" s="78"/>
      <c r="F568" s="42">
        <v>0</v>
      </c>
      <c r="G568" s="42">
        <f t="shared" si="8"/>
        <v>0</v>
      </c>
      <c r="H568" s="2" t="str">
        <f>VLOOKUP(A568,'TB April'!A:H,8,0)</f>
        <v>Not Applicable</v>
      </c>
    </row>
    <row r="569" spans="1:8" hidden="1">
      <c r="A569" s="62" t="s">
        <v>1013</v>
      </c>
      <c r="B569" s="78">
        <v>-1661730</v>
      </c>
      <c r="C569" s="78">
        <v>1792455</v>
      </c>
      <c r="D569" s="78">
        <v>741504.75</v>
      </c>
      <c r="E569" s="78">
        <v>-610779.75</v>
      </c>
      <c r="F569" s="42">
        <v>0</v>
      </c>
      <c r="G569" s="42">
        <f t="shared" si="8"/>
        <v>-610779.75</v>
      </c>
      <c r="H569" s="2" t="str">
        <f>VLOOKUP(A569,'TB April'!A:H,8,0)</f>
        <v>Not Applicable</v>
      </c>
    </row>
    <row r="570" spans="1:8" hidden="1">
      <c r="A570" s="62" t="s">
        <v>1456</v>
      </c>
      <c r="B570" s="78"/>
      <c r="C570" s="78">
        <v>13122</v>
      </c>
      <c r="D570" s="78">
        <v>13122</v>
      </c>
      <c r="E570" s="78"/>
      <c r="F570" s="42">
        <v>0</v>
      </c>
      <c r="G570" s="42">
        <f t="shared" si="8"/>
        <v>0</v>
      </c>
      <c r="H570" s="2" t="str">
        <f>VLOOKUP(A570,'TB April'!A:H,8,0)</f>
        <v>Not Applicable</v>
      </c>
    </row>
    <row r="571" spans="1:8" hidden="1">
      <c r="A571" s="62" t="s">
        <v>422</v>
      </c>
      <c r="B571" s="78"/>
      <c r="C571" s="78"/>
      <c r="D571" s="78"/>
      <c r="E571" s="78"/>
      <c r="F571" s="42">
        <v>0</v>
      </c>
      <c r="G571" s="42">
        <f t="shared" si="8"/>
        <v>0</v>
      </c>
      <c r="H571" s="2" t="s">
        <v>84</v>
      </c>
    </row>
    <row r="572" spans="1:8" hidden="1">
      <c r="A572" s="62" t="s">
        <v>1115</v>
      </c>
      <c r="B572" s="78">
        <v>-127436</v>
      </c>
      <c r="C572" s="78">
        <v>246765</v>
      </c>
      <c r="D572" s="78">
        <v>233580</v>
      </c>
      <c r="E572" s="78">
        <v>-114251</v>
      </c>
      <c r="F572" s="42">
        <v>0</v>
      </c>
      <c r="G572" s="42">
        <f t="shared" si="8"/>
        <v>-114251</v>
      </c>
      <c r="H572" s="2" t="str">
        <f>VLOOKUP(A572,'TB April'!A:H,8,0)</f>
        <v>Not Applicable</v>
      </c>
    </row>
    <row r="573" spans="1:8" hidden="1">
      <c r="A573" s="62" t="s">
        <v>1457</v>
      </c>
      <c r="B573" s="78">
        <v>-25648</v>
      </c>
      <c r="C573" s="78">
        <v>25648</v>
      </c>
      <c r="D573" s="78"/>
      <c r="E573" s="78"/>
      <c r="F573" s="42">
        <v>0</v>
      </c>
      <c r="G573" s="42">
        <f t="shared" si="8"/>
        <v>0</v>
      </c>
      <c r="H573" s="2" t="str">
        <f>VLOOKUP(A573,'TB April'!A:H,8,0)</f>
        <v>Not Applicable</v>
      </c>
    </row>
    <row r="574" spans="1:8" hidden="1">
      <c r="A574" s="62" t="s">
        <v>415</v>
      </c>
      <c r="B574" s="78">
        <v>-35754</v>
      </c>
      <c r="C574" s="78">
        <v>35754</v>
      </c>
      <c r="D574" s="78">
        <v>4508</v>
      </c>
      <c r="E574" s="78">
        <v>-4508</v>
      </c>
      <c r="F574" s="42">
        <v>0</v>
      </c>
      <c r="G574" s="42">
        <f t="shared" si="8"/>
        <v>-4508</v>
      </c>
      <c r="H574" s="2" t="str">
        <f>VLOOKUP(A574,'TB April'!A:H,8,0)</f>
        <v>Not Applicable</v>
      </c>
    </row>
    <row r="575" spans="1:8" hidden="1">
      <c r="A575" s="62" t="s">
        <v>1516</v>
      </c>
      <c r="B575" s="78"/>
      <c r="C575" s="78"/>
      <c r="D575" s="78">
        <v>6490</v>
      </c>
      <c r="E575" s="78">
        <v>-6490</v>
      </c>
      <c r="F575" s="42">
        <v>0</v>
      </c>
      <c r="G575" s="42">
        <f t="shared" si="8"/>
        <v>-6490</v>
      </c>
      <c r="H575" s="2" t="s">
        <v>84</v>
      </c>
    </row>
    <row r="576" spans="1:8" hidden="1">
      <c r="A576" s="62" t="s">
        <v>1322</v>
      </c>
      <c r="B576" s="78"/>
      <c r="C576" s="78"/>
      <c r="D576" s="78"/>
      <c r="E576" s="78"/>
      <c r="F576" s="42">
        <v>0</v>
      </c>
      <c r="G576" s="42">
        <f t="shared" si="8"/>
        <v>0</v>
      </c>
      <c r="H576" s="2" t="str">
        <f>VLOOKUP(A576,'TB April'!A:H,8,0)</f>
        <v>Not Applicable</v>
      </c>
    </row>
    <row r="577" spans="1:8" hidden="1">
      <c r="A577" s="62" t="s">
        <v>1352</v>
      </c>
      <c r="B577" s="78">
        <v>-13405</v>
      </c>
      <c r="C577" s="78">
        <v>13594</v>
      </c>
      <c r="D577" s="78">
        <v>41720</v>
      </c>
      <c r="E577" s="78">
        <v>-41531</v>
      </c>
      <c r="F577" s="42">
        <v>0</v>
      </c>
      <c r="G577" s="42">
        <f t="shared" si="8"/>
        <v>-41531</v>
      </c>
      <c r="H577" s="2" t="str">
        <f>VLOOKUP(A577,'TB April'!A:H,8,0)</f>
        <v>Not Applicable</v>
      </c>
    </row>
    <row r="578" spans="1:8" hidden="1">
      <c r="A578" s="62" t="s">
        <v>1458</v>
      </c>
      <c r="B578" s="78"/>
      <c r="C578" s="78">
        <v>26550</v>
      </c>
      <c r="D578" s="78">
        <v>26550</v>
      </c>
      <c r="E578" s="78"/>
      <c r="F578" s="42">
        <v>0</v>
      </c>
      <c r="G578" s="42">
        <f t="shared" si="8"/>
        <v>0</v>
      </c>
      <c r="H578" s="2" t="str">
        <f>VLOOKUP(A578,'TB April'!A:H,8,0)</f>
        <v>Not Applicable</v>
      </c>
    </row>
    <row r="579" spans="1:8" hidden="1">
      <c r="A579" s="62" t="s">
        <v>408</v>
      </c>
      <c r="B579" s="78">
        <v>-5334</v>
      </c>
      <c r="C579" s="78">
        <v>5334</v>
      </c>
      <c r="D579" s="78">
        <v>88778</v>
      </c>
      <c r="E579" s="78">
        <v>-88778</v>
      </c>
      <c r="F579" s="42">
        <v>0</v>
      </c>
      <c r="G579" s="42">
        <f t="shared" si="8"/>
        <v>-88778</v>
      </c>
      <c r="H579" s="2" t="str">
        <f>VLOOKUP(A579,'TB April'!A:H,8,0)</f>
        <v>Not Applicable</v>
      </c>
    </row>
    <row r="580" spans="1:8" hidden="1">
      <c r="A580" s="62" t="s">
        <v>407</v>
      </c>
      <c r="B580" s="78">
        <v>-61931.199999999997</v>
      </c>
      <c r="C580" s="78">
        <v>34826</v>
      </c>
      <c r="D580" s="78"/>
      <c r="E580" s="78">
        <v>-27105.200000000001</v>
      </c>
      <c r="F580" s="42">
        <v>0</v>
      </c>
      <c r="G580" s="42">
        <f t="shared" si="8"/>
        <v>-27105.200000000001</v>
      </c>
      <c r="H580" s="2" t="str">
        <f>VLOOKUP(A580,'TB April'!A:H,8,0)</f>
        <v>Not Applicable</v>
      </c>
    </row>
    <row r="581" spans="1:8" hidden="1">
      <c r="A581" s="62" t="s">
        <v>1459</v>
      </c>
      <c r="B581" s="78">
        <v>3009</v>
      </c>
      <c r="C581" s="78"/>
      <c r="D581" s="78"/>
      <c r="E581" s="78">
        <v>3009</v>
      </c>
      <c r="F581" s="42">
        <v>0</v>
      </c>
      <c r="G581" s="42">
        <f t="shared" si="8"/>
        <v>3009</v>
      </c>
      <c r="H581" s="2" t="str">
        <f>VLOOKUP(A581,'TB April'!A:H,8,0)</f>
        <v>Not Applicable</v>
      </c>
    </row>
    <row r="582" spans="1:8" hidden="1">
      <c r="A582" s="62" t="s">
        <v>367</v>
      </c>
      <c r="B582" s="78">
        <v>-1204</v>
      </c>
      <c r="C582" s="78"/>
      <c r="D582" s="78"/>
      <c r="E582" s="78">
        <v>-1204</v>
      </c>
      <c r="F582" s="42">
        <v>0</v>
      </c>
      <c r="G582" s="42">
        <f t="shared" ref="G582:G645" si="9">+E582+F582</f>
        <v>-1204</v>
      </c>
      <c r="H582" s="2" t="str">
        <f>VLOOKUP(A582,'TB April'!A:H,8,0)</f>
        <v>Not Applicable</v>
      </c>
    </row>
    <row r="583" spans="1:8" hidden="1">
      <c r="A583" s="62" t="s">
        <v>877</v>
      </c>
      <c r="B583" s="78"/>
      <c r="C583" s="78"/>
      <c r="D583" s="78">
        <v>40425</v>
      </c>
      <c r="E583" s="78">
        <v>-40425</v>
      </c>
      <c r="F583" s="42">
        <v>0</v>
      </c>
      <c r="G583" s="42">
        <f t="shared" si="9"/>
        <v>-40425</v>
      </c>
      <c r="H583" s="2" t="s">
        <v>84</v>
      </c>
    </row>
    <row r="584" spans="1:8" hidden="1">
      <c r="A584" s="62" t="s">
        <v>1460</v>
      </c>
      <c r="B584" s="78"/>
      <c r="C584" s="78"/>
      <c r="D584" s="78"/>
      <c r="E584" s="78"/>
      <c r="F584" s="42">
        <v>0</v>
      </c>
      <c r="G584" s="42">
        <f t="shared" si="9"/>
        <v>0</v>
      </c>
      <c r="H584" s="2" t="str">
        <f>VLOOKUP(A584,'TB April'!A:H,8,0)</f>
        <v>Not Applicable</v>
      </c>
    </row>
    <row r="585" spans="1:8" hidden="1">
      <c r="A585" s="62" t="s">
        <v>1001</v>
      </c>
      <c r="B585" s="78"/>
      <c r="C585" s="78"/>
      <c r="D585" s="78">
        <v>8000</v>
      </c>
      <c r="E585" s="78">
        <v>-8000</v>
      </c>
      <c r="F585" s="42">
        <v>0</v>
      </c>
      <c r="G585" s="42">
        <f t="shared" si="9"/>
        <v>-8000</v>
      </c>
      <c r="H585" s="2" t="str">
        <f>VLOOKUP(A585,'TB April'!A:H,8,0)</f>
        <v>Not Applicable</v>
      </c>
    </row>
    <row r="586" spans="1:8" hidden="1">
      <c r="A586" s="62" t="s">
        <v>405</v>
      </c>
      <c r="B586" s="78">
        <v>-25491</v>
      </c>
      <c r="C586" s="78">
        <v>67320</v>
      </c>
      <c r="D586" s="78">
        <v>112440</v>
      </c>
      <c r="E586" s="78">
        <v>-70611</v>
      </c>
      <c r="F586" s="42">
        <v>0</v>
      </c>
      <c r="G586" s="42">
        <f t="shared" si="9"/>
        <v>-70611</v>
      </c>
      <c r="H586" s="2" t="str">
        <f>VLOOKUP(A586,'TB April'!A:H,8,0)</f>
        <v>Not Applicable</v>
      </c>
    </row>
    <row r="587" spans="1:8" hidden="1">
      <c r="A587" s="62" t="s">
        <v>406</v>
      </c>
      <c r="B587" s="78"/>
      <c r="C587" s="78"/>
      <c r="D587" s="78"/>
      <c r="E587" s="78"/>
      <c r="F587" s="42">
        <v>0</v>
      </c>
      <c r="G587" s="42">
        <f t="shared" si="9"/>
        <v>0</v>
      </c>
      <c r="H587" s="2" t="str">
        <f>VLOOKUP(A587,'TB April'!A:H,8,0)</f>
        <v>Not Applicable</v>
      </c>
    </row>
    <row r="588" spans="1:8" hidden="1">
      <c r="A588" s="62" t="s">
        <v>896</v>
      </c>
      <c r="B588" s="78"/>
      <c r="C588" s="78"/>
      <c r="D588" s="78"/>
      <c r="E588" s="78"/>
      <c r="F588" s="42">
        <v>0</v>
      </c>
      <c r="G588" s="42">
        <f t="shared" si="9"/>
        <v>0</v>
      </c>
      <c r="H588" s="2" t="str">
        <f>VLOOKUP(A588,'TB April'!A:H,8,0)</f>
        <v>Not Applicable</v>
      </c>
    </row>
    <row r="589" spans="1:8" hidden="1">
      <c r="A589" s="62" t="s">
        <v>1461</v>
      </c>
      <c r="B589" s="78"/>
      <c r="C589" s="78"/>
      <c r="D589" s="78"/>
      <c r="E589" s="78"/>
      <c r="F589" s="42">
        <v>0</v>
      </c>
      <c r="G589" s="42">
        <f t="shared" si="9"/>
        <v>0</v>
      </c>
      <c r="H589" s="2" t="str">
        <f>VLOOKUP(A589,'TB April'!A:H,8,0)</f>
        <v>Not Applicable</v>
      </c>
    </row>
    <row r="590" spans="1:8" hidden="1">
      <c r="A590" s="62" t="s">
        <v>404</v>
      </c>
      <c r="B590" s="78">
        <v>-491128</v>
      </c>
      <c r="C590" s="78">
        <v>491128</v>
      </c>
      <c r="D590" s="78">
        <v>257712</v>
      </c>
      <c r="E590" s="78">
        <v>-257712</v>
      </c>
      <c r="F590" s="42">
        <v>0</v>
      </c>
      <c r="G590" s="42">
        <f t="shared" si="9"/>
        <v>-257712</v>
      </c>
      <c r="H590" s="2" t="str">
        <f>VLOOKUP(A590,'TB April'!A:H,8,0)</f>
        <v>Not Applicable</v>
      </c>
    </row>
    <row r="591" spans="1:8" hidden="1">
      <c r="A591" s="62" t="s">
        <v>1462</v>
      </c>
      <c r="B591" s="78"/>
      <c r="C591" s="78"/>
      <c r="D591" s="78"/>
      <c r="E591" s="78"/>
      <c r="F591" s="42">
        <v>0</v>
      </c>
      <c r="G591" s="42">
        <f t="shared" si="9"/>
        <v>0</v>
      </c>
      <c r="H591" s="2" t="str">
        <f>VLOOKUP(A591,'TB April'!A:H,8,0)</f>
        <v>Not Applicable</v>
      </c>
    </row>
    <row r="592" spans="1:8" hidden="1">
      <c r="A592" s="62" t="s">
        <v>389</v>
      </c>
      <c r="B592" s="78">
        <v>-10631</v>
      </c>
      <c r="C592" s="78"/>
      <c r="D592" s="78"/>
      <c r="E592" s="78">
        <v>-10631</v>
      </c>
      <c r="F592" s="42">
        <v>0</v>
      </c>
      <c r="G592" s="42">
        <f t="shared" si="9"/>
        <v>-10631</v>
      </c>
      <c r="H592" s="2" t="str">
        <f>VLOOKUP(A592,'TB April'!A:H,8,0)</f>
        <v>Not Applicable</v>
      </c>
    </row>
    <row r="593" spans="1:8" hidden="1">
      <c r="A593" s="62" t="s">
        <v>1517</v>
      </c>
      <c r="B593" s="78"/>
      <c r="C593" s="78"/>
      <c r="D593" s="78"/>
      <c r="E593" s="78"/>
      <c r="F593" s="42">
        <v>0</v>
      </c>
      <c r="G593" s="42">
        <f t="shared" si="9"/>
        <v>0</v>
      </c>
      <c r="H593" s="2" t="s">
        <v>84</v>
      </c>
    </row>
    <row r="594" spans="1:8" hidden="1">
      <c r="A594" s="62" t="s">
        <v>384</v>
      </c>
      <c r="B594" s="78"/>
      <c r="C594" s="78"/>
      <c r="D594" s="78"/>
      <c r="E594" s="78"/>
      <c r="F594" s="42">
        <v>0</v>
      </c>
      <c r="G594" s="42">
        <f t="shared" si="9"/>
        <v>0</v>
      </c>
      <c r="H594" s="2" t="str">
        <f>VLOOKUP(A594,'TB April'!A:H,8,0)</f>
        <v>Not Applicable</v>
      </c>
    </row>
    <row r="595" spans="1:8" hidden="1">
      <c r="A595" s="62" t="s">
        <v>386</v>
      </c>
      <c r="B595" s="78">
        <v>-2491.02</v>
      </c>
      <c r="C595" s="78">
        <v>2491</v>
      </c>
      <c r="D595" s="78"/>
      <c r="E595" s="78">
        <v>-0.02</v>
      </c>
      <c r="F595" s="42">
        <v>0</v>
      </c>
      <c r="G595" s="42">
        <f t="shared" si="9"/>
        <v>-0.02</v>
      </c>
      <c r="H595" s="2" t="str">
        <f>VLOOKUP(A595,'TB April'!A:H,8,0)</f>
        <v>Not Applicable</v>
      </c>
    </row>
    <row r="596" spans="1:8" hidden="1">
      <c r="A596" s="62" t="s">
        <v>387</v>
      </c>
      <c r="B596" s="78">
        <v>-33672</v>
      </c>
      <c r="C596" s="78">
        <v>37910</v>
      </c>
      <c r="D596" s="78">
        <v>4238</v>
      </c>
      <c r="E596" s="78"/>
      <c r="F596" s="42">
        <v>0</v>
      </c>
      <c r="G596" s="42">
        <f t="shared" si="9"/>
        <v>0</v>
      </c>
      <c r="H596" s="2" t="str">
        <f>VLOOKUP(A596,'TB April'!A:H,8,0)</f>
        <v>Not Applicable</v>
      </c>
    </row>
    <row r="597" spans="1:8" hidden="1">
      <c r="A597" s="62" t="s">
        <v>1131</v>
      </c>
      <c r="B597" s="78">
        <v>-1829</v>
      </c>
      <c r="C597" s="78">
        <v>1829</v>
      </c>
      <c r="D597" s="78"/>
      <c r="E597" s="78"/>
      <c r="F597" s="42">
        <v>0</v>
      </c>
      <c r="G597" s="42">
        <f t="shared" si="9"/>
        <v>0</v>
      </c>
      <c r="H597" s="2" t="str">
        <f>VLOOKUP(A597,'TB April'!A:H,8,0)</f>
        <v>Not Applicable</v>
      </c>
    </row>
    <row r="598" spans="1:8" hidden="1">
      <c r="A598" s="62" t="s">
        <v>378</v>
      </c>
      <c r="B598" s="78">
        <v>-708</v>
      </c>
      <c r="C598" s="78"/>
      <c r="D598" s="78"/>
      <c r="E598" s="78">
        <v>-708</v>
      </c>
      <c r="F598" s="42">
        <v>0</v>
      </c>
      <c r="G598" s="42">
        <f t="shared" si="9"/>
        <v>-708</v>
      </c>
      <c r="H598" s="2" t="str">
        <f>VLOOKUP(A598,'TB April'!A:H,8,0)</f>
        <v>Not Applicable</v>
      </c>
    </row>
    <row r="599" spans="1:8" hidden="1">
      <c r="A599" s="62" t="s">
        <v>1463</v>
      </c>
      <c r="B599" s="78"/>
      <c r="C599" s="78">
        <v>75579</v>
      </c>
      <c r="D599" s="78">
        <v>75579</v>
      </c>
      <c r="E599" s="78"/>
      <c r="F599" s="42">
        <v>0</v>
      </c>
      <c r="G599" s="42">
        <f t="shared" si="9"/>
        <v>0</v>
      </c>
      <c r="H599" s="2" t="str">
        <f>VLOOKUP(A599,'TB April'!A:H,8,0)</f>
        <v>Not Applicable</v>
      </c>
    </row>
    <row r="600" spans="1:8" hidden="1">
      <c r="A600" s="62" t="s">
        <v>1031</v>
      </c>
      <c r="B600" s="78"/>
      <c r="C600" s="78">
        <v>595.9</v>
      </c>
      <c r="D600" s="78">
        <v>15493</v>
      </c>
      <c r="E600" s="78">
        <v>-14897.1</v>
      </c>
      <c r="F600" s="42">
        <v>0</v>
      </c>
      <c r="G600" s="42">
        <f t="shared" si="9"/>
        <v>-14897.1</v>
      </c>
      <c r="H600" s="2" t="s">
        <v>84</v>
      </c>
    </row>
    <row r="601" spans="1:8" hidden="1">
      <c r="A601" s="62" t="s">
        <v>1464</v>
      </c>
      <c r="B601" s="78">
        <v>-1605</v>
      </c>
      <c r="C601" s="78"/>
      <c r="D601" s="78">
        <v>2983</v>
      </c>
      <c r="E601" s="78">
        <v>-4588</v>
      </c>
      <c r="F601" s="42">
        <v>0</v>
      </c>
      <c r="G601" s="42">
        <f t="shared" si="9"/>
        <v>-4588</v>
      </c>
      <c r="H601" s="2" t="str">
        <f>VLOOKUP(A601,'TB April'!A:H,8,0)</f>
        <v>Not Applicable</v>
      </c>
    </row>
    <row r="602" spans="1:8" hidden="1">
      <c r="A602" s="62" t="s">
        <v>1220</v>
      </c>
      <c r="B602" s="78">
        <v>-284</v>
      </c>
      <c r="C602" s="78">
        <v>284</v>
      </c>
      <c r="D602" s="78"/>
      <c r="E602" s="78"/>
      <c r="F602" s="42">
        <v>0</v>
      </c>
      <c r="G602" s="42">
        <f t="shared" si="9"/>
        <v>0</v>
      </c>
      <c r="H602" s="2" t="str">
        <f>VLOOKUP(A602,'TB April'!A:H,8,0)</f>
        <v>Not Applicable</v>
      </c>
    </row>
    <row r="603" spans="1:8" hidden="1">
      <c r="A603" s="62" t="s">
        <v>1114</v>
      </c>
      <c r="B603" s="78">
        <v>-424.8</v>
      </c>
      <c r="C603" s="78"/>
      <c r="D603" s="78"/>
      <c r="E603" s="78">
        <v>-424.8</v>
      </c>
      <c r="F603" s="42">
        <v>0</v>
      </c>
      <c r="G603" s="42">
        <f t="shared" si="9"/>
        <v>-424.8</v>
      </c>
      <c r="H603" s="2" t="str">
        <f>VLOOKUP(A603,'TB April'!A:H,8,0)</f>
        <v>Not Applicable</v>
      </c>
    </row>
    <row r="604" spans="1:8" hidden="1">
      <c r="A604" s="62" t="s">
        <v>959</v>
      </c>
      <c r="B604" s="78">
        <v>-6195</v>
      </c>
      <c r="C604" s="78"/>
      <c r="D604" s="78"/>
      <c r="E604" s="78">
        <v>-6195</v>
      </c>
      <c r="F604" s="42">
        <v>0</v>
      </c>
      <c r="G604" s="42">
        <f t="shared" si="9"/>
        <v>-6195</v>
      </c>
      <c r="H604" s="2" t="str">
        <f>VLOOKUP(A604,'TB April'!A:H,8,0)</f>
        <v>Not Applicable</v>
      </c>
    </row>
    <row r="605" spans="1:8" hidden="1">
      <c r="A605" s="62" t="s">
        <v>1518</v>
      </c>
      <c r="B605" s="78"/>
      <c r="C605" s="78"/>
      <c r="D605" s="78"/>
      <c r="E605" s="78"/>
      <c r="F605" s="42">
        <v>0</v>
      </c>
      <c r="G605" s="42">
        <f t="shared" si="9"/>
        <v>0</v>
      </c>
      <c r="H605" s="2" t="s">
        <v>84</v>
      </c>
    </row>
    <row r="606" spans="1:8" hidden="1">
      <c r="A606" s="62" t="s">
        <v>935</v>
      </c>
      <c r="B606" s="78">
        <v>-1144070</v>
      </c>
      <c r="C606" s="78">
        <v>296517</v>
      </c>
      <c r="D606" s="78">
        <v>355676</v>
      </c>
      <c r="E606" s="78">
        <v>-1203229</v>
      </c>
      <c r="F606" s="42">
        <v>0</v>
      </c>
      <c r="G606" s="42">
        <f t="shared" si="9"/>
        <v>-1203229</v>
      </c>
      <c r="H606" s="2" t="str">
        <f>VLOOKUP(A606,'TB April'!A:H,8,0)</f>
        <v>Not Applicable</v>
      </c>
    </row>
    <row r="607" spans="1:8" hidden="1">
      <c r="A607" s="62" t="s">
        <v>370</v>
      </c>
      <c r="B607" s="78"/>
      <c r="C607" s="78"/>
      <c r="D607" s="78">
        <v>23867</v>
      </c>
      <c r="E607" s="78">
        <v>-23867</v>
      </c>
      <c r="F607" s="42">
        <v>0</v>
      </c>
      <c r="G607" s="42">
        <f t="shared" si="9"/>
        <v>-23867</v>
      </c>
      <c r="H607" s="2" t="s">
        <v>84</v>
      </c>
    </row>
    <row r="608" spans="1:8" hidden="1">
      <c r="A608" s="62" t="s">
        <v>366</v>
      </c>
      <c r="B608" s="78"/>
      <c r="C608" s="78">
        <v>12841</v>
      </c>
      <c r="D608" s="78">
        <v>12841</v>
      </c>
      <c r="E608" s="78"/>
      <c r="F608" s="42">
        <v>0</v>
      </c>
      <c r="G608" s="42">
        <f t="shared" si="9"/>
        <v>0</v>
      </c>
      <c r="H608" s="2" t="str">
        <f>VLOOKUP(A608,'TB April'!A:H,8,0)</f>
        <v>Not Applicable</v>
      </c>
    </row>
    <row r="609" spans="1:8" hidden="1">
      <c r="A609" s="62" t="s">
        <v>1295</v>
      </c>
      <c r="B609" s="78">
        <v>-1123</v>
      </c>
      <c r="C609" s="78">
        <v>1123</v>
      </c>
      <c r="D609" s="78"/>
      <c r="E609" s="78"/>
      <c r="F609" s="42">
        <v>0</v>
      </c>
      <c r="G609" s="42">
        <f t="shared" si="9"/>
        <v>0</v>
      </c>
      <c r="H609" s="2" t="str">
        <f>VLOOKUP(A609,'TB April'!A:H,8,0)</f>
        <v>Not Applicable</v>
      </c>
    </row>
    <row r="610" spans="1:8" hidden="1">
      <c r="A610" s="62" t="s">
        <v>738</v>
      </c>
      <c r="B610" s="78">
        <v>-293007</v>
      </c>
      <c r="C610" s="78">
        <v>351415</v>
      </c>
      <c r="D610" s="78">
        <v>66032</v>
      </c>
      <c r="E610" s="78">
        <v>-7624</v>
      </c>
      <c r="F610" s="42">
        <v>0</v>
      </c>
      <c r="G610" s="42">
        <f t="shared" si="9"/>
        <v>-7624</v>
      </c>
      <c r="H610" s="2" t="str">
        <f>VLOOKUP(A610,'TB April'!A:H,8,0)</f>
        <v>Not Applicable</v>
      </c>
    </row>
    <row r="611" spans="1:8" hidden="1">
      <c r="A611" s="62" t="s">
        <v>1465</v>
      </c>
      <c r="B611" s="78"/>
      <c r="C611" s="78"/>
      <c r="D611" s="78">
        <v>51400</v>
      </c>
      <c r="E611" s="78">
        <v>-51400</v>
      </c>
      <c r="F611" s="42">
        <v>0</v>
      </c>
      <c r="G611" s="42">
        <f t="shared" si="9"/>
        <v>-51400</v>
      </c>
      <c r="H611" s="2" t="str">
        <f>VLOOKUP(A611,'TB April'!A:H,8,0)</f>
        <v>Not Applicable</v>
      </c>
    </row>
    <row r="612" spans="1:8" hidden="1">
      <c r="A612" s="62" t="s">
        <v>1158</v>
      </c>
      <c r="B612" s="78"/>
      <c r="C612" s="78">
        <v>1453925</v>
      </c>
      <c r="D612" s="78">
        <v>1453925</v>
      </c>
      <c r="E612" s="78"/>
      <c r="F612" s="42">
        <v>0</v>
      </c>
      <c r="G612" s="42">
        <f t="shared" si="9"/>
        <v>0</v>
      </c>
      <c r="H612" s="2" t="str">
        <f>VLOOKUP(A612,'TB April'!A:H,8,0)</f>
        <v>Not Applicable</v>
      </c>
    </row>
    <row r="613" spans="1:8" hidden="1">
      <c r="A613" s="62" t="s">
        <v>1076</v>
      </c>
      <c r="B613" s="78">
        <v>-0.24</v>
      </c>
      <c r="C613" s="78"/>
      <c r="D613" s="78"/>
      <c r="E613" s="78">
        <v>-0.24</v>
      </c>
      <c r="F613" s="42">
        <v>0</v>
      </c>
      <c r="G613" s="42">
        <f t="shared" si="9"/>
        <v>-0.24</v>
      </c>
      <c r="H613" s="2" t="str">
        <f>VLOOKUP(A613,'TB April'!A:H,8,0)</f>
        <v>Not Applicable</v>
      </c>
    </row>
    <row r="614" spans="1:8" hidden="1">
      <c r="A614" s="62" t="s">
        <v>1354</v>
      </c>
      <c r="B614" s="78">
        <v>-9204</v>
      </c>
      <c r="C614" s="78">
        <v>9204</v>
      </c>
      <c r="D614" s="78"/>
      <c r="E614" s="78"/>
      <c r="F614" s="42">
        <v>0</v>
      </c>
      <c r="G614" s="42">
        <f t="shared" si="9"/>
        <v>0</v>
      </c>
      <c r="H614" s="2" t="str">
        <f>VLOOKUP(A614,'TB April'!A:H,8,0)</f>
        <v>Not Applicable</v>
      </c>
    </row>
    <row r="615" spans="1:8" hidden="1">
      <c r="A615" s="62" t="s">
        <v>1309</v>
      </c>
      <c r="B615" s="78"/>
      <c r="C615" s="78"/>
      <c r="D615" s="78"/>
      <c r="E615" s="78"/>
      <c r="F615" s="42">
        <v>0</v>
      </c>
      <c r="G615" s="42">
        <f t="shared" si="9"/>
        <v>0</v>
      </c>
      <c r="H615" s="2" t="str">
        <f>VLOOKUP(A615,'TB April'!A:H,8,0)</f>
        <v>Not Applicable</v>
      </c>
    </row>
    <row r="616" spans="1:8" hidden="1">
      <c r="A616" s="62" t="s">
        <v>728</v>
      </c>
      <c r="B616" s="78">
        <v>-73418.11</v>
      </c>
      <c r="C616" s="78"/>
      <c r="D616" s="78"/>
      <c r="E616" s="78">
        <v>-73418.11</v>
      </c>
      <c r="F616" s="42">
        <v>0</v>
      </c>
      <c r="G616" s="42">
        <f t="shared" si="9"/>
        <v>-73418.11</v>
      </c>
      <c r="H616" s="2" t="str">
        <f>VLOOKUP(A616,'TB April'!A:H,8,0)</f>
        <v>Not Applicable</v>
      </c>
    </row>
    <row r="617" spans="1:8" hidden="1">
      <c r="A617" s="62" t="s">
        <v>1355</v>
      </c>
      <c r="B617" s="78">
        <v>7059.94</v>
      </c>
      <c r="C617" s="78"/>
      <c r="D617" s="78">
        <v>7060</v>
      </c>
      <c r="E617" s="78">
        <v>-0.06</v>
      </c>
      <c r="F617" s="42">
        <v>0</v>
      </c>
      <c r="G617" s="42">
        <f t="shared" si="9"/>
        <v>-0.06</v>
      </c>
      <c r="H617" s="2" t="str">
        <f>VLOOKUP(A617,'TB April'!A:H,8,0)</f>
        <v>Not Applicable</v>
      </c>
    </row>
    <row r="618" spans="1:8" hidden="1">
      <c r="A618" s="62" t="s">
        <v>1006</v>
      </c>
      <c r="B618" s="78">
        <v>-751.7</v>
      </c>
      <c r="C618" s="78">
        <v>38</v>
      </c>
      <c r="D618" s="78">
        <v>4484</v>
      </c>
      <c r="E618" s="78">
        <v>-5197.7</v>
      </c>
      <c r="F618" s="42">
        <v>0</v>
      </c>
      <c r="G618" s="42">
        <f t="shared" si="9"/>
        <v>-5197.7</v>
      </c>
      <c r="H618" s="2" t="str">
        <f>VLOOKUP(A618,'TB April'!A:H,8,0)</f>
        <v>Not Applicable</v>
      </c>
    </row>
    <row r="619" spans="1:8" hidden="1">
      <c r="A619" s="62" t="s">
        <v>1235</v>
      </c>
      <c r="B619" s="78">
        <v>-21750</v>
      </c>
      <c r="C619" s="78"/>
      <c r="D619" s="78"/>
      <c r="E619" s="78">
        <v>-21750</v>
      </c>
      <c r="F619" s="42">
        <v>0</v>
      </c>
      <c r="G619" s="42">
        <f t="shared" si="9"/>
        <v>-21750</v>
      </c>
      <c r="H619" s="2" t="str">
        <f>VLOOKUP(A619,'TB April'!A:H,8,0)</f>
        <v>Not Applicable</v>
      </c>
    </row>
    <row r="620" spans="1:8" hidden="1">
      <c r="A620" s="62" t="s">
        <v>1466</v>
      </c>
      <c r="B620" s="78"/>
      <c r="C620" s="78"/>
      <c r="D620" s="78"/>
      <c r="E620" s="78"/>
      <c r="F620" s="42">
        <v>0</v>
      </c>
      <c r="G620" s="42">
        <f t="shared" si="9"/>
        <v>0</v>
      </c>
      <c r="H620" s="2" t="str">
        <f>VLOOKUP(A620,'TB April'!A:H,8,0)</f>
        <v>Not Applicable</v>
      </c>
    </row>
    <row r="621" spans="1:8" hidden="1">
      <c r="A621" s="62" t="s">
        <v>716</v>
      </c>
      <c r="B621" s="78">
        <v>-23052.5</v>
      </c>
      <c r="C621" s="78"/>
      <c r="D621" s="78"/>
      <c r="E621" s="78">
        <v>-23052.5</v>
      </c>
      <c r="F621" s="42">
        <v>0</v>
      </c>
      <c r="G621" s="42">
        <f t="shared" si="9"/>
        <v>-23052.5</v>
      </c>
      <c r="H621" s="2" t="str">
        <f>VLOOKUP(A621,'TB April'!A:H,8,0)</f>
        <v>Not Applicable</v>
      </c>
    </row>
    <row r="622" spans="1:8" hidden="1">
      <c r="A622" s="62" t="s">
        <v>1104</v>
      </c>
      <c r="B622" s="78">
        <v>-1240561</v>
      </c>
      <c r="C622" s="78">
        <v>17806</v>
      </c>
      <c r="D622" s="78">
        <v>1050181</v>
      </c>
      <c r="E622" s="78">
        <v>-2272936</v>
      </c>
      <c r="F622" s="42">
        <v>0</v>
      </c>
      <c r="G622" s="42">
        <f t="shared" si="9"/>
        <v>-2272936</v>
      </c>
      <c r="H622" s="2" t="str">
        <f>VLOOKUP(A622,'TB April'!A:H,8,0)</f>
        <v>Not Applicable</v>
      </c>
    </row>
    <row r="623" spans="1:8" hidden="1">
      <c r="A623" s="62" t="s">
        <v>1356</v>
      </c>
      <c r="B623" s="78"/>
      <c r="C623" s="78"/>
      <c r="D623" s="78"/>
      <c r="E623" s="78"/>
      <c r="F623" s="42">
        <v>0</v>
      </c>
      <c r="G623" s="42">
        <f t="shared" si="9"/>
        <v>0</v>
      </c>
      <c r="H623" s="2" t="s">
        <v>84</v>
      </c>
    </row>
    <row r="624" spans="1:8" hidden="1">
      <c r="A624" s="62" t="s">
        <v>986</v>
      </c>
      <c r="B624" s="78">
        <v>-363904.66</v>
      </c>
      <c r="C624" s="78">
        <v>5203</v>
      </c>
      <c r="D624" s="78">
        <v>306919</v>
      </c>
      <c r="E624" s="78">
        <v>-665620.66</v>
      </c>
      <c r="F624" s="42">
        <v>0</v>
      </c>
      <c r="G624" s="42">
        <f t="shared" si="9"/>
        <v>-665620.66</v>
      </c>
      <c r="H624" s="2" t="str">
        <f>VLOOKUP(A624,'TB April'!A:H,8,0)</f>
        <v>Not Applicable</v>
      </c>
    </row>
    <row r="625" spans="1:8" hidden="1">
      <c r="A625" s="62" t="s">
        <v>709</v>
      </c>
      <c r="B625" s="78">
        <v>-1967533</v>
      </c>
      <c r="C625" s="78">
        <v>3473561</v>
      </c>
      <c r="D625" s="78">
        <v>1275380</v>
      </c>
      <c r="E625" s="78">
        <v>230648</v>
      </c>
      <c r="F625" s="42">
        <v>0</v>
      </c>
      <c r="G625" s="42">
        <f t="shared" si="9"/>
        <v>230648</v>
      </c>
      <c r="H625" s="2" t="str">
        <f>VLOOKUP(A625,'TB April'!A:H,8,0)</f>
        <v>Not Applicable</v>
      </c>
    </row>
    <row r="626" spans="1:8" hidden="1">
      <c r="A626" s="62" t="s">
        <v>681</v>
      </c>
      <c r="B626" s="78">
        <v>-6094</v>
      </c>
      <c r="C626" s="78">
        <v>9509</v>
      </c>
      <c r="D626" s="78">
        <v>12854</v>
      </c>
      <c r="E626" s="78">
        <v>-9439</v>
      </c>
      <c r="F626" s="42">
        <v>0</v>
      </c>
      <c r="G626" s="42">
        <f t="shared" si="9"/>
        <v>-9439</v>
      </c>
      <c r="H626" s="2" t="str">
        <f>VLOOKUP(A626,'TB April'!A:H,8,0)</f>
        <v>Not Applicable</v>
      </c>
    </row>
    <row r="627" spans="1:8" hidden="1">
      <c r="A627" s="62" t="s">
        <v>944</v>
      </c>
      <c r="B627" s="78">
        <v>-628076</v>
      </c>
      <c r="C627" s="78">
        <v>2628864</v>
      </c>
      <c r="D627" s="78">
        <v>4473114</v>
      </c>
      <c r="E627" s="78">
        <v>-2472326</v>
      </c>
      <c r="F627" s="42">
        <v>0</v>
      </c>
      <c r="G627" s="42">
        <f t="shared" si="9"/>
        <v>-2472326</v>
      </c>
      <c r="H627" s="2" t="str">
        <f>VLOOKUP(A627,'TB April'!A:H,8,0)</f>
        <v>Not Applicable</v>
      </c>
    </row>
    <row r="628" spans="1:8" hidden="1">
      <c r="A628" s="62" t="s">
        <v>873</v>
      </c>
      <c r="B628" s="78">
        <v>-85788</v>
      </c>
      <c r="C628" s="78"/>
      <c r="D628" s="78"/>
      <c r="E628" s="78">
        <v>-85788</v>
      </c>
      <c r="F628" s="42">
        <v>0</v>
      </c>
      <c r="G628" s="42">
        <f t="shared" si="9"/>
        <v>-85788</v>
      </c>
      <c r="H628" s="2" t="str">
        <f>VLOOKUP(A628,'TB April'!A:H,8,0)</f>
        <v>Not Applicable</v>
      </c>
    </row>
    <row r="629" spans="1:8" hidden="1">
      <c r="A629" s="62" t="s">
        <v>902</v>
      </c>
      <c r="B629" s="78">
        <v>-2037718</v>
      </c>
      <c r="C629" s="78">
        <v>4687718</v>
      </c>
      <c r="D629" s="78">
        <v>2650000</v>
      </c>
      <c r="E629" s="78"/>
      <c r="F629" s="42">
        <v>0</v>
      </c>
      <c r="G629" s="42">
        <f t="shared" si="9"/>
        <v>0</v>
      </c>
      <c r="H629" s="2" t="str">
        <f>VLOOKUP(A629,'TB April'!A:H,8,0)</f>
        <v>Not Applicable</v>
      </c>
    </row>
    <row r="630" spans="1:8" hidden="1">
      <c r="A630" s="62" t="s">
        <v>985</v>
      </c>
      <c r="B630" s="78">
        <v>-1274</v>
      </c>
      <c r="C630" s="78">
        <v>1274</v>
      </c>
      <c r="D630" s="78"/>
      <c r="E630" s="78"/>
      <c r="F630" s="42">
        <v>0</v>
      </c>
      <c r="G630" s="42">
        <f t="shared" si="9"/>
        <v>0</v>
      </c>
      <c r="H630" s="2" t="str">
        <f>VLOOKUP(A630,'TB April'!A:H,8,0)</f>
        <v>Not Applicable</v>
      </c>
    </row>
    <row r="631" spans="1:8" hidden="1">
      <c r="A631" s="62" t="s">
        <v>1311</v>
      </c>
      <c r="B631" s="78"/>
      <c r="C631" s="78"/>
      <c r="D631" s="78"/>
      <c r="E631" s="78"/>
      <c r="F631" s="42">
        <v>0</v>
      </c>
      <c r="G631" s="42">
        <f t="shared" si="9"/>
        <v>0</v>
      </c>
      <c r="H631" s="2" t="s">
        <v>84</v>
      </c>
    </row>
    <row r="632" spans="1:8" hidden="1">
      <c r="A632" s="62" t="s">
        <v>660</v>
      </c>
      <c r="B632" s="78">
        <v>4519</v>
      </c>
      <c r="C632" s="78">
        <v>45454</v>
      </c>
      <c r="D632" s="78"/>
      <c r="E632" s="78">
        <v>49973</v>
      </c>
      <c r="F632" s="42">
        <v>0</v>
      </c>
      <c r="G632" s="42">
        <f t="shared" si="9"/>
        <v>49973</v>
      </c>
      <c r="H632" s="2" t="str">
        <f>VLOOKUP(A632,'TB April'!A:H,8,0)</f>
        <v>Not Applicable</v>
      </c>
    </row>
    <row r="633" spans="1:8" hidden="1">
      <c r="A633" s="62" t="s">
        <v>659</v>
      </c>
      <c r="B633" s="78">
        <v>-221821.8</v>
      </c>
      <c r="C633" s="78">
        <v>1168</v>
      </c>
      <c r="D633" s="78">
        <v>7080</v>
      </c>
      <c r="E633" s="78">
        <v>-227733.8</v>
      </c>
      <c r="F633" s="42">
        <v>0</v>
      </c>
      <c r="G633" s="42">
        <f t="shared" si="9"/>
        <v>-227733.8</v>
      </c>
      <c r="H633" s="2" t="str">
        <f>VLOOKUP(A633,'TB April'!A:H,8,0)</f>
        <v>Not Applicable</v>
      </c>
    </row>
    <row r="634" spans="1:8" hidden="1">
      <c r="A634" s="62" t="s">
        <v>928</v>
      </c>
      <c r="B634" s="78">
        <v>-1105</v>
      </c>
      <c r="C634" s="78"/>
      <c r="D634" s="78"/>
      <c r="E634" s="78">
        <v>-1105</v>
      </c>
      <c r="F634" s="42">
        <v>0</v>
      </c>
      <c r="G634" s="42">
        <f t="shared" si="9"/>
        <v>-1105</v>
      </c>
      <c r="H634" s="2" t="str">
        <f>VLOOKUP(A634,'TB April'!A:H,8,0)</f>
        <v>Not Applicable</v>
      </c>
    </row>
    <row r="635" spans="1:8" hidden="1">
      <c r="A635" s="62" t="s">
        <v>1468</v>
      </c>
      <c r="B635" s="78"/>
      <c r="C635" s="78">
        <v>35105</v>
      </c>
      <c r="D635" s="78">
        <v>35105</v>
      </c>
      <c r="E635" s="78"/>
      <c r="F635" s="42">
        <v>0</v>
      </c>
      <c r="G635" s="42">
        <f t="shared" si="9"/>
        <v>0</v>
      </c>
      <c r="H635" s="2" t="str">
        <f>VLOOKUP(A635,'TB April'!A:H,8,0)</f>
        <v>Not Applicable</v>
      </c>
    </row>
    <row r="636" spans="1:8" hidden="1">
      <c r="A636" s="62" t="s">
        <v>651</v>
      </c>
      <c r="B636" s="78"/>
      <c r="C636" s="78">
        <v>45000</v>
      </c>
      <c r="D636" s="78">
        <v>45000</v>
      </c>
      <c r="E636" s="78"/>
      <c r="F636" s="42">
        <v>0</v>
      </c>
      <c r="G636" s="42">
        <f t="shared" si="9"/>
        <v>0</v>
      </c>
      <c r="H636" s="2" t="str">
        <f>VLOOKUP(A636,'TB April'!A:H,8,0)</f>
        <v>Not Applicable</v>
      </c>
    </row>
    <row r="637" spans="1:8" hidden="1">
      <c r="A637" s="62" t="s">
        <v>653</v>
      </c>
      <c r="B637" s="78"/>
      <c r="C637" s="78">
        <v>45000</v>
      </c>
      <c r="D637" s="78">
        <v>45000</v>
      </c>
      <c r="E637" s="78"/>
      <c r="F637" s="42">
        <v>0</v>
      </c>
      <c r="G637" s="42">
        <f t="shared" si="9"/>
        <v>0</v>
      </c>
      <c r="H637" s="2" t="str">
        <f>VLOOKUP(A637,'TB April'!A:H,8,0)</f>
        <v>Not Applicable</v>
      </c>
    </row>
    <row r="638" spans="1:8" hidden="1">
      <c r="A638" s="62" t="s">
        <v>1045</v>
      </c>
      <c r="B638" s="78"/>
      <c r="C638" s="78">
        <v>26400</v>
      </c>
      <c r="D638" s="78">
        <v>26400</v>
      </c>
      <c r="E638" s="78"/>
      <c r="F638" s="42">
        <v>0</v>
      </c>
      <c r="G638" s="42">
        <f t="shared" si="9"/>
        <v>0</v>
      </c>
      <c r="H638" s="2" t="str">
        <f>VLOOKUP(A638,'TB April'!A:H,8,0)</f>
        <v>Not Applicable</v>
      </c>
    </row>
    <row r="639" spans="1:8" hidden="1">
      <c r="A639" s="62" t="s">
        <v>646</v>
      </c>
      <c r="B639" s="78">
        <v>-2762</v>
      </c>
      <c r="C639" s="78">
        <v>17</v>
      </c>
      <c r="D639" s="78">
        <v>1806</v>
      </c>
      <c r="E639" s="78">
        <v>-4551</v>
      </c>
      <c r="F639" s="42">
        <v>0</v>
      </c>
      <c r="G639" s="42">
        <f t="shared" si="9"/>
        <v>-4551</v>
      </c>
      <c r="H639" s="2" t="str">
        <f>VLOOKUP(A639,'TB April'!A:H,8,0)</f>
        <v>Not Applicable</v>
      </c>
    </row>
    <row r="640" spans="1:8" hidden="1">
      <c r="A640" s="62" t="s">
        <v>640</v>
      </c>
      <c r="B640" s="78"/>
      <c r="C640" s="78">
        <v>32760</v>
      </c>
      <c r="D640" s="78">
        <v>32760</v>
      </c>
      <c r="E640" s="78"/>
      <c r="F640" s="42">
        <v>0</v>
      </c>
      <c r="G640" s="42">
        <f t="shared" si="9"/>
        <v>0</v>
      </c>
      <c r="H640" s="2" t="str">
        <f>VLOOKUP(A640,'TB April'!A:H,8,0)</f>
        <v>Not Applicable</v>
      </c>
    </row>
    <row r="641" spans="1:8" hidden="1">
      <c r="A641" s="62" t="s">
        <v>1070</v>
      </c>
      <c r="B641" s="78"/>
      <c r="C641" s="78">
        <v>16284</v>
      </c>
      <c r="D641" s="78">
        <v>16284</v>
      </c>
      <c r="E641" s="78"/>
      <c r="F641" s="42">
        <v>0</v>
      </c>
      <c r="G641" s="42">
        <f t="shared" si="9"/>
        <v>0</v>
      </c>
      <c r="H641" s="2" t="str">
        <f>VLOOKUP(A641,'TB April'!A:H,8,0)</f>
        <v>Not Applicable</v>
      </c>
    </row>
    <row r="642" spans="1:8" hidden="1">
      <c r="A642" s="62" t="s">
        <v>628</v>
      </c>
      <c r="B642" s="78">
        <v>-47489</v>
      </c>
      <c r="C642" s="78">
        <v>55994</v>
      </c>
      <c r="D642" s="78">
        <v>55690</v>
      </c>
      <c r="E642" s="78">
        <v>-47185</v>
      </c>
      <c r="F642" s="42">
        <v>0</v>
      </c>
      <c r="G642" s="42">
        <f t="shared" si="9"/>
        <v>-47185</v>
      </c>
      <c r="H642" s="2" t="str">
        <f>VLOOKUP(A642,'TB April'!A:H,8,0)</f>
        <v>Not Applicable</v>
      </c>
    </row>
    <row r="643" spans="1:8" hidden="1">
      <c r="A643" s="62" t="s">
        <v>1519</v>
      </c>
      <c r="B643" s="78"/>
      <c r="C643" s="78"/>
      <c r="D643" s="78"/>
      <c r="E643" s="78"/>
      <c r="F643" s="42">
        <v>0</v>
      </c>
      <c r="G643" s="42">
        <f t="shared" si="9"/>
        <v>0</v>
      </c>
      <c r="H643" s="2" t="s">
        <v>84</v>
      </c>
    </row>
    <row r="644" spans="1:8" hidden="1">
      <c r="A644" s="62" t="s">
        <v>1288</v>
      </c>
      <c r="B644" s="78"/>
      <c r="C644" s="78">
        <v>45000</v>
      </c>
      <c r="D644" s="78">
        <v>45000</v>
      </c>
      <c r="E644" s="78"/>
      <c r="F644" s="42">
        <v>0</v>
      </c>
      <c r="G644" s="42">
        <f t="shared" si="9"/>
        <v>0</v>
      </c>
      <c r="H644" s="2" t="str">
        <f>VLOOKUP(A644,'TB April'!A:H,8,0)</f>
        <v>Not Applicable</v>
      </c>
    </row>
    <row r="645" spans="1:8" hidden="1">
      <c r="A645" s="62" t="s">
        <v>1319</v>
      </c>
      <c r="B645" s="78"/>
      <c r="C645" s="78"/>
      <c r="D645" s="78"/>
      <c r="E645" s="78"/>
      <c r="F645" s="42">
        <v>0</v>
      </c>
      <c r="G645" s="42">
        <f t="shared" si="9"/>
        <v>0</v>
      </c>
      <c r="H645" s="2" t="str">
        <f>VLOOKUP(A645,'TB April'!A:H,8,0)</f>
        <v>Not Applicable</v>
      </c>
    </row>
    <row r="646" spans="1:8" hidden="1">
      <c r="A646" s="62" t="s">
        <v>1124</v>
      </c>
      <c r="B646" s="78">
        <v>-327817.96000000002</v>
      </c>
      <c r="C646" s="78">
        <v>630213.01</v>
      </c>
      <c r="D646" s="78">
        <v>302396.01</v>
      </c>
      <c r="E646" s="78">
        <v>-0.96</v>
      </c>
      <c r="F646" s="42">
        <v>0</v>
      </c>
      <c r="G646" s="42">
        <f t="shared" ref="G646:G709" si="10">+E646+F646</f>
        <v>-0.96</v>
      </c>
      <c r="H646" s="2" t="str">
        <f>VLOOKUP(A646,'TB April'!A:H,8,0)</f>
        <v>Not Applicable</v>
      </c>
    </row>
    <row r="647" spans="1:8" hidden="1">
      <c r="A647" s="62" t="s">
        <v>1469</v>
      </c>
      <c r="B647" s="78"/>
      <c r="C647" s="78"/>
      <c r="D647" s="78"/>
      <c r="E647" s="78"/>
      <c r="F647" s="42">
        <v>0</v>
      </c>
      <c r="G647" s="42">
        <f t="shared" si="10"/>
        <v>0</v>
      </c>
      <c r="H647" s="2" t="str">
        <f>VLOOKUP(A647,'TB April'!A:H,8,0)</f>
        <v>Not Applicable</v>
      </c>
    </row>
    <row r="648" spans="1:8" hidden="1">
      <c r="A648" s="62" t="s">
        <v>612</v>
      </c>
      <c r="B648" s="78">
        <v>-216491026.63</v>
      </c>
      <c r="C648" s="78"/>
      <c r="D648" s="78"/>
      <c r="E648" s="78">
        <v>-216491026.63</v>
      </c>
      <c r="F648" s="42">
        <v>0</v>
      </c>
      <c r="G648" s="42">
        <f t="shared" si="10"/>
        <v>-216491026.63</v>
      </c>
      <c r="H648" s="2" t="str">
        <f>VLOOKUP(A648,'TB April'!A:H,8,0)</f>
        <v>Not Applicable</v>
      </c>
    </row>
    <row r="649" spans="1:8" hidden="1">
      <c r="A649" s="62" t="s">
        <v>611</v>
      </c>
      <c r="B649" s="78">
        <v>0.8</v>
      </c>
      <c r="C649" s="78">
        <v>19123</v>
      </c>
      <c r="D649" s="78">
        <v>35044068.200000003</v>
      </c>
      <c r="E649" s="78">
        <v>-35024944.399999999</v>
      </c>
      <c r="F649" s="42">
        <v>0</v>
      </c>
      <c r="G649" s="42">
        <f t="shared" si="10"/>
        <v>-35024944.399999999</v>
      </c>
      <c r="H649" s="2" t="str">
        <f>VLOOKUP(A649,'TB April'!A:H,8,0)</f>
        <v>Not Applicable</v>
      </c>
    </row>
    <row r="650" spans="1:8" hidden="1">
      <c r="A650" s="62" t="s">
        <v>1102</v>
      </c>
      <c r="B650" s="78"/>
      <c r="C650" s="78">
        <v>71715</v>
      </c>
      <c r="D650" s="78">
        <v>71715</v>
      </c>
      <c r="E650" s="78"/>
      <c r="F650" s="42">
        <v>0</v>
      </c>
      <c r="G650" s="42">
        <f t="shared" si="10"/>
        <v>0</v>
      </c>
      <c r="H650" s="2" t="str">
        <f>VLOOKUP(A650,'TB April'!A:H,8,0)</f>
        <v>Not Applicable</v>
      </c>
    </row>
    <row r="651" spans="1:8" hidden="1">
      <c r="A651" s="62" t="s">
        <v>1520</v>
      </c>
      <c r="B651" s="78"/>
      <c r="C651" s="78"/>
      <c r="D651" s="78"/>
      <c r="E651" s="78"/>
      <c r="F651" s="42">
        <v>0</v>
      </c>
      <c r="G651" s="42">
        <f t="shared" si="10"/>
        <v>0</v>
      </c>
      <c r="H651" s="2" t="s">
        <v>84</v>
      </c>
    </row>
    <row r="652" spans="1:8" hidden="1">
      <c r="A652" s="62" t="s">
        <v>1357</v>
      </c>
      <c r="B652" s="78">
        <v>-1</v>
      </c>
      <c r="C652" s="78"/>
      <c r="D652" s="78"/>
      <c r="E652" s="78">
        <v>-1</v>
      </c>
      <c r="F652" s="42">
        <v>0</v>
      </c>
      <c r="G652" s="42">
        <f t="shared" si="10"/>
        <v>-1</v>
      </c>
      <c r="H652" s="2" t="str">
        <f>VLOOKUP(A652,'TB April'!A:H,8,0)</f>
        <v>Not Applicable</v>
      </c>
    </row>
    <row r="653" spans="1:8" hidden="1">
      <c r="A653" s="62" t="s">
        <v>1042</v>
      </c>
      <c r="B653" s="78"/>
      <c r="C653" s="78">
        <v>26400</v>
      </c>
      <c r="D653" s="78">
        <v>26400</v>
      </c>
      <c r="E653" s="78"/>
      <c r="F653" s="42">
        <v>0</v>
      </c>
      <c r="G653" s="42">
        <f t="shared" si="10"/>
        <v>0</v>
      </c>
      <c r="H653" s="2" t="str">
        <f>VLOOKUP(A653,'TB April'!A:H,8,0)</f>
        <v>Not Applicable</v>
      </c>
    </row>
    <row r="654" spans="1:8" hidden="1">
      <c r="A654" s="62" t="s">
        <v>596</v>
      </c>
      <c r="B654" s="78">
        <v>68996.899999999994</v>
      </c>
      <c r="C654" s="78">
        <v>1044</v>
      </c>
      <c r="D654" s="78">
        <v>61596</v>
      </c>
      <c r="E654" s="78">
        <v>8444.9</v>
      </c>
      <c r="F654" s="42">
        <v>0</v>
      </c>
      <c r="G654" s="42">
        <f t="shared" si="10"/>
        <v>8444.9</v>
      </c>
      <c r="H654" s="2" t="str">
        <f>VLOOKUP(A654,'TB April'!A:H,8,0)</f>
        <v>Not Applicable</v>
      </c>
    </row>
    <row r="655" spans="1:8" hidden="1">
      <c r="A655" s="62" t="s">
        <v>1144</v>
      </c>
      <c r="B655" s="78">
        <v>-18700</v>
      </c>
      <c r="C655" s="78">
        <v>18700</v>
      </c>
      <c r="D655" s="78"/>
      <c r="E655" s="78"/>
      <c r="F655" s="42">
        <v>0</v>
      </c>
      <c r="G655" s="42">
        <f t="shared" si="10"/>
        <v>0</v>
      </c>
      <c r="H655" s="2" t="str">
        <f>VLOOKUP(A655,'TB April'!A:H,8,0)</f>
        <v>Not Applicable</v>
      </c>
    </row>
    <row r="656" spans="1:8" hidden="1">
      <c r="A656" s="62" t="s">
        <v>599</v>
      </c>
      <c r="B656" s="78">
        <v>-58381</v>
      </c>
      <c r="C656" s="78">
        <v>27679</v>
      </c>
      <c r="D656" s="78"/>
      <c r="E656" s="78">
        <v>-30702</v>
      </c>
      <c r="F656" s="42">
        <v>0</v>
      </c>
      <c r="G656" s="42">
        <f t="shared" si="10"/>
        <v>-30702</v>
      </c>
      <c r="H656" s="2" t="str">
        <f>VLOOKUP(A656,'TB April'!A:H,8,0)</f>
        <v>Not Applicable</v>
      </c>
    </row>
    <row r="657" spans="1:8" hidden="1">
      <c r="A657" s="62" t="s">
        <v>1176</v>
      </c>
      <c r="B657" s="78">
        <v>15969.8</v>
      </c>
      <c r="C657" s="78"/>
      <c r="D657" s="78">
        <v>15970</v>
      </c>
      <c r="E657" s="78">
        <v>-0.2</v>
      </c>
      <c r="F657" s="42">
        <v>0</v>
      </c>
      <c r="G657" s="42">
        <f t="shared" si="10"/>
        <v>-0.2</v>
      </c>
      <c r="H657" s="2" t="str">
        <f>VLOOKUP(A657,'TB April'!A:H,8,0)</f>
        <v>Not Applicable</v>
      </c>
    </row>
    <row r="658" spans="1:8" hidden="1">
      <c r="A658" s="62" t="s">
        <v>593</v>
      </c>
      <c r="B658" s="78"/>
      <c r="C658" s="78"/>
      <c r="D658" s="78"/>
      <c r="E658" s="78"/>
      <c r="F658" s="42">
        <v>0</v>
      </c>
      <c r="G658" s="42">
        <f t="shared" si="10"/>
        <v>0</v>
      </c>
      <c r="H658" s="2" t="str">
        <f>VLOOKUP(A658,'TB April'!A:H,8,0)</f>
        <v>Not Applicable</v>
      </c>
    </row>
    <row r="659" spans="1:8" hidden="1">
      <c r="A659" s="62" t="s">
        <v>1028</v>
      </c>
      <c r="B659" s="78">
        <v>2572</v>
      </c>
      <c r="C659" s="78">
        <v>270189</v>
      </c>
      <c r="D659" s="78">
        <v>272761</v>
      </c>
      <c r="E659" s="78"/>
      <c r="F659" s="42">
        <v>0</v>
      </c>
      <c r="G659" s="42">
        <f t="shared" si="10"/>
        <v>0</v>
      </c>
      <c r="H659" s="2" t="str">
        <f>VLOOKUP(A659,'TB April'!A:H,8,0)</f>
        <v>Not Applicable</v>
      </c>
    </row>
    <row r="660" spans="1:8" hidden="1">
      <c r="A660" s="62" t="s">
        <v>1162</v>
      </c>
      <c r="B660" s="78"/>
      <c r="C660" s="78">
        <v>35000</v>
      </c>
      <c r="D660" s="78">
        <v>35000</v>
      </c>
      <c r="E660" s="78"/>
      <c r="F660" s="42">
        <v>0</v>
      </c>
      <c r="G660" s="42">
        <f t="shared" si="10"/>
        <v>0</v>
      </c>
      <c r="H660" s="2" t="str">
        <f>VLOOKUP(A660,'TB April'!A:H,8,0)</f>
        <v>Not Applicable</v>
      </c>
    </row>
    <row r="661" spans="1:8" hidden="1">
      <c r="A661" s="62" t="s">
        <v>1291</v>
      </c>
      <c r="B661" s="78">
        <v>-12285</v>
      </c>
      <c r="C661" s="78"/>
      <c r="D661" s="78"/>
      <c r="E661" s="78">
        <v>-12285</v>
      </c>
      <c r="F661" s="42">
        <v>0</v>
      </c>
      <c r="G661" s="42">
        <f t="shared" si="10"/>
        <v>-12285</v>
      </c>
      <c r="H661" s="2" t="str">
        <f>VLOOKUP(A661,'TB April'!A:H,8,0)</f>
        <v>Not Applicable</v>
      </c>
    </row>
    <row r="662" spans="1:8" hidden="1">
      <c r="A662" s="62" t="s">
        <v>592</v>
      </c>
      <c r="B662" s="78">
        <v>-86766.26</v>
      </c>
      <c r="C662" s="78"/>
      <c r="D662" s="78"/>
      <c r="E662" s="78">
        <v>-86766.26</v>
      </c>
      <c r="F662" s="42">
        <v>0</v>
      </c>
      <c r="G662" s="42">
        <f t="shared" si="10"/>
        <v>-86766.26</v>
      </c>
      <c r="H662" s="2" t="str">
        <f>VLOOKUP(A662,'TB April'!A:H,8,0)</f>
        <v>Not Applicable</v>
      </c>
    </row>
    <row r="663" spans="1:8" hidden="1">
      <c r="A663" s="62" t="s">
        <v>1177</v>
      </c>
      <c r="B663" s="78">
        <v>-8425</v>
      </c>
      <c r="C663" s="78">
        <v>8425</v>
      </c>
      <c r="D663" s="78">
        <v>12579</v>
      </c>
      <c r="E663" s="78">
        <v>-12579</v>
      </c>
      <c r="F663" s="42">
        <v>0</v>
      </c>
      <c r="G663" s="42">
        <f t="shared" si="10"/>
        <v>-12579</v>
      </c>
      <c r="H663" s="2" t="str">
        <f>VLOOKUP(A663,'TB April'!A:H,8,0)</f>
        <v>Not Applicable</v>
      </c>
    </row>
    <row r="664" spans="1:8" hidden="1">
      <c r="A664" s="62" t="s">
        <v>1242</v>
      </c>
      <c r="B664" s="78"/>
      <c r="C664" s="78">
        <v>74000</v>
      </c>
      <c r="D664" s="78">
        <v>74000</v>
      </c>
      <c r="E664" s="78"/>
      <c r="F664" s="42">
        <v>0</v>
      </c>
      <c r="G664" s="42">
        <f t="shared" si="10"/>
        <v>0</v>
      </c>
      <c r="H664" s="2" t="str">
        <f>VLOOKUP(A664,'TB April'!A:H,8,0)</f>
        <v>Not Applicable</v>
      </c>
    </row>
    <row r="665" spans="1:8" hidden="1">
      <c r="A665" s="62" t="s">
        <v>984</v>
      </c>
      <c r="B665" s="78"/>
      <c r="C665" s="78">
        <v>24000</v>
      </c>
      <c r="D665" s="78">
        <v>24000</v>
      </c>
      <c r="E665" s="78"/>
      <c r="F665" s="42">
        <v>0</v>
      </c>
      <c r="G665" s="42">
        <f t="shared" si="10"/>
        <v>0</v>
      </c>
      <c r="H665" s="2" t="str">
        <f>VLOOKUP(A665,'TB April'!A:H,8,0)</f>
        <v>Not Applicable</v>
      </c>
    </row>
    <row r="666" spans="1:8" hidden="1">
      <c r="A666" s="62" t="s">
        <v>1163</v>
      </c>
      <c r="B666" s="78">
        <v>-8911011.1999999993</v>
      </c>
      <c r="C666" s="78"/>
      <c r="D666" s="78"/>
      <c r="E666" s="78">
        <v>-8911011.1999999993</v>
      </c>
      <c r="F666" s="42">
        <v>0</v>
      </c>
      <c r="G666" s="42">
        <f t="shared" si="10"/>
        <v>-8911011.1999999993</v>
      </c>
      <c r="H666" s="2" t="str">
        <f>VLOOKUP(A666,'TB April'!A:H,8,0)</f>
        <v>Not Applicable</v>
      </c>
    </row>
    <row r="667" spans="1:8" hidden="1">
      <c r="A667" s="62" t="s">
        <v>1521</v>
      </c>
      <c r="B667" s="78"/>
      <c r="C667" s="78">
        <v>55000</v>
      </c>
      <c r="D667" s="78"/>
      <c r="E667" s="78">
        <v>55000</v>
      </c>
      <c r="F667" s="42">
        <v>0</v>
      </c>
      <c r="G667" s="42">
        <f t="shared" si="10"/>
        <v>55000</v>
      </c>
      <c r="H667" s="2" t="s">
        <v>84</v>
      </c>
    </row>
    <row r="668" spans="1:8" hidden="1">
      <c r="A668" s="62" t="s">
        <v>578</v>
      </c>
      <c r="B668" s="78">
        <v>-2751</v>
      </c>
      <c r="C668" s="78">
        <v>180</v>
      </c>
      <c r="D668" s="78">
        <v>51517</v>
      </c>
      <c r="E668" s="78">
        <v>-54088</v>
      </c>
      <c r="F668" s="42">
        <v>0</v>
      </c>
      <c r="G668" s="42">
        <f t="shared" si="10"/>
        <v>-54088</v>
      </c>
      <c r="H668" s="2" t="str">
        <f>VLOOKUP(A668,'TB April'!A:H,8,0)</f>
        <v>Not Applicable</v>
      </c>
    </row>
    <row r="669" spans="1:8" hidden="1">
      <c r="A669" s="62" t="s">
        <v>580</v>
      </c>
      <c r="B669" s="78">
        <v>-124792.93</v>
      </c>
      <c r="C669" s="78"/>
      <c r="D669" s="78"/>
      <c r="E669" s="78">
        <v>-124792.93</v>
      </c>
      <c r="F669" s="42">
        <v>0</v>
      </c>
      <c r="G669" s="42">
        <f t="shared" si="10"/>
        <v>-124792.93</v>
      </c>
      <c r="H669" s="2" t="str">
        <f>VLOOKUP(A669,'TB April'!A:H,8,0)</f>
        <v>Not Applicable</v>
      </c>
    </row>
    <row r="670" spans="1:8" hidden="1">
      <c r="A670" s="62" t="s">
        <v>577</v>
      </c>
      <c r="B670" s="78">
        <v>-228232853.84999999</v>
      </c>
      <c r="C670" s="78"/>
      <c r="D670" s="78"/>
      <c r="E670" s="78">
        <v>-228232853.84999999</v>
      </c>
      <c r="F670" s="42">
        <v>0</v>
      </c>
      <c r="G670" s="42">
        <f t="shared" si="10"/>
        <v>-228232853.84999999</v>
      </c>
      <c r="H670" s="2" t="str">
        <f>VLOOKUP(A670,'TB April'!A:H,8,0)</f>
        <v>Not Applicable</v>
      </c>
    </row>
    <row r="671" spans="1:8" hidden="1">
      <c r="A671" s="62" t="s">
        <v>576</v>
      </c>
      <c r="B671" s="78">
        <v>-1727691445.1800001</v>
      </c>
      <c r="C671" s="78">
        <v>0.01</v>
      </c>
      <c r="D671" s="78">
        <v>35920556.399999999</v>
      </c>
      <c r="E671" s="78">
        <v>-1763612001.5699999</v>
      </c>
      <c r="F671" s="42">
        <v>0</v>
      </c>
      <c r="G671" s="42">
        <f t="shared" si="10"/>
        <v>-1763612001.5699999</v>
      </c>
      <c r="H671" s="2" t="str">
        <f>VLOOKUP(A671,'TB April'!A:H,8,0)</f>
        <v>Not Applicable</v>
      </c>
    </row>
    <row r="672" spans="1:8" hidden="1">
      <c r="A672" s="62" t="s">
        <v>1123</v>
      </c>
      <c r="B672" s="78">
        <v>-31984</v>
      </c>
      <c r="C672" s="78">
        <v>31984</v>
      </c>
      <c r="D672" s="78"/>
      <c r="E672" s="78"/>
      <c r="F672" s="42">
        <v>0</v>
      </c>
      <c r="G672" s="42">
        <f t="shared" si="10"/>
        <v>0</v>
      </c>
      <c r="H672" s="2" t="str">
        <f>VLOOKUP(A672,'TB April'!A:H,8,0)</f>
        <v>Not Applicable</v>
      </c>
    </row>
    <row r="673" spans="1:8" hidden="1">
      <c r="A673" s="62" t="s">
        <v>1068</v>
      </c>
      <c r="B673" s="78">
        <v>-64639</v>
      </c>
      <c r="C673" s="78">
        <v>71604</v>
      </c>
      <c r="D673" s="78">
        <v>74552</v>
      </c>
      <c r="E673" s="78">
        <v>-67587</v>
      </c>
      <c r="F673" s="42">
        <v>0</v>
      </c>
      <c r="G673" s="42">
        <f t="shared" si="10"/>
        <v>-67587</v>
      </c>
      <c r="H673" s="2" t="str">
        <f>VLOOKUP(A673,'TB April'!A:H,8,0)</f>
        <v>Not Applicable</v>
      </c>
    </row>
    <row r="674" spans="1:8" hidden="1">
      <c r="A674" s="62" t="s">
        <v>1243</v>
      </c>
      <c r="B674" s="78">
        <v>-10974</v>
      </c>
      <c r="C674" s="78">
        <v>10974</v>
      </c>
      <c r="D674" s="78"/>
      <c r="E674" s="78"/>
      <c r="F674" s="42">
        <v>0</v>
      </c>
      <c r="G674" s="42">
        <f t="shared" si="10"/>
        <v>0</v>
      </c>
      <c r="H674" s="2" t="str">
        <f>VLOOKUP(A674,'TB April'!A:H,8,0)</f>
        <v>Not Applicable</v>
      </c>
    </row>
    <row r="675" spans="1:8" hidden="1">
      <c r="A675" s="62" t="s">
        <v>1522</v>
      </c>
      <c r="B675" s="78"/>
      <c r="C675" s="78">
        <v>41000</v>
      </c>
      <c r="D675" s="78">
        <v>41000</v>
      </c>
      <c r="E675" s="78"/>
      <c r="F675" s="42">
        <v>0</v>
      </c>
      <c r="G675" s="42">
        <f t="shared" si="10"/>
        <v>0</v>
      </c>
      <c r="H675" s="2" t="s">
        <v>84</v>
      </c>
    </row>
    <row r="676" spans="1:8" hidden="1">
      <c r="A676" s="62" t="s">
        <v>557</v>
      </c>
      <c r="B676" s="78"/>
      <c r="C676" s="78"/>
      <c r="D676" s="78"/>
      <c r="E676" s="78"/>
      <c r="F676" s="42">
        <v>0</v>
      </c>
      <c r="G676" s="42">
        <f t="shared" si="10"/>
        <v>0</v>
      </c>
      <c r="H676" s="2" t="str">
        <f>VLOOKUP(A676,'TB April'!A:H,8,0)</f>
        <v>Not Applicable</v>
      </c>
    </row>
    <row r="677" spans="1:8" hidden="1">
      <c r="A677" s="62" t="s">
        <v>911</v>
      </c>
      <c r="B677" s="78">
        <v>400</v>
      </c>
      <c r="C677" s="78"/>
      <c r="D677" s="78"/>
      <c r="E677" s="78">
        <v>400</v>
      </c>
      <c r="F677" s="42">
        <v>0</v>
      </c>
      <c r="G677" s="42">
        <f t="shared" si="10"/>
        <v>400</v>
      </c>
      <c r="H677" s="2" t="str">
        <f>VLOOKUP(A677,'TB April'!A:H,8,0)</f>
        <v>Not Applicable</v>
      </c>
    </row>
    <row r="678" spans="1:8" hidden="1">
      <c r="A678" s="62" t="s">
        <v>1245</v>
      </c>
      <c r="B678" s="78">
        <v>-1160334</v>
      </c>
      <c r="C678" s="78">
        <v>2232525</v>
      </c>
      <c r="D678" s="78">
        <v>1029189</v>
      </c>
      <c r="E678" s="78">
        <v>43002</v>
      </c>
      <c r="F678" s="42">
        <v>0</v>
      </c>
      <c r="G678" s="42">
        <f t="shared" si="10"/>
        <v>43002</v>
      </c>
      <c r="H678" s="2" t="str">
        <f>VLOOKUP(A678,'TB April'!A:H,8,0)</f>
        <v>Not Applicable</v>
      </c>
    </row>
    <row r="679" spans="1:8" hidden="1">
      <c r="A679" s="62" t="s">
        <v>552</v>
      </c>
      <c r="B679" s="78"/>
      <c r="C679" s="78"/>
      <c r="D679" s="78"/>
      <c r="E679" s="78"/>
      <c r="F679" s="42">
        <v>0</v>
      </c>
      <c r="G679" s="42">
        <f t="shared" si="10"/>
        <v>0</v>
      </c>
      <c r="H679" s="2" t="str">
        <f>VLOOKUP(A679,'TB April'!A:H,8,0)</f>
        <v>Not Applicable</v>
      </c>
    </row>
    <row r="680" spans="1:8" hidden="1">
      <c r="A680" s="62" t="s">
        <v>1100</v>
      </c>
      <c r="B680" s="78">
        <v>-12870</v>
      </c>
      <c r="C680" s="78">
        <v>12870</v>
      </c>
      <c r="D680" s="78"/>
      <c r="E680" s="78"/>
      <c r="F680" s="42">
        <v>0</v>
      </c>
      <c r="G680" s="42">
        <f t="shared" si="10"/>
        <v>0</v>
      </c>
      <c r="H680" s="2" t="str">
        <f>VLOOKUP(A680,'TB April'!A:H,8,0)</f>
        <v>Not Applicable</v>
      </c>
    </row>
    <row r="681" spans="1:8" hidden="1">
      <c r="A681" s="62" t="s">
        <v>1215</v>
      </c>
      <c r="B681" s="78">
        <v>-968802</v>
      </c>
      <c r="C681" s="78">
        <v>1594698</v>
      </c>
      <c r="D681" s="78">
        <v>733883</v>
      </c>
      <c r="E681" s="78">
        <v>-107987</v>
      </c>
      <c r="F681" s="42">
        <v>0</v>
      </c>
      <c r="G681" s="42">
        <f t="shared" si="10"/>
        <v>-107987</v>
      </c>
      <c r="H681" s="2" t="str">
        <f>VLOOKUP(A681,'TB April'!A:H,8,0)</f>
        <v>Not Applicable</v>
      </c>
    </row>
    <row r="682" spans="1:8" hidden="1">
      <c r="A682" s="62" t="s">
        <v>554</v>
      </c>
      <c r="B682" s="78">
        <v>-1057503</v>
      </c>
      <c r="C682" s="78">
        <v>866091.1</v>
      </c>
      <c r="D682" s="78">
        <v>828125.1</v>
      </c>
      <c r="E682" s="78">
        <v>-1019537</v>
      </c>
      <c r="F682" s="42">
        <v>0</v>
      </c>
      <c r="G682" s="42">
        <f t="shared" si="10"/>
        <v>-1019537</v>
      </c>
      <c r="H682" s="2" t="str">
        <f>VLOOKUP(A682,'TB April'!A:H,8,0)</f>
        <v>Not Applicable</v>
      </c>
    </row>
    <row r="683" spans="1:8" hidden="1">
      <c r="A683" s="62" t="s">
        <v>1470</v>
      </c>
      <c r="B683" s="78"/>
      <c r="C683" s="78"/>
      <c r="D683" s="78">
        <v>4564</v>
      </c>
      <c r="E683" s="78">
        <v>-4564</v>
      </c>
      <c r="F683" s="42">
        <v>0</v>
      </c>
      <c r="G683" s="42">
        <f t="shared" si="10"/>
        <v>-4564</v>
      </c>
      <c r="H683" s="2" t="str">
        <f>VLOOKUP(A683,'TB April'!A:H,8,0)</f>
        <v>Not Applicable</v>
      </c>
    </row>
    <row r="684" spans="1:8" hidden="1">
      <c r="A684" s="62" t="s">
        <v>555</v>
      </c>
      <c r="B684" s="78">
        <v>-1.82</v>
      </c>
      <c r="C684" s="78"/>
      <c r="D684" s="78"/>
      <c r="E684" s="78">
        <v>-1.82</v>
      </c>
      <c r="F684" s="42">
        <v>0</v>
      </c>
      <c r="G684" s="42">
        <f t="shared" si="10"/>
        <v>-1.82</v>
      </c>
      <c r="H684" s="2" t="str">
        <f>VLOOKUP(A684,'TB April'!A:H,8,0)</f>
        <v>Not Applicable</v>
      </c>
    </row>
    <row r="685" spans="1:8" hidden="1">
      <c r="A685" s="62" t="s">
        <v>1312</v>
      </c>
      <c r="B685" s="78"/>
      <c r="C685" s="78"/>
      <c r="D685" s="78"/>
      <c r="E685" s="78"/>
      <c r="F685" s="42">
        <v>0</v>
      </c>
      <c r="G685" s="42">
        <f t="shared" si="10"/>
        <v>0</v>
      </c>
      <c r="H685" s="2" t="s">
        <v>84</v>
      </c>
    </row>
    <row r="686" spans="1:8" hidden="1">
      <c r="A686" s="62" t="s">
        <v>1246</v>
      </c>
      <c r="B686" s="78">
        <v>-202703</v>
      </c>
      <c r="C686" s="78">
        <v>202703</v>
      </c>
      <c r="D686" s="78"/>
      <c r="E686" s="78"/>
      <c r="F686" s="42">
        <v>0</v>
      </c>
      <c r="G686" s="42">
        <f t="shared" si="10"/>
        <v>0</v>
      </c>
      <c r="H686" s="2" t="str">
        <f>VLOOKUP(A686,'TB April'!A:H,8,0)</f>
        <v>Not Applicable</v>
      </c>
    </row>
    <row r="687" spans="1:8" hidden="1">
      <c r="A687" s="62" t="s">
        <v>1523</v>
      </c>
      <c r="B687" s="78"/>
      <c r="C687" s="78">
        <v>876881.25</v>
      </c>
      <c r="D687" s="78">
        <v>877625</v>
      </c>
      <c r="E687" s="78">
        <v>-743.75</v>
      </c>
      <c r="F687" s="42">
        <v>0</v>
      </c>
      <c r="G687" s="42">
        <f t="shared" si="10"/>
        <v>-743.75</v>
      </c>
      <c r="H687" s="2" t="s">
        <v>84</v>
      </c>
    </row>
    <row r="688" spans="1:8" hidden="1">
      <c r="A688" s="62" t="s">
        <v>1101</v>
      </c>
      <c r="B688" s="78"/>
      <c r="C688" s="78"/>
      <c r="D688" s="78"/>
      <c r="E688" s="78"/>
      <c r="F688" s="42">
        <v>0</v>
      </c>
      <c r="G688" s="42">
        <f t="shared" si="10"/>
        <v>0</v>
      </c>
      <c r="H688" s="2" t="str">
        <f>VLOOKUP(A688,'TB April'!A:H,8,0)</f>
        <v>Not Applicable</v>
      </c>
    </row>
    <row r="689" spans="1:8" hidden="1">
      <c r="A689" s="62" t="s">
        <v>549</v>
      </c>
      <c r="B689" s="78">
        <v>-1</v>
      </c>
      <c r="C689" s="78"/>
      <c r="D689" s="78"/>
      <c r="E689" s="78">
        <v>-1</v>
      </c>
      <c r="F689" s="42">
        <v>0</v>
      </c>
      <c r="G689" s="42">
        <f t="shared" si="10"/>
        <v>-1</v>
      </c>
      <c r="H689" s="2" t="str">
        <f>VLOOKUP(A689,'TB April'!A:H,8,0)</f>
        <v>Not Applicable</v>
      </c>
    </row>
    <row r="690" spans="1:8" hidden="1">
      <c r="A690" s="62" t="s">
        <v>1471</v>
      </c>
      <c r="B690" s="78">
        <v>-20886</v>
      </c>
      <c r="C690" s="78">
        <v>20886</v>
      </c>
      <c r="D690" s="78"/>
      <c r="E690" s="78"/>
      <c r="F690" s="42">
        <v>0</v>
      </c>
      <c r="G690" s="42">
        <f t="shared" si="10"/>
        <v>0</v>
      </c>
      <c r="H690" s="2" t="str">
        <f>VLOOKUP(A690,'TB April'!A:H,8,0)</f>
        <v>Not Applicable</v>
      </c>
    </row>
    <row r="691" spans="1:8" hidden="1">
      <c r="A691" s="62" t="s">
        <v>1359</v>
      </c>
      <c r="B691" s="78">
        <v>-13570</v>
      </c>
      <c r="C691" s="78"/>
      <c r="D691" s="78">
        <v>24544</v>
      </c>
      <c r="E691" s="78">
        <v>-38114</v>
      </c>
      <c r="F691" s="42">
        <v>0</v>
      </c>
      <c r="G691" s="42">
        <f t="shared" si="10"/>
        <v>-38114</v>
      </c>
      <c r="H691" s="2" t="str">
        <f>VLOOKUP(A691,'TB April'!A:H,8,0)</f>
        <v>Not Applicable</v>
      </c>
    </row>
    <row r="692" spans="1:8" hidden="1">
      <c r="A692" s="62" t="s">
        <v>1263</v>
      </c>
      <c r="B692" s="78">
        <v>-5648.3</v>
      </c>
      <c r="C692" s="78">
        <v>284557</v>
      </c>
      <c r="D692" s="78">
        <v>284558</v>
      </c>
      <c r="E692" s="78">
        <v>-5649.3</v>
      </c>
      <c r="F692" s="42">
        <v>0</v>
      </c>
      <c r="G692" s="42">
        <f t="shared" si="10"/>
        <v>-5649.3</v>
      </c>
      <c r="H692" s="2" t="str">
        <f>VLOOKUP(A692,'TB April'!A:H,8,0)</f>
        <v>Not Applicable</v>
      </c>
    </row>
    <row r="693" spans="1:8" hidden="1">
      <c r="A693" s="62" t="s">
        <v>869</v>
      </c>
      <c r="B693" s="78">
        <v>-233175</v>
      </c>
      <c r="C693" s="78"/>
      <c r="D693" s="78"/>
      <c r="E693" s="78">
        <v>-233175</v>
      </c>
      <c r="F693" s="42">
        <v>0</v>
      </c>
      <c r="G693" s="42">
        <f t="shared" si="10"/>
        <v>-233175</v>
      </c>
      <c r="H693" s="2" t="str">
        <f>VLOOKUP(A693,'TB April'!A:H,8,0)</f>
        <v>Not Applicable</v>
      </c>
    </row>
    <row r="694" spans="1:8" hidden="1">
      <c r="A694" s="62" t="s">
        <v>541</v>
      </c>
      <c r="B694" s="78">
        <v>-267011.21000000002</v>
      </c>
      <c r="C694" s="78">
        <v>487900</v>
      </c>
      <c r="D694" s="78">
        <v>967600</v>
      </c>
      <c r="E694" s="78">
        <v>-746711.21</v>
      </c>
      <c r="F694" s="42">
        <v>0</v>
      </c>
      <c r="G694" s="42">
        <f t="shared" si="10"/>
        <v>-746711.21</v>
      </c>
      <c r="H694" s="2" t="str">
        <f>VLOOKUP(A694,'TB April'!A:H,8,0)</f>
        <v>Not Applicable</v>
      </c>
    </row>
    <row r="695" spans="1:8" hidden="1">
      <c r="A695" s="62" t="s">
        <v>543</v>
      </c>
      <c r="B695" s="78"/>
      <c r="C695" s="78">
        <v>255545</v>
      </c>
      <c r="D695" s="78">
        <v>255545</v>
      </c>
      <c r="E695" s="78"/>
      <c r="F695" s="42">
        <v>0</v>
      </c>
      <c r="G695" s="42">
        <f t="shared" si="10"/>
        <v>0</v>
      </c>
      <c r="H695" s="2" t="str">
        <f>VLOOKUP(A695,'TB April'!A:H,8,0)</f>
        <v>Not Applicable</v>
      </c>
    </row>
    <row r="696" spans="1:8" hidden="1">
      <c r="A696" s="62" t="s">
        <v>1040</v>
      </c>
      <c r="B696" s="78"/>
      <c r="C696" s="78">
        <v>26400</v>
      </c>
      <c r="D696" s="78">
        <v>26400</v>
      </c>
      <c r="E696" s="78"/>
      <c r="F696" s="42">
        <v>0</v>
      </c>
      <c r="G696" s="42">
        <f t="shared" si="10"/>
        <v>0</v>
      </c>
      <c r="H696" s="2" t="str">
        <f>VLOOKUP(A696,'TB April'!A:H,8,0)</f>
        <v>Not Applicable</v>
      </c>
    </row>
    <row r="697" spans="1:8" hidden="1">
      <c r="A697" s="62" t="s">
        <v>1336</v>
      </c>
      <c r="B697" s="78">
        <v>-590000.12</v>
      </c>
      <c r="C697" s="78">
        <v>1364017.46</v>
      </c>
      <c r="D697" s="78">
        <v>1433700</v>
      </c>
      <c r="E697" s="78">
        <v>-659682.66</v>
      </c>
      <c r="F697" s="42">
        <v>0</v>
      </c>
      <c r="G697" s="42">
        <f t="shared" si="10"/>
        <v>-659682.66</v>
      </c>
      <c r="H697" s="2" t="str">
        <f>VLOOKUP(A697,'TB April'!A:H,8,0)</f>
        <v>Not Applicable</v>
      </c>
    </row>
    <row r="698" spans="1:8" hidden="1">
      <c r="A698" s="62" t="s">
        <v>1472</v>
      </c>
      <c r="B698" s="78"/>
      <c r="C698" s="78"/>
      <c r="D698" s="78"/>
      <c r="E698" s="78"/>
      <c r="F698" s="42">
        <v>0</v>
      </c>
      <c r="G698" s="42">
        <f t="shared" si="10"/>
        <v>0</v>
      </c>
      <c r="H698" s="2" t="str">
        <f>VLOOKUP(A698,'TB April'!A:H,8,0)</f>
        <v>Not Applicable</v>
      </c>
    </row>
    <row r="699" spans="1:8" hidden="1">
      <c r="A699" s="62" t="s">
        <v>1039</v>
      </c>
      <c r="B699" s="78"/>
      <c r="C699" s="78">
        <v>26400</v>
      </c>
      <c r="D699" s="78">
        <v>26400</v>
      </c>
      <c r="E699" s="78"/>
      <c r="F699" s="42">
        <v>0</v>
      </c>
      <c r="G699" s="42">
        <f t="shared" si="10"/>
        <v>0</v>
      </c>
      <c r="H699" s="2" t="str">
        <f>VLOOKUP(A699,'TB April'!A:H,8,0)</f>
        <v>Not Applicable</v>
      </c>
    </row>
    <row r="700" spans="1:8" hidden="1">
      <c r="A700" s="62" t="s">
        <v>980</v>
      </c>
      <c r="B700" s="78">
        <v>590</v>
      </c>
      <c r="C700" s="78"/>
      <c r="D700" s="78"/>
      <c r="E700" s="78">
        <v>590</v>
      </c>
      <c r="F700" s="42">
        <v>0</v>
      </c>
      <c r="G700" s="42">
        <f t="shared" si="10"/>
        <v>590</v>
      </c>
      <c r="H700" s="2" t="str">
        <f>VLOOKUP(A700,'TB April'!A:H,8,0)</f>
        <v>Not Applicable</v>
      </c>
    </row>
    <row r="701" spans="1:8" hidden="1">
      <c r="A701" s="62" t="s">
        <v>531</v>
      </c>
      <c r="B701" s="78"/>
      <c r="C701" s="78">
        <v>9458</v>
      </c>
      <c r="D701" s="78">
        <v>9458</v>
      </c>
      <c r="E701" s="78"/>
      <c r="F701" s="42">
        <v>0</v>
      </c>
      <c r="G701" s="42">
        <f t="shared" si="10"/>
        <v>0</v>
      </c>
      <c r="H701" s="2" t="str">
        <f>VLOOKUP(A701,'TB April'!A:H,8,0)</f>
        <v>Not Applicable</v>
      </c>
    </row>
    <row r="702" spans="1:8" hidden="1">
      <c r="A702" s="62" t="s">
        <v>1473</v>
      </c>
      <c r="B702" s="78"/>
      <c r="C702" s="78">
        <v>17110</v>
      </c>
      <c r="D702" s="78">
        <v>17110</v>
      </c>
      <c r="E702" s="78"/>
      <c r="F702" s="42">
        <v>0</v>
      </c>
      <c r="G702" s="42">
        <f t="shared" si="10"/>
        <v>0</v>
      </c>
      <c r="H702" s="2" t="str">
        <f>VLOOKUP(A702,'TB April'!A:H,8,0)</f>
        <v>Not Applicable</v>
      </c>
    </row>
    <row r="703" spans="1:8" hidden="1">
      <c r="A703" s="62" t="s">
        <v>524</v>
      </c>
      <c r="B703" s="78">
        <v>-112</v>
      </c>
      <c r="C703" s="78"/>
      <c r="D703" s="78"/>
      <c r="E703" s="78">
        <v>-112</v>
      </c>
      <c r="F703" s="42">
        <v>0</v>
      </c>
      <c r="G703" s="42">
        <f t="shared" si="10"/>
        <v>-112</v>
      </c>
      <c r="H703" s="2" t="str">
        <f>VLOOKUP(A703,'TB April'!A:H,8,0)</f>
        <v>Not Applicable</v>
      </c>
    </row>
    <row r="704" spans="1:8" hidden="1">
      <c r="A704" s="62" t="s">
        <v>518</v>
      </c>
      <c r="B704" s="78">
        <v>-26359205</v>
      </c>
      <c r="C704" s="78"/>
      <c r="D704" s="78"/>
      <c r="E704" s="78">
        <v>-26359205</v>
      </c>
      <c r="F704" s="42">
        <v>0</v>
      </c>
      <c r="G704" s="42">
        <f t="shared" si="10"/>
        <v>-26359205</v>
      </c>
      <c r="H704" s="2" t="str">
        <f>VLOOKUP(A704,'TB April'!A:H,8,0)</f>
        <v>Not Applicable</v>
      </c>
    </row>
    <row r="705" spans="1:8" hidden="1">
      <c r="A705" s="62" t="s">
        <v>514</v>
      </c>
      <c r="B705" s="78">
        <v>-408514348.66000003</v>
      </c>
      <c r="C705" s="78"/>
      <c r="D705" s="78"/>
      <c r="E705" s="78">
        <v>-408514348.66000003</v>
      </c>
      <c r="F705" s="42">
        <v>0</v>
      </c>
      <c r="G705" s="42">
        <f t="shared" si="10"/>
        <v>-408514348.66000003</v>
      </c>
      <c r="H705" s="2" t="str">
        <f>VLOOKUP(A705,'TB April'!A:H,8,0)</f>
        <v>Not Applicable</v>
      </c>
    </row>
    <row r="706" spans="1:8" hidden="1">
      <c r="A706" s="62" t="s">
        <v>513</v>
      </c>
      <c r="B706" s="78">
        <v>-273011778.32999998</v>
      </c>
      <c r="C706" s="78"/>
      <c r="D706" s="78"/>
      <c r="E706" s="78">
        <v>-273011778.32999998</v>
      </c>
      <c r="F706" s="42">
        <v>0</v>
      </c>
      <c r="G706" s="42">
        <f t="shared" si="10"/>
        <v>-273011778.32999998</v>
      </c>
      <c r="H706" s="2" t="str">
        <f>VLOOKUP(A706,'TB April'!A:H,8,0)</f>
        <v>Not Applicable</v>
      </c>
    </row>
    <row r="707" spans="1:8" hidden="1">
      <c r="A707" s="62" t="s">
        <v>1524</v>
      </c>
      <c r="B707" s="78"/>
      <c r="C707" s="78">
        <v>5514</v>
      </c>
      <c r="D707" s="78">
        <v>325328</v>
      </c>
      <c r="E707" s="78">
        <v>-319814</v>
      </c>
      <c r="F707" s="42">
        <v>0</v>
      </c>
      <c r="G707" s="42">
        <f t="shared" si="10"/>
        <v>-319814</v>
      </c>
      <c r="H707" s="2" t="s">
        <v>84</v>
      </c>
    </row>
    <row r="708" spans="1:8" hidden="1">
      <c r="A708" s="62" t="s">
        <v>510</v>
      </c>
      <c r="B708" s="78">
        <v>-3500</v>
      </c>
      <c r="C708" s="78"/>
      <c r="D708" s="78"/>
      <c r="E708" s="78">
        <v>-3500</v>
      </c>
      <c r="F708" s="42">
        <v>0</v>
      </c>
      <c r="G708" s="42">
        <f t="shared" si="10"/>
        <v>-3500</v>
      </c>
      <c r="H708" s="2" t="str">
        <f>VLOOKUP(A708,'TB April'!A:H,8,0)</f>
        <v>Not Applicable</v>
      </c>
    </row>
    <row r="709" spans="1:8" hidden="1">
      <c r="A709" s="62" t="s">
        <v>1360</v>
      </c>
      <c r="B709" s="78">
        <v>-36270</v>
      </c>
      <c r="C709" s="78">
        <v>36270</v>
      </c>
      <c r="D709" s="78"/>
      <c r="E709" s="78"/>
      <c r="F709" s="42">
        <v>0</v>
      </c>
      <c r="G709" s="42">
        <f t="shared" si="10"/>
        <v>0</v>
      </c>
      <c r="H709" s="2" t="str">
        <f>VLOOKUP(A709,'TB April'!A:H,8,0)</f>
        <v>Not Applicable</v>
      </c>
    </row>
    <row r="710" spans="1:8" hidden="1">
      <c r="A710" s="62" t="s">
        <v>909</v>
      </c>
      <c r="B710" s="78"/>
      <c r="C710" s="78"/>
      <c r="D710" s="78"/>
      <c r="E710" s="78"/>
      <c r="F710" s="42">
        <v>0</v>
      </c>
      <c r="G710" s="42">
        <f t="shared" ref="G710:G773" si="11">+E710+F710</f>
        <v>0</v>
      </c>
      <c r="H710" s="2" t="str">
        <f>VLOOKUP(A710,'TB April'!A:H,8,0)</f>
        <v>Not Applicable</v>
      </c>
    </row>
    <row r="711" spans="1:8" hidden="1">
      <c r="A711" s="62" t="s">
        <v>506</v>
      </c>
      <c r="B711" s="78">
        <v>-0.12</v>
      </c>
      <c r="C711" s="78"/>
      <c r="D711" s="78"/>
      <c r="E711" s="78">
        <v>-0.12</v>
      </c>
      <c r="F711" s="42">
        <v>0</v>
      </c>
      <c r="G711" s="42">
        <f t="shared" si="11"/>
        <v>-0.12</v>
      </c>
      <c r="H711" s="2" t="str">
        <f>VLOOKUP(A711,'TB April'!A:H,8,0)</f>
        <v>Not Applicable</v>
      </c>
    </row>
    <row r="712" spans="1:8" hidden="1">
      <c r="A712" s="62" t="s">
        <v>507</v>
      </c>
      <c r="B712" s="78">
        <v>-143345.60999999999</v>
      </c>
      <c r="C712" s="78"/>
      <c r="D712" s="78"/>
      <c r="E712" s="78">
        <v>-143345.60999999999</v>
      </c>
      <c r="F712" s="42">
        <v>0</v>
      </c>
      <c r="G712" s="42">
        <f t="shared" si="11"/>
        <v>-143345.60999999999</v>
      </c>
      <c r="H712" s="2" t="str">
        <f>VLOOKUP(A712,'TB April'!A:H,8,0)</f>
        <v>Not Applicable</v>
      </c>
    </row>
    <row r="713" spans="1:8" hidden="1">
      <c r="A713" s="62" t="s">
        <v>1525</v>
      </c>
      <c r="B713" s="78"/>
      <c r="C713" s="78"/>
      <c r="D713" s="78"/>
      <c r="E713" s="78"/>
      <c r="F713" s="42">
        <v>0</v>
      </c>
      <c r="G713" s="42">
        <f t="shared" si="11"/>
        <v>0</v>
      </c>
      <c r="H713" s="2" t="s">
        <v>84</v>
      </c>
    </row>
    <row r="714" spans="1:8" hidden="1">
      <c r="A714" s="62" t="s">
        <v>505</v>
      </c>
      <c r="B714" s="78"/>
      <c r="C714" s="78"/>
      <c r="D714" s="78"/>
      <c r="E714" s="78"/>
      <c r="F714" s="42">
        <v>0</v>
      </c>
      <c r="G714" s="42">
        <f t="shared" si="11"/>
        <v>0</v>
      </c>
      <c r="H714" s="2" t="str">
        <f>VLOOKUP(A714,'TB April'!A:H,8,0)</f>
        <v>Not Applicable</v>
      </c>
    </row>
    <row r="715" spans="1:8" hidden="1">
      <c r="A715" s="62" t="s">
        <v>504</v>
      </c>
      <c r="B715" s="78">
        <v>-63838054.280000001</v>
      </c>
      <c r="C715" s="78"/>
      <c r="D715" s="78"/>
      <c r="E715" s="78">
        <v>-63838054.280000001</v>
      </c>
      <c r="F715" s="42">
        <v>0</v>
      </c>
      <c r="G715" s="42">
        <f t="shared" si="11"/>
        <v>-63838054.280000001</v>
      </c>
      <c r="H715" s="2" t="str">
        <f>VLOOKUP(A715,'TB April'!A:H,8,0)</f>
        <v>Not Applicable</v>
      </c>
    </row>
    <row r="716" spans="1:8" hidden="1">
      <c r="A716" s="62" t="s">
        <v>502</v>
      </c>
      <c r="B716" s="78">
        <v>-2304483139.4699998</v>
      </c>
      <c r="C716" s="78"/>
      <c r="D716" s="78">
        <v>43196626.640000001</v>
      </c>
      <c r="E716" s="78">
        <v>-2347679766.1100001</v>
      </c>
      <c r="F716" s="42">
        <v>0</v>
      </c>
      <c r="G716" s="42">
        <f t="shared" si="11"/>
        <v>-2347679766.1100001</v>
      </c>
      <c r="H716" s="2" t="str">
        <f>VLOOKUP(A716,'TB April'!A:H,8,0)</f>
        <v>Not Applicable</v>
      </c>
    </row>
    <row r="717" spans="1:8" hidden="1">
      <c r="A717" s="62" t="s">
        <v>501</v>
      </c>
      <c r="B717" s="78">
        <v>9711150</v>
      </c>
      <c r="C717" s="78"/>
      <c r="D717" s="78"/>
      <c r="E717" s="78">
        <v>9711150</v>
      </c>
      <c r="F717" s="42">
        <v>0</v>
      </c>
      <c r="G717" s="42">
        <f t="shared" si="11"/>
        <v>9711150</v>
      </c>
      <c r="H717" s="2" t="str">
        <f>VLOOKUP(A717,'TB April'!A:H,8,0)</f>
        <v>Not Applicable</v>
      </c>
    </row>
    <row r="718" spans="1:8" hidden="1">
      <c r="A718" s="62" t="s">
        <v>499</v>
      </c>
      <c r="B718" s="78">
        <v>142144.26</v>
      </c>
      <c r="C718" s="78"/>
      <c r="D718" s="78"/>
      <c r="E718" s="78">
        <v>142144.26</v>
      </c>
      <c r="F718" s="42">
        <v>0</v>
      </c>
      <c r="G718" s="42">
        <f t="shared" si="11"/>
        <v>142144.26</v>
      </c>
      <c r="H718" s="2" t="str">
        <f>VLOOKUP(A718,'TB April'!A:H,8,0)</f>
        <v>Not Applicable</v>
      </c>
    </row>
    <row r="719" spans="1:8" hidden="1">
      <c r="A719" s="62" t="s">
        <v>500</v>
      </c>
      <c r="B719" s="78">
        <v>-11315312.48</v>
      </c>
      <c r="C719" s="78"/>
      <c r="D719" s="78"/>
      <c r="E719" s="78">
        <v>-11315312.48</v>
      </c>
      <c r="F719" s="42">
        <v>0</v>
      </c>
      <c r="G719" s="42">
        <f t="shared" si="11"/>
        <v>-11315312.48</v>
      </c>
      <c r="H719" s="2" t="str">
        <f>VLOOKUP(A719,'TB April'!A:H,8,0)</f>
        <v>Not Applicable</v>
      </c>
    </row>
    <row r="720" spans="1:8" hidden="1">
      <c r="A720" s="62" t="s">
        <v>498</v>
      </c>
      <c r="B720" s="78">
        <v>-201420265.81999999</v>
      </c>
      <c r="C720" s="78"/>
      <c r="D720" s="78"/>
      <c r="E720" s="78">
        <v>-201420265.81999999</v>
      </c>
      <c r="F720" s="42">
        <v>0</v>
      </c>
      <c r="G720" s="42">
        <f t="shared" si="11"/>
        <v>-201420265.81999999</v>
      </c>
      <c r="H720" s="2" t="str">
        <f>VLOOKUP(A720,'TB April'!A:H,8,0)</f>
        <v>Not Applicable</v>
      </c>
    </row>
    <row r="721" spans="1:8" hidden="1">
      <c r="A721" s="62" t="s">
        <v>497</v>
      </c>
      <c r="B721" s="78">
        <v>-168073662.58000001</v>
      </c>
      <c r="C721" s="78"/>
      <c r="D721" s="78">
        <v>229961.66</v>
      </c>
      <c r="E721" s="78">
        <v>-168303624.24000001</v>
      </c>
      <c r="F721" s="42">
        <v>0</v>
      </c>
      <c r="G721" s="42">
        <f t="shared" si="11"/>
        <v>-168303624.24000001</v>
      </c>
      <c r="H721" s="2" t="str">
        <f>VLOOKUP(A721,'TB April'!A:H,8,0)</f>
        <v>Not Applicable</v>
      </c>
    </row>
    <row r="722" spans="1:8" hidden="1">
      <c r="A722" s="62" t="s">
        <v>1526</v>
      </c>
      <c r="B722" s="78"/>
      <c r="C722" s="78">
        <v>4721600.5</v>
      </c>
      <c r="D722" s="78">
        <v>894271.5</v>
      </c>
      <c r="E722" s="78">
        <v>3827329</v>
      </c>
      <c r="F722" s="42">
        <v>0</v>
      </c>
      <c r="G722" s="42">
        <f t="shared" si="11"/>
        <v>3827329</v>
      </c>
      <c r="H722" s="2" t="s">
        <v>84</v>
      </c>
    </row>
    <row r="723" spans="1:8" hidden="1">
      <c r="A723" s="62" t="s">
        <v>908</v>
      </c>
      <c r="B723" s="78">
        <v>40000</v>
      </c>
      <c r="C723" s="78"/>
      <c r="D723" s="78"/>
      <c r="E723" s="78">
        <v>40000</v>
      </c>
      <c r="F723" s="42">
        <v>0</v>
      </c>
      <c r="G723" s="42">
        <f t="shared" si="11"/>
        <v>40000</v>
      </c>
      <c r="H723" s="2" t="str">
        <f>VLOOKUP(A723,'TB April'!A:H,8,0)</f>
        <v>Not Applicable</v>
      </c>
    </row>
    <row r="724" spans="1:8" hidden="1">
      <c r="A724" s="62" t="s">
        <v>1059</v>
      </c>
      <c r="B724" s="78">
        <v>-301099</v>
      </c>
      <c r="C724" s="78"/>
      <c r="D724" s="78"/>
      <c r="E724" s="78">
        <v>-301099</v>
      </c>
      <c r="F724" s="42">
        <v>0</v>
      </c>
      <c r="G724" s="42">
        <f t="shared" si="11"/>
        <v>-301099</v>
      </c>
      <c r="H724" s="2" t="str">
        <f>VLOOKUP(A724,'TB April'!A:H,8,0)</f>
        <v>Not Applicable</v>
      </c>
    </row>
    <row r="725" spans="1:8" hidden="1">
      <c r="A725" s="62" t="s">
        <v>1321</v>
      </c>
      <c r="B725" s="78"/>
      <c r="C725" s="78"/>
      <c r="D725" s="78"/>
      <c r="E725" s="78"/>
      <c r="F725" s="42">
        <v>0</v>
      </c>
      <c r="G725" s="42">
        <f t="shared" si="11"/>
        <v>0</v>
      </c>
      <c r="H725" s="2" t="str">
        <f>VLOOKUP(A725,'TB April'!A:H,8,0)</f>
        <v>Not Applicable</v>
      </c>
    </row>
    <row r="726" spans="1:8" hidden="1">
      <c r="A726" s="62" t="s">
        <v>1361</v>
      </c>
      <c r="B726" s="78">
        <v>30</v>
      </c>
      <c r="C726" s="78"/>
      <c r="D726" s="78"/>
      <c r="E726" s="78">
        <v>30</v>
      </c>
      <c r="F726" s="42">
        <v>0</v>
      </c>
      <c r="G726" s="42">
        <f t="shared" si="11"/>
        <v>30</v>
      </c>
      <c r="H726" s="2" t="str">
        <f>VLOOKUP(A726,'TB April'!A:H,8,0)</f>
        <v>Not Applicable</v>
      </c>
    </row>
    <row r="727" spans="1:8" hidden="1">
      <c r="A727" s="62" t="s">
        <v>487</v>
      </c>
      <c r="B727" s="78"/>
      <c r="C727" s="78"/>
      <c r="D727" s="78"/>
      <c r="E727" s="78"/>
      <c r="F727" s="42">
        <v>0</v>
      </c>
      <c r="G727" s="42">
        <f t="shared" si="11"/>
        <v>0</v>
      </c>
      <c r="H727" s="2" t="str">
        <f>VLOOKUP(A727,'TB April'!A:H,8,0)</f>
        <v>Not Applicable</v>
      </c>
    </row>
    <row r="728" spans="1:8" hidden="1">
      <c r="A728" s="62" t="s">
        <v>1362</v>
      </c>
      <c r="B728" s="78">
        <v>41300</v>
      </c>
      <c r="C728" s="78"/>
      <c r="D728" s="78">
        <v>41300</v>
      </c>
      <c r="E728" s="78"/>
      <c r="F728" s="42">
        <v>0</v>
      </c>
      <c r="G728" s="42">
        <f t="shared" si="11"/>
        <v>0</v>
      </c>
      <c r="H728" s="2" t="str">
        <f>VLOOKUP(A728,'TB April'!A:H,8,0)</f>
        <v>Not Applicable</v>
      </c>
    </row>
    <row r="729" spans="1:8" hidden="1">
      <c r="A729" s="62" t="s">
        <v>480</v>
      </c>
      <c r="B729" s="78"/>
      <c r="C729" s="78">
        <v>463</v>
      </c>
      <c r="D729" s="78">
        <v>463</v>
      </c>
      <c r="E729" s="78"/>
      <c r="F729" s="42">
        <v>0</v>
      </c>
      <c r="G729" s="42">
        <f t="shared" si="11"/>
        <v>0</v>
      </c>
      <c r="H729" s="2" t="s">
        <v>84</v>
      </c>
    </row>
    <row r="730" spans="1:8" hidden="1">
      <c r="A730" s="62" t="s">
        <v>474</v>
      </c>
      <c r="B730" s="78"/>
      <c r="C730" s="78"/>
      <c r="D730" s="78">
        <v>4600</v>
      </c>
      <c r="E730" s="78">
        <v>-4600</v>
      </c>
      <c r="F730" s="42">
        <v>0</v>
      </c>
      <c r="G730" s="42">
        <f t="shared" si="11"/>
        <v>-4600</v>
      </c>
      <c r="H730" s="2" t="s">
        <v>84</v>
      </c>
    </row>
    <row r="731" spans="1:8" hidden="1">
      <c r="A731" s="62" t="s">
        <v>898</v>
      </c>
      <c r="B731" s="78">
        <v>200</v>
      </c>
      <c r="C731" s="78"/>
      <c r="D731" s="78"/>
      <c r="E731" s="78">
        <v>200</v>
      </c>
      <c r="F731" s="42">
        <v>0</v>
      </c>
      <c r="G731" s="42">
        <f t="shared" si="11"/>
        <v>200</v>
      </c>
      <c r="H731" s="2" t="str">
        <f>VLOOKUP(A731,'TB April'!A:H,8,0)</f>
        <v>Not Applicable</v>
      </c>
    </row>
    <row r="732" spans="1:8" hidden="1">
      <c r="A732" s="62" t="s">
        <v>476</v>
      </c>
      <c r="B732" s="78"/>
      <c r="C732" s="78">
        <v>60</v>
      </c>
      <c r="D732" s="78">
        <v>7080</v>
      </c>
      <c r="E732" s="78">
        <v>-7020</v>
      </c>
      <c r="F732" s="42">
        <v>0</v>
      </c>
      <c r="G732" s="42">
        <f t="shared" si="11"/>
        <v>-7020</v>
      </c>
      <c r="H732" s="2" t="str">
        <f>VLOOKUP(A732,'TB April'!A:H,8,0)</f>
        <v>Not Applicable</v>
      </c>
    </row>
    <row r="733" spans="1:8" hidden="1">
      <c r="A733" s="62" t="s">
        <v>479</v>
      </c>
      <c r="B733" s="78"/>
      <c r="C733" s="78"/>
      <c r="D733" s="78"/>
      <c r="E733" s="78"/>
      <c r="F733" s="42">
        <v>0</v>
      </c>
      <c r="G733" s="42">
        <f t="shared" si="11"/>
        <v>0</v>
      </c>
      <c r="H733" s="2" t="str">
        <f>VLOOKUP(A733,'TB April'!A:H,8,0)</f>
        <v>Not Applicable</v>
      </c>
    </row>
    <row r="734" spans="1:8" hidden="1">
      <c r="A734" s="62" t="s">
        <v>1313</v>
      </c>
      <c r="B734" s="78"/>
      <c r="C734" s="78"/>
      <c r="D734" s="78"/>
      <c r="E734" s="78"/>
      <c r="F734" s="42">
        <v>0</v>
      </c>
      <c r="G734" s="42">
        <f t="shared" si="11"/>
        <v>0</v>
      </c>
      <c r="H734" s="2" t="str">
        <f>VLOOKUP(A734,'TB April'!A:H,8,0)</f>
        <v>Not Applicable</v>
      </c>
    </row>
    <row r="735" spans="1:8" hidden="1">
      <c r="A735" s="62" t="s">
        <v>468</v>
      </c>
      <c r="B735" s="78">
        <v>-15139</v>
      </c>
      <c r="C735" s="78"/>
      <c r="D735" s="78"/>
      <c r="E735" s="78">
        <v>-15139</v>
      </c>
      <c r="F735" s="42">
        <v>0</v>
      </c>
      <c r="G735" s="42">
        <f t="shared" si="11"/>
        <v>-15139</v>
      </c>
      <c r="H735" s="2" t="str">
        <f>VLOOKUP(A735,'TB April'!A:H,8,0)</f>
        <v>Not Applicable</v>
      </c>
    </row>
    <row r="736" spans="1:8" hidden="1">
      <c r="A736" s="62" t="s">
        <v>458</v>
      </c>
      <c r="B736" s="78"/>
      <c r="C736" s="78"/>
      <c r="D736" s="78"/>
      <c r="E736" s="78"/>
      <c r="F736" s="42">
        <v>0</v>
      </c>
      <c r="G736" s="42">
        <f t="shared" si="11"/>
        <v>0</v>
      </c>
      <c r="H736" s="2" t="str">
        <f>VLOOKUP(A736,'TB April'!A:H,8,0)</f>
        <v>Not Applicable</v>
      </c>
    </row>
    <row r="737" spans="1:8" hidden="1">
      <c r="A737" s="62" t="s">
        <v>1064</v>
      </c>
      <c r="B737" s="78">
        <v>-0.89</v>
      </c>
      <c r="C737" s="78">
        <v>11859</v>
      </c>
      <c r="D737" s="78">
        <v>11859</v>
      </c>
      <c r="E737" s="78">
        <v>-0.89</v>
      </c>
      <c r="F737" s="42">
        <v>0</v>
      </c>
      <c r="G737" s="42">
        <f t="shared" si="11"/>
        <v>-0.89</v>
      </c>
      <c r="H737" s="2" t="str">
        <f>VLOOKUP(A737,'TB April'!A:H,8,0)</f>
        <v>Not Applicable</v>
      </c>
    </row>
    <row r="738" spans="1:8" hidden="1">
      <c r="A738" s="62" t="s">
        <v>1364</v>
      </c>
      <c r="B738" s="78">
        <v>40000</v>
      </c>
      <c r="C738" s="78"/>
      <c r="D738" s="78"/>
      <c r="E738" s="78">
        <v>40000</v>
      </c>
      <c r="F738" s="42">
        <v>0</v>
      </c>
      <c r="G738" s="42">
        <f t="shared" si="11"/>
        <v>40000</v>
      </c>
      <c r="H738" s="2" t="str">
        <f>VLOOKUP(A738,'TB April'!A:H,8,0)</f>
        <v>Not Applicable</v>
      </c>
    </row>
    <row r="739" spans="1:8" hidden="1">
      <c r="A739" s="62" t="s">
        <v>1098</v>
      </c>
      <c r="B739" s="78">
        <v>-1890</v>
      </c>
      <c r="C739" s="78"/>
      <c r="D739" s="78"/>
      <c r="E739" s="78">
        <v>-1890</v>
      </c>
      <c r="F739" s="42">
        <v>0</v>
      </c>
      <c r="G739" s="42">
        <f t="shared" si="11"/>
        <v>-1890</v>
      </c>
      <c r="H739" s="2" t="str">
        <f>VLOOKUP(A739,'TB April'!A:H,8,0)</f>
        <v>Not Applicable</v>
      </c>
    </row>
    <row r="740" spans="1:8" hidden="1">
      <c r="A740" s="62" t="s">
        <v>1527</v>
      </c>
      <c r="B740" s="78"/>
      <c r="C740" s="78"/>
      <c r="D740" s="78">
        <v>2124</v>
      </c>
      <c r="E740" s="78">
        <v>-2124</v>
      </c>
      <c r="F740" s="42">
        <v>0</v>
      </c>
      <c r="G740" s="42">
        <f t="shared" si="11"/>
        <v>-2124</v>
      </c>
      <c r="H740" s="2" t="s">
        <v>84</v>
      </c>
    </row>
    <row r="741" spans="1:8" hidden="1">
      <c r="A741" s="62" t="s">
        <v>1528</v>
      </c>
      <c r="B741" s="78"/>
      <c r="C741" s="78"/>
      <c r="D741" s="78">
        <v>14750</v>
      </c>
      <c r="E741" s="78">
        <v>-14750</v>
      </c>
      <c r="F741" s="42">
        <v>0</v>
      </c>
      <c r="G741" s="42">
        <f t="shared" si="11"/>
        <v>-14750</v>
      </c>
      <c r="H741" s="2" t="s">
        <v>84</v>
      </c>
    </row>
    <row r="742" spans="1:8" hidden="1">
      <c r="A742" s="62" t="s">
        <v>448</v>
      </c>
      <c r="B742" s="78">
        <v>-49798</v>
      </c>
      <c r="C742" s="78">
        <v>98737</v>
      </c>
      <c r="D742" s="78">
        <v>77459</v>
      </c>
      <c r="E742" s="78">
        <v>-28520</v>
      </c>
      <c r="F742" s="42">
        <v>0</v>
      </c>
      <c r="G742" s="42">
        <f t="shared" si="11"/>
        <v>-28520</v>
      </c>
      <c r="H742" s="2" t="str">
        <f>VLOOKUP(A742,'TB April'!A:H,8,0)</f>
        <v>Not Applicable</v>
      </c>
    </row>
    <row r="743" spans="1:8" hidden="1">
      <c r="A743" s="62" t="s">
        <v>925</v>
      </c>
      <c r="B743" s="78"/>
      <c r="C743" s="78"/>
      <c r="D743" s="78"/>
      <c r="E743" s="78"/>
      <c r="F743" s="42">
        <v>0</v>
      </c>
      <c r="G743" s="42">
        <f t="shared" si="11"/>
        <v>0</v>
      </c>
      <c r="H743" s="2" t="str">
        <f>VLOOKUP(A743,'TB April'!A:H,8,0)</f>
        <v>Not Applicable</v>
      </c>
    </row>
    <row r="744" spans="1:8" hidden="1">
      <c r="A744" s="62" t="s">
        <v>410</v>
      </c>
      <c r="B744" s="78">
        <v>-64676.56</v>
      </c>
      <c r="C744" s="78">
        <v>21834</v>
      </c>
      <c r="D744" s="78">
        <v>22066</v>
      </c>
      <c r="E744" s="78">
        <v>-64908.56</v>
      </c>
      <c r="F744" s="42">
        <v>0</v>
      </c>
      <c r="G744" s="42">
        <f t="shared" si="11"/>
        <v>-64908.56</v>
      </c>
      <c r="H744" s="2" t="str">
        <f>VLOOKUP(A744,'TB April'!A:H,8,0)</f>
        <v>Not Applicable</v>
      </c>
    </row>
    <row r="745" spans="1:8" hidden="1">
      <c r="A745" s="62" t="s">
        <v>1293</v>
      </c>
      <c r="B745" s="78">
        <v>-42120</v>
      </c>
      <c r="C745" s="78"/>
      <c r="D745" s="78"/>
      <c r="E745" s="78">
        <v>-42120</v>
      </c>
      <c r="F745" s="42">
        <v>0</v>
      </c>
      <c r="G745" s="42">
        <f t="shared" si="11"/>
        <v>-42120</v>
      </c>
      <c r="H745" s="2" t="str">
        <f>VLOOKUP(A745,'TB April'!A:H,8,0)</f>
        <v>Not Applicable</v>
      </c>
    </row>
    <row r="746" spans="1:8" hidden="1">
      <c r="A746" s="62" t="s">
        <v>1340</v>
      </c>
      <c r="B746" s="78">
        <v>-60416</v>
      </c>
      <c r="C746" s="78">
        <v>60416</v>
      </c>
      <c r="D746" s="78"/>
      <c r="E746" s="78"/>
      <c r="F746" s="42">
        <v>0</v>
      </c>
      <c r="G746" s="42">
        <f t="shared" si="11"/>
        <v>0</v>
      </c>
      <c r="H746" s="2" t="str">
        <f>VLOOKUP(A746,'TB April'!A:H,8,0)</f>
        <v>Not Applicable</v>
      </c>
    </row>
    <row r="747" spans="1:8" hidden="1">
      <c r="A747" s="62" t="s">
        <v>1266</v>
      </c>
      <c r="B747" s="78">
        <v>-44080</v>
      </c>
      <c r="C747" s="78">
        <v>3020</v>
      </c>
      <c r="D747" s="78">
        <v>178180</v>
      </c>
      <c r="E747" s="78">
        <v>-219240</v>
      </c>
      <c r="F747" s="42">
        <v>0</v>
      </c>
      <c r="G747" s="42">
        <f t="shared" si="11"/>
        <v>-219240</v>
      </c>
      <c r="H747" s="2" t="str">
        <f>VLOOKUP(A747,'TB April'!A:H,8,0)</f>
        <v>Not Applicable</v>
      </c>
    </row>
    <row r="748" spans="1:8" hidden="1">
      <c r="A748" s="62" t="s">
        <v>430</v>
      </c>
      <c r="B748" s="78">
        <v>-8366</v>
      </c>
      <c r="C748" s="78">
        <v>25098</v>
      </c>
      <c r="D748" s="78">
        <v>25098</v>
      </c>
      <c r="E748" s="78">
        <v>-8366</v>
      </c>
      <c r="F748" s="42">
        <v>0</v>
      </c>
      <c r="G748" s="42">
        <f t="shared" si="11"/>
        <v>-8366</v>
      </c>
      <c r="H748" s="2" t="str">
        <f>VLOOKUP(A748,'TB April'!A:H,8,0)</f>
        <v>Not Applicable</v>
      </c>
    </row>
    <row r="749" spans="1:8" hidden="1">
      <c r="A749" s="62" t="s">
        <v>413</v>
      </c>
      <c r="B749" s="78">
        <v>-3926</v>
      </c>
      <c r="C749" s="78"/>
      <c r="D749" s="78"/>
      <c r="E749" s="78">
        <v>-3926</v>
      </c>
      <c r="F749" s="42">
        <v>0</v>
      </c>
      <c r="G749" s="42">
        <f t="shared" si="11"/>
        <v>-3926</v>
      </c>
      <c r="H749" s="2" t="str">
        <f>VLOOKUP(A749,'TB April'!A:H,8,0)</f>
        <v>Not Applicable</v>
      </c>
    </row>
    <row r="750" spans="1:8" hidden="1">
      <c r="A750" s="62" t="s">
        <v>1325</v>
      </c>
      <c r="B750" s="78"/>
      <c r="C750" s="78"/>
      <c r="D750" s="78"/>
      <c r="E750" s="78"/>
      <c r="F750" s="42">
        <v>0</v>
      </c>
      <c r="G750" s="42">
        <f t="shared" si="11"/>
        <v>0</v>
      </c>
      <c r="H750" s="2" t="s">
        <v>84</v>
      </c>
    </row>
    <row r="751" spans="1:8" hidden="1">
      <c r="A751" s="62" t="s">
        <v>414</v>
      </c>
      <c r="B751" s="78">
        <v>-10234</v>
      </c>
      <c r="C751" s="78">
        <v>25585</v>
      </c>
      <c r="D751" s="78">
        <v>15351</v>
      </c>
      <c r="E751" s="78"/>
      <c r="F751" s="42">
        <v>0</v>
      </c>
      <c r="G751" s="42">
        <f t="shared" si="11"/>
        <v>0</v>
      </c>
      <c r="H751" s="2" t="str">
        <f>VLOOKUP(A751,'TB April'!A:H,8,0)</f>
        <v>Not Applicable</v>
      </c>
    </row>
    <row r="752" spans="1:8" hidden="1">
      <c r="A752" s="62" t="s">
        <v>1185</v>
      </c>
      <c r="B752" s="78">
        <v>-388959</v>
      </c>
      <c r="C752" s="78">
        <v>1229644</v>
      </c>
      <c r="D752" s="78">
        <v>1448059</v>
      </c>
      <c r="E752" s="78">
        <v>-607374</v>
      </c>
      <c r="F752" s="42">
        <v>0</v>
      </c>
      <c r="G752" s="42">
        <f t="shared" si="11"/>
        <v>-607374</v>
      </c>
      <c r="H752" s="2" t="str">
        <f>VLOOKUP(A752,'TB April'!A:H,8,0)</f>
        <v>Not Applicable</v>
      </c>
    </row>
    <row r="753" spans="1:8" hidden="1">
      <c r="A753" s="62" t="s">
        <v>1365</v>
      </c>
      <c r="B753" s="78">
        <v>-1687</v>
      </c>
      <c r="C753" s="78">
        <v>1687</v>
      </c>
      <c r="D753" s="78"/>
      <c r="E753" s="78"/>
      <c r="F753" s="42">
        <v>0</v>
      </c>
      <c r="G753" s="42">
        <f t="shared" si="11"/>
        <v>0</v>
      </c>
      <c r="H753" s="2" t="str">
        <f>VLOOKUP(A753,'TB April'!A:H,8,0)</f>
        <v>Not Applicable</v>
      </c>
    </row>
    <row r="754" spans="1:8" hidden="1">
      <c r="A754" s="62" t="s">
        <v>1186</v>
      </c>
      <c r="B754" s="78"/>
      <c r="C754" s="78"/>
      <c r="D754" s="78">
        <v>8850</v>
      </c>
      <c r="E754" s="78">
        <v>-8850</v>
      </c>
      <c r="F754" s="42">
        <v>0</v>
      </c>
      <c r="G754" s="42">
        <f t="shared" si="11"/>
        <v>-8850</v>
      </c>
      <c r="H754" s="2" t="s">
        <v>84</v>
      </c>
    </row>
    <row r="755" spans="1:8" hidden="1">
      <c r="A755" s="62" t="s">
        <v>1474</v>
      </c>
      <c r="B755" s="78"/>
      <c r="C755" s="78">
        <v>11798.53</v>
      </c>
      <c r="D755" s="78">
        <v>11798.53</v>
      </c>
      <c r="E755" s="78"/>
      <c r="F755" s="42">
        <v>0</v>
      </c>
      <c r="G755" s="42">
        <f t="shared" si="11"/>
        <v>0</v>
      </c>
      <c r="H755" s="2" t="str">
        <f>VLOOKUP(A755,'TB April'!A:H,8,0)</f>
        <v>Not Applicable</v>
      </c>
    </row>
    <row r="756" spans="1:8" hidden="1">
      <c r="A756" s="62" t="s">
        <v>961</v>
      </c>
      <c r="B756" s="78">
        <v>-5940</v>
      </c>
      <c r="C756" s="78">
        <v>18000</v>
      </c>
      <c r="D756" s="78">
        <v>18000</v>
      </c>
      <c r="E756" s="78">
        <v>-5940</v>
      </c>
      <c r="F756" s="42">
        <v>0</v>
      </c>
      <c r="G756" s="42">
        <f t="shared" si="11"/>
        <v>-5940</v>
      </c>
      <c r="H756" s="2" t="str">
        <f>VLOOKUP(A756,'TB April'!A:H,8,0)</f>
        <v>Not Applicable</v>
      </c>
    </row>
    <row r="757" spans="1:8" hidden="1">
      <c r="A757" s="62" t="s">
        <v>1366</v>
      </c>
      <c r="B757" s="78">
        <v>-56186</v>
      </c>
      <c r="C757" s="78">
        <v>56186</v>
      </c>
      <c r="D757" s="78"/>
      <c r="E757" s="78"/>
      <c r="F757" s="42">
        <v>0</v>
      </c>
      <c r="G757" s="42">
        <f t="shared" si="11"/>
        <v>0</v>
      </c>
      <c r="H757" s="2" t="str">
        <f>VLOOKUP(A757,'TB April'!A:H,8,0)</f>
        <v>Not Applicable</v>
      </c>
    </row>
    <row r="758" spans="1:8" hidden="1">
      <c r="A758" s="62" t="s">
        <v>1367</v>
      </c>
      <c r="B758" s="78">
        <v>-6825</v>
      </c>
      <c r="C758" s="78">
        <v>6825</v>
      </c>
      <c r="D758" s="78">
        <v>588</v>
      </c>
      <c r="E758" s="78">
        <v>-588</v>
      </c>
      <c r="F758" s="42">
        <v>0</v>
      </c>
      <c r="G758" s="42">
        <f t="shared" si="11"/>
        <v>-588</v>
      </c>
      <c r="H758" s="2" t="str">
        <f>VLOOKUP(A758,'TB April'!A:H,8,0)</f>
        <v>Not Applicable</v>
      </c>
    </row>
    <row r="759" spans="1:8" hidden="1">
      <c r="A759" s="62" t="s">
        <v>1294</v>
      </c>
      <c r="B759" s="78">
        <v>-1006540</v>
      </c>
      <c r="C759" s="78">
        <v>1148140</v>
      </c>
      <c r="D759" s="78">
        <v>236000</v>
      </c>
      <c r="E759" s="78">
        <v>-94400</v>
      </c>
      <c r="F759" s="42">
        <v>0</v>
      </c>
      <c r="G759" s="42">
        <f t="shared" si="11"/>
        <v>-94400</v>
      </c>
      <c r="H759" s="2" t="str">
        <f>VLOOKUP(A759,'TB April'!A:H,8,0)</f>
        <v>Not Applicable</v>
      </c>
    </row>
    <row r="760" spans="1:8" hidden="1">
      <c r="A760" s="62" t="s">
        <v>1529</v>
      </c>
      <c r="B760" s="78"/>
      <c r="C760" s="78"/>
      <c r="D760" s="78">
        <v>9912</v>
      </c>
      <c r="E760" s="78">
        <v>-9912</v>
      </c>
      <c r="F760" s="42">
        <v>0</v>
      </c>
      <c r="G760" s="42">
        <f t="shared" si="11"/>
        <v>-9912</v>
      </c>
      <c r="H760" s="2" t="s">
        <v>84</v>
      </c>
    </row>
    <row r="761" spans="1:8" hidden="1">
      <c r="A761" s="62" t="s">
        <v>936</v>
      </c>
      <c r="B761" s="78">
        <v>-1401981.1</v>
      </c>
      <c r="C761" s="78">
        <v>1407047</v>
      </c>
      <c r="D761" s="78">
        <v>411031</v>
      </c>
      <c r="E761" s="78">
        <v>-405965.1</v>
      </c>
      <c r="F761" s="42">
        <v>0</v>
      </c>
      <c r="G761" s="42">
        <f t="shared" si="11"/>
        <v>-405965.1</v>
      </c>
      <c r="H761" s="2" t="str">
        <f>VLOOKUP(A761,'TB April'!A:H,8,0)</f>
        <v>Not Applicable</v>
      </c>
    </row>
    <row r="762" spans="1:8" hidden="1">
      <c r="A762" s="62" t="s">
        <v>1530</v>
      </c>
      <c r="B762" s="78"/>
      <c r="C762" s="78">
        <v>360966</v>
      </c>
      <c r="D762" s="78"/>
      <c r="E762" s="78">
        <v>360966</v>
      </c>
      <c r="F762" s="42">
        <v>0</v>
      </c>
      <c r="G762" s="42">
        <f t="shared" si="11"/>
        <v>360966</v>
      </c>
      <c r="H762" s="2" t="s">
        <v>84</v>
      </c>
    </row>
    <row r="763" spans="1:8" hidden="1">
      <c r="A763" s="62" t="s">
        <v>391</v>
      </c>
      <c r="B763" s="78">
        <v>-3599</v>
      </c>
      <c r="C763" s="78"/>
      <c r="D763" s="78"/>
      <c r="E763" s="78">
        <v>-3599</v>
      </c>
      <c r="F763" s="42">
        <v>0</v>
      </c>
      <c r="G763" s="42">
        <f t="shared" si="11"/>
        <v>-3599</v>
      </c>
      <c r="H763" s="2" t="str">
        <f>VLOOKUP(A763,'TB April'!A:H,8,0)</f>
        <v>Not Applicable</v>
      </c>
    </row>
    <row r="764" spans="1:8" hidden="1">
      <c r="A764" s="62" t="s">
        <v>392</v>
      </c>
      <c r="B764" s="78"/>
      <c r="C764" s="78">
        <v>15789</v>
      </c>
      <c r="D764" s="78">
        <v>15789</v>
      </c>
      <c r="E764" s="78"/>
      <c r="F764" s="42">
        <v>0</v>
      </c>
      <c r="G764" s="42">
        <f t="shared" si="11"/>
        <v>0</v>
      </c>
      <c r="H764" s="2" t="str">
        <f>VLOOKUP(A764,'TB April'!A:H,8,0)</f>
        <v>Not Applicable</v>
      </c>
    </row>
    <row r="765" spans="1:8" hidden="1">
      <c r="A765" s="62" t="s">
        <v>1531</v>
      </c>
      <c r="B765" s="78"/>
      <c r="C765" s="78"/>
      <c r="D765" s="78"/>
      <c r="E765" s="78"/>
      <c r="F765" s="42">
        <v>0</v>
      </c>
      <c r="G765" s="42">
        <f t="shared" si="11"/>
        <v>0</v>
      </c>
      <c r="H765" s="2" t="s">
        <v>84</v>
      </c>
    </row>
    <row r="766" spans="1:8" hidden="1">
      <c r="A766" s="62" t="s">
        <v>383</v>
      </c>
      <c r="B766" s="78">
        <v>-23364</v>
      </c>
      <c r="C766" s="78"/>
      <c r="D766" s="78">
        <v>23364</v>
      </c>
      <c r="E766" s="78">
        <v>-46728</v>
      </c>
      <c r="F766" s="42">
        <v>0</v>
      </c>
      <c r="G766" s="42">
        <f t="shared" si="11"/>
        <v>-46728</v>
      </c>
      <c r="H766" s="2" t="str">
        <f>VLOOKUP(A766,'TB April'!A:H,8,0)</f>
        <v>Not Applicable</v>
      </c>
    </row>
    <row r="767" spans="1:8" hidden="1">
      <c r="A767" s="62" t="s">
        <v>1475</v>
      </c>
      <c r="B767" s="78"/>
      <c r="C767" s="78"/>
      <c r="D767" s="78"/>
      <c r="E767" s="78"/>
      <c r="F767" s="42">
        <v>0</v>
      </c>
      <c r="G767" s="42">
        <f t="shared" si="11"/>
        <v>0</v>
      </c>
      <c r="H767" s="2" t="str">
        <f>VLOOKUP(A767,'TB April'!A:H,8,0)</f>
        <v>Not Applicable</v>
      </c>
    </row>
    <row r="768" spans="1:8" hidden="1">
      <c r="A768" s="62" t="s">
        <v>1033</v>
      </c>
      <c r="B768" s="78">
        <v>-3837501.48</v>
      </c>
      <c r="C768" s="78"/>
      <c r="D768" s="78"/>
      <c r="E768" s="78">
        <v>-3837501.48</v>
      </c>
      <c r="F768" s="42">
        <v>0</v>
      </c>
      <c r="G768" s="42">
        <f t="shared" si="11"/>
        <v>-3837501.48</v>
      </c>
      <c r="H768" s="2" t="str">
        <f>VLOOKUP(A768,'TB April'!A:H,8,0)</f>
        <v>Not Applicable</v>
      </c>
    </row>
    <row r="769" spans="1:8" hidden="1">
      <c r="A769" s="62" t="s">
        <v>1476</v>
      </c>
      <c r="B769" s="78"/>
      <c r="C769" s="78">
        <v>103863</v>
      </c>
      <c r="D769" s="78"/>
      <c r="E769" s="78">
        <v>103863</v>
      </c>
      <c r="F769" s="42">
        <v>0</v>
      </c>
      <c r="G769" s="42">
        <f t="shared" si="11"/>
        <v>103863</v>
      </c>
      <c r="H769" s="2" t="str">
        <f>VLOOKUP(A769,'TB April'!A:H,8,0)</f>
        <v>Not Applicable</v>
      </c>
    </row>
    <row r="770" spans="1:8" hidden="1">
      <c r="A770" s="62" t="s">
        <v>1133</v>
      </c>
      <c r="B770" s="78"/>
      <c r="C770" s="78"/>
      <c r="D770" s="78">
        <v>162840</v>
      </c>
      <c r="E770" s="78">
        <v>-162840</v>
      </c>
      <c r="F770" s="42">
        <v>0</v>
      </c>
      <c r="G770" s="42">
        <f t="shared" si="11"/>
        <v>-162840</v>
      </c>
      <c r="H770" s="2" t="str">
        <f>VLOOKUP(A770,'TB April'!A:H,8,0)</f>
        <v>Not Applicable</v>
      </c>
    </row>
    <row r="771" spans="1:8" hidden="1">
      <c r="A771" s="62" t="s">
        <v>1060</v>
      </c>
      <c r="B771" s="78"/>
      <c r="C771" s="78">
        <v>70800</v>
      </c>
      <c r="D771" s="78">
        <v>70800</v>
      </c>
      <c r="E771" s="78"/>
      <c r="F771" s="42">
        <v>0</v>
      </c>
      <c r="G771" s="42">
        <f t="shared" si="11"/>
        <v>0</v>
      </c>
      <c r="H771" s="2" t="str">
        <f>VLOOKUP(A771,'TB April'!A:H,8,0)</f>
        <v>Not Applicable</v>
      </c>
    </row>
    <row r="772" spans="1:8" hidden="1">
      <c r="A772" s="62" t="s">
        <v>895</v>
      </c>
      <c r="B772" s="78">
        <v>1605</v>
      </c>
      <c r="C772" s="78">
        <v>2983</v>
      </c>
      <c r="D772" s="78"/>
      <c r="E772" s="78">
        <v>4588</v>
      </c>
      <c r="F772" s="42">
        <v>0</v>
      </c>
      <c r="G772" s="42">
        <f t="shared" si="11"/>
        <v>4588</v>
      </c>
      <c r="H772" s="2" t="str">
        <f>VLOOKUP(A772,'TB April'!A:H,8,0)</f>
        <v>Not Applicable</v>
      </c>
    </row>
    <row r="773" spans="1:8" hidden="1">
      <c r="A773" s="62" t="s">
        <v>371</v>
      </c>
      <c r="B773" s="78">
        <v>-442725</v>
      </c>
      <c r="C773" s="78">
        <v>884775</v>
      </c>
      <c r="D773" s="78">
        <v>444270</v>
      </c>
      <c r="E773" s="78">
        <v>-2220</v>
      </c>
      <c r="F773" s="42">
        <v>0</v>
      </c>
      <c r="G773" s="42">
        <f t="shared" si="11"/>
        <v>-2220</v>
      </c>
      <c r="H773" s="2" t="str">
        <f>VLOOKUP(A773,'TB April'!A:H,8,0)</f>
        <v>Not Applicable</v>
      </c>
    </row>
    <row r="774" spans="1:8" hidden="1">
      <c r="A774" s="62" t="s">
        <v>1477</v>
      </c>
      <c r="B774" s="78">
        <v>-52305</v>
      </c>
      <c r="C774" s="78">
        <v>52305</v>
      </c>
      <c r="D774" s="78"/>
      <c r="E774" s="78"/>
      <c r="F774" s="42">
        <v>0</v>
      </c>
      <c r="G774" s="42">
        <f t="shared" ref="G774:G837" si="12">+E774+F774</f>
        <v>0</v>
      </c>
      <c r="H774" s="2" t="str">
        <f>VLOOKUP(A774,'TB April'!A:H,8,0)</f>
        <v>Not Applicable</v>
      </c>
    </row>
    <row r="775" spans="1:8" hidden="1">
      <c r="A775" s="62" t="s">
        <v>1343</v>
      </c>
      <c r="B775" s="78"/>
      <c r="C775" s="78">
        <v>32568</v>
      </c>
      <c r="D775" s="78">
        <v>32568</v>
      </c>
      <c r="E775" s="78"/>
      <c r="F775" s="42">
        <v>0</v>
      </c>
      <c r="G775" s="42">
        <f t="shared" si="12"/>
        <v>0</v>
      </c>
      <c r="H775" s="2" t="str">
        <f>VLOOKUP(A775,'TB April'!A:H,8,0)</f>
        <v>Not Applicable</v>
      </c>
    </row>
    <row r="776" spans="1:8" hidden="1">
      <c r="A776" s="62" t="s">
        <v>1022</v>
      </c>
      <c r="B776" s="78">
        <v>-2774</v>
      </c>
      <c r="C776" s="78">
        <v>2774</v>
      </c>
      <c r="D776" s="78"/>
      <c r="E776" s="78"/>
      <c r="F776" s="42">
        <v>0</v>
      </c>
      <c r="G776" s="42">
        <f t="shared" si="12"/>
        <v>0</v>
      </c>
      <c r="H776" s="2" t="str">
        <f>VLOOKUP(A776,'TB April'!A:H,8,0)</f>
        <v>Not Applicable</v>
      </c>
    </row>
    <row r="777" spans="1:8" hidden="1">
      <c r="A777" s="62" t="s">
        <v>1086</v>
      </c>
      <c r="B777" s="78"/>
      <c r="C777" s="78"/>
      <c r="D777" s="78"/>
      <c r="E777" s="78"/>
      <c r="F777" s="42">
        <v>0</v>
      </c>
      <c r="G777" s="42">
        <f t="shared" si="12"/>
        <v>0</v>
      </c>
      <c r="H777" s="2" t="str">
        <f>VLOOKUP(A777,'TB April'!A:H,8,0)</f>
        <v>Not Applicable</v>
      </c>
    </row>
    <row r="778" spans="1:8" hidden="1">
      <c r="A778" s="62" t="s">
        <v>1532</v>
      </c>
      <c r="B778" s="78"/>
      <c r="C778" s="78">
        <v>352360</v>
      </c>
      <c r="D778" s="78">
        <v>352360</v>
      </c>
      <c r="E778" s="78"/>
      <c r="F778" s="42">
        <v>0</v>
      </c>
      <c r="G778" s="42">
        <f t="shared" si="12"/>
        <v>0</v>
      </c>
      <c r="H778" s="2" t="s">
        <v>84</v>
      </c>
    </row>
    <row r="779" spans="1:8" hidden="1">
      <c r="A779" s="62" t="s">
        <v>733</v>
      </c>
      <c r="B779" s="78"/>
      <c r="C779" s="78"/>
      <c r="D779" s="78"/>
      <c r="E779" s="78"/>
      <c r="F779" s="42">
        <v>0</v>
      </c>
      <c r="G779" s="42">
        <f t="shared" si="12"/>
        <v>0</v>
      </c>
      <c r="H779" s="2" t="str">
        <f>VLOOKUP(A779,'TB April'!A:H,8,0)</f>
        <v>Not Applicable</v>
      </c>
    </row>
    <row r="780" spans="1:8" hidden="1">
      <c r="A780" s="62" t="s">
        <v>734</v>
      </c>
      <c r="B780" s="78">
        <v>12783.2</v>
      </c>
      <c r="C780" s="78"/>
      <c r="D780" s="78"/>
      <c r="E780" s="78">
        <v>12783.2</v>
      </c>
      <c r="F780" s="42">
        <v>0</v>
      </c>
      <c r="G780" s="42">
        <f t="shared" si="12"/>
        <v>12783.2</v>
      </c>
      <c r="H780" s="2" t="str">
        <f>VLOOKUP(A780,'TB April'!A:H,8,0)</f>
        <v>Not Applicable</v>
      </c>
    </row>
    <row r="781" spans="1:8" hidden="1">
      <c r="A781" s="62" t="s">
        <v>736</v>
      </c>
      <c r="B781" s="78">
        <v>-266476</v>
      </c>
      <c r="C781" s="78">
        <v>931</v>
      </c>
      <c r="D781" s="78">
        <v>54929</v>
      </c>
      <c r="E781" s="78">
        <v>-320474</v>
      </c>
      <c r="F781" s="42">
        <v>0</v>
      </c>
      <c r="G781" s="42">
        <f t="shared" si="12"/>
        <v>-320474</v>
      </c>
      <c r="H781" s="2" t="str">
        <f>VLOOKUP(A781,'TB April'!A:H,8,0)</f>
        <v>Not Applicable</v>
      </c>
    </row>
    <row r="782" spans="1:8" hidden="1">
      <c r="A782" s="62" t="s">
        <v>1368</v>
      </c>
      <c r="B782" s="78">
        <v>-28000</v>
      </c>
      <c r="C782" s="78">
        <v>96564</v>
      </c>
      <c r="D782" s="78">
        <v>68564</v>
      </c>
      <c r="E782" s="78"/>
      <c r="F782" s="42">
        <v>0</v>
      </c>
      <c r="G782" s="42">
        <f t="shared" si="12"/>
        <v>0</v>
      </c>
      <c r="H782" s="2" t="str">
        <f>VLOOKUP(A782,'TB April'!A:H,8,0)</f>
        <v>Not Applicable</v>
      </c>
    </row>
    <row r="783" spans="1:8" hidden="1">
      <c r="A783" s="62" t="s">
        <v>711</v>
      </c>
      <c r="B783" s="78"/>
      <c r="C783" s="78">
        <v>19000</v>
      </c>
      <c r="D783" s="78">
        <v>19000</v>
      </c>
      <c r="E783" s="78"/>
      <c r="F783" s="42">
        <v>0</v>
      </c>
      <c r="G783" s="42">
        <f t="shared" si="12"/>
        <v>0</v>
      </c>
      <c r="H783" s="2" t="str">
        <f>VLOOKUP(A783,'TB April'!A:H,8,0)</f>
        <v>Not Applicable</v>
      </c>
    </row>
    <row r="784" spans="1:8" hidden="1">
      <c r="A784" s="62" t="s">
        <v>698</v>
      </c>
      <c r="B784" s="78">
        <v>-65680</v>
      </c>
      <c r="C784" s="78">
        <v>65680</v>
      </c>
      <c r="D784" s="78"/>
      <c r="E784" s="78"/>
      <c r="F784" s="42">
        <v>0</v>
      </c>
      <c r="G784" s="42">
        <f t="shared" si="12"/>
        <v>0</v>
      </c>
      <c r="H784" s="2" t="str">
        <f>VLOOKUP(A784,'TB April'!A:H,8,0)</f>
        <v>Not Applicable</v>
      </c>
    </row>
    <row r="785" spans="1:8" hidden="1">
      <c r="A785" s="62" t="s">
        <v>1369</v>
      </c>
      <c r="B785" s="78">
        <v>-246635</v>
      </c>
      <c r="C785" s="78">
        <v>543398</v>
      </c>
      <c r="D785" s="78">
        <v>296763</v>
      </c>
      <c r="E785" s="78"/>
      <c r="F785" s="42">
        <v>0</v>
      </c>
      <c r="G785" s="42">
        <f t="shared" si="12"/>
        <v>0</v>
      </c>
      <c r="H785" s="2" t="str">
        <f>VLOOKUP(A785,'TB April'!A:H,8,0)</f>
        <v>Not Applicable</v>
      </c>
    </row>
    <row r="786" spans="1:8" hidden="1">
      <c r="A786" s="62" t="s">
        <v>687</v>
      </c>
      <c r="B786" s="78">
        <v>523</v>
      </c>
      <c r="C786" s="78">
        <v>123946</v>
      </c>
      <c r="D786" s="78">
        <v>124469</v>
      </c>
      <c r="E786" s="78"/>
      <c r="F786" s="42">
        <v>0</v>
      </c>
      <c r="G786" s="42">
        <f t="shared" si="12"/>
        <v>0</v>
      </c>
      <c r="H786" s="2" t="str">
        <f>VLOOKUP(A786,'TB April'!A:H,8,0)</f>
        <v>Not Applicable</v>
      </c>
    </row>
    <row r="787" spans="1:8" hidden="1">
      <c r="A787" s="62" t="s">
        <v>1533</v>
      </c>
      <c r="B787" s="78"/>
      <c r="C787" s="78">
        <v>1469162</v>
      </c>
      <c r="D787" s="78">
        <v>1486214</v>
      </c>
      <c r="E787" s="78">
        <v>-17052</v>
      </c>
      <c r="F787" s="42">
        <v>0</v>
      </c>
      <c r="G787" s="42">
        <f t="shared" si="12"/>
        <v>-17052</v>
      </c>
      <c r="H787" s="2" t="s">
        <v>84</v>
      </c>
    </row>
    <row r="788" spans="1:8" hidden="1">
      <c r="A788" s="62" t="s">
        <v>666</v>
      </c>
      <c r="B788" s="78">
        <v>-25661</v>
      </c>
      <c r="C788" s="78"/>
      <c r="D788" s="78"/>
      <c r="E788" s="78">
        <v>-25661</v>
      </c>
      <c r="F788" s="42">
        <v>0</v>
      </c>
      <c r="G788" s="42">
        <f t="shared" si="12"/>
        <v>-25661</v>
      </c>
      <c r="H788" s="2" t="str">
        <f>VLOOKUP(A788,'TB April'!A:H,8,0)</f>
        <v>Not Applicable</v>
      </c>
    </row>
    <row r="789" spans="1:8" hidden="1">
      <c r="A789" s="62" t="s">
        <v>661</v>
      </c>
      <c r="B789" s="78">
        <v>-49080</v>
      </c>
      <c r="C789" s="78"/>
      <c r="D789" s="78"/>
      <c r="E789" s="78">
        <v>-49080</v>
      </c>
      <c r="F789" s="42">
        <v>0</v>
      </c>
      <c r="G789" s="42">
        <f t="shared" si="12"/>
        <v>-49080</v>
      </c>
      <c r="H789" s="2" t="str">
        <f>VLOOKUP(A789,'TB April'!A:H,8,0)</f>
        <v>Not Applicable</v>
      </c>
    </row>
    <row r="790" spans="1:8" hidden="1">
      <c r="A790" s="62" t="s">
        <v>658</v>
      </c>
      <c r="B790" s="78">
        <v>13470</v>
      </c>
      <c r="C790" s="78"/>
      <c r="D790" s="78"/>
      <c r="E790" s="78">
        <v>13470</v>
      </c>
      <c r="F790" s="42">
        <v>0</v>
      </c>
      <c r="G790" s="42">
        <f t="shared" si="12"/>
        <v>13470</v>
      </c>
      <c r="H790" s="2" t="str">
        <f>VLOOKUP(A790,'TB April'!A:H,8,0)</f>
        <v>Not Applicable</v>
      </c>
    </row>
    <row r="791" spans="1:8" hidden="1">
      <c r="A791" s="62" t="s">
        <v>650</v>
      </c>
      <c r="B791" s="78">
        <v>-94099</v>
      </c>
      <c r="C791" s="78"/>
      <c r="D791" s="78"/>
      <c r="E791" s="78">
        <v>-94099</v>
      </c>
      <c r="F791" s="42">
        <v>0</v>
      </c>
      <c r="G791" s="42">
        <f t="shared" si="12"/>
        <v>-94099</v>
      </c>
      <c r="H791" s="2" t="str">
        <f>VLOOKUP(A791,'TB April'!A:H,8,0)</f>
        <v>Not Applicable</v>
      </c>
    </row>
    <row r="792" spans="1:8" hidden="1">
      <c r="A792" s="62" t="s">
        <v>655</v>
      </c>
      <c r="B792" s="78">
        <v>38013</v>
      </c>
      <c r="C792" s="78"/>
      <c r="D792" s="78"/>
      <c r="E792" s="78">
        <v>38013</v>
      </c>
      <c r="F792" s="42">
        <v>0</v>
      </c>
      <c r="G792" s="42">
        <f t="shared" si="12"/>
        <v>38013</v>
      </c>
      <c r="H792" s="2" t="str">
        <f>VLOOKUP(A792,'TB April'!A:H,8,0)</f>
        <v>Not Applicable</v>
      </c>
    </row>
    <row r="793" spans="1:8" hidden="1">
      <c r="A793" s="62" t="s">
        <v>643</v>
      </c>
      <c r="B793" s="78">
        <v>-3363</v>
      </c>
      <c r="C793" s="78">
        <v>355374</v>
      </c>
      <c r="D793" s="78">
        <v>357925</v>
      </c>
      <c r="E793" s="78">
        <v>-5914</v>
      </c>
      <c r="F793" s="42">
        <v>0</v>
      </c>
      <c r="G793" s="42">
        <f t="shared" si="12"/>
        <v>-5914</v>
      </c>
      <c r="H793" s="2" t="str">
        <f>VLOOKUP(A793,'TB April'!A:H,8,0)</f>
        <v>Not Applicable</v>
      </c>
    </row>
    <row r="794" spans="1:8" hidden="1">
      <c r="A794" s="62" t="s">
        <v>634</v>
      </c>
      <c r="B794" s="78"/>
      <c r="C794" s="78"/>
      <c r="D794" s="78"/>
      <c r="E794" s="78"/>
      <c r="F794" s="42">
        <v>0</v>
      </c>
      <c r="G794" s="42">
        <f t="shared" si="12"/>
        <v>0</v>
      </c>
      <c r="H794" s="2" t="str">
        <f>VLOOKUP(A794,'TB April'!A:H,8,0)</f>
        <v>Not Applicable</v>
      </c>
    </row>
    <row r="795" spans="1:8" hidden="1">
      <c r="A795" s="62" t="s">
        <v>1479</v>
      </c>
      <c r="B795" s="78"/>
      <c r="C795" s="78"/>
      <c r="D795" s="78"/>
      <c r="E795" s="78"/>
      <c r="F795" s="42">
        <v>0</v>
      </c>
      <c r="G795" s="42">
        <f t="shared" si="12"/>
        <v>0</v>
      </c>
      <c r="H795" s="2" t="str">
        <f>VLOOKUP(A795,'TB April'!A:H,8,0)</f>
        <v>Not Applicable</v>
      </c>
    </row>
    <row r="796" spans="1:8" hidden="1">
      <c r="A796" s="62" t="s">
        <v>633</v>
      </c>
      <c r="B796" s="78">
        <v>111474</v>
      </c>
      <c r="C796" s="78"/>
      <c r="D796" s="78"/>
      <c r="E796" s="78">
        <v>111474</v>
      </c>
      <c r="F796" s="42">
        <v>0</v>
      </c>
      <c r="G796" s="42">
        <f t="shared" si="12"/>
        <v>111474</v>
      </c>
      <c r="H796" s="2" t="str">
        <f>VLOOKUP(A796,'TB April'!A:H,8,0)</f>
        <v>Not Applicable</v>
      </c>
    </row>
    <row r="797" spans="1:8" hidden="1">
      <c r="A797" s="62" t="s">
        <v>630</v>
      </c>
      <c r="B797" s="78">
        <v>-221195</v>
      </c>
      <c r="C797" s="78"/>
      <c r="D797" s="78"/>
      <c r="E797" s="78">
        <v>-221195</v>
      </c>
      <c r="F797" s="42">
        <v>0</v>
      </c>
      <c r="G797" s="42">
        <f t="shared" si="12"/>
        <v>-221195</v>
      </c>
      <c r="H797" s="2" t="str">
        <f>VLOOKUP(A797,'TB April'!A:H,8,0)</f>
        <v>Not Applicable</v>
      </c>
    </row>
    <row r="798" spans="1:8" hidden="1">
      <c r="A798" s="62" t="s">
        <v>1480</v>
      </c>
      <c r="B798" s="78"/>
      <c r="C798" s="78"/>
      <c r="D798" s="78"/>
      <c r="E798" s="78"/>
      <c r="F798" s="42">
        <v>0</v>
      </c>
      <c r="G798" s="42">
        <f t="shared" si="12"/>
        <v>0</v>
      </c>
      <c r="H798" s="2" t="str">
        <f>VLOOKUP(A798,'TB April'!A:H,8,0)</f>
        <v>Not Applicable</v>
      </c>
    </row>
    <row r="799" spans="1:8" hidden="1">
      <c r="A799" s="62" t="s">
        <v>621</v>
      </c>
      <c r="B799" s="78">
        <v>-538861</v>
      </c>
      <c r="C799" s="78">
        <v>538861</v>
      </c>
      <c r="D799" s="78"/>
      <c r="E799" s="78"/>
      <c r="F799" s="42">
        <v>0</v>
      </c>
      <c r="G799" s="42">
        <f t="shared" si="12"/>
        <v>0</v>
      </c>
      <c r="H799" s="2" t="str">
        <f>VLOOKUP(A799,'TB April'!A:H,8,0)</f>
        <v>Not Applicable</v>
      </c>
    </row>
    <row r="800" spans="1:8" hidden="1">
      <c r="A800" s="62" t="s">
        <v>617</v>
      </c>
      <c r="B800" s="78">
        <v>-0.2</v>
      </c>
      <c r="C800" s="78">
        <v>17582</v>
      </c>
      <c r="D800" s="78">
        <v>17582</v>
      </c>
      <c r="E800" s="78">
        <v>-0.2</v>
      </c>
      <c r="F800" s="42">
        <v>0</v>
      </c>
      <c r="G800" s="42">
        <f t="shared" si="12"/>
        <v>-0.2</v>
      </c>
      <c r="H800" s="2" t="str">
        <f>VLOOKUP(A800,'TB April'!A:H,8,0)</f>
        <v>Not Applicable</v>
      </c>
    </row>
    <row r="801" spans="1:8" hidden="1">
      <c r="A801" s="62" t="s">
        <v>990</v>
      </c>
      <c r="B801" s="78">
        <v>13650</v>
      </c>
      <c r="C801" s="78"/>
      <c r="D801" s="78"/>
      <c r="E801" s="78">
        <v>13650</v>
      </c>
      <c r="F801" s="42">
        <v>0</v>
      </c>
      <c r="G801" s="42">
        <f t="shared" si="12"/>
        <v>13650</v>
      </c>
      <c r="H801" s="2" t="str">
        <f>VLOOKUP(A801,'TB April'!A:H,8,0)</f>
        <v>Not Applicable</v>
      </c>
    </row>
    <row r="802" spans="1:8" hidden="1">
      <c r="A802" s="62" t="s">
        <v>1481</v>
      </c>
      <c r="B802" s="78"/>
      <c r="C802" s="78"/>
      <c r="D802" s="78"/>
      <c r="E802" s="78"/>
      <c r="F802" s="42">
        <v>0</v>
      </c>
      <c r="G802" s="42">
        <f t="shared" si="12"/>
        <v>0</v>
      </c>
      <c r="H802" s="2" t="str">
        <f>VLOOKUP(A802,'TB April'!A:H,8,0)</f>
        <v>Not Applicable</v>
      </c>
    </row>
    <row r="803" spans="1:8" hidden="1">
      <c r="A803" s="62" t="s">
        <v>537</v>
      </c>
      <c r="B803" s="78">
        <v>4484</v>
      </c>
      <c r="C803" s="78">
        <v>815358</v>
      </c>
      <c r="D803" s="78">
        <v>815358</v>
      </c>
      <c r="E803" s="78">
        <v>4484</v>
      </c>
      <c r="F803" s="42">
        <v>0</v>
      </c>
      <c r="G803" s="42">
        <f t="shared" si="12"/>
        <v>4484</v>
      </c>
      <c r="H803" s="2" t="str">
        <f>VLOOKUP(A803,'TB April'!A:H,8,0)</f>
        <v>Not Applicable</v>
      </c>
    </row>
    <row r="804" spans="1:8" hidden="1">
      <c r="A804" s="62" t="s">
        <v>910</v>
      </c>
      <c r="B804" s="78">
        <v>13131.72</v>
      </c>
      <c r="C804" s="78"/>
      <c r="D804" s="78"/>
      <c r="E804" s="78">
        <v>13131.72</v>
      </c>
      <c r="F804" s="42">
        <v>0</v>
      </c>
      <c r="G804" s="42">
        <f t="shared" si="12"/>
        <v>13131.72</v>
      </c>
      <c r="H804" s="2" t="str">
        <f>VLOOKUP(A804,'TB April'!A:H,8,0)</f>
        <v>Not Applicable</v>
      </c>
    </row>
    <row r="805" spans="1:8" hidden="1">
      <c r="A805" s="62" t="s">
        <v>473</v>
      </c>
      <c r="B805" s="78">
        <v>276434.77</v>
      </c>
      <c r="C805" s="78">
        <v>50675.1</v>
      </c>
      <c r="D805" s="78"/>
      <c r="E805" s="78">
        <v>327109.87</v>
      </c>
      <c r="F805" s="42">
        <v>0</v>
      </c>
      <c r="G805" s="42">
        <f t="shared" si="12"/>
        <v>327109.87</v>
      </c>
      <c r="H805" s="2" t="str">
        <f>VLOOKUP(A805,'TB April'!A:H,8,0)</f>
        <v>Not Applicable</v>
      </c>
    </row>
    <row r="806" spans="1:8" hidden="1">
      <c r="A806" s="62" t="s">
        <v>1371</v>
      </c>
      <c r="B806" s="78"/>
      <c r="C806" s="78">
        <v>26000</v>
      </c>
      <c r="D806" s="78">
        <v>26000</v>
      </c>
      <c r="E806" s="78"/>
      <c r="F806" s="42">
        <v>0</v>
      </c>
      <c r="G806" s="42">
        <f t="shared" si="12"/>
        <v>0</v>
      </c>
      <c r="H806" s="2" t="s">
        <v>84</v>
      </c>
    </row>
    <row r="807" spans="1:8" hidden="1">
      <c r="A807" s="62" t="s">
        <v>442</v>
      </c>
      <c r="B807" s="78"/>
      <c r="C807" s="78"/>
      <c r="D807" s="78"/>
      <c r="E807" s="78"/>
      <c r="F807" s="42">
        <v>0</v>
      </c>
      <c r="G807" s="42">
        <f t="shared" si="12"/>
        <v>0</v>
      </c>
      <c r="H807" s="2" t="str">
        <f>VLOOKUP(A807,'TB April'!A:H,8,0)</f>
        <v>Not Applicable</v>
      </c>
    </row>
    <row r="808" spans="1:8" hidden="1">
      <c r="A808" s="62" t="s">
        <v>441</v>
      </c>
      <c r="B808" s="78">
        <v>-10033.879999999999</v>
      </c>
      <c r="C808" s="78">
        <v>225</v>
      </c>
      <c r="D808" s="78">
        <v>18560</v>
      </c>
      <c r="E808" s="78">
        <v>-28368.880000000001</v>
      </c>
      <c r="F808" s="42">
        <v>0</v>
      </c>
      <c r="G808" s="42">
        <f t="shared" si="12"/>
        <v>-28368.880000000001</v>
      </c>
      <c r="H808" s="2" t="str">
        <f>VLOOKUP(A808,'TB April'!A:H,8,0)</f>
        <v>Not Applicable</v>
      </c>
    </row>
    <row r="809" spans="1:8" hidden="1">
      <c r="A809" s="62" t="s">
        <v>438</v>
      </c>
      <c r="B809" s="78">
        <v>-14478</v>
      </c>
      <c r="C809" s="78">
        <v>18978</v>
      </c>
      <c r="D809" s="78">
        <v>4500</v>
      </c>
      <c r="E809" s="78"/>
      <c r="F809" s="42">
        <v>0</v>
      </c>
      <c r="G809" s="42">
        <f t="shared" si="12"/>
        <v>0</v>
      </c>
      <c r="H809" s="2" t="str">
        <f>VLOOKUP(A809,'TB April'!A:H,8,0)</f>
        <v>Not Applicable</v>
      </c>
    </row>
    <row r="810" spans="1:8" hidden="1">
      <c r="A810" s="62" t="s">
        <v>1093</v>
      </c>
      <c r="B810" s="78">
        <v>-40590</v>
      </c>
      <c r="C810" s="78">
        <v>76930</v>
      </c>
      <c r="D810" s="78">
        <v>70000</v>
      </c>
      <c r="E810" s="78">
        <v>-33660</v>
      </c>
      <c r="F810" s="42">
        <v>0</v>
      </c>
      <c r="G810" s="42">
        <f t="shared" si="12"/>
        <v>-33660</v>
      </c>
      <c r="H810" s="2" t="str">
        <f>VLOOKUP(A810,'TB April'!A:H,8,0)</f>
        <v>Not Applicable</v>
      </c>
    </row>
    <row r="811" spans="1:8" hidden="1">
      <c r="A811" s="62" t="s">
        <v>421</v>
      </c>
      <c r="B811" s="78">
        <v>-1060</v>
      </c>
      <c r="C811" s="78">
        <v>228500</v>
      </c>
      <c r="D811" s="78">
        <v>228500</v>
      </c>
      <c r="E811" s="78">
        <v>-1060</v>
      </c>
      <c r="F811" s="42">
        <v>0</v>
      </c>
      <c r="G811" s="42">
        <f t="shared" si="12"/>
        <v>-1060</v>
      </c>
      <c r="H811" s="2" t="str">
        <f>VLOOKUP(A811,'TB April'!A:H,8,0)</f>
        <v>Not Applicable</v>
      </c>
    </row>
    <row r="812" spans="1:8" hidden="1">
      <c r="A812" s="62" t="s">
        <v>876</v>
      </c>
      <c r="B812" s="78">
        <v>-546093</v>
      </c>
      <c r="C812" s="78">
        <v>1308727</v>
      </c>
      <c r="D812" s="78">
        <v>272713</v>
      </c>
      <c r="E812" s="78">
        <v>489921</v>
      </c>
      <c r="F812" s="42">
        <v>0</v>
      </c>
      <c r="G812" s="42">
        <f t="shared" si="12"/>
        <v>489921</v>
      </c>
      <c r="H812" s="2" t="str">
        <f>VLOOKUP(A812,'TB April'!A:H,8,0)</f>
        <v>Not Applicable</v>
      </c>
    </row>
    <row r="813" spans="1:8" hidden="1">
      <c r="A813" s="62" t="s">
        <v>1088</v>
      </c>
      <c r="B813" s="78">
        <v>6.48</v>
      </c>
      <c r="C813" s="78"/>
      <c r="D813" s="78"/>
      <c r="E813" s="78">
        <v>6.48</v>
      </c>
      <c r="F813" s="42">
        <v>0</v>
      </c>
      <c r="G813" s="42">
        <f t="shared" si="12"/>
        <v>6.48</v>
      </c>
      <c r="H813" s="2" t="str">
        <f>VLOOKUP(A813,'TB April'!A:H,8,0)</f>
        <v>Not Applicable</v>
      </c>
    </row>
    <row r="814" spans="1:8" hidden="1">
      <c r="A814" s="62" t="s">
        <v>923</v>
      </c>
      <c r="B814" s="78">
        <v>3.51</v>
      </c>
      <c r="C814" s="78">
        <v>292</v>
      </c>
      <c r="D814" s="78">
        <v>291.67</v>
      </c>
      <c r="E814" s="78">
        <v>3.84</v>
      </c>
      <c r="F814" s="42">
        <v>0</v>
      </c>
      <c r="G814" s="42">
        <f t="shared" si="12"/>
        <v>3.84</v>
      </c>
      <c r="H814" s="2" t="str">
        <f>VLOOKUP(A814,'TB April'!A:H,8,0)</f>
        <v>Not Applicable</v>
      </c>
    </row>
    <row r="815" spans="1:8" hidden="1">
      <c r="A815" s="62" t="s">
        <v>1032</v>
      </c>
      <c r="B815" s="78">
        <v>-1.94</v>
      </c>
      <c r="C815" s="78">
        <v>434</v>
      </c>
      <c r="D815" s="78">
        <v>434.76</v>
      </c>
      <c r="E815" s="78">
        <v>-2.7</v>
      </c>
      <c r="F815" s="42">
        <v>0</v>
      </c>
      <c r="G815" s="42">
        <f t="shared" si="12"/>
        <v>-2.7</v>
      </c>
      <c r="H815" s="2" t="str">
        <f>VLOOKUP(A815,'TB April'!A:H,8,0)</f>
        <v>Not Applicable</v>
      </c>
    </row>
    <row r="816" spans="1:8" hidden="1">
      <c r="A816" s="62" t="s">
        <v>948</v>
      </c>
      <c r="B816" s="78">
        <v>0.56000000000000005</v>
      </c>
      <c r="C816" s="78"/>
      <c r="D816" s="78"/>
      <c r="E816" s="78">
        <v>0.56000000000000005</v>
      </c>
      <c r="F816" s="42">
        <v>0</v>
      </c>
      <c r="G816" s="42">
        <f t="shared" si="12"/>
        <v>0.56000000000000005</v>
      </c>
      <c r="H816" s="2" t="str">
        <f>VLOOKUP(A816,'TB April'!A:H,8,0)</f>
        <v>Not Applicable</v>
      </c>
    </row>
    <row r="817" spans="1:8" hidden="1">
      <c r="A817" s="62" t="s">
        <v>1046</v>
      </c>
      <c r="B817" s="78"/>
      <c r="C817" s="78">
        <v>6677.23</v>
      </c>
      <c r="D817" s="78">
        <v>6677.23</v>
      </c>
      <c r="E817" s="78"/>
      <c r="F817" s="42">
        <v>0</v>
      </c>
      <c r="G817" s="42">
        <f t="shared" si="12"/>
        <v>0</v>
      </c>
      <c r="H817" s="2" t="str">
        <f>VLOOKUP(A817,'TB April'!A:H,8,0)</f>
        <v>Not Applicable</v>
      </c>
    </row>
    <row r="818" spans="1:8" hidden="1">
      <c r="A818" s="62" t="s">
        <v>1047</v>
      </c>
      <c r="B818" s="78"/>
      <c r="C818" s="78"/>
      <c r="D818" s="78"/>
      <c r="E818" s="78"/>
      <c r="F818" s="42">
        <v>0</v>
      </c>
      <c r="G818" s="42">
        <f t="shared" si="12"/>
        <v>0</v>
      </c>
      <c r="H818" s="2" t="str">
        <f>VLOOKUP(A818,'TB April'!A:H,8,0)</f>
        <v>Not Applicable</v>
      </c>
    </row>
    <row r="819" spans="1:8" hidden="1">
      <c r="A819" s="62" t="s">
        <v>880</v>
      </c>
      <c r="B819" s="78"/>
      <c r="C819" s="78"/>
      <c r="D819" s="78"/>
      <c r="E819" s="78"/>
      <c r="F819" s="42">
        <v>0</v>
      </c>
      <c r="G819" s="42">
        <f t="shared" si="12"/>
        <v>0</v>
      </c>
      <c r="H819" s="2" t="str">
        <f>VLOOKUP(A819,'TB April'!A:H,8,0)</f>
        <v>Not Applicable</v>
      </c>
    </row>
    <row r="820" spans="1:8" hidden="1">
      <c r="A820" s="62" t="s">
        <v>901</v>
      </c>
      <c r="B820" s="78">
        <v>33416</v>
      </c>
      <c r="C820" s="78"/>
      <c r="D820" s="78"/>
      <c r="E820" s="78">
        <v>33416</v>
      </c>
      <c r="F820" s="42">
        <v>0</v>
      </c>
      <c r="G820" s="42">
        <f t="shared" si="12"/>
        <v>33416</v>
      </c>
      <c r="H820" s="2" t="str">
        <f>VLOOKUP(A820,'TB April'!A:H,8,0)</f>
        <v>Not Applicable</v>
      </c>
    </row>
    <row r="821" spans="1:8" hidden="1">
      <c r="A821" s="62" t="s">
        <v>667</v>
      </c>
      <c r="B821" s="78"/>
      <c r="C821" s="78"/>
      <c r="D821" s="78"/>
      <c r="E821" s="78"/>
      <c r="F821" s="42">
        <v>0</v>
      </c>
      <c r="G821" s="42">
        <f t="shared" si="12"/>
        <v>0</v>
      </c>
      <c r="H821" s="2" t="str">
        <f>VLOOKUP(A821,'TB April'!A:H,8,0)</f>
        <v>Not Applicable</v>
      </c>
    </row>
    <row r="822" spans="1:8" hidden="1">
      <c r="A822" s="62" t="s">
        <v>668</v>
      </c>
      <c r="B822" s="78"/>
      <c r="C822" s="78"/>
      <c r="D822" s="78"/>
      <c r="E822" s="78"/>
      <c r="F822" s="42">
        <v>0</v>
      </c>
      <c r="G822" s="42">
        <f t="shared" si="12"/>
        <v>0</v>
      </c>
      <c r="H822" s="2" t="str">
        <f>VLOOKUP(A822,'TB April'!A:H,8,0)</f>
        <v>Not Applicable</v>
      </c>
    </row>
    <row r="823" spans="1:8" hidden="1">
      <c r="A823" s="62" t="s">
        <v>669</v>
      </c>
      <c r="B823" s="78">
        <v>0.01</v>
      </c>
      <c r="C823" s="78"/>
      <c r="D823" s="78"/>
      <c r="E823" s="78">
        <v>0.01</v>
      </c>
      <c r="F823" s="42">
        <v>0</v>
      </c>
      <c r="G823" s="42">
        <f t="shared" si="12"/>
        <v>0.01</v>
      </c>
      <c r="H823" s="2" t="str">
        <f>VLOOKUP(A823,'TB April'!A:H,8,0)</f>
        <v>Not Applicable</v>
      </c>
    </row>
    <row r="824" spans="1:8" hidden="1">
      <c r="A824" s="62" t="s">
        <v>929</v>
      </c>
      <c r="B824" s="78"/>
      <c r="C824" s="78"/>
      <c r="D824" s="78"/>
      <c r="E824" s="78"/>
      <c r="F824" s="42">
        <v>0</v>
      </c>
      <c r="G824" s="42">
        <f t="shared" si="12"/>
        <v>0</v>
      </c>
      <c r="H824" s="2" t="str">
        <f>VLOOKUP(A824,'TB April'!A:H,8,0)</f>
        <v>Not Applicable</v>
      </c>
    </row>
    <row r="825" spans="1:8" hidden="1">
      <c r="A825" s="62" t="s">
        <v>1372</v>
      </c>
      <c r="B825" s="78">
        <v>-740000</v>
      </c>
      <c r="C825" s="78">
        <v>747422.2</v>
      </c>
      <c r="D825" s="78">
        <v>7422.2</v>
      </c>
      <c r="E825" s="78"/>
      <c r="F825" s="42">
        <v>0</v>
      </c>
      <c r="G825" s="42">
        <f t="shared" si="12"/>
        <v>0</v>
      </c>
      <c r="H825" s="2" t="str">
        <f>VLOOKUP(A825,'TB April'!A:H,8,0)</f>
        <v>Not Applicable</v>
      </c>
    </row>
    <row r="826" spans="1:8" hidden="1">
      <c r="A826" s="62" t="s">
        <v>1373</v>
      </c>
      <c r="B826" s="78">
        <v>-2494774.1</v>
      </c>
      <c r="C826" s="78">
        <v>2494774.1</v>
      </c>
      <c r="D826" s="78"/>
      <c r="E826" s="78"/>
      <c r="F826" s="42">
        <v>0</v>
      </c>
      <c r="G826" s="42">
        <f t="shared" si="12"/>
        <v>0</v>
      </c>
      <c r="H826" s="2" t="str">
        <f>VLOOKUP(A826,'TB April'!A:H,8,0)</f>
        <v>Not Applicable</v>
      </c>
    </row>
    <row r="827" spans="1:8" hidden="1">
      <c r="A827" s="62" t="s">
        <v>1004</v>
      </c>
      <c r="B827" s="78">
        <v>-3515.4</v>
      </c>
      <c r="C827" s="78"/>
      <c r="D827" s="78"/>
      <c r="E827" s="78">
        <v>-3515.4</v>
      </c>
      <c r="F827" s="42">
        <v>0</v>
      </c>
      <c r="G827" s="42">
        <f t="shared" si="12"/>
        <v>-3515.4</v>
      </c>
      <c r="H827" s="2" t="str">
        <f>VLOOKUP(A827,'TB April'!A:H,8,0)</f>
        <v>Not Applicable</v>
      </c>
    </row>
    <row r="828" spans="1:8" hidden="1">
      <c r="A828" s="62" t="s">
        <v>1374</v>
      </c>
      <c r="B828" s="78">
        <v>-161506.79999999999</v>
      </c>
      <c r="C828" s="78"/>
      <c r="D828" s="78"/>
      <c r="E828" s="78">
        <v>-161506.79999999999</v>
      </c>
      <c r="F828" s="42">
        <v>0</v>
      </c>
      <c r="G828" s="42">
        <f t="shared" si="12"/>
        <v>-161506.79999999999</v>
      </c>
      <c r="H828" s="2" t="str">
        <f>VLOOKUP(A828,'TB April'!A:H,8,0)</f>
        <v>Not Applicable</v>
      </c>
    </row>
    <row r="829" spans="1:8" hidden="1">
      <c r="A829" s="62" t="s">
        <v>515</v>
      </c>
      <c r="B829" s="78">
        <v>74938.759999999995</v>
      </c>
      <c r="C829" s="78"/>
      <c r="D829" s="78"/>
      <c r="E829" s="78">
        <v>74938.759999999995</v>
      </c>
      <c r="F829" s="42">
        <v>0</v>
      </c>
      <c r="G829" s="42">
        <f t="shared" si="12"/>
        <v>74938.759999999995</v>
      </c>
      <c r="H829" s="2" t="str">
        <f>VLOOKUP(A829,'TB April'!A:H,8,0)</f>
        <v>Not Applicable</v>
      </c>
    </row>
    <row r="830" spans="1:8" hidden="1">
      <c r="A830" s="62" t="s">
        <v>437</v>
      </c>
      <c r="B830" s="78"/>
      <c r="C830" s="78"/>
      <c r="D830" s="78"/>
      <c r="E830" s="78"/>
      <c r="F830" s="42">
        <v>0</v>
      </c>
      <c r="G830" s="42">
        <f t="shared" si="12"/>
        <v>0</v>
      </c>
      <c r="H830" s="2" t="str">
        <f>VLOOKUP(A830,'TB April'!A:H,8,0)</f>
        <v>Not Applicable</v>
      </c>
    </row>
    <row r="831" spans="1:8" hidden="1">
      <c r="A831" s="62" t="s">
        <v>1315</v>
      </c>
      <c r="B831" s="78"/>
      <c r="C831" s="78"/>
      <c r="D831" s="78"/>
      <c r="E831" s="78"/>
      <c r="F831" s="42">
        <v>0</v>
      </c>
      <c r="G831" s="42">
        <f t="shared" si="12"/>
        <v>0</v>
      </c>
      <c r="H831" s="2" t="str">
        <f>VLOOKUP(A831,'TB April'!A:H,8,0)</f>
        <v>Not Applicable</v>
      </c>
    </row>
    <row r="832" spans="1:8" hidden="1">
      <c r="A832" s="62" t="s">
        <v>696</v>
      </c>
      <c r="B832" s="78">
        <v>-8382528</v>
      </c>
      <c r="C832" s="78"/>
      <c r="D832" s="78"/>
      <c r="E832" s="78">
        <v>-8382528</v>
      </c>
      <c r="F832" s="42">
        <v>0</v>
      </c>
      <c r="G832" s="42">
        <f t="shared" si="12"/>
        <v>-8382528</v>
      </c>
      <c r="H832" s="2" t="str">
        <f>VLOOKUP(A832,'TB April'!A:H,8,0)</f>
        <v>Not Applicable</v>
      </c>
    </row>
    <row r="833" spans="1:8" hidden="1">
      <c r="A833" s="62" t="s">
        <v>674</v>
      </c>
      <c r="B833" s="78">
        <v>-2992.51</v>
      </c>
      <c r="C833" s="78"/>
      <c r="D833" s="78"/>
      <c r="E833" s="78">
        <v>-2992.51</v>
      </c>
      <c r="F833" s="42">
        <v>0</v>
      </c>
      <c r="G833" s="42">
        <f t="shared" si="12"/>
        <v>-2992.51</v>
      </c>
      <c r="H833" s="2" t="str">
        <f>VLOOKUP(A833,'TB April'!A:H,8,0)</f>
        <v>Not Applicable</v>
      </c>
    </row>
    <row r="834" spans="1:8" hidden="1">
      <c r="A834" s="62" t="s">
        <v>872</v>
      </c>
      <c r="B834" s="78"/>
      <c r="C834" s="78"/>
      <c r="D834" s="78">
        <v>349280</v>
      </c>
      <c r="E834" s="78">
        <v>-349280</v>
      </c>
      <c r="F834" s="42">
        <v>0</v>
      </c>
      <c r="G834" s="42">
        <f t="shared" si="12"/>
        <v>-349280</v>
      </c>
      <c r="H834" s="2" t="str">
        <f>VLOOKUP(A834,'TB April'!A:H,8,0)</f>
        <v>Not Applicable</v>
      </c>
    </row>
    <row r="835" spans="1:8" hidden="1">
      <c r="A835" s="62" t="s">
        <v>635</v>
      </c>
      <c r="B835" s="78">
        <v>-315368</v>
      </c>
      <c r="C835" s="78"/>
      <c r="D835" s="78"/>
      <c r="E835" s="78">
        <v>-315368</v>
      </c>
      <c r="F835" s="42">
        <v>0</v>
      </c>
      <c r="G835" s="42">
        <f t="shared" si="12"/>
        <v>-315368</v>
      </c>
      <c r="H835" s="2" t="str">
        <f>VLOOKUP(A835,'TB April'!A:H,8,0)</f>
        <v>Not Applicable</v>
      </c>
    </row>
    <row r="836" spans="1:8" hidden="1">
      <c r="A836" s="62" t="s">
        <v>1323</v>
      </c>
      <c r="B836" s="78"/>
      <c r="C836" s="78"/>
      <c r="D836" s="78"/>
      <c r="E836" s="78"/>
      <c r="F836" s="42">
        <v>0</v>
      </c>
      <c r="G836" s="42">
        <f t="shared" si="12"/>
        <v>0</v>
      </c>
      <c r="H836" s="2" t="str">
        <f>VLOOKUP(A836,'TB April'!A:H,8,0)</f>
        <v>Not Applicable</v>
      </c>
    </row>
    <row r="837" spans="1:8" hidden="1">
      <c r="A837" s="62" t="s">
        <v>1483</v>
      </c>
      <c r="B837" s="78"/>
      <c r="C837" s="78"/>
      <c r="D837" s="78"/>
      <c r="E837" s="78"/>
      <c r="F837" s="42">
        <v>0</v>
      </c>
      <c r="G837" s="42">
        <f t="shared" si="12"/>
        <v>0</v>
      </c>
      <c r="H837" s="2" t="str">
        <f>VLOOKUP(A837,'TB April'!A:H,8,0)</f>
        <v>Not Applicable</v>
      </c>
    </row>
    <row r="838" spans="1:8" hidden="1">
      <c r="A838" s="62" t="s">
        <v>1193</v>
      </c>
      <c r="B838" s="78">
        <v>-12980</v>
      </c>
      <c r="C838" s="78"/>
      <c r="D838" s="78"/>
      <c r="E838" s="78">
        <v>-12980</v>
      </c>
      <c r="F838" s="42">
        <v>0</v>
      </c>
      <c r="G838" s="42">
        <f t="shared" ref="G838:G901" si="13">+E838+F838</f>
        <v>-12980</v>
      </c>
      <c r="H838" s="2" t="str">
        <f>VLOOKUP(A838,'TB April'!A:H,8,0)</f>
        <v>Not Applicable</v>
      </c>
    </row>
    <row r="839" spans="1:8" hidden="1">
      <c r="A839" s="62" t="s">
        <v>1316</v>
      </c>
      <c r="B839" s="78"/>
      <c r="C839" s="78"/>
      <c r="D839" s="78"/>
      <c r="E839" s="78"/>
      <c r="F839" s="42">
        <v>0</v>
      </c>
      <c r="G839" s="42">
        <f t="shared" si="13"/>
        <v>0</v>
      </c>
      <c r="H839" s="2" t="str">
        <f>VLOOKUP(A839,'TB April'!A:H,8,0)</f>
        <v>Not Applicable</v>
      </c>
    </row>
    <row r="840" spans="1:8" hidden="1">
      <c r="A840" s="62" t="s">
        <v>1534</v>
      </c>
      <c r="B840" s="78"/>
      <c r="C840" s="78">
        <v>3923500</v>
      </c>
      <c r="D840" s="78">
        <v>3923500</v>
      </c>
      <c r="E840" s="78"/>
      <c r="F840" s="42">
        <v>0</v>
      </c>
      <c r="G840" s="42">
        <f t="shared" si="13"/>
        <v>0</v>
      </c>
      <c r="H840" s="2" t="s">
        <v>84</v>
      </c>
    </row>
    <row r="841" spans="1:8" hidden="1">
      <c r="A841" s="62" t="s">
        <v>610</v>
      </c>
      <c r="B841" s="78">
        <v>-337874.88</v>
      </c>
      <c r="C841" s="78"/>
      <c r="D841" s="78"/>
      <c r="E841" s="78">
        <v>-337874.88</v>
      </c>
      <c r="F841" s="42">
        <v>0</v>
      </c>
      <c r="G841" s="42">
        <f t="shared" si="13"/>
        <v>-337874.88</v>
      </c>
      <c r="H841" s="2" t="str">
        <f>VLOOKUP(A841,'TB April'!A:H,8,0)</f>
        <v>Not Applicable</v>
      </c>
    </row>
    <row r="842" spans="1:8" hidden="1">
      <c r="A842" s="62" t="s">
        <v>1145</v>
      </c>
      <c r="B842" s="78">
        <v>-8041519.5300000003</v>
      </c>
      <c r="C842" s="78"/>
      <c r="D842" s="78">
        <v>1947871.86</v>
      </c>
      <c r="E842" s="78">
        <v>-9989391.3900000006</v>
      </c>
      <c r="F842" s="42">
        <v>0</v>
      </c>
      <c r="G842" s="42">
        <f t="shared" si="13"/>
        <v>-9989391.3900000006</v>
      </c>
      <c r="H842" s="2" t="str">
        <f>VLOOKUP(A842,'TB April'!A:H,8,0)</f>
        <v>Not Applicable</v>
      </c>
    </row>
    <row r="843" spans="1:8" hidden="1">
      <c r="A843" s="62" t="s">
        <v>1484</v>
      </c>
      <c r="B843" s="78"/>
      <c r="C843" s="78"/>
      <c r="D843" s="78"/>
      <c r="E843" s="78"/>
      <c r="F843" s="42">
        <v>0</v>
      </c>
      <c r="G843" s="42">
        <f t="shared" si="13"/>
        <v>0</v>
      </c>
      <c r="H843" s="2" t="str">
        <f>VLOOKUP(A843,'TB April'!A:H,8,0)</f>
        <v>Not Applicable</v>
      </c>
    </row>
    <row r="844" spans="1:8" hidden="1">
      <c r="A844" s="62" t="s">
        <v>603</v>
      </c>
      <c r="B844" s="78"/>
      <c r="C844" s="78"/>
      <c r="D844" s="78"/>
      <c r="E844" s="78"/>
      <c r="F844" s="42">
        <v>0</v>
      </c>
      <c r="G844" s="42">
        <f t="shared" si="13"/>
        <v>0</v>
      </c>
      <c r="H844" s="2" t="str">
        <f>VLOOKUP(A844,'TB April'!A:H,8,0)</f>
        <v>Not Applicable</v>
      </c>
    </row>
    <row r="845" spans="1:8" hidden="1">
      <c r="A845" s="62" t="s">
        <v>601</v>
      </c>
      <c r="B845" s="78"/>
      <c r="C845" s="78"/>
      <c r="D845" s="78"/>
      <c r="E845" s="78"/>
      <c r="F845" s="42">
        <v>0</v>
      </c>
      <c r="G845" s="42">
        <f t="shared" si="13"/>
        <v>0</v>
      </c>
      <c r="H845" s="2" t="str">
        <f>VLOOKUP(A845,'TB April'!A:H,8,0)</f>
        <v>Not Applicable</v>
      </c>
    </row>
    <row r="846" spans="1:8" hidden="1">
      <c r="A846" s="62" t="s">
        <v>598</v>
      </c>
      <c r="B846" s="78">
        <v>-3203037.26</v>
      </c>
      <c r="C846" s="78"/>
      <c r="D846" s="78">
        <v>1605326.4</v>
      </c>
      <c r="E846" s="78">
        <v>-4808363.66</v>
      </c>
      <c r="F846" s="42">
        <v>0</v>
      </c>
      <c r="G846" s="42">
        <f t="shared" si="13"/>
        <v>-4808363.66</v>
      </c>
      <c r="H846" s="2" t="str">
        <f>VLOOKUP(A846,'TB April'!A:H,8,0)</f>
        <v>Not Applicable</v>
      </c>
    </row>
    <row r="847" spans="1:8" hidden="1">
      <c r="A847" s="62" t="s">
        <v>1535</v>
      </c>
      <c r="B847" s="78"/>
      <c r="C847" s="78">
        <v>1545905.48</v>
      </c>
      <c r="D847" s="78">
        <v>1547216</v>
      </c>
      <c r="E847" s="78">
        <v>-1310.52</v>
      </c>
      <c r="F847" s="42">
        <v>0</v>
      </c>
      <c r="G847" s="42">
        <f t="shared" si="13"/>
        <v>-1310.52</v>
      </c>
      <c r="H847" s="2" t="s">
        <v>84</v>
      </c>
    </row>
    <row r="848" spans="1:8" hidden="1">
      <c r="A848" s="62" t="s">
        <v>560</v>
      </c>
      <c r="B848" s="78">
        <v>307113.17</v>
      </c>
      <c r="C848" s="78"/>
      <c r="D848" s="78"/>
      <c r="E848" s="78">
        <v>307113.17</v>
      </c>
      <c r="F848" s="42">
        <v>0</v>
      </c>
      <c r="G848" s="42">
        <f t="shared" si="13"/>
        <v>307113.17</v>
      </c>
      <c r="H848" s="2" t="str">
        <f>VLOOKUP(A848,'TB April'!A:H,8,0)</f>
        <v>Not Applicable</v>
      </c>
    </row>
    <row r="849" spans="1:8" hidden="1">
      <c r="A849" s="62" t="s">
        <v>1485</v>
      </c>
      <c r="B849" s="78"/>
      <c r="C849" s="78"/>
      <c r="D849" s="78"/>
      <c r="E849" s="78"/>
      <c r="F849" s="42">
        <v>0</v>
      </c>
      <c r="G849" s="42">
        <f t="shared" si="13"/>
        <v>0</v>
      </c>
      <c r="H849" s="2" t="str">
        <f>VLOOKUP(A849,'TB April'!A:H,8,0)</f>
        <v>Not Applicable</v>
      </c>
    </row>
    <row r="850" spans="1:8" hidden="1">
      <c r="A850" s="62" t="s">
        <v>989</v>
      </c>
      <c r="B850" s="78">
        <v>-18071983</v>
      </c>
      <c r="C850" s="78">
        <v>9007983</v>
      </c>
      <c r="D850" s="78">
        <v>10795103</v>
      </c>
      <c r="E850" s="78">
        <v>-19859103</v>
      </c>
      <c r="F850" s="42">
        <v>0</v>
      </c>
      <c r="G850" s="42">
        <f t="shared" si="13"/>
        <v>-19859103</v>
      </c>
      <c r="H850" s="2" t="str">
        <f>VLOOKUP(A850,'TB April'!A:H,8,0)</f>
        <v>Not Applicable</v>
      </c>
    </row>
    <row r="851" spans="1:8" hidden="1">
      <c r="A851" s="62" t="s">
        <v>545</v>
      </c>
      <c r="B851" s="78"/>
      <c r="C851" s="78"/>
      <c r="D851" s="78"/>
      <c r="E851" s="78"/>
      <c r="F851" s="42">
        <v>0</v>
      </c>
      <c r="G851" s="42">
        <f t="shared" si="13"/>
        <v>0</v>
      </c>
      <c r="H851" s="2" t="str">
        <f>VLOOKUP(A851,'TB April'!A:H,8,0)</f>
        <v>Not Applicable</v>
      </c>
    </row>
    <row r="852" spans="1:8" hidden="1">
      <c r="A852" s="62" t="s">
        <v>1251</v>
      </c>
      <c r="B852" s="78"/>
      <c r="C852" s="78">
        <v>452412</v>
      </c>
      <c r="D852" s="78">
        <v>904824</v>
      </c>
      <c r="E852" s="78">
        <v>-452412</v>
      </c>
      <c r="F852" s="42">
        <v>0</v>
      </c>
      <c r="G852" s="42">
        <f t="shared" si="13"/>
        <v>-452412</v>
      </c>
      <c r="H852" s="2" t="str">
        <f>VLOOKUP(A852,'TB April'!A:H,8,0)</f>
        <v>Not Applicable</v>
      </c>
    </row>
    <row r="853" spans="1:8" hidden="1">
      <c r="A853" s="62" t="s">
        <v>1486</v>
      </c>
      <c r="B853" s="78"/>
      <c r="C853" s="78"/>
      <c r="D853" s="78"/>
      <c r="E853" s="78"/>
      <c r="F853" s="42">
        <v>0</v>
      </c>
      <c r="G853" s="42">
        <f t="shared" si="13"/>
        <v>0</v>
      </c>
      <c r="H853" s="2" t="str">
        <f>VLOOKUP(A853,'TB April'!A:H,8,0)</f>
        <v>Not Applicable</v>
      </c>
    </row>
    <row r="854" spans="1:8" hidden="1">
      <c r="A854" s="62" t="s">
        <v>527</v>
      </c>
      <c r="B854" s="78">
        <v>254743.26</v>
      </c>
      <c r="C854" s="78"/>
      <c r="D854" s="78"/>
      <c r="E854" s="78">
        <v>254743.26</v>
      </c>
      <c r="F854" s="42">
        <v>0</v>
      </c>
      <c r="G854" s="42">
        <f t="shared" si="13"/>
        <v>254743.26</v>
      </c>
      <c r="H854" s="2" t="str">
        <f>VLOOKUP(A854,'TB April'!A:H,8,0)</f>
        <v>Not Applicable</v>
      </c>
    </row>
    <row r="855" spans="1:8" hidden="1">
      <c r="A855" s="62" t="s">
        <v>1536</v>
      </c>
      <c r="B855" s="78"/>
      <c r="C855" s="78"/>
      <c r="D855" s="78"/>
      <c r="E855" s="78"/>
      <c r="F855" s="42">
        <v>0</v>
      </c>
      <c r="G855" s="42">
        <f t="shared" si="13"/>
        <v>0</v>
      </c>
      <c r="H855" s="2" t="s">
        <v>84</v>
      </c>
    </row>
    <row r="856" spans="1:8" hidden="1">
      <c r="A856" s="62" t="s">
        <v>516</v>
      </c>
      <c r="B856" s="78">
        <v>-402161.93</v>
      </c>
      <c r="C856" s="78"/>
      <c r="D856" s="78"/>
      <c r="E856" s="78">
        <v>-402161.93</v>
      </c>
      <c r="F856" s="42">
        <v>0</v>
      </c>
      <c r="G856" s="42">
        <f t="shared" si="13"/>
        <v>-402161.93</v>
      </c>
      <c r="H856" s="2" t="str">
        <f>VLOOKUP(A856,'TB April'!A:H,8,0)</f>
        <v>Not Applicable</v>
      </c>
    </row>
    <row r="857" spans="1:8" hidden="1">
      <c r="A857" s="62" t="s">
        <v>1487</v>
      </c>
      <c r="B857" s="78">
        <v>-319.79000000000002</v>
      </c>
      <c r="C857" s="78"/>
      <c r="D857" s="78"/>
      <c r="E857" s="78">
        <v>-319.79000000000002</v>
      </c>
      <c r="F857" s="42">
        <v>0</v>
      </c>
      <c r="G857" s="42">
        <f t="shared" si="13"/>
        <v>-319.79000000000002</v>
      </c>
      <c r="H857" s="2" t="str">
        <f>VLOOKUP(A857,'TB April'!A:H,8,0)</f>
        <v>Not Applicable</v>
      </c>
    </row>
    <row r="858" spans="1:8" hidden="1">
      <c r="A858" s="62" t="s">
        <v>517</v>
      </c>
      <c r="B858" s="78"/>
      <c r="C858" s="78"/>
      <c r="D858" s="78"/>
      <c r="E858" s="78"/>
      <c r="F858" s="42">
        <v>0</v>
      </c>
      <c r="G858" s="42">
        <f t="shared" si="13"/>
        <v>0</v>
      </c>
      <c r="H858" s="2" t="str">
        <f>VLOOKUP(A858,'TB April'!A:H,8,0)</f>
        <v>Not Applicable</v>
      </c>
    </row>
    <row r="859" spans="1:8" hidden="1">
      <c r="A859" s="62" t="s">
        <v>1488</v>
      </c>
      <c r="B859" s="78">
        <v>-13781293.02</v>
      </c>
      <c r="C859" s="78"/>
      <c r="D859" s="78">
        <v>10713276</v>
      </c>
      <c r="E859" s="78">
        <v>-24494569.02</v>
      </c>
      <c r="F859" s="42">
        <v>0</v>
      </c>
      <c r="G859" s="42">
        <f t="shared" si="13"/>
        <v>-24494569.02</v>
      </c>
      <c r="H859" s="2" t="str">
        <f>VLOOKUP(A859,'TB April'!A:H,8,0)</f>
        <v>Not Applicable</v>
      </c>
    </row>
    <row r="860" spans="1:8" hidden="1">
      <c r="A860" s="62" t="s">
        <v>1489</v>
      </c>
      <c r="B860" s="78">
        <v>-34477367.549999997</v>
      </c>
      <c r="C860" s="78"/>
      <c r="D860" s="78"/>
      <c r="E860" s="78">
        <v>-34477367.549999997</v>
      </c>
      <c r="F860" s="42">
        <v>0</v>
      </c>
      <c r="G860" s="42">
        <f t="shared" si="13"/>
        <v>-34477367.549999997</v>
      </c>
      <c r="H860" s="2" t="str">
        <f>VLOOKUP(A860,'TB April'!A:H,8,0)</f>
        <v>Not Applicable</v>
      </c>
    </row>
    <row r="861" spans="1:8" hidden="1">
      <c r="A861" s="62" t="s">
        <v>1067</v>
      </c>
      <c r="B861" s="78">
        <v>-1416</v>
      </c>
      <c r="C861" s="78"/>
      <c r="D861" s="78"/>
      <c r="E861" s="78">
        <v>-1416</v>
      </c>
      <c r="F861" s="42">
        <v>0</v>
      </c>
      <c r="G861" s="42">
        <f t="shared" si="13"/>
        <v>-1416</v>
      </c>
      <c r="H861" s="2" t="str">
        <f>VLOOKUP(A861,'TB April'!A:H,8,0)</f>
        <v>Not Applicable</v>
      </c>
    </row>
    <row r="862" spans="1:8" hidden="1">
      <c r="A862" s="62" t="s">
        <v>1537</v>
      </c>
      <c r="B862" s="78"/>
      <c r="C862" s="78"/>
      <c r="D862" s="78">
        <v>3827328.75</v>
      </c>
      <c r="E862" s="78">
        <v>-3827328.75</v>
      </c>
      <c r="F862" s="42">
        <v>0</v>
      </c>
      <c r="G862" s="42">
        <f t="shared" si="13"/>
        <v>-3827328.75</v>
      </c>
      <c r="H862" s="2" t="s">
        <v>84</v>
      </c>
    </row>
    <row r="863" spans="1:8" hidden="1">
      <c r="A863" s="62" t="s">
        <v>495</v>
      </c>
      <c r="B863" s="78"/>
      <c r="C863" s="78"/>
      <c r="D863" s="78"/>
      <c r="E863" s="78"/>
      <c r="F863" s="42">
        <v>0</v>
      </c>
      <c r="G863" s="42">
        <f t="shared" si="13"/>
        <v>0</v>
      </c>
      <c r="H863" s="2" t="str">
        <f>VLOOKUP(A863,'TB April'!A:H,8,0)</f>
        <v>Not Applicable</v>
      </c>
    </row>
    <row r="864" spans="1:8" hidden="1">
      <c r="A864" s="62" t="s">
        <v>461</v>
      </c>
      <c r="B864" s="78"/>
      <c r="C864" s="78"/>
      <c r="D864" s="78"/>
      <c r="E864" s="78"/>
      <c r="F864" s="42">
        <v>0</v>
      </c>
      <c r="G864" s="42">
        <f t="shared" si="13"/>
        <v>0</v>
      </c>
      <c r="H864" s="2" t="str">
        <f>VLOOKUP(A864,'TB April'!A:H,8,0)</f>
        <v>Not Applicable</v>
      </c>
    </row>
    <row r="865" spans="1:8" hidden="1">
      <c r="A865" s="62" t="s">
        <v>462</v>
      </c>
      <c r="B865" s="78">
        <v>-6019955.2800000003</v>
      </c>
      <c r="C865" s="78">
        <v>4683667.9800000004</v>
      </c>
      <c r="D865" s="78">
        <v>4683667.99</v>
      </c>
      <c r="E865" s="78">
        <v>-6019955.29</v>
      </c>
      <c r="F865" s="42">
        <v>0</v>
      </c>
      <c r="G865" s="42">
        <f t="shared" si="13"/>
        <v>-6019955.29</v>
      </c>
      <c r="H865" s="2" t="str">
        <f>VLOOKUP(A865,'TB April'!A:H,8,0)</f>
        <v>Not Applicable</v>
      </c>
    </row>
    <row r="866" spans="1:8" hidden="1">
      <c r="A866" s="62" t="s">
        <v>463</v>
      </c>
      <c r="B866" s="78">
        <v>-7275146.4500000002</v>
      </c>
      <c r="C866" s="78">
        <v>9393673.4399999995</v>
      </c>
      <c r="D866" s="78">
        <v>4755433.51</v>
      </c>
      <c r="E866" s="78">
        <v>-2636906.52</v>
      </c>
      <c r="F866" s="42">
        <v>0</v>
      </c>
      <c r="G866" s="42">
        <f t="shared" si="13"/>
        <v>-2636906.52</v>
      </c>
      <c r="H866" s="2" t="str">
        <f>VLOOKUP(A866,'TB April'!A:H,8,0)</f>
        <v>Not Applicable</v>
      </c>
    </row>
    <row r="867" spans="1:8" hidden="1">
      <c r="A867" s="62" t="s">
        <v>457</v>
      </c>
      <c r="B867" s="78"/>
      <c r="C867" s="78"/>
      <c r="D867" s="78"/>
      <c r="E867" s="78"/>
      <c r="F867" s="42">
        <v>0</v>
      </c>
      <c r="G867" s="42">
        <f t="shared" si="13"/>
        <v>0</v>
      </c>
      <c r="H867" s="2" t="str">
        <f>VLOOKUP(A867,'TB April'!A:H,8,0)</f>
        <v>Not Applicable</v>
      </c>
    </row>
    <row r="868" spans="1:8" hidden="1">
      <c r="A868" s="62" t="s">
        <v>1490</v>
      </c>
      <c r="B868" s="78"/>
      <c r="C868" s="78"/>
      <c r="D868" s="78"/>
      <c r="E868" s="78"/>
      <c r="F868" s="42">
        <v>0</v>
      </c>
      <c r="G868" s="42">
        <f t="shared" si="13"/>
        <v>0</v>
      </c>
      <c r="H868" s="2" t="str">
        <f>VLOOKUP(A868,'TB April'!A:H,8,0)</f>
        <v>Not Applicable</v>
      </c>
    </row>
    <row r="869" spans="1:8" hidden="1">
      <c r="A869" s="62" t="s">
        <v>419</v>
      </c>
      <c r="B869" s="78">
        <v>4951811.6100000003</v>
      </c>
      <c r="C869" s="78">
        <v>5226758.51</v>
      </c>
      <c r="D869" s="78">
        <v>1576799.64</v>
      </c>
      <c r="E869" s="78">
        <v>8601770.4800000004</v>
      </c>
      <c r="F869" s="42">
        <v>0</v>
      </c>
      <c r="G869" s="42">
        <f t="shared" si="13"/>
        <v>8601770.4800000004</v>
      </c>
      <c r="H869" s="2" t="str">
        <f>VLOOKUP(A869,'TB April'!A:H,8,0)</f>
        <v>Not Applicable</v>
      </c>
    </row>
    <row r="870" spans="1:8" hidden="1">
      <c r="A870" s="62" t="s">
        <v>1491</v>
      </c>
      <c r="B870" s="78"/>
      <c r="C870" s="78"/>
      <c r="D870" s="78"/>
      <c r="E870" s="78"/>
      <c r="F870" s="42">
        <v>0</v>
      </c>
      <c r="G870" s="42">
        <f t="shared" si="13"/>
        <v>0</v>
      </c>
      <c r="H870" s="2" t="str">
        <f>VLOOKUP(A870,'TB April'!A:H,8,0)</f>
        <v>Not Applicable</v>
      </c>
    </row>
    <row r="871" spans="1:8" hidden="1">
      <c r="A871" s="62" t="s">
        <v>1195</v>
      </c>
      <c r="B871" s="78">
        <v>-1176259</v>
      </c>
      <c r="C871" s="78">
        <v>1176259</v>
      </c>
      <c r="D871" s="78"/>
      <c r="E871" s="78"/>
      <c r="F871" s="42">
        <v>0</v>
      </c>
      <c r="G871" s="42">
        <f t="shared" si="13"/>
        <v>0</v>
      </c>
      <c r="H871" s="2" t="str">
        <f>VLOOKUP(A871,'TB April'!A:H,8,0)</f>
        <v>Not Applicable</v>
      </c>
    </row>
    <row r="872" spans="1:8" hidden="1">
      <c r="A872" s="62" t="s">
        <v>1492</v>
      </c>
      <c r="B872" s="78"/>
      <c r="C872" s="78"/>
      <c r="D872" s="78"/>
      <c r="E872" s="78"/>
      <c r="F872" s="42">
        <v>0</v>
      </c>
      <c r="G872" s="42">
        <f t="shared" si="13"/>
        <v>0</v>
      </c>
      <c r="H872" s="2" t="str">
        <f>VLOOKUP(A872,'TB April'!A:H,8,0)</f>
        <v>Not Applicable</v>
      </c>
    </row>
    <row r="873" spans="1:8" hidden="1">
      <c r="A873" s="62" t="s">
        <v>411</v>
      </c>
      <c r="B873" s="78">
        <v>-84959.8</v>
      </c>
      <c r="C873" s="78">
        <v>145376</v>
      </c>
      <c r="D873" s="78">
        <v>3631443.2</v>
      </c>
      <c r="E873" s="78">
        <v>-3571027</v>
      </c>
      <c r="F873" s="42">
        <v>0</v>
      </c>
      <c r="G873" s="42">
        <f t="shared" si="13"/>
        <v>-3571027</v>
      </c>
      <c r="H873" s="2" t="str">
        <f>VLOOKUP(A873,'TB April'!A:H,8,0)</f>
        <v>Not Applicable</v>
      </c>
    </row>
    <row r="874" spans="1:8" hidden="1">
      <c r="A874" s="62" t="s">
        <v>1090</v>
      </c>
      <c r="B874" s="78">
        <v>-9169591.1999999993</v>
      </c>
      <c r="C874" s="78"/>
      <c r="D874" s="78"/>
      <c r="E874" s="78">
        <v>-9169591.1999999993</v>
      </c>
      <c r="F874" s="42">
        <v>0</v>
      </c>
      <c r="G874" s="42">
        <f t="shared" si="13"/>
        <v>-9169591.1999999993</v>
      </c>
      <c r="H874" s="2" t="str">
        <f>VLOOKUP(A874,'TB April'!A:H,8,0)</f>
        <v>Not Applicable</v>
      </c>
    </row>
    <row r="875" spans="1:8" hidden="1">
      <c r="A875" s="62" t="s">
        <v>394</v>
      </c>
      <c r="B875" s="78">
        <v>-613943.67000000004</v>
      </c>
      <c r="C875" s="78"/>
      <c r="D875" s="78"/>
      <c r="E875" s="78">
        <v>-613943.67000000004</v>
      </c>
      <c r="F875" s="42">
        <v>0</v>
      </c>
      <c r="G875" s="42">
        <f t="shared" si="13"/>
        <v>-613943.67000000004</v>
      </c>
      <c r="H875" s="2" t="str">
        <f>VLOOKUP(A875,'TB April'!A:H,8,0)</f>
        <v>Not Applicable</v>
      </c>
    </row>
    <row r="876" spans="1:8" hidden="1">
      <c r="A876" s="62" t="s">
        <v>1000</v>
      </c>
      <c r="B876" s="78">
        <v>-2069133.4</v>
      </c>
      <c r="C876" s="78"/>
      <c r="D876" s="78"/>
      <c r="E876" s="78">
        <v>-2069133.4</v>
      </c>
      <c r="F876" s="42">
        <v>0</v>
      </c>
      <c r="G876" s="42">
        <f t="shared" si="13"/>
        <v>-2069133.4</v>
      </c>
      <c r="H876" s="2" t="str">
        <f>VLOOKUP(A876,'TB April'!A:H,8,0)</f>
        <v>Not Applicable</v>
      </c>
    </row>
    <row r="877" spans="1:8" hidden="1">
      <c r="A877" s="62" t="s">
        <v>1298</v>
      </c>
      <c r="B877" s="78">
        <v>-2298522</v>
      </c>
      <c r="C877" s="78">
        <v>627957.5</v>
      </c>
      <c r="D877" s="78">
        <v>3892372.5</v>
      </c>
      <c r="E877" s="78">
        <v>-5562937</v>
      </c>
      <c r="F877" s="42">
        <v>0</v>
      </c>
      <c r="G877" s="42">
        <f t="shared" si="13"/>
        <v>-5562937</v>
      </c>
      <c r="H877" s="2" t="str">
        <f>VLOOKUP(A877,'TB April'!A:H,8,0)</f>
        <v>Not Applicable</v>
      </c>
    </row>
    <row r="878" spans="1:8" hidden="1">
      <c r="A878" s="62" t="s">
        <v>860</v>
      </c>
      <c r="B878" s="78"/>
      <c r="C878" s="78"/>
      <c r="D878" s="78"/>
      <c r="E878" s="78"/>
      <c r="F878" s="42">
        <v>0</v>
      </c>
      <c r="G878" s="42">
        <f t="shared" si="13"/>
        <v>0</v>
      </c>
      <c r="H878" s="2" t="s">
        <v>84</v>
      </c>
    </row>
    <row r="879" spans="1:8" hidden="1">
      <c r="A879" s="62" t="s">
        <v>390</v>
      </c>
      <c r="B879" s="78">
        <v>640875.06000000006</v>
      </c>
      <c r="C879" s="78"/>
      <c r="D879" s="78"/>
      <c r="E879" s="78">
        <v>640875.06000000006</v>
      </c>
      <c r="F879" s="42">
        <v>0</v>
      </c>
      <c r="G879" s="42">
        <f t="shared" si="13"/>
        <v>640875.06000000006</v>
      </c>
      <c r="H879" s="2" t="str">
        <f>VLOOKUP(A879,'TB April'!A:H,8,0)</f>
        <v>Not Applicable</v>
      </c>
    </row>
    <row r="880" spans="1:8" hidden="1">
      <c r="A880" s="62" t="s">
        <v>385</v>
      </c>
      <c r="B880" s="78"/>
      <c r="C880" s="78"/>
      <c r="D880" s="78"/>
      <c r="E880" s="78"/>
      <c r="F880" s="42">
        <v>0</v>
      </c>
      <c r="G880" s="42">
        <f t="shared" si="13"/>
        <v>0</v>
      </c>
      <c r="H880" s="2" t="str">
        <f>VLOOKUP(A880,'TB April'!A:H,8,0)</f>
        <v>Not Applicable</v>
      </c>
    </row>
    <row r="881" spans="1:8" hidden="1">
      <c r="A881" s="62" t="s">
        <v>380</v>
      </c>
      <c r="B881" s="78">
        <v>2691.2</v>
      </c>
      <c r="C881" s="78"/>
      <c r="D881" s="78"/>
      <c r="E881" s="78">
        <v>2691.2</v>
      </c>
      <c r="F881" s="42">
        <v>0</v>
      </c>
      <c r="G881" s="42">
        <f t="shared" si="13"/>
        <v>2691.2</v>
      </c>
      <c r="H881" s="2" t="str">
        <f>VLOOKUP(A881,'TB April'!A:H,8,0)</f>
        <v>Not Applicable</v>
      </c>
    </row>
    <row r="882" spans="1:8" hidden="1">
      <c r="A882" s="62" t="s">
        <v>381</v>
      </c>
      <c r="B882" s="78"/>
      <c r="C882" s="78"/>
      <c r="D882" s="78"/>
      <c r="E882" s="78"/>
      <c r="F882" s="42">
        <v>0</v>
      </c>
      <c r="G882" s="42">
        <f t="shared" si="13"/>
        <v>0</v>
      </c>
      <c r="H882" s="2" t="str">
        <f>VLOOKUP(A882,'TB April'!A:H,8,0)</f>
        <v>Not Applicable</v>
      </c>
    </row>
    <row r="883" spans="1:8" hidden="1">
      <c r="A883" s="62" t="s">
        <v>1538</v>
      </c>
      <c r="B883" s="78"/>
      <c r="C883" s="78"/>
      <c r="D883" s="78">
        <v>1770</v>
      </c>
      <c r="E883" s="78">
        <v>-1770</v>
      </c>
      <c r="F883" s="42">
        <v>0</v>
      </c>
      <c r="G883" s="42">
        <f t="shared" si="13"/>
        <v>-1770</v>
      </c>
      <c r="H883" s="2" t="s">
        <v>84</v>
      </c>
    </row>
    <row r="884" spans="1:8" hidden="1">
      <c r="A884" s="62" t="s">
        <v>368</v>
      </c>
      <c r="B884" s="78"/>
      <c r="C884" s="78"/>
      <c r="D884" s="78"/>
      <c r="E884" s="78"/>
      <c r="F884" s="42">
        <v>0</v>
      </c>
      <c r="G884" s="42">
        <f t="shared" si="13"/>
        <v>0</v>
      </c>
      <c r="H884" s="2" t="str">
        <f>VLOOKUP(A884,'TB April'!A:H,8,0)</f>
        <v>Not Applicable</v>
      </c>
    </row>
    <row r="885" spans="1:8" hidden="1">
      <c r="A885" s="62" t="s">
        <v>958</v>
      </c>
      <c r="B885" s="78">
        <v>-49605.599999999999</v>
      </c>
      <c r="C885" s="78"/>
      <c r="D885" s="78"/>
      <c r="E885" s="78">
        <v>-49605.599999999999</v>
      </c>
      <c r="F885" s="42">
        <v>0</v>
      </c>
      <c r="G885" s="42">
        <f t="shared" si="13"/>
        <v>-49605.599999999999</v>
      </c>
      <c r="H885" s="2" t="str">
        <f>VLOOKUP(A885,'TB April'!A:H,8,0)</f>
        <v>Not Applicable</v>
      </c>
    </row>
    <row r="886" spans="1:8" hidden="1">
      <c r="A886" s="62" t="s">
        <v>1196</v>
      </c>
      <c r="B886" s="78">
        <v>-2328998.4</v>
      </c>
      <c r="C886" s="78"/>
      <c r="D886" s="78"/>
      <c r="E886" s="78">
        <v>-2328998.4</v>
      </c>
      <c r="F886" s="42">
        <v>0</v>
      </c>
      <c r="G886" s="42">
        <f t="shared" si="13"/>
        <v>-2328998.4</v>
      </c>
      <c r="H886" s="2" t="str">
        <f>VLOOKUP(A886,'TB April'!A:H,8,0)</f>
        <v>Not Applicable</v>
      </c>
    </row>
    <row r="887" spans="1:8" hidden="1">
      <c r="A887" s="62" t="s">
        <v>1376</v>
      </c>
      <c r="B887" s="78"/>
      <c r="C887" s="78"/>
      <c r="D887" s="78"/>
      <c r="E887" s="78"/>
      <c r="F887" s="42">
        <v>0</v>
      </c>
      <c r="G887" s="42">
        <f t="shared" si="13"/>
        <v>0</v>
      </c>
      <c r="H887" s="2" t="s">
        <v>84</v>
      </c>
    </row>
    <row r="888" spans="1:8" hidden="1">
      <c r="A888" s="62" t="s">
        <v>931</v>
      </c>
      <c r="B888" s="78"/>
      <c r="C888" s="78">
        <v>15050</v>
      </c>
      <c r="D888" s="78">
        <v>15050</v>
      </c>
      <c r="E888" s="78"/>
      <c r="F888" s="42">
        <v>0</v>
      </c>
      <c r="G888" s="42">
        <f t="shared" si="13"/>
        <v>0</v>
      </c>
      <c r="H888" s="2" t="str">
        <f>VLOOKUP(A888,'TB April'!A:H,8,0)</f>
        <v>Not Applicable</v>
      </c>
    </row>
    <row r="889" spans="1:8" hidden="1">
      <c r="A889" s="62" t="s">
        <v>735</v>
      </c>
      <c r="B889" s="78">
        <v>39444.199999999997</v>
      </c>
      <c r="C889" s="78"/>
      <c r="D889" s="78"/>
      <c r="E889" s="78">
        <v>39444.199999999997</v>
      </c>
      <c r="F889" s="42">
        <v>0</v>
      </c>
      <c r="G889" s="42">
        <f t="shared" si="13"/>
        <v>39444.199999999997</v>
      </c>
      <c r="H889" s="2" t="str">
        <f>VLOOKUP(A889,'TB April'!A:H,8,0)</f>
        <v>Not Applicable</v>
      </c>
    </row>
    <row r="890" spans="1:8" hidden="1">
      <c r="A890" s="62" t="s">
        <v>732</v>
      </c>
      <c r="B890" s="78"/>
      <c r="C890" s="78"/>
      <c r="D890" s="78"/>
      <c r="E890" s="78"/>
      <c r="F890" s="42">
        <v>0</v>
      </c>
      <c r="G890" s="42">
        <f t="shared" si="13"/>
        <v>0</v>
      </c>
      <c r="H890" s="2" t="str">
        <f>VLOOKUP(A890,'TB April'!A:H,8,0)</f>
        <v>Not Applicable</v>
      </c>
    </row>
    <row r="891" spans="1:8" hidden="1">
      <c r="A891" s="62" t="s">
        <v>861</v>
      </c>
      <c r="B891" s="78"/>
      <c r="C891" s="78"/>
      <c r="D891" s="78"/>
      <c r="E891" s="78"/>
      <c r="F891" s="42">
        <v>0</v>
      </c>
      <c r="G891" s="42">
        <f t="shared" si="13"/>
        <v>0</v>
      </c>
      <c r="H891" s="2" t="s">
        <v>84</v>
      </c>
    </row>
    <row r="892" spans="1:8" hidden="1">
      <c r="A892" s="62" t="s">
        <v>858</v>
      </c>
      <c r="B892" s="78"/>
      <c r="C892" s="78"/>
      <c r="D892" s="78"/>
      <c r="E892" s="78"/>
      <c r="F892" s="42">
        <v>0</v>
      </c>
      <c r="G892" s="42">
        <f t="shared" si="13"/>
        <v>0</v>
      </c>
      <c r="H892" s="2" t="str">
        <f>VLOOKUP(A892,'TB April'!A:H,8,0)</f>
        <v>Not Applicable</v>
      </c>
    </row>
    <row r="893" spans="1:8" hidden="1">
      <c r="A893" s="62" t="s">
        <v>882</v>
      </c>
      <c r="B893" s="78"/>
      <c r="C893" s="78">
        <v>33792</v>
      </c>
      <c r="D893" s="78">
        <v>33792</v>
      </c>
      <c r="E893" s="78"/>
      <c r="F893" s="42">
        <v>0</v>
      </c>
      <c r="G893" s="42">
        <f t="shared" si="13"/>
        <v>0</v>
      </c>
      <c r="H893" s="2" t="str">
        <f>VLOOKUP(A893,'TB April'!A:H,8,0)</f>
        <v>Not Applicable</v>
      </c>
    </row>
    <row r="894" spans="1:8" hidden="1">
      <c r="A894" s="62" t="s">
        <v>718</v>
      </c>
      <c r="B894" s="78">
        <v>-288118</v>
      </c>
      <c r="C894" s="78">
        <v>451052</v>
      </c>
      <c r="D894" s="78">
        <v>221500</v>
      </c>
      <c r="E894" s="78">
        <v>-58566</v>
      </c>
      <c r="F894" s="42">
        <v>0</v>
      </c>
      <c r="G894" s="42">
        <f t="shared" si="13"/>
        <v>-58566</v>
      </c>
      <c r="H894" s="2" t="str">
        <f>VLOOKUP(A894,'TB April'!A:H,8,0)</f>
        <v>Not Applicable</v>
      </c>
    </row>
    <row r="895" spans="1:8" hidden="1">
      <c r="A895" s="62" t="s">
        <v>721</v>
      </c>
      <c r="B895" s="78">
        <v>-4138</v>
      </c>
      <c r="C895" s="78"/>
      <c r="D895" s="78"/>
      <c r="E895" s="78">
        <v>-4138</v>
      </c>
      <c r="F895" s="42">
        <v>0</v>
      </c>
      <c r="G895" s="42">
        <f t="shared" si="13"/>
        <v>-4138</v>
      </c>
      <c r="H895" s="2" t="str">
        <f>VLOOKUP(A895,'TB April'!A:H,8,0)</f>
        <v>Not Applicable</v>
      </c>
    </row>
    <row r="896" spans="1:8" hidden="1">
      <c r="A896" s="62" t="s">
        <v>1105</v>
      </c>
      <c r="B896" s="78">
        <v>-60</v>
      </c>
      <c r="C896" s="78"/>
      <c r="D896" s="78"/>
      <c r="E896" s="78">
        <v>-60</v>
      </c>
      <c r="F896" s="42">
        <v>0</v>
      </c>
      <c r="G896" s="42">
        <f t="shared" si="13"/>
        <v>-60</v>
      </c>
      <c r="H896" s="2" t="str">
        <f>VLOOKUP(A896,'TB April'!A:H,8,0)</f>
        <v>Not Applicable</v>
      </c>
    </row>
    <row r="897" spans="1:8" hidden="1">
      <c r="A897" s="62" t="s">
        <v>705</v>
      </c>
      <c r="B897" s="78">
        <v>-1501466</v>
      </c>
      <c r="C897" s="78">
        <v>2238638</v>
      </c>
      <c r="D897" s="78">
        <v>729590</v>
      </c>
      <c r="E897" s="78">
        <v>7582</v>
      </c>
      <c r="F897" s="42">
        <v>0</v>
      </c>
      <c r="G897" s="42">
        <f t="shared" si="13"/>
        <v>7582</v>
      </c>
      <c r="H897" s="2" t="str">
        <f>VLOOKUP(A897,'TB April'!A:H,8,0)</f>
        <v>Not Applicable</v>
      </c>
    </row>
    <row r="898" spans="1:8" hidden="1">
      <c r="A898" s="62" t="s">
        <v>1103</v>
      </c>
      <c r="B898" s="78">
        <v>6</v>
      </c>
      <c r="C898" s="78"/>
      <c r="D898" s="78"/>
      <c r="E898" s="78">
        <v>6</v>
      </c>
      <c r="F898" s="42">
        <v>0</v>
      </c>
      <c r="G898" s="42">
        <f t="shared" si="13"/>
        <v>6</v>
      </c>
      <c r="H898" s="2" t="str">
        <f>VLOOKUP(A898,'TB April'!A:H,8,0)</f>
        <v>Not Applicable</v>
      </c>
    </row>
    <row r="899" spans="1:8" hidden="1">
      <c r="A899" s="62" t="s">
        <v>903</v>
      </c>
      <c r="B899" s="78"/>
      <c r="C899" s="78">
        <v>13800</v>
      </c>
      <c r="D899" s="78">
        <v>13800</v>
      </c>
      <c r="E899" s="78"/>
      <c r="F899" s="42">
        <v>0</v>
      </c>
      <c r="G899" s="42">
        <f t="shared" si="13"/>
        <v>0</v>
      </c>
      <c r="H899" s="2" t="s">
        <v>84</v>
      </c>
    </row>
    <row r="900" spans="1:8" hidden="1">
      <c r="A900" s="62" t="s">
        <v>1299</v>
      </c>
      <c r="B900" s="78">
        <v>-109594</v>
      </c>
      <c r="C900" s="78">
        <v>215489</v>
      </c>
      <c r="D900" s="78">
        <v>65895</v>
      </c>
      <c r="E900" s="78">
        <v>40000</v>
      </c>
      <c r="F900" s="42">
        <v>0</v>
      </c>
      <c r="G900" s="42">
        <f t="shared" si="13"/>
        <v>40000</v>
      </c>
      <c r="H900" s="2" t="str">
        <f>VLOOKUP(A900,'TB April'!A:H,8,0)</f>
        <v>Not Applicable</v>
      </c>
    </row>
    <row r="901" spans="1:8" hidden="1">
      <c r="A901" s="62" t="s">
        <v>683</v>
      </c>
      <c r="B901" s="78">
        <v>99999.5</v>
      </c>
      <c r="C901" s="78"/>
      <c r="D901" s="78"/>
      <c r="E901" s="78">
        <v>99999.5</v>
      </c>
      <c r="F901" s="42">
        <v>0</v>
      </c>
      <c r="G901" s="42">
        <f t="shared" si="13"/>
        <v>99999.5</v>
      </c>
      <c r="H901" s="2" t="str">
        <f>VLOOKUP(A901,'TB April'!A:H,8,0)</f>
        <v>Not Applicable</v>
      </c>
    </row>
    <row r="902" spans="1:8" hidden="1">
      <c r="A902" s="62" t="s">
        <v>688</v>
      </c>
      <c r="B902" s="78">
        <v>112</v>
      </c>
      <c r="C902" s="78"/>
      <c r="D902" s="78"/>
      <c r="E902" s="78">
        <v>112</v>
      </c>
      <c r="F902" s="42">
        <v>0</v>
      </c>
      <c r="G902" s="42">
        <f t="shared" ref="G902:G965" si="14">+E902+F902</f>
        <v>112</v>
      </c>
      <c r="H902" s="2" t="str">
        <f>VLOOKUP(A902,'TB April'!A:H,8,0)</f>
        <v>Not Applicable</v>
      </c>
    </row>
    <row r="903" spans="1:8" hidden="1">
      <c r="A903" s="62" t="s">
        <v>1377</v>
      </c>
      <c r="B903" s="78">
        <v>13000</v>
      </c>
      <c r="C903" s="78"/>
      <c r="D903" s="78"/>
      <c r="E903" s="78">
        <v>13000</v>
      </c>
      <c r="F903" s="42">
        <v>0</v>
      </c>
      <c r="G903" s="42">
        <f t="shared" si="14"/>
        <v>13000</v>
      </c>
      <c r="H903" s="2" t="str">
        <f>VLOOKUP(A903,'TB April'!A:H,8,0)</f>
        <v>Not Applicable</v>
      </c>
    </row>
    <row r="904" spans="1:8" hidden="1">
      <c r="A904" s="62" t="s">
        <v>1493</v>
      </c>
      <c r="B904" s="78"/>
      <c r="C904" s="78"/>
      <c r="D904" s="78"/>
      <c r="E904" s="78"/>
      <c r="F904" s="42">
        <v>0</v>
      </c>
      <c r="G904" s="42">
        <f t="shared" si="14"/>
        <v>0</v>
      </c>
      <c r="H904" s="2" t="str">
        <f>VLOOKUP(A904,'TB April'!A:H,8,0)</f>
        <v>Not Applicable</v>
      </c>
    </row>
    <row r="905" spans="1:8" hidden="1">
      <c r="A905" s="62" t="s">
        <v>965</v>
      </c>
      <c r="B905" s="78"/>
      <c r="C905" s="78">
        <v>1362024</v>
      </c>
      <c r="D905" s="78">
        <v>1362024</v>
      </c>
      <c r="E905" s="78"/>
      <c r="F905" s="42">
        <v>0</v>
      </c>
      <c r="G905" s="42">
        <f t="shared" si="14"/>
        <v>0</v>
      </c>
      <c r="H905" s="2" t="str">
        <f>VLOOKUP(A905,'TB April'!A:H,8,0)</f>
        <v>Not Applicable</v>
      </c>
    </row>
    <row r="906" spans="1:8" hidden="1">
      <c r="A906" s="62" t="s">
        <v>665</v>
      </c>
      <c r="B906" s="78">
        <v>-3048</v>
      </c>
      <c r="C906" s="78">
        <v>2900</v>
      </c>
      <c r="D906" s="78"/>
      <c r="E906" s="78">
        <v>-148</v>
      </c>
      <c r="F906" s="42">
        <v>0</v>
      </c>
      <c r="G906" s="42">
        <f t="shared" si="14"/>
        <v>-148</v>
      </c>
      <c r="H906" s="2" t="str">
        <f>VLOOKUP(A906,'TB April'!A:H,8,0)</f>
        <v>Not Applicable</v>
      </c>
    </row>
    <row r="907" spans="1:8" hidden="1">
      <c r="A907" s="62" t="s">
        <v>663</v>
      </c>
      <c r="B907" s="78">
        <v>-601783.02</v>
      </c>
      <c r="C907" s="78">
        <v>835052</v>
      </c>
      <c r="D907" s="78">
        <v>362012</v>
      </c>
      <c r="E907" s="78">
        <v>-128743.02</v>
      </c>
      <c r="F907" s="42">
        <v>0</v>
      </c>
      <c r="G907" s="42">
        <f t="shared" si="14"/>
        <v>-128743.02</v>
      </c>
      <c r="H907" s="2" t="str">
        <f>VLOOKUP(A907,'TB April'!A:H,8,0)</f>
        <v>Not Applicable</v>
      </c>
    </row>
    <row r="908" spans="1:8" hidden="1">
      <c r="A908" s="62" t="s">
        <v>649</v>
      </c>
      <c r="B908" s="78"/>
      <c r="C908" s="78"/>
      <c r="D908" s="78"/>
      <c r="E908" s="78"/>
      <c r="F908" s="42">
        <v>0</v>
      </c>
      <c r="G908" s="42">
        <f t="shared" si="14"/>
        <v>0</v>
      </c>
      <c r="H908" s="2" t="str">
        <f>VLOOKUP(A908,'TB April'!A:H,8,0)</f>
        <v>Not Applicable</v>
      </c>
    </row>
    <row r="909" spans="1:8" hidden="1">
      <c r="A909" s="62" t="s">
        <v>879</v>
      </c>
      <c r="B909" s="78"/>
      <c r="C909" s="78">
        <v>20000</v>
      </c>
      <c r="D909" s="78">
        <v>20000</v>
      </c>
      <c r="E909" s="78"/>
      <c r="F909" s="42">
        <v>0</v>
      </c>
      <c r="G909" s="42">
        <f t="shared" si="14"/>
        <v>0</v>
      </c>
      <c r="H909" s="2" t="str">
        <f>VLOOKUP(A909,'TB April'!A:H,8,0)</f>
        <v>Not Applicable</v>
      </c>
    </row>
    <row r="910" spans="1:8" hidden="1">
      <c r="A910" s="62" t="s">
        <v>654</v>
      </c>
      <c r="B910" s="78">
        <v>-15911</v>
      </c>
      <c r="C910" s="78">
        <v>15911</v>
      </c>
      <c r="D910" s="78"/>
      <c r="E910" s="78"/>
      <c r="F910" s="42">
        <v>0</v>
      </c>
      <c r="G910" s="42">
        <f t="shared" si="14"/>
        <v>0</v>
      </c>
      <c r="H910" s="2" t="str">
        <f>VLOOKUP(A910,'TB April'!A:H,8,0)</f>
        <v>Not Applicable</v>
      </c>
    </row>
    <row r="911" spans="1:8" hidden="1">
      <c r="A911" s="62" t="s">
        <v>1378</v>
      </c>
      <c r="B911" s="78"/>
      <c r="C911" s="78">
        <v>90480</v>
      </c>
      <c r="D911" s="78">
        <v>90480</v>
      </c>
      <c r="E911" s="78"/>
      <c r="F911" s="42">
        <v>0</v>
      </c>
      <c r="G911" s="42">
        <f t="shared" si="14"/>
        <v>0</v>
      </c>
      <c r="H911" s="2" t="s">
        <v>84</v>
      </c>
    </row>
    <row r="912" spans="1:8" hidden="1">
      <c r="A912" s="62" t="s">
        <v>991</v>
      </c>
      <c r="B912" s="78"/>
      <c r="C912" s="78">
        <v>439233</v>
      </c>
      <c r="D912" s="78">
        <v>439233</v>
      </c>
      <c r="E912" s="78"/>
      <c r="F912" s="42">
        <v>0</v>
      </c>
      <c r="G912" s="42">
        <f t="shared" si="14"/>
        <v>0</v>
      </c>
      <c r="H912" s="2" t="str">
        <f>VLOOKUP(A912,'TB April'!A:H,8,0)</f>
        <v>Not Applicable</v>
      </c>
    </row>
    <row r="913" spans="1:8" hidden="1">
      <c r="A913" s="62" t="s">
        <v>1344</v>
      </c>
      <c r="B913" s="78"/>
      <c r="C913" s="78">
        <v>895663</v>
      </c>
      <c r="D913" s="78">
        <v>895664</v>
      </c>
      <c r="E913" s="78">
        <v>-1</v>
      </c>
      <c r="F913" s="42">
        <v>0</v>
      </c>
      <c r="G913" s="42">
        <f t="shared" si="14"/>
        <v>-1</v>
      </c>
      <c r="H913" s="2" t="str">
        <f>VLOOKUP(A913,'TB April'!A:H,8,0)</f>
        <v>Not Applicable</v>
      </c>
    </row>
    <row r="914" spans="1:8" hidden="1">
      <c r="A914" s="62" t="s">
        <v>645</v>
      </c>
      <c r="B914" s="78"/>
      <c r="C914" s="78"/>
      <c r="D914" s="78"/>
      <c r="E914" s="78"/>
      <c r="F914" s="42">
        <v>0</v>
      </c>
      <c r="G914" s="42">
        <f t="shared" si="14"/>
        <v>0</v>
      </c>
      <c r="H914" s="2" t="str">
        <f>VLOOKUP(A914,'TB April'!A:H,8,0)</f>
        <v>Not Applicable</v>
      </c>
    </row>
    <row r="915" spans="1:8" hidden="1">
      <c r="A915" s="62" t="s">
        <v>631</v>
      </c>
      <c r="B915" s="78">
        <v>-34749</v>
      </c>
      <c r="C915" s="78">
        <v>42254</v>
      </c>
      <c r="D915" s="78">
        <v>57500</v>
      </c>
      <c r="E915" s="78">
        <v>-49995</v>
      </c>
      <c r="F915" s="42">
        <v>0</v>
      </c>
      <c r="G915" s="42">
        <f t="shared" si="14"/>
        <v>-49995</v>
      </c>
      <c r="H915" s="2" t="str">
        <f>VLOOKUP(A915,'TB April'!A:H,8,0)</f>
        <v>Not Applicable</v>
      </c>
    </row>
    <row r="916" spans="1:8" hidden="1">
      <c r="A916" s="62" t="s">
        <v>1379</v>
      </c>
      <c r="B916" s="78">
        <v>415</v>
      </c>
      <c r="C916" s="78">
        <v>24054</v>
      </c>
      <c r="D916" s="78">
        <v>24469</v>
      </c>
      <c r="E916" s="78"/>
      <c r="F916" s="42">
        <v>0</v>
      </c>
      <c r="G916" s="42">
        <f t="shared" si="14"/>
        <v>0</v>
      </c>
      <c r="H916" s="2" t="str">
        <f>VLOOKUP(A916,'TB April'!A:H,8,0)</f>
        <v>Not Applicable</v>
      </c>
    </row>
    <row r="917" spans="1:8" hidden="1">
      <c r="A917" s="62" t="s">
        <v>964</v>
      </c>
      <c r="B917" s="78">
        <v>-53820</v>
      </c>
      <c r="C917" s="78">
        <v>108100</v>
      </c>
      <c r="D917" s="78">
        <v>54280</v>
      </c>
      <c r="E917" s="78"/>
      <c r="F917" s="42">
        <v>0</v>
      </c>
      <c r="G917" s="42">
        <f t="shared" si="14"/>
        <v>0</v>
      </c>
      <c r="H917" s="2" t="str">
        <f>VLOOKUP(A917,'TB April'!A:H,8,0)</f>
        <v>Not Applicable</v>
      </c>
    </row>
    <row r="918" spans="1:8" hidden="1">
      <c r="A918" s="62" t="s">
        <v>622</v>
      </c>
      <c r="B918" s="78"/>
      <c r="C918" s="78"/>
      <c r="D918" s="78">
        <v>31823.46</v>
      </c>
      <c r="E918" s="78">
        <v>-31823.46</v>
      </c>
      <c r="F918" s="42">
        <v>0</v>
      </c>
      <c r="G918" s="42">
        <f t="shared" si="14"/>
        <v>-31823.46</v>
      </c>
      <c r="H918" s="2" t="str">
        <f>VLOOKUP(A918,'TB April'!A:H,8,0)</f>
        <v>Not Applicable</v>
      </c>
    </row>
    <row r="919" spans="1:8" hidden="1">
      <c r="A919" s="62" t="s">
        <v>618</v>
      </c>
      <c r="B919" s="78">
        <v>-5547</v>
      </c>
      <c r="C919" s="78"/>
      <c r="D919" s="78"/>
      <c r="E919" s="78">
        <v>-5547</v>
      </c>
      <c r="F919" s="42">
        <v>0</v>
      </c>
      <c r="G919" s="42">
        <f t="shared" si="14"/>
        <v>-5547</v>
      </c>
      <c r="H919" s="2" t="str">
        <f>VLOOKUP(A919,'TB April'!A:H,8,0)</f>
        <v>Not Applicable</v>
      </c>
    </row>
    <row r="920" spans="1:8" hidden="1">
      <c r="A920" s="62" t="s">
        <v>1019</v>
      </c>
      <c r="B920" s="78">
        <v>19470</v>
      </c>
      <c r="C920" s="78"/>
      <c r="D920" s="78"/>
      <c r="E920" s="78">
        <v>19470</v>
      </c>
      <c r="F920" s="42">
        <v>0</v>
      </c>
      <c r="G920" s="42">
        <f t="shared" si="14"/>
        <v>19470</v>
      </c>
      <c r="H920" s="2" t="str">
        <f>VLOOKUP(A920,'TB April'!A:H,8,0)</f>
        <v>Not Applicable</v>
      </c>
    </row>
    <row r="921" spans="1:8" hidden="1">
      <c r="A921" s="62" t="s">
        <v>615</v>
      </c>
      <c r="B921" s="78"/>
      <c r="C921" s="78">
        <v>7000</v>
      </c>
      <c r="D921" s="78">
        <v>7000</v>
      </c>
      <c r="E921" s="78"/>
      <c r="F921" s="42">
        <v>0</v>
      </c>
      <c r="G921" s="42">
        <f t="shared" si="14"/>
        <v>0</v>
      </c>
      <c r="H921" s="2" t="str">
        <f>VLOOKUP(A921,'TB April'!A:H,8,0)</f>
        <v>Not Applicable</v>
      </c>
    </row>
    <row r="922" spans="1:8" hidden="1">
      <c r="A922" s="62" t="s">
        <v>941</v>
      </c>
      <c r="B922" s="78">
        <v>0.01</v>
      </c>
      <c r="C922" s="78"/>
      <c r="D922" s="78"/>
      <c r="E922" s="78">
        <v>0.01</v>
      </c>
      <c r="F922" s="42">
        <v>0</v>
      </c>
      <c r="G922" s="42">
        <f t="shared" si="14"/>
        <v>0.01</v>
      </c>
      <c r="H922" s="2" t="str">
        <f>VLOOKUP(A922,'TB April'!A:H,8,0)</f>
        <v>Not Applicable</v>
      </c>
    </row>
    <row r="923" spans="1:8" hidden="1">
      <c r="A923" s="62" t="s">
        <v>926</v>
      </c>
      <c r="B923" s="78">
        <v>30922.3</v>
      </c>
      <c r="C923" s="78"/>
      <c r="D923" s="78"/>
      <c r="E923" s="78">
        <v>30922.3</v>
      </c>
      <c r="F923" s="42">
        <v>0</v>
      </c>
      <c r="G923" s="42">
        <f t="shared" si="14"/>
        <v>30922.3</v>
      </c>
      <c r="H923" s="2" t="str">
        <f>VLOOKUP(A923,'TB April'!A:H,8,0)</f>
        <v>Not Applicable</v>
      </c>
    </row>
    <row r="924" spans="1:8" hidden="1">
      <c r="A924" s="62" t="s">
        <v>1345</v>
      </c>
      <c r="B924" s="78">
        <v>-9360</v>
      </c>
      <c r="C924" s="78">
        <v>9360</v>
      </c>
      <c r="D924" s="78"/>
      <c r="E924" s="78"/>
      <c r="F924" s="42">
        <v>0</v>
      </c>
      <c r="G924" s="42">
        <f t="shared" si="14"/>
        <v>0</v>
      </c>
      <c r="H924" s="2" t="str">
        <f>VLOOKUP(A924,'TB April'!A:H,8,0)</f>
        <v>Not Applicable</v>
      </c>
    </row>
    <row r="925" spans="1:8" hidden="1">
      <c r="A925" s="62" t="s">
        <v>1271</v>
      </c>
      <c r="B925" s="78"/>
      <c r="C925" s="78">
        <v>4640</v>
      </c>
      <c r="D925" s="78">
        <v>4720</v>
      </c>
      <c r="E925" s="78">
        <v>-80</v>
      </c>
      <c r="F925" s="42">
        <v>0</v>
      </c>
      <c r="G925" s="42">
        <f t="shared" si="14"/>
        <v>-80</v>
      </c>
      <c r="H925" s="2" t="str">
        <f>VLOOKUP(A925,'TB April'!A:H,8,0)</f>
        <v>Not Applicable</v>
      </c>
    </row>
    <row r="926" spans="1:8" hidden="1">
      <c r="A926" s="62" t="s">
        <v>588</v>
      </c>
      <c r="B926" s="78"/>
      <c r="C926" s="78"/>
      <c r="D926" s="78"/>
      <c r="E926" s="78"/>
      <c r="F926" s="42">
        <v>0</v>
      </c>
      <c r="G926" s="42">
        <f t="shared" si="14"/>
        <v>0</v>
      </c>
      <c r="H926" s="2" t="str">
        <f>VLOOKUP(A926,'TB April'!A:H,8,0)</f>
        <v>Not Applicable</v>
      </c>
    </row>
    <row r="927" spans="1:8" hidden="1">
      <c r="A927" s="62" t="s">
        <v>915</v>
      </c>
      <c r="B927" s="78"/>
      <c r="C927" s="78"/>
      <c r="D927" s="78"/>
      <c r="E927" s="78"/>
      <c r="F927" s="42">
        <v>0</v>
      </c>
      <c r="G927" s="42">
        <f t="shared" si="14"/>
        <v>0</v>
      </c>
      <c r="H927" s="2" t="str">
        <f>VLOOKUP(A927,'TB April'!A:H,8,0)</f>
        <v>Not Applicable</v>
      </c>
    </row>
    <row r="928" spans="1:8" hidden="1">
      <c r="A928" s="62" t="s">
        <v>589</v>
      </c>
      <c r="B928" s="78"/>
      <c r="C928" s="78"/>
      <c r="D928" s="78"/>
      <c r="E928" s="78"/>
      <c r="F928" s="42">
        <v>0</v>
      </c>
      <c r="G928" s="42">
        <f t="shared" si="14"/>
        <v>0</v>
      </c>
      <c r="H928" s="2" t="str">
        <f>VLOOKUP(A928,'TB April'!A:H,8,0)</f>
        <v>Not Applicable</v>
      </c>
    </row>
    <row r="929" spans="1:8" hidden="1">
      <c r="A929" s="62" t="s">
        <v>590</v>
      </c>
      <c r="B929" s="78"/>
      <c r="C929" s="78"/>
      <c r="D929" s="78">
        <v>318600</v>
      </c>
      <c r="E929" s="78">
        <v>-318600</v>
      </c>
      <c r="F929" s="42">
        <v>0</v>
      </c>
      <c r="G929" s="42">
        <f t="shared" si="14"/>
        <v>-318600</v>
      </c>
      <c r="H929" s="2" t="str">
        <f>VLOOKUP(A929,'TB April'!A:H,8,0)</f>
        <v>Not Applicable</v>
      </c>
    </row>
    <row r="930" spans="1:8" hidden="1">
      <c r="A930" s="62" t="s">
        <v>1018</v>
      </c>
      <c r="B930" s="78">
        <v>-30000</v>
      </c>
      <c r="C930" s="78"/>
      <c r="D930" s="78"/>
      <c r="E930" s="78">
        <v>-30000</v>
      </c>
      <c r="F930" s="42">
        <v>0</v>
      </c>
      <c r="G930" s="42">
        <f t="shared" si="14"/>
        <v>-30000</v>
      </c>
      <c r="H930" s="2" t="str">
        <f>VLOOKUP(A930,'TB April'!A:H,8,0)</f>
        <v>Not Applicable</v>
      </c>
    </row>
    <row r="931" spans="1:8" hidden="1">
      <c r="A931" s="62" t="s">
        <v>583</v>
      </c>
      <c r="B931" s="78">
        <v>40000</v>
      </c>
      <c r="C931" s="78"/>
      <c r="D931" s="78"/>
      <c r="E931" s="78">
        <v>40000</v>
      </c>
      <c r="F931" s="42">
        <v>0</v>
      </c>
      <c r="G931" s="42">
        <f t="shared" si="14"/>
        <v>40000</v>
      </c>
      <c r="H931" s="2" t="str">
        <f>VLOOKUP(A931,'TB April'!A:H,8,0)</f>
        <v>Not Applicable</v>
      </c>
    </row>
    <row r="932" spans="1:8" hidden="1">
      <c r="A932" s="62" t="s">
        <v>1380</v>
      </c>
      <c r="B932" s="78"/>
      <c r="C932" s="78"/>
      <c r="D932" s="78"/>
      <c r="E932" s="78"/>
      <c r="F932" s="42">
        <v>0</v>
      </c>
      <c r="G932" s="42">
        <f t="shared" si="14"/>
        <v>0</v>
      </c>
      <c r="H932" s="2" t="str">
        <f>VLOOKUP(A932,'TB April'!A:H,8,0)</f>
        <v>Not Applicable</v>
      </c>
    </row>
    <row r="933" spans="1:8" hidden="1">
      <c r="A933" s="62" t="s">
        <v>582</v>
      </c>
      <c r="B933" s="78"/>
      <c r="C933" s="78">
        <v>242000</v>
      </c>
      <c r="D933" s="78">
        <v>242000</v>
      </c>
      <c r="E933" s="78"/>
      <c r="F933" s="42">
        <v>0</v>
      </c>
      <c r="G933" s="42">
        <f t="shared" si="14"/>
        <v>0</v>
      </c>
      <c r="H933" s="2" t="str">
        <f>VLOOKUP(A933,'TB April'!A:H,8,0)</f>
        <v>Not Applicable</v>
      </c>
    </row>
    <row r="934" spans="1:8" hidden="1">
      <c r="A934" s="62" t="s">
        <v>571</v>
      </c>
      <c r="B934" s="78">
        <v>-739687.61</v>
      </c>
      <c r="C934" s="78">
        <v>853317.23</v>
      </c>
      <c r="D934" s="78">
        <v>367302</v>
      </c>
      <c r="E934" s="78">
        <v>-253672.38</v>
      </c>
      <c r="F934" s="42">
        <v>0</v>
      </c>
      <c r="G934" s="42">
        <f t="shared" si="14"/>
        <v>-253672.38</v>
      </c>
      <c r="H934" s="2" t="str">
        <f>VLOOKUP(A934,'TB April'!A:H,8,0)</f>
        <v>Not Applicable</v>
      </c>
    </row>
    <row r="935" spans="1:8" hidden="1">
      <c r="A935" s="62" t="s">
        <v>573</v>
      </c>
      <c r="B935" s="78">
        <v>-528463</v>
      </c>
      <c r="C935" s="78">
        <v>949444</v>
      </c>
      <c r="D935" s="78">
        <v>391869</v>
      </c>
      <c r="E935" s="78">
        <v>29112</v>
      </c>
      <c r="F935" s="42">
        <v>0</v>
      </c>
      <c r="G935" s="42">
        <f t="shared" si="14"/>
        <v>29112</v>
      </c>
      <c r="H935" s="2" t="str">
        <f>VLOOKUP(A935,'TB April'!A:H,8,0)</f>
        <v>Not Applicable</v>
      </c>
    </row>
    <row r="936" spans="1:8" hidden="1">
      <c r="A936" s="62" t="s">
        <v>871</v>
      </c>
      <c r="B936" s="78"/>
      <c r="C936" s="78">
        <v>61000</v>
      </c>
      <c r="D936" s="78">
        <v>61000</v>
      </c>
      <c r="E936" s="78"/>
      <c r="F936" s="42">
        <v>0</v>
      </c>
      <c r="G936" s="42">
        <f t="shared" si="14"/>
        <v>0</v>
      </c>
      <c r="H936" s="2" t="str">
        <f>VLOOKUP(A936,'TB April'!A:H,8,0)</f>
        <v>Not Applicable</v>
      </c>
    </row>
    <row r="937" spans="1:8" hidden="1">
      <c r="A937" s="62" t="s">
        <v>551</v>
      </c>
      <c r="B937" s="78">
        <v>-14160</v>
      </c>
      <c r="C937" s="78">
        <v>21240</v>
      </c>
      <c r="D937" s="78">
        <v>14160</v>
      </c>
      <c r="E937" s="78">
        <v>-7080</v>
      </c>
      <c r="F937" s="42">
        <v>0</v>
      </c>
      <c r="G937" s="42">
        <f t="shared" si="14"/>
        <v>-7080</v>
      </c>
      <c r="H937" s="2" t="str">
        <f>VLOOKUP(A937,'TB April'!A:H,8,0)</f>
        <v>Not Applicable</v>
      </c>
    </row>
    <row r="938" spans="1:8" hidden="1">
      <c r="A938" s="62" t="s">
        <v>1227</v>
      </c>
      <c r="B938" s="78"/>
      <c r="C938" s="78">
        <v>100000</v>
      </c>
      <c r="D938" s="78"/>
      <c r="E938" s="78">
        <v>100000</v>
      </c>
      <c r="F938" s="42">
        <v>0</v>
      </c>
      <c r="G938" s="42">
        <f t="shared" si="14"/>
        <v>100000</v>
      </c>
      <c r="H938" s="2" t="s">
        <v>84</v>
      </c>
    </row>
    <row r="939" spans="1:8" hidden="1">
      <c r="A939" s="62" t="s">
        <v>1272</v>
      </c>
      <c r="B939" s="78"/>
      <c r="C939" s="78">
        <v>224400</v>
      </c>
      <c r="D939" s="78">
        <v>224400</v>
      </c>
      <c r="E939" s="78"/>
      <c r="F939" s="42">
        <v>0</v>
      </c>
      <c r="G939" s="42">
        <f t="shared" si="14"/>
        <v>0</v>
      </c>
      <c r="H939" s="2" t="str">
        <f>VLOOKUP(A939,'TB April'!A:H,8,0)</f>
        <v>Not Applicable</v>
      </c>
    </row>
    <row r="940" spans="1:8" hidden="1">
      <c r="A940" s="62" t="s">
        <v>981</v>
      </c>
      <c r="B940" s="78"/>
      <c r="C940" s="78">
        <v>150857</v>
      </c>
      <c r="D940" s="78">
        <v>150857</v>
      </c>
      <c r="E940" s="78"/>
      <c r="F940" s="42">
        <v>0</v>
      </c>
      <c r="G940" s="42">
        <f t="shared" si="14"/>
        <v>0</v>
      </c>
      <c r="H940" s="2" t="str">
        <f>VLOOKUP(A940,'TB April'!A:H,8,0)</f>
        <v>Not Applicable</v>
      </c>
    </row>
    <row r="941" spans="1:8" hidden="1">
      <c r="A941" s="62" t="s">
        <v>556</v>
      </c>
      <c r="B941" s="78"/>
      <c r="C941" s="78"/>
      <c r="D941" s="78"/>
      <c r="E941" s="78"/>
      <c r="F941" s="42">
        <v>0</v>
      </c>
      <c r="G941" s="42">
        <f t="shared" si="14"/>
        <v>0</v>
      </c>
      <c r="H941" s="2" t="str">
        <f>VLOOKUP(A941,'TB April'!A:H,8,0)</f>
        <v>Not Applicable</v>
      </c>
    </row>
    <row r="942" spans="1:8" hidden="1">
      <c r="A942" s="62" t="s">
        <v>1201</v>
      </c>
      <c r="B942" s="78">
        <v>-213150</v>
      </c>
      <c r="C942" s="78">
        <v>219555</v>
      </c>
      <c r="D942" s="78">
        <v>377895</v>
      </c>
      <c r="E942" s="78">
        <v>-371490</v>
      </c>
      <c r="F942" s="42">
        <v>0</v>
      </c>
      <c r="G942" s="42">
        <f t="shared" si="14"/>
        <v>-371490</v>
      </c>
      <c r="H942" s="2" t="str">
        <f>VLOOKUP(A942,'TB April'!A:H,8,0)</f>
        <v>Not Applicable</v>
      </c>
    </row>
    <row r="943" spans="1:8" hidden="1">
      <c r="A943" s="62" t="s">
        <v>1026</v>
      </c>
      <c r="B943" s="78">
        <v>-291160</v>
      </c>
      <c r="C943" s="78">
        <v>1900</v>
      </c>
      <c r="D943" s="78">
        <v>112100</v>
      </c>
      <c r="E943" s="78">
        <v>-401360</v>
      </c>
      <c r="F943" s="42">
        <v>0</v>
      </c>
      <c r="G943" s="42">
        <f t="shared" si="14"/>
        <v>-401360</v>
      </c>
      <c r="H943" s="2" t="str">
        <f>VLOOKUP(A943,'TB April'!A:H,8,0)</f>
        <v>Not Applicable</v>
      </c>
    </row>
    <row r="944" spans="1:8" hidden="1">
      <c r="A944" s="62" t="s">
        <v>547</v>
      </c>
      <c r="B944" s="78"/>
      <c r="C944" s="78"/>
      <c r="D944" s="78"/>
      <c r="E944" s="78"/>
      <c r="F944" s="42">
        <v>0</v>
      </c>
      <c r="G944" s="42">
        <f t="shared" si="14"/>
        <v>0</v>
      </c>
      <c r="H944" s="2" t="str">
        <f>VLOOKUP(A944,'TB April'!A:H,8,0)</f>
        <v>Not Applicable</v>
      </c>
    </row>
    <row r="945" spans="1:8" hidden="1">
      <c r="A945" s="62" t="s">
        <v>544</v>
      </c>
      <c r="B945" s="78">
        <v>-1598622.79</v>
      </c>
      <c r="C945" s="78">
        <v>4190968</v>
      </c>
      <c r="D945" s="78">
        <v>1747364</v>
      </c>
      <c r="E945" s="78">
        <v>844981.21</v>
      </c>
      <c r="F945" s="42">
        <v>0</v>
      </c>
      <c r="G945" s="42">
        <f t="shared" si="14"/>
        <v>844981.21</v>
      </c>
      <c r="H945" s="2" t="str">
        <f>VLOOKUP(A945,'TB April'!A:H,8,0)</f>
        <v>Not Applicable</v>
      </c>
    </row>
    <row r="946" spans="1:8" hidden="1">
      <c r="A946" s="62" t="s">
        <v>540</v>
      </c>
      <c r="B946" s="78"/>
      <c r="C946" s="78"/>
      <c r="D946" s="78"/>
      <c r="E946" s="78"/>
      <c r="F946" s="42">
        <v>0</v>
      </c>
      <c r="G946" s="42">
        <f t="shared" si="14"/>
        <v>0</v>
      </c>
      <c r="H946" s="2" t="str">
        <f>VLOOKUP(A946,'TB April'!A:H,8,0)</f>
        <v>Not Applicable</v>
      </c>
    </row>
    <row r="947" spans="1:8" hidden="1">
      <c r="A947" s="62" t="s">
        <v>533</v>
      </c>
      <c r="B947" s="78">
        <v>-5775</v>
      </c>
      <c r="C947" s="78">
        <v>82400</v>
      </c>
      <c r="D947" s="78">
        <v>82400</v>
      </c>
      <c r="E947" s="78">
        <v>-5775</v>
      </c>
      <c r="F947" s="42">
        <v>0</v>
      </c>
      <c r="G947" s="42">
        <f t="shared" si="14"/>
        <v>-5775</v>
      </c>
      <c r="H947" s="2" t="str">
        <f>VLOOKUP(A947,'TB April'!A:H,8,0)</f>
        <v>Not Applicable</v>
      </c>
    </row>
    <row r="948" spans="1:8" hidden="1">
      <c r="A948" s="62" t="s">
        <v>534</v>
      </c>
      <c r="B948" s="78">
        <v>-15</v>
      </c>
      <c r="C948" s="78"/>
      <c r="D948" s="78"/>
      <c r="E948" s="78">
        <v>-15</v>
      </c>
      <c r="F948" s="42">
        <v>0</v>
      </c>
      <c r="G948" s="42">
        <f t="shared" si="14"/>
        <v>-15</v>
      </c>
      <c r="H948" s="2" t="str">
        <f>VLOOKUP(A948,'TB April'!A:H,8,0)</f>
        <v>Not Applicable</v>
      </c>
    </row>
    <row r="949" spans="1:8" hidden="1">
      <c r="A949" s="62" t="s">
        <v>535</v>
      </c>
      <c r="B949" s="78">
        <v>-19958</v>
      </c>
      <c r="C949" s="78"/>
      <c r="D949" s="78"/>
      <c r="E949" s="78">
        <v>-19958</v>
      </c>
      <c r="F949" s="42">
        <v>0</v>
      </c>
      <c r="G949" s="42">
        <f t="shared" si="14"/>
        <v>-19958</v>
      </c>
      <c r="H949" s="2" t="str">
        <f>VLOOKUP(A949,'TB April'!A:H,8,0)</f>
        <v>Not Applicable</v>
      </c>
    </row>
    <row r="950" spans="1:8" hidden="1">
      <c r="A950" s="62" t="s">
        <v>1171</v>
      </c>
      <c r="B950" s="78"/>
      <c r="C950" s="78">
        <v>54398</v>
      </c>
      <c r="D950" s="78">
        <v>54398</v>
      </c>
      <c r="E950" s="78"/>
      <c r="F950" s="42">
        <v>0</v>
      </c>
      <c r="G950" s="42">
        <f t="shared" si="14"/>
        <v>0</v>
      </c>
      <c r="H950" s="2" t="str">
        <f>VLOOKUP(A950,'TB April'!A:H,8,0)</f>
        <v>Not Applicable</v>
      </c>
    </row>
    <row r="951" spans="1:8" hidden="1">
      <c r="A951" s="62" t="s">
        <v>525</v>
      </c>
      <c r="B951" s="78">
        <v>-110312</v>
      </c>
      <c r="C951" s="78">
        <v>101312</v>
      </c>
      <c r="D951" s="78"/>
      <c r="E951" s="78">
        <v>-9000</v>
      </c>
      <c r="F951" s="42">
        <v>0</v>
      </c>
      <c r="G951" s="42">
        <f t="shared" si="14"/>
        <v>-9000</v>
      </c>
      <c r="H951" s="2" t="str">
        <f>VLOOKUP(A951,'TB April'!A:H,8,0)</f>
        <v>Not Applicable</v>
      </c>
    </row>
    <row r="952" spans="1:8" hidden="1">
      <c r="A952" s="62" t="s">
        <v>1203</v>
      </c>
      <c r="B952" s="78">
        <v>1</v>
      </c>
      <c r="C952" s="78"/>
      <c r="D952" s="78"/>
      <c r="E952" s="78">
        <v>1</v>
      </c>
      <c r="F952" s="42">
        <v>0</v>
      </c>
      <c r="G952" s="42">
        <f t="shared" si="14"/>
        <v>1</v>
      </c>
      <c r="H952" s="2" t="str">
        <f>VLOOKUP(A952,'TB April'!A:H,8,0)</f>
        <v>Not Applicable</v>
      </c>
    </row>
    <row r="953" spans="1:8" hidden="1">
      <c r="A953" s="62" t="s">
        <v>509</v>
      </c>
      <c r="B953" s="78">
        <v>0.5</v>
      </c>
      <c r="C953" s="78"/>
      <c r="D953" s="78"/>
      <c r="E953" s="78">
        <v>0.5</v>
      </c>
      <c r="F953" s="42">
        <v>0</v>
      </c>
      <c r="G953" s="42">
        <f t="shared" si="14"/>
        <v>0.5</v>
      </c>
      <c r="H953" s="2" t="str">
        <f>VLOOKUP(A953,'TB April'!A:H,8,0)</f>
        <v>Not Applicable</v>
      </c>
    </row>
    <row r="954" spans="1:8" hidden="1">
      <c r="A954" s="62" t="s">
        <v>1137</v>
      </c>
      <c r="B954" s="78">
        <v>-143516</v>
      </c>
      <c r="C954" s="78">
        <v>251751</v>
      </c>
      <c r="D954" s="78">
        <v>108235</v>
      </c>
      <c r="E954" s="78"/>
      <c r="F954" s="42">
        <v>0</v>
      </c>
      <c r="G954" s="42">
        <f t="shared" si="14"/>
        <v>0</v>
      </c>
      <c r="H954" s="2" t="str">
        <f>VLOOKUP(A954,'TB April'!A:H,8,0)</f>
        <v>Not Applicable</v>
      </c>
    </row>
    <row r="955" spans="1:8" hidden="1">
      <c r="A955" s="62" t="s">
        <v>1346</v>
      </c>
      <c r="B955" s="78"/>
      <c r="C955" s="78">
        <v>76400</v>
      </c>
      <c r="D955" s="78">
        <v>76400</v>
      </c>
      <c r="E955" s="78"/>
      <c r="F955" s="42">
        <v>0</v>
      </c>
      <c r="G955" s="42">
        <f t="shared" si="14"/>
        <v>0</v>
      </c>
      <c r="H955" s="2" t="str">
        <f>VLOOKUP(A955,'TB April'!A:H,8,0)</f>
        <v>Not Applicable</v>
      </c>
    </row>
    <row r="956" spans="1:8" hidden="1">
      <c r="A956" s="62" t="s">
        <v>1204</v>
      </c>
      <c r="B956" s="78"/>
      <c r="C956" s="78">
        <v>64400</v>
      </c>
      <c r="D956" s="78">
        <v>64400</v>
      </c>
      <c r="E956" s="78"/>
      <c r="F956" s="42">
        <v>0</v>
      </c>
      <c r="G956" s="42">
        <f t="shared" si="14"/>
        <v>0</v>
      </c>
      <c r="H956" s="2" t="str">
        <f>VLOOKUP(A956,'TB April'!A:H,8,0)</f>
        <v>Not Applicable</v>
      </c>
    </row>
    <row r="957" spans="1:8" hidden="1">
      <c r="A957" s="62" t="s">
        <v>1025</v>
      </c>
      <c r="B957" s="78">
        <v>-61234</v>
      </c>
      <c r="C957" s="78">
        <v>92464</v>
      </c>
      <c r="D957" s="78">
        <v>53020</v>
      </c>
      <c r="E957" s="78">
        <v>-21790</v>
      </c>
      <c r="F957" s="42">
        <v>0</v>
      </c>
      <c r="G957" s="42">
        <f t="shared" si="14"/>
        <v>-21790</v>
      </c>
      <c r="H957" s="2" t="str">
        <f>VLOOKUP(A957,'TB April'!A:H,8,0)</f>
        <v>Not Applicable</v>
      </c>
    </row>
    <row r="958" spans="1:8" hidden="1">
      <c r="A958" s="62" t="s">
        <v>1539</v>
      </c>
      <c r="B958" s="78"/>
      <c r="C958" s="78">
        <v>226130</v>
      </c>
      <c r="D958" s="78">
        <v>226130</v>
      </c>
      <c r="E958" s="78"/>
      <c r="F958" s="42">
        <v>0</v>
      </c>
      <c r="G958" s="42">
        <f t="shared" si="14"/>
        <v>0</v>
      </c>
      <c r="H958" s="2" t="s">
        <v>84</v>
      </c>
    </row>
    <row r="959" spans="1:8" hidden="1">
      <c r="A959" s="62" t="s">
        <v>477</v>
      </c>
      <c r="B959" s="78"/>
      <c r="C959" s="78">
        <v>45000</v>
      </c>
      <c r="D959" s="78">
        <v>45000</v>
      </c>
      <c r="E959" s="78"/>
      <c r="F959" s="42">
        <v>0</v>
      </c>
      <c r="G959" s="42">
        <f t="shared" si="14"/>
        <v>0</v>
      </c>
      <c r="H959" s="2" t="str">
        <f>VLOOKUP(A959,'TB April'!A:H,8,0)</f>
        <v>Not Applicable</v>
      </c>
    </row>
    <row r="960" spans="1:8" hidden="1">
      <c r="A960" s="62" t="s">
        <v>465</v>
      </c>
      <c r="B960" s="78">
        <v>90000</v>
      </c>
      <c r="C960" s="78"/>
      <c r="D960" s="78"/>
      <c r="E960" s="78">
        <v>90000</v>
      </c>
      <c r="F960" s="42">
        <v>0</v>
      </c>
      <c r="G960" s="42">
        <f t="shared" si="14"/>
        <v>90000</v>
      </c>
      <c r="H960" s="2" t="str">
        <f>VLOOKUP(A960,'TB April'!A:H,8,0)</f>
        <v>Not Applicable</v>
      </c>
    </row>
    <row r="961" spans="1:8" hidden="1">
      <c r="A961" s="62" t="s">
        <v>469</v>
      </c>
      <c r="B961" s="78">
        <v>-19750</v>
      </c>
      <c r="C961" s="78"/>
      <c r="D961" s="78"/>
      <c r="E961" s="78">
        <v>-19750</v>
      </c>
      <c r="F961" s="42">
        <v>0</v>
      </c>
      <c r="G961" s="42">
        <f t="shared" si="14"/>
        <v>-19750</v>
      </c>
      <c r="H961" s="2" t="str">
        <f>VLOOKUP(A961,'TB April'!A:H,8,0)</f>
        <v>Not Applicable</v>
      </c>
    </row>
    <row r="962" spans="1:8" hidden="1">
      <c r="A962" s="62" t="s">
        <v>1324</v>
      </c>
      <c r="B962" s="78"/>
      <c r="C962" s="78"/>
      <c r="D962" s="78"/>
      <c r="E962" s="78"/>
      <c r="F962" s="42">
        <v>0</v>
      </c>
      <c r="G962" s="42">
        <f t="shared" si="14"/>
        <v>0</v>
      </c>
      <c r="H962" s="2" t="s">
        <v>84</v>
      </c>
    </row>
    <row r="963" spans="1:8" hidden="1">
      <c r="A963" s="62" t="s">
        <v>471</v>
      </c>
      <c r="B963" s="78">
        <v>-32040.76</v>
      </c>
      <c r="C963" s="78"/>
      <c r="D963" s="78"/>
      <c r="E963" s="78">
        <v>-32040.76</v>
      </c>
      <c r="F963" s="42">
        <v>0</v>
      </c>
      <c r="G963" s="42">
        <f t="shared" si="14"/>
        <v>-32040.76</v>
      </c>
      <c r="H963" s="2" t="str">
        <f>VLOOKUP(A963,'TB April'!A:H,8,0)</f>
        <v>Not Applicable</v>
      </c>
    </row>
    <row r="964" spans="1:8" hidden="1">
      <c r="A964" s="62" t="s">
        <v>472</v>
      </c>
      <c r="B964" s="78">
        <v>-31962</v>
      </c>
      <c r="C964" s="78">
        <v>98895</v>
      </c>
      <c r="D964" s="78">
        <v>66933</v>
      </c>
      <c r="E964" s="78"/>
      <c r="F964" s="42">
        <v>0</v>
      </c>
      <c r="G964" s="42">
        <f t="shared" si="14"/>
        <v>0</v>
      </c>
      <c r="H964" s="2" t="str">
        <f>VLOOKUP(A964,'TB April'!A:H,8,0)</f>
        <v>Not Applicable</v>
      </c>
    </row>
    <row r="965" spans="1:8" hidden="1">
      <c r="A965" s="62" t="s">
        <v>464</v>
      </c>
      <c r="B965" s="78">
        <v>-0.24</v>
      </c>
      <c r="C965" s="78">
        <v>2114</v>
      </c>
      <c r="D965" s="78"/>
      <c r="E965" s="78">
        <v>2113.7600000000002</v>
      </c>
      <c r="F965" s="42">
        <v>0</v>
      </c>
      <c r="G965" s="42">
        <f t="shared" si="14"/>
        <v>2113.7600000000002</v>
      </c>
      <c r="H965" s="2" t="str">
        <f>VLOOKUP(A965,'TB April'!A:H,8,0)</f>
        <v>Not Applicable</v>
      </c>
    </row>
    <row r="966" spans="1:8" hidden="1">
      <c r="A966" s="62" t="s">
        <v>1206</v>
      </c>
      <c r="B966" s="78">
        <v>-0.38</v>
      </c>
      <c r="C966" s="78"/>
      <c r="D966" s="78"/>
      <c r="E966" s="78">
        <v>-0.38</v>
      </c>
      <c r="F966" s="42">
        <v>0</v>
      </c>
      <c r="G966" s="42">
        <f t="shared" ref="G966:G1029" si="15">+E966+F966</f>
        <v>-0.38</v>
      </c>
      <c r="H966" s="2" t="str">
        <f>VLOOKUP(A966,'TB April'!A:H,8,0)</f>
        <v>Not Applicable</v>
      </c>
    </row>
    <row r="967" spans="1:8" hidden="1">
      <c r="A967" s="62" t="s">
        <v>1172</v>
      </c>
      <c r="B967" s="78">
        <v>-9769</v>
      </c>
      <c r="C967" s="78">
        <v>19622</v>
      </c>
      <c r="D967" s="78">
        <v>9853</v>
      </c>
      <c r="E967" s="78"/>
      <c r="F967" s="42">
        <v>0</v>
      </c>
      <c r="G967" s="42">
        <f t="shared" si="15"/>
        <v>0</v>
      </c>
      <c r="H967" s="2" t="str">
        <f>VLOOKUP(A967,'TB April'!A:H,8,0)</f>
        <v>Not Applicable</v>
      </c>
    </row>
    <row r="968" spans="1:8" hidden="1">
      <c r="A968" s="62" t="s">
        <v>456</v>
      </c>
      <c r="B968" s="78"/>
      <c r="C968" s="78">
        <v>87400</v>
      </c>
      <c r="D968" s="78">
        <v>87400</v>
      </c>
      <c r="E968" s="78"/>
      <c r="F968" s="42">
        <v>0</v>
      </c>
      <c r="G968" s="42">
        <f t="shared" si="15"/>
        <v>0</v>
      </c>
      <c r="H968" s="2" t="str">
        <f>VLOOKUP(A968,'TB April'!A:H,8,0)</f>
        <v>Not Applicable</v>
      </c>
    </row>
    <row r="969" spans="1:8" hidden="1">
      <c r="A969" s="62" t="s">
        <v>447</v>
      </c>
      <c r="B969" s="78">
        <v>-573637.34</v>
      </c>
      <c r="C969" s="78">
        <v>893722</v>
      </c>
      <c r="D969" s="78">
        <v>297980</v>
      </c>
      <c r="E969" s="78">
        <v>22104.66</v>
      </c>
      <c r="F969" s="42">
        <v>0</v>
      </c>
      <c r="G969" s="42">
        <f t="shared" si="15"/>
        <v>22104.66</v>
      </c>
      <c r="H969" s="2" t="str">
        <f>VLOOKUP(A969,'TB April'!A:H,8,0)</f>
        <v>Not Applicable</v>
      </c>
    </row>
    <row r="970" spans="1:8" hidden="1">
      <c r="A970" s="62" t="s">
        <v>436</v>
      </c>
      <c r="B970" s="78">
        <v>-218</v>
      </c>
      <c r="C970" s="78"/>
      <c r="D970" s="78"/>
      <c r="E970" s="78">
        <v>-218</v>
      </c>
      <c r="F970" s="42">
        <v>0</v>
      </c>
      <c r="G970" s="42">
        <f t="shared" si="15"/>
        <v>-218</v>
      </c>
      <c r="H970" s="2" t="str">
        <f>VLOOKUP(A970,'TB April'!A:H,8,0)</f>
        <v>Not Applicable</v>
      </c>
    </row>
    <row r="971" spans="1:8" hidden="1">
      <c r="A971" s="62" t="s">
        <v>1207</v>
      </c>
      <c r="B971" s="78">
        <v>68</v>
      </c>
      <c r="C971" s="78"/>
      <c r="D971" s="78"/>
      <c r="E971" s="78">
        <v>68</v>
      </c>
      <c r="F971" s="42">
        <v>0</v>
      </c>
      <c r="G971" s="42">
        <f t="shared" si="15"/>
        <v>68</v>
      </c>
      <c r="H971" s="2" t="str">
        <f>VLOOKUP(A971,'TB April'!A:H,8,0)</f>
        <v>Not Applicable</v>
      </c>
    </row>
    <row r="972" spans="1:8" hidden="1">
      <c r="A972" s="62" t="s">
        <v>1274</v>
      </c>
      <c r="B972" s="78">
        <v>-499</v>
      </c>
      <c r="C972" s="78">
        <v>2589</v>
      </c>
      <c r="D972" s="78">
        <v>2850</v>
      </c>
      <c r="E972" s="78">
        <v>-760</v>
      </c>
      <c r="F972" s="42">
        <v>0</v>
      </c>
      <c r="G972" s="42">
        <f t="shared" si="15"/>
        <v>-760</v>
      </c>
      <c r="H972" s="2" t="str">
        <f>VLOOKUP(A972,'TB April'!A:H,8,0)</f>
        <v>Not Applicable</v>
      </c>
    </row>
    <row r="973" spans="1:8" hidden="1">
      <c r="A973" s="62" t="s">
        <v>426</v>
      </c>
      <c r="B973" s="78">
        <v>-31669</v>
      </c>
      <c r="C973" s="78">
        <v>11817</v>
      </c>
      <c r="D973" s="78"/>
      <c r="E973" s="78">
        <v>-19852</v>
      </c>
      <c r="F973" s="42">
        <v>0</v>
      </c>
      <c r="G973" s="42">
        <f t="shared" si="15"/>
        <v>-19852</v>
      </c>
      <c r="H973" s="2" t="str">
        <f>VLOOKUP(A973,'TB April'!A:H,8,0)</f>
        <v>Not Applicable</v>
      </c>
    </row>
    <row r="974" spans="1:8" hidden="1">
      <c r="A974" s="62" t="s">
        <v>428</v>
      </c>
      <c r="B974" s="78"/>
      <c r="C974" s="78">
        <v>19500</v>
      </c>
      <c r="D974" s="78">
        <v>19500</v>
      </c>
      <c r="E974" s="78"/>
      <c r="F974" s="42">
        <v>0</v>
      </c>
      <c r="G974" s="42">
        <f t="shared" si="15"/>
        <v>0</v>
      </c>
      <c r="H974" s="2" t="str">
        <f>VLOOKUP(A974,'TB April'!A:H,8,0)</f>
        <v>Not Applicable</v>
      </c>
    </row>
    <row r="975" spans="1:8" hidden="1">
      <c r="A975" s="62" t="s">
        <v>924</v>
      </c>
      <c r="B975" s="78">
        <v>-2000</v>
      </c>
      <c r="C975" s="78">
        <v>51570</v>
      </c>
      <c r="D975" s="78">
        <v>51570</v>
      </c>
      <c r="E975" s="78">
        <v>-2000</v>
      </c>
      <c r="F975" s="42">
        <v>0</v>
      </c>
      <c r="G975" s="42">
        <f t="shared" si="15"/>
        <v>-2000</v>
      </c>
      <c r="H975" s="2" t="str">
        <f>VLOOKUP(A975,'TB April'!A:H,8,0)</f>
        <v>Not Applicable</v>
      </c>
    </row>
    <row r="976" spans="1:8" hidden="1">
      <c r="A976" s="62" t="s">
        <v>1092</v>
      </c>
      <c r="B976" s="78"/>
      <c r="C976" s="78"/>
      <c r="D976" s="78"/>
      <c r="E976" s="78"/>
      <c r="F976" s="42">
        <v>0</v>
      </c>
      <c r="G976" s="42">
        <f t="shared" si="15"/>
        <v>0</v>
      </c>
      <c r="H976" s="2" t="str">
        <f>VLOOKUP(A976,'TB April'!A:H,8,0)</f>
        <v>Not Applicable</v>
      </c>
    </row>
    <row r="977" spans="1:8" hidden="1">
      <c r="A977" s="62" t="s">
        <v>1381</v>
      </c>
      <c r="B977" s="78"/>
      <c r="C977" s="78"/>
      <c r="D977" s="78"/>
      <c r="E977" s="78"/>
      <c r="F977" s="42">
        <v>0</v>
      </c>
      <c r="G977" s="42">
        <f t="shared" si="15"/>
        <v>0</v>
      </c>
      <c r="H977" s="2" t="s">
        <v>84</v>
      </c>
    </row>
    <row r="978" spans="1:8" hidden="1">
      <c r="A978" s="62" t="s">
        <v>425</v>
      </c>
      <c r="B978" s="78">
        <v>-242915</v>
      </c>
      <c r="C978" s="78">
        <v>1113584</v>
      </c>
      <c r="D978" s="78">
        <v>999100</v>
      </c>
      <c r="E978" s="78">
        <v>-128431</v>
      </c>
      <c r="F978" s="42">
        <v>0</v>
      </c>
      <c r="G978" s="42">
        <f t="shared" si="15"/>
        <v>-128431</v>
      </c>
      <c r="H978" s="2" t="str">
        <f>VLOOKUP(A978,'TB April'!A:H,8,0)</f>
        <v>Not Applicable</v>
      </c>
    </row>
    <row r="979" spans="1:8" hidden="1">
      <c r="A979" s="62" t="s">
        <v>417</v>
      </c>
      <c r="B979" s="78">
        <v>-204507</v>
      </c>
      <c r="C979" s="78"/>
      <c r="D979" s="78"/>
      <c r="E979" s="78">
        <v>-204507</v>
      </c>
      <c r="F979" s="42">
        <v>0</v>
      </c>
      <c r="G979" s="42">
        <f t="shared" si="15"/>
        <v>-204507</v>
      </c>
      <c r="H979" s="2" t="str">
        <f>VLOOKUP(A979,'TB April'!A:H,8,0)</f>
        <v>Not Applicable</v>
      </c>
    </row>
    <row r="980" spans="1:8" hidden="1">
      <c r="A980" s="62" t="s">
        <v>885</v>
      </c>
      <c r="B980" s="78"/>
      <c r="C980" s="78">
        <v>5663</v>
      </c>
      <c r="D980" s="78">
        <v>334069</v>
      </c>
      <c r="E980" s="78">
        <v>-328406</v>
      </c>
      <c r="F980" s="42">
        <v>0</v>
      </c>
      <c r="G980" s="42">
        <f t="shared" si="15"/>
        <v>-328406</v>
      </c>
      <c r="H980" s="2" t="s">
        <v>84</v>
      </c>
    </row>
    <row r="981" spans="1:8" hidden="1">
      <c r="A981" s="62" t="s">
        <v>1229</v>
      </c>
      <c r="B981" s="78"/>
      <c r="C981" s="78">
        <v>116923</v>
      </c>
      <c r="D981" s="78">
        <v>116923</v>
      </c>
      <c r="E981" s="78"/>
      <c r="F981" s="42">
        <v>0</v>
      </c>
      <c r="G981" s="42">
        <f t="shared" si="15"/>
        <v>0</v>
      </c>
      <c r="H981" s="2" t="str">
        <f>VLOOKUP(A981,'TB April'!A:H,8,0)</f>
        <v>Not Applicable</v>
      </c>
    </row>
    <row r="982" spans="1:8" hidden="1">
      <c r="A982" s="62" t="s">
        <v>1012</v>
      </c>
      <c r="B982" s="78">
        <v>-0.93</v>
      </c>
      <c r="C982" s="78">
        <v>178539</v>
      </c>
      <c r="D982" s="78">
        <v>178539</v>
      </c>
      <c r="E982" s="78">
        <v>-0.93</v>
      </c>
      <c r="F982" s="42">
        <v>0</v>
      </c>
      <c r="G982" s="42">
        <f t="shared" si="15"/>
        <v>-0.93</v>
      </c>
      <c r="H982" s="2" t="str">
        <f>VLOOKUP(A982,'TB April'!A:H,8,0)</f>
        <v>Not Applicable</v>
      </c>
    </row>
    <row r="983" spans="1:8" hidden="1">
      <c r="A983" s="62" t="s">
        <v>403</v>
      </c>
      <c r="B983" s="78">
        <v>-19994</v>
      </c>
      <c r="C983" s="78"/>
      <c r="D983" s="78"/>
      <c r="E983" s="78">
        <v>-19994</v>
      </c>
      <c r="F983" s="42">
        <v>0</v>
      </c>
      <c r="G983" s="42">
        <f t="shared" si="15"/>
        <v>-19994</v>
      </c>
      <c r="H983" s="2" t="str">
        <f>VLOOKUP(A983,'TB April'!A:H,8,0)</f>
        <v>Not Applicable</v>
      </c>
    </row>
    <row r="984" spans="1:8" hidden="1">
      <c r="A984" s="62" t="s">
        <v>393</v>
      </c>
      <c r="B984" s="78">
        <v>-2631534.48</v>
      </c>
      <c r="C984" s="78">
        <v>4386750</v>
      </c>
      <c r="D984" s="78">
        <v>1621458</v>
      </c>
      <c r="E984" s="78">
        <v>133757.51999999999</v>
      </c>
      <c r="F984" s="42">
        <v>0</v>
      </c>
      <c r="G984" s="42">
        <f t="shared" si="15"/>
        <v>133757.51999999999</v>
      </c>
      <c r="H984" s="2" t="str">
        <f>VLOOKUP(A984,'TB April'!A:H,8,0)</f>
        <v>Not Applicable</v>
      </c>
    </row>
    <row r="985" spans="1:8" hidden="1">
      <c r="A985" s="62" t="s">
        <v>1208</v>
      </c>
      <c r="B985" s="78">
        <v>-435305</v>
      </c>
      <c r="C985" s="78">
        <v>660995</v>
      </c>
      <c r="D985" s="78">
        <v>180014</v>
      </c>
      <c r="E985" s="78">
        <v>45676</v>
      </c>
      <c r="F985" s="42">
        <v>0</v>
      </c>
      <c r="G985" s="42">
        <f t="shared" si="15"/>
        <v>45676</v>
      </c>
      <c r="H985" s="2" t="str">
        <f>VLOOKUP(A985,'TB April'!A:H,8,0)</f>
        <v>Not Applicable</v>
      </c>
    </row>
    <row r="986" spans="1:8" hidden="1">
      <c r="A986" s="62" t="s">
        <v>1209</v>
      </c>
      <c r="B986" s="78">
        <v>128</v>
      </c>
      <c r="C986" s="78">
        <v>29155</v>
      </c>
      <c r="D986" s="78">
        <v>28910</v>
      </c>
      <c r="E986" s="78">
        <v>373</v>
      </c>
      <c r="F986" s="42">
        <v>0</v>
      </c>
      <c r="G986" s="42">
        <f t="shared" si="15"/>
        <v>373</v>
      </c>
      <c r="H986" s="2" t="str">
        <f>VLOOKUP(A986,'TB April'!A:H,8,0)</f>
        <v>Not Applicable</v>
      </c>
    </row>
    <row r="987" spans="1:8" hidden="1">
      <c r="A987" s="62" t="s">
        <v>376</v>
      </c>
      <c r="B987" s="78">
        <v>254386.12</v>
      </c>
      <c r="C987" s="78">
        <v>6169071</v>
      </c>
      <c r="D987" s="78">
        <v>6169070</v>
      </c>
      <c r="E987" s="78">
        <v>254387.12</v>
      </c>
      <c r="F987" s="42">
        <v>0</v>
      </c>
      <c r="G987" s="42">
        <f t="shared" si="15"/>
        <v>254387.12</v>
      </c>
      <c r="H987" s="2" t="str">
        <f>VLOOKUP(A987,'TB April'!A:H,8,0)</f>
        <v>Not Applicable</v>
      </c>
    </row>
    <row r="988" spans="1:8" hidden="1">
      <c r="A988" s="62" t="s">
        <v>906</v>
      </c>
      <c r="B988" s="78">
        <v>-1.66</v>
      </c>
      <c r="C988" s="78">
        <v>3538</v>
      </c>
      <c r="D988" s="78">
        <v>3537.84</v>
      </c>
      <c r="E988" s="78">
        <v>-1.5</v>
      </c>
      <c r="F988" s="42">
        <v>0</v>
      </c>
      <c r="G988" s="42">
        <f t="shared" si="15"/>
        <v>-1.5</v>
      </c>
      <c r="H988" s="2" t="str">
        <f>VLOOKUP(A988,'TB April'!A:H,8,0)</f>
        <v>Not Applicable</v>
      </c>
    </row>
    <row r="989" spans="1:8" hidden="1">
      <c r="A989" s="62" t="s">
        <v>1347</v>
      </c>
      <c r="B989" s="78"/>
      <c r="C989" s="78">
        <v>71600</v>
      </c>
      <c r="D989" s="78">
        <v>71600</v>
      </c>
      <c r="E989" s="78"/>
      <c r="F989" s="42">
        <v>0</v>
      </c>
      <c r="G989" s="42">
        <f t="shared" si="15"/>
        <v>0</v>
      </c>
      <c r="H989" s="2" t="str">
        <f>VLOOKUP(A989,'TB April'!A:H,8,0)</f>
        <v>Not Applicable</v>
      </c>
    </row>
    <row r="990" spans="1:8" hidden="1">
      <c r="A990" s="62" t="s">
        <v>379</v>
      </c>
      <c r="B990" s="78">
        <v>288419</v>
      </c>
      <c r="C990" s="78"/>
      <c r="D990" s="78"/>
      <c r="E990" s="78">
        <v>288419</v>
      </c>
      <c r="F990" s="42">
        <v>0</v>
      </c>
      <c r="G990" s="42">
        <f t="shared" si="15"/>
        <v>288419</v>
      </c>
      <c r="H990" s="2" t="str">
        <f>VLOOKUP(A990,'TB April'!A:H,8,0)</f>
        <v>Not Applicable</v>
      </c>
    </row>
    <row r="991" spans="1:8" hidden="1">
      <c r="A991" s="62" t="s">
        <v>1023</v>
      </c>
      <c r="B991" s="78"/>
      <c r="C991" s="78">
        <v>12386</v>
      </c>
      <c r="D991" s="78">
        <v>12386</v>
      </c>
      <c r="E991" s="78"/>
      <c r="F991" s="42">
        <v>0</v>
      </c>
      <c r="G991" s="42">
        <f t="shared" si="15"/>
        <v>0</v>
      </c>
      <c r="H991" s="2" t="s">
        <v>84</v>
      </c>
    </row>
    <row r="992" spans="1:8" hidden="1">
      <c r="A992" s="62" t="s">
        <v>1494</v>
      </c>
      <c r="B992" s="78"/>
      <c r="C992" s="78">
        <v>38000</v>
      </c>
      <c r="D992" s="78">
        <v>38000</v>
      </c>
      <c r="E992" s="78"/>
      <c r="F992" s="42">
        <v>0</v>
      </c>
      <c r="G992" s="42">
        <f t="shared" si="15"/>
        <v>0</v>
      </c>
      <c r="H992" s="2" t="str">
        <f>VLOOKUP(A992,'TB April'!A:H,8,0)</f>
        <v>Not Applicable</v>
      </c>
    </row>
    <row r="993" spans="1:8" hidden="1">
      <c r="A993" s="62" t="s">
        <v>1276</v>
      </c>
      <c r="B993" s="78"/>
      <c r="C993" s="78">
        <v>174500</v>
      </c>
      <c r="D993" s="78">
        <v>174500</v>
      </c>
      <c r="E993" s="78"/>
      <c r="F993" s="42">
        <v>0</v>
      </c>
      <c r="G993" s="42">
        <f t="shared" si="15"/>
        <v>0</v>
      </c>
      <c r="H993" s="2" t="str">
        <f>VLOOKUP(A993,'TB April'!A:H,8,0)</f>
        <v>Not Applicable</v>
      </c>
    </row>
    <row r="994" spans="1:8" hidden="1">
      <c r="A994" s="62" t="s">
        <v>373</v>
      </c>
      <c r="B994" s="78">
        <v>-514654.86</v>
      </c>
      <c r="C994" s="78">
        <v>1186871</v>
      </c>
      <c r="D994" s="78">
        <v>595960</v>
      </c>
      <c r="E994" s="78">
        <v>76256.14</v>
      </c>
      <c r="F994" s="42">
        <v>0</v>
      </c>
      <c r="G994" s="42">
        <f t="shared" si="15"/>
        <v>76256.14</v>
      </c>
      <c r="H994" s="2" t="str">
        <f>VLOOKUP(A994,'TB April'!A:H,8,0)</f>
        <v>Not Applicable</v>
      </c>
    </row>
    <row r="995" spans="1:8" hidden="1">
      <c r="A995" s="62" t="s">
        <v>374</v>
      </c>
      <c r="B995" s="78"/>
      <c r="C995" s="78">
        <v>24445</v>
      </c>
      <c r="D995" s="78">
        <v>24445</v>
      </c>
      <c r="E995" s="78"/>
      <c r="F995" s="42">
        <v>0</v>
      </c>
      <c r="G995" s="42">
        <f t="shared" si="15"/>
        <v>0</v>
      </c>
      <c r="H995" s="2" t="str">
        <f>VLOOKUP(A995,'TB April'!A:H,8,0)</f>
        <v>Not Applicable</v>
      </c>
    </row>
    <row r="996" spans="1:8" hidden="1">
      <c r="A996" s="62" t="s">
        <v>375</v>
      </c>
      <c r="B996" s="78">
        <v>0.37</v>
      </c>
      <c r="C996" s="78"/>
      <c r="D996" s="78"/>
      <c r="E996" s="78">
        <v>0.37</v>
      </c>
      <c r="F996" s="42">
        <v>0</v>
      </c>
      <c r="G996" s="42">
        <f t="shared" si="15"/>
        <v>0.37</v>
      </c>
      <c r="H996" s="2" t="str">
        <f>VLOOKUP(A996,'TB April'!A:H,8,0)</f>
        <v>Not Applicable</v>
      </c>
    </row>
    <row r="997" spans="1:8" hidden="1">
      <c r="A997" s="62" t="s">
        <v>369</v>
      </c>
      <c r="B997" s="78"/>
      <c r="C997" s="78"/>
      <c r="D997" s="78"/>
      <c r="E997" s="78"/>
      <c r="F997" s="42">
        <v>0</v>
      </c>
      <c r="G997" s="42">
        <f t="shared" si="15"/>
        <v>0</v>
      </c>
      <c r="H997" s="2" t="str">
        <f>VLOOKUP(A997,'TB April'!A:H,8,0)</f>
        <v>Not Applicable</v>
      </c>
    </row>
    <row r="998" spans="1:8" hidden="1">
      <c r="A998" s="62" t="s">
        <v>702</v>
      </c>
      <c r="B998" s="78">
        <v>48858560.479999997</v>
      </c>
      <c r="C998" s="78"/>
      <c r="D998" s="78"/>
      <c r="E998" s="78">
        <v>48858560.479999997</v>
      </c>
      <c r="F998" s="42">
        <v>0</v>
      </c>
      <c r="G998" s="42">
        <f t="shared" si="15"/>
        <v>48858560.479999997</v>
      </c>
      <c r="H998" s="2" t="str">
        <f>VLOOKUP(A998,'TB April'!A:H,8,0)</f>
        <v>Not Applicable</v>
      </c>
    </row>
    <row r="999" spans="1:8" hidden="1">
      <c r="A999" s="62" t="s">
        <v>1210</v>
      </c>
      <c r="B999" s="78">
        <v>-593752</v>
      </c>
      <c r="C999" s="78"/>
      <c r="D999" s="78">
        <v>148438</v>
      </c>
      <c r="E999" s="78">
        <v>-742190</v>
      </c>
      <c r="F999" s="42">
        <v>0</v>
      </c>
      <c r="G999" s="42">
        <f t="shared" si="15"/>
        <v>-742190</v>
      </c>
      <c r="H999" s="2" t="str">
        <f>VLOOKUP(A999,'TB April'!A:H,8,0)</f>
        <v>Not Applicable</v>
      </c>
    </row>
    <row r="1000" spans="1:8" hidden="1">
      <c r="A1000" s="62" t="s">
        <v>703</v>
      </c>
      <c r="B1000" s="78">
        <v>3176949</v>
      </c>
      <c r="C1000" s="78"/>
      <c r="D1000" s="78"/>
      <c r="E1000" s="78">
        <v>3176949</v>
      </c>
      <c r="F1000" s="42">
        <v>0</v>
      </c>
      <c r="G1000" s="42">
        <f t="shared" si="15"/>
        <v>3176949</v>
      </c>
      <c r="H1000" s="2" t="str">
        <f>VLOOKUP(A1000,'TB April'!A:H,8,0)</f>
        <v>Not Applicable</v>
      </c>
    </row>
    <row r="1001" spans="1:8" hidden="1">
      <c r="A1001" s="62" t="s">
        <v>704</v>
      </c>
      <c r="B1001" s="78">
        <v>-279498594.20999998</v>
      </c>
      <c r="C1001" s="78">
        <v>29397592.149999999</v>
      </c>
      <c r="D1001" s="78">
        <v>33226858.859999999</v>
      </c>
      <c r="E1001" s="78">
        <v>-283327860.92000002</v>
      </c>
      <c r="F1001" s="42">
        <v>0</v>
      </c>
      <c r="G1001" s="42">
        <f t="shared" si="15"/>
        <v>-283327860.92000002</v>
      </c>
      <c r="H1001" s="2" t="str">
        <f>VLOOKUP(A1001,'TB April'!A:H,8,0)</f>
        <v>Not Applicable</v>
      </c>
    </row>
    <row r="1002" spans="1:8" hidden="1">
      <c r="A1002" s="62" t="s">
        <v>695</v>
      </c>
      <c r="B1002" s="78">
        <v>95441710.870000005</v>
      </c>
      <c r="C1002" s="78"/>
      <c r="D1002" s="78"/>
      <c r="E1002" s="78">
        <v>95441710.870000005</v>
      </c>
      <c r="F1002" s="42">
        <v>0</v>
      </c>
      <c r="G1002" s="42">
        <f t="shared" si="15"/>
        <v>95441710.870000005</v>
      </c>
      <c r="H1002" s="2" t="str">
        <f>VLOOKUP(A1002,'TB April'!A:H,8,0)</f>
        <v>Not Applicable</v>
      </c>
    </row>
    <row r="1003" spans="1:8" hidden="1">
      <c r="A1003" s="62" t="s">
        <v>689</v>
      </c>
      <c r="B1003" s="78">
        <v>1052208056.48</v>
      </c>
      <c r="C1003" s="78">
        <v>99050198</v>
      </c>
      <c r="D1003" s="78"/>
      <c r="E1003" s="78">
        <v>1151258254.48</v>
      </c>
      <c r="F1003" s="42">
        <v>0</v>
      </c>
      <c r="G1003" s="42">
        <f t="shared" si="15"/>
        <v>1151258254.48</v>
      </c>
      <c r="H1003" s="2" t="str">
        <f>VLOOKUP(A1003,'TB April'!A:H,8,0)</f>
        <v>Not Applicable</v>
      </c>
    </row>
    <row r="1004" spans="1:8" hidden="1">
      <c r="A1004" s="62" t="s">
        <v>690</v>
      </c>
      <c r="B1004" s="78">
        <v>805380592</v>
      </c>
      <c r="C1004" s="78"/>
      <c r="D1004" s="78"/>
      <c r="E1004" s="78">
        <v>805380592</v>
      </c>
      <c r="F1004" s="42">
        <v>0</v>
      </c>
      <c r="G1004" s="42">
        <f t="shared" si="15"/>
        <v>805380592</v>
      </c>
      <c r="H1004" s="2" t="str">
        <f>VLOOKUP(A1004,'TB April'!A:H,8,0)</f>
        <v>Not Applicable</v>
      </c>
    </row>
    <row r="1005" spans="1:8" hidden="1">
      <c r="A1005" s="62" t="s">
        <v>691</v>
      </c>
      <c r="B1005" s="78">
        <v>371618907.70999998</v>
      </c>
      <c r="C1005" s="78"/>
      <c r="D1005" s="78"/>
      <c r="E1005" s="78">
        <v>371618907.70999998</v>
      </c>
      <c r="F1005" s="42">
        <v>0</v>
      </c>
      <c r="G1005" s="42">
        <f t="shared" si="15"/>
        <v>371618907.70999998</v>
      </c>
      <c r="H1005" s="2" t="str">
        <f>VLOOKUP(A1005,'TB April'!A:H,8,0)</f>
        <v>Not Applicable</v>
      </c>
    </row>
    <row r="1006" spans="1:8" hidden="1">
      <c r="A1006" s="62" t="s">
        <v>692</v>
      </c>
      <c r="B1006" s="78">
        <v>180922430</v>
      </c>
      <c r="C1006" s="78"/>
      <c r="D1006" s="78"/>
      <c r="E1006" s="78">
        <v>180922430</v>
      </c>
      <c r="F1006" s="42">
        <v>0</v>
      </c>
      <c r="G1006" s="42">
        <f t="shared" si="15"/>
        <v>180922430</v>
      </c>
      <c r="H1006" s="2" t="str">
        <f>VLOOKUP(A1006,'TB April'!A:H,8,0)</f>
        <v>Not Applicable</v>
      </c>
    </row>
    <row r="1007" spans="1:8" hidden="1">
      <c r="A1007" s="62" t="s">
        <v>1073</v>
      </c>
      <c r="B1007" s="78">
        <v>-4259112</v>
      </c>
      <c r="C1007" s="78">
        <v>93042</v>
      </c>
      <c r="D1007" s="78"/>
      <c r="E1007" s="78">
        <v>-4166070</v>
      </c>
      <c r="F1007" s="42">
        <v>0</v>
      </c>
      <c r="G1007" s="42">
        <f t="shared" si="15"/>
        <v>-4166070</v>
      </c>
      <c r="H1007" s="2" t="str">
        <f>VLOOKUP(A1007,'TB April'!A:H,8,0)</f>
        <v>Not Applicable</v>
      </c>
    </row>
    <row r="1008" spans="1:8" hidden="1">
      <c r="A1008" s="62" t="s">
        <v>605</v>
      </c>
      <c r="B1008" s="78"/>
      <c r="C1008" s="78"/>
      <c r="D1008" s="78"/>
      <c r="E1008" s="78"/>
      <c r="F1008" s="42">
        <v>0</v>
      </c>
      <c r="G1008" s="42">
        <f t="shared" si="15"/>
        <v>0</v>
      </c>
      <c r="H1008" s="2" t="str">
        <f>VLOOKUP(A1008,'TB April'!A:H,8,0)</f>
        <v>Not Applicable</v>
      </c>
    </row>
    <row r="1009" spans="1:8" hidden="1">
      <c r="A1009" s="62" t="s">
        <v>606</v>
      </c>
      <c r="B1009" s="78"/>
      <c r="C1009" s="78"/>
      <c r="D1009" s="78"/>
      <c r="E1009" s="78"/>
      <c r="F1009" s="42">
        <v>0</v>
      </c>
      <c r="G1009" s="42">
        <f t="shared" si="15"/>
        <v>0</v>
      </c>
      <c r="H1009" s="2" t="str">
        <f>VLOOKUP(A1009,'TB April'!A:H,8,0)</f>
        <v>Not Applicable</v>
      </c>
    </row>
    <row r="1010" spans="1:8" hidden="1">
      <c r="A1010" s="62" t="s">
        <v>607</v>
      </c>
      <c r="B1010" s="78">
        <v>-61818.42</v>
      </c>
      <c r="C1010" s="78">
        <v>61818.42</v>
      </c>
      <c r="D1010" s="78"/>
      <c r="E1010" s="78"/>
      <c r="F1010" s="42">
        <v>0</v>
      </c>
      <c r="G1010" s="42">
        <f t="shared" si="15"/>
        <v>0</v>
      </c>
      <c r="H1010" s="2" t="str">
        <f>VLOOKUP(A1010,'TB April'!A:H,8,0)</f>
        <v>Not Applicable</v>
      </c>
    </row>
    <row r="1011" spans="1:8" hidden="1">
      <c r="A1011" s="62" t="s">
        <v>608</v>
      </c>
      <c r="B1011" s="78"/>
      <c r="C1011" s="78"/>
      <c r="D1011" s="78"/>
      <c r="E1011" s="78"/>
      <c r="F1011" s="42">
        <v>0</v>
      </c>
      <c r="G1011" s="42">
        <f t="shared" si="15"/>
        <v>0</v>
      </c>
      <c r="H1011" s="2" t="str">
        <f>VLOOKUP(A1011,'TB April'!A:H,8,0)</f>
        <v>Not Applicable</v>
      </c>
    </row>
    <row r="1012" spans="1:8" hidden="1">
      <c r="A1012" s="62" t="s">
        <v>1074</v>
      </c>
      <c r="B1012" s="78">
        <v>185980265.36000001</v>
      </c>
      <c r="C1012" s="78"/>
      <c r="D1012" s="78"/>
      <c r="E1012" s="78">
        <v>185980265.36000001</v>
      </c>
      <c r="F1012" s="42">
        <v>0</v>
      </c>
      <c r="G1012" s="42">
        <f t="shared" si="15"/>
        <v>185980265.36000001</v>
      </c>
      <c r="H1012" s="2" t="str">
        <f>VLOOKUP(A1012,'TB April'!A:H,8,0)</f>
        <v>Not Applicable</v>
      </c>
    </row>
    <row r="1013" spans="1:8" hidden="1">
      <c r="A1013" s="62" t="s">
        <v>993</v>
      </c>
      <c r="B1013" s="78">
        <v>895564656.16999996</v>
      </c>
      <c r="C1013" s="78"/>
      <c r="D1013" s="78"/>
      <c r="E1013" s="78">
        <v>895564656.16999996</v>
      </c>
      <c r="F1013" s="42">
        <v>0</v>
      </c>
      <c r="G1013" s="42">
        <f t="shared" si="15"/>
        <v>895564656.16999996</v>
      </c>
      <c r="H1013" s="2" t="str">
        <f>VLOOKUP(A1013,'TB April'!A:H,8,0)</f>
        <v>Not Applicable</v>
      </c>
    </row>
    <row r="1014" spans="1:8" hidden="1">
      <c r="A1014" s="62" t="s">
        <v>693</v>
      </c>
      <c r="B1014" s="78">
        <v>5323173.38</v>
      </c>
      <c r="C1014" s="78"/>
      <c r="D1014" s="78"/>
      <c r="E1014" s="78">
        <v>5323173.38</v>
      </c>
      <c r="F1014" s="42">
        <v>0</v>
      </c>
      <c r="G1014" s="42">
        <f t="shared" si="15"/>
        <v>5323173.38</v>
      </c>
      <c r="H1014" s="2" t="str">
        <f>VLOOKUP(A1014,'TB April'!A:H,8,0)</f>
        <v>Not Applicable</v>
      </c>
    </row>
    <row r="1015" spans="1:8" hidden="1">
      <c r="A1015" s="62" t="s">
        <v>694</v>
      </c>
      <c r="B1015" s="78">
        <v>30832921.030000001</v>
      </c>
      <c r="C1015" s="78"/>
      <c r="D1015" s="78"/>
      <c r="E1015" s="78">
        <v>30832921.030000001</v>
      </c>
      <c r="F1015" s="42">
        <v>0</v>
      </c>
      <c r="G1015" s="42">
        <f t="shared" si="15"/>
        <v>30832921.030000001</v>
      </c>
      <c r="H1015" s="2" t="str">
        <f>VLOOKUP(A1015,'TB April'!A:H,8,0)</f>
        <v>Not Applicable</v>
      </c>
    </row>
    <row r="1016" spans="1:8" hidden="1">
      <c r="A1016" s="62" t="s">
        <v>684</v>
      </c>
      <c r="B1016" s="78">
        <v>-47435515.340000004</v>
      </c>
      <c r="C1016" s="78">
        <v>9306954.1699999999</v>
      </c>
      <c r="D1016" s="78">
        <v>10181221</v>
      </c>
      <c r="E1016" s="78">
        <v>-48309782.170000002</v>
      </c>
      <c r="F1016" s="42">
        <v>0</v>
      </c>
      <c r="G1016" s="42">
        <f t="shared" si="15"/>
        <v>-48309782.170000002</v>
      </c>
      <c r="H1016" s="2" t="str">
        <f>VLOOKUP(A1016,'TB April'!A:H,8,0)</f>
        <v>Not Applicable</v>
      </c>
    </row>
    <row r="1017" spans="1:8" hidden="1">
      <c r="A1017" s="62" t="s">
        <v>685</v>
      </c>
      <c r="B1017" s="78"/>
      <c r="C1017" s="78"/>
      <c r="D1017" s="78"/>
      <c r="E1017" s="78"/>
      <c r="F1017" s="42">
        <v>0</v>
      </c>
      <c r="G1017" s="42">
        <f t="shared" si="15"/>
        <v>0</v>
      </c>
      <c r="H1017" s="2" t="str">
        <f>VLOOKUP(A1017,'TB April'!A:H,8,0)</f>
        <v>Not Applicable</v>
      </c>
    </row>
    <row r="1018" spans="1:8" hidden="1">
      <c r="A1018" s="62" t="s">
        <v>686</v>
      </c>
      <c r="B1018" s="78"/>
      <c r="C1018" s="78"/>
      <c r="D1018" s="78"/>
      <c r="E1018" s="78"/>
      <c r="F1018" s="42">
        <v>0</v>
      </c>
      <c r="G1018" s="42">
        <f t="shared" si="15"/>
        <v>0</v>
      </c>
      <c r="H1018" s="2" t="str">
        <f>VLOOKUP(A1018,'TB April'!A:H,8,0)</f>
        <v>Not Applicable</v>
      </c>
    </row>
    <row r="1019" spans="1:8" hidden="1">
      <c r="A1019" s="62" t="s">
        <v>443</v>
      </c>
      <c r="B1019" s="78"/>
      <c r="C1019" s="78"/>
      <c r="D1019" s="78"/>
      <c r="E1019" s="78"/>
      <c r="F1019" s="42">
        <v>0</v>
      </c>
      <c r="G1019" s="42">
        <f t="shared" si="15"/>
        <v>0</v>
      </c>
      <c r="H1019" s="2" t="str">
        <f>VLOOKUP(A1019,'TB April'!A:H,8,0)</f>
        <v>Not Applicable</v>
      </c>
    </row>
    <row r="1020" spans="1:8" hidden="1">
      <c r="A1020" s="62" t="s">
        <v>444</v>
      </c>
      <c r="B1020" s="78"/>
      <c r="C1020" s="78"/>
      <c r="D1020" s="78">
        <v>6890166.7300000004</v>
      </c>
      <c r="E1020" s="78">
        <v>-6890166.7300000004</v>
      </c>
      <c r="F1020" s="42">
        <v>0</v>
      </c>
      <c r="G1020" s="42">
        <f t="shared" si="15"/>
        <v>-6890166.7300000004</v>
      </c>
      <c r="H1020" s="2" t="str">
        <f>VLOOKUP(A1020,'TB April'!A:H,8,0)</f>
        <v>Not Applicable</v>
      </c>
    </row>
    <row r="1021" spans="1:8" hidden="1">
      <c r="A1021" s="62" t="s">
        <v>1014</v>
      </c>
      <c r="B1021" s="78">
        <v>-10682927.6</v>
      </c>
      <c r="C1021" s="78">
        <v>6614735.9000000004</v>
      </c>
      <c r="D1021" s="78">
        <v>13543668.92</v>
      </c>
      <c r="E1021" s="78">
        <v>-17611860.620000001</v>
      </c>
      <c r="F1021" s="42">
        <v>0</v>
      </c>
      <c r="G1021" s="42">
        <f t="shared" si="15"/>
        <v>-17611860.620000001</v>
      </c>
      <c r="H1021" s="2" t="str">
        <f>VLOOKUP(A1021,'TB April'!A:H,8,0)</f>
        <v>Not Applicable</v>
      </c>
    </row>
    <row r="1022" spans="1:8" hidden="1">
      <c r="A1022" s="62" t="s">
        <v>445</v>
      </c>
      <c r="B1022" s="78">
        <v>-3270891.23</v>
      </c>
      <c r="C1022" s="78"/>
      <c r="D1022" s="78"/>
      <c r="E1022" s="78">
        <v>-3270891.23</v>
      </c>
      <c r="F1022" s="42">
        <v>0</v>
      </c>
      <c r="G1022" s="42">
        <f t="shared" si="15"/>
        <v>-3270891.23</v>
      </c>
      <c r="H1022" s="2" t="str">
        <f>VLOOKUP(A1022,'TB April'!A:H,8,0)</f>
        <v>Not Applicable</v>
      </c>
    </row>
    <row r="1023" spans="1:8" hidden="1">
      <c r="A1023" s="62" t="s">
        <v>446</v>
      </c>
      <c r="B1023" s="78">
        <v>12143287.42</v>
      </c>
      <c r="C1023" s="78"/>
      <c r="D1023" s="78"/>
      <c r="E1023" s="78">
        <v>12143287.42</v>
      </c>
      <c r="F1023" s="42">
        <v>0</v>
      </c>
      <c r="G1023" s="42">
        <f t="shared" si="15"/>
        <v>12143287.42</v>
      </c>
      <c r="H1023" s="2" t="str">
        <f>VLOOKUP(A1023,'TB April'!A:H,8,0)</f>
        <v>Not Applicable</v>
      </c>
    </row>
    <row r="1024" spans="1:8" hidden="1">
      <c r="A1024" s="62" t="s">
        <v>1540</v>
      </c>
      <c r="B1024" s="78"/>
      <c r="C1024" s="78"/>
      <c r="D1024" s="78"/>
      <c r="E1024" s="78"/>
      <c r="F1024" s="42">
        <v>0</v>
      </c>
      <c r="G1024" s="42">
        <f t="shared" si="15"/>
        <v>0</v>
      </c>
      <c r="H1024" s="2" t="s">
        <v>84</v>
      </c>
    </row>
    <row r="1025" spans="1:8" hidden="1">
      <c r="A1025" s="62" t="s">
        <v>1024</v>
      </c>
      <c r="B1025" s="78">
        <v>-40751393.149999999</v>
      </c>
      <c r="C1025" s="78">
        <v>27073125.140000001</v>
      </c>
      <c r="D1025" s="78">
        <v>32984159.609999999</v>
      </c>
      <c r="E1025" s="78">
        <v>-46662427.619999997</v>
      </c>
      <c r="F1025" s="42">
        <v>0</v>
      </c>
      <c r="G1025" s="42">
        <f t="shared" si="15"/>
        <v>-46662427.619999997</v>
      </c>
      <c r="H1025" s="2" t="str">
        <f>VLOOKUP(A1025,'TB April'!A:H,8,0)</f>
        <v>Not Applicable</v>
      </c>
    </row>
    <row r="1026" spans="1:8" hidden="1">
      <c r="A1026" s="62" t="s">
        <v>503</v>
      </c>
      <c r="B1026" s="78">
        <v>64703271.210000001</v>
      </c>
      <c r="C1026" s="78"/>
      <c r="D1026" s="78"/>
      <c r="E1026" s="78">
        <v>64703271.210000001</v>
      </c>
      <c r="F1026" s="42">
        <v>0</v>
      </c>
      <c r="G1026" s="42">
        <f t="shared" si="15"/>
        <v>64703271.210000001</v>
      </c>
      <c r="H1026" s="2" t="str">
        <f>VLOOKUP(A1026,'TB April'!A:H,8,0)</f>
        <v>Not Applicable</v>
      </c>
    </row>
    <row r="1027" spans="1:8" hidden="1">
      <c r="A1027" s="62" t="s">
        <v>496</v>
      </c>
      <c r="B1027" s="78">
        <v>-6438533</v>
      </c>
      <c r="C1027" s="78"/>
      <c r="D1027" s="78"/>
      <c r="E1027" s="78">
        <v>-6438533</v>
      </c>
      <c r="F1027" s="42">
        <v>0</v>
      </c>
      <c r="G1027" s="42">
        <f t="shared" si="15"/>
        <v>-6438533</v>
      </c>
      <c r="H1027" s="2" t="str">
        <f>VLOOKUP(A1027,'TB April'!A:H,8,0)</f>
        <v>Not Applicable</v>
      </c>
    </row>
    <row r="1028" spans="1:8" hidden="1">
      <c r="A1028" s="62" t="s">
        <v>488</v>
      </c>
      <c r="B1028" s="78">
        <v>-173498418.13</v>
      </c>
      <c r="C1028" s="78"/>
      <c r="D1028" s="78"/>
      <c r="E1028" s="78">
        <v>-173498418.13</v>
      </c>
      <c r="F1028" s="42">
        <v>0</v>
      </c>
      <c r="G1028" s="42">
        <f t="shared" si="15"/>
        <v>-173498418.13</v>
      </c>
      <c r="H1028" s="2" t="str">
        <f>VLOOKUP(A1028,'TB April'!A:H,8,0)</f>
        <v>Not Applicable</v>
      </c>
    </row>
    <row r="1029" spans="1:8" hidden="1">
      <c r="A1029" s="62" t="s">
        <v>489</v>
      </c>
      <c r="B1029" s="78">
        <v>-683479.06</v>
      </c>
      <c r="C1029" s="78">
        <v>651344.05000000005</v>
      </c>
      <c r="D1029" s="78"/>
      <c r="E1029" s="78">
        <v>-32135.01</v>
      </c>
      <c r="F1029" s="42">
        <v>0</v>
      </c>
      <c r="G1029" s="42">
        <f t="shared" si="15"/>
        <v>-32135.01</v>
      </c>
      <c r="H1029" s="2" t="str">
        <f>VLOOKUP(A1029,'TB April'!A:H,8,0)</f>
        <v>Not Applicable</v>
      </c>
    </row>
    <row r="1030" spans="1:8" hidden="1">
      <c r="A1030" s="62" t="s">
        <v>490</v>
      </c>
      <c r="B1030" s="78">
        <v>162669</v>
      </c>
      <c r="C1030" s="78"/>
      <c r="D1030" s="78"/>
      <c r="E1030" s="78">
        <v>162669</v>
      </c>
      <c r="F1030" s="42">
        <v>0</v>
      </c>
      <c r="G1030" s="42">
        <f t="shared" ref="G1030:G1093" si="16">+E1030+F1030</f>
        <v>162669</v>
      </c>
      <c r="H1030" s="2" t="str">
        <f>VLOOKUP(A1030,'TB April'!A:H,8,0)</f>
        <v>Not Applicable</v>
      </c>
    </row>
    <row r="1031" spans="1:8" hidden="1">
      <c r="A1031" s="62" t="s">
        <v>491</v>
      </c>
      <c r="B1031" s="78">
        <v>-10188.9</v>
      </c>
      <c r="C1031" s="78"/>
      <c r="D1031" s="78"/>
      <c r="E1031" s="78">
        <v>-10188.9</v>
      </c>
      <c r="F1031" s="42">
        <v>0</v>
      </c>
      <c r="G1031" s="42">
        <f t="shared" si="16"/>
        <v>-10188.9</v>
      </c>
      <c r="H1031" s="2" t="str">
        <f>VLOOKUP(A1031,'TB April'!A:H,8,0)</f>
        <v>Not Applicable</v>
      </c>
    </row>
    <row r="1032" spans="1:8" hidden="1">
      <c r="A1032" s="62" t="s">
        <v>492</v>
      </c>
      <c r="B1032" s="78">
        <v>-1425427</v>
      </c>
      <c r="C1032" s="78"/>
      <c r="D1032" s="78"/>
      <c r="E1032" s="78">
        <v>-1425427</v>
      </c>
      <c r="F1032" s="42">
        <v>0</v>
      </c>
      <c r="G1032" s="42">
        <f t="shared" si="16"/>
        <v>-1425427</v>
      </c>
      <c r="H1032" s="2" t="str">
        <f>VLOOKUP(A1032,'TB April'!A:H,8,0)</f>
        <v>Not Applicable</v>
      </c>
    </row>
    <row r="1033" spans="1:8" hidden="1">
      <c r="A1033" s="62" t="s">
        <v>20</v>
      </c>
      <c r="B1033" s="78"/>
      <c r="C1033" s="78"/>
      <c r="D1033" s="78">
        <v>174100</v>
      </c>
      <c r="E1033" s="78">
        <v>-174100</v>
      </c>
      <c r="F1033" s="42">
        <v>0</v>
      </c>
      <c r="G1033" s="42">
        <f t="shared" ref="G1033:G1043" si="17">+E1033+F1033</f>
        <v>-174100</v>
      </c>
      <c r="H1033" s="2" t="str">
        <f>VLOOKUP(A1033,'TB April'!A:H,8,0)</f>
        <v>Sales - Waste &amp; Scrape</v>
      </c>
    </row>
    <row r="1034" spans="1:8" hidden="1">
      <c r="A1034" s="62" t="s">
        <v>932</v>
      </c>
      <c r="B1034" s="78"/>
      <c r="C1034" s="78"/>
      <c r="D1034" s="78">
        <v>4485725.0599999996</v>
      </c>
      <c r="E1034" s="78">
        <v>-4485725.0599999996</v>
      </c>
      <c r="F1034" s="42">
        <v>0</v>
      </c>
      <c r="G1034" s="42">
        <f t="shared" si="17"/>
        <v>-4485725.0599999996</v>
      </c>
      <c r="H1034" s="2" t="str">
        <f>VLOOKUP(A1034,'TB April'!A:H,8,0)</f>
        <v>Sale of traded goods</v>
      </c>
    </row>
    <row r="1035" spans="1:8" hidden="1">
      <c r="A1035" s="62" t="s">
        <v>1108</v>
      </c>
      <c r="B1035" s="78"/>
      <c r="C1035" s="78"/>
      <c r="D1035" s="78">
        <v>394739.88</v>
      </c>
      <c r="E1035" s="78">
        <v>-394739.88</v>
      </c>
      <c r="F1035" s="42">
        <v>0</v>
      </c>
      <c r="G1035" s="42">
        <f t="shared" si="17"/>
        <v>-394739.88</v>
      </c>
      <c r="H1035" s="2" t="str">
        <f>VLOOKUP(A1035,'TB April'!A:H,8,0)</f>
        <v>Sale of traded goods</v>
      </c>
    </row>
    <row r="1036" spans="1:8" hidden="1">
      <c r="A1036" s="62" t="s">
        <v>1107</v>
      </c>
      <c r="B1036" s="78"/>
      <c r="C1036" s="78"/>
      <c r="D1036" s="78">
        <v>1274150.2</v>
      </c>
      <c r="E1036" s="78">
        <v>-1274150.2</v>
      </c>
      <c r="F1036" s="42">
        <v>0</v>
      </c>
      <c r="G1036" s="42">
        <f t="shared" si="17"/>
        <v>-1274150.2</v>
      </c>
      <c r="H1036" s="2" t="str">
        <f>VLOOKUP(A1036,'TB April'!A:H,8,0)</f>
        <v>Sale of traded goods</v>
      </c>
    </row>
    <row r="1037" spans="1:8" hidden="1">
      <c r="A1037" s="62" t="s">
        <v>746</v>
      </c>
      <c r="B1037" s="78"/>
      <c r="C1037" s="78"/>
      <c r="D1037" s="78">
        <v>19636106.329999998</v>
      </c>
      <c r="E1037" s="78">
        <v>-19636106.329999998</v>
      </c>
      <c r="F1037" s="42">
        <v>0</v>
      </c>
      <c r="G1037" s="42">
        <f t="shared" si="17"/>
        <v>-19636106.329999998</v>
      </c>
      <c r="H1037" s="2" t="str">
        <f>VLOOKUP(A1037,'TB April'!A:H,8,0)</f>
        <v>Income from Jobwork charges</v>
      </c>
    </row>
    <row r="1038" spans="1:8" hidden="1">
      <c r="A1038" s="62" t="s">
        <v>753</v>
      </c>
      <c r="B1038" s="78"/>
      <c r="C1038" s="78"/>
      <c r="D1038" s="78">
        <v>15487314.310000001</v>
      </c>
      <c r="E1038" s="78">
        <v>-15487314.310000001</v>
      </c>
      <c r="F1038" s="42">
        <v>0</v>
      </c>
      <c r="G1038" s="42">
        <f t="shared" si="17"/>
        <v>-15487314.310000001</v>
      </c>
      <c r="H1038" s="2" t="str">
        <f>VLOOKUP(A1038,'TB April'!A:H,8,0)</f>
        <v>Sale of Traded Goods</v>
      </c>
    </row>
    <row r="1039" spans="1:8" hidden="1">
      <c r="A1039" s="62" t="s">
        <v>751</v>
      </c>
      <c r="B1039" s="78"/>
      <c r="C1039" s="78"/>
      <c r="D1039" s="78">
        <v>9223371.6500000004</v>
      </c>
      <c r="E1039" s="78">
        <v>-9223371.6500000004</v>
      </c>
      <c r="F1039" s="42">
        <v>0</v>
      </c>
      <c r="G1039" s="42">
        <f t="shared" si="17"/>
        <v>-9223371.6500000004</v>
      </c>
      <c r="H1039" s="2" t="str">
        <f>VLOOKUP(A1039,'TB April'!A:H,8,0)</f>
        <v>Sale of Finished Goods</v>
      </c>
    </row>
    <row r="1040" spans="1:8" hidden="1">
      <c r="A1040" s="62" t="s">
        <v>749</v>
      </c>
      <c r="B1040" s="78"/>
      <c r="C1040" s="78"/>
      <c r="D1040" s="78">
        <v>1078476</v>
      </c>
      <c r="E1040" s="78">
        <v>-1078476</v>
      </c>
      <c r="F1040" s="42">
        <v>0</v>
      </c>
      <c r="G1040" s="42">
        <f t="shared" si="17"/>
        <v>-1078476</v>
      </c>
      <c r="H1040" s="2" t="str">
        <f>VLOOKUP(A1040,'TB April'!A:H,8,0)</f>
        <v>Sale of Finished Goods</v>
      </c>
    </row>
    <row r="1041" spans="1:8" hidden="1">
      <c r="A1041" s="62" t="s">
        <v>752</v>
      </c>
      <c r="B1041" s="78"/>
      <c r="C1041" s="78"/>
      <c r="D1041" s="78">
        <v>97143071.180000007</v>
      </c>
      <c r="E1041" s="78">
        <v>-97143071.180000007</v>
      </c>
      <c r="F1041" s="42">
        <v>0</v>
      </c>
      <c r="G1041" s="42">
        <f t="shared" si="17"/>
        <v>-97143071.180000007</v>
      </c>
      <c r="H1041" s="2" t="str">
        <f>VLOOKUP(A1041,'TB April'!A:H,8,0)</f>
        <v>Sale of Finished Goods</v>
      </c>
    </row>
    <row r="1042" spans="1:8" hidden="1">
      <c r="A1042" s="62" t="s">
        <v>747</v>
      </c>
      <c r="B1042" s="78"/>
      <c r="C1042" s="78"/>
      <c r="D1042" s="78">
        <v>86982041.829999998</v>
      </c>
      <c r="E1042" s="78">
        <v>-86982041.829999998</v>
      </c>
      <c r="F1042" s="42">
        <v>0</v>
      </c>
      <c r="G1042" s="42">
        <f t="shared" si="17"/>
        <v>-86982041.829999998</v>
      </c>
      <c r="H1042" s="2" t="str">
        <f>VLOOKUP(A1042,'TB April'!A:H,8,0)</f>
        <v>Sale of Finished Goods</v>
      </c>
    </row>
    <row r="1043" spans="1:8" hidden="1">
      <c r="A1043" s="62" t="s">
        <v>743</v>
      </c>
      <c r="B1043" s="78"/>
      <c r="C1043" s="78"/>
      <c r="D1043" s="78">
        <v>12710962.140000001</v>
      </c>
      <c r="E1043" s="78">
        <v>-12710962.140000001</v>
      </c>
      <c r="F1043" s="42">
        <v>0</v>
      </c>
      <c r="G1043" s="42">
        <f t="shared" si="17"/>
        <v>-12710962.140000001</v>
      </c>
      <c r="H1043" s="2" t="str">
        <f>VLOOKUP(A1043,'TB April'!A:H,8,0)</f>
        <v>Sale of Finished Goods</v>
      </c>
    </row>
    <row r="1044" spans="1:8" hidden="1">
      <c r="A1044" s="62" t="s">
        <v>745</v>
      </c>
      <c r="B1044" s="78"/>
      <c r="C1044" s="78"/>
      <c r="D1044" s="78">
        <v>2050025</v>
      </c>
      <c r="E1044" s="78">
        <v>-2050025</v>
      </c>
      <c r="F1044" s="42">
        <v>0</v>
      </c>
      <c r="G1044" s="42">
        <f t="shared" si="16"/>
        <v>-2050025</v>
      </c>
      <c r="H1044" s="2" t="str">
        <f>VLOOKUP(A1044,'TB April'!A:H,8,0)</f>
        <v>Wind mill income</v>
      </c>
    </row>
    <row r="1045" spans="1:8" hidden="1">
      <c r="A1045" s="62" t="s">
        <v>828</v>
      </c>
      <c r="B1045" s="78"/>
      <c r="C1045" s="78">
        <v>123704.6</v>
      </c>
      <c r="D1045" s="78">
        <v>5350513.51</v>
      </c>
      <c r="E1045" s="78">
        <v>-5226808.91</v>
      </c>
      <c r="F1045" s="42">
        <v>0</v>
      </c>
      <c r="G1045" s="42">
        <f t="shared" si="16"/>
        <v>-5226808.91</v>
      </c>
      <c r="H1045" s="2" t="str">
        <f>VLOOKUP(A1045,'TB April'!A:H,8,0)</f>
        <v>Add: Purchase expenses</v>
      </c>
    </row>
    <row r="1046" spans="1:8" hidden="1">
      <c r="A1046" s="62" t="s">
        <v>780</v>
      </c>
      <c r="B1046" s="78"/>
      <c r="C1046" s="78">
        <v>250</v>
      </c>
      <c r="D1046" s="78"/>
      <c r="E1046" s="78">
        <v>250</v>
      </c>
      <c r="F1046" s="42">
        <v>0</v>
      </c>
      <c r="G1046" s="42">
        <f t="shared" si="16"/>
        <v>250</v>
      </c>
      <c r="H1046" s="2" t="str">
        <f>VLOOKUP(A1046,'TB April'!A:H,8,0)</f>
        <v>Add: Purchase expenses</v>
      </c>
    </row>
    <row r="1047" spans="1:8" hidden="1">
      <c r="A1047" s="62" t="s">
        <v>764</v>
      </c>
      <c r="B1047" s="78"/>
      <c r="C1047" s="78">
        <v>33.82</v>
      </c>
      <c r="D1047" s="78">
        <v>25.88</v>
      </c>
      <c r="E1047" s="78">
        <v>7.94</v>
      </c>
      <c r="F1047" s="42">
        <v>0</v>
      </c>
      <c r="G1047" s="42">
        <f t="shared" si="16"/>
        <v>7.94</v>
      </c>
      <c r="H1047" s="2" t="str">
        <f>VLOOKUP(A1047,'TB April'!A:H,8,0)</f>
        <v>Not Applicable</v>
      </c>
    </row>
    <row r="1048" spans="1:8" hidden="1">
      <c r="A1048" s="62" t="s">
        <v>808</v>
      </c>
      <c r="B1048" s="78"/>
      <c r="C1048" s="78">
        <v>229413</v>
      </c>
      <c r="D1048" s="78"/>
      <c r="E1048" s="78">
        <v>229413</v>
      </c>
      <c r="F1048" s="42">
        <v>0</v>
      </c>
      <c r="G1048" s="42">
        <f t="shared" si="16"/>
        <v>229413</v>
      </c>
      <c r="H1048" s="2" t="str">
        <f>VLOOKUP(A1048,'TB April'!A:H,8,0)</f>
        <v>Add: Purchase expenses</v>
      </c>
    </row>
    <row r="1049" spans="1:8" hidden="1">
      <c r="A1049" s="62" t="s">
        <v>809</v>
      </c>
      <c r="B1049" s="78"/>
      <c r="C1049" s="78">
        <v>73196.509999999995</v>
      </c>
      <c r="D1049" s="78">
        <v>12500</v>
      </c>
      <c r="E1049" s="78">
        <v>60696.51</v>
      </c>
      <c r="F1049" s="42">
        <v>0</v>
      </c>
      <c r="G1049" s="42">
        <f t="shared" si="16"/>
        <v>60696.51</v>
      </c>
      <c r="H1049" s="2" t="str">
        <f>VLOOKUP(A1049,'TB April'!A:H,8,0)</f>
        <v>Add: Purchase expenses</v>
      </c>
    </row>
    <row r="1050" spans="1:8" hidden="1">
      <c r="A1050" s="62" t="s">
        <v>1303</v>
      </c>
      <c r="B1050" s="78"/>
      <c r="C1050" s="78"/>
      <c r="D1050" s="78">
        <v>135020</v>
      </c>
      <c r="E1050" s="78">
        <v>-135020</v>
      </c>
      <c r="F1050" s="42">
        <v>0</v>
      </c>
      <c r="G1050" s="42">
        <f t="shared" si="16"/>
        <v>-135020</v>
      </c>
      <c r="H1050" s="2" t="s">
        <v>13</v>
      </c>
    </row>
    <row r="1051" spans="1:8" hidden="1">
      <c r="A1051" s="62" t="s">
        <v>825</v>
      </c>
      <c r="B1051" s="78"/>
      <c r="C1051" s="78">
        <v>166008.03</v>
      </c>
      <c r="D1051" s="78"/>
      <c r="E1051" s="78">
        <v>166008.03</v>
      </c>
      <c r="F1051" s="42">
        <v>0</v>
      </c>
      <c r="G1051" s="42">
        <f t="shared" si="16"/>
        <v>166008.03</v>
      </c>
      <c r="H1051" s="2" t="str">
        <f>VLOOKUP(A1051,'TB April'!A:H,8,0)</f>
        <v>Add: Purchase of Stores, Spares &amp; Consumables</v>
      </c>
    </row>
    <row r="1052" spans="1:8" hidden="1">
      <c r="A1052" s="62" t="s">
        <v>833</v>
      </c>
      <c r="B1052" s="78"/>
      <c r="C1052" s="78">
        <v>124376</v>
      </c>
      <c r="D1052" s="78"/>
      <c r="E1052" s="78">
        <v>124376</v>
      </c>
      <c r="F1052" s="42">
        <v>0</v>
      </c>
      <c r="G1052" s="42">
        <f t="shared" si="16"/>
        <v>124376</v>
      </c>
      <c r="H1052" s="2" t="str">
        <f>VLOOKUP(A1052,'TB April'!A:H,8,0)</f>
        <v>Other Administrative Expenses</v>
      </c>
    </row>
    <row r="1053" spans="1:8" hidden="1">
      <c r="A1053" s="62" t="s">
        <v>806</v>
      </c>
      <c r="B1053" s="78"/>
      <c r="C1053" s="78">
        <v>12822</v>
      </c>
      <c r="D1053" s="78"/>
      <c r="E1053" s="78">
        <v>12822</v>
      </c>
      <c r="F1053" s="42">
        <v>0</v>
      </c>
      <c r="G1053" s="42">
        <f t="shared" si="16"/>
        <v>12822</v>
      </c>
      <c r="H1053" s="2" t="str">
        <f>VLOOKUP(A1053,'TB April'!A:H,8,0)</f>
        <v>Other Administrative Expenses</v>
      </c>
    </row>
    <row r="1054" spans="1:8">
      <c r="A1054" s="62" t="s">
        <v>800</v>
      </c>
      <c r="B1054" s="78"/>
      <c r="C1054" s="78">
        <v>8006908.7999999998</v>
      </c>
      <c r="D1054" s="78"/>
      <c r="E1054" s="78">
        <v>8006908.7999999998</v>
      </c>
      <c r="F1054" s="42">
        <v>6926989</v>
      </c>
      <c r="G1054" s="42">
        <f t="shared" si="16"/>
        <v>14933897.800000001</v>
      </c>
      <c r="H1054" s="2" t="str">
        <f>VLOOKUP(A1054,'TB April'!A:H,8,0)</f>
        <v>Labour charges</v>
      </c>
    </row>
    <row r="1055" spans="1:8" hidden="1">
      <c r="A1055" s="62" t="s">
        <v>785</v>
      </c>
      <c r="B1055" s="78"/>
      <c r="C1055" s="78">
        <v>8162252</v>
      </c>
      <c r="D1055" s="78"/>
      <c r="E1055" s="78">
        <v>8162252</v>
      </c>
      <c r="F1055" s="42">
        <v>0</v>
      </c>
      <c r="G1055" s="42">
        <f t="shared" si="16"/>
        <v>8162252</v>
      </c>
      <c r="H1055" s="2" t="str">
        <f>VLOOKUP(A1055,'TB April'!A:H,8,0)</f>
        <v>Power and fuel</v>
      </c>
    </row>
    <row r="1056" spans="1:8" hidden="1">
      <c r="A1056" s="62" t="s">
        <v>762</v>
      </c>
      <c r="B1056" s="78"/>
      <c r="C1056" s="78">
        <v>740800</v>
      </c>
      <c r="D1056" s="78"/>
      <c r="E1056" s="78">
        <v>740800</v>
      </c>
      <c r="F1056" s="42">
        <v>0</v>
      </c>
      <c r="G1056" s="42">
        <f t="shared" si="16"/>
        <v>740800</v>
      </c>
      <c r="H1056" s="2" t="str">
        <f>VLOOKUP(A1056,'TB April'!A:H,8,0)</f>
        <v>Other Administrative Expenses</v>
      </c>
    </row>
    <row r="1057" spans="1:8" hidden="1">
      <c r="A1057" s="62" t="s">
        <v>1049</v>
      </c>
      <c r="B1057" s="78"/>
      <c r="C1057" s="78">
        <v>315000</v>
      </c>
      <c r="D1057" s="78"/>
      <c r="E1057" s="78">
        <v>315000</v>
      </c>
      <c r="F1057" s="42">
        <v>0</v>
      </c>
      <c r="G1057" s="42">
        <f t="shared" si="16"/>
        <v>315000</v>
      </c>
      <c r="H1057" s="2" t="str">
        <f>VLOOKUP(A1057,'TB April'!A:H,8,0)</f>
        <v>Other Administrative Expenses</v>
      </c>
    </row>
    <row r="1058" spans="1:8" hidden="1">
      <c r="A1058" s="62" t="s">
        <v>799</v>
      </c>
      <c r="B1058" s="78"/>
      <c r="C1058" s="78">
        <v>5716691.5700000003</v>
      </c>
      <c r="D1058" s="78"/>
      <c r="E1058" s="78">
        <v>5716691.5700000003</v>
      </c>
      <c r="F1058" s="42">
        <v>0</v>
      </c>
      <c r="G1058" s="42">
        <f t="shared" si="16"/>
        <v>5716691.5700000003</v>
      </c>
      <c r="H1058" s="2" t="str">
        <f>VLOOKUP(A1058,'TB April'!A:H,8,0)</f>
        <v xml:space="preserve">Jobwork charges </v>
      </c>
    </row>
    <row r="1059" spans="1:8">
      <c r="A1059" s="62" t="s">
        <v>803</v>
      </c>
      <c r="B1059" s="78"/>
      <c r="C1059" s="78">
        <v>72445</v>
      </c>
      <c r="D1059" s="78"/>
      <c r="E1059" s="78">
        <v>72445</v>
      </c>
      <c r="F1059" s="42">
        <v>91523</v>
      </c>
      <c r="G1059" s="42">
        <f t="shared" si="16"/>
        <v>163968</v>
      </c>
      <c r="H1059" s="2" t="str">
        <f>VLOOKUP(A1059,'TB April'!A:H,8,0)</f>
        <v>Freight Outward and C &amp; F Charges</v>
      </c>
    </row>
    <row r="1060" spans="1:8" hidden="1">
      <c r="A1060" s="62" t="s">
        <v>789</v>
      </c>
      <c r="B1060" s="78"/>
      <c r="C1060" s="78">
        <v>52200</v>
      </c>
      <c r="D1060" s="78"/>
      <c r="E1060" s="78">
        <v>52200</v>
      </c>
      <c r="F1060" s="42">
        <v>0</v>
      </c>
      <c r="G1060" s="42">
        <f t="shared" si="16"/>
        <v>52200</v>
      </c>
      <c r="H1060" s="2" t="str">
        <f>VLOOKUP(A1060,'TB April'!A:H,8,0)</f>
        <v>Other Manufacturing Expenses</v>
      </c>
    </row>
    <row r="1061" spans="1:8" hidden="1">
      <c r="A1061" s="62" t="s">
        <v>791</v>
      </c>
      <c r="B1061" s="78"/>
      <c r="C1061" s="78">
        <v>104760</v>
      </c>
      <c r="D1061" s="78"/>
      <c r="E1061" s="78">
        <v>104760</v>
      </c>
      <c r="F1061" s="42">
        <v>0</v>
      </c>
      <c r="G1061" s="42">
        <f t="shared" si="16"/>
        <v>104760</v>
      </c>
      <c r="H1061" s="2" t="str">
        <f>VLOOKUP(A1061,'TB April'!A:H,8,0)</f>
        <v>Other Administrative Expenses</v>
      </c>
    </row>
    <row r="1062" spans="1:8" hidden="1">
      <c r="A1062" s="62" t="s">
        <v>792</v>
      </c>
      <c r="B1062" s="78"/>
      <c r="C1062" s="78">
        <v>51570</v>
      </c>
      <c r="D1062" s="78"/>
      <c r="E1062" s="78">
        <v>51570</v>
      </c>
      <c r="F1062" s="42">
        <v>0</v>
      </c>
      <c r="G1062" s="42">
        <f t="shared" si="16"/>
        <v>51570</v>
      </c>
      <c r="H1062" s="2" t="str">
        <f>VLOOKUP(A1062,'TB April'!A:H,8,0)</f>
        <v>Other Manufacturing Expenses</v>
      </c>
    </row>
    <row r="1063" spans="1:8" hidden="1">
      <c r="A1063" s="62" t="s">
        <v>761</v>
      </c>
      <c r="B1063" s="78"/>
      <c r="C1063" s="78">
        <v>448763.08</v>
      </c>
      <c r="D1063" s="78"/>
      <c r="E1063" s="78">
        <v>448763.08</v>
      </c>
      <c r="F1063" s="42">
        <v>0</v>
      </c>
      <c r="G1063" s="42">
        <f t="shared" si="16"/>
        <v>448763.08</v>
      </c>
      <c r="H1063" s="2" t="str">
        <f>VLOOKUP(A1063,'TB April'!A:H,8,0)</f>
        <v>Other Manufacturing Expenses</v>
      </c>
    </row>
    <row r="1064" spans="1:8" hidden="1">
      <c r="A1064" s="62" t="s">
        <v>819</v>
      </c>
      <c r="B1064" s="78"/>
      <c r="C1064" s="78">
        <v>10992</v>
      </c>
      <c r="D1064" s="78"/>
      <c r="E1064" s="78">
        <v>10992</v>
      </c>
      <c r="F1064" s="42">
        <v>0</v>
      </c>
      <c r="G1064" s="42">
        <f t="shared" si="16"/>
        <v>10992</v>
      </c>
      <c r="H1064" s="2" t="str">
        <f>VLOOKUP(A1064,'TB April'!A:H,8,0)</f>
        <v>Add: Purchase of packing materials</v>
      </c>
    </row>
    <row r="1065" spans="1:8" hidden="1">
      <c r="A1065" s="62" t="s">
        <v>820</v>
      </c>
      <c r="B1065" s="78"/>
      <c r="C1065" s="78">
        <v>43114985.270000003</v>
      </c>
      <c r="D1065" s="78"/>
      <c r="E1065" s="78">
        <v>43114985.270000003</v>
      </c>
      <c r="F1065" s="42">
        <v>0</v>
      </c>
      <c r="G1065" s="42">
        <f t="shared" si="16"/>
        <v>43114985.270000003</v>
      </c>
      <c r="H1065" s="2" t="str">
        <f>VLOOKUP(A1065,'TB April'!A:H,8,0)</f>
        <v>Add: Purchase of raw materials</v>
      </c>
    </row>
    <row r="1066" spans="1:8" hidden="1">
      <c r="A1066" s="62" t="s">
        <v>821</v>
      </c>
      <c r="B1066" s="78"/>
      <c r="C1066" s="78">
        <v>38052.32</v>
      </c>
      <c r="D1066" s="78"/>
      <c r="E1066" s="78">
        <v>38052.32</v>
      </c>
      <c r="F1066" s="42">
        <v>0</v>
      </c>
      <c r="G1066" s="42">
        <f t="shared" si="16"/>
        <v>38052.32</v>
      </c>
      <c r="H1066" s="2" t="s">
        <v>45</v>
      </c>
    </row>
    <row r="1067" spans="1:8" hidden="1">
      <c r="A1067" s="62" t="s">
        <v>966</v>
      </c>
      <c r="B1067" s="78"/>
      <c r="C1067" s="78">
        <v>32596</v>
      </c>
      <c r="D1067" s="78"/>
      <c r="E1067" s="78">
        <v>32596</v>
      </c>
      <c r="F1067" s="42">
        <v>0</v>
      </c>
      <c r="G1067" s="42">
        <f t="shared" si="16"/>
        <v>32596</v>
      </c>
      <c r="H1067" s="2" t="str">
        <f>VLOOKUP(A1067,'TB April'!A:H,8,0)</f>
        <v>Add: Purchase of Stores, Spares &amp; Consumables</v>
      </c>
    </row>
    <row r="1068" spans="1:8" hidden="1">
      <c r="A1068" s="62" t="s">
        <v>767</v>
      </c>
      <c r="B1068" s="78"/>
      <c r="C1068" s="78">
        <v>1500</v>
      </c>
      <c r="D1068" s="78"/>
      <c r="E1068" s="78">
        <v>1500</v>
      </c>
      <c r="F1068" s="42">
        <v>0</v>
      </c>
      <c r="G1068" s="42">
        <f t="shared" si="16"/>
        <v>1500</v>
      </c>
      <c r="H1068" s="2" t="s">
        <v>11</v>
      </c>
    </row>
    <row r="1069" spans="1:8" hidden="1">
      <c r="A1069" s="62" t="s">
        <v>772</v>
      </c>
      <c r="B1069" s="78"/>
      <c r="C1069" s="78">
        <v>1095049.5</v>
      </c>
      <c r="D1069" s="78"/>
      <c r="E1069" s="78">
        <v>1095049.5</v>
      </c>
      <c r="F1069" s="42">
        <v>0</v>
      </c>
      <c r="G1069" s="42">
        <f t="shared" si="16"/>
        <v>1095049.5</v>
      </c>
      <c r="H1069" s="2" t="str">
        <f>VLOOKUP(A1069,'TB April'!A:H,8,0)</f>
        <v>Add: Purchase of packing materials</v>
      </c>
    </row>
    <row r="1070" spans="1:8" hidden="1">
      <c r="A1070" s="62" t="s">
        <v>766</v>
      </c>
      <c r="B1070" s="78"/>
      <c r="C1070" s="78">
        <v>10754414</v>
      </c>
      <c r="D1070" s="78"/>
      <c r="E1070" s="78">
        <v>10754414</v>
      </c>
      <c r="F1070" s="42">
        <v>0</v>
      </c>
      <c r="G1070" s="42">
        <f t="shared" si="16"/>
        <v>10754414</v>
      </c>
      <c r="H1070" s="2" t="str">
        <f>VLOOKUP(A1070,'TB April'!A:H,8,0)</f>
        <v>Add: Purchase of raw materials</v>
      </c>
    </row>
    <row r="1071" spans="1:8" hidden="1">
      <c r="A1071" s="62" t="s">
        <v>771</v>
      </c>
      <c r="B1071" s="78"/>
      <c r="C1071" s="78">
        <v>82355380.650000006</v>
      </c>
      <c r="D1071" s="78"/>
      <c r="E1071" s="78">
        <v>82355380.650000006</v>
      </c>
      <c r="F1071" s="42">
        <v>0</v>
      </c>
      <c r="G1071" s="42">
        <f t="shared" si="16"/>
        <v>82355380.650000006</v>
      </c>
      <c r="H1071" s="2" t="str">
        <f>VLOOKUP(A1071,'TB April'!A:H,8,0)</f>
        <v>Add: Purchase of raw materials</v>
      </c>
    </row>
    <row r="1072" spans="1:8" hidden="1">
      <c r="A1072" s="62" t="s">
        <v>765</v>
      </c>
      <c r="B1072" s="78"/>
      <c r="C1072" s="78">
        <v>11207</v>
      </c>
      <c r="D1072" s="78"/>
      <c r="E1072" s="78">
        <v>11207</v>
      </c>
      <c r="F1072" s="42">
        <v>0</v>
      </c>
      <c r="G1072" s="42">
        <f t="shared" si="16"/>
        <v>11207</v>
      </c>
      <c r="H1072" s="2" t="str">
        <f>VLOOKUP(A1072,'TB April'!A:H,8,0)</f>
        <v>Add: Purchase of Stores, Spares &amp; Consumables</v>
      </c>
    </row>
    <row r="1073" spans="1:8" hidden="1">
      <c r="A1073" s="62" t="s">
        <v>768</v>
      </c>
      <c r="B1073" s="78"/>
      <c r="C1073" s="78">
        <v>512601.95</v>
      </c>
      <c r="D1073" s="78"/>
      <c r="E1073" s="78">
        <v>512601.95</v>
      </c>
      <c r="F1073" s="42">
        <v>0</v>
      </c>
      <c r="G1073" s="42">
        <f t="shared" si="16"/>
        <v>512601.95</v>
      </c>
      <c r="H1073" s="2" t="str">
        <f>VLOOKUP(A1073,'TB April'!A:H,8,0)</f>
        <v>Add: Purchase of Stores, Spares &amp; Consumables</v>
      </c>
    </row>
    <row r="1074" spans="1:8" hidden="1">
      <c r="A1074" s="62" t="s">
        <v>773</v>
      </c>
      <c r="B1074" s="78"/>
      <c r="C1074" s="78">
        <v>3655747.31</v>
      </c>
      <c r="D1074" s="78"/>
      <c r="E1074" s="78">
        <v>3655747.31</v>
      </c>
      <c r="F1074" s="42">
        <v>0</v>
      </c>
      <c r="G1074" s="42">
        <f t="shared" si="16"/>
        <v>3655747.31</v>
      </c>
      <c r="H1074" s="2" t="str">
        <f>VLOOKUP(A1074,'TB April'!A:H,8,0)</f>
        <v>Add: Purchase of Stores, Spares &amp; Consumables</v>
      </c>
    </row>
    <row r="1075" spans="1:8" hidden="1">
      <c r="A1075" s="62" t="s">
        <v>770</v>
      </c>
      <c r="B1075" s="78"/>
      <c r="C1075" s="78">
        <v>21342250</v>
      </c>
      <c r="D1075" s="78"/>
      <c r="E1075" s="78">
        <v>21342250</v>
      </c>
      <c r="F1075" s="42">
        <v>0</v>
      </c>
      <c r="G1075" s="42">
        <f t="shared" si="16"/>
        <v>21342250</v>
      </c>
      <c r="H1075" s="2" t="str">
        <f>VLOOKUP(A1075,'TB April'!A:H,8,0)</f>
        <v>Add: Purchase of raw materials</v>
      </c>
    </row>
    <row r="1076" spans="1:8" hidden="1">
      <c r="A1076" s="62" t="s">
        <v>827</v>
      </c>
      <c r="B1076" s="78"/>
      <c r="C1076" s="78">
        <v>134552</v>
      </c>
      <c r="D1076" s="78"/>
      <c r="E1076" s="78">
        <v>134552</v>
      </c>
      <c r="F1076" s="42">
        <v>0</v>
      </c>
      <c r="G1076" s="42">
        <f t="shared" si="16"/>
        <v>134552</v>
      </c>
      <c r="H1076" s="2" t="str">
        <f>VLOOKUP(A1076,'TB April'!A:H,8,0)</f>
        <v>Conveyance, vehicle running and traveling expenses</v>
      </c>
    </row>
    <row r="1077" spans="1:8" hidden="1">
      <c r="A1077" s="62" t="s">
        <v>1305</v>
      </c>
      <c r="B1077" s="78"/>
      <c r="C1077" s="78">
        <v>316692</v>
      </c>
      <c r="D1077" s="78"/>
      <c r="E1077" s="78">
        <v>316692</v>
      </c>
      <c r="F1077" s="42">
        <v>0</v>
      </c>
      <c r="G1077" s="42">
        <f t="shared" si="16"/>
        <v>316692</v>
      </c>
      <c r="H1077" s="2" t="str">
        <f>VLOOKUP(A1077,'TB April'!A:H,8,0)</f>
        <v>Other Administrative Expenses</v>
      </c>
    </row>
    <row r="1078" spans="1:8" hidden="1">
      <c r="A1078" s="62" t="s">
        <v>832</v>
      </c>
      <c r="B1078" s="78"/>
      <c r="C1078" s="78">
        <v>1647734</v>
      </c>
      <c r="D1078" s="78"/>
      <c r="E1078" s="78">
        <v>1647734</v>
      </c>
      <c r="F1078" s="42">
        <v>0</v>
      </c>
      <c r="G1078" s="42">
        <f t="shared" si="16"/>
        <v>1647734</v>
      </c>
      <c r="H1078" s="2" t="str">
        <f>VLOOKUP(A1078,'TB April'!A:H,8,0)</f>
        <v>Other Administrative Expenses</v>
      </c>
    </row>
    <row r="1079" spans="1:8">
      <c r="A1079" s="62" t="s">
        <v>816</v>
      </c>
      <c r="B1079" s="78"/>
      <c r="C1079" s="78">
        <v>872619.4</v>
      </c>
      <c r="D1079" s="78"/>
      <c r="E1079" s="78">
        <v>872619.4</v>
      </c>
      <c r="F1079" s="42">
        <v>310000</v>
      </c>
      <c r="G1079" s="42">
        <f t="shared" si="16"/>
        <v>1182619.3999999999</v>
      </c>
      <c r="H1079" s="2" t="str">
        <f>VLOOKUP(A1079,'TB April'!A:H,8,0)</f>
        <v>Other Manufacturing Expenses</v>
      </c>
    </row>
    <row r="1080" spans="1:8" hidden="1">
      <c r="A1080" s="62" t="s">
        <v>793</v>
      </c>
      <c r="B1080" s="78"/>
      <c r="C1080" s="78">
        <v>26969.040000000001</v>
      </c>
      <c r="D1080" s="78"/>
      <c r="E1080" s="78">
        <v>26969.040000000001</v>
      </c>
      <c r="F1080" s="42">
        <v>0</v>
      </c>
      <c r="G1080" s="42">
        <f t="shared" si="16"/>
        <v>26969.040000000001</v>
      </c>
      <c r="H1080" s="2" t="s">
        <v>71</v>
      </c>
    </row>
    <row r="1081" spans="1:8" hidden="1">
      <c r="A1081" s="62" t="s">
        <v>1306</v>
      </c>
      <c r="B1081" s="78"/>
      <c r="C1081" s="78">
        <v>4000</v>
      </c>
      <c r="D1081" s="78"/>
      <c r="E1081" s="78">
        <v>4000</v>
      </c>
      <c r="F1081" s="42">
        <v>0</v>
      </c>
      <c r="G1081" s="42">
        <f t="shared" si="16"/>
        <v>4000</v>
      </c>
      <c r="H1081" s="2" t="str">
        <f>VLOOKUP(A1081,'TB April'!A:H,8,0)</f>
        <v>Other Administrative Expenses</v>
      </c>
    </row>
    <row r="1082" spans="1:8" hidden="1">
      <c r="A1082" s="62" t="s">
        <v>805</v>
      </c>
      <c r="B1082" s="78"/>
      <c r="C1082" s="78">
        <v>4070</v>
      </c>
      <c r="D1082" s="78"/>
      <c r="E1082" s="78">
        <v>4070</v>
      </c>
      <c r="F1082" s="42">
        <v>0</v>
      </c>
      <c r="G1082" s="42">
        <f t="shared" si="16"/>
        <v>4070</v>
      </c>
      <c r="H1082" s="2" t="str">
        <f>VLOOKUP(A1082,'TB April'!A:H,8,0)</f>
        <v>Other Administrative Expenses</v>
      </c>
    </row>
    <row r="1083" spans="1:8" hidden="1">
      <c r="A1083" s="62" t="s">
        <v>776</v>
      </c>
      <c r="B1083" s="78"/>
      <c r="C1083" s="78">
        <v>13994.54</v>
      </c>
      <c r="D1083" s="78"/>
      <c r="E1083" s="78">
        <v>13994.54</v>
      </c>
      <c r="F1083" s="42">
        <v>0</v>
      </c>
      <c r="G1083" s="42">
        <f t="shared" si="16"/>
        <v>13994.54</v>
      </c>
      <c r="H1083" s="2" t="str">
        <f>VLOOKUP(A1083,'TB April'!A:H,8,0)</f>
        <v>Other Administrative Expenses</v>
      </c>
    </row>
    <row r="1084" spans="1:8" hidden="1">
      <c r="A1084" s="62" t="s">
        <v>783</v>
      </c>
      <c r="B1084" s="78"/>
      <c r="C1084" s="78">
        <v>8235</v>
      </c>
      <c r="D1084" s="78"/>
      <c r="E1084" s="78">
        <v>8235</v>
      </c>
      <c r="F1084" s="42">
        <v>0</v>
      </c>
      <c r="G1084" s="42">
        <f t="shared" si="16"/>
        <v>8235</v>
      </c>
      <c r="H1084" s="2" t="str">
        <f>VLOOKUP(A1084,'TB April'!A:H,8,0)</f>
        <v>Conveyance, vehicle running and traveling expenses</v>
      </c>
    </row>
    <row r="1085" spans="1:8" hidden="1">
      <c r="A1085" s="62" t="s">
        <v>784</v>
      </c>
      <c r="B1085" s="78"/>
      <c r="C1085" s="78">
        <v>13430.6</v>
      </c>
      <c r="D1085" s="78"/>
      <c r="E1085" s="78">
        <v>13430.6</v>
      </c>
      <c r="F1085" s="42">
        <v>0</v>
      </c>
      <c r="G1085" s="42">
        <f t="shared" si="16"/>
        <v>13430.6</v>
      </c>
      <c r="H1085" s="2" t="str">
        <f>VLOOKUP(A1085,'TB April'!A:H,8,0)</f>
        <v>Other Administrative Expenses</v>
      </c>
    </row>
    <row r="1086" spans="1:8" hidden="1">
      <c r="A1086" s="62" t="s">
        <v>786</v>
      </c>
      <c r="B1086" s="78"/>
      <c r="C1086" s="78">
        <v>148146.94</v>
      </c>
      <c r="D1086" s="78"/>
      <c r="E1086" s="78">
        <v>148146.94</v>
      </c>
      <c r="F1086" s="42">
        <v>0</v>
      </c>
      <c r="G1086" s="42">
        <f t="shared" si="16"/>
        <v>148146.94</v>
      </c>
      <c r="H1086" s="2" t="str">
        <f>VLOOKUP(A1086,'TB April'!A:H,8,0)</f>
        <v>Other Administrative Expenses</v>
      </c>
    </row>
    <row r="1087" spans="1:8" hidden="1">
      <c r="A1087" s="62" t="s">
        <v>763</v>
      </c>
      <c r="B1087" s="78"/>
      <c r="C1087" s="78">
        <v>9.0500000000000007</v>
      </c>
      <c r="D1087" s="78">
        <v>5.7</v>
      </c>
      <c r="E1087" s="78">
        <v>3.35</v>
      </c>
      <c r="F1087" s="42">
        <v>0</v>
      </c>
      <c r="G1087" s="42">
        <f t="shared" si="16"/>
        <v>3.35</v>
      </c>
      <c r="H1087" s="2" t="str">
        <f>VLOOKUP(A1087,'TB April'!A:H,8,0)</f>
        <v>Not Applicable</v>
      </c>
    </row>
    <row r="1088" spans="1:8">
      <c r="A1088" s="62" t="s">
        <v>755</v>
      </c>
      <c r="B1088" s="78"/>
      <c r="C1088" s="78">
        <v>221500</v>
      </c>
      <c r="D1088" s="78"/>
      <c r="E1088" s="78">
        <v>221500</v>
      </c>
      <c r="F1088" s="42">
        <v>235000</v>
      </c>
      <c r="G1088" s="42">
        <f t="shared" si="16"/>
        <v>456500</v>
      </c>
      <c r="H1088" s="2" t="s">
        <v>72</v>
      </c>
    </row>
    <row r="1089" spans="1:8" hidden="1">
      <c r="A1089" s="62" t="s">
        <v>756</v>
      </c>
      <c r="B1089" s="78"/>
      <c r="C1089" s="78">
        <v>303815.3</v>
      </c>
      <c r="D1089" s="78"/>
      <c r="E1089" s="78">
        <v>303815.3</v>
      </c>
      <c r="F1089" s="42">
        <v>0</v>
      </c>
      <c r="G1089" s="42">
        <f t="shared" si="16"/>
        <v>303815.3</v>
      </c>
      <c r="H1089" s="2" t="str">
        <f>VLOOKUP(A1089,'TB April'!A:H,8,0)</f>
        <v>Other Administrative Expenses</v>
      </c>
    </row>
    <row r="1090" spans="1:8" hidden="1">
      <c r="A1090" s="62" t="s">
        <v>757</v>
      </c>
      <c r="B1090" s="78"/>
      <c r="C1090" s="78">
        <v>12700</v>
      </c>
      <c r="D1090" s="78"/>
      <c r="E1090" s="78">
        <v>12700</v>
      </c>
      <c r="F1090" s="42">
        <v>0</v>
      </c>
      <c r="G1090" s="42">
        <f t="shared" si="16"/>
        <v>12700</v>
      </c>
      <c r="H1090" s="2" t="str">
        <f>VLOOKUP(A1090,'TB April'!A:H,8,0)</f>
        <v>Other Administrative Expenses</v>
      </c>
    </row>
    <row r="1091" spans="1:8" hidden="1">
      <c r="A1091" s="62" t="s">
        <v>758</v>
      </c>
      <c r="B1091" s="78"/>
      <c r="C1091" s="78">
        <v>11965</v>
      </c>
      <c r="D1091" s="78"/>
      <c r="E1091" s="78">
        <v>11965</v>
      </c>
      <c r="F1091" s="42">
        <v>0</v>
      </c>
      <c r="G1091" s="42">
        <f t="shared" si="16"/>
        <v>11965</v>
      </c>
      <c r="H1091" s="2" t="s">
        <v>72</v>
      </c>
    </row>
    <row r="1092" spans="1:8" hidden="1">
      <c r="A1092" s="62" t="s">
        <v>759</v>
      </c>
      <c r="B1092" s="78"/>
      <c r="C1092" s="78">
        <v>19001.84</v>
      </c>
      <c r="D1092" s="78"/>
      <c r="E1092" s="78">
        <v>19001.84</v>
      </c>
      <c r="F1092" s="42">
        <v>0</v>
      </c>
      <c r="G1092" s="42">
        <f t="shared" si="16"/>
        <v>19001.84</v>
      </c>
      <c r="H1092" s="2" t="str">
        <f>VLOOKUP(A1092,'TB April'!A:H,8,0)</f>
        <v>Conveyance, vehicle running and traveling expenses</v>
      </c>
    </row>
    <row r="1093" spans="1:8" hidden="1">
      <c r="A1093" s="62" t="s">
        <v>760</v>
      </c>
      <c r="B1093" s="78"/>
      <c r="C1093" s="78">
        <v>99016.2</v>
      </c>
      <c r="D1093" s="78"/>
      <c r="E1093" s="78">
        <v>99016.2</v>
      </c>
      <c r="F1093" s="42">
        <v>0</v>
      </c>
      <c r="G1093" s="42">
        <f t="shared" si="16"/>
        <v>99016.2</v>
      </c>
      <c r="H1093" s="2" t="str">
        <f>VLOOKUP(A1093,'TB April'!A:H,8,0)</f>
        <v>Other Administrative Expenses</v>
      </c>
    </row>
    <row r="1094" spans="1:8" hidden="1">
      <c r="A1094" s="62" t="s">
        <v>790</v>
      </c>
      <c r="B1094" s="78"/>
      <c r="C1094" s="78">
        <v>336000</v>
      </c>
      <c r="D1094" s="78"/>
      <c r="E1094" s="78">
        <v>336000</v>
      </c>
      <c r="F1094" s="42">
        <v>0</v>
      </c>
      <c r="G1094" s="42">
        <f t="shared" ref="G1094:G1138" si="18">+E1094+F1094</f>
        <v>336000</v>
      </c>
      <c r="H1094" s="2" t="str">
        <f>VLOOKUP(A1094,'TB April'!A:H,8,0)</f>
        <v>Conveyance, vehicle running and traveling expenses</v>
      </c>
    </row>
    <row r="1095" spans="1:8" hidden="1">
      <c r="A1095" s="62" t="s">
        <v>874</v>
      </c>
      <c r="B1095" s="78"/>
      <c r="C1095" s="78">
        <v>376500</v>
      </c>
      <c r="D1095" s="78"/>
      <c r="E1095" s="78">
        <v>376500</v>
      </c>
      <c r="F1095" s="42">
        <v>0</v>
      </c>
      <c r="G1095" s="42">
        <f t="shared" si="18"/>
        <v>376500</v>
      </c>
      <c r="H1095" s="2" t="s">
        <v>67</v>
      </c>
    </row>
    <row r="1096" spans="1:8" hidden="1">
      <c r="A1096" s="62" t="s">
        <v>781</v>
      </c>
      <c r="B1096" s="78"/>
      <c r="C1096" s="78">
        <v>24504</v>
      </c>
      <c r="D1096" s="78"/>
      <c r="E1096" s="78">
        <v>24504</v>
      </c>
      <c r="F1096" s="42">
        <v>0</v>
      </c>
      <c r="G1096" s="42">
        <f t="shared" si="18"/>
        <v>24504</v>
      </c>
      <c r="H1096" s="2" t="str">
        <f>VLOOKUP(A1096,'TB April'!A:H,8,0)</f>
        <v>Contribution to provident and other funds</v>
      </c>
    </row>
    <row r="1097" spans="1:8" hidden="1">
      <c r="A1097" s="62" t="s">
        <v>782</v>
      </c>
      <c r="B1097" s="78"/>
      <c r="C1097" s="78">
        <v>612628</v>
      </c>
      <c r="D1097" s="78"/>
      <c r="E1097" s="78">
        <v>612628</v>
      </c>
      <c r="F1097" s="42">
        <v>0</v>
      </c>
      <c r="G1097" s="42">
        <f t="shared" si="18"/>
        <v>612628</v>
      </c>
      <c r="H1097" s="2" t="str">
        <f>VLOOKUP(A1097,'TB April'!A:H,8,0)</f>
        <v>Contribution to provident and other funds</v>
      </c>
    </row>
    <row r="1098" spans="1:8" hidden="1">
      <c r="A1098" s="62" t="s">
        <v>842</v>
      </c>
      <c r="B1098" s="78"/>
      <c r="C1098" s="78">
        <v>46612</v>
      </c>
      <c r="D1098" s="78"/>
      <c r="E1098" s="78">
        <v>46612</v>
      </c>
      <c r="F1098" s="42">
        <v>0</v>
      </c>
      <c r="G1098" s="42">
        <f t="shared" si="18"/>
        <v>46612</v>
      </c>
      <c r="H1098" s="8" t="s">
        <v>52</v>
      </c>
    </row>
    <row r="1099" spans="1:8" hidden="1">
      <c r="A1099" s="62" t="s">
        <v>843</v>
      </c>
      <c r="B1099" s="78"/>
      <c r="C1099" s="78">
        <v>1123245</v>
      </c>
      <c r="D1099" s="78"/>
      <c r="E1099" s="78">
        <v>1123245</v>
      </c>
      <c r="F1099" s="42">
        <v>0</v>
      </c>
      <c r="G1099" s="42">
        <f t="shared" si="18"/>
        <v>1123245</v>
      </c>
      <c r="H1099" s="2" t="str">
        <f>VLOOKUP(A1099,'TB April'!A:H,8,0)</f>
        <v xml:space="preserve">Salaries, wages and  bonus </v>
      </c>
    </row>
    <row r="1100" spans="1:8" hidden="1">
      <c r="A1100" s="62" t="s">
        <v>844</v>
      </c>
      <c r="B1100" s="78"/>
      <c r="C1100" s="78">
        <v>49234</v>
      </c>
      <c r="D1100" s="78"/>
      <c r="E1100" s="78">
        <v>49234</v>
      </c>
      <c r="F1100" s="42">
        <v>0</v>
      </c>
      <c r="G1100" s="42">
        <f t="shared" si="18"/>
        <v>49234</v>
      </c>
      <c r="H1100" s="8" t="s">
        <v>52</v>
      </c>
    </row>
    <row r="1101" spans="1:8" hidden="1">
      <c r="A1101" s="62" t="s">
        <v>845</v>
      </c>
      <c r="B1101" s="78"/>
      <c r="C1101" s="78">
        <v>15000</v>
      </c>
      <c r="D1101" s="78"/>
      <c r="E1101" s="78">
        <v>15000</v>
      </c>
      <c r="F1101" s="42">
        <v>0</v>
      </c>
      <c r="G1101" s="42">
        <f t="shared" si="18"/>
        <v>15000</v>
      </c>
      <c r="H1101" s="8" t="s">
        <v>52</v>
      </c>
    </row>
    <row r="1102" spans="1:8" hidden="1">
      <c r="A1102" s="62" t="s">
        <v>846</v>
      </c>
      <c r="B1102" s="78"/>
      <c r="C1102" s="78">
        <v>2176096</v>
      </c>
      <c r="D1102" s="78"/>
      <c r="E1102" s="78">
        <v>2176096</v>
      </c>
      <c r="F1102" s="42">
        <v>0</v>
      </c>
      <c r="G1102" s="42">
        <f t="shared" si="18"/>
        <v>2176096</v>
      </c>
      <c r="H1102" s="2" t="str">
        <f>VLOOKUP(A1102,'TB April'!A:H,8,0)</f>
        <v xml:space="preserve">Salaries, wages and  bonus </v>
      </c>
    </row>
    <row r="1103" spans="1:8" hidden="1">
      <c r="A1103" s="62" t="s">
        <v>847</v>
      </c>
      <c r="B1103" s="78"/>
      <c r="C1103" s="78">
        <v>133150</v>
      </c>
      <c r="D1103" s="78"/>
      <c r="E1103" s="78">
        <v>133150</v>
      </c>
      <c r="F1103" s="42">
        <v>0</v>
      </c>
      <c r="G1103" s="42">
        <f t="shared" si="18"/>
        <v>133150</v>
      </c>
      <c r="H1103" s="8" t="s">
        <v>52</v>
      </c>
    </row>
    <row r="1104" spans="1:8" hidden="1">
      <c r="A1104" s="62" t="s">
        <v>848</v>
      </c>
      <c r="B1104" s="78"/>
      <c r="C1104" s="78">
        <v>32376</v>
      </c>
      <c r="D1104" s="78"/>
      <c r="E1104" s="78">
        <v>32376</v>
      </c>
      <c r="F1104" s="42">
        <v>0</v>
      </c>
      <c r="G1104" s="42">
        <f t="shared" si="18"/>
        <v>32376</v>
      </c>
      <c r="H1104" s="8" t="s">
        <v>52</v>
      </c>
    </row>
    <row r="1105" spans="1:8" hidden="1">
      <c r="A1105" s="62" t="s">
        <v>849</v>
      </c>
      <c r="B1105" s="78"/>
      <c r="C1105" s="78">
        <v>103754</v>
      </c>
      <c r="D1105" s="78"/>
      <c r="E1105" s="78">
        <v>103754</v>
      </c>
      <c r="F1105" s="42">
        <v>0</v>
      </c>
      <c r="G1105" s="42">
        <f t="shared" si="18"/>
        <v>103754</v>
      </c>
      <c r="H1105" s="8" t="s">
        <v>52</v>
      </c>
    </row>
    <row r="1106" spans="1:8" hidden="1">
      <c r="A1106" s="62" t="s">
        <v>850</v>
      </c>
      <c r="B1106" s="78"/>
      <c r="C1106" s="78">
        <v>418451</v>
      </c>
      <c r="D1106" s="78"/>
      <c r="E1106" s="78">
        <v>418451</v>
      </c>
      <c r="F1106" s="42">
        <v>0</v>
      </c>
      <c r="G1106" s="42">
        <f t="shared" si="18"/>
        <v>418451</v>
      </c>
      <c r="H1106" s="2" t="str">
        <f>VLOOKUP(A1106,'TB April'!A:H,8,0)</f>
        <v xml:space="preserve">Salaries, wages and  bonus </v>
      </c>
    </row>
    <row r="1107" spans="1:8" hidden="1">
      <c r="A1107" s="62" t="s">
        <v>851</v>
      </c>
      <c r="B1107" s="78"/>
      <c r="C1107" s="78">
        <v>82985</v>
      </c>
      <c r="D1107" s="78"/>
      <c r="E1107" s="78">
        <v>82985</v>
      </c>
      <c r="F1107" s="42">
        <v>0</v>
      </c>
      <c r="G1107" s="42">
        <f t="shared" si="18"/>
        <v>82985</v>
      </c>
      <c r="H1107" s="8" t="s">
        <v>52</v>
      </c>
    </row>
    <row r="1108" spans="1:8" hidden="1">
      <c r="A1108" s="62" t="s">
        <v>852</v>
      </c>
      <c r="B1108" s="78"/>
      <c r="C1108" s="78">
        <v>75803</v>
      </c>
      <c r="D1108" s="78"/>
      <c r="E1108" s="78">
        <v>75803</v>
      </c>
      <c r="F1108" s="42">
        <v>0</v>
      </c>
      <c r="G1108" s="42">
        <f t="shared" si="18"/>
        <v>75803</v>
      </c>
      <c r="H1108" s="8" t="s">
        <v>52</v>
      </c>
    </row>
    <row r="1109" spans="1:8" hidden="1">
      <c r="A1109" s="62" t="s">
        <v>853</v>
      </c>
      <c r="B1109" s="78"/>
      <c r="C1109" s="78">
        <v>750889</v>
      </c>
      <c r="D1109" s="78"/>
      <c r="E1109" s="78">
        <v>750889</v>
      </c>
      <c r="F1109" s="42">
        <v>0</v>
      </c>
      <c r="G1109" s="42">
        <f t="shared" si="18"/>
        <v>750889</v>
      </c>
      <c r="H1109" s="2" t="str">
        <f>VLOOKUP(A1109,'TB April'!A:H,8,0)</f>
        <v xml:space="preserve">Salaries, wages and  bonus </v>
      </c>
    </row>
    <row r="1110" spans="1:8" hidden="1">
      <c r="A1110" s="62" t="s">
        <v>839</v>
      </c>
      <c r="B1110" s="78"/>
      <c r="C1110" s="78">
        <v>47600</v>
      </c>
      <c r="D1110" s="78"/>
      <c r="E1110" s="78">
        <v>47600</v>
      </c>
      <c r="F1110" s="42">
        <v>0</v>
      </c>
      <c r="G1110" s="42">
        <f t="shared" si="18"/>
        <v>47600</v>
      </c>
      <c r="H1110" s="8" t="s">
        <v>52</v>
      </c>
    </row>
    <row r="1111" spans="1:8" hidden="1">
      <c r="A1111" s="62" t="s">
        <v>840</v>
      </c>
      <c r="B1111" s="78"/>
      <c r="C1111" s="78">
        <v>27279</v>
      </c>
      <c r="D1111" s="78"/>
      <c r="E1111" s="78">
        <v>27279</v>
      </c>
      <c r="F1111" s="42">
        <v>0</v>
      </c>
      <c r="G1111" s="42">
        <f t="shared" si="18"/>
        <v>27279</v>
      </c>
      <c r="H1111" s="2" t="str">
        <f>VLOOKUP(A1111,'TB April'!A:H,8,0)</f>
        <v xml:space="preserve">Salaries, wages and  bonus </v>
      </c>
    </row>
    <row r="1112" spans="1:8" hidden="1">
      <c r="A1112" s="62" t="s">
        <v>817</v>
      </c>
      <c r="B1112" s="78"/>
      <c r="C1112" s="78">
        <v>1012495</v>
      </c>
      <c r="D1112" s="78"/>
      <c r="E1112" s="78">
        <v>1012495</v>
      </c>
      <c r="F1112" s="42">
        <v>0</v>
      </c>
      <c r="G1112" s="42">
        <f t="shared" si="18"/>
        <v>1012495</v>
      </c>
      <c r="H1112" s="2" t="str">
        <f>VLOOKUP(A1112,'TB April'!A:H,8,0)</f>
        <v xml:space="preserve">Salaries, wages and  bonus </v>
      </c>
    </row>
    <row r="1113" spans="1:8" hidden="1">
      <c r="A1113" s="62" t="s">
        <v>801</v>
      </c>
      <c r="B1113" s="78"/>
      <c r="C1113" s="78">
        <v>44370</v>
      </c>
      <c r="D1113" s="78"/>
      <c r="E1113" s="78">
        <v>44370</v>
      </c>
      <c r="F1113" s="42">
        <v>0</v>
      </c>
      <c r="G1113" s="42">
        <f t="shared" si="18"/>
        <v>44370</v>
      </c>
      <c r="H1113" s="2" t="str">
        <f>VLOOKUP(A1113,'TB April'!A:H,8,0)</f>
        <v xml:space="preserve">Salaries, wages and  bonus </v>
      </c>
    </row>
    <row r="1114" spans="1:8" hidden="1">
      <c r="A1114" s="62" t="s">
        <v>779</v>
      </c>
      <c r="B1114" s="78"/>
      <c r="C1114" s="78"/>
      <c r="D1114" s="78">
        <v>27610</v>
      </c>
      <c r="E1114" s="78">
        <v>-27610</v>
      </c>
      <c r="F1114" s="42">
        <v>0</v>
      </c>
      <c r="G1114" s="42">
        <f t="shared" si="18"/>
        <v>-27610</v>
      </c>
      <c r="H1114" s="8" t="s">
        <v>52</v>
      </c>
    </row>
    <row r="1115" spans="1:8">
      <c r="A1115" s="62" t="s">
        <v>754</v>
      </c>
      <c r="B1115" s="78"/>
      <c r="C1115" s="78">
        <v>3054574</v>
      </c>
      <c r="D1115" s="78"/>
      <c r="E1115" s="78">
        <v>3054574</v>
      </c>
      <c r="F1115" s="42">
        <v>9372319</v>
      </c>
      <c r="G1115" s="42">
        <f t="shared" si="18"/>
        <v>12426893</v>
      </c>
      <c r="H1115" s="2" t="str">
        <f>VLOOKUP(A1115,'TB April'!A:H,8,0)</f>
        <v xml:space="preserve">Salaries, wages and  bonus </v>
      </c>
    </row>
    <row r="1116" spans="1:8" hidden="1">
      <c r="A1116" s="62" t="s">
        <v>787</v>
      </c>
      <c r="B1116" s="78"/>
      <c r="C1116" s="78">
        <v>41160</v>
      </c>
      <c r="D1116" s="78"/>
      <c r="E1116" s="78">
        <v>41160</v>
      </c>
      <c r="F1116" s="42">
        <v>0</v>
      </c>
      <c r="G1116" s="42">
        <f t="shared" si="18"/>
        <v>41160</v>
      </c>
      <c r="H1116" s="2" t="str">
        <f>VLOOKUP(A1116,'TB April'!A:H,8,0)</f>
        <v>Staff welfare expenses</v>
      </c>
    </row>
    <row r="1117" spans="1:8" hidden="1">
      <c r="A1117" s="62" t="s">
        <v>822</v>
      </c>
      <c r="B1117" s="78"/>
      <c r="C1117" s="78">
        <v>477443.9</v>
      </c>
      <c r="D1117" s="78">
        <v>79740</v>
      </c>
      <c r="E1117" s="78">
        <v>397703.9</v>
      </c>
      <c r="F1117" s="42">
        <v>0</v>
      </c>
      <c r="G1117" s="42">
        <f t="shared" si="18"/>
        <v>397703.9</v>
      </c>
      <c r="H1117" s="2" t="str">
        <f>VLOOKUP(A1117,'TB April'!A:H,8,0)</f>
        <v>Staff welfare expenses</v>
      </c>
    </row>
    <row r="1118" spans="1:8" hidden="1">
      <c r="A1118" s="62" t="s">
        <v>804</v>
      </c>
      <c r="B1118" s="78"/>
      <c r="C1118" s="78">
        <v>8731</v>
      </c>
      <c r="D1118" s="78"/>
      <c r="E1118" s="78">
        <v>8731</v>
      </c>
      <c r="F1118" s="42">
        <v>0</v>
      </c>
      <c r="G1118" s="42">
        <f t="shared" si="18"/>
        <v>8731</v>
      </c>
      <c r="H1118" s="2" t="str">
        <f>VLOOKUP(A1118,'TB April'!A:H,8,0)</f>
        <v>Staff welfare expenses</v>
      </c>
    </row>
    <row r="1119" spans="1:8" hidden="1">
      <c r="A1119" s="62" t="s">
        <v>835</v>
      </c>
      <c r="B1119" s="78"/>
      <c r="C1119" s="78">
        <v>109515.47</v>
      </c>
      <c r="D1119" s="78"/>
      <c r="E1119" s="78">
        <v>109515.47</v>
      </c>
      <c r="F1119" s="42">
        <v>0</v>
      </c>
      <c r="G1119" s="42">
        <f t="shared" si="18"/>
        <v>109515.47</v>
      </c>
      <c r="H1119" s="2" t="str">
        <f>VLOOKUP(A1119,'TB April'!A:H,8,0)</f>
        <v>Not Applicable</v>
      </c>
    </row>
    <row r="1120" spans="1:8" hidden="1">
      <c r="A1120" s="62" t="s">
        <v>838</v>
      </c>
      <c r="B1120" s="78"/>
      <c r="C1120" s="78">
        <v>71728.490000000005</v>
      </c>
      <c r="D1120" s="78"/>
      <c r="E1120" s="78">
        <v>71728.490000000005</v>
      </c>
      <c r="F1120" s="42">
        <v>0</v>
      </c>
      <c r="G1120" s="42">
        <f t="shared" si="18"/>
        <v>71728.490000000005</v>
      </c>
      <c r="H1120" s="2" t="str">
        <f>VLOOKUP(A1120,'TB April'!A:H,8,0)</f>
        <v>Not Applicable</v>
      </c>
    </row>
    <row r="1121" spans="1:8" hidden="1">
      <c r="A1121" s="62" t="s">
        <v>831</v>
      </c>
      <c r="B1121" s="78"/>
      <c r="C1121" s="78">
        <v>286.98</v>
      </c>
      <c r="D1121" s="78">
        <v>5623707.1100000003</v>
      </c>
      <c r="E1121" s="78">
        <v>-6044432</v>
      </c>
      <c r="F1121" s="42">
        <v>0</v>
      </c>
      <c r="G1121" s="42">
        <f t="shared" si="18"/>
        <v>-6044432</v>
      </c>
      <c r="H1121" s="2" t="str">
        <f>VLOOKUP(A1121,'TB April'!A:H,8,0)</f>
        <v>Exchange Rate Difference</v>
      </c>
    </row>
    <row r="1122" spans="1:8" hidden="1">
      <c r="A1122" s="62" t="s">
        <v>798</v>
      </c>
      <c r="B1122" s="78"/>
      <c r="C1122" s="78">
        <v>55977.58</v>
      </c>
      <c r="D1122" s="78"/>
      <c r="E1122" s="78">
        <v>55977.58</v>
      </c>
      <c r="F1122" s="42">
        <v>0</v>
      </c>
      <c r="G1122" s="42">
        <f t="shared" si="18"/>
        <v>55977.58</v>
      </c>
      <c r="H1122" s="2" t="str">
        <f>VLOOKUP(A1122,'TB April'!A:H,8,0)</f>
        <v>Not Applicable</v>
      </c>
    </row>
    <row r="1123" spans="1:8" hidden="1">
      <c r="A1123" s="62" t="s">
        <v>807</v>
      </c>
      <c r="B1123" s="78"/>
      <c r="C1123" s="78">
        <v>934369.15</v>
      </c>
      <c r="D1123" s="78"/>
      <c r="E1123" s="78">
        <v>934369.15</v>
      </c>
      <c r="F1123" s="42">
        <v>0</v>
      </c>
      <c r="G1123" s="42">
        <f t="shared" si="18"/>
        <v>934369.15</v>
      </c>
      <c r="H1123" s="2" t="str">
        <f>VLOOKUP(A1123,'TB April'!A:H,8,0)</f>
        <v>Not Applicable</v>
      </c>
    </row>
    <row r="1124" spans="1:8" hidden="1">
      <c r="A1124" s="62" t="s">
        <v>796</v>
      </c>
      <c r="B1124" s="78"/>
      <c r="C1124" s="78">
        <v>953879.16</v>
      </c>
      <c r="D1124" s="78"/>
      <c r="E1124" s="78">
        <v>953879.16</v>
      </c>
      <c r="F1124" s="42">
        <v>0</v>
      </c>
      <c r="G1124" s="42">
        <f t="shared" si="18"/>
        <v>953879.16</v>
      </c>
      <c r="H1124" s="2" t="str">
        <f>VLOOKUP(A1124,'TB April'!A:H,8,0)</f>
        <v>Not Applicable</v>
      </c>
    </row>
    <row r="1125" spans="1:8" hidden="1">
      <c r="A1125" s="62" t="s">
        <v>797</v>
      </c>
      <c r="B1125" s="78"/>
      <c r="C1125" s="78">
        <v>11341.85</v>
      </c>
      <c r="D1125" s="78"/>
      <c r="E1125" s="78">
        <v>11341.85</v>
      </c>
      <c r="F1125" s="42">
        <v>0</v>
      </c>
      <c r="G1125" s="42">
        <f t="shared" si="18"/>
        <v>11341.85</v>
      </c>
      <c r="H1125" s="2" t="str">
        <f>VLOOKUP(A1125,'TB April'!A:H,8,0)</f>
        <v>Other Administrative Expenses</v>
      </c>
    </row>
    <row r="1126" spans="1:8" hidden="1">
      <c r="A1126" s="62" t="s">
        <v>802</v>
      </c>
      <c r="B1126" s="78"/>
      <c r="C1126" s="78">
        <v>2200</v>
      </c>
      <c r="D1126" s="78"/>
      <c r="E1126" s="78">
        <v>2200</v>
      </c>
      <c r="F1126" s="42">
        <v>0</v>
      </c>
      <c r="G1126" s="42">
        <f t="shared" si="18"/>
        <v>2200</v>
      </c>
      <c r="H1126" s="2" t="str">
        <f>VLOOKUP(A1126,'TB April'!A:H,8,0)</f>
        <v>Other Administrative Expenses</v>
      </c>
    </row>
    <row r="1127" spans="1:8" hidden="1">
      <c r="A1127" s="62" t="s">
        <v>775</v>
      </c>
      <c r="B1127" s="78"/>
      <c r="C1127" s="78">
        <v>197198.4</v>
      </c>
      <c r="D1127" s="78"/>
      <c r="E1127" s="78">
        <v>197198.4</v>
      </c>
      <c r="F1127" s="42">
        <v>0</v>
      </c>
      <c r="G1127" s="42">
        <f t="shared" si="18"/>
        <v>197198.4</v>
      </c>
      <c r="H1127" s="2" t="str">
        <f>VLOOKUP(A1127,'TB April'!A:H,8,0)</f>
        <v>Other Administrative Expenses</v>
      </c>
    </row>
    <row r="1128" spans="1:8" hidden="1">
      <c r="A1128" s="62" t="s">
        <v>824</v>
      </c>
      <c r="B1128" s="78"/>
      <c r="C1128" s="78">
        <v>1005254.16</v>
      </c>
      <c r="D1128" s="78">
        <v>1062</v>
      </c>
      <c r="E1128" s="78">
        <v>1004192.16</v>
      </c>
      <c r="F1128" s="42">
        <v>0</v>
      </c>
      <c r="G1128" s="42">
        <f t="shared" si="18"/>
        <v>1004192.16</v>
      </c>
      <c r="H1128" s="2" t="str">
        <f>VLOOKUP(A1128,'TB April'!A:H,8,0)</f>
        <v>Freight Outward and C &amp; F Charges</v>
      </c>
    </row>
    <row r="1129" spans="1:8" hidden="1">
      <c r="A1129" s="62" t="s">
        <v>1079</v>
      </c>
      <c r="B1129" s="78"/>
      <c r="C1129" s="78">
        <v>24999.86</v>
      </c>
      <c r="D1129" s="78"/>
      <c r="E1129" s="78">
        <v>24999.86</v>
      </c>
      <c r="F1129" s="42">
        <v>0</v>
      </c>
      <c r="G1129" s="42">
        <f t="shared" si="18"/>
        <v>24999.86</v>
      </c>
      <c r="H1129" s="2" t="str">
        <f>VLOOKUP(A1129,'TB April'!A:H,8,0)</f>
        <v>Freight Outward and C &amp; F Charges</v>
      </c>
    </row>
    <row r="1130" spans="1:8" hidden="1">
      <c r="A1130" s="62" t="s">
        <v>933</v>
      </c>
      <c r="B1130" s="78"/>
      <c r="C1130" s="78">
        <v>6677.23</v>
      </c>
      <c r="D1130" s="78"/>
      <c r="E1130" s="78">
        <v>6677.23</v>
      </c>
      <c r="F1130" s="42">
        <v>0</v>
      </c>
      <c r="G1130" s="42">
        <f t="shared" si="18"/>
        <v>6677.23</v>
      </c>
      <c r="H1130" s="2" t="str">
        <f>VLOOKUP(A1130,'TB April'!A:H,8,0)</f>
        <v>Other Administrative Expenses</v>
      </c>
    </row>
    <row r="1131" spans="1:8">
      <c r="A1131" s="62" t="s">
        <v>810</v>
      </c>
      <c r="B1131" s="78"/>
      <c r="C1131" s="78"/>
      <c r="D1131" s="78">
        <v>3047853.25</v>
      </c>
      <c r="E1131" s="78">
        <v>-3047853.25</v>
      </c>
      <c r="F1131" s="42">
        <v>0</v>
      </c>
      <c r="G1131" s="42">
        <f t="shared" si="18"/>
        <v>-3047853.25</v>
      </c>
      <c r="H1131" s="2" t="str">
        <f>VLOOKUP(A1131,'TB April'!A:H,8,0)</f>
        <v>Freight Outward and C &amp; F Charges</v>
      </c>
    </row>
    <row r="1132" spans="1:8">
      <c r="A1132" s="62" t="s">
        <v>811</v>
      </c>
      <c r="B1132" s="78"/>
      <c r="C1132" s="78">
        <v>4600</v>
      </c>
      <c r="D1132" s="78"/>
      <c r="E1132" s="78">
        <v>4600</v>
      </c>
      <c r="F1132" s="42">
        <v>1000000</v>
      </c>
      <c r="G1132" s="42">
        <f t="shared" si="18"/>
        <v>1004600</v>
      </c>
      <c r="H1132" s="2" t="str">
        <f>VLOOKUP(A1132,'TB April'!A:H,8,0)</f>
        <v>Freight Outward and C &amp; F Charges</v>
      </c>
    </row>
    <row r="1133" spans="1:8" hidden="1">
      <c r="A1133" s="62" t="s">
        <v>812</v>
      </c>
      <c r="B1133" s="78"/>
      <c r="C1133" s="78">
        <v>3966010.64</v>
      </c>
      <c r="D1133" s="78">
        <v>67261</v>
      </c>
      <c r="E1133" s="78">
        <v>3898749.64</v>
      </c>
      <c r="F1133" s="42">
        <v>0</v>
      </c>
      <c r="G1133" s="42">
        <f t="shared" si="18"/>
        <v>3898749.64</v>
      </c>
      <c r="H1133" s="2" t="str">
        <f>VLOOKUP(A1133,'TB April'!A:H,8,0)</f>
        <v>Freight Outward and C &amp; F Charges</v>
      </c>
    </row>
    <row r="1134" spans="1:8" hidden="1">
      <c r="A1134" s="62" t="s">
        <v>813</v>
      </c>
      <c r="B1134" s="78"/>
      <c r="C1134" s="78">
        <v>660250</v>
      </c>
      <c r="D1134" s="78"/>
      <c r="E1134" s="78">
        <v>660250</v>
      </c>
      <c r="F1134" s="42">
        <v>0</v>
      </c>
      <c r="G1134" s="42">
        <f t="shared" si="18"/>
        <v>660250</v>
      </c>
      <c r="H1134" s="2" t="str">
        <f>VLOOKUP(A1134,'TB April'!A:H,8,0)</f>
        <v>Freight Outward and C &amp; F Charges</v>
      </c>
    </row>
    <row r="1135" spans="1:8" hidden="1">
      <c r="A1135" s="62" t="s">
        <v>814</v>
      </c>
      <c r="B1135" s="78"/>
      <c r="C1135" s="78">
        <v>18700</v>
      </c>
      <c r="D1135" s="78"/>
      <c r="E1135" s="78">
        <v>18700</v>
      </c>
      <c r="F1135" s="42">
        <v>0</v>
      </c>
      <c r="G1135" s="42">
        <f t="shared" si="18"/>
        <v>18700</v>
      </c>
      <c r="H1135" s="2" t="s">
        <v>72</v>
      </c>
    </row>
    <row r="1136" spans="1:8" hidden="1">
      <c r="A1136" s="62" t="s">
        <v>1541</v>
      </c>
      <c r="B1136" s="78"/>
      <c r="C1136" s="78">
        <v>14700</v>
      </c>
      <c r="D1136" s="78"/>
      <c r="E1136" s="78">
        <v>14700</v>
      </c>
      <c r="F1136" s="42">
        <v>0</v>
      </c>
      <c r="G1136" s="42">
        <f t="shared" si="18"/>
        <v>14700</v>
      </c>
      <c r="H1136" s="2" t="s">
        <v>72</v>
      </c>
    </row>
    <row r="1137" spans="1:8" hidden="1">
      <c r="A1137" s="62" t="s">
        <v>794</v>
      </c>
      <c r="B1137" s="78"/>
      <c r="C1137" s="78"/>
      <c r="D1137" s="78">
        <v>13741.96</v>
      </c>
      <c r="E1137" s="78">
        <v>-13741.96</v>
      </c>
      <c r="F1137" s="42">
        <v>0</v>
      </c>
      <c r="G1137" s="42">
        <f t="shared" si="18"/>
        <v>-13741.96</v>
      </c>
      <c r="H1137" s="2" t="str">
        <f>VLOOKUP(A1137,'TB April'!A:H,8,0)</f>
        <v>Not Applicable</v>
      </c>
    </row>
    <row r="1138" spans="1:8" hidden="1">
      <c r="A1138" s="62" t="s">
        <v>854</v>
      </c>
      <c r="B1138" s="78">
        <v>-737389452.13</v>
      </c>
      <c r="C1138" s="78"/>
      <c r="D1138" s="78">
        <v>0.02</v>
      </c>
      <c r="E1138" s="78">
        <v>-737389452.14999998</v>
      </c>
      <c r="F1138" s="42">
        <v>0</v>
      </c>
      <c r="G1138" s="42">
        <f t="shared" si="18"/>
        <v>-737389452.14999998</v>
      </c>
      <c r="H1138" s="2" t="str">
        <f>VLOOKUP(A1138,'TB April'!A:H,8,0)</f>
        <v>Not Applicable</v>
      </c>
    </row>
    <row r="1139" spans="1:8">
      <c r="A1139" s="79" t="s">
        <v>1495</v>
      </c>
      <c r="B1139" s="80">
        <f t="shared" ref="B1139:G1139" si="19">SUBTOTAL(9,B5:B1138)</f>
        <v>0</v>
      </c>
      <c r="C1139" s="80">
        <f t="shared" si="19"/>
        <v>12232647.199999999</v>
      </c>
      <c r="D1139" s="80">
        <f t="shared" si="19"/>
        <v>3047853.25</v>
      </c>
      <c r="E1139" s="80">
        <f t="shared" si="19"/>
        <v>9184793.9499999993</v>
      </c>
      <c r="F1139" s="80">
        <f t="shared" si="19"/>
        <v>17935831</v>
      </c>
      <c r="G1139" s="80">
        <f t="shared" si="19"/>
        <v>27120624.950000003</v>
      </c>
      <c r="H1139" s="2"/>
    </row>
  </sheetData>
  <autoFilter ref="A4:H1138">
    <filterColumn colId="5">
      <filters>
        <filter val="1,000,000"/>
        <filter val="235,000"/>
        <filter val="310,000"/>
        <filter val="6,926,989"/>
        <filter val="9,372,319"/>
        <filter val="91,523"/>
      </filters>
    </filterColumn>
  </autoFilter>
  <mergeCells count="3">
    <mergeCell ref="B1:E1"/>
    <mergeCell ref="B2:E2"/>
    <mergeCell ref="C3:D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88"/>
  <sheetViews>
    <sheetView workbookViewId="0">
      <selection activeCell="F1197" sqref="F1197"/>
    </sheetView>
  </sheetViews>
  <sheetFormatPr defaultRowHeight="12.75"/>
  <cols>
    <col min="1" max="1" width="42.85546875" style="93" customWidth="1"/>
    <col min="2" max="3" width="15.7109375" style="77" customWidth="1"/>
    <col min="4" max="4" width="18.7109375" style="77" bestFit="1" customWidth="1"/>
    <col min="5" max="5" width="17.5703125" style="77" bestFit="1" customWidth="1"/>
    <col min="6" max="6" width="11.28515625" style="93" customWidth="1"/>
    <col min="7" max="7" width="16.28515625" style="43" bestFit="1" customWidth="1"/>
    <col min="8" max="8" width="42.85546875" style="1" bestFit="1" customWidth="1"/>
    <col min="9" max="16384" width="9.140625" style="1"/>
  </cols>
  <sheetData>
    <row r="1" spans="1:8">
      <c r="A1" s="92"/>
      <c r="B1" s="111" t="s">
        <v>1390</v>
      </c>
      <c r="C1" s="111"/>
      <c r="D1" s="111"/>
      <c r="E1" s="111"/>
    </row>
    <row r="2" spans="1:8">
      <c r="A2" s="94"/>
      <c r="B2" s="111" t="s">
        <v>1545</v>
      </c>
      <c r="C2" s="111"/>
      <c r="D2" s="111"/>
      <c r="E2" s="111"/>
    </row>
    <row r="3" spans="1:8">
      <c r="A3" s="92"/>
      <c r="B3" s="76"/>
      <c r="C3" s="111" t="s">
        <v>1393</v>
      </c>
      <c r="D3" s="111"/>
      <c r="E3" s="76"/>
    </row>
    <row r="4" spans="1:8">
      <c r="A4" s="67" t="s">
        <v>82</v>
      </c>
      <c r="B4" s="71" t="s">
        <v>1392</v>
      </c>
      <c r="C4" s="84" t="s">
        <v>1395</v>
      </c>
      <c r="D4" s="84" t="s">
        <v>1396</v>
      </c>
      <c r="E4" s="71" t="s">
        <v>1394</v>
      </c>
      <c r="F4" s="38" t="s">
        <v>1496</v>
      </c>
      <c r="G4" s="44" t="s">
        <v>1497</v>
      </c>
      <c r="H4" s="81" t="s">
        <v>1498</v>
      </c>
    </row>
    <row r="5" spans="1:8" hidden="1">
      <c r="A5" s="95" t="s">
        <v>329</v>
      </c>
      <c r="B5" s="78">
        <v>127789.26</v>
      </c>
      <c r="C5" s="78"/>
      <c r="D5" s="78"/>
      <c r="E5" s="78">
        <v>127789.26</v>
      </c>
      <c r="F5" s="96">
        <v>0</v>
      </c>
      <c r="G5" s="42">
        <f>+E5+F5</f>
        <v>127789.26</v>
      </c>
      <c r="H5" s="2" t="str">
        <f>VLOOKUP(A5,'TB MAy'!A:H,8,0)</f>
        <v>Not Applicable</v>
      </c>
    </row>
    <row r="6" spans="1:8" hidden="1">
      <c r="A6" s="95" t="s">
        <v>330</v>
      </c>
      <c r="B6" s="78">
        <v>650</v>
      </c>
      <c r="C6" s="78"/>
      <c r="D6" s="78"/>
      <c r="E6" s="78">
        <v>650</v>
      </c>
      <c r="F6" s="96">
        <v>0</v>
      </c>
      <c r="G6" s="42">
        <f t="shared" ref="G6:G32" si="0">+E6+F6</f>
        <v>650</v>
      </c>
      <c r="H6" s="2" t="str">
        <f>VLOOKUP(A6,'TB MAy'!A:H,8,0)</f>
        <v>Not Applicable</v>
      </c>
    </row>
    <row r="7" spans="1:8" hidden="1">
      <c r="A7" s="95" t="s">
        <v>331</v>
      </c>
      <c r="B7" s="78">
        <v>6228</v>
      </c>
      <c r="C7" s="78"/>
      <c r="D7" s="78"/>
      <c r="E7" s="78">
        <v>6228</v>
      </c>
      <c r="F7" s="96">
        <v>0</v>
      </c>
      <c r="G7" s="42">
        <f t="shared" si="0"/>
        <v>6228</v>
      </c>
      <c r="H7" s="2" t="str">
        <f>VLOOKUP(A7,'TB MAy'!A:H,8,0)</f>
        <v>Not Applicable</v>
      </c>
    </row>
    <row r="8" spans="1:8" hidden="1">
      <c r="A8" s="95" t="s">
        <v>332</v>
      </c>
      <c r="B8" s="78">
        <v>473797.97</v>
      </c>
      <c r="C8" s="78"/>
      <c r="D8" s="78"/>
      <c r="E8" s="78">
        <v>473797.97</v>
      </c>
      <c r="F8" s="96">
        <v>0</v>
      </c>
      <c r="G8" s="42">
        <f t="shared" si="0"/>
        <v>473797.97</v>
      </c>
      <c r="H8" s="2" t="str">
        <f>VLOOKUP(A8,'TB MAy'!A:H,8,0)</f>
        <v>Not Applicable</v>
      </c>
    </row>
    <row r="9" spans="1:8" hidden="1">
      <c r="A9" s="95" t="s">
        <v>333</v>
      </c>
      <c r="B9" s="78">
        <v>196345.38</v>
      </c>
      <c r="C9" s="78"/>
      <c r="D9" s="78"/>
      <c r="E9" s="78">
        <v>196345.38</v>
      </c>
      <c r="F9" s="96">
        <v>0</v>
      </c>
      <c r="G9" s="42">
        <f t="shared" si="0"/>
        <v>196345.38</v>
      </c>
      <c r="H9" s="2" t="str">
        <f>VLOOKUP(A9,'TB MAy'!A:H,8,0)</f>
        <v>Not Applicable</v>
      </c>
    </row>
    <row r="10" spans="1:8" hidden="1">
      <c r="A10" s="95" t="s">
        <v>334</v>
      </c>
      <c r="B10" s="78">
        <v>8936.56</v>
      </c>
      <c r="C10" s="78"/>
      <c r="D10" s="78"/>
      <c r="E10" s="78">
        <v>8936.56</v>
      </c>
      <c r="F10" s="96">
        <v>0</v>
      </c>
      <c r="G10" s="42">
        <f t="shared" si="0"/>
        <v>8936.56</v>
      </c>
      <c r="H10" s="2" t="str">
        <f>VLOOKUP(A10,'TB MAy'!A:H,8,0)</f>
        <v>Not Applicable</v>
      </c>
    </row>
    <row r="11" spans="1:8" hidden="1">
      <c r="A11" s="95" t="s">
        <v>335</v>
      </c>
      <c r="B11" s="78">
        <v>8213.7099999999991</v>
      </c>
      <c r="C11" s="78"/>
      <c r="D11" s="78"/>
      <c r="E11" s="78">
        <v>8213.7099999999991</v>
      </c>
      <c r="F11" s="96">
        <v>0</v>
      </c>
      <c r="G11" s="42">
        <f t="shared" si="0"/>
        <v>8213.7099999999991</v>
      </c>
      <c r="H11" s="2" t="str">
        <f>VLOOKUP(A11,'TB MAy'!A:H,8,0)</f>
        <v>Not Applicable</v>
      </c>
    </row>
    <row r="12" spans="1:8" hidden="1">
      <c r="A12" s="95" t="s">
        <v>1130</v>
      </c>
      <c r="B12" s="78">
        <v>1806.82</v>
      </c>
      <c r="C12" s="78"/>
      <c r="D12" s="78"/>
      <c r="E12" s="78">
        <v>1806.82</v>
      </c>
      <c r="F12" s="96">
        <v>0</v>
      </c>
      <c r="G12" s="42">
        <f t="shared" si="0"/>
        <v>1806.82</v>
      </c>
      <c r="H12" s="2" t="str">
        <f>VLOOKUP(A12,'TB MAy'!A:H,8,0)</f>
        <v>Not Applicable</v>
      </c>
    </row>
    <row r="13" spans="1:8" hidden="1">
      <c r="A13" s="95" t="s">
        <v>336</v>
      </c>
      <c r="B13" s="78">
        <v>681686</v>
      </c>
      <c r="C13" s="78"/>
      <c r="D13" s="78"/>
      <c r="E13" s="78">
        <v>681686</v>
      </c>
      <c r="F13" s="96">
        <v>0</v>
      </c>
      <c r="G13" s="42">
        <f t="shared" si="0"/>
        <v>681686</v>
      </c>
      <c r="H13" s="2" t="str">
        <f>VLOOKUP(A13,'TB MAy'!A:H,8,0)</f>
        <v>Not Applicable</v>
      </c>
    </row>
    <row r="14" spans="1:8" hidden="1">
      <c r="A14" s="95" t="s">
        <v>337</v>
      </c>
      <c r="B14" s="78">
        <v>157074.42000000001</v>
      </c>
      <c r="C14" s="78"/>
      <c r="D14" s="78"/>
      <c r="E14" s="78">
        <v>157074.42000000001</v>
      </c>
      <c r="F14" s="96">
        <v>0</v>
      </c>
      <c r="G14" s="42">
        <f t="shared" si="0"/>
        <v>157074.42000000001</v>
      </c>
      <c r="H14" s="2" t="str">
        <f>VLOOKUP(A14,'TB MAy'!A:H,8,0)</f>
        <v>Not Applicable</v>
      </c>
    </row>
    <row r="15" spans="1:8" hidden="1">
      <c r="A15" s="95" t="s">
        <v>338</v>
      </c>
      <c r="B15" s="78">
        <v>167632.97</v>
      </c>
      <c r="C15" s="78"/>
      <c r="D15" s="78"/>
      <c r="E15" s="78">
        <v>167632.97</v>
      </c>
      <c r="F15" s="96">
        <v>0</v>
      </c>
      <c r="G15" s="42">
        <f t="shared" si="0"/>
        <v>167632.97</v>
      </c>
      <c r="H15" s="2" t="str">
        <f>VLOOKUP(A15,'TB MAy'!A:H,8,0)</f>
        <v>Not Applicable</v>
      </c>
    </row>
    <row r="16" spans="1:8" hidden="1">
      <c r="A16" s="95" t="s">
        <v>339</v>
      </c>
      <c r="B16" s="78">
        <v>256416</v>
      </c>
      <c r="C16" s="78"/>
      <c r="D16" s="78"/>
      <c r="E16" s="78">
        <v>256416</v>
      </c>
      <c r="F16" s="96">
        <v>0</v>
      </c>
      <c r="G16" s="42">
        <f t="shared" si="0"/>
        <v>256416</v>
      </c>
      <c r="H16" s="2" t="str">
        <f>VLOOKUP(A16,'TB MAy'!A:H,8,0)</f>
        <v>Not Applicable</v>
      </c>
    </row>
    <row r="17" spans="1:8" hidden="1">
      <c r="A17" s="95" t="s">
        <v>340</v>
      </c>
      <c r="B17" s="78">
        <v>822958.41</v>
      </c>
      <c r="C17" s="78"/>
      <c r="D17" s="78"/>
      <c r="E17" s="78">
        <v>822958.41</v>
      </c>
      <c r="F17" s="96">
        <v>0</v>
      </c>
      <c r="G17" s="42">
        <f t="shared" si="0"/>
        <v>822958.41</v>
      </c>
      <c r="H17" s="2" t="str">
        <f>VLOOKUP(A17,'TB MAy'!A:H,8,0)</f>
        <v>Not Applicable</v>
      </c>
    </row>
    <row r="18" spans="1:8" hidden="1">
      <c r="A18" s="95" t="s">
        <v>341</v>
      </c>
      <c r="B18" s="78">
        <v>723178.82</v>
      </c>
      <c r="C18" s="78"/>
      <c r="D18" s="78"/>
      <c r="E18" s="78">
        <v>723178.82</v>
      </c>
      <c r="F18" s="96">
        <v>0</v>
      </c>
      <c r="G18" s="42">
        <f t="shared" si="0"/>
        <v>723178.82</v>
      </c>
      <c r="H18" s="2" t="str">
        <f>VLOOKUP(A18,'TB MAy'!A:H,8,0)</f>
        <v>Not Applicable</v>
      </c>
    </row>
    <row r="19" spans="1:8" hidden="1">
      <c r="A19" s="95" t="s">
        <v>905</v>
      </c>
      <c r="B19" s="78">
        <v>753208.69</v>
      </c>
      <c r="C19" s="78"/>
      <c r="D19" s="78"/>
      <c r="E19" s="78">
        <v>753208.69</v>
      </c>
      <c r="F19" s="96">
        <v>0</v>
      </c>
      <c r="G19" s="42">
        <f t="shared" si="0"/>
        <v>753208.69</v>
      </c>
      <c r="H19" s="2" t="str">
        <f>VLOOKUP(A19,'TB MAy'!A:H,8,0)</f>
        <v>Not Applicable</v>
      </c>
    </row>
    <row r="20" spans="1:8" hidden="1">
      <c r="A20" s="95" t="s">
        <v>1057</v>
      </c>
      <c r="B20" s="78">
        <v>2359808.65</v>
      </c>
      <c r="C20" s="78"/>
      <c r="D20" s="78"/>
      <c r="E20" s="78">
        <v>2359808.65</v>
      </c>
      <c r="F20" s="96">
        <v>0</v>
      </c>
      <c r="G20" s="42">
        <f t="shared" si="0"/>
        <v>2359808.65</v>
      </c>
      <c r="H20" s="2" t="str">
        <f>VLOOKUP(A20,'TB MAy'!A:H,8,0)</f>
        <v>Not Applicable</v>
      </c>
    </row>
    <row r="21" spans="1:8" hidden="1">
      <c r="A21" s="95" t="s">
        <v>1397</v>
      </c>
      <c r="B21" s="78"/>
      <c r="C21" s="78">
        <v>850762.18</v>
      </c>
      <c r="D21" s="78"/>
      <c r="E21" s="78">
        <v>850762.18</v>
      </c>
      <c r="F21" s="96">
        <v>0</v>
      </c>
      <c r="G21" s="42">
        <f t="shared" si="0"/>
        <v>850762.18</v>
      </c>
      <c r="H21" s="2" t="str">
        <f>VLOOKUP(A21,'TB MAy'!A:H,8,0)</f>
        <v>Not Applicable</v>
      </c>
    </row>
    <row r="22" spans="1:8" hidden="1">
      <c r="A22" s="95" t="s">
        <v>1278</v>
      </c>
      <c r="B22" s="78">
        <v>-185354</v>
      </c>
      <c r="C22" s="78"/>
      <c r="D22" s="78"/>
      <c r="E22" s="78">
        <v>-185354</v>
      </c>
      <c r="F22" s="96">
        <v>0</v>
      </c>
      <c r="G22" s="42">
        <f t="shared" si="0"/>
        <v>-185354</v>
      </c>
      <c r="H22" s="2" t="str">
        <f>VLOOKUP(A22,'TB MAy'!A:H,8,0)</f>
        <v>Not Applicable</v>
      </c>
    </row>
    <row r="23" spans="1:8" hidden="1">
      <c r="A23" s="95" t="s">
        <v>101</v>
      </c>
      <c r="B23" s="78">
        <v>-3371691962.54</v>
      </c>
      <c r="C23" s="78">
        <v>240012631.96000001</v>
      </c>
      <c r="D23" s="78">
        <v>348220281.29000002</v>
      </c>
      <c r="E23" s="78">
        <v>-3479899611.8699999</v>
      </c>
      <c r="F23" s="96">
        <v>0</v>
      </c>
      <c r="G23" s="42">
        <f t="shared" si="0"/>
        <v>-3479899611.8699999</v>
      </c>
      <c r="H23" s="2" t="str">
        <f>VLOOKUP(A23,'TB MAy'!A:H,8,0)</f>
        <v>Not Applicable</v>
      </c>
    </row>
    <row r="24" spans="1:8" hidden="1">
      <c r="A24" s="95" t="s">
        <v>102</v>
      </c>
      <c r="B24" s="78">
        <v>-33335574.710000001</v>
      </c>
      <c r="C24" s="78"/>
      <c r="D24" s="78"/>
      <c r="E24" s="78">
        <v>-33335574.710000001</v>
      </c>
      <c r="F24" s="96">
        <v>0</v>
      </c>
      <c r="G24" s="42">
        <f t="shared" si="0"/>
        <v>-33335574.710000001</v>
      </c>
      <c r="H24" s="2" t="str">
        <f>VLOOKUP(A24,'TB MAy'!A:H,8,0)</f>
        <v>Not Applicable</v>
      </c>
    </row>
    <row r="25" spans="1:8" hidden="1">
      <c r="A25" s="95" t="s">
        <v>103</v>
      </c>
      <c r="B25" s="78">
        <v>-973216365.96000004</v>
      </c>
      <c r="C25" s="78"/>
      <c r="D25" s="78"/>
      <c r="E25" s="78">
        <v>-973216365.96000004</v>
      </c>
      <c r="F25" s="96">
        <v>0</v>
      </c>
      <c r="G25" s="42">
        <f t="shared" si="0"/>
        <v>-973216365.96000004</v>
      </c>
      <c r="H25" s="2" t="str">
        <f>VLOOKUP(A25,'TB MAy'!A:H,8,0)</f>
        <v>Not Applicable</v>
      </c>
    </row>
    <row r="26" spans="1:8" hidden="1">
      <c r="A26" s="95" t="s">
        <v>104</v>
      </c>
      <c r="B26" s="78">
        <v>-141619453.02000001</v>
      </c>
      <c r="C26" s="78"/>
      <c r="D26" s="78"/>
      <c r="E26" s="78">
        <v>-141619453.02000001</v>
      </c>
      <c r="F26" s="96">
        <v>0</v>
      </c>
      <c r="G26" s="42">
        <f t="shared" si="0"/>
        <v>-141619453.02000001</v>
      </c>
      <c r="H26" s="2" t="str">
        <f>VLOOKUP(A26,'TB MAy'!A:H,8,0)</f>
        <v>Not Applicable</v>
      </c>
    </row>
    <row r="27" spans="1:8" hidden="1">
      <c r="A27" s="95" t="s">
        <v>105</v>
      </c>
      <c r="B27" s="78">
        <v>109261394.04000001</v>
      </c>
      <c r="C27" s="78">
        <v>19498633.52</v>
      </c>
      <c r="D27" s="78"/>
      <c r="E27" s="78">
        <v>128760027.56</v>
      </c>
      <c r="F27" s="96">
        <v>0</v>
      </c>
      <c r="G27" s="42">
        <f t="shared" si="0"/>
        <v>128760027.56</v>
      </c>
      <c r="H27" s="2" t="str">
        <f>VLOOKUP(A27,'TB MAy'!A:H,8,0)</f>
        <v>Not Applicable</v>
      </c>
    </row>
    <row r="28" spans="1:8" hidden="1">
      <c r="A28" s="95" t="s">
        <v>106</v>
      </c>
      <c r="B28" s="78">
        <v>417606643.33999997</v>
      </c>
      <c r="C28" s="78"/>
      <c r="D28" s="78"/>
      <c r="E28" s="78">
        <v>417606643.33999997</v>
      </c>
      <c r="F28" s="96">
        <v>0</v>
      </c>
      <c r="G28" s="42">
        <f t="shared" si="0"/>
        <v>417606643.33999997</v>
      </c>
      <c r="H28" s="2" t="str">
        <f>VLOOKUP(A28,'TB MAy'!A:H,8,0)</f>
        <v>Not Applicable</v>
      </c>
    </row>
    <row r="29" spans="1:8" hidden="1">
      <c r="A29" s="95" t="s">
        <v>107</v>
      </c>
      <c r="B29" s="78">
        <v>-154365251.06999999</v>
      </c>
      <c r="C29" s="78"/>
      <c r="D29" s="78"/>
      <c r="E29" s="78">
        <v>-154365251.06999999</v>
      </c>
      <c r="F29" s="96">
        <v>0</v>
      </c>
      <c r="G29" s="42">
        <f t="shared" si="0"/>
        <v>-154365251.06999999</v>
      </c>
      <c r="H29" s="2" t="str">
        <f>VLOOKUP(A29,'TB MAy'!A:H,8,0)</f>
        <v>Not Applicable</v>
      </c>
    </row>
    <row r="30" spans="1:8" hidden="1">
      <c r="A30" s="95" t="s">
        <v>108</v>
      </c>
      <c r="B30" s="78">
        <v>1070438.6000000001</v>
      </c>
      <c r="C30" s="78"/>
      <c r="D30" s="78"/>
      <c r="E30" s="78">
        <v>1070438.6000000001</v>
      </c>
      <c r="F30" s="96">
        <v>0</v>
      </c>
      <c r="G30" s="42">
        <f t="shared" si="0"/>
        <v>1070438.6000000001</v>
      </c>
      <c r="H30" s="2" t="str">
        <f>VLOOKUP(A30,'TB MAy'!A:H,8,0)</f>
        <v>Not Applicable</v>
      </c>
    </row>
    <row r="31" spans="1:8" hidden="1">
      <c r="A31" s="95" t="s">
        <v>111</v>
      </c>
      <c r="B31" s="78">
        <v>6687573.29</v>
      </c>
      <c r="C31" s="78"/>
      <c r="D31" s="78"/>
      <c r="E31" s="78">
        <v>6687573.29</v>
      </c>
      <c r="F31" s="96">
        <v>0</v>
      </c>
      <c r="G31" s="42">
        <f t="shared" si="0"/>
        <v>6687573.29</v>
      </c>
      <c r="H31" s="2" t="str">
        <f>VLOOKUP(A31,'TB MAy'!A:H,8,0)</f>
        <v>Not Applicable</v>
      </c>
    </row>
    <row r="32" spans="1:8" hidden="1">
      <c r="A32" s="95" t="s">
        <v>117</v>
      </c>
      <c r="B32" s="78">
        <v>7980.76</v>
      </c>
      <c r="C32" s="78">
        <v>700000</v>
      </c>
      <c r="D32" s="78">
        <v>608143</v>
      </c>
      <c r="E32" s="78">
        <v>99837.759999999995</v>
      </c>
      <c r="F32" s="96">
        <v>0</v>
      </c>
      <c r="G32" s="42">
        <f t="shared" si="0"/>
        <v>99837.759999999995</v>
      </c>
      <c r="H32" s="2" t="str">
        <f>VLOOKUP(A32,'TB MAy'!A:H,8,0)</f>
        <v>Not Applicable</v>
      </c>
    </row>
    <row r="33" spans="1:8" hidden="1">
      <c r="A33" s="95" t="s">
        <v>118</v>
      </c>
      <c r="B33" s="78">
        <v>4950</v>
      </c>
      <c r="C33" s="78"/>
      <c r="D33" s="78">
        <v>513</v>
      </c>
      <c r="E33" s="78">
        <v>4437</v>
      </c>
      <c r="F33" s="96">
        <v>0</v>
      </c>
      <c r="G33" s="42">
        <f t="shared" ref="G33:G96" si="1">+E33+F33</f>
        <v>4437</v>
      </c>
      <c r="H33" s="2" t="str">
        <f>VLOOKUP(A33,'TB MAy'!A:H,8,0)</f>
        <v>Not Applicable</v>
      </c>
    </row>
    <row r="34" spans="1:8" hidden="1">
      <c r="A34" s="95" t="s">
        <v>1502</v>
      </c>
      <c r="B34" s="78"/>
      <c r="C34" s="78">
        <v>888121</v>
      </c>
      <c r="D34" s="78">
        <v>850830</v>
      </c>
      <c r="E34" s="78">
        <v>37291</v>
      </c>
      <c r="F34" s="96">
        <v>0</v>
      </c>
      <c r="G34" s="42">
        <f t="shared" si="1"/>
        <v>37291</v>
      </c>
      <c r="H34" s="2" t="str">
        <f>VLOOKUP(A34,'TB MAy'!A:H,8,0)</f>
        <v>Not Applicable</v>
      </c>
    </row>
    <row r="35" spans="1:8" hidden="1">
      <c r="A35" s="95" t="s">
        <v>324</v>
      </c>
      <c r="B35" s="78">
        <v>178885102</v>
      </c>
      <c r="C35" s="78"/>
      <c r="D35" s="78"/>
      <c r="E35" s="78">
        <v>178885102</v>
      </c>
      <c r="F35" s="96">
        <v>0</v>
      </c>
      <c r="G35" s="42">
        <f t="shared" si="1"/>
        <v>178885102</v>
      </c>
      <c r="H35" s="2" t="str">
        <f>VLOOKUP(A35,'TB MAy'!A:H,8,0)</f>
        <v>Not Applicable</v>
      </c>
    </row>
    <row r="36" spans="1:8" hidden="1">
      <c r="A36" s="95" t="s">
        <v>212</v>
      </c>
      <c r="B36" s="78">
        <v>5000000</v>
      </c>
      <c r="C36" s="78"/>
      <c r="D36" s="78"/>
      <c r="E36" s="78">
        <v>5000000</v>
      </c>
      <c r="F36" s="96">
        <v>0</v>
      </c>
      <c r="G36" s="42">
        <f t="shared" si="1"/>
        <v>5000000</v>
      </c>
      <c r="H36" s="2" t="str">
        <f>VLOOKUP(A36,'TB MAy'!A:H,8,0)</f>
        <v>Not Applicable</v>
      </c>
    </row>
    <row r="37" spans="1:8" hidden="1">
      <c r="A37" s="95" t="s">
        <v>233</v>
      </c>
      <c r="B37" s="78">
        <v>-2993657.11</v>
      </c>
      <c r="C37" s="78"/>
      <c r="D37" s="78"/>
      <c r="E37" s="78">
        <v>-2993657.11</v>
      </c>
      <c r="F37" s="96">
        <v>0</v>
      </c>
      <c r="G37" s="42">
        <f t="shared" si="1"/>
        <v>-2993657.11</v>
      </c>
      <c r="H37" s="2" t="str">
        <f>VLOOKUP(A37,'TB MAy'!A:H,8,0)</f>
        <v>Not Applicable</v>
      </c>
    </row>
    <row r="38" spans="1:8" hidden="1">
      <c r="A38" s="95" t="s">
        <v>123</v>
      </c>
      <c r="B38" s="78">
        <v>2497.6</v>
      </c>
      <c r="C38" s="78">
        <v>19755777.52</v>
      </c>
      <c r="D38" s="78">
        <v>8938291.0999999996</v>
      </c>
      <c r="E38" s="78">
        <v>10819984.02</v>
      </c>
      <c r="F38" s="96">
        <v>0</v>
      </c>
      <c r="G38" s="42">
        <f t="shared" si="1"/>
        <v>10819984.02</v>
      </c>
      <c r="H38" s="2" t="str">
        <f>VLOOKUP(A38,'TB MAy'!A:H,8,0)</f>
        <v>Not Applicable</v>
      </c>
    </row>
    <row r="39" spans="1:8" hidden="1">
      <c r="A39" s="95" t="s">
        <v>188</v>
      </c>
      <c r="B39" s="78"/>
      <c r="C39" s="78">
        <v>20957.7</v>
      </c>
      <c r="D39" s="78">
        <v>20957.7</v>
      </c>
      <c r="E39" s="78"/>
      <c r="F39" s="96">
        <v>0</v>
      </c>
      <c r="G39" s="42">
        <f t="shared" si="1"/>
        <v>0</v>
      </c>
      <c r="H39" s="2" t="str">
        <f>VLOOKUP(A39,'TB MAy'!A:H,8,0)</f>
        <v>Not Applicable</v>
      </c>
    </row>
    <row r="40" spans="1:8" hidden="1">
      <c r="A40" s="95" t="s">
        <v>1546</v>
      </c>
      <c r="B40" s="78">
        <v>0.04</v>
      </c>
      <c r="C40" s="78">
        <v>3225164.5</v>
      </c>
      <c r="D40" s="78">
        <v>2212813.64</v>
      </c>
      <c r="E40" s="78">
        <v>1012350.9</v>
      </c>
      <c r="F40" s="96">
        <v>0</v>
      </c>
      <c r="G40" s="42">
        <f t="shared" si="1"/>
        <v>1012350.9</v>
      </c>
      <c r="H40" s="2" t="str">
        <f>VLOOKUP(A40,'TB MAy'!A:H,8,0)</f>
        <v>Not Applicable</v>
      </c>
    </row>
    <row r="41" spans="1:8" hidden="1">
      <c r="A41" s="95" t="s">
        <v>307</v>
      </c>
      <c r="B41" s="78">
        <v>2497.6</v>
      </c>
      <c r="C41" s="78">
        <v>19755777.52</v>
      </c>
      <c r="D41" s="78">
        <v>8938291.0999999996</v>
      </c>
      <c r="E41" s="78">
        <v>10819984.02</v>
      </c>
      <c r="F41" s="96">
        <v>0</v>
      </c>
      <c r="G41" s="42">
        <f t="shared" si="1"/>
        <v>10819984.02</v>
      </c>
      <c r="H41" s="2" t="str">
        <f>VLOOKUP(A41,'TB MAy'!A:H,8,0)</f>
        <v>Not Applicable</v>
      </c>
    </row>
    <row r="42" spans="1:8" hidden="1">
      <c r="A42" s="95" t="s">
        <v>208</v>
      </c>
      <c r="B42" s="78">
        <v>1259702.33</v>
      </c>
      <c r="C42" s="78">
        <v>3981618.85</v>
      </c>
      <c r="D42" s="78"/>
      <c r="E42" s="78">
        <v>5241321.18</v>
      </c>
      <c r="F42" s="96">
        <v>0</v>
      </c>
      <c r="G42" s="42">
        <f t="shared" si="1"/>
        <v>5241321.18</v>
      </c>
      <c r="H42" s="2" t="str">
        <f>VLOOKUP(A42,'TB MAy'!A:H,8,0)</f>
        <v>Not Applicable</v>
      </c>
    </row>
    <row r="43" spans="1:8" hidden="1">
      <c r="A43" s="95" t="s">
        <v>277</v>
      </c>
      <c r="B43" s="78">
        <v>20247963.82</v>
      </c>
      <c r="C43" s="78">
        <v>20044201.879999999</v>
      </c>
      <c r="D43" s="78">
        <v>23149643.809999999</v>
      </c>
      <c r="E43" s="78">
        <v>17142521.890000001</v>
      </c>
      <c r="F43" s="96">
        <v>0</v>
      </c>
      <c r="G43" s="42">
        <f t="shared" si="1"/>
        <v>17142521.890000001</v>
      </c>
      <c r="H43" s="2" t="str">
        <f>VLOOKUP(A43,'TB MAy'!A:H,8,0)</f>
        <v>Not Applicable</v>
      </c>
    </row>
    <row r="44" spans="1:8" hidden="1">
      <c r="A44" s="95" t="s">
        <v>157</v>
      </c>
      <c r="B44" s="78">
        <v>6083898</v>
      </c>
      <c r="C44" s="78"/>
      <c r="D44" s="78"/>
      <c r="E44" s="78">
        <v>6083898</v>
      </c>
      <c r="F44" s="96">
        <v>0</v>
      </c>
      <c r="G44" s="42">
        <f t="shared" si="1"/>
        <v>6083898</v>
      </c>
      <c r="H44" s="2" t="str">
        <f>VLOOKUP(A44,'TB MAy'!A:H,8,0)</f>
        <v>Not Applicable</v>
      </c>
    </row>
    <row r="45" spans="1:8" hidden="1">
      <c r="A45" s="95" t="s">
        <v>232</v>
      </c>
      <c r="B45" s="78">
        <v>-484344</v>
      </c>
      <c r="C45" s="78"/>
      <c r="D45" s="78"/>
      <c r="E45" s="78">
        <v>-484344</v>
      </c>
      <c r="F45" s="96">
        <v>0</v>
      </c>
      <c r="G45" s="42">
        <f t="shared" si="1"/>
        <v>-484344</v>
      </c>
      <c r="H45" s="2" t="str">
        <f>VLOOKUP(A45,'TB MAy'!A:H,8,0)</f>
        <v>Not Applicable</v>
      </c>
    </row>
    <row r="46" spans="1:8" hidden="1">
      <c r="A46" s="95" t="s">
        <v>240</v>
      </c>
      <c r="B46" s="78">
        <v>44562171</v>
      </c>
      <c r="C46" s="78"/>
      <c r="D46" s="78"/>
      <c r="E46" s="78">
        <v>44562171</v>
      </c>
      <c r="F46" s="96">
        <v>0</v>
      </c>
      <c r="G46" s="42">
        <f t="shared" si="1"/>
        <v>44562171</v>
      </c>
      <c r="H46" s="2" t="str">
        <f>VLOOKUP(A46,'TB MAy'!A:H,8,0)</f>
        <v>Not Applicable</v>
      </c>
    </row>
    <row r="47" spans="1:8" hidden="1">
      <c r="A47" s="95" t="s">
        <v>181</v>
      </c>
      <c r="B47" s="78">
        <v>3037413</v>
      </c>
      <c r="C47" s="78"/>
      <c r="D47" s="78"/>
      <c r="E47" s="78">
        <v>3037413</v>
      </c>
      <c r="F47" s="96">
        <v>0</v>
      </c>
      <c r="G47" s="42">
        <f t="shared" si="1"/>
        <v>3037413</v>
      </c>
      <c r="H47" s="2" t="str">
        <f>VLOOKUP(A47,'TB MAy'!A:H,8,0)</f>
        <v>Not Applicable</v>
      </c>
    </row>
    <row r="48" spans="1:8" hidden="1">
      <c r="A48" s="95" t="s">
        <v>287</v>
      </c>
      <c r="B48" s="78">
        <v>67898.509999999995</v>
      </c>
      <c r="C48" s="78"/>
      <c r="D48" s="78"/>
      <c r="E48" s="78">
        <v>67898.509999999995</v>
      </c>
      <c r="F48" s="96">
        <v>0</v>
      </c>
      <c r="G48" s="42">
        <f t="shared" si="1"/>
        <v>67898.509999999995</v>
      </c>
      <c r="H48" s="2" t="str">
        <f>VLOOKUP(A48,'TB MAy'!A:H,8,0)</f>
        <v>Not Applicable</v>
      </c>
    </row>
    <row r="49" spans="1:8" hidden="1">
      <c r="A49" s="95" t="s">
        <v>145</v>
      </c>
      <c r="B49" s="78">
        <v>861066</v>
      </c>
      <c r="C49" s="78"/>
      <c r="D49" s="78"/>
      <c r="E49" s="78">
        <v>861066</v>
      </c>
      <c r="F49" s="96">
        <v>0</v>
      </c>
      <c r="G49" s="42">
        <f t="shared" si="1"/>
        <v>861066</v>
      </c>
      <c r="H49" s="2" t="str">
        <f>VLOOKUP(A49,'TB MAy'!A:H,8,0)</f>
        <v>Not Applicable</v>
      </c>
    </row>
    <row r="50" spans="1:8" hidden="1">
      <c r="A50" s="95" t="s">
        <v>203</v>
      </c>
      <c r="B50" s="78">
        <v>106300</v>
      </c>
      <c r="C50" s="78"/>
      <c r="D50" s="78"/>
      <c r="E50" s="78">
        <v>106300</v>
      </c>
      <c r="F50" s="96">
        <v>0</v>
      </c>
      <c r="G50" s="42">
        <f t="shared" si="1"/>
        <v>106300</v>
      </c>
      <c r="H50" s="2" t="str">
        <f>VLOOKUP(A50,'TB MAy'!A:H,8,0)</f>
        <v>Not Applicable</v>
      </c>
    </row>
    <row r="51" spans="1:8" hidden="1">
      <c r="A51" s="95" t="s">
        <v>1279</v>
      </c>
      <c r="B51" s="78">
        <v>100980</v>
      </c>
      <c r="C51" s="78"/>
      <c r="D51" s="78"/>
      <c r="E51" s="78">
        <v>100980</v>
      </c>
      <c r="F51" s="96">
        <v>0</v>
      </c>
      <c r="G51" s="42">
        <f t="shared" si="1"/>
        <v>100980</v>
      </c>
      <c r="H51" s="2" t="str">
        <f>VLOOKUP(A51,'TB MAy'!A:H,8,0)</f>
        <v>Not Applicable</v>
      </c>
    </row>
    <row r="52" spans="1:8" hidden="1">
      <c r="A52" s="95" t="s">
        <v>283</v>
      </c>
      <c r="B52" s="78">
        <v>-400000</v>
      </c>
      <c r="C52" s="78"/>
      <c r="D52" s="78"/>
      <c r="E52" s="78">
        <v>-400000</v>
      </c>
      <c r="F52" s="96">
        <v>0</v>
      </c>
      <c r="G52" s="42">
        <f t="shared" si="1"/>
        <v>-400000</v>
      </c>
      <c r="H52" s="2" t="str">
        <f>VLOOKUP(A52,'TB MAy'!A:H,8,0)</f>
        <v>Not Applicable</v>
      </c>
    </row>
    <row r="53" spans="1:8" hidden="1">
      <c r="A53" s="95" t="s">
        <v>308</v>
      </c>
      <c r="B53" s="78">
        <v>9000</v>
      </c>
      <c r="C53" s="78"/>
      <c r="D53" s="78"/>
      <c r="E53" s="78">
        <v>9000</v>
      </c>
      <c r="F53" s="96">
        <v>0</v>
      </c>
      <c r="G53" s="42">
        <f t="shared" si="1"/>
        <v>9000</v>
      </c>
      <c r="H53" s="2" t="str">
        <f>VLOOKUP(A53,'TB MAy'!A:H,8,0)</f>
        <v>Not Applicable</v>
      </c>
    </row>
    <row r="54" spans="1:8" hidden="1">
      <c r="A54" s="95" t="s">
        <v>309</v>
      </c>
      <c r="B54" s="78">
        <v>3000</v>
      </c>
      <c r="C54" s="78"/>
      <c r="D54" s="78"/>
      <c r="E54" s="78">
        <v>3000</v>
      </c>
      <c r="F54" s="96">
        <v>0</v>
      </c>
      <c r="G54" s="42">
        <f t="shared" si="1"/>
        <v>3000</v>
      </c>
      <c r="H54" s="2" t="str">
        <f>VLOOKUP(A54,'TB MAy'!A:H,8,0)</f>
        <v>Not Applicable</v>
      </c>
    </row>
    <row r="55" spans="1:8" hidden="1">
      <c r="A55" s="95" t="s">
        <v>310</v>
      </c>
      <c r="B55" s="78">
        <v>17933</v>
      </c>
      <c r="C55" s="78"/>
      <c r="D55" s="78"/>
      <c r="E55" s="78">
        <v>17933</v>
      </c>
      <c r="F55" s="96">
        <v>0</v>
      </c>
      <c r="G55" s="42">
        <f t="shared" si="1"/>
        <v>17933</v>
      </c>
      <c r="H55" s="2" t="str">
        <f>VLOOKUP(A55,'TB MAy'!A:H,8,0)</f>
        <v>Not Applicable</v>
      </c>
    </row>
    <row r="56" spans="1:8" hidden="1">
      <c r="A56" s="95" t="s">
        <v>311</v>
      </c>
      <c r="B56" s="78">
        <v>104000</v>
      </c>
      <c r="C56" s="78"/>
      <c r="D56" s="78"/>
      <c r="E56" s="78">
        <v>104000</v>
      </c>
      <c r="F56" s="96">
        <v>0</v>
      </c>
      <c r="G56" s="42">
        <f t="shared" si="1"/>
        <v>104000</v>
      </c>
      <c r="H56" s="2" t="str">
        <f>VLOOKUP(A56,'TB MAy'!A:H,8,0)</f>
        <v>Not Applicable</v>
      </c>
    </row>
    <row r="57" spans="1:8" hidden="1">
      <c r="A57" s="95" t="s">
        <v>312</v>
      </c>
      <c r="B57" s="78">
        <v>30000</v>
      </c>
      <c r="C57" s="78"/>
      <c r="D57" s="78"/>
      <c r="E57" s="78">
        <v>30000</v>
      </c>
      <c r="F57" s="96">
        <v>0</v>
      </c>
      <c r="G57" s="42">
        <f t="shared" si="1"/>
        <v>30000</v>
      </c>
      <c r="H57" s="2" t="str">
        <f>VLOOKUP(A57,'TB MAy'!A:H,8,0)</f>
        <v>Not Applicable</v>
      </c>
    </row>
    <row r="58" spans="1:8" hidden="1">
      <c r="A58" s="95" t="s">
        <v>947</v>
      </c>
      <c r="B58" s="78">
        <v>311200</v>
      </c>
      <c r="C58" s="78"/>
      <c r="D58" s="78"/>
      <c r="E58" s="78">
        <v>311200</v>
      </c>
      <c r="F58" s="96">
        <v>0</v>
      </c>
      <c r="G58" s="42">
        <f t="shared" si="1"/>
        <v>311200</v>
      </c>
      <c r="H58" s="2" t="str">
        <f>VLOOKUP(A58,'TB MAy'!A:H,8,0)</f>
        <v>Not Applicable</v>
      </c>
    </row>
    <row r="59" spans="1:8" hidden="1">
      <c r="A59" s="95" t="s">
        <v>85</v>
      </c>
      <c r="B59" s="78">
        <v>-955050</v>
      </c>
      <c r="C59" s="78">
        <v>6380800</v>
      </c>
      <c r="D59" s="78">
        <v>3037000</v>
      </c>
      <c r="E59" s="78">
        <v>2388750</v>
      </c>
      <c r="F59" s="96">
        <v>0</v>
      </c>
      <c r="G59" s="42">
        <f t="shared" si="1"/>
        <v>2388750</v>
      </c>
      <c r="H59" s="2" t="str">
        <f>VLOOKUP(A59,'TB MAy'!A:H,8,0)</f>
        <v>Not Applicable</v>
      </c>
    </row>
    <row r="60" spans="1:8" hidden="1">
      <c r="A60" s="95" t="s">
        <v>320</v>
      </c>
      <c r="B60" s="78">
        <v>2277276</v>
      </c>
      <c r="C60" s="78">
        <v>915000</v>
      </c>
      <c r="D60" s="78">
        <v>155000</v>
      </c>
      <c r="E60" s="78">
        <v>3037276</v>
      </c>
      <c r="F60" s="96">
        <v>0</v>
      </c>
      <c r="G60" s="42">
        <f t="shared" si="1"/>
        <v>3037276</v>
      </c>
      <c r="H60" s="2" t="str">
        <f>VLOOKUP(A60,'TB MAy'!A:H,8,0)</f>
        <v>Not Applicable</v>
      </c>
    </row>
    <row r="61" spans="1:8" hidden="1">
      <c r="A61" s="95" t="s">
        <v>1399</v>
      </c>
      <c r="B61" s="78"/>
      <c r="C61" s="78"/>
      <c r="D61" s="78"/>
      <c r="E61" s="78"/>
      <c r="F61" s="96">
        <v>0</v>
      </c>
      <c r="G61" s="42">
        <f t="shared" si="1"/>
        <v>0</v>
      </c>
      <c r="H61" s="2" t="str">
        <f>VLOOKUP(A61,'TB MAy'!A:H,8,0)</f>
        <v>Not Applicable</v>
      </c>
    </row>
    <row r="62" spans="1:8" hidden="1">
      <c r="A62" s="95" t="s">
        <v>89</v>
      </c>
      <c r="B62" s="78">
        <v>184593.3</v>
      </c>
      <c r="C62" s="78"/>
      <c r="D62" s="78"/>
      <c r="E62" s="78">
        <v>184593.3</v>
      </c>
      <c r="F62" s="96">
        <v>0</v>
      </c>
      <c r="G62" s="42">
        <f t="shared" si="1"/>
        <v>184593.3</v>
      </c>
      <c r="H62" s="2" t="str">
        <f>VLOOKUP(A62,'TB MAy'!A:H,8,0)</f>
        <v>Not Applicable</v>
      </c>
    </row>
    <row r="63" spans="1:8" hidden="1">
      <c r="A63" s="95" t="s">
        <v>93</v>
      </c>
      <c r="B63" s="78">
        <v>1416914.97</v>
      </c>
      <c r="C63" s="78">
        <v>1711986.48</v>
      </c>
      <c r="D63" s="78">
        <v>1397115</v>
      </c>
      <c r="E63" s="78">
        <v>1731786.45</v>
      </c>
      <c r="F63" s="96">
        <v>0</v>
      </c>
      <c r="G63" s="42">
        <f t="shared" si="1"/>
        <v>1731786.45</v>
      </c>
      <c r="H63" s="2" t="str">
        <f>VLOOKUP(A63,'TB MAy'!A:H,8,0)</f>
        <v>Not Applicable</v>
      </c>
    </row>
    <row r="64" spans="1:8" hidden="1">
      <c r="A64" s="95" t="s">
        <v>1348</v>
      </c>
      <c r="B64" s="78">
        <v>1078377.3</v>
      </c>
      <c r="C64" s="78">
        <v>1165392.3999999999</v>
      </c>
      <c r="D64" s="78">
        <v>2243769.7000000002</v>
      </c>
      <c r="E64" s="78"/>
      <c r="F64" s="96">
        <v>0</v>
      </c>
      <c r="G64" s="42">
        <f t="shared" si="1"/>
        <v>0</v>
      </c>
      <c r="H64" s="2" t="str">
        <f>VLOOKUP(A64,'TB MAy'!A:H,8,0)</f>
        <v>Not Applicable</v>
      </c>
    </row>
    <row r="65" spans="1:8" hidden="1">
      <c r="A65" s="95" t="s">
        <v>95</v>
      </c>
      <c r="B65" s="78"/>
      <c r="C65" s="78"/>
      <c r="D65" s="78"/>
      <c r="E65" s="78"/>
      <c r="F65" s="96">
        <v>0</v>
      </c>
      <c r="G65" s="42">
        <f t="shared" si="1"/>
        <v>0</v>
      </c>
      <c r="H65" s="2" t="str">
        <f>VLOOKUP(A65,'TB MAy'!A:H,8,0)</f>
        <v>Not Applicable</v>
      </c>
    </row>
    <row r="66" spans="1:8" hidden="1">
      <c r="A66" s="95" t="s">
        <v>94</v>
      </c>
      <c r="B66" s="78"/>
      <c r="C66" s="78"/>
      <c r="D66" s="78"/>
      <c r="E66" s="78"/>
      <c r="F66" s="96">
        <v>0</v>
      </c>
      <c r="G66" s="42">
        <f t="shared" si="1"/>
        <v>0</v>
      </c>
      <c r="H66" s="2" t="str">
        <f>VLOOKUP(A66,'TB MAy'!A:H,8,0)</f>
        <v>Not Applicable</v>
      </c>
    </row>
    <row r="67" spans="1:8" hidden="1">
      <c r="A67" s="95" t="s">
        <v>97</v>
      </c>
      <c r="B67" s="78"/>
      <c r="C67" s="78"/>
      <c r="D67" s="78"/>
      <c r="E67" s="78"/>
      <c r="F67" s="96">
        <v>0</v>
      </c>
      <c r="G67" s="42">
        <f t="shared" si="1"/>
        <v>0</v>
      </c>
      <c r="H67" s="2" t="str">
        <f>VLOOKUP(A67,'TB MAy'!A:H,8,0)</f>
        <v>Not Applicable</v>
      </c>
    </row>
    <row r="68" spans="1:8" hidden="1">
      <c r="A68" s="95" t="s">
        <v>934</v>
      </c>
      <c r="B68" s="78">
        <v>876917.2</v>
      </c>
      <c r="C68" s="78"/>
      <c r="D68" s="78">
        <v>876917.2</v>
      </c>
      <c r="E68" s="78"/>
      <c r="F68" s="96">
        <v>0</v>
      </c>
      <c r="G68" s="42">
        <f t="shared" si="1"/>
        <v>0</v>
      </c>
      <c r="H68" s="2" t="str">
        <f>VLOOKUP(A68,'TB MAy'!A:H,8,0)</f>
        <v>Not Applicable</v>
      </c>
    </row>
    <row r="69" spans="1:8" hidden="1">
      <c r="A69" s="95" t="s">
        <v>109</v>
      </c>
      <c r="B69" s="78"/>
      <c r="C69" s="78"/>
      <c r="D69" s="78"/>
      <c r="E69" s="78"/>
      <c r="F69" s="96">
        <v>0</v>
      </c>
      <c r="G69" s="42">
        <f t="shared" si="1"/>
        <v>0</v>
      </c>
      <c r="H69" s="2" t="str">
        <f>VLOOKUP(A69,'TB MAy'!A:H,8,0)</f>
        <v>Not Applicable</v>
      </c>
    </row>
    <row r="70" spans="1:8" hidden="1">
      <c r="A70" s="95" t="s">
        <v>1503</v>
      </c>
      <c r="B70" s="78"/>
      <c r="C70" s="78">
        <v>206500</v>
      </c>
      <c r="D70" s="78"/>
      <c r="E70" s="78">
        <v>206500</v>
      </c>
      <c r="F70" s="96">
        <v>0</v>
      </c>
      <c r="G70" s="42">
        <f t="shared" si="1"/>
        <v>206500</v>
      </c>
      <c r="H70" s="2" t="str">
        <f>VLOOKUP(A70,'TB MAy'!A:H,8,0)</f>
        <v>Not Applicable</v>
      </c>
    </row>
    <row r="71" spans="1:8" hidden="1">
      <c r="A71" s="95" t="s">
        <v>110</v>
      </c>
      <c r="B71" s="78"/>
      <c r="C71" s="78"/>
      <c r="D71" s="78"/>
      <c r="E71" s="78"/>
      <c r="F71" s="96">
        <v>0</v>
      </c>
      <c r="G71" s="42">
        <f t="shared" si="1"/>
        <v>0</v>
      </c>
      <c r="H71" s="2" t="str">
        <f>VLOOKUP(A71,'TB MAy'!A:H,8,0)</f>
        <v>Not Applicable</v>
      </c>
    </row>
    <row r="72" spans="1:8" hidden="1">
      <c r="A72" s="95" t="s">
        <v>1326</v>
      </c>
      <c r="B72" s="78"/>
      <c r="C72" s="78"/>
      <c r="D72" s="78"/>
      <c r="E72" s="78"/>
      <c r="F72" s="96">
        <v>0</v>
      </c>
      <c r="G72" s="42">
        <f t="shared" si="1"/>
        <v>0</v>
      </c>
      <c r="H72" s="2" t="str">
        <f>VLOOKUP(A72,'TB MAy'!A:H,8,0)</f>
        <v>Not Applicable</v>
      </c>
    </row>
    <row r="73" spans="1:8" hidden="1">
      <c r="A73" s="95" t="s">
        <v>973</v>
      </c>
      <c r="B73" s="78"/>
      <c r="C73" s="78"/>
      <c r="D73" s="78"/>
      <c r="E73" s="78"/>
      <c r="F73" s="96">
        <v>0</v>
      </c>
      <c r="G73" s="42">
        <f t="shared" si="1"/>
        <v>0</v>
      </c>
      <c r="H73" s="2" t="str">
        <f>VLOOKUP(A73,'TB MAy'!A:H,8,0)</f>
        <v>Not Applicable</v>
      </c>
    </row>
    <row r="74" spans="1:8" hidden="1">
      <c r="A74" s="95" t="s">
        <v>967</v>
      </c>
      <c r="B74" s="78"/>
      <c r="C74" s="78"/>
      <c r="D74" s="78"/>
      <c r="E74" s="78"/>
      <c r="F74" s="96">
        <v>0</v>
      </c>
      <c r="G74" s="42">
        <f t="shared" si="1"/>
        <v>0</v>
      </c>
      <c r="H74" s="2" t="s">
        <v>84</v>
      </c>
    </row>
    <row r="75" spans="1:8" hidden="1">
      <c r="A75" s="95" t="s">
        <v>1400</v>
      </c>
      <c r="B75" s="78"/>
      <c r="C75" s="78"/>
      <c r="D75" s="78"/>
      <c r="E75" s="78"/>
      <c r="F75" s="96">
        <v>0</v>
      </c>
      <c r="G75" s="42">
        <f t="shared" si="1"/>
        <v>0</v>
      </c>
      <c r="H75" s="2" t="str">
        <f>VLOOKUP(A75,'TB MAy'!A:H,8,0)</f>
        <v>Not Applicable</v>
      </c>
    </row>
    <row r="76" spans="1:8" hidden="1">
      <c r="A76" s="95" t="s">
        <v>114</v>
      </c>
      <c r="B76" s="78"/>
      <c r="C76" s="78"/>
      <c r="D76" s="78"/>
      <c r="E76" s="78"/>
      <c r="F76" s="96">
        <v>0</v>
      </c>
      <c r="G76" s="42">
        <f t="shared" si="1"/>
        <v>0</v>
      </c>
      <c r="H76" s="2" t="str">
        <f>VLOOKUP(A76,'TB MAy'!A:H,8,0)</f>
        <v>Not Applicable</v>
      </c>
    </row>
    <row r="77" spans="1:8" hidden="1">
      <c r="A77" s="95" t="s">
        <v>1401</v>
      </c>
      <c r="B77" s="78"/>
      <c r="C77" s="78"/>
      <c r="D77" s="78"/>
      <c r="E77" s="78"/>
      <c r="F77" s="96">
        <v>0</v>
      </c>
      <c r="G77" s="42">
        <f t="shared" si="1"/>
        <v>0</v>
      </c>
      <c r="H77" s="2" t="str">
        <f>VLOOKUP(A77,'TB MAy'!A:H,8,0)</f>
        <v>Not Applicable</v>
      </c>
    </row>
    <row r="78" spans="1:8" hidden="1">
      <c r="A78" s="95" t="s">
        <v>1008</v>
      </c>
      <c r="B78" s="78"/>
      <c r="C78" s="78"/>
      <c r="D78" s="78"/>
      <c r="E78" s="78"/>
      <c r="F78" s="96">
        <v>0</v>
      </c>
      <c r="G78" s="42">
        <f t="shared" si="1"/>
        <v>0</v>
      </c>
      <c r="H78" s="2" t="str">
        <f>VLOOKUP(A78,'TB MAy'!A:H,8,0)</f>
        <v>Not Applicable</v>
      </c>
    </row>
    <row r="79" spans="1:8" hidden="1">
      <c r="A79" s="95" t="s">
        <v>975</v>
      </c>
      <c r="B79" s="78">
        <v>-87133.69</v>
      </c>
      <c r="C79" s="78"/>
      <c r="D79" s="78">
        <v>118000</v>
      </c>
      <c r="E79" s="78">
        <v>-205133.69</v>
      </c>
      <c r="F79" s="96">
        <v>0</v>
      </c>
      <c r="G79" s="42">
        <f t="shared" si="1"/>
        <v>-205133.69</v>
      </c>
      <c r="H79" s="2" t="str">
        <f>VLOOKUP(A79,'TB MAy'!A:H,8,0)</f>
        <v>Not Applicable</v>
      </c>
    </row>
    <row r="80" spans="1:8" hidden="1">
      <c r="A80" s="95" t="s">
        <v>129</v>
      </c>
      <c r="B80" s="78"/>
      <c r="C80" s="78"/>
      <c r="D80" s="78"/>
      <c r="E80" s="78"/>
      <c r="F80" s="96">
        <v>0</v>
      </c>
      <c r="G80" s="42">
        <f t="shared" si="1"/>
        <v>0</v>
      </c>
      <c r="H80" s="2" t="str">
        <f>VLOOKUP(A80,'TB MAy'!A:H,8,0)</f>
        <v>Not Applicable</v>
      </c>
    </row>
    <row r="81" spans="1:8" hidden="1">
      <c r="A81" s="95" t="s">
        <v>1403</v>
      </c>
      <c r="B81" s="78"/>
      <c r="C81" s="78"/>
      <c r="D81" s="78"/>
      <c r="E81" s="78"/>
      <c r="F81" s="96">
        <v>0</v>
      </c>
      <c r="G81" s="42">
        <f t="shared" si="1"/>
        <v>0</v>
      </c>
      <c r="H81" s="2" t="str">
        <f>VLOOKUP(A81,'TB MAy'!A:H,8,0)</f>
        <v>Not Applicable</v>
      </c>
    </row>
    <row r="82" spans="1:8" hidden="1">
      <c r="A82" s="95" t="s">
        <v>142</v>
      </c>
      <c r="B82" s="78">
        <v>1562798.14</v>
      </c>
      <c r="C82" s="78"/>
      <c r="D82" s="78">
        <v>1566340.09</v>
      </c>
      <c r="E82" s="78">
        <v>-3541.95</v>
      </c>
      <c r="F82" s="96">
        <v>0</v>
      </c>
      <c r="G82" s="42">
        <f t="shared" si="1"/>
        <v>-3541.95</v>
      </c>
      <c r="H82" s="2" t="str">
        <f>VLOOKUP(A82,'TB MAy'!A:H,8,0)</f>
        <v>Not Applicable</v>
      </c>
    </row>
    <row r="83" spans="1:8" hidden="1">
      <c r="A83" s="95" t="s">
        <v>1547</v>
      </c>
      <c r="B83" s="78"/>
      <c r="C83" s="78">
        <v>397912.5</v>
      </c>
      <c r="D83" s="78"/>
      <c r="E83" s="78">
        <v>397912.5</v>
      </c>
      <c r="F83" s="96">
        <v>0</v>
      </c>
      <c r="G83" s="42">
        <f t="shared" si="1"/>
        <v>397912.5</v>
      </c>
      <c r="H83" s="2" t="s">
        <v>84</v>
      </c>
    </row>
    <row r="84" spans="1:8" hidden="1">
      <c r="A84" s="95" t="s">
        <v>143</v>
      </c>
      <c r="B84" s="78">
        <v>3825909.25</v>
      </c>
      <c r="C84" s="78">
        <v>2026701</v>
      </c>
      <c r="D84" s="78">
        <v>3814704</v>
      </c>
      <c r="E84" s="78">
        <v>2037906.25</v>
      </c>
      <c r="F84" s="96">
        <v>0</v>
      </c>
      <c r="G84" s="42">
        <f t="shared" si="1"/>
        <v>2037906.25</v>
      </c>
      <c r="H84" s="2" t="str">
        <f>VLOOKUP(A84,'TB MAy'!A:H,8,0)</f>
        <v>Not Applicable</v>
      </c>
    </row>
    <row r="85" spans="1:8" hidden="1">
      <c r="A85" s="95" t="s">
        <v>1173</v>
      </c>
      <c r="B85" s="78">
        <v>7080</v>
      </c>
      <c r="C85" s="78"/>
      <c r="D85" s="78"/>
      <c r="E85" s="78">
        <v>7080</v>
      </c>
      <c r="F85" s="96">
        <v>0</v>
      </c>
      <c r="G85" s="42">
        <f t="shared" si="1"/>
        <v>7080</v>
      </c>
      <c r="H85" s="2" t="str">
        <f>VLOOKUP(A85,'TB MAy'!A:H,8,0)</f>
        <v>Not Applicable</v>
      </c>
    </row>
    <row r="86" spans="1:8" hidden="1">
      <c r="A86" s="95" t="s">
        <v>1080</v>
      </c>
      <c r="B86" s="78"/>
      <c r="C86" s="78"/>
      <c r="D86" s="78"/>
      <c r="E86" s="78"/>
      <c r="F86" s="96">
        <v>0</v>
      </c>
      <c r="G86" s="42">
        <f t="shared" si="1"/>
        <v>0</v>
      </c>
      <c r="H86" s="2" t="str">
        <f>VLOOKUP(A86,'TB MAy'!A:H,8,0)</f>
        <v>Not Applicable</v>
      </c>
    </row>
    <row r="87" spans="1:8" hidden="1">
      <c r="A87" s="95" t="s">
        <v>180</v>
      </c>
      <c r="B87" s="78"/>
      <c r="C87" s="78"/>
      <c r="D87" s="78"/>
      <c r="E87" s="78"/>
      <c r="F87" s="96">
        <v>0</v>
      </c>
      <c r="G87" s="42">
        <f t="shared" si="1"/>
        <v>0</v>
      </c>
      <c r="H87" s="2" t="str">
        <f>VLOOKUP(A87,'TB MAy'!A:H,8,0)</f>
        <v>Not Applicable</v>
      </c>
    </row>
    <row r="88" spans="1:8" hidden="1">
      <c r="A88" s="95" t="s">
        <v>1280</v>
      </c>
      <c r="B88" s="78"/>
      <c r="C88" s="78"/>
      <c r="D88" s="78"/>
      <c r="E88" s="78"/>
      <c r="F88" s="96">
        <v>0</v>
      </c>
      <c r="G88" s="42">
        <f t="shared" si="1"/>
        <v>0</v>
      </c>
      <c r="H88" s="2" t="str">
        <f>VLOOKUP(A88,'TB MAy'!A:H,8,0)</f>
        <v>Not Applicable</v>
      </c>
    </row>
    <row r="89" spans="1:8" hidden="1">
      <c r="A89" s="95" t="s">
        <v>917</v>
      </c>
      <c r="B89" s="78"/>
      <c r="C89" s="78"/>
      <c r="D89" s="78"/>
      <c r="E89" s="78"/>
      <c r="F89" s="96">
        <v>0</v>
      </c>
      <c r="G89" s="42">
        <f t="shared" si="1"/>
        <v>0</v>
      </c>
      <c r="H89" s="2" t="str">
        <f>VLOOKUP(A89,'TB MAy'!A:H,8,0)</f>
        <v>Not Applicable</v>
      </c>
    </row>
    <row r="90" spans="1:8" hidden="1">
      <c r="A90" s="95" t="s">
        <v>183</v>
      </c>
      <c r="B90" s="78"/>
      <c r="C90" s="78"/>
      <c r="D90" s="78"/>
      <c r="E90" s="78"/>
      <c r="F90" s="96">
        <v>0</v>
      </c>
      <c r="G90" s="42">
        <f t="shared" si="1"/>
        <v>0</v>
      </c>
      <c r="H90" s="2" t="str">
        <f>VLOOKUP(A90,'TB MAy'!A:H,8,0)</f>
        <v>Not Applicable</v>
      </c>
    </row>
    <row r="91" spans="1:8" hidden="1">
      <c r="A91" s="95" t="s">
        <v>186</v>
      </c>
      <c r="B91" s="78"/>
      <c r="C91" s="78"/>
      <c r="D91" s="78"/>
      <c r="E91" s="78"/>
      <c r="F91" s="96">
        <v>0</v>
      </c>
      <c r="G91" s="42">
        <f t="shared" si="1"/>
        <v>0</v>
      </c>
      <c r="H91" s="2" t="s">
        <v>84</v>
      </c>
    </row>
    <row r="92" spans="1:8" hidden="1">
      <c r="A92" s="95" t="s">
        <v>192</v>
      </c>
      <c r="B92" s="78"/>
      <c r="C92" s="78"/>
      <c r="D92" s="78"/>
      <c r="E92" s="78"/>
      <c r="F92" s="96">
        <v>0</v>
      </c>
      <c r="G92" s="42">
        <f t="shared" si="1"/>
        <v>0</v>
      </c>
      <c r="H92" s="2" t="str">
        <f>VLOOKUP(A92,'TB MAy'!A:H,8,0)</f>
        <v>Not Applicable</v>
      </c>
    </row>
    <row r="93" spans="1:8" hidden="1">
      <c r="A93" s="95" t="s">
        <v>1407</v>
      </c>
      <c r="B93" s="78"/>
      <c r="C93" s="78"/>
      <c r="D93" s="78"/>
      <c r="E93" s="78"/>
      <c r="F93" s="96">
        <v>0</v>
      </c>
      <c r="G93" s="42">
        <f t="shared" si="1"/>
        <v>0</v>
      </c>
      <c r="H93" s="2" t="str">
        <f>VLOOKUP(A93,'TB MAy'!A:H,8,0)</f>
        <v>Not Applicable</v>
      </c>
    </row>
    <row r="94" spans="1:8" hidden="1">
      <c r="A94" s="95" t="s">
        <v>196</v>
      </c>
      <c r="B94" s="78">
        <v>124228425.31999999</v>
      </c>
      <c r="C94" s="78"/>
      <c r="D94" s="78"/>
      <c r="E94" s="78">
        <v>124228425.31999999</v>
      </c>
      <c r="F94" s="96">
        <v>0</v>
      </c>
      <c r="G94" s="42">
        <f t="shared" si="1"/>
        <v>124228425.31999999</v>
      </c>
      <c r="H94" s="2" t="str">
        <f>VLOOKUP(A94,'TB MAy'!A:H,8,0)</f>
        <v>Not Applicable</v>
      </c>
    </row>
    <row r="95" spans="1:8" hidden="1">
      <c r="A95" s="95" t="s">
        <v>197</v>
      </c>
      <c r="B95" s="78">
        <v>105929094.08</v>
      </c>
      <c r="C95" s="78">
        <v>72933066.900000006</v>
      </c>
      <c r="D95" s="78">
        <v>89716602</v>
      </c>
      <c r="E95" s="78">
        <v>89145558.980000004</v>
      </c>
      <c r="F95" s="96">
        <v>0</v>
      </c>
      <c r="G95" s="42">
        <f t="shared" si="1"/>
        <v>89145558.980000004</v>
      </c>
      <c r="H95" s="2" t="str">
        <f>VLOOKUP(A95,'TB MAy'!A:H,8,0)</f>
        <v>Not Applicable</v>
      </c>
    </row>
    <row r="96" spans="1:8" hidden="1">
      <c r="A96" s="95" t="s">
        <v>1053</v>
      </c>
      <c r="B96" s="78">
        <v>18614228.199999999</v>
      </c>
      <c r="C96" s="78">
        <v>15365495.92</v>
      </c>
      <c r="D96" s="78">
        <v>32795919</v>
      </c>
      <c r="E96" s="78">
        <v>1183805.1200000001</v>
      </c>
      <c r="F96" s="96">
        <v>0</v>
      </c>
      <c r="G96" s="42">
        <f t="shared" si="1"/>
        <v>1183805.1200000001</v>
      </c>
      <c r="H96" s="2" t="str">
        <f>VLOOKUP(A96,'TB MAy'!A:H,8,0)</f>
        <v>Not Applicable</v>
      </c>
    </row>
    <row r="97" spans="1:8" hidden="1">
      <c r="A97" s="95" t="s">
        <v>198</v>
      </c>
      <c r="B97" s="78"/>
      <c r="C97" s="78"/>
      <c r="D97" s="78"/>
      <c r="E97" s="78"/>
      <c r="F97" s="96">
        <v>0</v>
      </c>
      <c r="G97" s="42">
        <f t="shared" ref="G97:G160" si="2">+E97+F97</f>
        <v>0</v>
      </c>
      <c r="H97" s="2" t="str">
        <f>VLOOKUP(A97,'TB MAy'!A:H,8,0)</f>
        <v>Not Applicable</v>
      </c>
    </row>
    <row r="98" spans="1:8" hidden="1">
      <c r="A98" s="95" t="s">
        <v>1328</v>
      </c>
      <c r="B98" s="78">
        <v>-5256733.6100000003</v>
      </c>
      <c r="C98" s="78">
        <v>14750230.109999999</v>
      </c>
      <c r="D98" s="78">
        <v>23095407.670000002</v>
      </c>
      <c r="E98" s="78">
        <v>-13601911.17</v>
      </c>
      <c r="F98" s="96">
        <v>0</v>
      </c>
      <c r="G98" s="42">
        <f t="shared" si="2"/>
        <v>-13601911.17</v>
      </c>
      <c r="H98" s="2" t="str">
        <f>VLOOKUP(A98,'TB MAy'!A:H,8,0)</f>
        <v>Not Applicable</v>
      </c>
    </row>
    <row r="99" spans="1:8" hidden="1">
      <c r="A99" s="95" t="s">
        <v>855</v>
      </c>
      <c r="B99" s="78">
        <v>1165250</v>
      </c>
      <c r="C99" s="78"/>
      <c r="D99" s="78">
        <v>1165250</v>
      </c>
      <c r="E99" s="78"/>
      <c r="F99" s="96">
        <v>0</v>
      </c>
      <c r="G99" s="42">
        <f t="shared" si="2"/>
        <v>0</v>
      </c>
      <c r="H99" s="2" t="str">
        <f>VLOOKUP(A99,'TB MAy'!A:H,8,0)</f>
        <v>Not Applicable</v>
      </c>
    </row>
    <row r="100" spans="1:8" hidden="1">
      <c r="A100" s="95" t="s">
        <v>1548</v>
      </c>
      <c r="B100" s="78"/>
      <c r="C100" s="78"/>
      <c r="D100" s="78"/>
      <c r="E100" s="78"/>
      <c r="F100" s="96">
        <v>0</v>
      </c>
      <c r="G100" s="42">
        <f t="shared" si="2"/>
        <v>0</v>
      </c>
      <c r="H100" s="2" t="s">
        <v>84</v>
      </c>
    </row>
    <row r="101" spans="1:8" hidden="1">
      <c r="A101" s="95" t="s">
        <v>201</v>
      </c>
      <c r="B101" s="78"/>
      <c r="C101" s="78"/>
      <c r="D101" s="78"/>
      <c r="E101" s="78"/>
      <c r="F101" s="96">
        <v>0</v>
      </c>
      <c r="G101" s="42">
        <f t="shared" si="2"/>
        <v>0</v>
      </c>
      <c r="H101" s="2" t="str">
        <f>VLOOKUP(A101,'TB MAy'!A:H,8,0)</f>
        <v>Not Applicable</v>
      </c>
    </row>
    <row r="102" spans="1:8" hidden="1">
      <c r="A102" s="95" t="s">
        <v>1504</v>
      </c>
      <c r="B102" s="78"/>
      <c r="C102" s="78"/>
      <c r="D102" s="78"/>
      <c r="E102" s="78"/>
      <c r="F102" s="96">
        <v>0</v>
      </c>
      <c r="G102" s="42">
        <f t="shared" si="2"/>
        <v>0</v>
      </c>
      <c r="H102" s="2" t="str">
        <f>VLOOKUP(A102,'TB MAy'!A:H,8,0)</f>
        <v>Not Applicable</v>
      </c>
    </row>
    <row r="103" spans="1:8" hidden="1">
      <c r="A103" s="95" t="s">
        <v>210</v>
      </c>
      <c r="B103" s="78"/>
      <c r="C103" s="78"/>
      <c r="D103" s="78"/>
      <c r="E103" s="78"/>
      <c r="F103" s="96">
        <v>0</v>
      </c>
      <c r="G103" s="42">
        <f t="shared" si="2"/>
        <v>0</v>
      </c>
      <c r="H103" s="2" t="str">
        <f>VLOOKUP(A103,'TB MAy'!A:H,8,0)</f>
        <v>Not Applicable</v>
      </c>
    </row>
    <row r="104" spans="1:8" hidden="1">
      <c r="A104" s="95" t="s">
        <v>211</v>
      </c>
      <c r="B104" s="78"/>
      <c r="C104" s="78"/>
      <c r="D104" s="78"/>
      <c r="E104" s="78"/>
      <c r="F104" s="96">
        <v>0</v>
      </c>
      <c r="G104" s="42">
        <f t="shared" si="2"/>
        <v>0</v>
      </c>
      <c r="H104" s="2" t="str">
        <f>VLOOKUP(A104,'TB MAy'!A:H,8,0)</f>
        <v>Not Applicable</v>
      </c>
    </row>
    <row r="105" spans="1:8" hidden="1">
      <c r="A105" s="95" t="s">
        <v>1408</v>
      </c>
      <c r="B105" s="78">
        <v>0.28999999999999998</v>
      </c>
      <c r="C105" s="78">
        <v>1351507.71</v>
      </c>
      <c r="D105" s="78">
        <v>1351508</v>
      </c>
      <c r="E105" s="78"/>
      <c r="F105" s="96">
        <v>0</v>
      </c>
      <c r="G105" s="42">
        <f t="shared" si="2"/>
        <v>0</v>
      </c>
      <c r="H105" s="2" t="str">
        <f>VLOOKUP(A105,'TB MAy'!A:H,8,0)</f>
        <v>Not Applicable</v>
      </c>
    </row>
    <row r="106" spans="1:8" hidden="1">
      <c r="A106" s="95" t="s">
        <v>213</v>
      </c>
      <c r="B106" s="78">
        <v>-60996.61</v>
      </c>
      <c r="C106" s="78"/>
      <c r="D106" s="78"/>
      <c r="E106" s="78">
        <v>-60996.61</v>
      </c>
      <c r="F106" s="96">
        <v>0</v>
      </c>
      <c r="G106" s="42">
        <f t="shared" si="2"/>
        <v>-60996.61</v>
      </c>
      <c r="H106" s="2" t="str">
        <f>VLOOKUP(A106,'TB MAy'!A:H,8,0)</f>
        <v>Not Applicable</v>
      </c>
    </row>
    <row r="107" spans="1:8" hidden="1">
      <c r="A107" s="95" t="s">
        <v>1129</v>
      </c>
      <c r="B107" s="78"/>
      <c r="C107" s="78"/>
      <c r="D107" s="78"/>
      <c r="E107" s="78"/>
      <c r="F107" s="96">
        <v>0</v>
      </c>
      <c r="G107" s="42">
        <f t="shared" si="2"/>
        <v>0</v>
      </c>
      <c r="H107" s="2" t="str">
        <f>VLOOKUP(A107,'TB MAy'!A:H,8,0)</f>
        <v>Not Applicable</v>
      </c>
    </row>
    <row r="108" spans="1:8" hidden="1">
      <c r="A108" s="95" t="s">
        <v>1010</v>
      </c>
      <c r="B108" s="78">
        <v>-0.8</v>
      </c>
      <c r="C108" s="78">
        <v>39718.800000000003</v>
      </c>
      <c r="D108" s="78">
        <v>39718</v>
      </c>
      <c r="E108" s="78"/>
      <c r="F108" s="96">
        <v>0</v>
      </c>
      <c r="G108" s="42">
        <f t="shared" si="2"/>
        <v>0</v>
      </c>
      <c r="H108" s="2" t="str">
        <f>VLOOKUP(A108,'TB MAy'!A:H,8,0)</f>
        <v>Not Applicable</v>
      </c>
    </row>
    <row r="109" spans="1:8" hidden="1">
      <c r="A109" s="95" t="s">
        <v>214</v>
      </c>
      <c r="B109" s="78"/>
      <c r="C109" s="78"/>
      <c r="D109" s="78"/>
      <c r="E109" s="78"/>
      <c r="F109" s="96">
        <v>0</v>
      </c>
      <c r="G109" s="42">
        <f t="shared" si="2"/>
        <v>0</v>
      </c>
      <c r="H109" s="2" t="str">
        <f>VLOOKUP(A109,'TB MAy'!A:H,8,0)</f>
        <v>Not Applicable</v>
      </c>
    </row>
    <row r="110" spans="1:8" hidden="1">
      <c r="A110" s="95" t="s">
        <v>215</v>
      </c>
      <c r="B110" s="78"/>
      <c r="C110" s="78"/>
      <c r="D110" s="78"/>
      <c r="E110" s="78"/>
      <c r="F110" s="96">
        <v>0</v>
      </c>
      <c r="G110" s="42">
        <f t="shared" si="2"/>
        <v>0</v>
      </c>
      <c r="H110" s="2" t="str">
        <f>VLOOKUP(A110,'TB MAy'!A:H,8,0)</f>
        <v>Not Applicable</v>
      </c>
    </row>
    <row r="111" spans="1:8" hidden="1">
      <c r="A111" s="95" t="s">
        <v>216</v>
      </c>
      <c r="B111" s="78"/>
      <c r="C111" s="78"/>
      <c r="D111" s="78"/>
      <c r="E111" s="78"/>
      <c r="F111" s="96">
        <v>0</v>
      </c>
      <c r="G111" s="42">
        <f t="shared" si="2"/>
        <v>0</v>
      </c>
      <c r="H111" s="2" t="str">
        <f>VLOOKUP(A111,'TB MAy'!A:H,8,0)</f>
        <v>Not Applicable</v>
      </c>
    </row>
    <row r="112" spans="1:8" hidden="1">
      <c r="A112" s="95" t="s">
        <v>220</v>
      </c>
      <c r="B112" s="78"/>
      <c r="C112" s="78"/>
      <c r="D112" s="78"/>
      <c r="E112" s="78"/>
      <c r="F112" s="96">
        <v>0</v>
      </c>
      <c r="G112" s="42">
        <f t="shared" si="2"/>
        <v>0</v>
      </c>
      <c r="H112" s="2" t="str">
        <f>VLOOKUP(A112,'TB MAy'!A:H,8,0)</f>
        <v>Not Applicable</v>
      </c>
    </row>
    <row r="113" spans="1:8" hidden="1">
      <c r="A113" s="95" t="s">
        <v>221</v>
      </c>
      <c r="B113" s="78">
        <v>38029942.490000002</v>
      </c>
      <c r="C113" s="78"/>
      <c r="D113" s="78"/>
      <c r="E113" s="78">
        <v>38029942.490000002</v>
      </c>
      <c r="F113" s="96">
        <v>0</v>
      </c>
      <c r="G113" s="42">
        <f t="shared" si="2"/>
        <v>38029942.490000002</v>
      </c>
      <c r="H113" s="2" t="str">
        <f>VLOOKUP(A113,'TB MAy'!A:H,8,0)</f>
        <v>Not Applicable</v>
      </c>
    </row>
    <row r="114" spans="1:8" hidden="1">
      <c r="A114" s="95" t="s">
        <v>222</v>
      </c>
      <c r="B114" s="78">
        <v>285662294.56</v>
      </c>
      <c r="C114" s="78">
        <v>28020972.920000002</v>
      </c>
      <c r="D114" s="78">
        <v>53330511.740000002</v>
      </c>
      <c r="E114" s="78">
        <v>260352755.74000001</v>
      </c>
      <c r="F114" s="96">
        <v>0</v>
      </c>
      <c r="G114" s="42">
        <f t="shared" si="2"/>
        <v>260352755.74000001</v>
      </c>
      <c r="H114" s="2" t="str">
        <f>VLOOKUP(A114,'TB MAy'!A:H,8,0)</f>
        <v>Not Applicable</v>
      </c>
    </row>
    <row r="115" spans="1:8" hidden="1">
      <c r="A115" s="95" t="s">
        <v>223</v>
      </c>
      <c r="B115" s="78">
        <v>2002647731.99</v>
      </c>
      <c r="C115" s="78">
        <v>85262338.920000002</v>
      </c>
      <c r="D115" s="78"/>
      <c r="E115" s="78">
        <v>2087910070.9100001</v>
      </c>
      <c r="F115" s="96">
        <v>0</v>
      </c>
      <c r="G115" s="42">
        <f t="shared" si="2"/>
        <v>2087910070.9100001</v>
      </c>
      <c r="H115" s="2" t="str">
        <f>VLOOKUP(A115,'TB MAy'!A:H,8,0)</f>
        <v>Not Applicable</v>
      </c>
    </row>
    <row r="116" spans="1:8" hidden="1">
      <c r="A116" s="95" t="s">
        <v>1505</v>
      </c>
      <c r="B116" s="78"/>
      <c r="C116" s="78"/>
      <c r="D116" s="78"/>
      <c r="E116" s="78"/>
      <c r="F116" s="96">
        <v>0</v>
      </c>
      <c r="G116" s="42">
        <f t="shared" si="2"/>
        <v>0</v>
      </c>
      <c r="H116" s="2" t="str">
        <f>VLOOKUP(A116,'TB MAy'!A:H,8,0)</f>
        <v>Not Applicable</v>
      </c>
    </row>
    <row r="117" spans="1:8" hidden="1">
      <c r="A117" s="95" t="s">
        <v>1549</v>
      </c>
      <c r="B117" s="78"/>
      <c r="C117" s="78">
        <v>393372</v>
      </c>
      <c r="D117" s="78">
        <v>393372</v>
      </c>
      <c r="E117" s="78"/>
      <c r="F117" s="96">
        <v>0</v>
      </c>
      <c r="G117" s="42">
        <f t="shared" si="2"/>
        <v>0</v>
      </c>
      <c r="H117" s="2" t="s">
        <v>84</v>
      </c>
    </row>
    <row r="118" spans="1:8" hidden="1">
      <c r="A118" s="95" t="s">
        <v>226</v>
      </c>
      <c r="B118" s="78">
        <v>4254750.16</v>
      </c>
      <c r="C118" s="78"/>
      <c r="D118" s="78"/>
      <c r="E118" s="78">
        <v>4254750.16</v>
      </c>
      <c r="F118" s="96">
        <v>0</v>
      </c>
      <c r="G118" s="42">
        <f t="shared" si="2"/>
        <v>4254750.16</v>
      </c>
      <c r="H118" s="2" t="str">
        <f>VLOOKUP(A118,'TB MAy'!A:H,8,0)</f>
        <v>Not Applicable</v>
      </c>
    </row>
    <row r="119" spans="1:8" hidden="1">
      <c r="A119" s="95" t="s">
        <v>229</v>
      </c>
      <c r="B119" s="78"/>
      <c r="C119" s="78"/>
      <c r="D119" s="78"/>
      <c r="E119" s="78"/>
      <c r="F119" s="96">
        <v>0</v>
      </c>
      <c r="G119" s="42">
        <f t="shared" si="2"/>
        <v>0</v>
      </c>
      <c r="H119" s="2" t="str">
        <f>VLOOKUP(A119,'TB MAy'!A:H,8,0)</f>
        <v>Not Applicable</v>
      </c>
    </row>
    <row r="120" spans="1:8" hidden="1">
      <c r="A120" s="95" t="s">
        <v>1409</v>
      </c>
      <c r="B120" s="78"/>
      <c r="C120" s="78">
        <v>1407150</v>
      </c>
      <c r="D120" s="78">
        <v>1407150</v>
      </c>
      <c r="E120" s="78"/>
      <c r="F120" s="96">
        <v>0</v>
      </c>
      <c r="G120" s="42">
        <f t="shared" si="2"/>
        <v>0</v>
      </c>
      <c r="H120" s="2" t="str">
        <f>VLOOKUP(A120,'TB MAy'!A:H,8,0)</f>
        <v>Not Applicable</v>
      </c>
    </row>
    <row r="121" spans="1:8" hidden="1">
      <c r="A121" s="95" t="s">
        <v>236</v>
      </c>
      <c r="B121" s="78">
        <v>3709</v>
      </c>
      <c r="C121" s="78"/>
      <c r="D121" s="78"/>
      <c r="E121" s="78">
        <v>3709</v>
      </c>
      <c r="F121" s="96">
        <v>0</v>
      </c>
      <c r="G121" s="42">
        <f t="shared" si="2"/>
        <v>3709</v>
      </c>
      <c r="H121" s="2" t="str">
        <f>VLOOKUP(A121,'TB MAy'!A:H,8,0)</f>
        <v>Not Applicable</v>
      </c>
    </row>
    <row r="122" spans="1:8" hidden="1">
      <c r="A122" s="95" t="s">
        <v>1550</v>
      </c>
      <c r="B122" s="78"/>
      <c r="C122" s="78">
        <v>236670</v>
      </c>
      <c r="D122" s="78">
        <v>236670</v>
      </c>
      <c r="E122" s="78"/>
      <c r="F122" s="96">
        <v>0</v>
      </c>
      <c r="G122" s="42">
        <f t="shared" si="2"/>
        <v>0</v>
      </c>
      <c r="H122" s="2" t="s">
        <v>84</v>
      </c>
    </row>
    <row r="123" spans="1:8" hidden="1">
      <c r="A123" s="95" t="s">
        <v>1506</v>
      </c>
      <c r="B123" s="78"/>
      <c r="C123" s="78">
        <v>274944.71999999997</v>
      </c>
      <c r="D123" s="78">
        <v>274944.71999999997</v>
      </c>
      <c r="E123" s="78"/>
      <c r="F123" s="96">
        <v>0</v>
      </c>
      <c r="G123" s="42">
        <f t="shared" si="2"/>
        <v>0</v>
      </c>
      <c r="H123" s="2" t="str">
        <f>VLOOKUP(A123,'TB MAy'!A:H,8,0)</f>
        <v>Not Applicable</v>
      </c>
    </row>
    <row r="124" spans="1:8" hidden="1">
      <c r="A124" s="95" t="s">
        <v>1307</v>
      </c>
      <c r="B124" s="78"/>
      <c r="C124" s="78"/>
      <c r="D124" s="78"/>
      <c r="E124" s="78"/>
      <c r="F124" s="96">
        <v>0</v>
      </c>
      <c r="G124" s="42">
        <f t="shared" si="2"/>
        <v>0</v>
      </c>
      <c r="H124" s="2" t="s">
        <v>84</v>
      </c>
    </row>
    <row r="125" spans="1:8" hidden="1">
      <c r="A125" s="95" t="s">
        <v>237</v>
      </c>
      <c r="B125" s="78">
        <v>-399.12</v>
      </c>
      <c r="C125" s="78"/>
      <c r="D125" s="78"/>
      <c r="E125" s="78">
        <v>-399.12</v>
      </c>
      <c r="F125" s="96">
        <v>0</v>
      </c>
      <c r="G125" s="42">
        <f t="shared" si="2"/>
        <v>-399.12</v>
      </c>
      <c r="H125" s="2" t="str">
        <f>VLOOKUP(A125,'TB MAy'!A:H,8,0)</f>
        <v>Not Applicable</v>
      </c>
    </row>
    <row r="126" spans="1:8" hidden="1">
      <c r="A126" s="95" t="s">
        <v>1112</v>
      </c>
      <c r="B126" s="78">
        <v>-0.2</v>
      </c>
      <c r="C126" s="78"/>
      <c r="D126" s="78"/>
      <c r="E126" s="78">
        <v>-0.2</v>
      </c>
      <c r="F126" s="96">
        <v>0</v>
      </c>
      <c r="G126" s="42">
        <f t="shared" si="2"/>
        <v>-0.2</v>
      </c>
      <c r="H126" s="2" t="str">
        <f>VLOOKUP(A126,'TB MAy'!A:H,8,0)</f>
        <v>Not Applicable</v>
      </c>
    </row>
    <row r="127" spans="1:8" hidden="1">
      <c r="A127" s="95" t="s">
        <v>1410</v>
      </c>
      <c r="B127" s="78"/>
      <c r="C127" s="78"/>
      <c r="D127" s="78"/>
      <c r="E127" s="78"/>
      <c r="F127" s="96">
        <v>0</v>
      </c>
      <c r="G127" s="42">
        <f t="shared" si="2"/>
        <v>0</v>
      </c>
      <c r="H127" s="2" t="str">
        <f>VLOOKUP(A127,'TB MAy'!A:H,8,0)</f>
        <v>Not Applicable</v>
      </c>
    </row>
    <row r="128" spans="1:8" hidden="1">
      <c r="A128" s="95" t="s">
        <v>856</v>
      </c>
      <c r="B128" s="78"/>
      <c r="C128" s="78"/>
      <c r="D128" s="78"/>
      <c r="E128" s="78"/>
      <c r="F128" s="96">
        <v>0</v>
      </c>
      <c r="G128" s="42">
        <f t="shared" si="2"/>
        <v>0</v>
      </c>
      <c r="H128" s="2" t="str">
        <f>VLOOKUP(A128,'TB MAy'!A:H,8,0)</f>
        <v>Not Applicable</v>
      </c>
    </row>
    <row r="129" spans="1:8" hidden="1">
      <c r="A129" s="95" t="s">
        <v>1084</v>
      </c>
      <c r="B129" s="78">
        <v>36647.85</v>
      </c>
      <c r="C129" s="78"/>
      <c r="D129" s="78"/>
      <c r="E129" s="78">
        <v>36647.85</v>
      </c>
      <c r="F129" s="96">
        <v>0</v>
      </c>
      <c r="G129" s="42">
        <f t="shared" si="2"/>
        <v>36647.85</v>
      </c>
      <c r="H129" s="2" t="str">
        <f>VLOOKUP(A129,'TB MAy'!A:H,8,0)</f>
        <v>Not Applicable</v>
      </c>
    </row>
    <row r="130" spans="1:8" hidden="1">
      <c r="A130" s="95" t="s">
        <v>1507</v>
      </c>
      <c r="B130" s="78"/>
      <c r="C130" s="78"/>
      <c r="D130" s="78"/>
      <c r="E130" s="78"/>
      <c r="F130" s="96">
        <v>0</v>
      </c>
      <c r="G130" s="42">
        <f t="shared" si="2"/>
        <v>0</v>
      </c>
      <c r="H130" s="2" t="str">
        <f>VLOOKUP(A130,'TB MAy'!A:H,8,0)</f>
        <v>Not Applicable</v>
      </c>
    </row>
    <row r="131" spans="1:8" hidden="1">
      <c r="A131" s="95" t="s">
        <v>251</v>
      </c>
      <c r="B131" s="78">
        <v>5897841.1200000001</v>
      </c>
      <c r="C131" s="78">
        <v>2702520.96</v>
      </c>
      <c r="D131" s="78">
        <v>1600000</v>
      </c>
      <c r="E131" s="78">
        <v>7000362.0800000001</v>
      </c>
      <c r="F131" s="96">
        <v>0</v>
      </c>
      <c r="G131" s="42">
        <f t="shared" si="2"/>
        <v>7000362.0800000001</v>
      </c>
      <c r="H131" s="2" t="str">
        <f>VLOOKUP(A131,'TB MAy'!A:H,8,0)</f>
        <v>Not Applicable</v>
      </c>
    </row>
    <row r="132" spans="1:8" hidden="1">
      <c r="A132" s="95" t="s">
        <v>262</v>
      </c>
      <c r="B132" s="78">
        <v>37315340.590000004</v>
      </c>
      <c r="C132" s="78"/>
      <c r="D132" s="78"/>
      <c r="E132" s="78">
        <v>37315340.590000004</v>
      </c>
      <c r="F132" s="96">
        <v>0</v>
      </c>
      <c r="G132" s="42">
        <f t="shared" si="2"/>
        <v>37315340.590000004</v>
      </c>
      <c r="H132" s="2" t="str">
        <f>VLOOKUP(A132,'TB MAy'!A:H,8,0)</f>
        <v>Not Applicable</v>
      </c>
    </row>
    <row r="133" spans="1:8" hidden="1">
      <c r="A133" s="95" t="s">
        <v>263</v>
      </c>
      <c r="B133" s="78">
        <v>144441320.65000001</v>
      </c>
      <c r="C133" s="78"/>
      <c r="D133" s="78"/>
      <c r="E133" s="78">
        <v>144441320.65000001</v>
      </c>
      <c r="F133" s="96">
        <v>0</v>
      </c>
      <c r="G133" s="42">
        <f t="shared" si="2"/>
        <v>144441320.65000001</v>
      </c>
      <c r="H133" s="2" t="str">
        <f>VLOOKUP(A133,'TB MAy'!A:H,8,0)</f>
        <v>Not Applicable</v>
      </c>
    </row>
    <row r="134" spans="1:8" hidden="1">
      <c r="A134" s="95" t="s">
        <v>264</v>
      </c>
      <c r="B134" s="78">
        <v>83440</v>
      </c>
      <c r="C134" s="78"/>
      <c r="D134" s="78"/>
      <c r="E134" s="78">
        <v>83440</v>
      </c>
      <c r="F134" s="96">
        <v>0</v>
      </c>
      <c r="G134" s="42">
        <f t="shared" si="2"/>
        <v>83440</v>
      </c>
      <c r="H134" s="2" t="str">
        <f>VLOOKUP(A134,'TB MAy'!A:H,8,0)</f>
        <v>Not Applicable</v>
      </c>
    </row>
    <row r="135" spans="1:8" hidden="1">
      <c r="A135" s="95" t="s">
        <v>265</v>
      </c>
      <c r="B135" s="78">
        <v>-44800</v>
      </c>
      <c r="C135" s="78"/>
      <c r="D135" s="78"/>
      <c r="E135" s="78">
        <v>-44800</v>
      </c>
      <c r="F135" s="96">
        <v>0</v>
      </c>
      <c r="G135" s="42">
        <f t="shared" si="2"/>
        <v>-44800</v>
      </c>
      <c r="H135" s="2" t="str">
        <f>VLOOKUP(A135,'TB MAy'!A:H,8,0)</f>
        <v>Not Applicable</v>
      </c>
    </row>
    <row r="136" spans="1:8" hidden="1">
      <c r="A136" s="95" t="s">
        <v>266</v>
      </c>
      <c r="B136" s="78">
        <v>4599669.7300000004</v>
      </c>
      <c r="C136" s="78"/>
      <c r="D136" s="78"/>
      <c r="E136" s="78">
        <v>4599669.7300000004</v>
      </c>
      <c r="F136" s="96">
        <v>0</v>
      </c>
      <c r="G136" s="42">
        <f t="shared" si="2"/>
        <v>4599669.7300000004</v>
      </c>
      <c r="H136" s="2" t="str">
        <f>VLOOKUP(A136,'TB MAy'!A:H,8,0)</f>
        <v>Not Applicable</v>
      </c>
    </row>
    <row r="137" spans="1:8" hidden="1">
      <c r="A137" s="95" t="s">
        <v>271</v>
      </c>
      <c r="B137" s="78">
        <v>1000</v>
      </c>
      <c r="C137" s="78"/>
      <c r="D137" s="78"/>
      <c r="E137" s="78">
        <v>1000</v>
      </c>
      <c r="F137" s="96">
        <v>0</v>
      </c>
      <c r="G137" s="42">
        <f t="shared" si="2"/>
        <v>1000</v>
      </c>
      <c r="H137" s="2" t="str">
        <f>VLOOKUP(A137,'TB MAy'!A:H,8,0)</f>
        <v>Not Applicable</v>
      </c>
    </row>
    <row r="138" spans="1:8" hidden="1">
      <c r="A138" s="95" t="s">
        <v>1011</v>
      </c>
      <c r="B138" s="78">
        <v>42831</v>
      </c>
      <c r="C138" s="78"/>
      <c r="D138" s="78"/>
      <c r="E138" s="78">
        <v>42831</v>
      </c>
      <c r="F138" s="96">
        <v>0</v>
      </c>
      <c r="G138" s="42">
        <f t="shared" si="2"/>
        <v>42831</v>
      </c>
      <c r="H138" s="2" t="str">
        <f>VLOOKUP(A138,'TB MAy'!A:H,8,0)</f>
        <v>Not Applicable</v>
      </c>
    </row>
    <row r="139" spans="1:8" hidden="1">
      <c r="A139" s="95" t="s">
        <v>275</v>
      </c>
      <c r="B139" s="78"/>
      <c r="C139" s="78"/>
      <c r="D139" s="78"/>
      <c r="E139" s="78"/>
      <c r="F139" s="96">
        <v>0</v>
      </c>
      <c r="G139" s="42">
        <f t="shared" si="2"/>
        <v>0</v>
      </c>
      <c r="H139" s="2" t="str">
        <f>VLOOKUP(A139,'TB MAy'!A:H,8,0)</f>
        <v>Not Applicable</v>
      </c>
    </row>
    <row r="140" spans="1:8" hidden="1">
      <c r="A140" s="95" t="s">
        <v>272</v>
      </c>
      <c r="B140" s="78">
        <v>5253236.1500000004</v>
      </c>
      <c r="C140" s="78"/>
      <c r="D140" s="78"/>
      <c r="E140" s="78">
        <v>5253236.1500000004</v>
      </c>
      <c r="F140" s="96">
        <v>0</v>
      </c>
      <c r="G140" s="42">
        <f t="shared" si="2"/>
        <v>5253236.1500000004</v>
      </c>
      <c r="H140" s="2" t="str">
        <f>VLOOKUP(A140,'TB MAy'!A:H,8,0)</f>
        <v>Not Applicable</v>
      </c>
    </row>
    <row r="141" spans="1:8" hidden="1">
      <c r="A141" s="95" t="s">
        <v>273</v>
      </c>
      <c r="B141" s="78"/>
      <c r="C141" s="78"/>
      <c r="D141" s="78"/>
      <c r="E141" s="78"/>
      <c r="F141" s="96">
        <v>0</v>
      </c>
      <c r="G141" s="42">
        <f t="shared" si="2"/>
        <v>0</v>
      </c>
      <c r="H141" s="2" t="str">
        <f>VLOOKUP(A141,'TB MAy'!A:H,8,0)</f>
        <v>Not Applicable</v>
      </c>
    </row>
    <row r="142" spans="1:8" hidden="1">
      <c r="A142" s="95" t="s">
        <v>997</v>
      </c>
      <c r="B142" s="78">
        <v>790600</v>
      </c>
      <c r="C142" s="78">
        <v>849600</v>
      </c>
      <c r="D142" s="78">
        <v>790600</v>
      </c>
      <c r="E142" s="78">
        <v>849600</v>
      </c>
      <c r="F142" s="96">
        <v>0</v>
      </c>
      <c r="G142" s="42">
        <f t="shared" si="2"/>
        <v>849600</v>
      </c>
      <c r="H142" s="2" t="str">
        <f>VLOOKUP(A142,'TB MAy'!A:H,8,0)</f>
        <v>Not Applicable</v>
      </c>
    </row>
    <row r="143" spans="1:8" hidden="1">
      <c r="A143" s="95" t="s">
        <v>1411</v>
      </c>
      <c r="B143" s="78"/>
      <c r="C143" s="78"/>
      <c r="D143" s="78"/>
      <c r="E143" s="78"/>
      <c r="F143" s="96">
        <v>0</v>
      </c>
      <c r="G143" s="42">
        <f t="shared" si="2"/>
        <v>0</v>
      </c>
      <c r="H143" s="2" t="str">
        <f>VLOOKUP(A143,'TB MAy'!A:H,8,0)</f>
        <v>Not Applicable</v>
      </c>
    </row>
    <row r="144" spans="1:8" hidden="1">
      <c r="A144" s="95" t="s">
        <v>278</v>
      </c>
      <c r="B144" s="78">
        <v>-41231265.590000004</v>
      </c>
      <c r="C144" s="78"/>
      <c r="D144" s="78"/>
      <c r="E144" s="78">
        <v>-41231265.590000004</v>
      </c>
      <c r="F144" s="96">
        <v>0</v>
      </c>
      <c r="G144" s="42">
        <f t="shared" si="2"/>
        <v>-41231265.590000004</v>
      </c>
      <c r="H144" s="2" t="str">
        <f>VLOOKUP(A144,'TB MAy'!A:H,8,0)</f>
        <v>Not Applicable</v>
      </c>
    </row>
    <row r="145" spans="1:8" hidden="1">
      <c r="A145" s="95" t="s">
        <v>279</v>
      </c>
      <c r="B145" s="78">
        <v>2313539751.3099999</v>
      </c>
      <c r="C145" s="78">
        <v>29440016.859999999</v>
      </c>
      <c r="D145" s="78"/>
      <c r="E145" s="78">
        <v>2342979768.1700001</v>
      </c>
      <c r="F145" s="96">
        <v>0</v>
      </c>
      <c r="G145" s="42">
        <f t="shared" si="2"/>
        <v>2342979768.1700001</v>
      </c>
      <c r="H145" s="2" t="str">
        <f>VLOOKUP(A145,'TB MAy'!A:H,8,0)</f>
        <v>Not Applicable</v>
      </c>
    </row>
    <row r="146" spans="1:8" hidden="1">
      <c r="A146" s="95" t="s">
        <v>280</v>
      </c>
      <c r="B146" s="78">
        <v>14907.1</v>
      </c>
      <c r="C146" s="78"/>
      <c r="D146" s="78"/>
      <c r="E146" s="78">
        <v>14907.1</v>
      </c>
      <c r="F146" s="96">
        <v>0</v>
      </c>
      <c r="G146" s="42">
        <f t="shared" si="2"/>
        <v>14907.1</v>
      </c>
      <c r="H146" s="2" t="str">
        <f>VLOOKUP(A146,'TB MAy'!A:H,8,0)</f>
        <v>Not Applicable</v>
      </c>
    </row>
    <row r="147" spans="1:8" hidden="1">
      <c r="A147" s="95" t="s">
        <v>1412</v>
      </c>
      <c r="B147" s="78"/>
      <c r="C147" s="78"/>
      <c r="D147" s="78"/>
      <c r="E147" s="78"/>
      <c r="F147" s="96">
        <v>0</v>
      </c>
      <c r="G147" s="42">
        <f t="shared" si="2"/>
        <v>0</v>
      </c>
      <c r="H147" s="2" t="str">
        <f>VLOOKUP(A147,'TB MAy'!A:H,8,0)</f>
        <v>Not Applicable</v>
      </c>
    </row>
    <row r="148" spans="1:8" hidden="1">
      <c r="A148" s="95" t="s">
        <v>281</v>
      </c>
      <c r="B148" s="78">
        <v>334761187.47000003</v>
      </c>
      <c r="C148" s="78"/>
      <c r="D148" s="78"/>
      <c r="E148" s="78">
        <v>334761187.47000003</v>
      </c>
      <c r="F148" s="96">
        <v>0</v>
      </c>
      <c r="G148" s="42">
        <f t="shared" si="2"/>
        <v>334761187.47000003</v>
      </c>
      <c r="H148" s="2" t="str">
        <f>VLOOKUP(A148,'TB MAy'!A:H,8,0)</f>
        <v>Not Applicable</v>
      </c>
    </row>
    <row r="149" spans="1:8" hidden="1">
      <c r="A149" s="95" t="s">
        <v>282</v>
      </c>
      <c r="B149" s="78">
        <v>190645194.84999999</v>
      </c>
      <c r="C149" s="78"/>
      <c r="D149" s="78"/>
      <c r="E149" s="78">
        <v>190645194.84999999</v>
      </c>
      <c r="F149" s="96">
        <v>0</v>
      </c>
      <c r="G149" s="42">
        <f t="shared" si="2"/>
        <v>190645194.84999999</v>
      </c>
      <c r="H149" s="2" t="str">
        <f>VLOOKUP(A149,'TB MAy'!A:H,8,0)</f>
        <v>Not Applicable</v>
      </c>
    </row>
    <row r="150" spans="1:8" hidden="1">
      <c r="A150" s="95" t="s">
        <v>284</v>
      </c>
      <c r="B150" s="78">
        <v>1250730553.02</v>
      </c>
      <c r="C150" s="78">
        <v>73237681.370000005</v>
      </c>
      <c r="D150" s="78"/>
      <c r="E150" s="78">
        <v>1323968234.3900001</v>
      </c>
      <c r="F150" s="96">
        <v>0</v>
      </c>
      <c r="G150" s="42">
        <f t="shared" si="2"/>
        <v>1323968234.3900001</v>
      </c>
      <c r="H150" s="2" t="str">
        <f>VLOOKUP(A150,'TB MAy'!A:H,8,0)</f>
        <v>Not Applicable</v>
      </c>
    </row>
    <row r="151" spans="1:8" hidden="1">
      <c r="A151" s="95" t="s">
        <v>998</v>
      </c>
      <c r="B151" s="78">
        <v>458670</v>
      </c>
      <c r="C151" s="78"/>
      <c r="D151" s="78"/>
      <c r="E151" s="78">
        <v>458670</v>
      </c>
      <c r="F151" s="96">
        <v>0</v>
      </c>
      <c r="G151" s="42">
        <f t="shared" si="2"/>
        <v>458670</v>
      </c>
      <c r="H151" s="2" t="str">
        <f>VLOOKUP(A151,'TB MAy'!A:H,8,0)</f>
        <v>Not Applicable</v>
      </c>
    </row>
    <row r="152" spans="1:8" hidden="1">
      <c r="A152" s="95" t="s">
        <v>292</v>
      </c>
      <c r="B152" s="78">
        <v>580857.16</v>
      </c>
      <c r="C152" s="78"/>
      <c r="D152" s="78"/>
      <c r="E152" s="78">
        <v>580857.16</v>
      </c>
      <c r="F152" s="96">
        <v>0</v>
      </c>
      <c r="G152" s="42">
        <f t="shared" si="2"/>
        <v>580857.16</v>
      </c>
      <c r="H152" s="2" t="str">
        <f>VLOOKUP(A152,'TB MAy'!A:H,8,0)</f>
        <v>Not Applicable</v>
      </c>
    </row>
    <row r="153" spans="1:8" hidden="1">
      <c r="A153" s="95" t="s">
        <v>957</v>
      </c>
      <c r="B153" s="78"/>
      <c r="C153" s="78"/>
      <c r="D153" s="78"/>
      <c r="E153" s="78"/>
      <c r="F153" s="96">
        <v>0</v>
      </c>
      <c r="G153" s="42">
        <f t="shared" si="2"/>
        <v>0</v>
      </c>
      <c r="H153" s="2" t="str">
        <f>VLOOKUP(A153,'TB MAy'!A:H,8,0)</f>
        <v>Not Applicable</v>
      </c>
    </row>
    <row r="154" spans="1:8" hidden="1">
      <c r="A154" s="95" t="s">
        <v>1551</v>
      </c>
      <c r="B154" s="78"/>
      <c r="C154" s="78">
        <v>211532.7</v>
      </c>
      <c r="D154" s="78">
        <v>211533</v>
      </c>
      <c r="E154" s="78">
        <v>-0.3</v>
      </c>
      <c r="F154" s="96">
        <v>0</v>
      </c>
      <c r="G154" s="42">
        <f t="shared" si="2"/>
        <v>-0.3</v>
      </c>
      <c r="H154" s="2" t="s">
        <v>84</v>
      </c>
    </row>
    <row r="155" spans="1:8" hidden="1">
      <c r="A155" s="95" t="s">
        <v>1002</v>
      </c>
      <c r="B155" s="78"/>
      <c r="C155" s="78"/>
      <c r="D155" s="78"/>
      <c r="E155" s="78"/>
      <c r="F155" s="96">
        <v>0</v>
      </c>
      <c r="G155" s="42">
        <f t="shared" si="2"/>
        <v>0</v>
      </c>
      <c r="H155" s="2" t="str">
        <f>VLOOKUP(A155,'TB MAy'!A:H,8,0)</f>
        <v>Not Applicable</v>
      </c>
    </row>
    <row r="156" spans="1:8" hidden="1">
      <c r="A156" s="95" t="s">
        <v>918</v>
      </c>
      <c r="B156" s="78"/>
      <c r="C156" s="78"/>
      <c r="D156" s="78"/>
      <c r="E156" s="78"/>
      <c r="F156" s="96">
        <v>0</v>
      </c>
      <c r="G156" s="42">
        <f t="shared" si="2"/>
        <v>0</v>
      </c>
      <c r="H156" s="2" t="str">
        <f>VLOOKUP(A156,'TB MAy'!A:H,8,0)</f>
        <v>Not Applicable</v>
      </c>
    </row>
    <row r="157" spans="1:8" hidden="1">
      <c r="A157" s="95" t="s">
        <v>1552</v>
      </c>
      <c r="B157" s="78"/>
      <c r="C157" s="78"/>
      <c r="D157" s="78"/>
      <c r="E157" s="78"/>
      <c r="F157" s="96">
        <v>0</v>
      </c>
      <c r="G157" s="42">
        <f t="shared" si="2"/>
        <v>0</v>
      </c>
      <c r="H157" s="2" t="s">
        <v>84</v>
      </c>
    </row>
    <row r="158" spans="1:8" hidden="1">
      <c r="A158" s="95" t="s">
        <v>920</v>
      </c>
      <c r="B158" s="78"/>
      <c r="C158" s="78"/>
      <c r="D158" s="78"/>
      <c r="E158" s="78"/>
      <c r="F158" s="96">
        <v>0</v>
      </c>
      <c r="G158" s="42">
        <f t="shared" si="2"/>
        <v>0</v>
      </c>
      <c r="H158" s="2" t="str">
        <f>VLOOKUP(A158,'TB MAy'!A:H,8,0)</f>
        <v>Not Applicable</v>
      </c>
    </row>
    <row r="159" spans="1:8" hidden="1">
      <c r="A159" s="95" t="s">
        <v>299</v>
      </c>
      <c r="B159" s="78"/>
      <c r="C159" s="78"/>
      <c r="D159" s="78"/>
      <c r="E159" s="78"/>
      <c r="F159" s="96">
        <v>0</v>
      </c>
      <c r="G159" s="42">
        <f t="shared" si="2"/>
        <v>0</v>
      </c>
      <c r="H159" s="2" t="str">
        <f>VLOOKUP(A159,'TB MAy'!A:H,8,0)</f>
        <v>Not Applicable</v>
      </c>
    </row>
    <row r="160" spans="1:8" hidden="1">
      <c r="A160" s="95" t="s">
        <v>1413</v>
      </c>
      <c r="B160" s="78"/>
      <c r="C160" s="78"/>
      <c r="D160" s="78"/>
      <c r="E160" s="78"/>
      <c r="F160" s="96">
        <v>0</v>
      </c>
      <c r="G160" s="42">
        <f t="shared" si="2"/>
        <v>0</v>
      </c>
      <c r="H160" s="2" t="str">
        <f>VLOOKUP(A160,'TB MAy'!A:H,8,0)</f>
        <v>Not Applicable</v>
      </c>
    </row>
    <row r="161" spans="1:8" hidden="1">
      <c r="A161" s="95" t="s">
        <v>302</v>
      </c>
      <c r="B161" s="78"/>
      <c r="C161" s="78"/>
      <c r="D161" s="78"/>
      <c r="E161" s="78"/>
      <c r="F161" s="96">
        <v>0</v>
      </c>
      <c r="G161" s="42">
        <f t="shared" ref="G161:G224" si="3">+E161+F161</f>
        <v>0</v>
      </c>
      <c r="H161" s="2" t="str">
        <f>VLOOKUP(A161,'TB MAy'!A:H,8,0)</f>
        <v>Not Applicable</v>
      </c>
    </row>
    <row r="162" spans="1:8" hidden="1">
      <c r="A162" s="95" t="s">
        <v>1508</v>
      </c>
      <c r="B162" s="78"/>
      <c r="C162" s="78">
        <v>2420</v>
      </c>
      <c r="D162" s="78">
        <v>142780</v>
      </c>
      <c r="E162" s="78">
        <v>-140360</v>
      </c>
      <c r="F162" s="96">
        <v>0</v>
      </c>
      <c r="G162" s="42">
        <f t="shared" si="3"/>
        <v>-140360</v>
      </c>
      <c r="H162" s="2" t="str">
        <f>VLOOKUP(A162,'TB MAy'!A:H,8,0)</f>
        <v>Not Applicable</v>
      </c>
    </row>
    <row r="163" spans="1:8" hidden="1">
      <c r="A163" s="95" t="s">
        <v>313</v>
      </c>
      <c r="B163" s="78"/>
      <c r="C163" s="78"/>
      <c r="D163" s="78"/>
      <c r="E163" s="78"/>
      <c r="F163" s="96">
        <v>0</v>
      </c>
      <c r="G163" s="42">
        <f t="shared" si="3"/>
        <v>0</v>
      </c>
      <c r="H163" s="2" t="str">
        <f>VLOOKUP(A163,'TB MAy'!A:H,8,0)</f>
        <v>Not Applicable</v>
      </c>
    </row>
    <row r="164" spans="1:8" hidden="1">
      <c r="A164" s="95" t="s">
        <v>314</v>
      </c>
      <c r="B164" s="78">
        <v>0.21</v>
      </c>
      <c r="C164" s="78"/>
      <c r="D164" s="78">
        <v>500000</v>
      </c>
      <c r="E164" s="78">
        <v>-499999.79</v>
      </c>
      <c r="F164" s="96">
        <v>0</v>
      </c>
      <c r="G164" s="42">
        <f t="shared" si="3"/>
        <v>-499999.79</v>
      </c>
      <c r="H164" s="2" t="str">
        <f>VLOOKUP(A164,'TB MAy'!A:H,8,0)</f>
        <v>Not Applicable</v>
      </c>
    </row>
    <row r="165" spans="1:8" hidden="1">
      <c r="A165" s="95" t="s">
        <v>1156</v>
      </c>
      <c r="B165" s="78">
        <v>0.4</v>
      </c>
      <c r="C165" s="78"/>
      <c r="D165" s="78"/>
      <c r="E165" s="78">
        <v>0.4</v>
      </c>
      <c r="F165" s="96">
        <v>0</v>
      </c>
      <c r="G165" s="42">
        <f t="shared" si="3"/>
        <v>0.4</v>
      </c>
      <c r="H165" s="2" t="str">
        <f>VLOOKUP(A165,'TB MAy'!A:H,8,0)</f>
        <v>Not Applicable</v>
      </c>
    </row>
    <row r="166" spans="1:8" hidden="1">
      <c r="A166" s="95" t="s">
        <v>1414</v>
      </c>
      <c r="B166" s="78"/>
      <c r="C166" s="78"/>
      <c r="D166" s="78"/>
      <c r="E166" s="78"/>
      <c r="F166" s="96">
        <v>0</v>
      </c>
      <c r="G166" s="42">
        <f t="shared" si="3"/>
        <v>0</v>
      </c>
      <c r="H166" s="2" t="str">
        <f>VLOOKUP(A166,'TB MAy'!A:H,8,0)</f>
        <v>Not Applicable</v>
      </c>
    </row>
    <row r="167" spans="1:8" hidden="1">
      <c r="A167" s="95" t="s">
        <v>315</v>
      </c>
      <c r="B167" s="78"/>
      <c r="C167" s="78"/>
      <c r="D167" s="78"/>
      <c r="E167" s="78"/>
      <c r="F167" s="96">
        <v>0</v>
      </c>
      <c r="G167" s="42">
        <f t="shared" si="3"/>
        <v>0</v>
      </c>
      <c r="H167" s="2" t="str">
        <f>VLOOKUP(A167,'TB MAy'!A:H,8,0)</f>
        <v>Not Applicable</v>
      </c>
    </row>
    <row r="168" spans="1:8" hidden="1">
      <c r="A168" s="95" t="s">
        <v>316</v>
      </c>
      <c r="B168" s="78"/>
      <c r="C168" s="78"/>
      <c r="D168" s="78"/>
      <c r="E168" s="78"/>
      <c r="F168" s="96">
        <v>0</v>
      </c>
      <c r="G168" s="42">
        <f t="shared" si="3"/>
        <v>0</v>
      </c>
      <c r="H168" s="2" t="str">
        <f>VLOOKUP(A168,'TB MAy'!A:H,8,0)</f>
        <v>Not Applicable</v>
      </c>
    </row>
    <row r="169" spans="1:8" hidden="1">
      <c r="A169" s="95" t="s">
        <v>999</v>
      </c>
      <c r="B169" s="78">
        <v>5927.06</v>
      </c>
      <c r="C169" s="78"/>
      <c r="D169" s="78"/>
      <c r="E169" s="78">
        <v>5927.06</v>
      </c>
      <c r="F169" s="96">
        <v>0</v>
      </c>
      <c r="G169" s="42">
        <f t="shared" si="3"/>
        <v>5927.06</v>
      </c>
      <c r="H169" s="2" t="str">
        <f>VLOOKUP(A169,'TB MAy'!A:H,8,0)</f>
        <v>Not Applicable</v>
      </c>
    </row>
    <row r="170" spans="1:8" hidden="1">
      <c r="A170" s="95" t="s">
        <v>328</v>
      </c>
      <c r="B170" s="78"/>
      <c r="C170" s="78"/>
      <c r="D170" s="78"/>
      <c r="E170" s="78"/>
      <c r="F170" s="96">
        <v>0</v>
      </c>
      <c r="G170" s="42">
        <f t="shared" si="3"/>
        <v>0</v>
      </c>
      <c r="H170" s="2" t="str">
        <f>VLOOKUP(A170,'TB MAy'!A:H,8,0)</f>
        <v>Not Applicable</v>
      </c>
    </row>
    <row r="171" spans="1:8" hidden="1">
      <c r="A171" s="95" t="s">
        <v>921</v>
      </c>
      <c r="B171" s="78"/>
      <c r="C171" s="78"/>
      <c r="D171" s="78"/>
      <c r="E171" s="78"/>
      <c r="F171" s="96">
        <v>0</v>
      </c>
      <c r="G171" s="42">
        <f t="shared" si="3"/>
        <v>0</v>
      </c>
      <c r="H171" s="2" t="str">
        <f>VLOOKUP(A171,'TB MAy'!A:H,8,0)</f>
        <v>Not Applicable</v>
      </c>
    </row>
    <row r="172" spans="1:8" hidden="1">
      <c r="A172" s="95" t="s">
        <v>1021</v>
      </c>
      <c r="B172" s="78">
        <v>43680</v>
      </c>
      <c r="C172" s="78"/>
      <c r="D172" s="78"/>
      <c r="E172" s="78">
        <v>43680</v>
      </c>
      <c r="F172" s="96">
        <v>0</v>
      </c>
      <c r="G172" s="42">
        <f t="shared" si="3"/>
        <v>43680</v>
      </c>
      <c r="H172" s="2" t="str">
        <f>VLOOKUP(A172,'TB MAy'!A:H,8,0)</f>
        <v>Not Applicable</v>
      </c>
    </row>
    <row r="173" spans="1:8" hidden="1">
      <c r="A173" s="95" t="s">
        <v>1553</v>
      </c>
      <c r="B173" s="78"/>
      <c r="C173" s="78"/>
      <c r="D173" s="78"/>
      <c r="E173" s="78"/>
      <c r="F173" s="96">
        <v>0</v>
      </c>
      <c r="G173" s="42">
        <f t="shared" si="3"/>
        <v>0</v>
      </c>
      <c r="H173" s="2" t="s">
        <v>84</v>
      </c>
    </row>
    <row r="174" spans="1:8" hidden="1">
      <c r="A174" s="95" t="s">
        <v>1255</v>
      </c>
      <c r="B174" s="78">
        <v>660271.35999999999</v>
      </c>
      <c r="C174" s="78">
        <v>169827.96</v>
      </c>
      <c r="D174" s="78">
        <v>462916</v>
      </c>
      <c r="E174" s="78">
        <v>367183.32</v>
      </c>
      <c r="F174" s="96">
        <v>0</v>
      </c>
      <c r="G174" s="42">
        <f t="shared" si="3"/>
        <v>367183.32</v>
      </c>
      <c r="H174" s="2" t="str">
        <f>VLOOKUP(A174,'TB MAy'!A:H,8,0)</f>
        <v>Not Applicable</v>
      </c>
    </row>
    <row r="175" spans="1:8" hidden="1">
      <c r="A175" s="95" t="s">
        <v>1554</v>
      </c>
      <c r="B175" s="78">
        <v>-60010</v>
      </c>
      <c r="C175" s="78"/>
      <c r="D175" s="78"/>
      <c r="E175" s="78">
        <v>-60010</v>
      </c>
      <c r="F175" s="96">
        <v>0</v>
      </c>
      <c r="G175" s="42">
        <f t="shared" si="3"/>
        <v>-60010</v>
      </c>
      <c r="H175" s="2" t="s">
        <v>84</v>
      </c>
    </row>
    <row r="176" spans="1:8" hidden="1">
      <c r="A176" s="95" t="s">
        <v>350</v>
      </c>
      <c r="B176" s="78">
        <v>2043</v>
      </c>
      <c r="C176" s="78"/>
      <c r="D176" s="78"/>
      <c r="E176" s="78">
        <v>2043</v>
      </c>
      <c r="F176" s="96">
        <v>0</v>
      </c>
      <c r="G176" s="42">
        <f t="shared" si="3"/>
        <v>2043</v>
      </c>
      <c r="H176" s="2" t="str">
        <f>VLOOKUP(A176,'TB MAy'!A:H,8,0)</f>
        <v>Not Applicable</v>
      </c>
    </row>
    <row r="177" spans="1:8" hidden="1">
      <c r="A177" s="95" t="s">
        <v>351</v>
      </c>
      <c r="B177" s="78"/>
      <c r="C177" s="78"/>
      <c r="D177" s="78"/>
      <c r="E177" s="78"/>
      <c r="F177" s="96">
        <v>0</v>
      </c>
      <c r="G177" s="42">
        <f t="shared" si="3"/>
        <v>0</v>
      </c>
      <c r="H177" s="2" t="str">
        <f>VLOOKUP(A177,'TB MAy'!A:H,8,0)</f>
        <v>Not Applicable</v>
      </c>
    </row>
    <row r="178" spans="1:8" hidden="1">
      <c r="A178" s="95" t="s">
        <v>922</v>
      </c>
      <c r="B178" s="78"/>
      <c r="C178" s="78"/>
      <c r="D178" s="78"/>
      <c r="E178" s="78"/>
      <c r="F178" s="96">
        <v>0</v>
      </c>
      <c r="G178" s="42">
        <f t="shared" si="3"/>
        <v>0</v>
      </c>
      <c r="H178" s="2" t="str">
        <f>VLOOKUP(A178,'TB MAy'!A:H,8,0)</f>
        <v>Not Applicable</v>
      </c>
    </row>
    <row r="179" spans="1:8" hidden="1">
      <c r="A179" s="95" t="s">
        <v>1509</v>
      </c>
      <c r="B179" s="78"/>
      <c r="C179" s="78"/>
      <c r="D179" s="78"/>
      <c r="E179" s="78"/>
      <c r="F179" s="96">
        <v>0</v>
      </c>
      <c r="G179" s="42">
        <f t="shared" si="3"/>
        <v>0</v>
      </c>
      <c r="H179" s="2" t="str">
        <f>VLOOKUP(A179,'TB MAy'!A:H,8,0)</f>
        <v>Not Applicable</v>
      </c>
    </row>
    <row r="180" spans="1:8" hidden="1">
      <c r="A180" s="95" t="s">
        <v>83</v>
      </c>
      <c r="B180" s="78"/>
      <c r="C180" s="78"/>
      <c r="D180" s="78"/>
      <c r="E180" s="78"/>
      <c r="F180" s="96">
        <v>0</v>
      </c>
      <c r="G180" s="42">
        <f t="shared" si="3"/>
        <v>0</v>
      </c>
      <c r="H180" s="2" t="str">
        <f>VLOOKUP(A180,'TB MAy'!A:H,8,0)</f>
        <v>Not Applicable</v>
      </c>
    </row>
    <row r="181" spans="1:8" hidden="1">
      <c r="A181" s="95" t="s">
        <v>88</v>
      </c>
      <c r="B181" s="78"/>
      <c r="C181" s="78"/>
      <c r="D181" s="78"/>
      <c r="E181" s="78"/>
      <c r="F181" s="96">
        <v>0</v>
      </c>
      <c r="G181" s="42">
        <f t="shared" si="3"/>
        <v>0</v>
      </c>
      <c r="H181" s="2" t="str">
        <f>VLOOKUP(A181,'TB MAy'!A:H,8,0)</f>
        <v>Not Applicable</v>
      </c>
    </row>
    <row r="182" spans="1:8" hidden="1">
      <c r="A182" s="95" t="s">
        <v>90</v>
      </c>
      <c r="B182" s="78"/>
      <c r="C182" s="78"/>
      <c r="D182" s="78"/>
      <c r="E182" s="78"/>
      <c r="F182" s="96">
        <v>0</v>
      </c>
      <c r="G182" s="42">
        <f t="shared" si="3"/>
        <v>0</v>
      </c>
      <c r="H182" s="2" t="str">
        <f>VLOOKUP(A182,'TB MAy'!A:H,8,0)</f>
        <v>Not Applicable</v>
      </c>
    </row>
    <row r="183" spans="1:8" hidden="1">
      <c r="A183" s="95" t="s">
        <v>96</v>
      </c>
      <c r="B183" s="78"/>
      <c r="C183" s="78"/>
      <c r="D183" s="78"/>
      <c r="E183" s="78"/>
      <c r="F183" s="96">
        <v>0</v>
      </c>
      <c r="G183" s="42">
        <f t="shared" si="3"/>
        <v>0</v>
      </c>
      <c r="H183" s="2" t="str">
        <f>VLOOKUP(A183,'TB MAy'!A:H,8,0)</f>
        <v>Not Applicable</v>
      </c>
    </row>
    <row r="184" spans="1:8" hidden="1">
      <c r="A184" s="95" t="s">
        <v>1281</v>
      </c>
      <c r="B184" s="78">
        <v>511492.5</v>
      </c>
      <c r="C184" s="78"/>
      <c r="D184" s="78"/>
      <c r="E184" s="78">
        <v>511492.5</v>
      </c>
      <c r="F184" s="96">
        <v>0</v>
      </c>
      <c r="G184" s="42">
        <f t="shared" si="3"/>
        <v>511492.5</v>
      </c>
      <c r="H184" s="2" t="str">
        <f>VLOOKUP(A184,'TB MAy'!A:H,8,0)</f>
        <v>Not Applicable</v>
      </c>
    </row>
    <row r="185" spans="1:8" hidden="1">
      <c r="A185" s="95" t="s">
        <v>98</v>
      </c>
      <c r="B185" s="78"/>
      <c r="C185" s="78"/>
      <c r="D185" s="78"/>
      <c r="E185" s="78"/>
      <c r="F185" s="96">
        <v>0</v>
      </c>
      <c r="G185" s="42">
        <f t="shared" si="3"/>
        <v>0</v>
      </c>
      <c r="H185" s="2" t="str">
        <f>VLOOKUP(A185,'TB MAy'!A:H,8,0)</f>
        <v>Not Applicable</v>
      </c>
    </row>
    <row r="186" spans="1:8" hidden="1">
      <c r="A186" s="95" t="s">
        <v>100</v>
      </c>
      <c r="B186" s="78">
        <v>0.01</v>
      </c>
      <c r="C186" s="78"/>
      <c r="D186" s="78"/>
      <c r="E186" s="78">
        <v>0.01</v>
      </c>
      <c r="F186" s="96">
        <v>0</v>
      </c>
      <c r="G186" s="42">
        <f t="shared" si="3"/>
        <v>0.01</v>
      </c>
      <c r="H186" s="2" t="str">
        <f>VLOOKUP(A186,'TB MAy'!A:H,8,0)</f>
        <v>Not Applicable</v>
      </c>
    </row>
    <row r="187" spans="1:8" hidden="1">
      <c r="A187" s="95" t="s">
        <v>113</v>
      </c>
      <c r="B187" s="78"/>
      <c r="C187" s="78"/>
      <c r="D187" s="78"/>
      <c r="E187" s="78"/>
      <c r="F187" s="96">
        <v>0</v>
      </c>
      <c r="G187" s="42">
        <f t="shared" si="3"/>
        <v>0</v>
      </c>
      <c r="H187" s="2" t="str">
        <f>VLOOKUP(A187,'TB MAy'!A:H,8,0)</f>
        <v>Not Applicable</v>
      </c>
    </row>
    <row r="188" spans="1:8" hidden="1">
      <c r="A188" s="95" t="s">
        <v>120</v>
      </c>
      <c r="B188" s="78"/>
      <c r="C188" s="78"/>
      <c r="D188" s="78"/>
      <c r="E188" s="78"/>
      <c r="F188" s="96">
        <v>0</v>
      </c>
      <c r="G188" s="42">
        <f t="shared" si="3"/>
        <v>0</v>
      </c>
      <c r="H188" s="2" t="str">
        <f>VLOOKUP(A188,'TB MAy'!A:H,8,0)</f>
        <v>Not Applicable</v>
      </c>
    </row>
    <row r="189" spans="1:8" hidden="1">
      <c r="A189" s="95" t="s">
        <v>1330</v>
      </c>
      <c r="B189" s="78">
        <v>3205673.42</v>
      </c>
      <c r="C189" s="78"/>
      <c r="D189" s="78">
        <v>3205673.42</v>
      </c>
      <c r="E189" s="78"/>
      <c r="F189" s="96">
        <v>0</v>
      </c>
      <c r="G189" s="42">
        <f t="shared" si="3"/>
        <v>0</v>
      </c>
      <c r="H189" s="2" t="str">
        <f>VLOOKUP(A189,'TB MAy'!A:H,8,0)</f>
        <v>Not Applicable</v>
      </c>
    </row>
    <row r="190" spans="1:8" hidden="1">
      <c r="A190" s="95" t="s">
        <v>892</v>
      </c>
      <c r="B190" s="78">
        <v>0.04</v>
      </c>
      <c r="C190" s="78"/>
      <c r="D190" s="78"/>
      <c r="E190" s="78">
        <v>0.04</v>
      </c>
      <c r="F190" s="96">
        <v>0</v>
      </c>
      <c r="G190" s="42">
        <f t="shared" si="3"/>
        <v>0.04</v>
      </c>
      <c r="H190" s="2" t="str">
        <f>VLOOKUP(A190,'TB MAy'!A:H,8,0)</f>
        <v>Not Applicable</v>
      </c>
    </row>
    <row r="191" spans="1:8" hidden="1">
      <c r="A191" s="95" t="s">
        <v>893</v>
      </c>
      <c r="B191" s="78">
        <v>3886371.7</v>
      </c>
      <c r="C191" s="78">
        <v>5209153.62</v>
      </c>
      <c r="D191" s="78"/>
      <c r="E191" s="78">
        <v>9095525.3200000003</v>
      </c>
      <c r="F191" s="96">
        <v>0</v>
      </c>
      <c r="G191" s="42">
        <f t="shared" si="3"/>
        <v>9095525.3200000003</v>
      </c>
      <c r="H191" s="2" t="str">
        <f>VLOOKUP(A191,'TB MAy'!A:H,8,0)</f>
        <v>Not Applicable</v>
      </c>
    </row>
    <row r="192" spans="1:8" hidden="1">
      <c r="A192" s="95" t="s">
        <v>121</v>
      </c>
      <c r="B192" s="78">
        <v>1401640</v>
      </c>
      <c r="C192" s="78"/>
      <c r="D192" s="78">
        <v>1432063.84</v>
      </c>
      <c r="E192" s="78">
        <v>-30423.84</v>
      </c>
      <c r="F192" s="96">
        <v>0</v>
      </c>
      <c r="G192" s="42">
        <f t="shared" si="3"/>
        <v>-30423.84</v>
      </c>
      <c r="H192" s="2" t="str">
        <f>VLOOKUP(A192,'TB MAy'!A:H,8,0)</f>
        <v>Not Applicable</v>
      </c>
    </row>
    <row r="193" spans="1:8" hidden="1">
      <c r="A193" s="95" t="s">
        <v>122</v>
      </c>
      <c r="B193" s="78">
        <v>26659540.510000002</v>
      </c>
      <c r="C193" s="78"/>
      <c r="D193" s="78">
        <v>16446037.5</v>
      </c>
      <c r="E193" s="78">
        <v>10213503.01</v>
      </c>
      <c r="F193" s="96">
        <v>0</v>
      </c>
      <c r="G193" s="42">
        <f t="shared" si="3"/>
        <v>10213503.01</v>
      </c>
      <c r="H193" s="2" t="str">
        <f>VLOOKUP(A193,'TB MAy'!A:H,8,0)</f>
        <v>Not Applicable</v>
      </c>
    </row>
    <row r="194" spans="1:8" hidden="1">
      <c r="A194" s="95" t="s">
        <v>126</v>
      </c>
      <c r="B194" s="78"/>
      <c r="C194" s="78"/>
      <c r="D194" s="78"/>
      <c r="E194" s="78"/>
      <c r="F194" s="96">
        <v>0</v>
      </c>
      <c r="G194" s="42">
        <f t="shared" si="3"/>
        <v>0</v>
      </c>
      <c r="H194" s="2" t="str">
        <f>VLOOKUP(A194,'TB MAy'!A:H,8,0)</f>
        <v>Not Applicable</v>
      </c>
    </row>
    <row r="195" spans="1:8" hidden="1">
      <c r="A195" s="95" t="s">
        <v>132</v>
      </c>
      <c r="B195" s="78">
        <v>3151699.2</v>
      </c>
      <c r="C195" s="78"/>
      <c r="D195" s="78"/>
      <c r="E195" s="78">
        <v>3151699.2</v>
      </c>
      <c r="F195" s="96">
        <v>0</v>
      </c>
      <c r="G195" s="42">
        <f t="shared" si="3"/>
        <v>3151699.2</v>
      </c>
      <c r="H195" s="2" t="str">
        <f>VLOOKUP(A195,'TB MAy'!A:H,8,0)</f>
        <v>Not Applicable</v>
      </c>
    </row>
    <row r="196" spans="1:8" hidden="1">
      <c r="A196" s="95" t="s">
        <v>133</v>
      </c>
      <c r="B196" s="78"/>
      <c r="C196" s="78"/>
      <c r="D196" s="78"/>
      <c r="E196" s="78"/>
      <c r="F196" s="96">
        <v>0</v>
      </c>
      <c r="G196" s="42">
        <f t="shared" si="3"/>
        <v>0</v>
      </c>
      <c r="H196" s="2" t="str">
        <f>VLOOKUP(A196,'TB MAy'!A:H,8,0)</f>
        <v>Not Applicable</v>
      </c>
    </row>
    <row r="197" spans="1:8" hidden="1">
      <c r="A197" s="95" t="s">
        <v>134</v>
      </c>
      <c r="B197" s="78"/>
      <c r="C197" s="78"/>
      <c r="D197" s="78"/>
      <c r="E197" s="78"/>
      <c r="F197" s="96">
        <v>0</v>
      </c>
      <c r="G197" s="42">
        <f t="shared" si="3"/>
        <v>0</v>
      </c>
      <c r="H197" s="2" t="str">
        <f>VLOOKUP(A197,'TB MAy'!A:H,8,0)</f>
        <v>Not Applicable</v>
      </c>
    </row>
    <row r="198" spans="1:8" hidden="1">
      <c r="A198" s="95" t="s">
        <v>135</v>
      </c>
      <c r="B198" s="78"/>
      <c r="C198" s="78"/>
      <c r="D198" s="78"/>
      <c r="E198" s="78"/>
      <c r="F198" s="96">
        <v>0</v>
      </c>
      <c r="G198" s="42">
        <f t="shared" si="3"/>
        <v>0</v>
      </c>
      <c r="H198" s="2" t="str">
        <f>VLOOKUP(A198,'TB MAy'!A:H,8,0)</f>
        <v>Not Applicable</v>
      </c>
    </row>
    <row r="199" spans="1:8" hidden="1">
      <c r="A199" s="95" t="s">
        <v>1417</v>
      </c>
      <c r="B199" s="78"/>
      <c r="C199" s="78"/>
      <c r="D199" s="78"/>
      <c r="E199" s="78"/>
      <c r="F199" s="96">
        <v>0</v>
      </c>
      <c r="G199" s="42">
        <f t="shared" si="3"/>
        <v>0</v>
      </c>
      <c r="H199" s="2" t="s">
        <v>84</v>
      </c>
    </row>
    <row r="200" spans="1:8" hidden="1">
      <c r="A200" s="95" t="s">
        <v>137</v>
      </c>
      <c r="B200" s="78"/>
      <c r="C200" s="78"/>
      <c r="D200" s="78"/>
      <c r="E200" s="78"/>
      <c r="F200" s="96">
        <v>0</v>
      </c>
      <c r="G200" s="42">
        <f t="shared" si="3"/>
        <v>0</v>
      </c>
      <c r="H200" s="2" t="str">
        <f>VLOOKUP(A200,'TB MAy'!A:H,8,0)</f>
        <v>Not Applicable</v>
      </c>
    </row>
    <row r="201" spans="1:8" hidden="1">
      <c r="A201" s="95" t="s">
        <v>138</v>
      </c>
      <c r="B201" s="78"/>
      <c r="C201" s="78"/>
      <c r="D201" s="78"/>
      <c r="E201" s="78"/>
      <c r="F201" s="96">
        <v>0</v>
      </c>
      <c r="G201" s="42">
        <f t="shared" si="3"/>
        <v>0</v>
      </c>
      <c r="H201" s="2" t="str">
        <f>VLOOKUP(A201,'TB MAy'!A:H,8,0)</f>
        <v>Not Applicable</v>
      </c>
    </row>
    <row r="202" spans="1:8" hidden="1">
      <c r="A202" s="95" t="s">
        <v>152</v>
      </c>
      <c r="B202" s="78"/>
      <c r="C202" s="78"/>
      <c r="D202" s="78"/>
      <c r="E202" s="78"/>
      <c r="F202" s="96">
        <v>0</v>
      </c>
      <c r="G202" s="42">
        <f t="shared" si="3"/>
        <v>0</v>
      </c>
      <c r="H202" s="2" t="str">
        <f>VLOOKUP(A202,'TB MAy'!A:H,8,0)</f>
        <v>Not Applicable</v>
      </c>
    </row>
    <row r="203" spans="1:8" hidden="1">
      <c r="A203" s="95" t="s">
        <v>894</v>
      </c>
      <c r="B203" s="78"/>
      <c r="C203" s="78"/>
      <c r="D203" s="78"/>
      <c r="E203" s="78"/>
      <c r="F203" s="96">
        <v>0</v>
      </c>
      <c r="G203" s="42">
        <f t="shared" si="3"/>
        <v>0</v>
      </c>
      <c r="H203" s="2" t="str">
        <f>VLOOKUP(A203,'TB MAy'!A:H,8,0)</f>
        <v>Not Applicable</v>
      </c>
    </row>
    <row r="204" spans="1:8" hidden="1">
      <c r="A204" s="95" t="s">
        <v>154</v>
      </c>
      <c r="B204" s="78"/>
      <c r="C204" s="78"/>
      <c r="D204" s="78"/>
      <c r="E204" s="78"/>
      <c r="F204" s="96">
        <v>0</v>
      </c>
      <c r="G204" s="42">
        <f t="shared" si="3"/>
        <v>0</v>
      </c>
      <c r="H204" s="2" t="str">
        <f>VLOOKUP(A204,'TB MAy'!A:H,8,0)</f>
        <v>Not Applicable</v>
      </c>
    </row>
    <row r="205" spans="1:8" hidden="1">
      <c r="A205" s="95" t="s">
        <v>165</v>
      </c>
      <c r="B205" s="78"/>
      <c r="C205" s="78"/>
      <c r="D205" s="78"/>
      <c r="E205" s="78"/>
      <c r="F205" s="96">
        <v>0</v>
      </c>
      <c r="G205" s="42">
        <f t="shared" si="3"/>
        <v>0</v>
      </c>
      <c r="H205" s="2" t="str">
        <f>VLOOKUP(A205,'TB MAy'!A:H,8,0)</f>
        <v>Not Applicable</v>
      </c>
    </row>
    <row r="206" spans="1:8" hidden="1">
      <c r="A206" s="95" t="s">
        <v>158</v>
      </c>
      <c r="B206" s="78"/>
      <c r="C206" s="78"/>
      <c r="D206" s="78"/>
      <c r="E206" s="78"/>
      <c r="F206" s="96">
        <v>0</v>
      </c>
      <c r="G206" s="42">
        <f t="shared" si="3"/>
        <v>0</v>
      </c>
      <c r="H206" s="2" t="str">
        <f>VLOOKUP(A206,'TB MAy'!A:H,8,0)</f>
        <v>Not Applicable</v>
      </c>
    </row>
    <row r="207" spans="1:8" hidden="1">
      <c r="A207" s="95" t="s">
        <v>169</v>
      </c>
      <c r="B207" s="78">
        <v>96740594.230000004</v>
      </c>
      <c r="C207" s="78">
        <v>28914957.48</v>
      </c>
      <c r="D207" s="78">
        <v>75302628.760000005</v>
      </c>
      <c r="E207" s="78">
        <v>50352922.950000003</v>
      </c>
      <c r="F207" s="96">
        <v>0</v>
      </c>
      <c r="G207" s="42">
        <f t="shared" si="3"/>
        <v>50352922.950000003</v>
      </c>
      <c r="H207" s="2" t="str">
        <f>VLOOKUP(A207,'TB MAy'!A:H,8,0)</f>
        <v>Not Applicable</v>
      </c>
    </row>
    <row r="208" spans="1:8" hidden="1">
      <c r="A208" s="95" t="s">
        <v>174</v>
      </c>
      <c r="B208" s="78">
        <v>31380.02</v>
      </c>
      <c r="C208" s="78"/>
      <c r="D208" s="78"/>
      <c r="E208" s="78">
        <v>31380.02</v>
      </c>
      <c r="F208" s="96">
        <v>0</v>
      </c>
      <c r="G208" s="42">
        <f t="shared" si="3"/>
        <v>31380.02</v>
      </c>
      <c r="H208" s="2" t="str">
        <f>VLOOKUP(A208,'TB MAy'!A:H,8,0)</f>
        <v>Not Applicable</v>
      </c>
    </row>
    <row r="209" spans="1:8" hidden="1">
      <c r="A209" s="95" t="s">
        <v>1349</v>
      </c>
      <c r="B209" s="78">
        <v>6306819.7599999998</v>
      </c>
      <c r="C209" s="78">
        <v>6382670.8899999997</v>
      </c>
      <c r="D209" s="78">
        <v>3153409.88</v>
      </c>
      <c r="E209" s="78">
        <v>9536080.7699999996</v>
      </c>
      <c r="F209" s="96">
        <v>0</v>
      </c>
      <c r="G209" s="42">
        <f t="shared" si="3"/>
        <v>9536080.7699999996</v>
      </c>
      <c r="H209" s="2" t="str">
        <f>VLOOKUP(A209,'TB MAy'!A:H,8,0)</f>
        <v>Not Applicable</v>
      </c>
    </row>
    <row r="210" spans="1:8" hidden="1">
      <c r="A210" s="95" t="s">
        <v>1081</v>
      </c>
      <c r="B210" s="78"/>
      <c r="C210" s="78">
        <v>5.81</v>
      </c>
      <c r="D210" s="78">
        <v>5.81</v>
      </c>
      <c r="E210" s="78"/>
      <c r="F210" s="96">
        <v>0</v>
      </c>
      <c r="G210" s="42">
        <f t="shared" si="3"/>
        <v>0</v>
      </c>
      <c r="H210" s="2" t="str">
        <f>VLOOKUP(A210,'TB MAy'!A:H,8,0)</f>
        <v>Not Applicable</v>
      </c>
    </row>
    <row r="211" spans="1:8" hidden="1">
      <c r="A211" s="95" t="s">
        <v>956</v>
      </c>
      <c r="B211" s="78"/>
      <c r="C211" s="78"/>
      <c r="D211" s="78"/>
      <c r="E211" s="78"/>
      <c r="F211" s="96">
        <v>0</v>
      </c>
      <c r="G211" s="42">
        <f t="shared" si="3"/>
        <v>0</v>
      </c>
      <c r="H211" s="2" t="str">
        <f>VLOOKUP(A211,'TB MAy'!A:H,8,0)</f>
        <v>Not Applicable</v>
      </c>
    </row>
    <row r="212" spans="1:8" hidden="1">
      <c r="A212" s="95" t="s">
        <v>185</v>
      </c>
      <c r="B212" s="78"/>
      <c r="C212" s="78"/>
      <c r="D212" s="78"/>
      <c r="E212" s="78"/>
      <c r="F212" s="96">
        <v>0</v>
      </c>
      <c r="G212" s="42">
        <f t="shared" si="3"/>
        <v>0</v>
      </c>
      <c r="H212" s="2" t="str">
        <f>VLOOKUP(A212,'TB MAy'!A:H,8,0)</f>
        <v>Not Applicable</v>
      </c>
    </row>
    <row r="213" spans="1:8" hidden="1">
      <c r="A213" s="95" t="s">
        <v>184</v>
      </c>
      <c r="B213" s="78"/>
      <c r="C213" s="78"/>
      <c r="D213" s="78">
        <v>750701.25</v>
      </c>
      <c r="E213" s="78">
        <v>-750701.25</v>
      </c>
      <c r="F213" s="96">
        <v>0</v>
      </c>
      <c r="G213" s="42">
        <f t="shared" si="3"/>
        <v>-750701.25</v>
      </c>
      <c r="H213" s="2" t="str">
        <f>VLOOKUP(A213,'TB MAy'!A:H,8,0)</f>
        <v>Not Applicable</v>
      </c>
    </row>
    <row r="214" spans="1:8" hidden="1">
      <c r="A214" s="95" t="s">
        <v>194</v>
      </c>
      <c r="B214" s="78"/>
      <c r="C214" s="78"/>
      <c r="D214" s="78"/>
      <c r="E214" s="78"/>
      <c r="F214" s="96">
        <v>0</v>
      </c>
      <c r="G214" s="42">
        <f t="shared" si="3"/>
        <v>0</v>
      </c>
      <c r="H214" s="2" t="str">
        <f>VLOOKUP(A214,'TB MAy'!A:H,8,0)</f>
        <v>Not Applicable</v>
      </c>
    </row>
    <row r="215" spans="1:8" hidden="1">
      <c r="A215" s="95" t="s">
        <v>193</v>
      </c>
      <c r="B215" s="78"/>
      <c r="C215" s="78"/>
      <c r="D215" s="78"/>
      <c r="E215" s="78"/>
      <c r="F215" s="96">
        <v>0</v>
      </c>
      <c r="G215" s="42">
        <f t="shared" si="3"/>
        <v>0</v>
      </c>
      <c r="H215" s="2" t="str">
        <f>VLOOKUP(A215,'TB MAy'!A:H,8,0)</f>
        <v>Not Applicable</v>
      </c>
    </row>
    <row r="216" spans="1:8" hidden="1">
      <c r="A216" s="95" t="s">
        <v>189</v>
      </c>
      <c r="B216" s="78"/>
      <c r="C216" s="78"/>
      <c r="D216" s="78"/>
      <c r="E216" s="78"/>
      <c r="F216" s="96">
        <v>0</v>
      </c>
      <c r="G216" s="42">
        <f t="shared" si="3"/>
        <v>0</v>
      </c>
      <c r="H216" s="2" t="str">
        <f>VLOOKUP(A216,'TB MAy'!A:H,8,0)</f>
        <v>Not Applicable</v>
      </c>
    </row>
    <row r="217" spans="1:8" hidden="1">
      <c r="A217" s="95" t="s">
        <v>190</v>
      </c>
      <c r="B217" s="78"/>
      <c r="C217" s="78"/>
      <c r="D217" s="78"/>
      <c r="E217" s="78"/>
      <c r="F217" s="96">
        <v>0</v>
      </c>
      <c r="G217" s="42">
        <f t="shared" si="3"/>
        <v>0</v>
      </c>
      <c r="H217" s="2" t="str">
        <f>VLOOKUP(A217,'TB MAy'!A:H,8,0)</f>
        <v>Not Applicable</v>
      </c>
    </row>
    <row r="218" spans="1:8" hidden="1">
      <c r="A218" s="95" t="s">
        <v>199</v>
      </c>
      <c r="B218" s="78"/>
      <c r="C218" s="78"/>
      <c r="D218" s="78"/>
      <c r="E218" s="78"/>
      <c r="F218" s="96">
        <v>0</v>
      </c>
      <c r="G218" s="42">
        <f t="shared" si="3"/>
        <v>0</v>
      </c>
      <c r="H218" s="2" t="str">
        <f>VLOOKUP(A218,'TB MAy'!A:H,8,0)</f>
        <v>Not Applicable</v>
      </c>
    </row>
    <row r="219" spans="1:8" hidden="1">
      <c r="A219" s="95" t="s">
        <v>200</v>
      </c>
      <c r="B219" s="78"/>
      <c r="C219" s="78"/>
      <c r="D219" s="78"/>
      <c r="E219" s="78"/>
      <c r="F219" s="96">
        <v>0</v>
      </c>
      <c r="G219" s="42">
        <f t="shared" si="3"/>
        <v>0</v>
      </c>
      <c r="H219" s="2" t="str">
        <f>VLOOKUP(A219,'TB MAy'!A:H,8,0)</f>
        <v>Not Applicable</v>
      </c>
    </row>
    <row r="220" spans="1:8" hidden="1">
      <c r="A220" s="95" t="s">
        <v>217</v>
      </c>
      <c r="B220" s="78"/>
      <c r="C220" s="78"/>
      <c r="D220" s="78"/>
      <c r="E220" s="78"/>
      <c r="F220" s="96">
        <v>0</v>
      </c>
      <c r="G220" s="42">
        <f t="shared" si="3"/>
        <v>0</v>
      </c>
      <c r="H220" s="2" t="str">
        <f>VLOOKUP(A220,'TB MAy'!A:H,8,0)</f>
        <v>Not Applicable</v>
      </c>
    </row>
    <row r="221" spans="1:8" hidden="1">
      <c r="A221" s="95" t="s">
        <v>218</v>
      </c>
      <c r="B221" s="78">
        <v>6380967.2599999998</v>
      </c>
      <c r="C221" s="78">
        <v>17525582.82</v>
      </c>
      <c r="D221" s="78">
        <v>23906549.190000001</v>
      </c>
      <c r="E221" s="78">
        <v>0.89</v>
      </c>
      <c r="F221" s="96">
        <v>0</v>
      </c>
      <c r="G221" s="42">
        <f t="shared" si="3"/>
        <v>0.89</v>
      </c>
      <c r="H221" s="2" t="str">
        <f>VLOOKUP(A221,'TB MAy'!A:H,8,0)</f>
        <v>Not Applicable</v>
      </c>
    </row>
    <row r="222" spans="1:8" hidden="1">
      <c r="A222" s="95" t="s">
        <v>219</v>
      </c>
      <c r="B222" s="78">
        <v>38729992.630000003</v>
      </c>
      <c r="C222" s="78">
        <v>26814730.579999998</v>
      </c>
      <c r="D222" s="78">
        <v>22877152.050000001</v>
      </c>
      <c r="E222" s="78">
        <v>42667571.159999996</v>
      </c>
      <c r="F222" s="96">
        <v>0</v>
      </c>
      <c r="G222" s="42">
        <f t="shared" si="3"/>
        <v>42667571.159999996</v>
      </c>
      <c r="H222" s="2" t="str">
        <f>VLOOKUP(A222,'TB MAy'!A:H,8,0)</f>
        <v>Not Applicable</v>
      </c>
    </row>
    <row r="223" spans="1:8" hidden="1">
      <c r="A223" s="95" t="s">
        <v>969</v>
      </c>
      <c r="B223" s="78">
        <v>-0.04</v>
      </c>
      <c r="C223" s="78"/>
      <c r="D223" s="78"/>
      <c r="E223" s="78">
        <v>-0.04</v>
      </c>
      <c r="F223" s="96">
        <v>0</v>
      </c>
      <c r="G223" s="42">
        <f t="shared" si="3"/>
        <v>-0.04</v>
      </c>
      <c r="H223" s="2" t="str">
        <f>VLOOKUP(A223,'TB MAy'!A:H,8,0)</f>
        <v>Not Applicable</v>
      </c>
    </row>
    <row r="224" spans="1:8" hidden="1">
      <c r="A224" s="95" t="s">
        <v>225</v>
      </c>
      <c r="B224" s="78"/>
      <c r="C224" s="78"/>
      <c r="D224" s="78"/>
      <c r="E224" s="78"/>
      <c r="F224" s="96">
        <v>0</v>
      </c>
      <c r="G224" s="42">
        <f t="shared" si="3"/>
        <v>0</v>
      </c>
      <c r="H224" s="2" t="str">
        <f>VLOOKUP(A224,'TB MAy'!A:H,8,0)</f>
        <v>Not Applicable</v>
      </c>
    </row>
    <row r="225" spans="1:8" hidden="1">
      <c r="A225" s="95" t="s">
        <v>224</v>
      </c>
      <c r="B225" s="78">
        <v>-607862.51</v>
      </c>
      <c r="C225" s="78"/>
      <c r="D225" s="78"/>
      <c r="E225" s="78">
        <v>-607862.51</v>
      </c>
      <c r="F225" s="96">
        <v>0</v>
      </c>
      <c r="G225" s="42">
        <f t="shared" ref="G225:G288" si="4">+E225+F225</f>
        <v>-607862.51</v>
      </c>
      <c r="H225" s="2" t="str">
        <f>VLOOKUP(A225,'TB MAy'!A:H,8,0)</f>
        <v>Not Applicable</v>
      </c>
    </row>
    <row r="226" spans="1:8" hidden="1">
      <c r="A226" s="95" t="s">
        <v>1419</v>
      </c>
      <c r="B226" s="78"/>
      <c r="C226" s="78"/>
      <c r="D226" s="78"/>
      <c r="E226" s="78"/>
      <c r="F226" s="96">
        <v>0</v>
      </c>
      <c r="G226" s="42">
        <f t="shared" si="4"/>
        <v>0</v>
      </c>
      <c r="H226" s="2" t="s">
        <v>84</v>
      </c>
    </row>
    <row r="227" spans="1:8" hidden="1">
      <c r="A227" s="95" t="s">
        <v>227</v>
      </c>
      <c r="B227" s="78"/>
      <c r="C227" s="78"/>
      <c r="D227" s="78"/>
      <c r="E227" s="78"/>
      <c r="F227" s="96">
        <v>0</v>
      </c>
      <c r="G227" s="42">
        <f t="shared" si="4"/>
        <v>0</v>
      </c>
      <c r="H227" s="2" t="str">
        <f>VLOOKUP(A227,'TB MAy'!A:H,8,0)</f>
        <v>Not Applicable</v>
      </c>
    </row>
    <row r="228" spans="1:8" hidden="1">
      <c r="A228" s="95" t="s">
        <v>230</v>
      </c>
      <c r="B228" s="78"/>
      <c r="C228" s="78">
        <v>9906783.4700000007</v>
      </c>
      <c r="D228" s="78">
        <v>3694119.6</v>
      </c>
      <c r="E228" s="78">
        <v>6212663.8700000001</v>
      </c>
      <c r="F228" s="96">
        <v>0</v>
      </c>
      <c r="G228" s="42">
        <f t="shared" si="4"/>
        <v>6212663.8700000001</v>
      </c>
      <c r="H228" s="2" t="str">
        <f>VLOOKUP(A228,'TB MAy'!A:H,8,0)</f>
        <v>Not Applicable</v>
      </c>
    </row>
    <row r="229" spans="1:8" hidden="1">
      <c r="A229" s="95" t="s">
        <v>863</v>
      </c>
      <c r="B229" s="78"/>
      <c r="C229" s="78"/>
      <c r="D229" s="78"/>
      <c r="E229" s="78"/>
      <c r="F229" s="96">
        <v>0</v>
      </c>
      <c r="G229" s="42">
        <f t="shared" si="4"/>
        <v>0</v>
      </c>
      <c r="H229" s="2" t="str">
        <f>VLOOKUP(A229,'TB MAy'!A:H,8,0)</f>
        <v>Not Applicable</v>
      </c>
    </row>
    <row r="230" spans="1:8" hidden="1">
      <c r="A230" s="95" t="s">
        <v>976</v>
      </c>
      <c r="B230" s="78">
        <v>66.319999999999993</v>
      </c>
      <c r="C230" s="78"/>
      <c r="D230" s="78"/>
      <c r="E230" s="78">
        <v>66.319999999999993</v>
      </c>
      <c r="F230" s="96">
        <v>0</v>
      </c>
      <c r="G230" s="42">
        <f t="shared" si="4"/>
        <v>66.319999999999993</v>
      </c>
      <c r="H230" s="2" t="str">
        <f>VLOOKUP(A230,'TB MAy'!A:H,8,0)</f>
        <v>Not Applicable</v>
      </c>
    </row>
    <row r="231" spans="1:8" hidden="1">
      <c r="A231" s="95" t="s">
        <v>235</v>
      </c>
      <c r="B231" s="78"/>
      <c r="C231" s="78"/>
      <c r="D231" s="78"/>
      <c r="E231" s="78"/>
      <c r="F231" s="96">
        <v>0</v>
      </c>
      <c r="G231" s="42">
        <f t="shared" si="4"/>
        <v>0</v>
      </c>
      <c r="H231" s="2" t="str">
        <f>VLOOKUP(A231,'TB MAy'!A:H,8,0)</f>
        <v>Not Applicable</v>
      </c>
    </row>
    <row r="232" spans="1:8" hidden="1">
      <c r="A232" s="95" t="s">
        <v>1174</v>
      </c>
      <c r="B232" s="78">
        <v>584231.6</v>
      </c>
      <c r="C232" s="78"/>
      <c r="D232" s="78"/>
      <c r="E232" s="78">
        <v>584231.6</v>
      </c>
      <c r="F232" s="96">
        <v>0</v>
      </c>
      <c r="G232" s="42">
        <f t="shared" si="4"/>
        <v>584231.6</v>
      </c>
      <c r="H232" s="2" t="str">
        <f>VLOOKUP(A232,'TB MAy'!A:H,8,0)</f>
        <v>Not Applicable</v>
      </c>
    </row>
    <row r="233" spans="1:8" hidden="1">
      <c r="A233" s="95" t="s">
        <v>238</v>
      </c>
      <c r="B233" s="78">
        <v>0.03</v>
      </c>
      <c r="C233" s="78"/>
      <c r="D233" s="78"/>
      <c r="E233" s="78">
        <v>0.03</v>
      </c>
      <c r="F233" s="96">
        <v>0</v>
      </c>
      <c r="G233" s="42">
        <f t="shared" si="4"/>
        <v>0.03</v>
      </c>
      <c r="H233" s="2" t="str">
        <f>VLOOKUP(A233,'TB MAy'!A:H,8,0)</f>
        <v>Not Applicable</v>
      </c>
    </row>
    <row r="234" spans="1:8" hidden="1">
      <c r="A234" s="95" t="s">
        <v>239</v>
      </c>
      <c r="B234" s="78"/>
      <c r="C234" s="78"/>
      <c r="D234" s="78"/>
      <c r="E234" s="78"/>
      <c r="F234" s="96">
        <v>0</v>
      </c>
      <c r="G234" s="42">
        <f t="shared" si="4"/>
        <v>0</v>
      </c>
      <c r="H234" s="2" t="str">
        <f>VLOOKUP(A234,'TB MAy'!A:H,8,0)</f>
        <v>Not Applicable</v>
      </c>
    </row>
    <row r="235" spans="1:8" hidden="1">
      <c r="A235" s="95" t="s">
        <v>241</v>
      </c>
      <c r="B235" s="78"/>
      <c r="C235" s="78"/>
      <c r="D235" s="78"/>
      <c r="E235" s="78"/>
      <c r="F235" s="96">
        <v>0</v>
      </c>
      <c r="G235" s="42">
        <f t="shared" si="4"/>
        <v>0</v>
      </c>
      <c r="H235" s="2" t="str">
        <f>VLOOKUP(A235,'TB MAy'!A:H,8,0)</f>
        <v>Not Applicable</v>
      </c>
    </row>
    <row r="236" spans="1:8" hidden="1">
      <c r="A236" s="95" t="s">
        <v>243</v>
      </c>
      <c r="B236" s="78">
        <v>-231550.7</v>
      </c>
      <c r="C236" s="78"/>
      <c r="D236" s="78"/>
      <c r="E236" s="78">
        <v>-231550.7</v>
      </c>
      <c r="F236" s="96">
        <v>0</v>
      </c>
      <c r="G236" s="42">
        <f t="shared" si="4"/>
        <v>-231550.7</v>
      </c>
      <c r="H236" s="2" t="str">
        <f>VLOOKUP(A236,'TB MAy'!A:H,8,0)</f>
        <v>Not Applicable</v>
      </c>
    </row>
    <row r="237" spans="1:8" hidden="1">
      <c r="A237" s="95" t="s">
        <v>249</v>
      </c>
      <c r="B237" s="78"/>
      <c r="C237" s="78"/>
      <c r="D237" s="78"/>
      <c r="E237" s="78"/>
      <c r="F237" s="96">
        <v>0</v>
      </c>
      <c r="G237" s="42">
        <f t="shared" si="4"/>
        <v>0</v>
      </c>
      <c r="H237" s="2" t="str">
        <f>VLOOKUP(A237,'TB MAy'!A:H,8,0)</f>
        <v>Not Applicable</v>
      </c>
    </row>
    <row r="238" spans="1:8" hidden="1">
      <c r="A238" s="95" t="s">
        <v>252</v>
      </c>
      <c r="B238" s="78">
        <v>-1056500.3799999999</v>
      </c>
      <c r="C238" s="78"/>
      <c r="D238" s="78"/>
      <c r="E238" s="78">
        <v>-1056500.3799999999</v>
      </c>
      <c r="F238" s="96">
        <v>0</v>
      </c>
      <c r="G238" s="42">
        <f t="shared" si="4"/>
        <v>-1056500.3799999999</v>
      </c>
      <c r="H238" s="2" t="str">
        <f>VLOOKUP(A238,'TB MAy'!A:H,8,0)</f>
        <v>Not Applicable</v>
      </c>
    </row>
    <row r="239" spans="1:8" hidden="1">
      <c r="A239" s="95" t="s">
        <v>253</v>
      </c>
      <c r="B239" s="78"/>
      <c r="C239" s="78"/>
      <c r="D239" s="78"/>
      <c r="E239" s="78"/>
      <c r="F239" s="96">
        <v>0</v>
      </c>
      <c r="G239" s="42">
        <f t="shared" si="4"/>
        <v>0</v>
      </c>
      <c r="H239" s="2" t="str">
        <f>VLOOKUP(A239,'TB MAy'!A:H,8,0)</f>
        <v>Not Applicable</v>
      </c>
    </row>
    <row r="240" spans="1:8" hidden="1">
      <c r="A240" s="95" t="s">
        <v>254</v>
      </c>
      <c r="B240" s="78"/>
      <c r="C240" s="78"/>
      <c r="D240" s="78"/>
      <c r="E240" s="78"/>
      <c r="F240" s="96">
        <v>0</v>
      </c>
      <c r="G240" s="42">
        <f t="shared" si="4"/>
        <v>0</v>
      </c>
      <c r="H240" s="2" t="str">
        <f>VLOOKUP(A240,'TB MAy'!A:H,8,0)</f>
        <v>Not Applicable</v>
      </c>
    </row>
    <row r="241" spans="1:8" hidden="1">
      <c r="A241" s="95" t="s">
        <v>255</v>
      </c>
      <c r="B241" s="78"/>
      <c r="C241" s="78"/>
      <c r="D241" s="78"/>
      <c r="E241" s="78"/>
      <c r="F241" s="96">
        <v>0</v>
      </c>
      <c r="G241" s="42">
        <f t="shared" si="4"/>
        <v>0</v>
      </c>
      <c r="H241" s="2" t="str">
        <f>VLOOKUP(A241,'TB MAy'!A:H,8,0)</f>
        <v>Not Applicable</v>
      </c>
    </row>
    <row r="242" spans="1:8" hidden="1">
      <c r="A242" s="95" t="s">
        <v>256</v>
      </c>
      <c r="B242" s="78"/>
      <c r="C242" s="78"/>
      <c r="D242" s="78"/>
      <c r="E242" s="78"/>
      <c r="F242" s="96">
        <v>0</v>
      </c>
      <c r="G242" s="42">
        <f t="shared" si="4"/>
        <v>0</v>
      </c>
      <c r="H242" s="2" t="str">
        <f>VLOOKUP(A242,'TB MAy'!A:H,8,0)</f>
        <v>Not Applicable</v>
      </c>
    </row>
    <row r="243" spans="1:8" hidden="1">
      <c r="A243" s="95" t="s">
        <v>257</v>
      </c>
      <c r="B243" s="78"/>
      <c r="C243" s="78"/>
      <c r="D243" s="78"/>
      <c r="E243" s="78"/>
      <c r="F243" s="96">
        <v>0</v>
      </c>
      <c r="G243" s="42">
        <f t="shared" si="4"/>
        <v>0</v>
      </c>
      <c r="H243" s="2" t="str">
        <f>VLOOKUP(A243,'TB MAy'!A:H,8,0)</f>
        <v>Not Applicable</v>
      </c>
    </row>
    <row r="244" spans="1:8" hidden="1">
      <c r="A244" s="95" t="s">
        <v>259</v>
      </c>
      <c r="B244" s="78">
        <v>2061.2199999999998</v>
      </c>
      <c r="C244" s="78"/>
      <c r="D244" s="78"/>
      <c r="E244" s="78">
        <v>2061.2199999999998</v>
      </c>
      <c r="F244" s="96">
        <v>0</v>
      </c>
      <c r="G244" s="42">
        <f t="shared" si="4"/>
        <v>2061.2199999999998</v>
      </c>
      <c r="H244" s="2" t="str">
        <f>VLOOKUP(A244,'TB MAy'!A:H,8,0)</f>
        <v>Not Applicable</v>
      </c>
    </row>
    <row r="245" spans="1:8" hidden="1">
      <c r="A245" s="95" t="s">
        <v>260</v>
      </c>
      <c r="B245" s="78">
        <v>10015039.57</v>
      </c>
      <c r="C245" s="78"/>
      <c r="D245" s="78">
        <v>2566819.5499999998</v>
      </c>
      <c r="E245" s="78">
        <v>7448220.0199999996</v>
      </c>
      <c r="F245" s="96">
        <v>0</v>
      </c>
      <c r="G245" s="42">
        <f t="shared" si="4"/>
        <v>7448220.0199999996</v>
      </c>
      <c r="H245" s="2" t="str">
        <f>VLOOKUP(A245,'TB MAy'!A:H,8,0)</f>
        <v>Not Applicable</v>
      </c>
    </row>
    <row r="246" spans="1:8" hidden="1">
      <c r="A246" s="95" t="s">
        <v>261</v>
      </c>
      <c r="B246" s="78"/>
      <c r="C246" s="78"/>
      <c r="D246" s="78"/>
      <c r="E246" s="78"/>
      <c r="F246" s="96">
        <v>0</v>
      </c>
      <c r="G246" s="42">
        <f t="shared" si="4"/>
        <v>0</v>
      </c>
      <c r="H246" s="2" t="str">
        <f>VLOOKUP(A246,'TB MAy'!A:H,8,0)</f>
        <v>Not Applicable</v>
      </c>
    </row>
    <row r="247" spans="1:8" hidden="1">
      <c r="A247" s="95" t="s">
        <v>267</v>
      </c>
      <c r="B247" s="78">
        <v>163639685.36000001</v>
      </c>
      <c r="C247" s="78">
        <v>2162347.87</v>
      </c>
      <c r="D247" s="78"/>
      <c r="E247" s="78">
        <v>165802033.22999999</v>
      </c>
      <c r="F247" s="96">
        <v>0</v>
      </c>
      <c r="G247" s="42">
        <f t="shared" si="4"/>
        <v>165802033.22999999</v>
      </c>
      <c r="H247" s="2" t="str">
        <f>VLOOKUP(A247,'TB MAy'!A:H,8,0)</f>
        <v>Not Applicable</v>
      </c>
    </row>
    <row r="248" spans="1:8" hidden="1">
      <c r="A248" s="95" t="s">
        <v>268</v>
      </c>
      <c r="B248" s="78">
        <v>-3253294.89</v>
      </c>
      <c r="C248" s="78">
        <v>6425476.3099999996</v>
      </c>
      <c r="D248" s="78"/>
      <c r="E248" s="78">
        <v>3172181.42</v>
      </c>
      <c r="F248" s="96">
        <v>0</v>
      </c>
      <c r="G248" s="42">
        <f t="shared" si="4"/>
        <v>3172181.42</v>
      </c>
      <c r="H248" s="2" t="str">
        <f>VLOOKUP(A248,'TB MAy'!A:H,8,0)</f>
        <v>Not Applicable</v>
      </c>
    </row>
    <row r="249" spans="1:8" hidden="1">
      <c r="A249" s="95" t="s">
        <v>269</v>
      </c>
      <c r="B249" s="78"/>
      <c r="C249" s="78"/>
      <c r="D249" s="78"/>
      <c r="E249" s="78"/>
      <c r="F249" s="96">
        <v>0</v>
      </c>
      <c r="G249" s="42">
        <f t="shared" si="4"/>
        <v>0</v>
      </c>
      <c r="H249" s="2" t="str">
        <f>VLOOKUP(A249,'TB MAy'!A:H,8,0)</f>
        <v>Not Applicable</v>
      </c>
    </row>
    <row r="250" spans="1:8" hidden="1">
      <c r="A250" s="95" t="s">
        <v>270</v>
      </c>
      <c r="B250" s="78"/>
      <c r="C250" s="78"/>
      <c r="D250" s="78"/>
      <c r="E250" s="78"/>
      <c r="F250" s="96">
        <v>0</v>
      </c>
      <c r="G250" s="42">
        <f t="shared" si="4"/>
        <v>0</v>
      </c>
      <c r="H250" s="2" t="str">
        <f>VLOOKUP(A250,'TB MAy'!A:H,8,0)</f>
        <v>Not Applicable</v>
      </c>
    </row>
    <row r="251" spans="1:8" hidden="1">
      <c r="A251" s="95" t="s">
        <v>274</v>
      </c>
      <c r="B251" s="78"/>
      <c r="C251" s="78"/>
      <c r="D251" s="78"/>
      <c r="E251" s="78"/>
      <c r="F251" s="96">
        <v>0</v>
      </c>
      <c r="G251" s="42">
        <f t="shared" si="4"/>
        <v>0</v>
      </c>
      <c r="H251" s="2" t="str">
        <f>VLOOKUP(A251,'TB MAy'!A:H,8,0)</f>
        <v>Not Applicable</v>
      </c>
    </row>
    <row r="252" spans="1:8" hidden="1">
      <c r="A252" s="95" t="s">
        <v>286</v>
      </c>
      <c r="B252" s="78"/>
      <c r="C252" s="78"/>
      <c r="D252" s="78"/>
      <c r="E252" s="78"/>
      <c r="F252" s="96">
        <v>0</v>
      </c>
      <c r="G252" s="42">
        <f t="shared" si="4"/>
        <v>0</v>
      </c>
      <c r="H252" s="2" t="str">
        <f>VLOOKUP(A252,'TB MAy'!A:H,8,0)</f>
        <v>Not Applicable</v>
      </c>
    </row>
    <row r="253" spans="1:8" hidden="1">
      <c r="A253" s="95" t="s">
        <v>290</v>
      </c>
      <c r="B253" s="78">
        <v>3816893.58</v>
      </c>
      <c r="C253" s="78"/>
      <c r="D253" s="78"/>
      <c r="E253" s="78">
        <v>3816893.58</v>
      </c>
      <c r="F253" s="96">
        <v>0</v>
      </c>
      <c r="G253" s="42">
        <f t="shared" si="4"/>
        <v>3816893.58</v>
      </c>
      <c r="H253" s="2" t="str">
        <f>VLOOKUP(A253,'TB MAy'!A:H,8,0)</f>
        <v>Not Applicable</v>
      </c>
    </row>
    <row r="254" spans="1:8" hidden="1">
      <c r="A254" s="95" t="s">
        <v>288</v>
      </c>
      <c r="B254" s="78"/>
      <c r="C254" s="78"/>
      <c r="D254" s="78"/>
      <c r="E254" s="78"/>
      <c r="F254" s="96">
        <v>0</v>
      </c>
      <c r="G254" s="42">
        <f t="shared" si="4"/>
        <v>0</v>
      </c>
      <c r="H254" s="2" t="str">
        <f>VLOOKUP(A254,'TB MAy'!A:H,8,0)</f>
        <v>Not Applicable</v>
      </c>
    </row>
    <row r="255" spans="1:8" hidden="1">
      <c r="A255" s="95" t="s">
        <v>291</v>
      </c>
      <c r="B255" s="78"/>
      <c r="C255" s="78"/>
      <c r="D255" s="78"/>
      <c r="E255" s="78"/>
      <c r="F255" s="96">
        <v>0</v>
      </c>
      <c r="G255" s="42">
        <f t="shared" si="4"/>
        <v>0</v>
      </c>
      <c r="H255" s="2" t="str">
        <f>VLOOKUP(A255,'TB MAy'!A:H,8,0)</f>
        <v>Not Applicable</v>
      </c>
    </row>
    <row r="256" spans="1:8" hidden="1">
      <c r="A256" s="95" t="s">
        <v>1020</v>
      </c>
      <c r="B256" s="78"/>
      <c r="C256" s="78"/>
      <c r="D256" s="78"/>
      <c r="E256" s="78"/>
      <c r="F256" s="96">
        <v>0</v>
      </c>
      <c r="G256" s="42">
        <f t="shared" si="4"/>
        <v>0</v>
      </c>
      <c r="H256" s="2" t="str">
        <f>VLOOKUP(A256,'TB MAy'!A:H,8,0)</f>
        <v>Not Applicable</v>
      </c>
    </row>
    <row r="257" spans="1:8" hidden="1">
      <c r="A257" s="95" t="s">
        <v>293</v>
      </c>
      <c r="B257" s="78"/>
      <c r="C257" s="78"/>
      <c r="D257" s="78"/>
      <c r="E257" s="78"/>
      <c r="F257" s="96">
        <v>0</v>
      </c>
      <c r="G257" s="42">
        <f t="shared" si="4"/>
        <v>0</v>
      </c>
      <c r="H257" s="2" t="str">
        <f>VLOOKUP(A257,'TB MAy'!A:H,8,0)</f>
        <v>Not Applicable</v>
      </c>
    </row>
    <row r="258" spans="1:8" hidden="1">
      <c r="A258" s="95" t="s">
        <v>294</v>
      </c>
      <c r="B258" s="78"/>
      <c r="C258" s="78"/>
      <c r="D258" s="78"/>
      <c r="E258" s="78"/>
      <c r="F258" s="96">
        <v>0</v>
      </c>
      <c r="G258" s="42">
        <f t="shared" si="4"/>
        <v>0</v>
      </c>
      <c r="H258" s="2" t="str">
        <f>VLOOKUP(A258,'TB MAy'!A:H,8,0)</f>
        <v>Not Applicable</v>
      </c>
    </row>
    <row r="259" spans="1:8" hidden="1">
      <c r="A259" s="95" t="s">
        <v>295</v>
      </c>
      <c r="B259" s="78"/>
      <c r="C259" s="78"/>
      <c r="D259" s="78"/>
      <c r="E259" s="78"/>
      <c r="F259" s="96">
        <v>0</v>
      </c>
      <c r="G259" s="42">
        <f t="shared" si="4"/>
        <v>0</v>
      </c>
      <c r="H259" s="2" t="str">
        <f>VLOOKUP(A259,'TB MAy'!A:H,8,0)</f>
        <v>Not Applicable</v>
      </c>
    </row>
    <row r="260" spans="1:8" hidden="1">
      <c r="A260" s="95" t="s">
        <v>297</v>
      </c>
      <c r="B260" s="78"/>
      <c r="C260" s="78"/>
      <c r="D260" s="78"/>
      <c r="E260" s="78"/>
      <c r="F260" s="96">
        <v>0</v>
      </c>
      <c r="G260" s="42">
        <f t="shared" si="4"/>
        <v>0</v>
      </c>
      <c r="H260" s="2" t="str">
        <f>VLOOKUP(A260,'TB MAy'!A:H,8,0)</f>
        <v>Not Applicable</v>
      </c>
    </row>
    <row r="261" spans="1:8" hidden="1">
      <c r="A261" s="95" t="s">
        <v>300</v>
      </c>
      <c r="B261" s="78">
        <v>-21431.97</v>
      </c>
      <c r="C261" s="78"/>
      <c r="D261" s="78"/>
      <c r="E261" s="78">
        <v>-21431.97</v>
      </c>
      <c r="F261" s="96">
        <v>0</v>
      </c>
      <c r="G261" s="42">
        <f t="shared" si="4"/>
        <v>-21431.97</v>
      </c>
      <c r="H261" s="2" t="str">
        <f>VLOOKUP(A261,'TB MAy'!A:H,8,0)</f>
        <v>Not Applicable</v>
      </c>
    </row>
    <row r="262" spans="1:8" hidden="1">
      <c r="A262" s="95" t="s">
        <v>301</v>
      </c>
      <c r="B262" s="78"/>
      <c r="C262" s="78"/>
      <c r="D262" s="78"/>
      <c r="E262" s="78"/>
      <c r="F262" s="96">
        <v>0</v>
      </c>
      <c r="G262" s="42">
        <f t="shared" si="4"/>
        <v>0</v>
      </c>
      <c r="H262" s="2" t="str">
        <f>VLOOKUP(A262,'TB MAy'!A:H,8,0)</f>
        <v>Not Applicable</v>
      </c>
    </row>
    <row r="263" spans="1:8" hidden="1">
      <c r="A263" s="95" t="s">
        <v>1327</v>
      </c>
      <c r="B263" s="78"/>
      <c r="C263" s="78"/>
      <c r="D263" s="78"/>
      <c r="E263" s="78"/>
      <c r="F263" s="96">
        <v>0</v>
      </c>
      <c r="G263" s="42">
        <f t="shared" si="4"/>
        <v>0</v>
      </c>
      <c r="H263" s="2" t="str">
        <f>VLOOKUP(A263,'TB MAy'!A:H,8,0)</f>
        <v>Not Applicable</v>
      </c>
    </row>
    <row r="264" spans="1:8" hidden="1">
      <c r="A264" s="95" t="s">
        <v>1420</v>
      </c>
      <c r="B264" s="78"/>
      <c r="C264" s="78"/>
      <c r="D264" s="78"/>
      <c r="E264" s="78"/>
      <c r="F264" s="96">
        <v>0</v>
      </c>
      <c r="G264" s="42">
        <f t="shared" si="4"/>
        <v>0</v>
      </c>
      <c r="H264" s="2" t="str">
        <f>VLOOKUP(A264,'TB MAy'!A:H,8,0)</f>
        <v>Not Applicable</v>
      </c>
    </row>
    <row r="265" spans="1:8" hidden="1">
      <c r="A265" s="95" t="s">
        <v>859</v>
      </c>
      <c r="B265" s="78"/>
      <c r="C265" s="78"/>
      <c r="D265" s="78"/>
      <c r="E265" s="78"/>
      <c r="F265" s="96">
        <v>0</v>
      </c>
      <c r="G265" s="42">
        <f t="shared" si="4"/>
        <v>0</v>
      </c>
      <c r="H265" s="2" t="str">
        <f>VLOOKUP(A265,'TB MAy'!A:H,8,0)</f>
        <v>Not Applicable</v>
      </c>
    </row>
    <row r="266" spans="1:8" hidden="1">
      <c r="A266" s="95" t="s">
        <v>303</v>
      </c>
      <c r="B266" s="78"/>
      <c r="C266" s="78"/>
      <c r="D266" s="78"/>
      <c r="E266" s="78"/>
      <c r="F266" s="96">
        <v>0</v>
      </c>
      <c r="G266" s="42">
        <f t="shared" si="4"/>
        <v>0</v>
      </c>
      <c r="H266" s="2" t="str">
        <f>VLOOKUP(A266,'TB MAy'!A:H,8,0)</f>
        <v>Not Applicable</v>
      </c>
    </row>
    <row r="267" spans="1:8" hidden="1">
      <c r="A267" s="95" t="s">
        <v>304</v>
      </c>
      <c r="B267" s="78">
        <v>0.01</v>
      </c>
      <c r="C267" s="78"/>
      <c r="D267" s="78"/>
      <c r="E267" s="78">
        <v>0.01</v>
      </c>
      <c r="F267" s="96">
        <v>0</v>
      </c>
      <c r="G267" s="42">
        <f t="shared" si="4"/>
        <v>0.01</v>
      </c>
      <c r="H267" s="2" t="str">
        <f>VLOOKUP(A267,'TB MAy'!A:H,8,0)</f>
        <v>Not Applicable</v>
      </c>
    </row>
    <row r="268" spans="1:8" hidden="1">
      <c r="A268" s="95" t="s">
        <v>306</v>
      </c>
      <c r="B268" s="78"/>
      <c r="C268" s="78"/>
      <c r="D268" s="78"/>
      <c r="E268" s="78"/>
      <c r="F268" s="96">
        <v>0</v>
      </c>
      <c r="G268" s="42">
        <f t="shared" si="4"/>
        <v>0</v>
      </c>
      <c r="H268" s="2" t="str">
        <f>VLOOKUP(A268,'TB MAy'!A:H,8,0)</f>
        <v>Not Applicable</v>
      </c>
    </row>
    <row r="269" spans="1:8" hidden="1">
      <c r="A269" s="95" t="s">
        <v>318</v>
      </c>
      <c r="B269" s="78"/>
      <c r="C269" s="78"/>
      <c r="D269" s="78"/>
      <c r="E269" s="78"/>
      <c r="F269" s="96">
        <v>0</v>
      </c>
      <c r="G269" s="42">
        <f t="shared" si="4"/>
        <v>0</v>
      </c>
      <c r="H269" s="2" t="str">
        <f>VLOOKUP(A269,'TB MAy'!A:H,8,0)</f>
        <v>Not Applicable</v>
      </c>
    </row>
    <row r="270" spans="1:8" hidden="1">
      <c r="A270" s="95" t="s">
        <v>319</v>
      </c>
      <c r="B270" s="78"/>
      <c r="C270" s="78"/>
      <c r="D270" s="78"/>
      <c r="E270" s="78"/>
      <c r="F270" s="96">
        <v>0</v>
      </c>
      <c r="G270" s="42">
        <f t="shared" si="4"/>
        <v>0</v>
      </c>
      <c r="H270" s="2" t="str">
        <f>VLOOKUP(A270,'TB MAy'!A:H,8,0)</f>
        <v>Not Applicable</v>
      </c>
    </row>
    <row r="271" spans="1:8" hidden="1">
      <c r="A271" s="95" t="s">
        <v>344</v>
      </c>
      <c r="B271" s="78"/>
      <c r="C271" s="78"/>
      <c r="D271" s="78"/>
      <c r="E271" s="78"/>
      <c r="F271" s="96">
        <v>0</v>
      </c>
      <c r="G271" s="42">
        <f t="shared" si="4"/>
        <v>0</v>
      </c>
      <c r="H271" s="2" t="str">
        <f>VLOOKUP(A271,'TB MAy'!A:H,8,0)</f>
        <v>Not Applicable</v>
      </c>
    </row>
    <row r="272" spans="1:8" hidden="1">
      <c r="A272" s="95" t="s">
        <v>342</v>
      </c>
      <c r="B272" s="78">
        <v>3735890.99</v>
      </c>
      <c r="C272" s="78">
        <v>4502628</v>
      </c>
      <c r="D272" s="78"/>
      <c r="E272" s="78">
        <v>8238518.9900000002</v>
      </c>
      <c r="F272" s="96">
        <v>0</v>
      </c>
      <c r="G272" s="42">
        <f t="shared" si="4"/>
        <v>8238518.9900000002</v>
      </c>
      <c r="H272" s="2" t="str">
        <f>VLOOKUP(A272,'TB MAy'!A:H,8,0)</f>
        <v>Not Applicable</v>
      </c>
    </row>
    <row r="273" spans="1:8" hidden="1">
      <c r="A273" s="95" t="s">
        <v>343</v>
      </c>
      <c r="B273" s="78">
        <v>27243559.170000002</v>
      </c>
      <c r="C273" s="78">
        <v>26980146.050000001</v>
      </c>
      <c r="D273" s="78">
        <v>19741972.690000001</v>
      </c>
      <c r="E273" s="78">
        <v>34481732.530000001</v>
      </c>
      <c r="F273" s="96">
        <v>0</v>
      </c>
      <c r="G273" s="42">
        <f t="shared" si="4"/>
        <v>34481732.530000001</v>
      </c>
      <c r="H273" s="2" t="str">
        <f>VLOOKUP(A273,'TB MAy'!A:H,8,0)</f>
        <v>Not Applicable</v>
      </c>
    </row>
    <row r="274" spans="1:8" hidden="1">
      <c r="A274" s="95" t="s">
        <v>875</v>
      </c>
      <c r="B274" s="78"/>
      <c r="C274" s="78"/>
      <c r="D274" s="78"/>
      <c r="E274" s="78"/>
      <c r="F274" s="96">
        <v>0</v>
      </c>
      <c r="G274" s="42">
        <f t="shared" si="4"/>
        <v>0</v>
      </c>
      <c r="H274" s="2" t="str">
        <f>VLOOKUP(A274,'TB MAy'!A:H,8,0)</f>
        <v>Not Applicable</v>
      </c>
    </row>
    <row r="275" spans="1:8" hidden="1">
      <c r="A275" s="95" t="s">
        <v>347</v>
      </c>
      <c r="B275" s="78"/>
      <c r="C275" s="78"/>
      <c r="D275" s="78"/>
      <c r="E275" s="78"/>
      <c r="F275" s="96">
        <v>0</v>
      </c>
      <c r="G275" s="42">
        <f t="shared" si="4"/>
        <v>0</v>
      </c>
      <c r="H275" s="2" t="str">
        <f>VLOOKUP(A275,'TB MAy'!A:H,8,0)</f>
        <v>Not Applicable</v>
      </c>
    </row>
    <row r="276" spans="1:8" hidden="1">
      <c r="A276" s="95" t="s">
        <v>349</v>
      </c>
      <c r="B276" s="78"/>
      <c r="C276" s="78"/>
      <c r="D276" s="78"/>
      <c r="E276" s="78"/>
      <c r="F276" s="96">
        <v>0</v>
      </c>
      <c r="G276" s="42">
        <f t="shared" si="4"/>
        <v>0</v>
      </c>
      <c r="H276" s="2" t="str">
        <f>VLOOKUP(A276,'TB MAy'!A:H,8,0)</f>
        <v>Not Applicable</v>
      </c>
    </row>
    <row r="277" spans="1:8" hidden="1">
      <c r="A277" s="95" t="s">
        <v>352</v>
      </c>
      <c r="B277" s="78"/>
      <c r="C277" s="78"/>
      <c r="D277" s="78"/>
      <c r="E277" s="78"/>
      <c r="F277" s="96">
        <v>0</v>
      </c>
      <c r="G277" s="42">
        <f t="shared" si="4"/>
        <v>0</v>
      </c>
      <c r="H277" s="2" t="str">
        <f>VLOOKUP(A277,'TB MAy'!A:H,8,0)</f>
        <v>Not Applicable</v>
      </c>
    </row>
    <row r="278" spans="1:8" hidden="1">
      <c r="A278" s="95" t="s">
        <v>353</v>
      </c>
      <c r="B278" s="78"/>
      <c r="C278" s="78"/>
      <c r="D278" s="78"/>
      <c r="E278" s="78"/>
      <c r="F278" s="96">
        <v>0</v>
      </c>
      <c r="G278" s="42">
        <f t="shared" si="4"/>
        <v>0</v>
      </c>
      <c r="H278" s="2" t="str">
        <f>VLOOKUP(A278,'TB MAy'!A:H,8,0)</f>
        <v>Not Applicable</v>
      </c>
    </row>
    <row r="279" spans="1:8" hidden="1">
      <c r="A279" s="95" t="s">
        <v>365</v>
      </c>
      <c r="B279" s="78">
        <v>3887636.38</v>
      </c>
      <c r="C279" s="78"/>
      <c r="D279" s="78">
        <v>3887636.38</v>
      </c>
      <c r="E279" s="78"/>
      <c r="F279" s="96">
        <v>0</v>
      </c>
      <c r="G279" s="42">
        <f t="shared" si="4"/>
        <v>0</v>
      </c>
      <c r="H279" s="2" t="str">
        <f>VLOOKUP(A279,'TB MAy'!A:H,8,0)</f>
        <v>Not Applicable</v>
      </c>
    </row>
    <row r="280" spans="1:8" hidden="1">
      <c r="A280" s="95" t="s">
        <v>361</v>
      </c>
      <c r="B280" s="78"/>
      <c r="C280" s="78"/>
      <c r="D280" s="78"/>
      <c r="E280" s="78"/>
      <c r="F280" s="96">
        <v>0</v>
      </c>
      <c r="G280" s="42">
        <f t="shared" si="4"/>
        <v>0</v>
      </c>
      <c r="H280" s="2" t="str">
        <f>VLOOKUP(A280,'TB MAy'!A:H,8,0)</f>
        <v>Not Applicable</v>
      </c>
    </row>
    <row r="281" spans="1:8" hidden="1">
      <c r="A281" s="95" t="s">
        <v>364</v>
      </c>
      <c r="B281" s="78"/>
      <c r="C281" s="78"/>
      <c r="D281" s="78"/>
      <c r="E281" s="78"/>
      <c r="F281" s="96">
        <v>0</v>
      </c>
      <c r="G281" s="42">
        <f t="shared" si="4"/>
        <v>0</v>
      </c>
      <c r="H281" s="2" t="str">
        <f>VLOOKUP(A281,'TB MAy'!A:H,8,0)</f>
        <v>Not Applicable</v>
      </c>
    </row>
    <row r="282" spans="1:8" hidden="1">
      <c r="A282" s="95" t="s">
        <v>167</v>
      </c>
      <c r="B282" s="78">
        <v>9269027.4700000007</v>
      </c>
      <c r="C282" s="78"/>
      <c r="D282" s="78"/>
      <c r="E282" s="78">
        <v>9269027.4700000007</v>
      </c>
      <c r="F282" s="96">
        <v>0</v>
      </c>
      <c r="G282" s="42">
        <f t="shared" si="4"/>
        <v>9269027.4700000007</v>
      </c>
      <c r="H282" s="2" t="str">
        <f>VLOOKUP(A282,'TB MAy'!A:H,8,0)</f>
        <v>Not Applicable</v>
      </c>
    </row>
    <row r="283" spans="1:8" hidden="1">
      <c r="A283" s="95" t="s">
        <v>179</v>
      </c>
      <c r="B283" s="78">
        <v>3500808.87</v>
      </c>
      <c r="C283" s="78"/>
      <c r="D283" s="78"/>
      <c r="E283" s="78">
        <v>3500808.87</v>
      </c>
      <c r="F283" s="96">
        <v>0</v>
      </c>
      <c r="G283" s="42">
        <f t="shared" si="4"/>
        <v>3500808.87</v>
      </c>
      <c r="H283" s="2" t="str">
        <f>VLOOKUP(A283,'TB MAy'!A:H,8,0)</f>
        <v>Not Applicable</v>
      </c>
    </row>
    <row r="284" spans="1:8" hidden="1">
      <c r="A284" s="95" t="s">
        <v>166</v>
      </c>
      <c r="B284" s="78">
        <v>94180171.590000004</v>
      </c>
      <c r="C284" s="78"/>
      <c r="D284" s="78"/>
      <c r="E284" s="78">
        <v>94180171.590000004</v>
      </c>
      <c r="F284" s="96">
        <v>0</v>
      </c>
      <c r="G284" s="42">
        <f t="shared" si="4"/>
        <v>94180171.590000004</v>
      </c>
      <c r="H284" s="2" t="str">
        <f>VLOOKUP(A284,'TB MAy'!A:H,8,0)</f>
        <v>Not Applicable</v>
      </c>
    </row>
    <row r="285" spans="1:8" hidden="1">
      <c r="A285" s="95" t="s">
        <v>231</v>
      </c>
      <c r="B285" s="78">
        <v>10039863</v>
      </c>
      <c r="C285" s="78"/>
      <c r="D285" s="78"/>
      <c r="E285" s="78">
        <v>10039863</v>
      </c>
      <c r="F285" s="96">
        <v>0</v>
      </c>
      <c r="G285" s="42">
        <f t="shared" si="4"/>
        <v>10039863</v>
      </c>
      <c r="H285" s="2" t="str">
        <f>VLOOKUP(A285,'TB MAy'!A:H,8,0)</f>
        <v>Not Applicable</v>
      </c>
    </row>
    <row r="286" spans="1:8" hidden="1">
      <c r="A286" s="95" t="s">
        <v>116</v>
      </c>
      <c r="B286" s="78">
        <v>13500</v>
      </c>
      <c r="C286" s="78"/>
      <c r="D286" s="78"/>
      <c r="E286" s="78">
        <v>13500</v>
      </c>
      <c r="F286" s="96">
        <v>0</v>
      </c>
      <c r="G286" s="42">
        <f t="shared" si="4"/>
        <v>13500</v>
      </c>
      <c r="H286" s="2" t="str">
        <f>VLOOKUP(A286,'TB MAy'!A:H,8,0)</f>
        <v>Not Applicable</v>
      </c>
    </row>
    <row r="287" spans="1:8" hidden="1">
      <c r="A287" s="95" t="s">
        <v>163</v>
      </c>
      <c r="B287" s="78">
        <v>31000</v>
      </c>
      <c r="C287" s="78"/>
      <c r="D287" s="78"/>
      <c r="E287" s="78">
        <v>31000</v>
      </c>
      <c r="F287" s="96">
        <v>0</v>
      </c>
      <c r="G287" s="42">
        <f t="shared" si="4"/>
        <v>31000</v>
      </c>
      <c r="H287" s="2" t="str">
        <f>VLOOKUP(A287,'TB MAy'!A:H,8,0)</f>
        <v>Not Applicable</v>
      </c>
    </row>
    <row r="288" spans="1:8" hidden="1">
      <c r="A288" s="95" t="s">
        <v>164</v>
      </c>
      <c r="B288" s="78">
        <v>53550</v>
      </c>
      <c r="C288" s="78"/>
      <c r="D288" s="78"/>
      <c r="E288" s="78">
        <v>53550</v>
      </c>
      <c r="F288" s="96">
        <v>0</v>
      </c>
      <c r="G288" s="42">
        <f t="shared" si="4"/>
        <v>53550</v>
      </c>
      <c r="H288" s="2" t="str">
        <f>VLOOKUP(A288,'TB MAy'!A:H,8,0)</f>
        <v>Not Applicable</v>
      </c>
    </row>
    <row r="289" spans="1:8" hidden="1">
      <c r="A289" s="95" t="s">
        <v>242</v>
      </c>
      <c r="B289" s="78">
        <v>56429</v>
      </c>
      <c r="C289" s="78"/>
      <c r="D289" s="78"/>
      <c r="E289" s="78">
        <v>56429</v>
      </c>
      <c r="F289" s="96">
        <v>0</v>
      </c>
      <c r="G289" s="42">
        <f t="shared" ref="G289:G352" si="5">+E289+F289</f>
        <v>56429</v>
      </c>
      <c r="H289" s="2" t="str">
        <f>VLOOKUP(A289,'TB MAy'!A:H,8,0)</f>
        <v>Not Applicable</v>
      </c>
    </row>
    <row r="290" spans="1:8" hidden="1">
      <c r="A290" s="95" t="s">
        <v>258</v>
      </c>
      <c r="B290" s="78">
        <v>117232.81</v>
      </c>
      <c r="C290" s="78"/>
      <c r="D290" s="78"/>
      <c r="E290" s="78">
        <v>117232.81</v>
      </c>
      <c r="F290" s="96">
        <v>0</v>
      </c>
      <c r="G290" s="42">
        <f t="shared" si="5"/>
        <v>117232.81</v>
      </c>
      <c r="H290" s="2" t="str">
        <f>VLOOKUP(A290,'TB MAy'!A:H,8,0)</f>
        <v>Not Applicable</v>
      </c>
    </row>
    <row r="291" spans="1:8" hidden="1">
      <c r="A291" s="95" t="s">
        <v>296</v>
      </c>
      <c r="B291" s="78">
        <v>2090000</v>
      </c>
      <c r="C291" s="78"/>
      <c r="D291" s="78"/>
      <c r="E291" s="78">
        <v>2090000</v>
      </c>
      <c r="F291" s="96">
        <v>0</v>
      </c>
      <c r="G291" s="42">
        <f t="shared" si="5"/>
        <v>2090000</v>
      </c>
      <c r="H291" s="2" t="str">
        <f>VLOOKUP(A291,'TB MAy'!A:H,8,0)</f>
        <v>Not Applicable</v>
      </c>
    </row>
    <row r="292" spans="1:8" hidden="1">
      <c r="A292" s="95" t="s">
        <v>345</v>
      </c>
      <c r="B292" s="78">
        <v>34721.1</v>
      </c>
      <c r="C292" s="78"/>
      <c r="D292" s="78"/>
      <c r="E292" s="78">
        <v>34721.1</v>
      </c>
      <c r="F292" s="96">
        <v>0</v>
      </c>
      <c r="G292" s="42">
        <f t="shared" si="5"/>
        <v>34721.1</v>
      </c>
      <c r="H292" s="2" t="str">
        <f>VLOOKUP(A292,'TB MAy'!A:H,8,0)</f>
        <v>Not Applicable</v>
      </c>
    </row>
    <row r="293" spans="1:8" hidden="1">
      <c r="A293" s="95" t="s">
        <v>87</v>
      </c>
      <c r="B293" s="78">
        <v>447443.5</v>
      </c>
      <c r="C293" s="78"/>
      <c r="D293" s="78"/>
      <c r="E293" s="78">
        <v>447443.5</v>
      </c>
      <c r="F293" s="96">
        <v>0</v>
      </c>
      <c r="G293" s="42">
        <f t="shared" si="5"/>
        <v>447443.5</v>
      </c>
      <c r="H293" s="2" t="str">
        <f>VLOOKUP(A293,'TB MAy'!A:H,8,0)</f>
        <v>Not Applicable</v>
      </c>
    </row>
    <row r="294" spans="1:8" hidden="1">
      <c r="A294" s="95" t="s">
        <v>150</v>
      </c>
      <c r="B294" s="78">
        <v>1051369</v>
      </c>
      <c r="C294" s="78"/>
      <c r="D294" s="78"/>
      <c r="E294" s="78">
        <v>1051369</v>
      </c>
      <c r="F294" s="96">
        <v>0</v>
      </c>
      <c r="G294" s="42">
        <f t="shared" si="5"/>
        <v>1051369</v>
      </c>
      <c r="H294" s="2" t="str">
        <f>VLOOKUP(A294,'TB MAy'!A:H,8,0)</f>
        <v>Not Applicable</v>
      </c>
    </row>
    <row r="295" spans="1:8" hidden="1">
      <c r="A295" s="95" t="s">
        <v>119</v>
      </c>
      <c r="B295" s="78">
        <v>1403125.05</v>
      </c>
      <c r="C295" s="78"/>
      <c r="D295" s="78"/>
      <c r="E295" s="78">
        <v>1403125.05</v>
      </c>
      <c r="F295" s="96">
        <v>0</v>
      </c>
      <c r="G295" s="42">
        <f t="shared" si="5"/>
        <v>1403125.05</v>
      </c>
      <c r="H295" s="2" t="str">
        <f>VLOOKUP(A295,'TB MAy'!A:H,8,0)</f>
        <v>Not Applicable</v>
      </c>
    </row>
    <row r="296" spans="1:8" hidden="1">
      <c r="A296" s="95" t="s">
        <v>148</v>
      </c>
      <c r="B296" s="78">
        <v>200728.55</v>
      </c>
      <c r="C296" s="78"/>
      <c r="D296" s="78"/>
      <c r="E296" s="78">
        <v>200728.55</v>
      </c>
      <c r="F296" s="96">
        <v>0</v>
      </c>
      <c r="G296" s="42">
        <f t="shared" si="5"/>
        <v>200728.55</v>
      </c>
      <c r="H296" s="2" t="str">
        <f>VLOOKUP(A296,'TB MAy'!A:H,8,0)</f>
        <v>Not Applicable</v>
      </c>
    </row>
    <row r="297" spans="1:8" hidden="1">
      <c r="A297" s="95" t="s">
        <v>358</v>
      </c>
      <c r="B297" s="78">
        <v>483189.07</v>
      </c>
      <c r="C297" s="78"/>
      <c r="D297" s="78"/>
      <c r="E297" s="78">
        <v>483189.07</v>
      </c>
      <c r="F297" s="96">
        <v>0</v>
      </c>
      <c r="G297" s="42">
        <f t="shared" si="5"/>
        <v>483189.07</v>
      </c>
      <c r="H297" s="2" t="str">
        <f>VLOOKUP(A297,'TB MAy'!A:H,8,0)</f>
        <v>Not Applicable</v>
      </c>
    </row>
    <row r="298" spans="1:8" hidden="1">
      <c r="A298" s="95" t="s">
        <v>127</v>
      </c>
      <c r="B298" s="78">
        <v>34794806.829999998</v>
      </c>
      <c r="C298" s="78"/>
      <c r="D298" s="78"/>
      <c r="E298" s="78">
        <v>34794806.829999998</v>
      </c>
      <c r="F298" s="96">
        <v>0</v>
      </c>
      <c r="G298" s="42">
        <f t="shared" si="5"/>
        <v>34794806.829999998</v>
      </c>
      <c r="H298" s="2" t="str">
        <f>VLOOKUP(A298,'TB MAy'!A:H,8,0)</f>
        <v>Not Applicable</v>
      </c>
    </row>
    <row r="299" spans="1:8" hidden="1">
      <c r="A299" s="95" t="s">
        <v>128</v>
      </c>
      <c r="B299" s="78">
        <v>49292293.990000002</v>
      </c>
      <c r="C299" s="78"/>
      <c r="D299" s="78"/>
      <c r="E299" s="78">
        <v>49292293.990000002</v>
      </c>
      <c r="F299" s="96">
        <v>0</v>
      </c>
      <c r="G299" s="42">
        <f t="shared" si="5"/>
        <v>49292293.990000002</v>
      </c>
      <c r="H299" s="2" t="str">
        <f>VLOOKUP(A299,'TB MAy'!A:H,8,0)</f>
        <v>Not Applicable</v>
      </c>
    </row>
    <row r="300" spans="1:8" hidden="1">
      <c r="A300" s="95" t="s">
        <v>363</v>
      </c>
      <c r="B300" s="78">
        <v>44090</v>
      </c>
      <c r="C300" s="78"/>
      <c r="D300" s="78"/>
      <c r="E300" s="78">
        <v>44090</v>
      </c>
      <c r="F300" s="96">
        <v>0</v>
      </c>
      <c r="G300" s="42">
        <f t="shared" si="5"/>
        <v>44090</v>
      </c>
      <c r="H300" s="2" t="str">
        <f>VLOOKUP(A300,'TB MAy'!A:H,8,0)</f>
        <v>Not Applicable</v>
      </c>
    </row>
    <row r="301" spans="1:8" hidden="1">
      <c r="A301" s="95" t="s">
        <v>131</v>
      </c>
      <c r="B301" s="78">
        <v>462700</v>
      </c>
      <c r="C301" s="78">
        <v>72156</v>
      </c>
      <c r="D301" s="78"/>
      <c r="E301" s="78">
        <v>534856</v>
      </c>
      <c r="F301" s="96">
        <v>0</v>
      </c>
      <c r="G301" s="42">
        <f t="shared" si="5"/>
        <v>534856</v>
      </c>
      <c r="H301" s="2" t="str">
        <f>VLOOKUP(A301,'TB MAy'!A:H,8,0)</f>
        <v>Not Applicable</v>
      </c>
    </row>
    <row r="302" spans="1:8" hidden="1">
      <c r="A302" s="95" t="s">
        <v>155</v>
      </c>
      <c r="B302" s="78">
        <v>9196089.25</v>
      </c>
      <c r="C302" s="78">
        <v>601610</v>
      </c>
      <c r="D302" s="78"/>
      <c r="E302" s="78">
        <v>9797699.25</v>
      </c>
      <c r="F302" s="96">
        <v>0</v>
      </c>
      <c r="G302" s="42">
        <f t="shared" si="5"/>
        <v>9797699.25</v>
      </c>
      <c r="H302" s="2" t="str">
        <f>VLOOKUP(A302,'TB MAy'!A:H,8,0)</f>
        <v>Not Applicable</v>
      </c>
    </row>
    <row r="303" spans="1:8" hidden="1">
      <c r="A303" s="95" t="s">
        <v>156</v>
      </c>
      <c r="B303" s="78">
        <v>116092.3</v>
      </c>
      <c r="C303" s="78"/>
      <c r="D303" s="78"/>
      <c r="E303" s="78">
        <v>116092.3</v>
      </c>
      <c r="F303" s="96">
        <v>0</v>
      </c>
      <c r="G303" s="42">
        <f t="shared" si="5"/>
        <v>116092.3</v>
      </c>
      <c r="H303" s="2" t="str">
        <f>VLOOKUP(A303,'TB MAy'!A:H,8,0)</f>
        <v>Not Applicable</v>
      </c>
    </row>
    <row r="304" spans="1:8" hidden="1">
      <c r="A304" s="95" t="s">
        <v>168</v>
      </c>
      <c r="B304" s="78">
        <v>4952525.9400000004</v>
      </c>
      <c r="C304" s="78">
        <v>39600</v>
      </c>
      <c r="D304" s="78"/>
      <c r="E304" s="78">
        <v>4992125.9400000004</v>
      </c>
      <c r="F304" s="96">
        <v>0</v>
      </c>
      <c r="G304" s="42">
        <f t="shared" si="5"/>
        <v>4992125.9400000004</v>
      </c>
      <c r="H304" s="2" t="str">
        <f>VLOOKUP(A304,'TB MAy'!A:H,8,0)</f>
        <v>Not Applicable</v>
      </c>
    </row>
    <row r="305" spans="1:8" hidden="1">
      <c r="A305" s="95" t="s">
        <v>182</v>
      </c>
      <c r="B305" s="78">
        <v>1011000</v>
      </c>
      <c r="C305" s="78"/>
      <c r="D305" s="78"/>
      <c r="E305" s="78">
        <v>1011000</v>
      </c>
      <c r="F305" s="96">
        <v>0</v>
      </c>
      <c r="G305" s="42">
        <f t="shared" si="5"/>
        <v>1011000</v>
      </c>
      <c r="H305" s="2" t="str">
        <f>VLOOKUP(A305,'TB MAy'!A:H,8,0)</f>
        <v>Not Applicable</v>
      </c>
    </row>
    <row r="306" spans="1:8" hidden="1">
      <c r="A306" s="95" t="s">
        <v>99</v>
      </c>
      <c r="B306" s="78">
        <v>854410</v>
      </c>
      <c r="C306" s="78"/>
      <c r="D306" s="78"/>
      <c r="E306" s="78">
        <v>854410</v>
      </c>
      <c r="F306" s="96">
        <v>0</v>
      </c>
      <c r="G306" s="42">
        <f t="shared" si="5"/>
        <v>854410</v>
      </c>
      <c r="H306" s="2" t="str">
        <f>VLOOKUP(A306,'TB MAy'!A:H,8,0)</f>
        <v>Not Applicable</v>
      </c>
    </row>
    <row r="307" spans="1:8" hidden="1">
      <c r="A307" s="95" t="s">
        <v>112</v>
      </c>
      <c r="B307" s="78">
        <v>16200</v>
      </c>
      <c r="C307" s="78"/>
      <c r="D307" s="78"/>
      <c r="E307" s="78">
        <v>16200</v>
      </c>
      <c r="F307" s="96">
        <v>0</v>
      </c>
      <c r="G307" s="42">
        <f t="shared" si="5"/>
        <v>16200</v>
      </c>
      <c r="H307" s="2" t="str">
        <f>VLOOKUP(A307,'TB MAy'!A:H,8,0)</f>
        <v>Not Applicable</v>
      </c>
    </row>
    <row r="308" spans="1:8" hidden="1">
      <c r="A308" s="95" t="s">
        <v>162</v>
      </c>
      <c r="B308" s="78">
        <v>9351983.25</v>
      </c>
      <c r="C308" s="78">
        <v>550000</v>
      </c>
      <c r="D308" s="78"/>
      <c r="E308" s="78">
        <v>9901983.25</v>
      </c>
      <c r="F308" s="96">
        <v>0</v>
      </c>
      <c r="G308" s="42">
        <f t="shared" si="5"/>
        <v>9901983.25</v>
      </c>
      <c r="H308" s="2" t="str">
        <f>VLOOKUP(A308,'TB MAy'!A:H,8,0)</f>
        <v>Not Applicable</v>
      </c>
    </row>
    <row r="309" spans="1:8" hidden="1">
      <c r="A309" s="95" t="s">
        <v>204</v>
      </c>
      <c r="B309" s="78">
        <v>495000</v>
      </c>
      <c r="C309" s="78"/>
      <c r="D309" s="78"/>
      <c r="E309" s="78">
        <v>495000</v>
      </c>
      <c r="F309" s="96">
        <v>0</v>
      </c>
      <c r="G309" s="42">
        <f t="shared" si="5"/>
        <v>495000</v>
      </c>
      <c r="H309" s="2" t="str">
        <f>VLOOKUP(A309,'TB MAy'!A:H,8,0)</f>
        <v>Not Applicable</v>
      </c>
    </row>
    <row r="310" spans="1:8" hidden="1">
      <c r="A310" s="95" t="s">
        <v>205</v>
      </c>
      <c r="B310" s="78">
        <v>7089366.9500000002</v>
      </c>
      <c r="C310" s="78"/>
      <c r="D310" s="78"/>
      <c r="E310" s="78">
        <v>7089366.9500000002</v>
      </c>
      <c r="F310" s="96">
        <v>0</v>
      </c>
      <c r="G310" s="42">
        <f t="shared" si="5"/>
        <v>7089366.9500000002</v>
      </c>
      <c r="H310" s="2" t="str">
        <f>VLOOKUP(A310,'TB MAy'!A:H,8,0)</f>
        <v>Not Applicable</v>
      </c>
    </row>
    <row r="311" spans="1:8" hidden="1">
      <c r="A311" s="95" t="s">
        <v>326</v>
      </c>
      <c r="B311" s="78">
        <v>286177</v>
      </c>
      <c r="C311" s="78"/>
      <c r="D311" s="78"/>
      <c r="E311" s="78">
        <v>286177</v>
      </c>
      <c r="F311" s="96">
        <v>0</v>
      </c>
      <c r="G311" s="42">
        <f t="shared" si="5"/>
        <v>286177</v>
      </c>
      <c r="H311" s="2" t="str">
        <f>VLOOKUP(A311,'TB MAy'!A:H,8,0)</f>
        <v>Not Applicable</v>
      </c>
    </row>
    <row r="312" spans="1:8" hidden="1">
      <c r="A312" s="95" t="s">
        <v>171</v>
      </c>
      <c r="B312" s="78">
        <v>3500000</v>
      </c>
      <c r="C312" s="78"/>
      <c r="D312" s="78"/>
      <c r="E312" s="78">
        <v>3500000</v>
      </c>
      <c r="F312" s="96">
        <v>0</v>
      </c>
      <c r="G312" s="42">
        <f t="shared" si="5"/>
        <v>3500000</v>
      </c>
      <c r="H312" s="2" t="str">
        <f>VLOOKUP(A312,'TB MAy'!A:H,8,0)</f>
        <v>Not Applicable</v>
      </c>
    </row>
    <row r="313" spans="1:8" hidden="1">
      <c r="A313" s="95" t="s">
        <v>149</v>
      </c>
      <c r="B313" s="78">
        <v>52020</v>
      </c>
      <c r="C313" s="78"/>
      <c r="D313" s="78"/>
      <c r="E313" s="78">
        <v>52020</v>
      </c>
      <c r="F313" s="96">
        <v>0</v>
      </c>
      <c r="G313" s="42">
        <f t="shared" si="5"/>
        <v>52020</v>
      </c>
      <c r="H313" s="2" t="str">
        <f>VLOOKUP(A313,'TB MAy'!A:H,8,0)</f>
        <v>Not Applicable</v>
      </c>
    </row>
    <row r="314" spans="1:8" hidden="1">
      <c r="A314" s="95" t="s">
        <v>298</v>
      </c>
      <c r="B314" s="78">
        <v>9443.83</v>
      </c>
      <c r="C314" s="78"/>
      <c r="D314" s="78"/>
      <c r="E314" s="78">
        <v>9443.83</v>
      </c>
      <c r="F314" s="96">
        <v>0</v>
      </c>
      <c r="G314" s="42">
        <f t="shared" si="5"/>
        <v>9443.83</v>
      </c>
      <c r="H314" s="2" t="str">
        <f>VLOOKUP(A314,'TB MAy'!A:H,8,0)</f>
        <v>Not Applicable</v>
      </c>
    </row>
    <row r="315" spans="1:8" hidden="1">
      <c r="A315" s="95" t="s">
        <v>346</v>
      </c>
      <c r="B315" s="78">
        <v>1631889.63</v>
      </c>
      <c r="C315" s="78">
        <v>35000</v>
      </c>
      <c r="D315" s="78"/>
      <c r="E315" s="78">
        <v>1666889.63</v>
      </c>
      <c r="F315" s="96">
        <v>0</v>
      </c>
      <c r="G315" s="42">
        <f t="shared" si="5"/>
        <v>1666889.63</v>
      </c>
      <c r="H315" s="2" t="str">
        <f>VLOOKUP(A315,'TB MAy'!A:H,8,0)</f>
        <v>Not Applicable</v>
      </c>
    </row>
    <row r="316" spans="1:8" hidden="1">
      <c r="A316" s="95" t="s">
        <v>357</v>
      </c>
      <c r="B316" s="78">
        <v>128375</v>
      </c>
      <c r="C316" s="78"/>
      <c r="D316" s="78"/>
      <c r="E316" s="78">
        <v>128375</v>
      </c>
      <c r="F316" s="96">
        <v>0</v>
      </c>
      <c r="G316" s="42">
        <f t="shared" si="5"/>
        <v>128375</v>
      </c>
      <c r="H316" s="2" t="str">
        <f>VLOOKUP(A316,'TB MAy'!A:H,8,0)</f>
        <v>Not Applicable</v>
      </c>
    </row>
    <row r="317" spans="1:8" hidden="1">
      <c r="A317" s="95" t="s">
        <v>206</v>
      </c>
      <c r="B317" s="78">
        <v>634840</v>
      </c>
      <c r="C317" s="78">
        <v>10000</v>
      </c>
      <c r="D317" s="78"/>
      <c r="E317" s="78">
        <v>644840</v>
      </c>
      <c r="F317" s="96">
        <v>0</v>
      </c>
      <c r="G317" s="42">
        <f t="shared" si="5"/>
        <v>644840</v>
      </c>
      <c r="H317" s="2" t="str">
        <f>VLOOKUP(A317,'TB MAy'!A:H,8,0)</f>
        <v>Not Applicable</v>
      </c>
    </row>
    <row r="318" spans="1:8" hidden="1">
      <c r="A318" s="95" t="s">
        <v>207</v>
      </c>
      <c r="B318" s="78">
        <v>1564968</v>
      </c>
      <c r="C318" s="78"/>
      <c r="D318" s="78"/>
      <c r="E318" s="78">
        <v>1564968</v>
      </c>
      <c r="F318" s="96">
        <v>0</v>
      </c>
      <c r="G318" s="42">
        <f t="shared" si="5"/>
        <v>1564968</v>
      </c>
      <c r="H318" s="2" t="str">
        <f>VLOOKUP(A318,'TB MAy'!A:H,8,0)</f>
        <v>Not Applicable</v>
      </c>
    </row>
    <row r="319" spans="1:8" hidden="1">
      <c r="A319" s="95" t="s">
        <v>248</v>
      </c>
      <c r="B319" s="78">
        <v>708000</v>
      </c>
      <c r="C319" s="78"/>
      <c r="D319" s="78"/>
      <c r="E319" s="78">
        <v>708000</v>
      </c>
      <c r="F319" s="96">
        <v>0</v>
      </c>
      <c r="G319" s="42">
        <f t="shared" si="5"/>
        <v>708000</v>
      </c>
      <c r="H319" s="2" t="str">
        <f>VLOOKUP(A319,'TB MAy'!A:H,8,0)</f>
        <v>Not Applicable</v>
      </c>
    </row>
    <row r="320" spans="1:8" hidden="1">
      <c r="A320" s="95" t="s">
        <v>285</v>
      </c>
      <c r="B320" s="78">
        <v>3193887.76</v>
      </c>
      <c r="C320" s="78"/>
      <c r="D320" s="78"/>
      <c r="E320" s="78">
        <v>3193887.76</v>
      </c>
      <c r="F320" s="96">
        <v>0</v>
      </c>
      <c r="G320" s="42">
        <f t="shared" si="5"/>
        <v>3193887.76</v>
      </c>
      <c r="H320" s="2" t="str">
        <f>VLOOKUP(A320,'TB MAy'!A:H,8,0)</f>
        <v>Not Applicable</v>
      </c>
    </row>
    <row r="321" spans="1:8" hidden="1">
      <c r="A321" s="95" t="s">
        <v>228</v>
      </c>
      <c r="B321" s="78">
        <v>379000</v>
      </c>
      <c r="C321" s="78"/>
      <c r="D321" s="78"/>
      <c r="E321" s="78">
        <v>379000</v>
      </c>
      <c r="F321" s="96">
        <v>0</v>
      </c>
      <c r="G321" s="42">
        <f t="shared" si="5"/>
        <v>379000</v>
      </c>
      <c r="H321" s="2" t="str">
        <f>VLOOKUP(A321,'TB MAy'!A:H,8,0)</f>
        <v>Not Applicable</v>
      </c>
    </row>
    <row r="322" spans="1:8" hidden="1">
      <c r="A322" s="95" t="s">
        <v>250</v>
      </c>
      <c r="B322" s="78">
        <v>2467345</v>
      </c>
      <c r="C322" s="78"/>
      <c r="D322" s="78"/>
      <c r="E322" s="78">
        <v>2467345</v>
      </c>
      <c r="F322" s="96">
        <v>0</v>
      </c>
      <c r="G322" s="42">
        <f t="shared" si="5"/>
        <v>2467345</v>
      </c>
      <c r="H322" s="2" t="str">
        <f>VLOOKUP(A322,'TB MAy'!A:H,8,0)</f>
        <v>Not Applicable</v>
      </c>
    </row>
    <row r="323" spans="1:8" hidden="1">
      <c r="A323" s="95" t="s">
        <v>130</v>
      </c>
      <c r="B323" s="78">
        <v>529727.6</v>
      </c>
      <c r="C323" s="78"/>
      <c r="D323" s="78"/>
      <c r="E323" s="78">
        <v>529727.6</v>
      </c>
      <c r="F323" s="96">
        <v>0</v>
      </c>
      <c r="G323" s="42">
        <f t="shared" si="5"/>
        <v>529727.6</v>
      </c>
      <c r="H323" s="2" t="str">
        <f>VLOOKUP(A323,'TB MAy'!A:H,8,0)</f>
        <v>Not Applicable</v>
      </c>
    </row>
    <row r="324" spans="1:8" hidden="1">
      <c r="A324" s="95" t="s">
        <v>172</v>
      </c>
      <c r="B324" s="78">
        <v>1853402.6</v>
      </c>
      <c r="C324" s="78"/>
      <c r="D324" s="78"/>
      <c r="E324" s="78">
        <v>1853402.6</v>
      </c>
      <c r="F324" s="96">
        <v>0</v>
      </c>
      <c r="G324" s="42">
        <f t="shared" si="5"/>
        <v>1853402.6</v>
      </c>
      <c r="H324" s="2" t="str">
        <f>VLOOKUP(A324,'TB MAy'!A:H,8,0)</f>
        <v>Not Applicable</v>
      </c>
    </row>
    <row r="325" spans="1:8" hidden="1">
      <c r="A325" s="95" t="s">
        <v>173</v>
      </c>
      <c r="B325" s="78">
        <v>1617335</v>
      </c>
      <c r="C325" s="78"/>
      <c r="D325" s="78"/>
      <c r="E325" s="78">
        <v>1617335</v>
      </c>
      <c r="F325" s="96">
        <v>0</v>
      </c>
      <c r="G325" s="42">
        <f t="shared" si="5"/>
        <v>1617335</v>
      </c>
      <c r="H325" s="2" t="str">
        <f>VLOOKUP(A325,'TB MAy'!A:H,8,0)</f>
        <v>Not Applicable</v>
      </c>
    </row>
    <row r="326" spans="1:8" hidden="1">
      <c r="A326" s="95" t="s">
        <v>276</v>
      </c>
      <c r="B326" s="78">
        <v>62823024.82</v>
      </c>
      <c r="C326" s="78">
        <v>32000</v>
      </c>
      <c r="D326" s="78"/>
      <c r="E326" s="78">
        <v>62855024.82</v>
      </c>
      <c r="F326" s="96">
        <v>0</v>
      </c>
      <c r="G326" s="42">
        <f t="shared" si="5"/>
        <v>62855024.82</v>
      </c>
      <c r="H326" s="2" t="str">
        <f>VLOOKUP(A326,'TB MAy'!A:H,8,0)</f>
        <v>Not Applicable</v>
      </c>
    </row>
    <row r="327" spans="1:8" hidden="1">
      <c r="A327" s="95" t="s">
        <v>317</v>
      </c>
      <c r="B327" s="78">
        <v>36486616.130000003</v>
      </c>
      <c r="C327" s="78"/>
      <c r="D327" s="78"/>
      <c r="E327" s="78">
        <v>36486616.130000003</v>
      </c>
      <c r="F327" s="96">
        <v>0</v>
      </c>
      <c r="G327" s="42">
        <f t="shared" si="5"/>
        <v>36486616.130000003</v>
      </c>
      <c r="H327" s="2" t="str">
        <f>VLOOKUP(A327,'TB MAy'!A:H,8,0)</f>
        <v>Not Applicable</v>
      </c>
    </row>
    <row r="328" spans="1:8" hidden="1">
      <c r="A328" s="95" t="s">
        <v>348</v>
      </c>
      <c r="B328" s="78">
        <v>24243</v>
      </c>
      <c r="C328" s="78"/>
      <c r="D328" s="78"/>
      <c r="E328" s="78">
        <v>24243</v>
      </c>
      <c r="F328" s="96">
        <v>0</v>
      </c>
      <c r="G328" s="42">
        <f t="shared" si="5"/>
        <v>24243</v>
      </c>
      <c r="H328" s="2" t="str">
        <f>VLOOKUP(A328,'TB MAy'!A:H,8,0)</f>
        <v>Not Applicable</v>
      </c>
    </row>
    <row r="329" spans="1:8" hidden="1">
      <c r="A329" s="95" t="s">
        <v>147</v>
      </c>
      <c r="B329" s="78">
        <v>360000</v>
      </c>
      <c r="C329" s="78"/>
      <c r="D329" s="78"/>
      <c r="E329" s="78">
        <v>360000</v>
      </c>
      <c r="F329" s="96">
        <v>0</v>
      </c>
      <c r="G329" s="42">
        <f t="shared" si="5"/>
        <v>360000</v>
      </c>
      <c r="H329" s="2" t="str">
        <f>VLOOKUP(A329,'TB MAy'!A:H,8,0)</f>
        <v>Not Applicable</v>
      </c>
    </row>
    <row r="330" spans="1:8" hidden="1">
      <c r="A330" s="95" t="s">
        <v>362</v>
      </c>
      <c r="B330" s="78">
        <v>68557970.409999996</v>
      </c>
      <c r="C330" s="78"/>
      <c r="D330" s="78"/>
      <c r="E330" s="78">
        <v>68557970.409999996</v>
      </c>
      <c r="F330" s="96">
        <v>0</v>
      </c>
      <c r="G330" s="42">
        <f t="shared" si="5"/>
        <v>68557970.409999996</v>
      </c>
      <c r="H330" s="2" t="str">
        <f>VLOOKUP(A330,'TB MAy'!A:H,8,0)</f>
        <v>Not Applicable</v>
      </c>
    </row>
    <row r="331" spans="1:8" hidden="1">
      <c r="A331" s="95" t="s">
        <v>289</v>
      </c>
      <c r="B331" s="78">
        <v>1398408.4</v>
      </c>
      <c r="C331" s="78"/>
      <c r="D331" s="78"/>
      <c r="E331" s="78">
        <v>1398408.4</v>
      </c>
      <c r="F331" s="96">
        <v>0</v>
      </c>
      <c r="G331" s="42">
        <f t="shared" si="5"/>
        <v>1398408.4</v>
      </c>
      <c r="H331" s="2" t="str">
        <f>VLOOKUP(A331,'TB MAy'!A:H,8,0)</f>
        <v>Not Applicable</v>
      </c>
    </row>
    <row r="332" spans="1:8" hidden="1">
      <c r="A332" s="95" t="s">
        <v>322</v>
      </c>
      <c r="B332" s="78">
        <v>27382501.739999998</v>
      </c>
      <c r="C332" s="78">
        <v>606000</v>
      </c>
      <c r="D332" s="78"/>
      <c r="E332" s="78">
        <v>27988501.739999998</v>
      </c>
      <c r="F332" s="96">
        <v>0</v>
      </c>
      <c r="G332" s="42">
        <f t="shared" si="5"/>
        <v>27988501.739999998</v>
      </c>
      <c r="H332" s="2" t="str">
        <f>VLOOKUP(A332,'TB MAy'!A:H,8,0)</f>
        <v>Not Applicable</v>
      </c>
    </row>
    <row r="333" spans="1:8" hidden="1">
      <c r="A333" s="95" t="s">
        <v>323</v>
      </c>
      <c r="B333" s="78">
        <v>3211189.8</v>
      </c>
      <c r="C333" s="78"/>
      <c r="D333" s="78"/>
      <c r="E333" s="78">
        <v>3211189.8</v>
      </c>
      <c r="F333" s="96">
        <v>0</v>
      </c>
      <c r="G333" s="42">
        <f t="shared" si="5"/>
        <v>3211189.8</v>
      </c>
      <c r="H333" s="2" t="str">
        <f>VLOOKUP(A333,'TB MAy'!A:H,8,0)</f>
        <v>Not Applicable</v>
      </c>
    </row>
    <row r="334" spans="1:8" hidden="1">
      <c r="A334" s="95" t="s">
        <v>92</v>
      </c>
      <c r="B334" s="78">
        <v>24410011.23</v>
      </c>
      <c r="C334" s="78"/>
      <c r="D334" s="78"/>
      <c r="E334" s="78">
        <v>24410011.23</v>
      </c>
      <c r="F334" s="96">
        <v>0</v>
      </c>
      <c r="G334" s="42">
        <f t="shared" si="5"/>
        <v>24410011.23</v>
      </c>
      <c r="H334" s="2" t="str">
        <f>VLOOKUP(A334,'TB MAy'!A:H,8,0)</f>
        <v>Not Applicable</v>
      </c>
    </row>
    <row r="335" spans="1:8" hidden="1">
      <c r="A335" s="95" t="s">
        <v>124</v>
      </c>
      <c r="B335" s="78">
        <v>574500</v>
      </c>
      <c r="C335" s="78"/>
      <c r="D335" s="78"/>
      <c r="E335" s="78">
        <v>574500</v>
      </c>
      <c r="F335" s="96">
        <v>0</v>
      </c>
      <c r="G335" s="42">
        <f t="shared" si="5"/>
        <v>574500</v>
      </c>
      <c r="H335" s="2" t="str">
        <f>VLOOKUP(A335,'TB MAy'!A:H,8,0)</f>
        <v>Not Applicable</v>
      </c>
    </row>
    <row r="336" spans="1:8" hidden="1">
      <c r="A336" s="95" t="s">
        <v>125</v>
      </c>
      <c r="B336" s="78">
        <v>9371448</v>
      </c>
      <c r="C336" s="78"/>
      <c r="D336" s="78"/>
      <c r="E336" s="78">
        <v>9371448</v>
      </c>
      <c r="F336" s="96">
        <v>0</v>
      </c>
      <c r="G336" s="42">
        <f t="shared" si="5"/>
        <v>9371448</v>
      </c>
      <c r="H336" s="2" t="str">
        <f>VLOOKUP(A336,'TB MAy'!A:H,8,0)</f>
        <v>Not Applicable</v>
      </c>
    </row>
    <row r="337" spans="1:8" hidden="1">
      <c r="A337" s="95" t="s">
        <v>159</v>
      </c>
      <c r="B337" s="78">
        <v>28350</v>
      </c>
      <c r="C337" s="78"/>
      <c r="D337" s="78"/>
      <c r="E337" s="78">
        <v>28350</v>
      </c>
      <c r="F337" s="96">
        <v>0</v>
      </c>
      <c r="G337" s="42">
        <f t="shared" si="5"/>
        <v>28350</v>
      </c>
      <c r="H337" s="2" t="str">
        <f>VLOOKUP(A337,'TB MAy'!A:H,8,0)</f>
        <v>Not Applicable</v>
      </c>
    </row>
    <row r="338" spans="1:8" hidden="1">
      <c r="A338" s="95" t="s">
        <v>160</v>
      </c>
      <c r="B338" s="78">
        <v>30366108.780000001</v>
      </c>
      <c r="C338" s="78"/>
      <c r="D338" s="78"/>
      <c r="E338" s="78">
        <v>30366108.780000001</v>
      </c>
      <c r="F338" s="96">
        <v>0</v>
      </c>
      <c r="G338" s="42">
        <f t="shared" si="5"/>
        <v>30366108.780000001</v>
      </c>
      <c r="H338" s="2" t="str">
        <f>VLOOKUP(A338,'TB MAy'!A:H,8,0)</f>
        <v>Not Applicable</v>
      </c>
    </row>
    <row r="339" spans="1:8" hidden="1">
      <c r="A339" s="95" t="s">
        <v>161</v>
      </c>
      <c r="B339" s="78">
        <v>39942385.469999999</v>
      </c>
      <c r="C339" s="78"/>
      <c r="D339" s="78"/>
      <c r="E339" s="78">
        <v>39942385.469999999</v>
      </c>
      <c r="F339" s="96">
        <v>0</v>
      </c>
      <c r="G339" s="42">
        <f t="shared" si="5"/>
        <v>39942385.469999999</v>
      </c>
      <c r="H339" s="2" t="str">
        <f>VLOOKUP(A339,'TB MAy'!A:H,8,0)</f>
        <v>Not Applicable</v>
      </c>
    </row>
    <row r="340" spans="1:8" hidden="1">
      <c r="A340" s="95" t="s">
        <v>170</v>
      </c>
      <c r="B340" s="78">
        <v>96500</v>
      </c>
      <c r="C340" s="78"/>
      <c r="D340" s="78"/>
      <c r="E340" s="78">
        <v>96500</v>
      </c>
      <c r="F340" s="96">
        <v>0</v>
      </c>
      <c r="G340" s="42">
        <f t="shared" si="5"/>
        <v>96500</v>
      </c>
      <c r="H340" s="2" t="str">
        <f>VLOOKUP(A340,'TB MAy'!A:H,8,0)</f>
        <v>Not Applicable</v>
      </c>
    </row>
    <row r="341" spans="1:8" hidden="1">
      <c r="A341" s="95" t="s">
        <v>187</v>
      </c>
      <c r="B341" s="78">
        <v>100000</v>
      </c>
      <c r="C341" s="78"/>
      <c r="D341" s="78"/>
      <c r="E341" s="78">
        <v>100000</v>
      </c>
      <c r="F341" s="96">
        <v>0</v>
      </c>
      <c r="G341" s="42">
        <f t="shared" si="5"/>
        <v>100000</v>
      </c>
      <c r="H341" s="2" t="str">
        <f>VLOOKUP(A341,'TB MAy'!A:H,8,0)</f>
        <v>Not Applicable</v>
      </c>
    </row>
    <row r="342" spans="1:8" hidden="1">
      <c r="A342" s="95" t="s">
        <v>202</v>
      </c>
      <c r="B342" s="78">
        <v>186280</v>
      </c>
      <c r="C342" s="78"/>
      <c r="D342" s="78"/>
      <c r="E342" s="78">
        <v>186280</v>
      </c>
      <c r="F342" s="96">
        <v>0</v>
      </c>
      <c r="G342" s="42">
        <f t="shared" si="5"/>
        <v>186280</v>
      </c>
      <c r="H342" s="2" t="str">
        <f>VLOOKUP(A342,'TB MAy'!A:H,8,0)</f>
        <v>Not Applicable</v>
      </c>
    </row>
    <row r="343" spans="1:8" hidden="1">
      <c r="A343" s="95" t="s">
        <v>244</v>
      </c>
      <c r="B343" s="78">
        <v>65000</v>
      </c>
      <c r="C343" s="78"/>
      <c r="D343" s="78"/>
      <c r="E343" s="78">
        <v>65000</v>
      </c>
      <c r="F343" s="96">
        <v>0</v>
      </c>
      <c r="G343" s="42">
        <f t="shared" si="5"/>
        <v>65000</v>
      </c>
      <c r="H343" s="2" t="str">
        <f>VLOOKUP(A343,'TB MAy'!A:H,8,0)</f>
        <v>Not Applicable</v>
      </c>
    </row>
    <row r="344" spans="1:8" hidden="1">
      <c r="A344" s="95" t="s">
        <v>325</v>
      </c>
      <c r="B344" s="78">
        <v>57500</v>
      </c>
      <c r="C344" s="78"/>
      <c r="D344" s="78"/>
      <c r="E344" s="78">
        <v>57500</v>
      </c>
      <c r="F344" s="96">
        <v>0</v>
      </c>
      <c r="G344" s="42">
        <f t="shared" si="5"/>
        <v>57500</v>
      </c>
      <c r="H344" s="2" t="str">
        <f>VLOOKUP(A344,'TB MAy'!A:H,8,0)</f>
        <v>Not Applicable</v>
      </c>
    </row>
    <row r="345" spans="1:8" hidden="1">
      <c r="A345" s="95" t="s">
        <v>86</v>
      </c>
      <c r="B345" s="78">
        <v>879414</v>
      </c>
      <c r="C345" s="78"/>
      <c r="D345" s="78"/>
      <c r="E345" s="78">
        <v>879414</v>
      </c>
      <c r="F345" s="96">
        <v>0</v>
      </c>
      <c r="G345" s="42">
        <f t="shared" si="5"/>
        <v>879414</v>
      </c>
      <c r="H345" s="2" t="str">
        <f>VLOOKUP(A345,'TB MAy'!A:H,8,0)</f>
        <v>Not Applicable</v>
      </c>
    </row>
    <row r="346" spans="1:8" hidden="1">
      <c r="A346" s="95" t="s">
        <v>139</v>
      </c>
      <c r="B346" s="78">
        <v>85795</v>
      </c>
      <c r="C346" s="78"/>
      <c r="D346" s="78"/>
      <c r="E346" s="78">
        <v>85795</v>
      </c>
      <c r="F346" s="96">
        <v>0</v>
      </c>
      <c r="G346" s="42">
        <f t="shared" si="5"/>
        <v>85795</v>
      </c>
      <c r="H346" s="2" t="str">
        <f>VLOOKUP(A346,'TB MAy'!A:H,8,0)</f>
        <v>Not Applicable</v>
      </c>
    </row>
    <row r="347" spans="1:8" hidden="1">
      <c r="A347" s="95" t="s">
        <v>140</v>
      </c>
      <c r="B347" s="78">
        <v>140000</v>
      </c>
      <c r="C347" s="78"/>
      <c r="D347" s="78"/>
      <c r="E347" s="78">
        <v>140000</v>
      </c>
      <c r="F347" s="96">
        <v>0</v>
      </c>
      <c r="G347" s="42">
        <f t="shared" si="5"/>
        <v>140000</v>
      </c>
      <c r="H347" s="2" t="str">
        <f>VLOOKUP(A347,'TB MAy'!A:H,8,0)</f>
        <v>Not Applicable</v>
      </c>
    </row>
    <row r="348" spans="1:8" hidden="1">
      <c r="A348" s="95" t="s">
        <v>141</v>
      </c>
      <c r="B348" s="78">
        <v>93100</v>
      </c>
      <c r="C348" s="78"/>
      <c r="D348" s="78"/>
      <c r="E348" s="78">
        <v>93100</v>
      </c>
      <c r="F348" s="96">
        <v>0</v>
      </c>
      <c r="G348" s="42">
        <f t="shared" si="5"/>
        <v>93100</v>
      </c>
      <c r="H348" s="2" t="str">
        <f>VLOOKUP(A348,'TB MAy'!A:H,8,0)</f>
        <v>Not Applicable</v>
      </c>
    </row>
    <row r="349" spans="1:8" hidden="1">
      <c r="A349" s="95" t="s">
        <v>91</v>
      </c>
      <c r="B349" s="78">
        <v>16675</v>
      </c>
      <c r="C349" s="78"/>
      <c r="D349" s="78"/>
      <c r="E349" s="78">
        <v>16675</v>
      </c>
      <c r="F349" s="96">
        <v>0</v>
      </c>
      <c r="G349" s="42">
        <f t="shared" si="5"/>
        <v>16675</v>
      </c>
      <c r="H349" s="2" t="str">
        <f>VLOOKUP(A349,'TB MAy'!A:H,8,0)</f>
        <v>Not Applicable</v>
      </c>
    </row>
    <row r="350" spans="1:8" hidden="1">
      <c r="A350" s="95" t="s">
        <v>146</v>
      </c>
      <c r="B350" s="78">
        <v>2659625.63</v>
      </c>
      <c r="C350" s="78"/>
      <c r="D350" s="78"/>
      <c r="E350" s="78">
        <v>2659625.63</v>
      </c>
      <c r="F350" s="96">
        <v>0</v>
      </c>
      <c r="G350" s="42">
        <f t="shared" si="5"/>
        <v>2659625.63</v>
      </c>
      <c r="H350" s="2" t="str">
        <f>VLOOKUP(A350,'TB MAy'!A:H,8,0)</f>
        <v>Not Applicable</v>
      </c>
    </row>
    <row r="351" spans="1:8" hidden="1">
      <c r="A351" s="95" t="s">
        <v>151</v>
      </c>
      <c r="B351" s="78">
        <v>98304</v>
      </c>
      <c r="C351" s="78"/>
      <c r="D351" s="78"/>
      <c r="E351" s="78">
        <v>98304</v>
      </c>
      <c r="F351" s="96">
        <v>0</v>
      </c>
      <c r="G351" s="42">
        <f t="shared" si="5"/>
        <v>98304</v>
      </c>
      <c r="H351" s="2" t="str">
        <f>VLOOKUP(A351,'TB MAy'!A:H,8,0)</f>
        <v>Not Applicable</v>
      </c>
    </row>
    <row r="352" spans="1:8" hidden="1">
      <c r="A352" s="95" t="s">
        <v>191</v>
      </c>
      <c r="B352" s="78">
        <v>7650</v>
      </c>
      <c r="C352" s="78"/>
      <c r="D352" s="78"/>
      <c r="E352" s="78">
        <v>7650</v>
      </c>
      <c r="F352" s="96">
        <v>0</v>
      </c>
      <c r="G352" s="42">
        <f t="shared" si="5"/>
        <v>7650</v>
      </c>
      <c r="H352" s="2" t="str">
        <f>VLOOKUP(A352,'TB MAy'!A:H,8,0)</f>
        <v>Not Applicable</v>
      </c>
    </row>
    <row r="353" spans="1:8" hidden="1">
      <c r="A353" s="95" t="s">
        <v>195</v>
      </c>
      <c r="B353" s="78">
        <v>211477</v>
      </c>
      <c r="C353" s="78"/>
      <c r="D353" s="78"/>
      <c r="E353" s="78">
        <v>211477</v>
      </c>
      <c r="F353" s="96">
        <v>0</v>
      </c>
      <c r="G353" s="42">
        <f t="shared" ref="G353:G416" si="6">+E353+F353</f>
        <v>211477</v>
      </c>
      <c r="H353" s="2" t="str">
        <f>VLOOKUP(A353,'TB MAy'!A:H,8,0)</f>
        <v>Not Applicable</v>
      </c>
    </row>
    <row r="354" spans="1:8" hidden="1">
      <c r="A354" s="95" t="s">
        <v>305</v>
      </c>
      <c r="B354" s="78">
        <v>90000</v>
      </c>
      <c r="C354" s="78"/>
      <c r="D354" s="78"/>
      <c r="E354" s="78">
        <v>90000</v>
      </c>
      <c r="F354" s="96">
        <v>0</v>
      </c>
      <c r="G354" s="42">
        <f t="shared" si="6"/>
        <v>90000</v>
      </c>
      <c r="H354" s="2" t="str">
        <f>VLOOKUP(A354,'TB MAy'!A:H,8,0)</f>
        <v>Not Applicable</v>
      </c>
    </row>
    <row r="355" spans="1:8" hidden="1">
      <c r="A355" s="95" t="s">
        <v>327</v>
      </c>
      <c r="B355" s="78">
        <v>758907.36</v>
      </c>
      <c r="C355" s="78"/>
      <c r="D355" s="78"/>
      <c r="E355" s="78">
        <v>758907.36</v>
      </c>
      <c r="F355" s="96">
        <v>0</v>
      </c>
      <c r="G355" s="42">
        <f t="shared" si="6"/>
        <v>758907.36</v>
      </c>
      <c r="H355" s="2" t="str">
        <f>VLOOKUP(A355,'TB MAy'!A:H,8,0)</f>
        <v>Not Applicable</v>
      </c>
    </row>
    <row r="356" spans="1:8" hidden="1">
      <c r="A356" s="95" t="s">
        <v>354</v>
      </c>
      <c r="B356" s="78">
        <v>349108.97</v>
      </c>
      <c r="C356" s="78"/>
      <c r="D356" s="78"/>
      <c r="E356" s="78">
        <v>349108.97</v>
      </c>
      <c r="F356" s="96">
        <v>0</v>
      </c>
      <c r="G356" s="42">
        <f t="shared" si="6"/>
        <v>349108.97</v>
      </c>
      <c r="H356" s="2" t="str">
        <f>VLOOKUP(A356,'TB MAy'!A:H,8,0)</f>
        <v>Not Applicable</v>
      </c>
    </row>
    <row r="357" spans="1:8" hidden="1">
      <c r="A357" s="95" t="s">
        <v>355</v>
      </c>
      <c r="B357" s="78">
        <v>1571437</v>
      </c>
      <c r="C357" s="78"/>
      <c r="D357" s="78"/>
      <c r="E357" s="78">
        <v>1571437</v>
      </c>
      <c r="F357" s="96">
        <v>0</v>
      </c>
      <c r="G357" s="42">
        <f t="shared" si="6"/>
        <v>1571437</v>
      </c>
      <c r="H357" s="2" t="str">
        <f>VLOOKUP(A357,'TB MAy'!A:H,8,0)</f>
        <v>Not Applicable</v>
      </c>
    </row>
    <row r="358" spans="1:8" hidden="1">
      <c r="A358" s="95" t="s">
        <v>356</v>
      </c>
      <c r="B358" s="78">
        <v>68400</v>
      </c>
      <c r="C358" s="78"/>
      <c r="D358" s="78"/>
      <c r="E358" s="78">
        <v>68400</v>
      </c>
      <c r="F358" s="96">
        <v>0</v>
      </c>
      <c r="G358" s="42">
        <f t="shared" si="6"/>
        <v>68400</v>
      </c>
      <c r="H358" s="2" t="str">
        <f>VLOOKUP(A358,'TB MAy'!A:H,8,0)</f>
        <v>Not Applicable</v>
      </c>
    </row>
    <row r="359" spans="1:8" hidden="1">
      <c r="A359" s="95" t="s">
        <v>359</v>
      </c>
      <c r="B359" s="78">
        <v>429513.24</v>
      </c>
      <c r="C359" s="78"/>
      <c r="D359" s="78"/>
      <c r="E359" s="78">
        <v>429513.24</v>
      </c>
      <c r="F359" s="96">
        <v>0</v>
      </c>
      <c r="G359" s="42">
        <f t="shared" si="6"/>
        <v>429513.24</v>
      </c>
      <c r="H359" s="2" t="str">
        <f>VLOOKUP(A359,'TB MAy'!A:H,8,0)</f>
        <v>Not Applicable</v>
      </c>
    </row>
    <row r="360" spans="1:8" hidden="1">
      <c r="A360" s="95" t="s">
        <v>360</v>
      </c>
      <c r="B360" s="78">
        <v>5850</v>
      </c>
      <c r="C360" s="78"/>
      <c r="D360" s="78"/>
      <c r="E360" s="78">
        <v>5850</v>
      </c>
      <c r="F360" s="96">
        <v>0</v>
      </c>
      <c r="G360" s="42">
        <f t="shared" si="6"/>
        <v>5850</v>
      </c>
      <c r="H360" s="2" t="str">
        <f>VLOOKUP(A360,'TB MAy'!A:H,8,0)</f>
        <v>Not Applicable</v>
      </c>
    </row>
    <row r="361" spans="1:8" hidden="1">
      <c r="A361" s="95" t="s">
        <v>136</v>
      </c>
      <c r="B361" s="78">
        <v>1015945.55</v>
      </c>
      <c r="C361" s="78"/>
      <c r="D361" s="78"/>
      <c r="E361" s="78">
        <v>1015945.55</v>
      </c>
      <c r="F361" s="96">
        <v>0</v>
      </c>
      <c r="G361" s="42">
        <f t="shared" si="6"/>
        <v>1015945.55</v>
      </c>
      <c r="H361" s="2" t="str">
        <f>VLOOKUP(A361,'TB MAy'!A:H,8,0)</f>
        <v>Not Applicable</v>
      </c>
    </row>
    <row r="362" spans="1:8" hidden="1">
      <c r="A362" s="95" t="s">
        <v>1052</v>
      </c>
      <c r="B362" s="78">
        <v>5673027</v>
      </c>
      <c r="C362" s="78"/>
      <c r="D362" s="78"/>
      <c r="E362" s="78">
        <v>5673027</v>
      </c>
      <c r="F362" s="96">
        <v>0</v>
      </c>
      <c r="G362" s="42">
        <f t="shared" si="6"/>
        <v>5673027</v>
      </c>
      <c r="H362" s="2" t="str">
        <f>VLOOKUP(A362,'TB MAy'!A:H,8,0)</f>
        <v>Not Applicable</v>
      </c>
    </row>
    <row r="363" spans="1:8" hidden="1">
      <c r="A363" s="95" t="s">
        <v>115</v>
      </c>
      <c r="B363" s="78">
        <v>733185</v>
      </c>
      <c r="C363" s="78"/>
      <c r="D363" s="78"/>
      <c r="E363" s="78">
        <v>733185</v>
      </c>
      <c r="F363" s="96">
        <v>0</v>
      </c>
      <c r="G363" s="42">
        <f t="shared" si="6"/>
        <v>733185</v>
      </c>
      <c r="H363" s="2" t="str">
        <f>VLOOKUP(A363,'TB MAy'!A:H,8,0)</f>
        <v>Not Applicable</v>
      </c>
    </row>
    <row r="364" spans="1:8" hidden="1">
      <c r="A364" s="95" t="s">
        <v>144</v>
      </c>
      <c r="B364" s="78">
        <v>2750</v>
      </c>
      <c r="C364" s="78"/>
      <c r="D364" s="78"/>
      <c r="E364" s="78">
        <v>2750</v>
      </c>
      <c r="F364" s="96">
        <v>0</v>
      </c>
      <c r="G364" s="42">
        <f t="shared" si="6"/>
        <v>2750</v>
      </c>
      <c r="H364" s="2" t="str">
        <f>VLOOKUP(A364,'TB MAy'!A:H,8,0)</f>
        <v>Not Applicable</v>
      </c>
    </row>
    <row r="365" spans="1:8" hidden="1">
      <c r="A365" s="95" t="s">
        <v>245</v>
      </c>
      <c r="B365" s="78">
        <v>36400</v>
      </c>
      <c r="C365" s="78"/>
      <c r="D365" s="78"/>
      <c r="E365" s="78">
        <v>36400</v>
      </c>
      <c r="F365" s="96">
        <v>0</v>
      </c>
      <c r="G365" s="42">
        <f t="shared" si="6"/>
        <v>36400</v>
      </c>
      <c r="H365" s="2" t="str">
        <f>VLOOKUP(A365,'TB MAy'!A:H,8,0)</f>
        <v>Not Applicable</v>
      </c>
    </row>
    <row r="366" spans="1:8" hidden="1">
      <c r="A366" s="95" t="s">
        <v>246</v>
      </c>
      <c r="B366" s="78">
        <v>43030</v>
      </c>
      <c r="C366" s="78"/>
      <c r="D366" s="78"/>
      <c r="E366" s="78">
        <v>43030</v>
      </c>
      <c r="F366" s="96">
        <v>0</v>
      </c>
      <c r="G366" s="42">
        <f t="shared" si="6"/>
        <v>43030</v>
      </c>
      <c r="H366" s="2" t="str">
        <f>VLOOKUP(A366,'TB MAy'!A:H,8,0)</f>
        <v>Not Applicable</v>
      </c>
    </row>
    <row r="367" spans="1:8" hidden="1">
      <c r="A367" s="95" t="s">
        <v>247</v>
      </c>
      <c r="B367" s="78">
        <v>43030</v>
      </c>
      <c r="C367" s="78"/>
      <c r="D367" s="78"/>
      <c r="E367" s="78">
        <v>43030</v>
      </c>
      <c r="F367" s="96">
        <v>0</v>
      </c>
      <c r="G367" s="42">
        <f t="shared" si="6"/>
        <v>43030</v>
      </c>
      <c r="H367" s="2" t="str">
        <f>VLOOKUP(A367,'TB MAy'!A:H,8,0)</f>
        <v>Not Applicable</v>
      </c>
    </row>
    <row r="368" spans="1:8" hidden="1">
      <c r="A368" s="95" t="s">
        <v>175</v>
      </c>
      <c r="B368" s="78">
        <v>1818539</v>
      </c>
      <c r="C368" s="78"/>
      <c r="D368" s="78"/>
      <c r="E368" s="78">
        <v>1818539</v>
      </c>
      <c r="F368" s="96">
        <v>0</v>
      </c>
      <c r="G368" s="42">
        <f t="shared" si="6"/>
        <v>1818539</v>
      </c>
      <c r="H368" s="2" t="str">
        <f>VLOOKUP(A368,'TB MAy'!A:H,8,0)</f>
        <v>Not Applicable</v>
      </c>
    </row>
    <row r="369" spans="1:8" hidden="1">
      <c r="A369" s="95" t="s">
        <v>176</v>
      </c>
      <c r="B369" s="78">
        <v>766214</v>
      </c>
      <c r="C369" s="78"/>
      <c r="D369" s="78"/>
      <c r="E369" s="78">
        <v>766214</v>
      </c>
      <c r="F369" s="96">
        <v>0</v>
      </c>
      <c r="G369" s="42">
        <f t="shared" si="6"/>
        <v>766214</v>
      </c>
      <c r="H369" s="2" t="str">
        <f>VLOOKUP(A369,'TB MAy'!A:H,8,0)</f>
        <v>Not Applicable</v>
      </c>
    </row>
    <row r="370" spans="1:8" hidden="1">
      <c r="A370" s="95" t="s">
        <v>177</v>
      </c>
      <c r="B370" s="78">
        <v>3428358</v>
      </c>
      <c r="C370" s="78"/>
      <c r="D370" s="78"/>
      <c r="E370" s="78">
        <v>3428358</v>
      </c>
      <c r="F370" s="96">
        <v>0</v>
      </c>
      <c r="G370" s="42">
        <f t="shared" si="6"/>
        <v>3428358</v>
      </c>
      <c r="H370" s="2" t="str">
        <f>VLOOKUP(A370,'TB MAy'!A:H,8,0)</f>
        <v>Not Applicable</v>
      </c>
    </row>
    <row r="371" spans="1:8" hidden="1">
      <c r="A371" s="95" t="s">
        <v>178</v>
      </c>
      <c r="B371" s="78">
        <v>1419968.98</v>
      </c>
      <c r="C371" s="78"/>
      <c r="D371" s="78"/>
      <c r="E371" s="78">
        <v>1419968.98</v>
      </c>
      <c r="F371" s="96">
        <v>0</v>
      </c>
      <c r="G371" s="42">
        <f t="shared" si="6"/>
        <v>1419968.98</v>
      </c>
      <c r="H371" s="2" t="str">
        <f>VLOOKUP(A371,'TB MAy'!A:H,8,0)</f>
        <v>Not Applicable</v>
      </c>
    </row>
    <row r="372" spans="1:8" hidden="1">
      <c r="A372" s="95" t="s">
        <v>321</v>
      </c>
      <c r="B372" s="78">
        <v>2154376</v>
      </c>
      <c r="C372" s="78"/>
      <c r="D372" s="78"/>
      <c r="E372" s="78">
        <v>2154376</v>
      </c>
      <c r="F372" s="96">
        <v>0</v>
      </c>
      <c r="G372" s="42">
        <f t="shared" si="6"/>
        <v>2154376</v>
      </c>
      <c r="H372" s="2" t="str">
        <f>VLOOKUP(A372,'TB MAy'!A:H,8,0)</f>
        <v>Not Applicable</v>
      </c>
    </row>
    <row r="373" spans="1:8" hidden="1">
      <c r="A373" s="95" t="s">
        <v>486</v>
      </c>
      <c r="B373" s="78">
        <v>-590104048.52999997</v>
      </c>
      <c r="C373" s="78"/>
      <c r="D373" s="78"/>
      <c r="E373" s="78">
        <v>-590104048.52999997</v>
      </c>
      <c r="F373" s="96">
        <v>0</v>
      </c>
      <c r="G373" s="42">
        <f t="shared" si="6"/>
        <v>-590104048.52999997</v>
      </c>
      <c r="H373" s="2" t="str">
        <f>VLOOKUP(A373,'TB MAy'!A:H,8,0)</f>
        <v>Not Applicable</v>
      </c>
    </row>
    <row r="374" spans="1:8" hidden="1">
      <c r="A374" s="95" t="s">
        <v>1555</v>
      </c>
      <c r="B374" s="78"/>
      <c r="C374" s="78">
        <v>10000</v>
      </c>
      <c r="D374" s="78">
        <v>10000</v>
      </c>
      <c r="E374" s="78"/>
      <c r="F374" s="96">
        <v>0</v>
      </c>
      <c r="G374" s="42">
        <f t="shared" si="6"/>
        <v>0</v>
      </c>
      <c r="H374" s="2" t="s">
        <v>84</v>
      </c>
    </row>
    <row r="375" spans="1:8" hidden="1">
      <c r="A375" s="95" t="s">
        <v>664</v>
      </c>
      <c r="B375" s="78"/>
      <c r="C375" s="78">
        <v>11461456.310000001</v>
      </c>
      <c r="D375" s="78">
        <v>20166504.16</v>
      </c>
      <c r="E375" s="78">
        <v>-8705047.8499999996</v>
      </c>
      <c r="F375" s="96">
        <v>0</v>
      </c>
      <c r="G375" s="42">
        <f t="shared" si="6"/>
        <v>-8705047.8499999996</v>
      </c>
      <c r="H375" s="2" t="str">
        <f>VLOOKUP(A375,'TB MAy'!A:H,8,0)</f>
        <v>Not Applicable</v>
      </c>
    </row>
    <row r="376" spans="1:8" hidden="1">
      <c r="A376" s="95" t="s">
        <v>595</v>
      </c>
      <c r="B376" s="78"/>
      <c r="C376" s="78">
        <v>258483.19</v>
      </c>
      <c r="D376" s="78">
        <v>4761315.8</v>
      </c>
      <c r="E376" s="78">
        <v>-4502832.6100000003</v>
      </c>
      <c r="F376" s="96">
        <v>0</v>
      </c>
      <c r="G376" s="42">
        <f t="shared" si="6"/>
        <v>-4502832.6100000003</v>
      </c>
      <c r="H376" s="2" t="str">
        <f>VLOOKUP(A376,'TB MAy'!A:H,8,0)</f>
        <v>Not Applicable</v>
      </c>
    </row>
    <row r="377" spans="1:8" hidden="1">
      <c r="A377" s="95" t="s">
        <v>434</v>
      </c>
      <c r="B377" s="78"/>
      <c r="C377" s="78">
        <v>11461456.310000001</v>
      </c>
      <c r="D377" s="78">
        <v>20166504.16</v>
      </c>
      <c r="E377" s="78">
        <v>-8705047.8499999996</v>
      </c>
      <c r="F377" s="96">
        <v>0</v>
      </c>
      <c r="G377" s="42">
        <f t="shared" si="6"/>
        <v>-8705047.8499999996</v>
      </c>
      <c r="H377" s="2" t="str">
        <f>VLOOKUP(A377,'TB MAy'!A:H,8,0)</f>
        <v>Not Applicable</v>
      </c>
    </row>
    <row r="378" spans="1:8" hidden="1">
      <c r="A378" s="95" t="s">
        <v>485</v>
      </c>
      <c r="B378" s="78">
        <v>-74528</v>
      </c>
      <c r="C378" s="78">
        <v>205600</v>
      </c>
      <c r="D378" s="78">
        <v>128200</v>
      </c>
      <c r="E378" s="78">
        <v>2872</v>
      </c>
      <c r="F378" s="96">
        <v>0</v>
      </c>
      <c r="G378" s="42">
        <f t="shared" si="6"/>
        <v>2872</v>
      </c>
      <c r="H378" s="2" t="str">
        <f>VLOOKUP(A378,'TB MAy'!A:H,8,0)</f>
        <v>Not Applicable</v>
      </c>
    </row>
    <row r="379" spans="1:8" hidden="1">
      <c r="A379" s="95" t="s">
        <v>395</v>
      </c>
      <c r="B379" s="78"/>
      <c r="C379" s="78"/>
      <c r="D379" s="78"/>
      <c r="E379" s="78"/>
      <c r="F379" s="96">
        <v>0</v>
      </c>
      <c r="G379" s="42">
        <f t="shared" si="6"/>
        <v>0</v>
      </c>
      <c r="H379" s="2" t="str">
        <f>VLOOKUP(A379,'TB MAy'!A:H,8,0)</f>
        <v>Not Applicable</v>
      </c>
    </row>
    <row r="380" spans="1:8" hidden="1">
      <c r="A380" s="95" t="s">
        <v>396</v>
      </c>
      <c r="B380" s="78"/>
      <c r="C380" s="78"/>
      <c r="D380" s="78"/>
      <c r="E380" s="78"/>
      <c r="F380" s="96">
        <v>0</v>
      </c>
      <c r="G380" s="42">
        <f t="shared" si="6"/>
        <v>0</v>
      </c>
      <c r="H380" s="2" t="str">
        <f>VLOOKUP(A380,'TB MAy'!A:H,8,0)</f>
        <v>Not Applicable</v>
      </c>
    </row>
    <row r="381" spans="1:8" hidden="1">
      <c r="A381" s="95" t="s">
        <v>397</v>
      </c>
      <c r="B381" s="78"/>
      <c r="C381" s="78"/>
      <c r="D381" s="78"/>
      <c r="E381" s="78"/>
      <c r="F381" s="96">
        <v>0</v>
      </c>
      <c r="G381" s="42">
        <f t="shared" si="6"/>
        <v>0</v>
      </c>
      <c r="H381" s="2" t="str">
        <f>VLOOKUP(A381,'TB MAy'!A:H,8,0)</f>
        <v>Not Applicable</v>
      </c>
    </row>
    <row r="382" spans="1:8" hidden="1">
      <c r="A382" s="95" t="s">
        <v>398</v>
      </c>
      <c r="B382" s="78"/>
      <c r="C382" s="78"/>
      <c r="D382" s="78"/>
      <c r="E382" s="78"/>
      <c r="F382" s="96">
        <v>0</v>
      </c>
      <c r="G382" s="42">
        <f t="shared" si="6"/>
        <v>0</v>
      </c>
      <c r="H382" s="2" t="str">
        <f>VLOOKUP(A382,'TB MAy'!A:H,8,0)</f>
        <v>Not Applicable</v>
      </c>
    </row>
    <row r="383" spans="1:8" hidden="1">
      <c r="A383" s="95" t="s">
        <v>1308</v>
      </c>
      <c r="B383" s="78"/>
      <c r="C383" s="78"/>
      <c r="D383" s="78"/>
      <c r="E383" s="78"/>
      <c r="F383" s="96">
        <v>0</v>
      </c>
      <c r="G383" s="42">
        <f t="shared" si="6"/>
        <v>0</v>
      </c>
      <c r="H383" s="2" t="str">
        <f>VLOOKUP(A383,'TB MAy'!A:H,8,0)</f>
        <v>Not Applicable</v>
      </c>
    </row>
    <row r="384" spans="1:8" hidden="1">
      <c r="A384" s="95" t="s">
        <v>1061</v>
      </c>
      <c r="B384" s="78"/>
      <c r="C384" s="78"/>
      <c r="D384" s="78"/>
      <c r="E384" s="78"/>
      <c r="F384" s="96">
        <v>0</v>
      </c>
      <c r="G384" s="42">
        <f t="shared" si="6"/>
        <v>0</v>
      </c>
      <c r="H384" s="2" t="str">
        <f>VLOOKUP(A384,'TB MAy'!A:H,8,0)</f>
        <v>Not Applicable</v>
      </c>
    </row>
    <row r="385" spans="1:8" hidden="1">
      <c r="A385" s="95" t="s">
        <v>1422</v>
      </c>
      <c r="B385" s="78"/>
      <c r="C385" s="78"/>
      <c r="D385" s="78">
        <v>8256.4599999999991</v>
      </c>
      <c r="E385" s="78">
        <v>-8256.4599999999991</v>
      </c>
      <c r="F385" s="96">
        <v>0</v>
      </c>
      <c r="G385" s="42">
        <f t="shared" si="6"/>
        <v>-8256.4599999999991</v>
      </c>
      <c r="H385" s="2" t="str">
        <f>VLOOKUP(A385,'TB MAy'!A:H,8,0)</f>
        <v>Not Applicable</v>
      </c>
    </row>
    <row r="386" spans="1:8" hidden="1">
      <c r="A386" s="95" t="s">
        <v>399</v>
      </c>
      <c r="B386" s="78"/>
      <c r="C386" s="78">
        <v>10000</v>
      </c>
      <c r="D386" s="78">
        <v>30000</v>
      </c>
      <c r="E386" s="78">
        <v>-20000</v>
      </c>
      <c r="F386" s="96">
        <v>0</v>
      </c>
      <c r="G386" s="42">
        <f t="shared" si="6"/>
        <v>-20000</v>
      </c>
      <c r="H386" s="2" t="str">
        <f>VLOOKUP(A386,'TB MAy'!A:H,8,0)</f>
        <v>Not Applicable</v>
      </c>
    </row>
    <row r="387" spans="1:8" hidden="1">
      <c r="A387" s="95" t="s">
        <v>400</v>
      </c>
      <c r="B387" s="78">
        <v>-18553</v>
      </c>
      <c r="C387" s="78"/>
      <c r="D387" s="78">
        <v>508298</v>
      </c>
      <c r="E387" s="78">
        <v>-526851</v>
      </c>
      <c r="F387" s="96">
        <v>0</v>
      </c>
      <c r="G387" s="42">
        <f t="shared" si="6"/>
        <v>-526851</v>
      </c>
      <c r="H387" s="2" t="str">
        <f>VLOOKUP(A387,'TB MAy'!A:H,8,0)</f>
        <v>Not Applicable</v>
      </c>
    </row>
    <row r="388" spans="1:8" hidden="1">
      <c r="A388" s="95" t="s">
        <v>971</v>
      </c>
      <c r="B388" s="78"/>
      <c r="C388" s="78"/>
      <c r="D388" s="78">
        <v>81660</v>
      </c>
      <c r="E388" s="78">
        <v>-81660</v>
      </c>
      <c r="F388" s="96">
        <v>0</v>
      </c>
      <c r="G388" s="42">
        <f t="shared" si="6"/>
        <v>-81660</v>
      </c>
      <c r="H388" s="2" t="str">
        <f>VLOOKUP(A388,'TB MAy'!A:H,8,0)</f>
        <v>Not Applicable</v>
      </c>
    </row>
    <row r="389" spans="1:8" hidden="1">
      <c r="A389" s="95" t="s">
        <v>401</v>
      </c>
      <c r="B389" s="78"/>
      <c r="C389" s="78"/>
      <c r="D389" s="78">
        <v>24657</v>
      </c>
      <c r="E389" s="78">
        <v>-24657</v>
      </c>
      <c r="F389" s="96">
        <v>0</v>
      </c>
      <c r="G389" s="42">
        <f t="shared" si="6"/>
        <v>-24657</v>
      </c>
      <c r="H389" s="2" t="str">
        <f>VLOOKUP(A389,'TB MAy'!A:H,8,0)</f>
        <v>Not Applicable</v>
      </c>
    </row>
    <row r="390" spans="1:8" hidden="1">
      <c r="A390" s="95" t="s">
        <v>402</v>
      </c>
      <c r="B390" s="78"/>
      <c r="C390" s="78">
        <v>1.1299999999999999</v>
      </c>
      <c r="D390" s="78">
        <v>212146.6</v>
      </c>
      <c r="E390" s="78">
        <v>-212145.47</v>
      </c>
      <c r="F390" s="96">
        <v>0</v>
      </c>
      <c r="G390" s="42">
        <f t="shared" si="6"/>
        <v>-212145.47</v>
      </c>
      <c r="H390" s="2" t="str">
        <f>VLOOKUP(A390,'TB MAy'!A:H,8,0)</f>
        <v>Not Applicable</v>
      </c>
    </row>
    <row r="391" spans="1:8" hidden="1">
      <c r="A391" s="95" t="s">
        <v>673</v>
      </c>
      <c r="B391" s="78">
        <v>-1494215</v>
      </c>
      <c r="C391" s="78"/>
      <c r="D391" s="78"/>
      <c r="E391" s="78">
        <v>-1494215</v>
      </c>
      <c r="F391" s="96">
        <v>0</v>
      </c>
      <c r="G391" s="42">
        <f t="shared" si="6"/>
        <v>-1494215</v>
      </c>
      <c r="H391" s="2" t="str">
        <f>VLOOKUP(A391,'TB MAy'!A:H,8,0)</f>
        <v>Not Applicable</v>
      </c>
    </row>
    <row r="392" spans="1:8" hidden="1">
      <c r="A392" s="95" t="s">
        <v>637</v>
      </c>
      <c r="B392" s="78">
        <v>-311010</v>
      </c>
      <c r="C392" s="78">
        <v>841872</v>
      </c>
      <c r="D392" s="78">
        <v>530827</v>
      </c>
      <c r="E392" s="78">
        <v>35</v>
      </c>
      <c r="F392" s="96">
        <v>0</v>
      </c>
      <c r="G392" s="42">
        <f t="shared" si="6"/>
        <v>35</v>
      </c>
      <c r="H392" s="2" t="str">
        <f>VLOOKUP(A392,'TB MAy'!A:H,8,0)</f>
        <v>Not Applicable</v>
      </c>
    </row>
    <row r="393" spans="1:8" hidden="1">
      <c r="A393" s="95" t="s">
        <v>626</v>
      </c>
      <c r="B393" s="78">
        <v>36125</v>
      </c>
      <c r="C393" s="78">
        <v>112972</v>
      </c>
      <c r="D393" s="78">
        <v>112973</v>
      </c>
      <c r="E393" s="78">
        <v>36124</v>
      </c>
      <c r="F393" s="96">
        <v>0</v>
      </c>
      <c r="G393" s="42">
        <f t="shared" si="6"/>
        <v>36124</v>
      </c>
      <c r="H393" s="2" t="str">
        <f>VLOOKUP(A393,'TB MAy'!A:H,8,0)</f>
        <v>Not Applicable</v>
      </c>
    </row>
    <row r="394" spans="1:8" hidden="1">
      <c r="A394" s="95" t="s">
        <v>455</v>
      </c>
      <c r="B394" s="78">
        <v>-8641911.9800000004</v>
      </c>
      <c r="C394" s="78">
        <v>17976715</v>
      </c>
      <c r="D394" s="78">
        <v>13624531</v>
      </c>
      <c r="E394" s="78">
        <v>-4289727.9800000004</v>
      </c>
      <c r="F394" s="96">
        <v>0</v>
      </c>
      <c r="G394" s="42">
        <f t="shared" si="6"/>
        <v>-4289727.9800000004</v>
      </c>
      <c r="H394" s="2" t="str">
        <f>VLOOKUP(A394,'TB MAy'!A:H,8,0)</f>
        <v>Not Applicable</v>
      </c>
    </row>
    <row r="395" spans="1:8" hidden="1">
      <c r="A395" s="95" t="s">
        <v>1423</v>
      </c>
      <c r="B395" s="78">
        <v>-5841</v>
      </c>
      <c r="C395" s="78">
        <v>3953</v>
      </c>
      <c r="D395" s="78">
        <v>13579</v>
      </c>
      <c r="E395" s="78">
        <v>-15467</v>
      </c>
      <c r="F395" s="96">
        <v>0</v>
      </c>
      <c r="G395" s="42">
        <f t="shared" si="6"/>
        <v>-15467</v>
      </c>
      <c r="H395" s="2" t="str">
        <f>VLOOKUP(A395,'TB MAy'!A:H,8,0)</f>
        <v>Not Applicable</v>
      </c>
    </row>
    <row r="396" spans="1:8" hidden="1">
      <c r="A396" s="95" t="s">
        <v>1511</v>
      </c>
      <c r="B396" s="78"/>
      <c r="C396" s="78"/>
      <c r="D396" s="78"/>
      <c r="E396" s="78"/>
      <c r="F396" s="96">
        <v>0</v>
      </c>
      <c r="G396" s="42">
        <f t="shared" si="6"/>
        <v>0</v>
      </c>
      <c r="H396" s="2" t="str">
        <f>VLOOKUP(A396,'TB MAy'!A:H,8,0)</f>
        <v>Not Applicable</v>
      </c>
    </row>
    <row r="397" spans="1:8" hidden="1">
      <c r="A397" s="95" t="s">
        <v>1350</v>
      </c>
      <c r="B397" s="78">
        <v>-34321.599999999999</v>
      </c>
      <c r="C397" s="78">
        <v>52800.6</v>
      </c>
      <c r="D397" s="78">
        <v>38516</v>
      </c>
      <c r="E397" s="78">
        <v>-20037</v>
      </c>
      <c r="F397" s="96">
        <v>0</v>
      </c>
      <c r="G397" s="42">
        <f t="shared" si="6"/>
        <v>-20037</v>
      </c>
      <c r="H397" s="2" t="str">
        <f>VLOOKUP(A397,'TB MAy'!A:H,8,0)</f>
        <v>Not Applicable</v>
      </c>
    </row>
    <row r="398" spans="1:8" hidden="1">
      <c r="A398" s="95" t="s">
        <v>644</v>
      </c>
      <c r="B398" s="78">
        <v>-2537</v>
      </c>
      <c r="C398" s="78">
        <v>2537</v>
      </c>
      <c r="D398" s="78">
        <v>4891</v>
      </c>
      <c r="E398" s="78">
        <v>-4891</v>
      </c>
      <c r="F398" s="96">
        <v>0</v>
      </c>
      <c r="G398" s="42">
        <f t="shared" si="6"/>
        <v>-4891</v>
      </c>
      <c r="H398" s="2" t="str">
        <f>VLOOKUP(A398,'TB MAy'!A:H,8,0)</f>
        <v>Not Applicable</v>
      </c>
    </row>
    <row r="399" spans="1:8" hidden="1">
      <c r="A399" s="95" t="s">
        <v>1424</v>
      </c>
      <c r="B399" s="78"/>
      <c r="C399" s="78"/>
      <c r="D399" s="78"/>
      <c r="E399" s="78"/>
      <c r="F399" s="96">
        <v>0</v>
      </c>
      <c r="G399" s="42">
        <f t="shared" si="6"/>
        <v>0</v>
      </c>
      <c r="H399" s="2" t="str">
        <f>VLOOKUP(A399,'TB MAy'!A:H,8,0)</f>
        <v>Not Applicable</v>
      </c>
    </row>
    <row r="400" spans="1:8" hidden="1">
      <c r="A400" s="95" t="s">
        <v>1038</v>
      </c>
      <c r="B400" s="78">
        <v>-5992</v>
      </c>
      <c r="C400" s="78"/>
      <c r="D400" s="78"/>
      <c r="E400" s="78">
        <v>-5992</v>
      </c>
      <c r="F400" s="96">
        <v>0</v>
      </c>
      <c r="G400" s="42">
        <f t="shared" si="6"/>
        <v>-5992</v>
      </c>
      <c r="H400" s="2" t="str">
        <f>VLOOKUP(A400,'TB MAy'!A:H,8,0)</f>
        <v>Not Applicable</v>
      </c>
    </row>
    <row r="401" spans="1:8" hidden="1">
      <c r="A401" s="95" t="s">
        <v>482</v>
      </c>
      <c r="B401" s="78">
        <v>-197176</v>
      </c>
      <c r="C401" s="78"/>
      <c r="D401" s="78"/>
      <c r="E401" s="78">
        <v>-197176</v>
      </c>
      <c r="F401" s="96">
        <v>0</v>
      </c>
      <c r="G401" s="42">
        <f t="shared" si="6"/>
        <v>-197176</v>
      </c>
      <c r="H401" s="2" t="str">
        <f>VLOOKUP(A401,'TB MAy'!A:H,8,0)</f>
        <v>Not Applicable</v>
      </c>
    </row>
    <row r="402" spans="1:8" hidden="1">
      <c r="A402" s="95" t="s">
        <v>478</v>
      </c>
      <c r="B402" s="78">
        <v>-5377</v>
      </c>
      <c r="C402" s="78"/>
      <c r="D402" s="78"/>
      <c r="E402" s="78">
        <v>-5377</v>
      </c>
      <c r="F402" s="96">
        <v>0</v>
      </c>
      <c r="G402" s="42">
        <f t="shared" si="6"/>
        <v>-5377</v>
      </c>
      <c r="H402" s="2" t="str">
        <f>VLOOKUP(A402,'TB MAy'!A:H,8,0)</f>
        <v>Not Applicable</v>
      </c>
    </row>
    <row r="403" spans="1:8" hidden="1">
      <c r="A403" s="95" t="s">
        <v>1425</v>
      </c>
      <c r="B403" s="78"/>
      <c r="C403" s="78"/>
      <c r="D403" s="78"/>
      <c r="E403" s="78"/>
      <c r="F403" s="96">
        <v>0</v>
      </c>
      <c r="G403" s="42">
        <f t="shared" si="6"/>
        <v>0</v>
      </c>
      <c r="H403" s="2" t="str">
        <f>VLOOKUP(A403,'TB MAy'!A:H,8,0)</f>
        <v>Not Applicable</v>
      </c>
    </row>
    <row r="404" spans="1:8" hidden="1">
      <c r="A404" s="95" t="s">
        <v>431</v>
      </c>
      <c r="B404" s="78"/>
      <c r="C404" s="78"/>
      <c r="D404" s="78"/>
      <c r="E404" s="78"/>
      <c r="F404" s="96">
        <v>0</v>
      </c>
      <c r="G404" s="42">
        <f t="shared" si="6"/>
        <v>0</v>
      </c>
      <c r="H404" s="2" t="str">
        <f>VLOOKUP(A404,'TB MAy'!A:H,8,0)</f>
        <v>Not Applicable</v>
      </c>
    </row>
    <row r="405" spans="1:8" hidden="1">
      <c r="A405" s="95" t="s">
        <v>418</v>
      </c>
      <c r="B405" s="78">
        <v>-11250</v>
      </c>
      <c r="C405" s="78">
        <v>11250</v>
      </c>
      <c r="D405" s="78"/>
      <c r="E405" s="78"/>
      <c r="F405" s="96">
        <v>0</v>
      </c>
      <c r="G405" s="42">
        <f t="shared" si="6"/>
        <v>0</v>
      </c>
      <c r="H405" s="2" t="str">
        <f>VLOOKUP(A405,'TB MAy'!A:H,8,0)</f>
        <v>Not Applicable</v>
      </c>
    </row>
    <row r="406" spans="1:8" hidden="1">
      <c r="A406" s="95" t="s">
        <v>416</v>
      </c>
      <c r="B406" s="78">
        <v>-424</v>
      </c>
      <c r="C406" s="78">
        <v>144</v>
      </c>
      <c r="D406" s="78">
        <v>14800</v>
      </c>
      <c r="E406" s="78">
        <v>-15080</v>
      </c>
      <c r="F406" s="96">
        <v>0</v>
      </c>
      <c r="G406" s="42">
        <f t="shared" si="6"/>
        <v>-15080</v>
      </c>
      <c r="H406" s="2" t="str">
        <f>VLOOKUP(A406,'TB MAy'!A:H,8,0)</f>
        <v>Not Applicable</v>
      </c>
    </row>
    <row r="407" spans="1:8" hidden="1">
      <c r="A407" s="95" t="s">
        <v>377</v>
      </c>
      <c r="B407" s="78"/>
      <c r="C407" s="78">
        <v>6422.14</v>
      </c>
      <c r="D407" s="78">
        <v>6423</v>
      </c>
      <c r="E407" s="78">
        <v>-0.86</v>
      </c>
      <c r="F407" s="96">
        <v>0</v>
      </c>
      <c r="G407" s="42">
        <f t="shared" si="6"/>
        <v>-0.86</v>
      </c>
      <c r="H407" s="2" t="str">
        <f>VLOOKUP(A407,'TB MAy'!A:H,8,0)</f>
        <v>Not Applicable</v>
      </c>
    </row>
    <row r="408" spans="1:8" hidden="1">
      <c r="A408" s="95" t="s">
        <v>382</v>
      </c>
      <c r="B408" s="78">
        <v>-150.47999999999999</v>
      </c>
      <c r="C408" s="78"/>
      <c r="D408" s="78"/>
      <c r="E408" s="78">
        <v>-150.47999999999999</v>
      </c>
      <c r="F408" s="96">
        <v>0</v>
      </c>
      <c r="G408" s="42">
        <f t="shared" si="6"/>
        <v>-150.47999999999999</v>
      </c>
      <c r="H408" s="2" t="str">
        <f>VLOOKUP(A408,'TB MAy'!A:H,8,0)</f>
        <v>Not Applicable</v>
      </c>
    </row>
    <row r="409" spans="1:8" hidden="1">
      <c r="A409" s="95" t="s">
        <v>1426</v>
      </c>
      <c r="B409" s="78">
        <v>-420</v>
      </c>
      <c r="C409" s="78">
        <v>2734</v>
      </c>
      <c r="D409" s="78">
        <v>3147</v>
      </c>
      <c r="E409" s="78">
        <v>-833</v>
      </c>
      <c r="F409" s="96">
        <v>0</v>
      </c>
      <c r="G409" s="42">
        <f t="shared" si="6"/>
        <v>-833</v>
      </c>
      <c r="H409" s="2" t="str">
        <f>VLOOKUP(A409,'TB MAy'!A:H,8,0)</f>
        <v>Not Applicable</v>
      </c>
    </row>
    <row r="410" spans="1:8" hidden="1">
      <c r="A410" s="95" t="s">
        <v>995</v>
      </c>
      <c r="B410" s="78"/>
      <c r="C410" s="78"/>
      <c r="D410" s="78"/>
      <c r="E410" s="78"/>
      <c r="F410" s="96">
        <v>0</v>
      </c>
      <c r="G410" s="42">
        <f t="shared" si="6"/>
        <v>0</v>
      </c>
      <c r="H410" s="2" t="str">
        <f>VLOOKUP(A410,'TB MAy'!A:H,8,0)</f>
        <v>Not Applicable</v>
      </c>
    </row>
    <row r="411" spans="1:8" hidden="1">
      <c r="A411" s="95" t="s">
        <v>741</v>
      </c>
      <c r="B411" s="78">
        <v>-43311</v>
      </c>
      <c r="C411" s="78">
        <v>85100</v>
      </c>
      <c r="D411" s="78">
        <v>106908</v>
      </c>
      <c r="E411" s="78">
        <v>-65119</v>
      </c>
      <c r="F411" s="96">
        <v>0</v>
      </c>
      <c r="G411" s="42">
        <f t="shared" si="6"/>
        <v>-65119</v>
      </c>
      <c r="H411" s="2" t="str">
        <f>VLOOKUP(A411,'TB MAy'!A:H,8,0)</f>
        <v>Not Applicable</v>
      </c>
    </row>
    <row r="412" spans="1:8" hidden="1">
      <c r="A412" s="95" t="s">
        <v>737</v>
      </c>
      <c r="B412" s="78"/>
      <c r="C412" s="78"/>
      <c r="D412" s="78"/>
      <c r="E412" s="78"/>
      <c r="F412" s="96">
        <v>0</v>
      </c>
      <c r="G412" s="42">
        <f t="shared" si="6"/>
        <v>0</v>
      </c>
      <c r="H412" s="2" t="s">
        <v>84</v>
      </c>
    </row>
    <row r="413" spans="1:8" hidden="1">
      <c r="A413" s="95" t="s">
        <v>1556</v>
      </c>
      <c r="B413" s="78"/>
      <c r="C413" s="78"/>
      <c r="D413" s="78">
        <v>22600</v>
      </c>
      <c r="E413" s="78">
        <v>-22600</v>
      </c>
      <c r="F413" s="96">
        <v>0</v>
      </c>
      <c r="G413" s="42">
        <f t="shared" si="6"/>
        <v>-22600</v>
      </c>
      <c r="H413" s="2" t="s">
        <v>84</v>
      </c>
    </row>
    <row r="414" spans="1:8" hidden="1">
      <c r="A414" s="95" t="s">
        <v>676</v>
      </c>
      <c r="B414" s="78">
        <v>-8821</v>
      </c>
      <c r="C414" s="78">
        <v>8821</v>
      </c>
      <c r="D414" s="78">
        <v>3245</v>
      </c>
      <c r="E414" s="78">
        <v>-3245</v>
      </c>
      <c r="F414" s="96">
        <v>0</v>
      </c>
      <c r="G414" s="42">
        <f t="shared" si="6"/>
        <v>-3245</v>
      </c>
      <c r="H414" s="2" t="str">
        <f>VLOOKUP(A414,'TB MAy'!A:H,8,0)</f>
        <v>Not Applicable</v>
      </c>
    </row>
    <row r="415" spans="1:8" hidden="1">
      <c r="A415" s="95" t="s">
        <v>729</v>
      </c>
      <c r="B415" s="78">
        <v>-25095</v>
      </c>
      <c r="C415" s="78"/>
      <c r="D415" s="78">
        <v>14910</v>
      </c>
      <c r="E415" s="78">
        <v>-40005</v>
      </c>
      <c r="F415" s="96">
        <v>0</v>
      </c>
      <c r="G415" s="42">
        <f t="shared" si="6"/>
        <v>-40005</v>
      </c>
      <c r="H415" s="2" t="str">
        <f>VLOOKUP(A415,'TB MAy'!A:H,8,0)</f>
        <v>Not Applicable</v>
      </c>
    </row>
    <row r="416" spans="1:8" hidden="1">
      <c r="A416" s="95" t="s">
        <v>1427</v>
      </c>
      <c r="B416" s="78"/>
      <c r="C416" s="78">
        <v>10537</v>
      </c>
      <c r="D416" s="78">
        <v>10537</v>
      </c>
      <c r="E416" s="78"/>
      <c r="F416" s="96">
        <v>0</v>
      </c>
      <c r="G416" s="42">
        <f t="shared" si="6"/>
        <v>0</v>
      </c>
      <c r="H416" s="2" t="str">
        <f>VLOOKUP(A416,'TB MAy'!A:H,8,0)</f>
        <v>Not Applicable</v>
      </c>
    </row>
    <row r="417" spans="1:8" hidden="1">
      <c r="A417" s="95" t="s">
        <v>731</v>
      </c>
      <c r="B417" s="78"/>
      <c r="C417" s="78"/>
      <c r="D417" s="78">
        <v>4750</v>
      </c>
      <c r="E417" s="78">
        <v>-4750</v>
      </c>
      <c r="F417" s="96">
        <v>0</v>
      </c>
      <c r="G417" s="42">
        <f t="shared" ref="G417:G480" si="7">+E417+F417</f>
        <v>-4750</v>
      </c>
      <c r="H417" s="2" t="s">
        <v>84</v>
      </c>
    </row>
    <row r="418" spans="1:8" hidden="1">
      <c r="A418" s="95" t="s">
        <v>1512</v>
      </c>
      <c r="B418" s="78"/>
      <c r="C418" s="78">
        <v>1411</v>
      </c>
      <c r="D418" s="78">
        <v>1411</v>
      </c>
      <c r="E418" s="78"/>
      <c r="F418" s="96">
        <v>0</v>
      </c>
      <c r="G418" s="42">
        <f t="shared" si="7"/>
        <v>0</v>
      </c>
      <c r="H418" s="2" t="str">
        <f>VLOOKUP(A418,'TB MAy'!A:H,8,0)</f>
        <v>Not Applicable</v>
      </c>
    </row>
    <row r="419" spans="1:8" hidden="1">
      <c r="A419" s="95" t="s">
        <v>727</v>
      </c>
      <c r="B419" s="78">
        <v>-79852.479999999996</v>
      </c>
      <c r="C419" s="78">
        <v>380886.3</v>
      </c>
      <c r="D419" s="78">
        <v>497697.82</v>
      </c>
      <c r="E419" s="78">
        <v>-196664</v>
      </c>
      <c r="F419" s="96">
        <v>0</v>
      </c>
      <c r="G419" s="42">
        <f t="shared" si="7"/>
        <v>-196664</v>
      </c>
      <c r="H419" s="2" t="str">
        <f>VLOOKUP(A419,'TB MAy'!A:H,8,0)</f>
        <v>Not Applicable</v>
      </c>
    </row>
    <row r="420" spans="1:8" hidden="1">
      <c r="A420" s="95" t="s">
        <v>1428</v>
      </c>
      <c r="B420" s="78">
        <v>2078.34</v>
      </c>
      <c r="C420" s="78"/>
      <c r="D420" s="78"/>
      <c r="E420" s="78">
        <v>2078.34</v>
      </c>
      <c r="F420" s="96">
        <v>0</v>
      </c>
      <c r="G420" s="42">
        <f t="shared" si="7"/>
        <v>2078.34</v>
      </c>
      <c r="H420" s="2" t="str">
        <f>VLOOKUP(A420,'TB MAy'!A:H,8,0)</f>
        <v>Not Applicable</v>
      </c>
    </row>
    <row r="421" spans="1:8" hidden="1">
      <c r="A421" s="95" t="s">
        <v>726</v>
      </c>
      <c r="B421" s="78">
        <v>-524510</v>
      </c>
      <c r="C421" s="78"/>
      <c r="D421" s="78"/>
      <c r="E421" s="78">
        <v>-524510</v>
      </c>
      <c r="F421" s="96">
        <v>0</v>
      </c>
      <c r="G421" s="42">
        <f t="shared" si="7"/>
        <v>-524510</v>
      </c>
      <c r="H421" s="2" t="str">
        <f>VLOOKUP(A421,'TB MAy'!A:H,8,0)</f>
        <v>Not Applicable</v>
      </c>
    </row>
    <row r="422" spans="1:8" hidden="1">
      <c r="A422" s="95" t="s">
        <v>1331</v>
      </c>
      <c r="B422" s="78">
        <v>-670</v>
      </c>
      <c r="C422" s="78"/>
      <c r="D422" s="78"/>
      <c r="E422" s="78">
        <v>-670</v>
      </c>
      <c r="F422" s="96">
        <v>0</v>
      </c>
      <c r="G422" s="42">
        <f t="shared" si="7"/>
        <v>-670</v>
      </c>
      <c r="H422" s="2" t="str">
        <f>VLOOKUP(A422,'TB MAy'!A:H,8,0)</f>
        <v>Not Applicable</v>
      </c>
    </row>
    <row r="423" spans="1:8" hidden="1">
      <c r="A423" s="95" t="s">
        <v>1317</v>
      </c>
      <c r="B423" s="78">
        <v>-1000252</v>
      </c>
      <c r="C423" s="78">
        <v>2048649</v>
      </c>
      <c r="D423" s="78">
        <v>1048397</v>
      </c>
      <c r="E423" s="78"/>
      <c r="F423" s="96">
        <v>0</v>
      </c>
      <c r="G423" s="42">
        <f t="shared" si="7"/>
        <v>0</v>
      </c>
      <c r="H423" s="2" t="str">
        <f>VLOOKUP(A423,'TB MAy'!A:H,8,0)</f>
        <v>Not Applicable</v>
      </c>
    </row>
    <row r="424" spans="1:8" hidden="1">
      <c r="A424" s="95" t="s">
        <v>714</v>
      </c>
      <c r="B424" s="78"/>
      <c r="C424" s="78">
        <v>129210</v>
      </c>
      <c r="D424" s="78">
        <v>129210</v>
      </c>
      <c r="E424" s="78"/>
      <c r="F424" s="96">
        <v>0</v>
      </c>
      <c r="G424" s="42">
        <f t="shared" si="7"/>
        <v>0</v>
      </c>
      <c r="H424" s="2" t="str">
        <f>VLOOKUP(A424,'TB MAy'!A:H,8,0)</f>
        <v>Not Applicable</v>
      </c>
    </row>
    <row r="425" spans="1:8" hidden="1">
      <c r="A425" s="95" t="s">
        <v>722</v>
      </c>
      <c r="B425" s="78"/>
      <c r="C425" s="78">
        <v>2962</v>
      </c>
      <c r="D425" s="78">
        <v>2962</v>
      </c>
      <c r="E425" s="78"/>
      <c r="F425" s="96">
        <v>0</v>
      </c>
      <c r="G425" s="42">
        <f t="shared" si="7"/>
        <v>0</v>
      </c>
      <c r="H425" s="2" t="str">
        <f>VLOOKUP(A425,'TB MAy'!A:H,8,0)</f>
        <v>Not Applicable</v>
      </c>
    </row>
    <row r="426" spans="1:8" hidden="1">
      <c r="A426" s="95" t="s">
        <v>1429</v>
      </c>
      <c r="B426" s="78"/>
      <c r="C426" s="78">
        <v>22420</v>
      </c>
      <c r="D426" s="78">
        <v>26668</v>
      </c>
      <c r="E426" s="78">
        <v>-4248</v>
      </c>
      <c r="F426" s="96">
        <v>0</v>
      </c>
      <c r="G426" s="42">
        <f t="shared" si="7"/>
        <v>-4248</v>
      </c>
      <c r="H426" s="2" t="str">
        <f>VLOOKUP(A426,'TB MAy'!A:H,8,0)</f>
        <v>Not Applicable</v>
      </c>
    </row>
    <row r="427" spans="1:8" hidden="1">
      <c r="A427" s="95" t="s">
        <v>723</v>
      </c>
      <c r="B427" s="78">
        <v>-38457</v>
      </c>
      <c r="C427" s="78">
        <v>39763</v>
      </c>
      <c r="D427" s="78">
        <v>90934.32</v>
      </c>
      <c r="E427" s="78">
        <v>-89628.32</v>
      </c>
      <c r="F427" s="96">
        <v>0</v>
      </c>
      <c r="G427" s="42">
        <f t="shared" si="7"/>
        <v>-89628.32</v>
      </c>
      <c r="H427" s="2" t="str">
        <f>VLOOKUP(A427,'TB MAy'!A:H,8,0)</f>
        <v>Not Applicable</v>
      </c>
    </row>
    <row r="428" spans="1:8" hidden="1">
      <c r="A428" s="95" t="s">
        <v>1430</v>
      </c>
      <c r="B428" s="78"/>
      <c r="C428" s="78"/>
      <c r="D428" s="78"/>
      <c r="E428" s="78"/>
      <c r="F428" s="96">
        <v>0</v>
      </c>
      <c r="G428" s="42">
        <f t="shared" si="7"/>
        <v>0</v>
      </c>
      <c r="H428" s="2" t="str">
        <f>VLOOKUP(A428,'TB MAy'!A:H,8,0)</f>
        <v>Not Applicable</v>
      </c>
    </row>
    <row r="429" spans="1:8" hidden="1">
      <c r="A429" s="95" t="s">
        <v>724</v>
      </c>
      <c r="B429" s="78">
        <v>-14491.4</v>
      </c>
      <c r="C429" s="78"/>
      <c r="D429" s="78"/>
      <c r="E429" s="78">
        <v>-14491.4</v>
      </c>
      <c r="F429" s="96">
        <v>0</v>
      </c>
      <c r="G429" s="42">
        <f t="shared" si="7"/>
        <v>-14491.4</v>
      </c>
      <c r="H429" s="2" t="str">
        <f>VLOOKUP(A429,'TB MAy'!A:H,8,0)</f>
        <v>Not Applicable</v>
      </c>
    </row>
    <row r="430" spans="1:8" hidden="1">
      <c r="A430" s="95" t="s">
        <v>1005</v>
      </c>
      <c r="B430" s="78"/>
      <c r="C430" s="78"/>
      <c r="D430" s="78"/>
      <c r="E430" s="78"/>
      <c r="F430" s="96">
        <v>0</v>
      </c>
      <c r="G430" s="42">
        <f t="shared" si="7"/>
        <v>0</v>
      </c>
      <c r="H430" s="2" t="str">
        <f>VLOOKUP(A430,'TB MAy'!A:H,8,0)</f>
        <v>Not Applicable</v>
      </c>
    </row>
    <row r="431" spans="1:8" hidden="1">
      <c r="A431" s="95" t="s">
        <v>1257</v>
      </c>
      <c r="B431" s="78">
        <v>20060</v>
      </c>
      <c r="C431" s="78"/>
      <c r="D431" s="78"/>
      <c r="E431" s="78">
        <v>20060</v>
      </c>
      <c r="F431" s="96">
        <v>0</v>
      </c>
      <c r="G431" s="42">
        <f t="shared" si="7"/>
        <v>20060</v>
      </c>
      <c r="H431" s="2" t="str">
        <f>VLOOKUP(A431,'TB MAy'!A:H,8,0)</f>
        <v>Not Applicable</v>
      </c>
    </row>
    <row r="432" spans="1:8" hidden="1">
      <c r="A432" s="95" t="s">
        <v>719</v>
      </c>
      <c r="B432" s="78">
        <v>-215896.93</v>
      </c>
      <c r="C432" s="78">
        <v>1118119</v>
      </c>
      <c r="D432" s="78">
        <v>1063702</v>
      </c>
      <c r="E432" s="78">
        <v>-161479.93</v>
      </c>
      <c r="F432" s="96">
        <v>0</v>
      </c>
      <c r="G432" s="42">
        <f t="shared" si="7"/>
        <v>-161479.93</v>
      </c>
      <c r="H432" s="2" t="str">
        <f>VLOOKUP(A432,'TB MAy'!A:H,8,0)</f>
        <v>Not Applicable</v>
      </c>
    </row>
    <row r="433" spans="1:8" hidden="1">
      <c r="A433" s="95" t="s">
        <v>720</v>
      </c>
      <c r="B433" s="78"/>
      <c r="C433" s="78"/>
      <c r="D433" s="78"/>
      <c r="E433" s="78"/>
      <c r="F433" s="96">
        <v>0</v>
      </c>
      <c r="G433" s="42">
        <f t="shared" si="7"/>
        <v>0</v>
      </c>
      <c r="H433" s="2" t="str">
        <f>VLOOKUP(A433,'TB MAy'!A:H,8,0)</f>
        <v>Not Applicable</v>
      </c>
    </row>
    <row r="434" spans="1:8" hidden="1">
      <c r="A434" s="95" t="s">
        <v>713</v>
      </c>
      <c r="B434" s="78">
        <v>-6066</v>
      </c>
      <c r="C434" s="78">
        <v>6066</v>
      </c>
      <c r="D434" s="78"/>
      <c r="E434" s="78"/>
      <c r="F434" s="96">
        <v>0</v>
      </c>
      <c r="G434" s="42">
        <f t="shared" si="7"/>
        <v>0</v>
      </c>
      <c r="H434" s="2" t="str">
        <f>VLOOKUP(A434,'TB MAy'!A:H,8,0)</f>
        <v>Not Applicable</v>
      </c>
    </row>
    <row r="435" spans="1:8" hidden="1">
      <c r="A435" s="95" t="s">
        <v>700</v>
      </c>
      <c r="B435" s="78"/>
      <c r="C435" s="78">
        <v>1121</v>
      </c>
      <c r="D435" s="78">
        <v>1121</v>
      </c>
      <c r="E435" s="78"/>
      <c r="F435" s="96">
        <v>0</v>
      </c>
      <c r="G435" s="42">
        <f t="shared" si="7"/>
        <v>0</v>
      </c>
      <c r="H435" s="2" t="str">
        <f>VLOOKUP(A435,'TB MAy'!A:H,8,0)</f>
        <v>Not Applicable</v>
      </c>
    </row>
    <row r="436" spans="1:8" hidden="1">
      <c r="A436" s="95" t="s">
        <v>701</v>
      </c>
      <c r="B436" s="78">
        <v>-0.8</v>
      </c>
      <c r="C436" s="78"/>
      <c r="D436" s="78">
        <v>9888</v>
      </c>
      <c r="E436" s="78">
        <v>-9888.7999999999993</v>
      </c>
      <c r="F436" s="96">
        <v>0</v>
      </c>
      <c r="G436" s="42">
        <f t="shared" si="7"/>
        <v>-9888.7999999999993</v>
      </c>
      <c r="H436" s="2" t="str">
        <f>VLOOKUP(A436,'TB MAy'!A:H,8,0)</f>
        <v>Not Applicable</v>
      </c>
    </row>
    <row r="437" spans="1:8" hidden="1">
      <c r="A437" s="95" t="s">
        <v>987</v>
      </c>
      <c r="B437" s="78"/>
      <c r="C437" s="78">
        <v>17700</v>
      </c>
      <c r="D437" s="78">
        <v>17700</v>
      </c>
      <c r="E437" s="78"/>
      <c r="F437" s="96">
        <v>0</v>
      </c>
      <c r="G437" s="42">
        <f t="shared" si="7"/>
        <v>0</v>
      </c>
      <c r="H437" s="2" t="str">
        <f>VLOOKUP(A437,'TB MAy'!A:H,8,0)</f>
        <v>Not Applicable</v>
      </c>
    </row>
    <row r="438" spans="1:8" hidden="1">
      <c r="A438" s="95" t="s">
        <v>1431</v>
      </c>
      <c r="B438" s="78"/>
      <c r="C438" s="78">
        <v>15258</v>
      </c>
      <c r="D438" s="78">
        <v>15258</v>
      </c>
      <c r="E438" s="78"/>
      <c r="F438" s="96">
        <v>0</v>
      </c>
      <c r="G438" s="42">
        <f t="shared" si="7"/>
        <v>0</v>
      </c>
      <c r="H438" s="2" t="str">
        <f>VLOOKUP(A438,'TB MAy'!A:H,8,0)</f>
        <v>Not Applicable</v>
      </c>
    </row>
    <row r="439" spans="1:8" hidden="1">
      <c r="A439" s="95" t="s">
        <v>679</v>
      </c>
      <c r="B439" s="78">
        <v>-35156.6</v>
      </c>
      <c r="C439" s="78">
        <v>41795.599999999999</v>
      </c>
      <c r="D439" s="78">
        <v>14042</v>
      </c>
      <c r="E439" s="78">
        <v>-7403</v>
      </c>
      <c r="F439" s="96">
        <v>0</v>
      </c>
      <c r="G439" s="42">
        <f t="shared" si="7"/>
        <v>-7403</v>
      </c>
      <c r="H439" s="2" t="str">
        <f>VLOOKUP(A439,'TB MAy'!A:H,8,0)</f>
        <v>Not Applicable</v>
      </c>
    </row>
    <row r="440" spans="1:8" hidden="1">
      <c r="A440" s="95" t="s">
        <v>680</v>
      </c>
      <c r="B440" s="78">
        <v>-222313</v>
      </c>
      <c r="C440" s="78">
        <v>264351</v>
      </c>
      <c r="D440" s="78">
        <v>245939</v>
      </c>
      <c r="E440" s="78">
        <v>-203901</v>
      </c>
      <c r="F440" s="96">
        <v>0</v>
      </c>
      <c r="G440" s="42">
        <f t="shared" si="7"/>
        <v>-203901</v>
      </c>
      <c r="H440" s="2" t="str">
        <f>VLOOKUP(A440,'TB MAy'!A:H,8,0)</f>
        <v>Not Applicable</v>
      </c>
    </row>
    <row r="441" spans="1:8" hidden="1">
      <c r="A441" s="95" t="s">
        <v>1432</v>
      </c>
      <c r="B441" s="78">
        <v>-9048</v>
      </c>
      <c r="C441" s="78">
        <v>9048</v>
      </c>
      <c r="D441" s="78"/>
      <c r="E441" s="78"/>
      <c r="F441" s="96">
        <v>0</v>
      </c>
      <c r="G441" s="42">
        <f t="shared" si="7"/>
        <v>0</v>
      </c>
      <c r="H441" s="2" t="str">
        <f>VLOOKUP(A441,'TB MAy'!A:H,8,0)</f>
        <v>Not Applicable</v>
      </c>
    </row>
    <row r="442" spans="1:8" hidden="1">
      <c r="A442" s="95" t="s">
        <v>706</v>
      </c>
      <c r="B442" s="78"/>
      <c r="C442" s="78"/>
      <c r="D442" s="78"/>
      <c r="E442" s="78"/>
      <c r="F442" s="96">
        <v>0</v>
      </c>
      <c r="G442" s="42">
        <f t="shared" si="7"/>
        <v>0</v>
      </c>
      <c r="H442" s="2" t="str">
        <f>VLOOKUP(A442,'TB MAy'!A:H,8,0)</f>
        <v>Not Applicable</v>
      </c>
    </row>
    <row r="443" spans="1:8" hidden="1">
      <c r="A443" s="95" t="s">
        <v>707</v>
      </c>
      <c r="B443" s="78">
        <v>-4776</v>
      </c>
      <c r="C443" s="78">
        <v>4776</v>
      </c>
      <c r="D443" s="78"/>
      <c r="E443" s="78"/>
      <c r="F443" s="96">
        <v>0</v>
      </c>
      <c r="G443" s="42">
        <f t="shared" si="7"/>
        <v>0</v>
      </c>
      <c r="H443" s="2" t="str">
        <f>VLOOKUP(A443,'TB MAy'!A:H,8,0)</f>
        <v>Not Applicable</v>
      </c>
    </row>
    <row r="444" spans="1:8" hidden="1">
      <c r="A444" s="95" t="s">
        <v>708</v>
      </c>
      <c r="B444" s="78">
        <v>-85570</v>
      </c>
      <c r="C444" s="78">
        <v>121734</v>
      </c>
      <c r="D444" s="78">
        <v>46142</v>
      </c>
      <c r="E444" s="78">
        <v>-9978</v>
      </c>
      <c r="F444" s="96">
        <v>0</v>
      </c>
      <c r="G444" s="42">
        <f t="shared" si="7"/>
        <v>-9978</v>
      </c>
      <c r="H444" s="2" t="str">
        <f>VLOOKUP(A444,'TB MAy'!A:H,8,0)</f>
        <v>Not Applicable</v>
      </c>
    </row>
    <row r="445" spans="1:8" hidden="1">
      <c r="A445" s="95" t="s">
        <v>710</v>
      </c>
      <c r="B445" s="78">
        <v>-11033</v>
      </c>
      <c r="C445" s="78"/>
      <c r="D445" s="78"/>
      <c r="E445" s="78">
        <v>-11033</v>
      </c>
      <c r="F445" s="96">
        <v>0</v>
      </c>
      <c r="G445" s="42">
        <f t="shared" si="7"/>
        <v>-11033</v>
      </c>
      <c r="H445" s="2" t="str">
        <f>VLOOKUP(A445,'TB MAy'!A:H,8,0)</f>
        <v>Not Applicable</v>
      </c>
    </row>
    <row r="446" spans="1:8" hidden="1">
      <c r="A446" s="95" t="s">
        <v>697</v>
      </c>
      <c r="B446" s="78">
        <v>-0.2</v>
      </c>
      <c r="C446" s="78"/>
      <c r="D446" s="78"/>
      <c r="E446" s="78">
        <v>-0.2</v>
      </c>
      <c r="F446" s="96">
        <v>0</v>
      </c>
      <c r="G446" s="42">
        <f t="shared" si="7"/>
        <v>-0.2</v>
      </c>
      <c r="H446" s="2" t="str">
        <f>VLOOKUP(A446,'TB MAy'!A:H,8,0)</f>
        <v>Not Applicable</v>
      </c>
    </row>
    <row r="447" spans="1:8" hidden="1">
      <c r="A447" s="95" t="s">
        <v>1557</v>
      </c>
      <c r="B447" s="78"/>
      <c r="C447" s="78">
        <v>37760</v>
      </c>
      <c r="D447" s="78">
        <v>37760</v>
      </c>
      <c r="E447" s="78"/>
      <c r="F447" s="96">
        <v>0</v>
      </c>
      <c r="G447" s="42">
        <f t="shared" si="7"/>
        <v>0</v>
      </c>
      <c r="H447" s="2" t="s">
        <v>84</v>
      </c>
    </row>
    <row r="448" spans="1:8" hidden="1">
      <c r="A448" s="95" t="s">
        <v>682</v>
      </c>
      <c r="B448" s="78"/>
      <c r="C448" s="78">
        <v>10997.6</v>
      </c>
      <c r="D448" s="78">
        <v>10997.6</v>
      </c>
      <c r="E448" s="78"/>
      <c r="F448" s="96">
        <v>0</v>
      </c>
      <c r="G448" s="42">
        <f t="shared" si="7"/>
        <v>0</v>
      </c>
      <c r="H448" s="2" t="str">
        <f>VLOOKUP(A448,'TB MAy'!A:H,8,0)</f>
        <v>Not Applicable</v>
      </c>
    </row>
    <row r="449" spans="1:8" hidden="1">
      <c r="A449" s="95" t="s">
        <v>678</v>
      </c>
      <c r="B449" s="78">
        <v>-9842</v>
      </c>
      <c r="C449" s="78">
        <v>12261</v>
      </c>
      <c r="D449" s="78">
        <v>2419</v>
      </c>
      <c r="E449" s="78"/>
      <c r="F449" s="96">
        <v>0</v>
      </c>
      <c r="G449" s="42">
        <f t="shared" si="7"/>
        <v>0</v>
      </c>
      <c r="H449" s="2" t="str">
        <f>VLOOKUP(A449,'TB MAy'!A:H,8,0)</f>
        <v>Not Applicable</v>
      </c>
    </row>
    <row r="450" spans="1:8" hidden="1">
      <c r="A450" s="95" t="s">
        <v>675</v>
      </c>
      <c r="B450" s="78">
        <v>-615888</v>
      </c>
      <c r="C450" s="78">
        <v>1218255</v>
      </c>
      <c r="D450" s="78">
        <v>838839</v>
      </c>
      <c r="E450" s="78">
        <v>-236472</v>
      </c>
      <c r="F450" s="96">
        <v>0</v>
      </c>
      <c r="G450" s="42">
        <f t="shared" si="7"/>
        <v>-236472</v>
      </c>
      <c r="H450" s="2" t="str">
        <f>VLOOKUP(A450,'TB MAy'!A:H,8,0)</f>
        <v>Not Applicable</v>
      </c>
    </row>
    <row r="451" spans="1:8" hidden="1">
      <c r="A451" s="95" t="s">
        <v>670</v>
      </c>
      <c r="B451" s="78">
        <v>-376908</v>
      </c>
      <c r="C451" s="78">
        <v>88187</v>
      </c>
      <c r="D451" s="78">
        <v>48696</v>
      </c>
      <c r="E451" s="78">
        <v>-337417</v>
      </c>
      <c r="F451" s="96">
        <v>0</v>
      </c>
      <c r="G451" s="42">
        <f t="shared" si="7"/>
        <v>-337417</v>
      </c>
      <c r="H451" s="2" t="str">
        <f>VLOOKUP(A451,'TB MAy'!A:H,8,0)</f>
        <v>Not Applicable</v>
      </c>
    </row>
    <row r="452" spans="1:8" hidden="1">
      <c r="A452" s="95" t="s">
        <v>671</v>
      </c>
      <c r="B452" s="78">
        <v>-529509.01</v>
      </c>
      <c r="C452" s="78">
        <v>252291</v>
      </c>
      <c r="D452" s="78">
        <v>104080</v>
      </c>
      <c r="E452" s="78">
        <v>-381298.01</v>
      </c>
      <c r="F452" s="96">
        <v>0</v>
      </c>
      <c r="G452" s="42">
        <f t="shared" si="7"/>
        <v>-381298.01</v>
      </c>
      <c r="H452" s="2" t="str">
        <f>VLOOKUP(A452,'TB MAy'!A:H,8,0)</f>
        <v>Not Applicable</v>
      </c>
    </row>
    <row r="453" spans="1:8" hidden="1">
      <c r="A453" s="95" t="s">
        <v>672</v>
      </c>
      <c r="B453" s="78">
        <v>-759069.8</v>
      </c>
      <c r="C453" s="78">
        <v>285155</v>
      </c>
      <c r="D453" s="78">
        <v>295099</v>
      </c>
      <c r="E453" s="78">
        <v>-769013.8</v>
      </c>
      <c r="F453" s="96">
        <v>0</v>
      </c>
      <c r="G453" s="42">
        <f t="shared" si="7"/>
        <v>-769013.8</v>
      </c>
      <c r="H453" s="2" t="str">
        <f>VLOOKUP(A453,'TB MAy'!A:H,8,0)</f>
        <v>Not Applicable</v>
      </c>
    </row>
    <row r="454" spans="1:8" hidden="1">
      <c r="A454" s="95" t="s">
        <v>677</v>
      </c>
      <c r="B454" s="78">
        <v>-8083</v>
      </c>
      <c r="C454" s="78">
        <v>13464</v>
      </c>
      <c r="D454" s="78">
        <v>27919</v>
      </c>
      <c r="E454" s="78">
        <v>-22538</v>
      </c>
      <c r="F454" s="96">
        <v>0</v>
      </c>
      <c r="G454" s="42">
        <f t="shared" si="7"/>
        <v>-22538</v>
      </c>
      <c r="H454" s="2" t="str">
        <f>VLOOKUP(A454,'TB MAy'!A:H,8,0)</f>
        <v>Not Applicable</v>
      </c>
    </row>
    <row r="455" spans="1:8" hidden="1">
      <c r="A455" s="95" t="s">
        <v>1433</v>
      </c>
      <c r="B455" s="78">
        <v>-1</v>
      </c>
      <c r="C455" s="78"/>
      <c r="D455" s="78"/>
      <c r="E455" s="78">
        <v>-1</v>
      </c>
      <c r="F455" s="96">
        <v>0</v>
      </c>
      <c r="G455" s="42">
        <f t="shared" si="7"/>
        <v>-1</v>
      </c>
      <c r="H455" s="2" t="str">
        <f>VLOOKUP(A455,'TB MAy'!A:H,8,0)</f>
        <v>Not Applicable</v>
      </c>
    </row>
    <row r="456" spans="1:8" hidden="1">
      <c r="A456" s="95" t="s">
        <v>1259</v>
      </c>
      <c r="B456" s="78">
        <v>3</v>
      </c>
      <c r="C456" s="78"/>
      <c r="D456" s="78"/>
      <c r="E456" s="78">
        <v>3</v>
      </c>
      <c r="F456" s="96">
        <v>0</v>
      </c>
      <c r="G456" s="42">
        <f t="shared" si="7"/>
        <v>3</v>
      </c>
      <c r="H456" s="2" t="str">
        <f>VLOOKUP(A456,'TB MAy'!A:H,8,0)</f>
        <v>Not Applicable</v>
      </c>
    </row>
    <row r="457" spans="1:8" hidden="1">
      <c r="A457" s="95" t="s">
        <v>1287</v>
      </c>
      <c r="B457" s="78">
        <v>-1684</v>
      </c>
      <c r="C457" s="78">
        <v>2852</v>
      </c>
      <c r="D457" s="78">
        <v>1168</v>
      </c>
      <c r="E457" s="78"/>
      <c r="F457" s="96">
        <v>0</v>
      </c>
      <c r="G457" s="42">
        <f t="shared" si="7"/>
        <v>0</v>
      </c>
      <c r="H457" s="2" t="str">
        <f>VLOOKUP(A457,'TB MAy'!A:H,8,0)</f>
        <v>Not Applicable</v>
      </c>
    </row>
    <row r="458" spans="1:8" hidden="1">
      <c r="A458" s="95" t="s">
        <v>1310</v>
      </c>
      <c r="B458" s="78"/>
      <c r="C458" s="78"/>
      <c r="D458" s="78"/>
      <c r="E458" s="78"/>
      <c r="F458" s="96">
        <v>0</v>
      </c>
      <c r="G458" s="42">
        <f t="shared" si="7"/>
        <v>0</v>
      </c>
      <c r="H458" s="2" t="str">
        <f>VLOOKUP(A458,'TB MAy'!A:H,8,0)</f>
        <v>Not Applicable</v>
      </c>
    </row>
    <row r="459" spans="1:8" hidden="1">
      <c r="A459" s="95" t="s">
        <v>1159</v>
      </c>
      <c r="B459" s="78"/>
      <c r="C459" s="78"/>
      <c r="D459" s="78">
        <v>53100</v>
      </c>
      <c r="E459" s="78">
        <v>-53100</v>
      </c>
      <c r="F459" s="96">
        <v>0</v>
      </c>
      <c r="G459" s="42">
        <f t="shared" si="7"/>
        <v>-53100</v>
      </c>
      <c r="H459" s="2" t="s">
        <v>84</v>
      </c>
    </row>
    <row r="460" spans="1:8" hidden="1">
      <c r="A460" s="95" t="s">
        <v>662</v>
      </c>
      <c r="B460" s="78">
        <v>-69292</v>
      </c>
      <c r="C460" s="78">
        <v>83453</v>
      </c>
      <c r="D460" s="78">
        <v>34904</v>
      </c>
      <c r="E460" s="78">
        <v>-20743</v>
      </c>
      <c r="F460" s="96">
        <v>0</v>
      </c>
      <c r="G460" s="42">
        <f t="shared" si="7"/>
        <v>-20743</v>
      </c>
      <c r="H460" s="2" t="str">
        <f>VLOOKUP(A460,'TB MAy'!A:H,8,0)</f>
        <v>Not Applicable</v>
      </c>
    </row>
    <row r="461" spans="1:8" hidden="1">
      <c r="A461" s="95" t="s">
        <v>862</v>
      </c>
      <c r="B461" s="78">
        <v>34.36</v>
      </c>
      <c r="C461" s="78"/>
      <c r="D461" s="78"/>
      <c r="E461" s="78">
        <v>34.36</v>
      </c>
      <c r="F461" s="96">
        <v>0</v>
      </c>
      <c r="G461" s="42">
        <f t="shared" si="7"/>
        <v>34.36</v>
      </c>
      <c r="H461" s="2" t="str">
        <f>VLOOKUP(A461,'TB MAy'!A:H,8,0)</f>
        <v>Not Applicable</v>
      </c>
    </row>
    <row r="462" spans="1:8" hidden="1">
      <c r="A462" s="95" t="s">
        <v>1434</v>
      </c>
      <c r="B462" s="78">
        <v>10683.33</v>
      </c>
      <c r="C462" s="78">
        <v>2596</v>
      </c>
      <c r="D462" s="78">
        <v>708</v>
      </c>
      <c r="E462" s="78">
        <v>12571.33</v>
      </c>
      <c r="F462" s="96">
        <v>0</v>
      </c>
      <c r="G462" s="42">
        <f t="shared" si="7"/>
        <v>12571.33</v>
      </c>
      <c r="H462" s="2" t="str">
        <f>VLOOKUP(A462,'TB MAy'!A:H,8,0)</f>
        <v>Not Applicable</v>
      </c>
    </row>
    <row r="463" spans="1:8" hidden="1">
      <c r="A463" s="95" t="s">
        <v>648</v>
      </c>
      <c r="B463" s="78">
        <v>-4886</v>
      </c>
      <c r="C463" s="78">
        <v>3983</v>
      </c>
      <c r="D463" s="78">
        <v>10886</v>
      </c>
      <c r="E463" s="78">
        <v>-11789</v>
      </c>
      <c r="F463" s="96">
        <v>0</v>
      </c>
      <c r="G463" s="42">
        <f t="shared" si="7"/>
        <v>-11789</v>
      </c>
      <c r="H463" s="2" t="str">
        <f>VLOOKUP(A463,'TB MAy'!A:H,8,0)</f>
        <v>Not Applicable</v>
      </c>
    </row>
    <row r="464" spans="1:8" hidden="1">
      <c r="A464" s="95" t="s">
        <v>1160</v>
      </c>
      <c r="B464" s="78">
        <v>-36014</v>
      </c>
      <c r="C464" s="78">
        <v>62505</v>
      </c>
      <c r="D464" s="78">
        <v>53100</v>
      </c>
      <c r="E464" s="78">
        <v>-26609</v>
      </c>
      <c r="F464" s="96">
        <v>0</v>
      </c>
      <c r="G464" s="42">
        <f t="shared" si="7"/>
        <v>-26609</v>
      </c>
      <c r="H464" s="2" t="str">
        <f>VLOOKUP(A464,'TB MAy'!A:H,8,0)</f>
        <v>Not Applicable</v>
      </c>
    </row>
    <row r="465" spans="1:8" hidden="1">
      <c r="A465" s="95" t="s">
        <v>641</v>
      </c>
      <c r="B465" s="78"/>
      <c r="C465" s="78">
        <v>166162.5</v>
      </c>
      <c r="D465" s="78">
        <v>581931</v>
      </c>
      <c r="E465" s="78">
        <v>-415768.5</v>
      </c>
      <c r="F465" s="96">
        <v>0</v>
      </c>
      <c r="G465" s="42">
        <f t="shared" si="7"/>
        <v>-415768.5</v>
      </c>
      <c r="H465" s="2" t="str">
        <f>VLOOKUP(A465,'TB MAy'!A:H,8,0)</f>
        <v>Not Applicable</v>
      </c>
    </row>
    <row r="466" spans="1:8" hidden="1">
      <c r="A466" s="95" t="s">
        <v>1558</v>
      </c>
      <c r="B466" s="78"/>
      <c r="C466" s="78">
        <v>385</v>
      </c>
      <c r="D466" s="78">
        <v>45430</v>
      </c>
      <c r="E466" s="78">
        <v>-45045</v>
      </c>
      <c r="F466" s="96">
        <v>0</v>
      </c>
      <c r="G466" s="42">
        <f t="shared" si="7"/>
        <v>-45045</v>
      </c>
      <c r="H466" s="2" t="s">
        <v>84</v>
      </c>
    </row>
    <row r="467" spans="1:8" hidden="1">
      <c r="A467" s="95" t="s">
        <v>1435</v>
      </c>
      <c r="B467" s="78"/>
      <c r="C467" s="78"/>
      <c r="D467" s="78"/>
      <c r="E467" s="78"/>
      <c r="F467" s="96">
        <v>0</v>
      </c>
      <c r="G467" s="42">
        <f t="shared" si="7"/>
        <v>0</v>
      </c>
      <c r="H467" s="2" t="str">
        <f>VLOOKUP(A467,'TB MAy'!A:H,8,0)</f>
        <v>Not Applicable</v>
      </c>
    </row>
    <row r="468" spans="1:8" hidden="1">
      <c r="A468" s="95" t="s">
        <v>639</v>
      </c>
      <c r="B468" s="78"/>
      <c r="C468" s="78"/>
      <c r="D468" s="78"/>
      <c r="E468" s="78"/>
      <c r="F468" s="96">
        <v>0</v>
      </c>
      <c r="G468" s="42">
        <f t="shared" si="7"/>
        <v>0</v>
      </c>
      <c r="H468" s="2" t="str">
        <f>VLOOKUP(A468,'TB MAy'!A:H,8,0)</f>
        <v>Not Applicable</v>
      </c>
    </row>
    <row r="469" spans="1:8" hidden="1">
      <c r="A469" s="95" t="s">
        <v>1513</v>
      </c>
      <c r="B469" s="78"/>
      <c r="C469" s="78"/>
      <c r="D469" s="78"/>
      <c r="E469" s="78"/>
      <c r="F469" s="96">
        <v>0</v>
      </c>
      <c r="G469" s="42">
        <f t="shared" si="7"/>
        <v>0</v>
      </c>
      <c r="H469" s="2" t="str">
        <f>VLOOKUP(A469,'TB MAy'!A:H,8,0)</f>
        <v>Not Applicable</v>
      </c>
    </row>
    <row r="470" spans="1:8" hidden="1">
      <c r="A470" s="95" t="s">
        <v>636</v>
      </c>
      <c r="B470" s="78">
        <v>-86536</v>
      </c>
      <c r="C470" s="78"/>
      <c r="D470" s="78">
        <v>165350.39999999999</v>
      </c>
      <c r="E470" s="78">
        <v>-251886.4</v>
      </c>
      <c r="F470" s="96">
        <v>0</v>
      </c>
      <c r="G470" s="42">
        <f t="shared" si="7"/>
        <v>-251886.4</v>
      </c>
      <c r="H470" s="2" t="str">
        <f>VLOOKUP(A470,'TB MAy'!A:H,8,0)</f>
        <v>Not Applicable</v>
      </c>
    </row>
    <row r="471" spans="1:8" hidden="1">
      <c r="A471" s="95" t="s">
        <v>943</v>
      </c>
      <c r="B471" s="78">
        <v>-3363</v>
      </c>
      <c r="C471" s="78">
        <v>15163</v>
      </c>
      <c r="D471" s="78">
        <v>11800</v>
      </c>
      <c r="E471" s="78"/>
      <c r="F471" s="96">
        <v>0</v>
      </c>
      <c r="G471" s="42">
        <f t="shared" si="7"/>
        <v>0</v>
      </c>
      <c r="H471" s="2" t="str">
        <f>VLOOKUP(A471,'TB MAy'!A:H,8,0)</f>
        <v>Not Applicable</v>
      </c>
    </row>
    <row r="472" spans="1:8" hidden="1">
      <c r="A472" s="95" t="s">
        <v>632</v>
      </c>
      <c r="B472" s="78">
        <v>-13664</v>
      </c>
      <c r="C472" s="78">
        <v>13664</v>
      </c>
      <c r="D472" s="78">
        <v>12036</v>
      </c>
      <c r="E472" s="78">
        <v>-12036</v>
      </c>
      <c r="F472" s="96">
        <v>0</v>
      </c>
      <c r="G472" s="42">
        <f t="shared" si="7"/>
        <v>-12036</v>
      </c>
      <c r="H472" s="2" t="str">
        <f>VLOOKUP(A472,'TB MAy'!A:H,8,0)</f>
        <v>Not Applicable</v>
      </c>
    </row>
    <row r="473" spans="1:8" hidden="1">
      <c r="A473" s="95" t="s">
        <v>1148</v>
      </c>
      <c r="B473" s="78">
        <v>323.94</v>
      </c>
      <c r="C473" s="78">
        <v>248850</v>
      </c>
      <c r="D473" s="78">
        <v>249173.94</v>
      </c>
      <c r="E473" s="78"/>
      <c r="F473" s="96">
        <v>0</v>
      </c>
      <c r="G473" s="42">
        <f t="shared" si="7"/>
        <v>0</v>
      </c>
      <c r="H473" s="2" t="str">
        <f>VLOOKUP(A473,'TB MAy'!A:H,8,0)</f>
        <v>Not Applicable</v>
      </c>
    </row>
    <row r="474" spans="1:8" hidden="1">
      <c r="A474" s="95" t="s">
        <v>627</v>
      </c>
      <c r="B474" s="78"/>
      <c r="C474" s="78"/>
      <c r="D474" s="78">
        <v>74340</v>
      </c>
      <c r="E474" s="78">
        <v>-74340</v>
      </c>
      <c r="F474" s="96">
        <v>0</v>
      </c>
      <c r="G474" s="42">
        <f t="shared" si="7"/>
        <v>-74340</v>
      </c>
      <c r="H474" s="2" t="s">
        <v>84</v>
      </c>
    </row>
    <row r="475" spans="1:8" hidden="1">
      <c r="A475" s="95" t="s">
        <v>1238</v>
      </c>
      <c r="B475" s="78">
        <v>-17043</v>
      </c>
      <c r="C475" s="78"/>
      <c r="D475" s="78">
        <v>730</v>
      </c>
      <c r="E475" s="78">
        <v>-17773</v>
      </c>
      <c r="F475" s="96">
        <v>0</v>
      </c>
      <c r="G475" s="42">
        <f t="shared" si="7"/>
        <v>-17773</v>
      </c>
      <c r="H475" s="2" t="str">
        <f>VLOOKUP(A475,'TB MAy'!A:H,8,0)</f>
        <v>Not Applicable</v>
      </c>
    </row>
    <row r="476" spans="1:8" hidden="1">
      <c r="A476" s="95" t="s">
        <v>891</v>
      </c>
      <c r="B476" s="78"/>
      <c r="C476" s="78">
        <v>12611</v>
      </c>
      <c r="D476" s="78">
        <v>12611</v>
      </c>
      <c r="E476" s="78"/>
      <c r="F476" s="96">
        <v>0</v>
      </c>
      <c r="G476" s="42">
        <f t="shared" si="7"/>
        <v>0</v>
      </c>
      <c r="H476" s="2" t="str">
        <f>VLOOKUP(A476,'TB MAy'!A:H,8,0)</f>
        <v>Not Applicable</v>
      </c>
    </row>
    <row r="477" spans="1:8" hidden="1">
      <c r="A477" s="95" t="s">
        <v>1436</v>
      </c>
      <c r="B477" s="78">
        <v>-830</v>
      </c>
      <c r="C477" s="78"/>
      <c r="D477" s="78"/>
      <c r="E477" s="78">
        <v>-830</v>
      </c>
      <c r="F477" s="96">
        <v>0</v>
      </c>
      <c r="G477" s="42">
        <f t="shared" si="7"/>
        <v>-830</v>
      </c>
      <c r="H477" s="2" t="str">
        <f>VLOOKUP(A477,'TB MAy'!A:H,8,0)</f>
        <v>Not Applicable</v>
      </c>
    </row>
    <row r="478" spans="1:8" hidden="1">
      <c r="A478" s="95" t="s">
        <v>624</v>
      </c>
      <c r="B478" s="78">
        <v>-66336.52</v>
      </c>
      <c r="C478" s="78">
        <v>123863.48</v>
      </c>
      <c r="D478" s="78">
        <v>85724.76</v>
      </c>
      <c r="E478" s="78">
        <v>-28197.8</v>
      </c>
      <c r="F478" s="96">
        <v>0</v>
      </c>
      <c r="G478" s="42">
        <f t="shared" si="7"/>
        <v>-28197.8</v>
      </c>
      <c r="H478" s="2" t="str">
        <f>VLOOKUP(A478,'TB MAy'!A:H,8,0)</f>
        <v>Not Applicable</v>
      </c>
    </row>
    <row r="479" spans="1:8" hidden="1">
      <c r="A479" s="95" t="s">
        <v>623</v>
      </c>
      <c r="B479" s="78">
        <v>-56883.74</v>
      </c>
      <c r="C479" s="78">
        <v>70969.38</v>
      </c>
      <c r="D479" s="78">
        <v>29360.78</v>
      </c>
      <c r="E479" s="78">
        <v>-15275.14</v>
      </c>
      <c r="F479" s="96">
        <v>0</v>
      </c>
      <c r="G479" s="42">
        <f t="shared" si="7"/>
        <v>-15275.14</v>
      </c>
      <c r="H479" s="2" t="str">
        <f>VLOOKUP(A479,'TB MAy'!A:H,8,0)</f>
        <v>Not Applicable</v>
      </c>
    </row>
    <row r="480" spans="1:8" hidden="1">
      <c r="A480" s="95" t="s">
        <v>620</v>
      </c>
      <c r="B480" s="78">
        <v>-58114.01</v>
      </c>
      <c r="C480" s="78">
        <v>81812</v>
      </c>
      <c r="D480" s="78">
        <v>23698</v>
      </c>
      <c r="E480" s="78">
        <v>-0.01</v>
      </c>
      <c r="F480" s="96">
        <v>0</v>
      </c>
      <c r="G480" s="42">
        <f t="shared" si="7"/>
        <v>-0.01</v>
      </c>
      <c r="H480" s="2" t="str">
        <f>VLOOKUP(A480,'TB MAy'!A:H,8,0)</f>
        <v>Not Applicable</v>
      </c>
    </row>
    <row r="481" spans="1:8" hidden="1">
      <c r="A481" s="95" t="s">
        <v>1437</v>
      </c>
      <c r="B481" s="78"/>
      <c r="C481" s="78"/>
      <c r="D481" s="78"/>
      <c r="E481" s="78"/>
      <c r="F481" s="96">
        <v>0</v>
      </c>
      <c r="G481" s="42">
        <f t="shared" ref="G481:G544" si="8">+E481+F481</f>
        <v>0</v>
      </c>
      <c r="H481" s="2" t="str">
        <f>VLOOKUP(A481,'TB MAy'!A:H,8,0)</f>
        <v>Not Applicable</v>
      </c>
    </row>
    <row r="482" spans="1:8" hidden="1">
      <c r="A482" s="95" t="s">
        <v>619</v>
      </c>
      <c r="B482" s="78">
        <v>-14581.4</v>
      </c>
      <c r="C482" s="78">
        <v>15737</v>
      </c>
      <c r="D482" s="78">
        <v>1156</v>
      </c>
      <c r="E482" s="78">
        <v>-0.4</v>
      </c>
      <c r="F482" s="96">
        <v>0</v>
      </c>
      <c r="G482" s="42">
        <f t="shared" si="8"/>
        <v>-0.4</v>
      </c>
      <c r="H482" s="2" t="str">
        <f>VLOOKUP(A482,'TB MAy'!A:H,8,0)</f>
        <v>Not Applicable</v>
      </c>
    </row>
    <row r="483" spans="1:8" hidden="1">
      <c r="A483" s="95" t="s">
        <v>613</v>
      </c>
      <c r="B483" s="78"/>
      <c r="C483" s="78"/>
      <c r="D483" s="78"/>
      <c r="E483" s="78"/>
      <c r="F483" s="96">
        <v>0</v>
      </c>
      <c r="G483" s="42">
        <f t="shared" si="8"/>
        <v>0</v>
      </c>
      <c r="H483" s="2" t="str">
        <f>VLOOKUP(A483,'TB MAy'!A:H,8,0)</f>
        <v>Not Applicable</v>
      </c>
    </row>
    <row r="484" spans="1:8" hidden="1">
      <c r="A484" s="95" t="s">
        <v>616</v>
      </c>
      <c r="B484" s="78">
        <v>-45725</v>
      </c>
      <c r="C484" s="78">
        <v>80476</v>
      </c>
      <c r="D484" s="78">
        <v>48085</v>
      </c>
      <c r="E484" s="78">
        <v>-13334</v>
      </c>
      <c r="F484" s="96">
        <v>0</v>
      </c>
      <c r="G484" s="42">
        <f t="shared" si="8"/>
        <v>-13334</v>
      </c>
      <c r="H484" s="2" t="str">
        <f>VLOOKUP(A484,'TB MAy'!A:H,8,0)</f>
        <v>Not Applicable</v>
      </c>
    </row>
    <row r="485" spans="1:8" hidden="1">
      <c r="A485" s="95" t="s">
        <v>963</v>
      </c>
      <c r="B485" s="78">
        <v>-0.06</v>
      </c>
      <c r="C485" s="78"/>
      <c r="D485" s="78"/>
      <c r="E485" s="78">
        <v>-0.06</v>
      </c>
      <c r="F485" s="96">
        <v>0</v>
      </c>
      <c r="G485" s="42">
        <f t="shared" si="8"/>
        <v>-0.06</v>
      </c>
      <c r="H485" s="2" t="str">
        <f>VLOOKUP(A485,'TB MAy'!A:H,8,0)</f>
        <v>Not Applicable</v>
      </c>
    </row>
    <row r="486" spans="1:8" hidden="1">
      <c r="A486" s="95" t="s">
        <v>1214</v>
      </c>
      <c r="B486" s="78">
        <v>-32720</v>
      </c>
      <c r="C486" s="78">
        <v>52539</v>
      </c>
      <c r="D486" s="78">
        <v>22446</v>
      </c>
      <c r="E486" s="78">
        <v>-2627</v>
      </c>
      <c r="F486" s="96">
        <v>0</v>
      </c>
      <c r="G486" s="42">
        <f t="shared" si="8"/>
        <v>-2627</v>
      </c>
      <c r="H486" s="2" t="str">
        <f>VLOOKUP(A486,'TB MAy'!A:H,8,0)</f>
        <v>Not Applicable</v>
      </c>
    </row>
    <row r="487" spans="1:8" hidden="1">
      <c r="A487" s="95" t="s">
        <v>1438</v>
      </c>
      <c r="B487" s="78">
        <v>-5239</v>
      </c>
      <c r="C487" s="78"/>
      <c r="D487" s="78"/>
      <c r="E487" s="78">
        <v>-5239</v>
      </c>
      <c r="F487" s="96">
        <v>0</v>
      </c>
      <c r="G487" s="42">
        <f t="shared" si="8"/>
        <v>-5239</v>
      </c>
      <c r="H487" s="2" t="str">
        <f>VLOOKUP(A487,'TB MAy'!A:H,8,0)</f>
        <v>Not Applicable</v>
      </c>
    </row>
    <row r="488" spans="1:8" hidden="1">
      <c r="A488" s="95" t="s">
        <v>940</v>
      </c>
      <c r="B488" s="78">
        <v>-0.2</v>
      </c>
      <c r="C488" s="78"/>
      <c r="D488" s="78"/>
      <c r="E488" s="78">
        <v>-0.2</v>
      </c>
      <c r="F488" s="96">
        <v>0</v>
      </c>
      <c r="G488" s="42">
        <f t="shared" si="8"/>
        <v>-0.2</v>
      </c>
      <c r="H488" s="2" t="str">
        <f>VLOOKUP(A488,'TB MAy'!A:H,8,0)</f>
        <v>Not Applicable</v>
      </c>
    </row>
    <row r="489" spans="1:8" hidden="1">
      <c r="A489" s="95" t="s">
        <v>600</v>
      </c>
      <c r="B489" s="78"/>
      <c r="C489" s="78">
        <v>10502</v>
      </c>
      <c r="D489" s="78">
        <v>10502</v>
      </c>
      <c r="E489" s="78"/>
      <c r="F489" s="96">
        <v>0</v>
      </c>
      <c r="G489" s="42">
        <f t="shared" si="8"/>
        <v>0</v>
      </c>
      <c r="H489" s="2" t="str">
        <f>VLOOKUP(A489,'TB MAy'!A:H,8,0)</f>
        <v>Not Applicable</v>
      </c>
    </row>
    <row r="490" spans="1:8" hidden="1">
      <c r="A490" s="95" t="s">
        <v>1439</v>
      </c>
      <c r="B490" s="78">
        <v>-2576</v>
      </c>
      <c r="C490" s="78"/>
      <c r="D490" s="78"/>
      <c r="E490" s="78">
        <v>-2576</v>
      </c>
      <c r="F490" s="96">
        <v>0</v>
      </c>
      <c r="G490" s="42">
        <f t="shared" si="8"/>
        <v>-2576</v>
      </c>
      <c r="H490" s="2" t="str">
        <f>VLOOKUP(A490,'TB MAy'!A:H,8,0)</f>
        <v>Not Applicable</v>
      </c>
    </row>
    <row r="491" spans="1:8" hidden="1">
      <c r="A491" s="95" t="s">
        <v>1559</v>
      </c>
      <c r="B491" s="78"/>
      <c r="C491" s="78"/>
      <c r="D491" s="78">
        <v>5192</v>
      </c>
      <c r="E491" s="78">
        <v>-5192</v>
      </c>
      <c r="F491" s="96">
        <v>0</v>
      </c>
      <c r="G491" s="42">
        <f t="shared" si="8"/>
        <v>-5192</v>
      </c>
      <c r="H491" s="2" t="s">
        <v>84</v>
      </c>
    </row>
    <row r="492" spans="1:8" hidden="1">
      <c r="A492" s="95" t="s">
        <v>591</v>
      </c>
      <c r="B492" s="78">
        <v>-61629.86</v>
      </c>
      <c r="C492" s="78"/>
      <c r="D492" s="78"/>
      <c r="E492" s="78">
        <v>-61629.86</v>
      </c>
      <c r="F492" s="96">
        <v>0</v>
      </c>
      <c r="G492" s="42">
        <f t="shared" si="8"/>
        <v>-61629.86</v>
      </c>
      <c r="H492" s="2" t="str">
        <f>VLOOKUP(A492,'TB MAy'!A:H,8,0)</f>
        <v>Not Applicable</v>
      </c>
    </row>
    <row r="493" spans="1:8" hidden="1">
      <c r="A493" s="95" t="s">
        <v>1440</v>
      </c>
      <c r="B493" s="78">
        <v>-72712</v>
      </c>
      <c r="C493" s="78">
        <v>73712</v>
      </c>
      <c r="D493" s="78">
        <v>1000</v>
      </c>
      <c r="E493" s="78"/>
      <c r="F493" s="96">
        <v>0</v>
      </c>
      <c r="G493" s="42">
        <f t="shared" si="8"/>
        <v>0</v>
      </c>
      <c r="H493" s="2" t="str">
        <f>VLOOKUP(A493,'TB MAy'!A:H,8,0)</f>
        <v>Not Applicable</v>
      </c>
    </row>
    <row r="494" spans="1:8" hidden="1">
      <c r="A494" s="95" t="s">
        <v>1179</v>
      </c>
      <c r="B494" s="78">
        <v>-3328</v>
      </c>
      <c r="C494" s="78"/>
      <c r="D494" s="78"/>
      <c r="E494" s="78">
        <v>-3328</v>
      </c>
      <c r="F494" s="96">
        <v>0</v>
      </c>
      <c r="G494" s="42">
        <f t="shared" si="8"/>
        <v>-3328</v>
      </c>
      <c r="H494" s="2" t="str">
        <f>VLOOKUP(A494,'TB MAy'!A:H,8,0)</f>
        <v>Not Applicable</v>
      </c>
    </row>
    <row r="495" spans="1:8" hidden="1">
      <c r="A495" s="95" t="s">
        <v>1069</v>
      </c>
      <c r="B495" s="78">
        <v>-15895</v>
      </c>
      <c r="C495" s="78">
        <v>2628</v>
      </c>
      <c r="D495" s="78">
        <v>28216</v>
      </c>
      <c r="E495" s="78">
        <v>-41483</v>
      </c>
      <c r="F495" s="96">
        <v>0</v>
      </c>
      <c r="G495" s="42">
        <f t="shared" si="8"/>
        <v>-41483</v>
      </c>
      <c r="H495" s="2" t="str">
        <f>VLOOKUP(A495,'TB MAy'!A:H,8,0)</f>
        <v>Not Applicable</v>
      </c>
    </row>
    <row r="496" spans="1:8" hidden="1">
      <c r="A496" s="95" t="s">
        <v>586</v>
      </c>
      <c r="B496" s="78">
        <v>-31508.18</v>
      </c>
      <c r="C496" s="78">
        <v>7815</v>
      </c>
      <c r="D496" s="78">
        <v>11611</v>
      </c>
      <c r="E496" s="78">
        <v>-35304.18</v>
      </c>
      <c r="F496" s="96">
        <v>0</v>
      </c>
      <c r="G496" s="42">
        <f t="shared" si="8"/>
        <v>-35304.18</v>
      </c>
      <c r="H496" s="2" t="str">
        <f>VLOOKUP(A496,'TB MAy'!A:H,8,0)</f>
        <v>Not Applicable</v>
      </c>
    </row>
    <row r="497" spans="1:8" hidden="1">
      <c r="A497" s="95" t="s">
        <v>579</v>
      </c>
      <c r="B497" s="78">
        <v>-12489</v>
      </c>
      <c r="C497" s="78"/>
      <c r="D497" s="78"/>
      <c r="E497" s="78">
        <v>-12489</v>
      </c>
      <c r="F497" s="96">
        <v>0</v>
      </c>
      <c r="G497" s="42">
        <f t="shared" si="8"/>
        <v>-12489</v>
      </c>
      <c r="H497" s="2" t="str">
        <f>VLOOKUP(A497,'TB MAy'!A:H,8,0)</f>
        <v>Not Applicable</v>
      </c>
    </row>
    <row r="498" spans="1:8" hidden="1">
      <c r="A498" s="95" t="s">
        <v>574</v>
      </c>
      <c r="B498" s="78">
        <v>-122395.71</v>
      </c>
      <c r="C498" s="78">
        <v>108139</v>
      </c>
      <c r="D498" s="78">
        <v>87478</v>
      </c>
      <c r="E498" s="78">
        <v>-101734.71</v>
      </c>
      <c r="F498" s="96">
        <v>0</v>
      </c>
      <c r="G498" s="42">
        <f t="shared" si="8"/>
        <v>-101734.71</v>
      </c>
      <c r="H498" s="2" t="str">
        <f>VLOOKUP(A498,'TB MAy'!A:H,8,0)</f>
        <v>Not Applicable</v>
      </c>
    </row>
    <row r="499" spans="1:8" hidden="1">
      <c r="A499" s="95" t="s">
        <v>575</v>
      </c>
      <c r="B499" s="78">
        <v>-3610</v>
      </c>
      <c r="C499" s="78"/>
      <c r="D499" s="78"/>
      <c r="E499" s="78">
        <v>-3610</v>
      </c>
      <c r="F499" s="96">
        <v>0</v>
      </c>
      <c r="G499" s="42">
        <f t="shared" si="8"/>
        <v>-3610</v>
      </c>
      <c r="H499" s="2" t="str">
        <f>VLOOKUP(A499,'TB MAy'!A:H,8,0)</f>
        <v>Not Applicable</v>
      </c>
    </row>
    <row r="500" spans="1:8" hidden="1">
      <c r="A500" s="95" t="s">
        <v>1560</v>
      </c>
      <c r="B500" s="78"/>
      <c r="C500" s="78"/>
      <c r="D500" s="78">
        <v>5247</v>
      </c>
      <c r="E500" s="78">
        <v>-5247</v>
      </c>
      <c r="F500" s="96">
        <v>0</v>
      </c>
      <c r="G500" s="42">
        <f t="shared" si="8"/>
        <v>-5247</v>
      </c>
      <c r="H500" s="2" t="s">
        <v>84</v>
      </c>
    </row>
    <row r="501" spans="1:8" hidden="1">
      <c r="A501" s="95" t="s">
        <v>568</v>
      </c>
      <c r="B501" s="78">
        <v>-5192</v>
      </c>
      <c r="C501" s="78"/>
      <c r="D501" s="78"/>
      <c r="E501" s="78">
        <v>-5192</v>
      </c>
      <c r="F501" s="96">
        <v>0</v>
      </c>
      <c r="G501" s="42">
        <f t="shared" si="8"/>
        <v>-5192</v>
      </c>
      <c r="H501" s="2" t="str">
        <f>VLOOKUP(A501,'TB MAy'!A:H,8,0)</f>
        <v>Not Applicable</v>
      </c>
    </row>
    <row r="502" spans="1:8" hidden="1">
      <c r="A502" s="95" t="s">
        <v>570</v>
      </c>
      <c r="B502" s="78"/>
      <c r="C502" s="78">
        <v>3304</v>
      </c>
      <c r="D502" s="78">
        <v>4779</v>
      </c>
      <c r="E502" s="78">
        <v>-1475</v>
      </c>
      <c r="F502" s="96">
        <v>0</v>
      </c>
      <c r="G502" s="42">
        <f t="shared" si="8"/>
        <v>-1475</v>
      </c>
      <c r="H502" s="2" t="str">
        <f>VLOOKUP(A502,'TB MAy'!A:H,8,0)</f>
        <v>Not Applicable</v>
      </c>
    </row>
    <row r="503" spans="1:8" hidden="1">
      <c r="A503" s="95" t="s">
        <v>1561</v>
      </c>
      <c r="B503" s="78"/>
      <c r="C503" s="78">
        <v>41300</v>
      </c>
      <c r="D503" s="78">
        <v>41300</v>
      </c>
      <c r="E503" s="78"/>
      <c r="F503" s="96">
        <v>0</v>
      </c>
      <c r="G503" s="42">
        <f t="shared" si="8"/>
        <v>0</v>
      </c>
      <c r="H503" s="2" t="s">
        <v>84</v>
      </c>
    </row>
    <row r="504" spans="1:8" hidden="1">
      <c r="A504" s="95" t="s">
        <v>1562</v>
      </c>
      <c r="B504" s="78"/>
      <c r="C504" s="78">
        <v>61360</v>
      </c>
      <c r="D504" s="78">
        <v>243730.18</v>
      </c>
      <c r="E504" s="78">
        <v>-182370.18</v>
      </c>
      <c r="F504" s="96">
        <v>0</v>
      </c>
      <c r="G504" s="42">
        <f t="shared" si="8"/>
        <v>-182370.18</v>
      </c>
      <c r="H504" s="2" t="s">
        <v>84</v>
      </c>
    </row>
    <row r="505" spans="1:8" hidden="1">
      <c r="A505" s="95" t="s">
        <v>572</v>
      </c>
      <c r="B505" s="78">
        <v>-2944</v>
      </c>
      <c r="C505" s="78">
        <v>2944</v>
      </c>
      <c r="D505" s="78"/>
      <c r="E505" s="78"/>
      <c r="F505" s="96">
        <v>0</v>
      </c>
      <c r="G505" s="42">
        <f t="shared" si="8"/>
        <v>0</v>
      </c>
      <c r="H505" s="2" t="str">
        <f>VLOOKUP(A505,'TB MAy'!A:H,8,0)</f>
        <v>Not Applicable</v>
      </c>
    </row>
    <row r="506" spans="1:8" hidden="1">
      <c r="A506" s="95" t="s">
        <v>1563</v>
      </c>
      <c r="B506" s="78"/>
      <c r="C506" s="78">
        <v>78706</v>
      </c>
      <c r="D506" s="78"/>
      <c r="E506" s="78">
        <v>78706</v>
      </c>
      <c r="F506" s="96">
        <v>0</v>
      </c>
      <c r="G506" s="42">
        <f t="shared" si="8"/>
        <v>78706</v>
      </c>
      <c r="H506" s="2" t="s">
        <v>84</v>
      </c>
    </row>
    <row r="507" spans="1:8" hidden="1">
      <c r="A507" s="95" t="s">
        <v>1262</v>
      </c>
      <c r="B507" s="78">
        <v>-61655</v>
      </c>
      <c r="C507" s="78">
        <v>61655</v>
      </c>
      <c r="D507" s="78"/>
      <c r="E507" s="78"/>
      <c r="F507" s="96">
        <v>0</v>
      </c>
      <c r="G507" s="42">
        <f t="shared" si="8"/>
        <v>0</v>
      </c>
      <c r="H507" s="2" t="str">
        <f>VLOOKUP(A507,'TB MAy'!A:H,8,0)</f>
        <v>Not Applicable</v>
      </c>
    </row>
    <row r="508" spans="1:8" hidden="1">
      <c r="A508" s="95" t="s">
        <v>1351</v>
      </c>
      <c r="B508" s="78">
        <v>-2443</v>
      </c>
      <c r="C508" s="78">
        <v>2443</v>
      </c>
      <c r="D508" s="78"/>
      <c r="E508" s="78"/>
      <c r="F508" s="96">
        <v>0</v>
      </c>
      <c r="G508" s="42">
        <f t="shared" si="8"/>
        <v>0</v>
      </c>
      <c r="H508" s="2" t="str">
        <f>VLOOKUP(A508,'TB MAy'!A:H,8,0)</f>
        <v>Not Applicable</v>
      </c>
    </row>
    <row r="509" spans="1:8" hidden="1">
      <c r="A509" s="95" t="s">
        <v>1441</v>
      </c>
      <c r="B509" s="78"/>
      <c r="C509" s="78"/>
      <c r="D509" s="78"/>
      <c r="E509" s="78"/>
      <c r="F509" s="96">
        <v>0</v>
      </c>
      <c r="G509" s="42">
        <f t="shared" si="8"/>
        <v>0</v>
      </c>
      <c r="H509" s="2" t="str">
        <f>VLOOKUP(A509,'TB MAy'!A:H,8,0)</f>
        <v>Not Applicable</v>
      </c>
    </row>
    <row r="510" spans="1:8" hidden="1">
      <c r="A510" s="95" t="s">
        <v>1442</v>
      </c>
      <c r="B510" s="78">
        <v>16500</v>
      </c>
      <c r="C510" s="78"/>
      <c r="D510" s="78"/>
      <c r="E510" s="78">
        <v>16500</v>
      </c>
      <c r="F510" s="96">
        <v>0</v>
      </c>
      <c r="G510" s="42">
        <f t="shared" si="8"/>
        <v>16500</v>
      </c>
      <c r="H510" s="2" t="str">
        <f>VLOOKUP(A510,'TB MAy'!A:H,8,0)</f>
        <v>Not Applicable</v>
      </c>
    </row>
    <row r="511" spans="1:8" hidden="1">
      <c r="A511" s="95" t="s">
        <v>1443</v>
      </c>
      <c r="B511" s="78"/>
      <c r="C511" s="78"/>
      <c r="D511" s="78"/>
      <c r="E511" s="78"/>
      <c r="F511" s="96">
        <v>0</v>
      </c>
      <c r="G511" s="42">
        <f t="shared" si="8"/>
        <v>0</v>
      </c>
      <c r="H511" s="2" t="s">
        <v>84</v>
      </c>
    </row>
    <row r="512" spans="1:8" hidden="1">
      <c r="A512" s="95" t="s">
        <v>563</v>
      </c>
      <c r="B512" s="78">
        <v>-11151</v>
      </c>
      <c r="C512" s="78">
        <v>22302</v>
      </c>
      <c r="D512" s="78">
        <v>18585</v>
      </c>
      <c r="E512" s="78">
        <v>-7434</v>
      </c>
      <c r="F512" s="96">
        <v>0</v>
      </c>
      <c r="G512" s="42">
        <f t="shared" si="8"/>
        <v>-7434</v>
      </c>
      <c r="H512" s="2" t="str">
        <f>VLOOKUP(A512,'TB MAy'!A:H,8,0)</f>
        <v>Not Applicable</v>
      </c>
    </row>
    <row r="513" spans="1:8" hidden="1">
      <c r="A513" s="95" t="s">
        <v>564</v>
      </c>
      <c r="B513" s="78">
        <v>-370</v>
      </c>
      <c r="C513" s="78">
        <v>370</v>
      </c>
      <c r="D513" s="78">
        <v>1505</v>
      </c>
      <c r="E513" s="78">
        <v>-1505</v>
      </c>
      <c r="F513" s="96">
        <v>0</v>
      </c>
      <c r="G513" s="42">
        <f t="shared" si="8"/>
        <v>-1505</v>
      </c>
      <c r="H513" s="2" t="str">
        <f>VLOOKUP(A513,'TB MAy'!A:H,8,0)</f>
        <v>Not Applicable</v>
      </c>
    </row>
    <row r="514" spans="1:8" hidden="1">
      <c r="A514" s="95" t="s">
        <v>982</v>
      </c>
      <c r="B514" s="78">
        <v>-4720</v>
      </c>
      <c r="C514" s="78">
        <v>4720</v>
      </c>
      <c r="D514" s="78"/>
      <c r="E514" s="78"/>
      <c r="F514" s="96">
        <v>0</v>
      </c>
      <c r="G514" s="42">
        <f t="shared" si="8"/>
        <v>0</v>
      </c>
      <c r="H514" s="2" t="str">
        <f>VLOOKUP(A514,'TB MAy'!A:H,8,0)</f>
        <v>Not Applicable</v>
      </c>
    </row>
    <row r="515" spans="1:8" hidden="1">
      <c r="A515" s="95" t="s">
        <v>983</v>
      </c>
      <c r="B515" s="78">
        <v>-5192</v>
      </c>
      <c r="C515" s="78">
        <v>15753</v>
      </c>
      <c r="D515" s="78">
        <v>10561</v>
      </c>
      <c r="E515" s="78"/>
      <c r="F515" s="96">
        <v>0</v>
      </c>
      <c r="G515" s="42">
        <f t="shared" si="8"/>
        <v>0</v>
      </c>
      <c r="H515" s="2" t="str">
        <f>VLOOKUP(A515,'TB MAy'!A:H,8,0)</f>
        <v>Not Applicable</v>
      </c>
    </row>
    <row r="516" spans="1:8" hidden="1">
      <c r="A516" s="95" t="s">
        <v>566</v>
      </c>
      <c r="B516" s="78">
        <v>-6455</v>
      </c>
      <c r="C516" s="78">
        <v>2915</v>
      </c>
      <c r="D516" s="78"/>
      <c r="E516" s="78">
        <v>-3540</v>
      </c>
      <c r="F516" s="96">
        <v>0</v>
      </c>
      <c r="G516" s="42">
        <f t="shared" si="8"/>
        <v>-3540</v>
      </c>
      <c r="H516" s="2" t="str">
        <f>VLOOKUP(A516,'TB MAy'!A:H,8,0)</f>
        <v>Not Applicable</v>
      </c>
    </row>
    <row r="517" spans="1:8" hidden="1">
      <c r="A517" s="95" t="s">
        <v>1444</v>
      </c>
      <c r="B517" s="78"/>
      <c r="C517" s="78"/>
      <c r="D517" s="78"/>
      <c r="E517" s="78"/>
      <c r="F517" s="96">
        <v>0</v>
      </c>
      <c r="G517" s="42">
        <f t="shared" si="8"/>
        <v>0</v>
      </c>
      <c r="H517" s="2" t="str">
        <f>VLOOKUP(A517,'TB MAy'!A:H,8,0)</f>
        <v>Not Applicable</v>
      </c>
    </row>
    <row r="518" spans="1:8" hidden="1">
      <c r="A518" s="95" t="s">
        <v>938</v>
      </c>
      <c r="B518" s="78">
        <v>-67989.240000000005</v>
      </c>
      <c r="C518" s="78">
        <v>119754.82</v>
      </c>
      <c r="D518" s="78">
        <v>21187.93</v>
      </c>
      <c r="E518" s="78">
        <v>30577.65</v>
      </c>
      <c r="F518" s="96">
        <v>0</v>
      </c>
      <c r="G518" s="42">
        <f t="shared" si="8"/>
        <v>30577.65</v>
      </c>
      <c r="H518" s="2" t="str">
        <f>VLOOKUP(A518,'TB MAy'!A:H,8,0)</f>
        <v>Not Applicable</v>
      </c>
    </row>
    <row r="519" spans="1:8" hidden="1">
      <c r="A519" s="95" t="s">
        <v>939</v>
      </c>
      <c r="B519" s="78">
        <v>-272501.25</v>
      </c>
      <c r="C519" s="78">
        <v>285357.52</v>
      </c>
      <c r="D519" s="78">
        <v>82387.41</v>
      </c>
      <c r="E519" s="78">
        <v>-69531.14</v>
      </c>
      <c r="F519" s="96">
        <v>0</v>
      </c>
      <c r="G519" s="42">
        <f t="shared" si="8"/>
        <v>-69531.14</v>
      </c>
      <c r="H519" s="2" t="str">
        <f>VLOOKUP(A519,'TB MAy'!A:H,8,0)</f>
        <v>Not Applicable</v>
      </c>
    </row>
    <row r="520" spans="1:8" hidden="1">
      <c r="A520" s="95" t="s">
        <v>558</v>
      </c>
      <c r="B520" s="78">
        <v>-369869.69</v>
      </c>
      <c r="C520" s="78"/>
      <c r="D520" s="78"/>
      <c r="E520" s="78">
        <v>-369869.69</v>
      </c>
      <c r="F520" s="96">
        <v>0</v>
      </c>
      <c r="G520" s="42">
        <f t="shared" si="8"/>
        <v>-369869.69</v>
      </c>
      <c r="H520" s="2" t="str">
        <f>VLOOKUP(A520,'TB MAy'!A:H,8,0)</f>
        <v>Not Applicable</v>
      </c>
    </row>
    <row r="521" spans="1:8" hidden="1">
      <c r="A521" s="95" t="s">
        <v>559</v>
      </c>
      <c r="B521" s="78">
        <v>-51379.05</v>
      </c>
      <c r="C521" s="78"/>
      <c r="D521" s="78"/>
      <c r="E521" s="78">
        <v>-51379.05</v>
      </c>
      <c r="F521" s="96">
        <v>0</v>
      </c>
      <c r="G521" s="42">
        <f t="shared" si="8"/>
        <v>-51379.05</v>
      </c>
      <c r="H521" s="2" t="str">
        <f>VLOOKUP(A521,'TB MAy'!A:H,8,0)</f>
        <v>Not Applicable</v>
      </c>
    </row>
    <row r="522" spans="1:8" hidden="1">
      <c r="A522" s="95" t="s">
        <v>914</v>
      </c>
      <c r="B522" s="78"/>
      <c r="C522" s="78"/>
      <c r="D522" s="78"/>
      <c r="E522" s="78"/>
      <c r="F522" s="96">
        <v>0</v>
      </c>
      <c r="G522" s="42">
        <f t="shared" si="8"/>
        <v>0</v>
      </c>
      <c r="H522" s="2" t="s">
        <v>84</v>
      </c>
    </row>
    <row r="523" spans="1:8" hidden="1">
      <c r="A523" s="95" t="s">
        <v>1445</v>
      </c>
      <c r="B523" s="78">
        <v>128</v>
      </c>
      <c r="C523" s="78"/>
      <c r="D523" s="78"/>
      <c r="E523" s="78">
        <v>128</v>
      </c>
      <c r="F523" s="96">
        <v>0</v>
      </c>
      <c r="G523" s="42">
        <f t="shared" si="8"/>
        <v>128</v>
      </c>
      <c r="H523" s="2" t="str">
        <f>VLOOKUP(A523,'TB MAy'!A:H,8,0)</f>
        <v>Not Applicable</v>
      </c>
    </row>
    <row r="524" spans="1:8" hidden="1">
      <c r="A524" s="95" t="s">
        <v>1514</v>
      </c>
      <c r="B524" s="78"/>
      <c r="C524" s="78"/>
      <c r="D524" s="78">
        <v>23010</v>
      </c>
      <c r="E524" s="78">
        <v>-23010</v>
      </c>
      <c r="F524" s="96">
        <v>0</v>
      </c>
      <c r="G524" s="42">
        <f t="shared" si="8"/>
        <v>-23010</v>
      </c>
      <c r="H524" s="2" t="str">
        <f>VLOOKUP(A524,'TB MAy'!A:H,8,0)</f>
        <v>Not Applicable</v>
      </c>
    </row>
    <row r="525" spans="1:8" hidden="1">
      <c r="A525" s="95" t="s">
        <v>553</v>
      </c>
      <c r="B525" s="78">
        <v>-363.33</v>
      </c>
      <c r="C525" s="78"/>
      <c r="D525" s="78"/>
      <c r="E525" s="78">
        <v>-363.33</v>
      </c>
      <c r="F525" s="96">
        <v>0</v>
      </c>
      <c r="G525" s="42">
        <f t="shared" si="8"/>
        <v>-363.33</v>
      </c>
      <c r="H525" s="2" t="str">
        <f>VLOOKUP(A525,'TB MAy'!A:H,8,0)</f>
        <v>Not Applicable</v>
      </c>
    </row>
    <row r="526" spans="1:8" hidden="1">
      <c r="A526" s="95" t="s">
        <v>1564</v>
      </c>
      <c r="B526" s="78"/>
      <c r="C526" s="78"/>
      <c r="D526" s="78">
        <v>2348</v>
      </c>
      <c r="E526" s="78">
        <v>-2348</v>
      </c>
      <c r="F526" s="96">
        <v>0</v>
      </c>
      <c r="G526" s="42">
        <f t="shared" si="8"/>
        <v>-2348</v>
      </c>
      <c r="H526" s="2" t="s">
        <v>84</v>
      </c>
    </row>
    <row r="527" spans="1:8" hidden="1">
      <c r="A527" s="95" t="s">
        <v>1565</v>
      </c>
      <c r="B527" s="78"/>
      <c r="C527" s="78">
        <v>3500</v>
      </c>
      <c r="D527" s="78">
        <v>3500</v>
      </c>
      <c r="E527" s="78"/>
      <c r="F527" s="96">
        <v>0</v>
      </c>
      <c r="G527" s="42">
        <f t="shared" si="8"/>
        <v>0</v>
      </c>
      <c r="H527" s="2" t="s">
        <v>84</v>
      </c>
    </row>
    <row r="528" spans="1:8" hidden="1">
      <c r="A528" s="95" t="s">
        <v>1182</v>
      </c>
      <c r="B528" s="78">
        <v>-4209.1400000000003</v>
      </c>
      <c r="C528" s="78">
        <v>5872</v>
      </c>
      <c r="D528" s="78">
        <v>2181</v>
      </c>
      <c r="E528" s="78">
        <v>-518.14</v>
      </c>
      <c r="F528" s="96">
        <v>0</v>
      </c>
      <c r="G528" s="42">
        <f t="shared" si="8"/>
        <v>-518.14</v>
      </c>
      <c r="H528" s="2" t="str">
        <f>VLOOKUP(A528,'TB MAy'!A:H,8,0)</f>
        <v>Not Applicable</v>
      </c>
    </row>
    <row r="529" spans="1:8" hidden="1">
      <c r="A529" s="95" t="s">
        <v>548</v>
      </c>
      <c r="B529" s="78">
        <v>-71007.13</v>
      </c>
      <c r="C529" s="78">
        <v>326970.13</v>
      </c>
      <c r="D529" s="78">
        <v>297172</v>
      </c>
      <c r="E529" s="78">
        <v>-41209</v>
      </c>
      <c r="F529" s="96">
        <v>0</v>
      </c>
      <c r="G529" s="42">
        <f t="shared" si="8"/>
        <v>-41209</v>
      </c>
      <c r="H529" s="2" t="str">
        <f>VLOOKUP(A529,'TB MAy'!A:H,8,0)</f>
        <v>Not Applicable</v>
      </c>
    </row>
    <row r="530" spans="1:8" hidden="1">
      <c r="A530" s="95" t="s">
        <v>1446</v>
      </c>
      <c r="B530" s="78">
        <v>-4366</v>
      </c>
      <c r="C530" s="78">
        <v>4366</v>
      </c>
      <c r="D530" s="78"/>
      <c r="E530" s="78"/>
      <c r="F530" s="96">
        <v>0</v>
      </c>
      <c r="G530" s="42">
        <f t="shared" si="8"/>
        <v>0</v>
      </c>
      <c r="H530" s="2" t="str">
        <f>VLOOKUP(A530,'TB MAy'!A:H,8,0)</f>
        <v>Not Applicable</v>
      </c>
    </row>
    <row r="531" spans="1:8" hidden="1">
      <c r="A531" s="95" t="s">
        <v>1017</v>
      </c>
      <c r="B531" s="78">
        <v>-18880</v>
      </c>
      <c r="C531" s="78">
        <v>18880</v>
      </c>
      <c r="D531" s="78"/>
      <c r="E531" s="78"/>
      <c r="F531" s="96">
        <v>0</v>
      </c>
      <c r="G531" s="42">
        <f t="shared" si="8"/>
        <v>0</v>
      </c>
      <c r="H531" s="2" t="str">
        <f>VLOOKUP(A531,'TB MAy'!A:H,8,0)</f>
        <v>Not Applicable</v>
      </c>
    </row>
    <row r="532" spans="1:8" hidden="1">
      <c r="A532" s="95" t="s">
        <v>1320</v>
      </c>
      <c r="B532" s="78">
        <v>100501.5</v>
      </c>
      <c r="C532" s="78">
        <v>45736.800000000003</v>
      </c>
      <c r="D532" s="78">
        <v>146239</v>
      </c>
      <c r="E532" s="78">
        <v>-0.7</v>
      </c>
      <c r="F532" s="96">
        <v>0</v>
      </c>
      <c r="G532" s="42">
        <f t="shared" si="8"/>
        <v>-0.7</v>
      </c>
      <c r="H532" s="2" t="str">
        <f>VLOOKUP(A532,'TB MAy'!A:H,8,0)</f>
        <v>Not Applicable</v>
      </c>
    </row>
    <row r="533" spans="1:8" hidden="1">
      <c r="A533" s="95" t="s">
        <v>1447</v>
      </c>
      <c r="B533" s="78">
        <v>1021.88</v>
      </c>
      <c r="C533" s="78"/>
      <c r="D533" s="78"/>
      <c r="E533" s="78">
        <v>1021.88</v>
      </c>
      <c r="F533" s="96">
        <v>0</v>
      </c>
      <c r="G533" s="42">
        <f t="shared" si="8"/>
        <v>1021.88</v>
      </c>
      <c r="H533" s="2" t="str">
        <f>VLOOKUP(A533,'TB MAy'!A:H,8,0)</f>
        <v>Not Applicable</v>
      </c>
    </row>
    <row r="534" spans="1:8" hidden="1">
      <c r="A534" s="95" t="s">
        <v>1337</v>
      </c>
      <c r="B534" s="78">
        <v>-840</v>
      </c>
      <c r="C534" s="78"/>
      <c r="D534" s="78"/>
      <c r="E534" s="78">
        <v>-840</v>
      </c>
      <c r="F534" s="96">
        <v>0</v>
      </c>
      <c r="G534" s="42">
        <f t="shared" si="8"/>
        <v>-840</v>
      </c>
      <c r="H534" s="2" t="str">
        <f>VLOOKUP(A534,'TB MAy'!A:H,8,0)</f>
        <v>Not Applicable</v>
      </c>
    </row>
    <row r="535" spans="1:8" hidden="1">
      <c r="A535" s="95" t="s">
        <v>536</v>
      </c>
      <c r="B535" s="78">
        <v>-5960</v>
      </c>
      <c r="C535" s="78">
        <v>5960</v>
      </c>
      <c r="D535" s="78"/>
      <c r="E535" s="78"/>
      <c r="F535" s="96">
        <v>0</v>
      </c>
      <c r="G535" s="42">
        <f t="shared" si="8"/>
        <v>0</v>
      </c>
      <c r="H535" s="2" t="str">
        <f>VLOOKUP(A535,'TB MAy'!A:H,8,0)</f>
        <v>Not Applicable</v>
      </c>
    </row>
    <row r="536" spans="1:8" hidden="1">
      <c r="A536" s="95" t="s">
        <v>1566</v>
      </c>
      <c r="B536" s="78"/>
      <c r="C536" s="78"/>
      <c r="D536" s="78">
        <v>190250</v>
      </c>
      <c r="E536" s="78">
        <v>-190250</v>
      </c>
      <c r="F536" s="96">
        <v>0</v>
      </c>
      <c r="G536" s="42">
        <f t="shared" si="8"/>
        <v>-190250</v>
      </c>
      <c r="H536" s="2" t="s">
        <v>84</v>
      </c>
    </row>
    <row r="537" spans="1:8" hidden="1">
      <c r="A537" s="95" t="s">
        <v>532</v>
      </c>
      <c r="B537" s="78">
        <v>-15458</v>
      </c>
      <c r="C537" s="78"/>
      <c r="D537" s="78"/>
      <c r="E537" s="78">
        <v>-15458</v>
      </c>
      <c r="F537" s="96">
        <v>0</v>
      </c>
      <c r="G537" s="42">
        <f t="shared" si="8"/>
        <v>-15458</v>
      </c>
      <c r="H537" s="2" t="str">
        <f>VLOOKUP(A537,'TB MAy'!A:H,8,0)</f>
        <v>Not Applicable</v>
      </c>
    </row>
    <row r="538" spans="1:8" hidden="1">
      <c r="A538" s="95" t="s">
        <v>1448</v>
      </c>
      <c r="B538" s="78">
        <v>-28477</v>
      </c>
      <c r="C538" s="78">
        <v>37327</v>
      </c>
      <c r="D538" s="78">
        <v>8850</v>
      </c>
      <c r="E538" s="78"/>
      <c r="F538" s="96">
        <v>0</v>
      </c>
      <c r="G538" s="42">
        <f t="shared" si="8"/>
        <v>0</v>
      </c>
      <c r="H538" s="2" t="str">
        <f>VLOOKUP(A538,'TB MAy'!A:H,8,0)</f>
        <v>Not Applicable</v>
      </c>
    </row>
    <row r="539" spans="1:8" hidden="1">
      <c r="A539" s="95" t="s">
        <v>530</v>
      </c>
      <c r="B539" s="78">
        <v>-84201</v>
      </c>
      <c r="C539" s="78">
        <v>100284</v>
      </c>
      <c r="D539" s="78">
        <v>60166</v>
      </c>
      <c r="E539" s="78">
        <v>-44083</v>
      </c>
      <c r="F539" s="96">
        <v>0</v>
      </c>
      <c r="G539" s="42">
        <f t="shared" si="8"/>
        <v>-44083</v>
      </c>
      <c r="H539" s="2" t="str">
        <f>VLOOKUP(A539,'TB MAy'!A:H,8,0)</f>
        <v>Not Applicable</v>
      </c>
    </row>
    <row r="540" spans="1:8" hidden="1">
      <c r="A540" s="95" t="s">
        <v>1449</v>
      </c>
      <c r="B540" s="78">
        <v>-38744</v>
      </c>
      <c r="C540" s="78"/>
      <c r="D540" s="78"/>
      <c r="E540" s="78">
        <v>-38744</v>
      </c>
      <c r="F540" s="96">
        <v>0</v>
      </c>
      <c r="G540" s="42">
        <f t="shared" si="8"/>
        <v>-38744</v>
      </c>
      <c r="H540" s="2" t="str">
        <f>VLOOKUP(A540,'TB MAy'!A:H,8,0)</f>
        <v>Not Applicable</v>
      </c>
    </row>
    <row r="541" spans="1:8" hidden="1">
      <c r="A541" s="95" t="s">
        <v>529</v>
      </c>
      <c r="B541" s="78">
        <v>-38962.5</v>
      </c>
      <c r="C541" s="78">
        <v>35777</v>
      </c>
      <c r="D541" s="78">
        <v>61357</v>
      </c>
      <c r="E541" s="78">
        <v>-64542.5</v>
      </c>
      <c r="F541" s="96">
        <v>0</v>
      </c>
      <c r="G541" s="42">
        <f t="shared" si="8"/>
        <v>-64542.5</v>
      </c>
      <c r="H541" s="2" t="str">
        <f>VLOOKUP(A541,'TB MAy'!A:H,8,0)</f>
        <v>Not Applicable</v>
      </c>
    </row>
    <row r="542" spans="1:8" hidden="1">
      <c r="A542" s="95" t="s">
        <v>1450</v>
      </c>
      <c r="B542" s="78"/>
      <c r="C542" s="78"/>
      <c r="D542" s="78"/>
      <c r="E542" s="78"/>
      <c r="F542" s="96">
        <v>0</v>
      </c>
      <c r="G542" s="42">
        <f t="shared" si="8"/>
        <v>0</v>
      </c>
      <c r="H542" s="2" t="str">
        <f>VLOOKUP(A542,'TB MAy'!A:H,8,0)</f>
        <v>Not Applicable</v>
      </c>
    </row>
    <row r="543" spans="1:8" hidden="1">
      <c r="A543" s="95" t="s">
        <v>522</v>
      </c>
      <c r="B543" s="78">
        <v>-16891.400000000001</v>
      </c>
      <c r="C543" s="78">
        <v>17965</v>
      </c>
      <c r="D543" s="78">
        <v>5345</v>
      </c>
      <c r="E543" s="78">
        <v>-4271.3999999999996</v>
      </c>
      <c r="F543" s="96">
        <v>0</v>
      </c>
      <c r="G543" s="42">
        <f t="shared" si="8"/>
        <v>-4271.3999999999996</v>
      </c>
      <c r="H543" s="2" t="str">
        <f>VLOOKUP(A543,'TB MAy'!A:H,8,0)</f>
        <v>Not Applicable</v>
      </c>
    </row>
    <row r="544" spans="1:8" hidden="1">
      <c r="A544" s="95" t="s">
        <v>523</v>
      </c>
      <c r="B544" s="78">
        <v>3266.14</v>
      </c>
      <c r="C544" s="78"/>
      <c r="D544" s="78">
        <v>3266</v>
      </c>
      <c r="E544" s="78">
        <v>0.14000000000000001</v>
      </c>
      <c r="F544" s="96">
        <v>0</v>
      </c>
      <c r="G544" s="42">
        <f t="shared" si="8"/>
        <v>0.14000000000000001</v>
      </c>
      <c r="H544" s="2" t="str">
        <f>VLOOKUP(A544,'TB MAy'!A:H,8,0)</f>
        <v>Not Applicable</v>
      </c>
    </row>
    <row r="545" spans="1:8" hidden="1">
      <c r="A545" s="95" t="s">
        <v>1451</v>
      </c>
      <c r="B545" s="78">
        <v>-330.4</v>
      </c>
      <c r="C545" s="78"/>
      <c r="D545" s="78"/>
      <c r="E545" s="78">
        <v>-330.4</v>
      </c>
      <c r="F545" s="96">
        <v>0</v>
      </c>
      <c r="G545" s="42">
        <f t="shared" ref="G545:G608" si="9">+E545+F545</f>
        <v>-330.4</v>
      </c>
      <c r="H545" s="2" t="str">
        <f>VLOOKUP(A545,'TB MAy'!A:H,8,0)</f>
        <v>Not Applicable</v>
      </c>
    </row>
    <row r="546" spans="1:8" hidden="1">
      <c r="A546" s="95" t="s">
        <v>520</v>
      </c>
      <c r="B546" s="78">
        <v>-8153</v>
      </c>
      <c r="C546" s="78">
        <v>8153</v>
      </c>
      <c r="D546" s="78"/>
      <c r="E546" s="78"/>
      <c r="F546" s="96">
        <v>0</v>
      </c>
      <c r="G546" s="42">
        <f t="shared" si="9"/>
        <v>0</v>
      </c>
      <c r="H546" s="2" t="str">
        <f>VLOOKUP(A546,'TB MAy'!A:H,8,0)</f>
        <v>Not Applicable</v>
      </c>
    </row>
    <row r="547" spans="1:8" hidden="1">
      <c r="A547" s="95" t="s">
        <v>1016</v>
      </c>
      <c r="B547" s="78">
        <v>29517.8</v>
      </c>
      <c r="C547" s="78"/>
      <c r="D547" s="78">
        <v>25618</v>
      </c>
      <c r="E547" s="78">
        <v>3899.8</v>
      </c>
      <c r="F547" s="96">
        <v>0</v>
      </c>
      <c r="G547" s="42">
        <f t="shared" si="9"/>
        <v>3899.8</v>
      </c>
      <c r="H547" s="2" t="str">
        <f>VLOOKUP(A547,'TB MAy'!A:H,8,0)</f>
        <v>Not Applicable</v>
      </c>
    </row>
    <row r="548" spans="1:8" hidden="1">
      <c r="A548" s="95" t="s">
        <v>1567</v>
      </c>
      <c r="B548" s="78"/>
      <c r="C548" s="78">
        <v>27848</v>
      </c>
      <c r="D548" s="78">
        <v>27848</v>
      </c>
      <c r="E548" s="78"/>
      <c r="F548" s="96">
        <v>0</v>
      </c>
      <c r="G548" s="42">
        <f t="shared" si="9"/>
        <v>0</v>
      </c>
      <c r="H548" s="2" t="s">
        <v>84</v>
      </c>
    </row>
    <row r="549" spans="1:8" hidden="1">
      <c r="A549" s="95" t="s">
        <v>1183</v>
      </c>
      <c r="B549" s="78"/>
      <c r="C549" s="78"/>
      <c r="D549" s="78"/>
      <c r="E549" s="78"/>
      <c r="F549" s="96">
        <v>0</v>
      </c>
      <c r="G549" s="42">
        <f t="shared" si="9"/>
        <v>0</v>
      </c>
      <c r="H549" s="2" t="s">
        <v>84</v>
      </c>
    </row>
    <row r="550" spans="1:8" hidden="1">
      <c r="A550" s="95" t="s">
        <v>1452</v>
      </c>
      <c r="B550" s="78"/>
      <c r="C550" s="78"/>
      <c r="D550" s="78"/>
      <c r="E550" s="78"/>
      <c r="F550" s="96">
        <v>0</v>
      </c>
      <c r="G550" s="42">
        <f t="shared" si="9"/>
        <v>0</v>
      </c>
      <c r="H550" s="2" t="str">
        <f>VLOOKUP(A550,'TB MAy'!A:H,8,0)</f>
        <v>Not Applicable</v>
      </c>
    </row>
    <row r="551" spans="1:8" hidden="1">
      <c r="A551" s="95" t="s">
        <v>857</v>
      </c>
      <c r="B551" s="78">
        <v>-110405</v>
      </c>
      <c r="C551" s="78">
        <v>173295.62</v>
      </c>
      <c r="D551" s="78">
        <v>70372</v>
      </c>
      <c r="E551" s="78">
        <v>-7481.38</v>
      </c>
      <c r="F551" s="96">
        <v>0</v>
      </c>
      <c r="G551" s="42">
        <f t="shared" si="9"/>
        <v>-7481.38</v>
      </c>
      <c r="H551" s="2" t="str">
        <f>VLOOKUP(A551,'TB MAy'!A:H,8,0)</f>
        <v>Not Applicable</v>
      </c>
    </row>
    <row r="552" spans="1:8" hidden="1">
      <c r="A552" s="95" t="s">
        <v>1118</v>
      </c>
      <c r="B552" s="78">
        <v>-41712.94</v>
      </c>
      <c r="C552" s="78">
        <v>213812</v>
      </c>
      <c r="D552" s="78">
        <v>213706</v>
      </c>
      <c r="E552" s="78">
        <v>-41606.94</v>
      </c>
      <c r="F552" s="96">
        <v>0</v>
      </c>
      <c r="G552" s="42">
        <f t="shared" si="9"/>
        <v>-41606.94</v>
      </c>
      <c r="H552" s="2" t="str">
        <f>VLOOKUP(A552,'TB MAy'!A:H,8,0)</f>
        <v>Not Applicable</v>
      </c>
    </row>
    <row r="553" spans="1:8" hidden="1">
      <c r="A553" s="95" t="s">
        <v>483</v>
      </c>
      <c r="B553" s="78"/>
      <c r="C553" s="78"/>
      <c r="D553" s="78"/>
      <c r="E553" s="78"/>
      <c r="F553" s="96">
        <v>0</v>
      </c>
      <c r="G553" s="42">
        <f t="shared" si="9"/>
        <v>0</v>
      </c>
      <c r="H553" s="2" t="s">
        <v>84</v>
      </c>
    </row>
    <row r="554" spans="1:8" hidden="1">
      <c r="A554" s="95" t="s">
        <v>484</v>
      </c>
      <c r="B554" s="78">
        <v>-18145.099999999999</v>
      </c>
      <c r="C554" s="78">
        <v>18145.099999999999</v>
      </c>
      <c r="D554" s="78"/>
      <c r="E554" s="78"/>
      <c r="F554" s="96">
        <v>0</v>
      </c>
      <c r="G554" s="42">
        <f t="shared" si="9"/>
        <v>0</v>
      </c>
      <c r="H554" s="2" t="str">
        <f>VLOOKUP(A554,'TB MAy'!A:H,8,0)</f>
        <v>Not Applicable</v>
      </c>
    </row>
    <row r="555" spans="1:8" hidden="1">
      <c r="A555" s="95" t="s">
        <v>1453</v>
      </c>
      <c r="B555" s="78"/>
      <c r="C555" s="78"/>
      <c r="D555" s="78"/>
      <c r="E555" s="78"/>
      <c r="F555" s="96">
        <v>0</v>
      </c>
      <c r="G555" s="42">
        <f t="shared" si="9"/>
        <v>0</v>
      </c>
      <c r="H555" s="2" t="str">
        <f>VLOOKUP(A555,'TB MAy'!A:H,8,0)</f>
        <v>Not Applicable</v>
      </c>
    </row>
    <row r="556" spans="1:8" hidden="1">
      <c r="A556" s="95" t="s">
        <v>481</v>
      </c>
      <c r="B556" s="78">
        <v>-466.6</v>
      </c>
      <c r="C556" s="78">
        <v>4578</v>
      </c>
      <c r="D556" s="78">
        <v>2478</v>
      </c>
      <c r="E556" s="78">
        <v>1633.4</v>
      </c>
      <c r="F556" s="96">
        <v>0</v>
      </c>
      <c r="G556" s="42">
        <f t="shared" si="9"/>
        <v>1633.4</v>
      </c>
      <c r="H556" s="2" t="str">
        <f>VLOOKUP(A556,'TB MAy'!A:H,8,0)</f>
        <v>Not Applicable</v>
      </c>
    </row>
    <row r="557" spans="1:8" hidden="1">
      <c r="A557" s="95" t="s">
        <v>475</v>
      </c>
      <c r="B557" s="78"/>
      <c r="C557" s="78"/>
      <c r="D557" s="78">
        <v>4248</v>
      </c>
      <c r="E557" s="78">
        <v>-4248</v>
      </c>
      <c r="F557" s="96">
        <v>0</v>
      </c>
      <c r="G557" s="42">
        <f t="shared" si="9"/>
        <v>-4248</v>
      </c>
      <c r="H557" s="2" t="s">
        <v>84</v>
      </c>
    </row>
    <row r="558" spans="1:8" hidden="1">
      <c r="A558" s="95" t="s">
        <v>466</v>
      </c>
      <c r="B558" s="78"/>
      <c r="C558" s="78">
        <v>23388</v>
      </c>
      <c r="D558" s="78">
        <v>23388</v>
      </c>
      <c r="E558" s="78"/>
      <c r="F558" s="96">
        <v>0</v>
      </c>
      <c r="G558" s="42">
        <f t="shared" si="9"/>
        <v>0</v>
      </c>
      <c r="H558" s="2" t="str">
        <f>VLOOKUP(A558,'TB MAy'!A:H,8,0)</f>
        <v>Not Applicable</v>
      </c>
    </row>
    <row r="559" spans="1:8" hidden="1">
      <c r="A559" s="95" t="s">
        <v>467</v>
      </c>
      <c r="B559" s="78">
        <v>-3363</v>
      </c>
      <c r="C559" s="78">
        <v>3363</v>
      </c>
      <c r="D559" s="78">
        <v>26692</v>
      </c>
      <c r="E559" s="78">
        <v>-26692</v>
      </c>
      <c r="F559" s="96">
        <v>0</v>
      </c>
      <c r="G559" s="42">
        <f t="shared" si="9"/>
        <v>-26692</v>
      </c>
      <c r="H559" s="2" t="str">
        <f>VLOOKUP(A559,'TB MAy'!A:H,8,0)</f>
        <v>Not Applicable</v>
      </c>
    </row>
    <row r="560" spans="1:8" hidden="1">
      <c r="A560" s="95" t="s">
        <v>868</v>
      </c>
      <c r="B560" s="78">
        <v>-16992</v>
      </c>
      <c r="C560" s="78"/>
      <c r="D560" s="78"/>
      <c r="E560" s="78">
        <v>-16992</v>
      </c>
      <c r="F560" s="96">
        <v>0</v>
      </c>
      <c r="G560" s="42">
        <f t="shared" si="9"/>
        <v>-16992</v>
      </c>
      <c r="H560" s="2" t="str">
        <f>VLOOKUP(A560,'TB MAy'!A:H,8,0)</f>
        <v>Not Applicable</v>
      </c>
    </row>
    <row r="561" spans="1:8" hidden="1">
      <c r="A561" s="95" t="s">
        <v>1037</v>
      </c>
      <c r="B561" s="78"/>
      <c r="C561" s="78">
        <v>24898</v>
      </c>
      <c r="D561" s="78">
        <v>24898</v>
      </c>
      <c r="E561" s="78"/>
      <c r="F561" s="96">
        <v>0</v>
      </c>
      <c r="G561" s="42">
        <f t="shared" si="9"/>
        <v>0</v>
      </c>
      <c r="H561" s="2" t="str">
        <f>VLOOKUP(A561,'TB MAy'!A:H,8,0)</f>
        <v>Not Applicable</v>
      </c>
    </row>
    <row r="562" spans="1:8" hidden="1">
      <c r="A562" s="95" t="s">
        <v>897</v>
      </c>
      <c r="B562" s="78">
        <v>118.8</v>
      </c>
      <c r="C562" s="78"/>
      <c r="D562" s="78"/>
      <c r="E562" s="78">
        <v>118.8</v>
      </c>
      <c r="F562" s="96">
        <v>0</v>
      </c>
      <c r="G562" s="42">
        <f t="shared" si="9"/>
        <v>118.8</v>
      </c>
      <c r="H562" s="2" t="str">
        <f>VLOOKUP(A562,'TB MAy'!A:H,8,0)</f>
        <v>Not Applicable</v>
      </c>
    </row>
    <row r="563" spans="1:8" hidden="1">
      <c r="A563" s="95" t="s">
        <v>1217</v>
      </c>
      <c r="B563" s="78">
        <v>-51715</v>
      </c>
      <c r="C563" s="78">
        <v>51715</v>
      </c>
      <c r="D563" s="78"/>
      <c r="E563" s="78"/>
      <c r="F563" s="96">
        <v>0</v>
      </c>
      <c r="G563" s="42">
        <f t="shared" si="9"/>
        <v>0</v>
      </c>
      <c r="H563" s="2" t="str">
        <f>VLOOKUP(A563,'TB MAy'!A:H,8,0)</f>
        <v>Not Applicable</v>
      </c>
    </row>
    <row r="564" spans="1:8" hidden="1">
      <c r="A564" s="95" t="s">
        <v>459</v>
      </c>
      <c r="B564" s="78">
        <v>-14300</v>
      </c>
      <c r="C564" s="78">
        <v>14300</v>
      </c>
      <c r="D564" s="78"/>
      <c r="E564" s="78"/>
      <c r="F564" s="96">
        <v>0</v>
      </c>
      <c r="G564" s="42">
        <f t="shared" si="9"/>
        <v>0</v>
      </c>
      <c r="H564" s="2" t="str">
        <f>VLOOKUP(A564,'TB MAy'!A:H,8,0)</f>
        <v>Not Applicable</v>
      </c>
    </row>
    <row r="565" spans="1:8" hidden="1">
      <c r="A565" s="95" t="s">
        <v>1454</v>
      </c>
      <c r="B565" s="78"/>
      <c r="C565" s="78">
        <v>1309.8</v>
      </c>
      <c r="D565" s="78">
        <v>1309.8</v>
      </c>
      <c r="E565" s="78"/>
      <c r="F565" s="96">
        <v>0</v>
      </c>
      <c r="G565" s="42">
        <f t="shared" si="9"/>
        <v>0</v>
      </c>
      <c r="H565" s="2" t="str">
        <f>VLOOKUP(A565,'TB MAy'!A:H,8,0)</f>
        <v>Not Applicable</v>
      </c>
    </row>
    <row r="566" spans="1:8" hidden="1">
      <c r="A566" s="95" t="s">
        <v>1455</v>
      </c>
      <c r="B566" s="78"/>
      <c r="C566" s="78"/>
      <c r="D566" s="78"/>
      <c r="E566" s="78"/>
      <c r="F566" s="96">
        <v>0</v>
      </c>
      <c r="G566" s="42">
        <f t="shared" si="9"/>
        <v>0</v>
      </c>
      <c r="H566" s="2" t="str">
        <f>VLOOKUP(A566,'TB MAy'!A:H,8,0)</f>
        <v>Not Applicable</v>
      </c>
    </row>
    <row r="567" spans="1:8" hidden="1">
      <c r="A567" s="95" t="s">
        <v>409</v>
      </c>
      <c r="B567" s="78"/>
      <c r="C567" s="78">
        <v>23930</v>
      </c>
      <c r="D567" s="78">
        <v>23930</v>
      </c>
      <c r="E567" s="78"/>
      <c r="F567" s="96">
        <v>0</v>
      </c>
      <c r="G567" s="42">
        <f t="shared" si="9"/>
        <v>0</v>
      </c>
      <c r="H567" s="2" t="str">
        <f>VLOOKUP(A567,'TB MAy'!A:H,8,0)</f>
        <v>Not Applicable</v>
      </c>
    </row>
    <row r="568" spans="1:8" hidden="1">
      <c r="A568" s="95" t="s">
        <v>978</v>
      </c>
      <c r="B568" s="78">
        <v>-8198</v>
      </c>
      <c r="C568" s="78"/>
      <c r="D568" s="78"/>
      <c r="E568" s="78">
        <v>-8198</v>
      </c>
      <c r="F568" s="96">
        <v>0</v>
      </c>
      <c r="G568" s="42">
        <f t="shared" si="9"/>
        <v>-8198</v>
      </c>
      <c r="H568" s="2" t="str">
        <f>VLOOKUP(A568,'TB MAy'!A:H,8,0)</f>
        <v>Not Applicable</v>
      </c>
    </row>
    <row r="569" spans="1:8" hidden="1">
      <c r="A569" s="95" t="s">
        <v>453</v>
      </c>
      <c r="B569" s="78">
        <v>-315182</v>
      </c>
      <c r="C569" s="78">
        <v>587937</v>
      </c>
      <c r="D569" s="78">
        <v>418267</v>
      </c>
      <c r="E569" s="78">
        <v>-145512</v>
      </c>
      <c r="F569" s="96">
        <v>0</v>
      </c>
      <c r="G569" s="42">
        <f t="shared" si="9"/>
        <v>-145512</v>
      </c>
      <c r="H569" s="2" t="str">
        <f>VLOOKUP(A569,'TB MAy'!A:H,8,0)</f>
        <v>Not Applicable</v>
      </c>
    </row>
    <row r="570" spans="1:8" hidden="1">
      <c r="A570" s="95" t="s">
        <v>449</v>
      </c>
      <c r="B570" s="78">
        <v>-6136</v>
      </c>
      <c r="C570" s="78">
        <v>179</v>
      </c>
      <c r="D570" s="78">
        <v>179</v>
      </c>
      <c r="E570" s="78">
        <v>-6136</v>
      </c>
      <c r="F570" s="96">
        <v>0</v>
      </c>
      <c r="G570" s="42">
        <f t="shared" si="9"/>
        <v>-6136</v>
      </c>
      <c r="H570" s="2" t="str">
        <f>VLOOKUP(A570,'TB MAy'!A:H,8,0)</f>
        <v>Not Applicable</v>
      </c>
    </row>
    <row r="571" spans="1:8" hidden="1">
      <c r="A571" s="95" t="s">
        <v>1096</v>
      </c>
      <c r="B571" s="78"/>
      <c r="C571" s="78"/>
      <c r="D571" s="78"/>
      <c r="E571" s="78"/>
      <c r="F571" s="96">
        <v>0</v>
      </c>
      <c r="G571" s="42">
        <f t="shared" si="9"/>
        <v>0</v>
      </c>
      <c r="H571" s="2" t="str">
        <f>VLOOKUP(A571,'TB MAy'!A:H,8,0)</f>
        <v>Not Applicable</v>
      </c>
    </row>
    <row r="572" spans="1:8" hidden="1">
      <c r="A572" s="95" t="s">
        <v>450</v>
      </c>
      <c r="B572" s="78">
        <v>-4213</v>
      </c>
      <c r="C572" s="78">
        <v>31364.799999999999</v>
      </c>
      <c r="D572" s="78">
        <v>27989.8</v>
      </c>
      <c r="E572" s="78">
        <v>-838</v>
      </c>
      <c r="F572" s="96">
        <v>0</v>
      </c>
      <c r="G572" s="42">
        <f t="shared" si="9"/>
        <v>-838</v>
      </c>
      <c r="H572" s="2" t="str">
        <f>VLOOKUP(A572,'TB MAy'!A:H,8,0)</f>
        <v>Not Applicable</v>
      </c>
    </row>
    <row r="573" spans="1:8" hidden="1">
      <c r="A573" s="95" t="s">
        <v>451</v>
      </c>
      <c r="B573" s="78">
        <v>-68735</v>
      </c>
      <c r="C573" s="78">
        <v>68735</v>
      </c>
      <c r="D573" s="78"/>
      <c r="E573" s="78"/>
      <c r="F573" s="96">
        <v>0</v>
      </c>
      <c r="G573" s="42">
        <f t="shared" si="9"/>
        <v>0</v>
      </c>
      <c r="H573" s="2" t="str">
        <f>VLOOKUP(A573,'TB MAy'!A:H,8,0)</f>
        <v>Not Applicable</v>
      </c>
    </row>
    <row r="574" spans="1:8" hidden="1">
      <c r="A574" s="95" t="s">
        <v>452</v>
      </c>
      <c r="B574" s="78"/>
      <c r="C574" s="78">
        <v>9980.25</v>
      </c>
      <c r="D574" s="78">
        <v>9980.25</v>
      </c>
      <c r="E574" s="78"/>
      <c r="F574" s="96">
        <v>0</v>
      </c>
      <c r="G574" s="42">
        <f t="shared" si="9"/>
        <v>0</v>
      </c>
      <c r="H574" s="2" t="str">
        <f>VLOOKUP(A574,'TB MAy'!A:H,8,0)</f>
        <v>Not Applicable</v>
      </c>
    </row>
    <row r="575" spans="1:8" hidden="1">
      <c r="A575" s="95" t="s">
        <v>435</v>
      </c>
      <c r="B575" s="78">
        <v>-2047</v>
      </c>
      <c r="C575" s="78"/>
      <c r="D575" s="78"/>
      <c r="E575" s="78">
        <v>-2047</v>
      </c>
      <c r="F575" s="96">
        <v>0</v>
      </c>
      <c r="G575" s="42">
        <f t="shared" si="9"/>
        <v>-2047</v>
      </c>
      <c r="H575" s="2" t="str">
        <f>VLOOKUP(A575,'TB MAy'!A:H,8,0)</f>
        <v>Not Applicable</v>
      </c>
    </row>
    <row r="576" spans="1:8" hidden="1">
      <c r="A576" s="95" t="s">
        <v>1568</v>
      </c>
      <c r="B576" s="78"/>
      <c r="C576" s="78">
        <v>29</v>
      </c>
      <c r="D576" s="78">
        <v>3044</v>
      </c>
      <c r="E576" s="78">
        <v>-3015</v>
      </c>
      <c r="F576" s="96">
        <v>0</v>
      </c>
      <c r="G576" s="42">
        <f t="shared" si="9"/>
        <v>-3015</v>
      </c>
      <c r="H576" s="2" t="s">
        <v>84</v>
      </c>
    </row>
    <row r="577" spans="1:8" hidden="1">
      <c r="A577" s="95" t="s">
        <v>439</v>
      </c>
      <c r="B577" s="78">
        <v>-200412.23</v>
      </c>
      <c r="C577" s="78">
        <v>65047.5</v>
      </c>
      <c r="D577" s="78">
        <v>18172</v>
      </c>
      <c r="E577" s="78">
        <v>-153536.73000000001</v>
      </c>
      <c r="F577" s="96">
        <v>0</v>
      </c>
      <c r="G577" s="42">
        <f t="shared" si="9"/>
        <v>-153536.73000000001</v>
      </c>
      <c r="H577" s="2" t="str">
        <f>VLOOKUP(A577,'TB MAy'!A:H,8,0)</f>
        <v>Not Applicable</v>
      </c>
    </row>
    <row r="578" spans="1:8" hidden="1">
      <c r="A578" s="95" t="s">
        <v>440</v>
      </c>
      <c r="B578" s="78"/>
      <c r="C578" s="78"/>
      <c r="D578" s="78"/>
      <c r="E578" s="78"/>
      <c r="F578" s="96">
        <v>0</v>
      </c>
      <c r="G578" s="42">
        <f t="shared" si="9"/>
        <v>0</v>
      </c>
      <c r="H578" s="2" t="str">
        <f>VLOOKUP(A578,'TB MAy'!A:H,8,0)</f>
        <v>Not Applicable</v>
      </c>
    </row>
    <row r="579" spans="1:8" hidden="1">
      <c r="A579" s="95" t="s">
        <v>1063</v>
      </c>
      <c r="B579" s="78">
        <v>0.14000000000000001</v>
      </c>
      <c r="C579" s="78"/>
      <c r="D579" s="78"/>
      <c r="E579" s="78">
        <v>0.14000000000000001</v>
      </c>
      <c r="F579" s="96">
        <v>0</v>
      </c>
      <c r="G579" s="42">
        <f t="shared" si="9"/>
        <v>0.14000000000000001</v>
      </c>
      <c r="H579" s="2" t="str">
        <f>VLOOKUP(A579,'TB MAy'!A:H,8,0)</f>
        <v>Not Applicable</v>
      </c>
    </row>
    <row r="580" spans="1:8" hidden="1">
      <c r="A580" s="95" t="s">
        <v>1339</v>
      </c>
      <c r="B580" s="78">
        <v>-43660</v>
      </c>
      <c r="C580" s="78">
        <v>62835</v>
      </c>
      <c r="D580" s="78">
        <v>29795</v>
      </c>
      <c r="E580" s="78">
        <v>-10620</v>
      </c>
      <c r="F580" s="96">
        <v>0</v>
      </c>
      <c r="G580" s="42">
        <f t="shared" si="9"/>
        <v>-10620</v>
      </c>
      <c r="H580" s="2" t="str">
        <f>VLOOKUP(A580,'TB MAy'!A:H,8,0)</f>
        <v>Not Applicable</v>
      </c>
    </row>
    <row r="581" spans="1:8" hidden="1">
      <c r="A581" s="95" t="s">
        <v>432</v>
      </c>
      <c r="B581" s="78"/>
      <c r="C581" s="78"/>
      <c r="D581" s="78"/>
      <c r="E581" s="78"/>
      <c r="F581" s="96">
        <v>0</v>
      </c>
      <c r="G581" s="42">
        <f t="shared" si="9"/>
        <v>0</v>
      </c>
      <c r="H581" s="2" t="str">
        <f>VLOOKUP(A581,'TB MAy'!A:H,8,0)</f>
        <v>Not Applicable</v>
      </c>
    </row>
    <row r="582" spans="1:8" hidden="1">
      <c r="A582" s="95" t="s">
        <v>427</v>
      </c>
      <c r="B582" s="78">
        <v>6938.4</v>
      </c>
      <c r="C582" s="78"/>
      <c r="D582" s="78">
        <v>6939</v>
      </c>
      <c r="E582" s="78">
        <v>-0.6</v>
      </c>
      <c r="F582" s="96">
        <v>0</v>
      </c>
      <c r="G582" s="42">
        <f t="shared" si="9"/>
        <v>-0.6</v>
      </c>
      <c r="H582" s="2" t="str">
        <f>VLOOKUP(A582,'TB MAy'!A:H,8,0)</f>
        <v>Not Applicable</v>
      </c>
    </row>
    <row r="583" spans="1:8" hidden="1">
      <c r="A583" s="95" t="s">
        <v>1569</v>
      </c>
      <c r="B583" s="78"/>
      <c r="C583" s="78"/>
      <c r="D583" s="78"/>
      <c r="E583" s="78"/>
      <c r="F583" s="96">
        <v>0</v>
      </c>
      <c r="G583" s="42">
        <f t="shared" si="9"/>
        <v>0</v>
      </c>
      <c r="H583" s="2" t="s">
        <v>84</v>
      </c>
    </row>
    <row r="584" spans="1:8" hidden="1">
      <c r="A584" s="95" t="s">
        <v>429</v>
      </c>
      <c r="B584" s="78">
        <v>-47161</v>
      </c>
      <c r="C584" s="78">
        <v>46844</v>
      </c>
      <c r="D584" s="78">
        <v>39109</v>
      </c>
      <c r="E584" s="78">
        <v>-39426</v>
      </c>
      <c r="F584" s="96">
        <v>0</v>
      </c>
      <c r="G584" s="42">
        <f t="shared" si="9"/>
        <v>-39426</v>
      </c>
      <c r="H584" s="2" t="str">
        <f>VLOOKUP(A584,'TB MAy'!A:H,8,0)</f>
        <v>Not Applicable</v>
      </c>
    </row>
    <row r="585" spans="1:8" hidden="1">
      <c r="A585" s="95" t="s">
        <v>1341</v>
      </c>
      <c r="B585" s="78">
        <v>-28261</v>
      </c>
      <c r="C585" s="78">
        <v>28261</v>
      </c>
      <c r="D585" s="78"/>
      <c r="E585" s="78"/>
      <c r="F585" s="96">
        <v>0</v>
      </c>
      <c r="G585" s="42">
        <f t="shared" si="9"/>
        <v>0</v>
      </c>
      <c r="H585" s="2" t="str">
        <f>VLOOKUP(A585,'TB MAy'!A:H,8,0)</f>
        <v>Not Applicable</v>
      </c>
    </row>
    <row r="586" spans="1:8" hidden="1">
      <c r="A586" s="95" t="s">
        <v>423</v>
      </c>
      <c r="B586" s="78"/>
      <c r="C586" s="78"/>
      <c r="D586" s="78"/>
      <c r="E586" s="78"/>
      <c r="F586" s="96">
        <v>0</v>
      </c>
      <c r="G586" s="42">
        <f t="shared" si="9"/>
        <v>0</v>
      </c>
      <c r="H586" s="2" t="str">
        <f>VLOOKUP(A586,'TB MAy'!A:H,8,0)</f>
        <v>Not Applicable</v>
      </c>
    </row>
    <row r="587" spans="1:8" hidden="1">
      <c r="A587" s="95" t="s">
        <v>424</v>
      </c>
      <c r="B587" s="78">
        <v>-40521</v>
      </c>
      <c r="C587" s="78">
        <v>51731</v>
      </c>
      <c r="D587" s="78">
        <v>11210</v>
      </c>
      <c r="E587" s="78"/>
      <c r="F587" s="96">
        <v>0</v>
      </c>
      <c r="G587" s="42">
        <f t="shared" si="9"/>
        <v>0</v>
      </c>
      <c r="H587" s="2" t="str">
        <f>VLOOKUP(A587,'TB MAy'!A:H,8,0)</f>
        <v>Not Applicable</v>
      </c>
    </row>
    <row r="588" spans="1:8" hidden="1">
      <c r="A588" s="95" t="s">
        <v>1570</v>
      </c>
      <c r="B588" s="78"/>
      <c r="C588" s="78"/>
      <c r="D588" s="78">
        <v>964</v>
      </c>
      <c r="E588" s="78">
        <v>-964</v>
      </c>
      <c r="F588" s="96">
        <v>0</v>
      </c>
      <c r="G588" s="42">
        <f t="shared" si="9"/>
        <v>-964</v>
      </c>
      <c r="H588" s="2" t="s">
        <v>84</v>
      </c>
    </row>
    <row r="589" spans="1:8" hidden="1">
      <c r="A589" s="95" t="s">
        <v>1013</v>
      </c>
      <c r="B589" s="78">
        <v>-1661730</v>
      </c>
      <c r="C589" s="78">
        <v>2011805.25</v>
      </c>
      <c r="D589" s="78">
        <v>1650033.55</v>
      </c>
      <c r="E589" s="78">
        <v>-1299958.3</v>
      </c>
      <c r="F589" s="96">
        <v>0</v>
      </c>
      <c r="G589" s="42">
        <f t="shared" si="9"/>
        <v>-1299958.3</v>
      </c>
      <c r="H589" s="2" t="str">
        <f>VLOOKUP(A589,'TB MAy'!A:H,8,0)</f>
        <v>Not Applicable</v>
      </c>
    </row>
    <row r="590" spans="1:8" hidden="1">
      <c r="A590" s="95" t="s">
        <v>1456</v>
      </c>
      <c r="B590" s="78"/>
      <c r="C590" s="78">
        <v>13122</v>
      </c>
      <c r="D590" s="78">
        <v>13122</v>
      </c>
      <c r="E590" s="78"/>
      <c r="F590" s="96">
        <v>0</v>
      </c>
      <c r="G590" s="42">
        <f t="shared" si="9"/>
        <v>0</v>
      </c>
      <c r="H590" s="2" t="str">
        <f>VLOOKUP(A590,'TB MAy'!A:H,8,0)</f>
        <v>Not Applicable</v>
      </c>
    </row>
    <row r="591" spans="1:8" hidden="1">
      <c r="A591" s="95" t="s">
        <v>1115</v>
      </c>
      <c r="B591" s="78">
        <v>-127436</v>
      </c>
      <c r="C591" s="78">
        <v>361016</v>
      </c>
      <c r="D591" s="78">
        <v>282872</v>
      </c>
      <c r="E591" s="78">
        <v>-49292</v>
      </c>
      <c r="F591" s="96">
        <v>0</v>
      </c>
      <c r="G591" s="42">
        <f t="shared" si="9"/>
        <v>-49292</v>
      </c>
      <c r="H591" s="2" t="str">
        <f>VLOOKUP(A591,'TB MAy'!A:H,8,0)</f>
        <v>Not Applicable</v>
      </c>
    </row>
    <row r="592" spans="1:8" hidden="1">
      <c r="A592" s="95" t="s">
        <v>1457</v>
      </c>
      <c r="B592" s="78">
        <v>-25648</v>
      </c>
      <c r="C592" s="78">
        <v>25648</v>
      </c>
      <c r="D592" s="78">
        <v>696</v>
      </c>
      <c r="E592" s="78">
        <v>-696</v>
      </c>
      <c r="F592" s="96">
        <v>0</v>
      </c>
      <c r="G592" s="42">
        <f t="shared" si="9"/>
        <v>-696</v>
      </c>
      <c r="H592" s="2" t="str">
        <f>VLOOKUP(A592,'TB MAy'!A:H,8,0)</f>
        <v>Not Applicable</v>
      </c>
    </row>
    <row r="593" spans="1:8" hidden="1">
      <c r="A593" s="95" t="s">
        <v>415</v>
      </c>
      <c r="B593" s="78">
        <v>-35754</v>
      </c>
      <c r="C593" s="78">
        <v>40262</v>
      </c>
      <c r="D593" s="78">
        <v>4508</v>
      </c>
      <c r="E593" s="78"/>
      <c r="F593" s="96">
        <v>0</v>
      </c>
      <c r="G593" s="42">
        <f t="shared" si="9"/>
        <v>0</v>
      </c>
      <c r="H593" s="2" t="str">
        <f>VLOOKUP(A593,'TB MAy'!A:H,8,0)</f>
        <v>Not Applicable</v>
      </c>
    </row>
    <row r="594" spans="1:8" hidden="1">
      <c r="A594" s="95" t="s">
        <v>1516</v>
      </c>
      <c r="B594" s="78"/>
      <c r="C594" s="78">
        <v>6490</v>
      </c>
      <c r="D594" s="78">
        <v>6490</v>
      </c>
      <c r="E594" s="78"/>
      <c r="F594" s="96">
        <v>0</v>
      </c>
      <c r="G594" s="42">
        <f t="shared" si="9"/>
        <v>0</v>
      </c>
      <c r="H594" s="2" t="str">
        <f>VLOOKUP(A594,'TB MAy'!A:H,8,0)</f>
        <v>Not Applicable</v>
      </c>
    </row>
    <row r="595" spans="1:8" hidden="1">
      <c r="A595" s="95" t="s">
        <v>1322</v>
      </c>
      <c r="B595" s="78"/>
      <c r="C595" s="78"/>
      <c r="D595" s="78"/>
      <c r="E595" s="78"/>
      <c r="F595" s="96">
        <v>0</v>
      </c>
      <c r="G595" s="42">
        <f t="shared" si="9"/>
        <v>0</v>
      </c>
      <c r="H595" s="2" t="str">
        <f>VLOOKUP(A595,'TB MAy'!A:H,8,0)</f>
        <v>Not Applicable</v>
      </c>
    </row>
    <row r="596" spans="1:8" hidden="1">
      <c r="A596" s="95" t="s">
        <v>1352</v>
      </c>
      <c r="B596" s="78">
        <v>-13405</v>
      </c>
      <c r="C596" s="78">
        <v>24527</v>
      </c>
      <c r="D596" s="78">
        <v>41720</v>
      </c>
      <c r="E596" s="78">
        <v>-30598</v>
      </c>
      <c r="F596" s="96">
        <v>0</v>
      </c>
      <c r="G596" s="42">
        <f t="shared" si="9"/>
        <v>-30598</v>
      </c>
      <c r="H596" s="2" t="str">
        <f>VLOOKUP(A596,'TB MAy'!A:H,8,0)</f>
        <v>Not Applicable</v>
      </c>
    </row>
    <row r="597" spans="1:8" hidden="1">
      <c r="A597" s="95" t="s">
        <v>1458</v>
      </c>
      <c r="B597" s="78"/>
      <c r="C597" s="78">
        <v>26550</v>
      </c>
      <c r="D597" s="78">
        <v>26550</v>
      </c>
      <c r="E597" s="78"/>
      <c r="F597" s="96">
        <v>0</v>
      </c>
      <c r="G597" s="42">
        <f t="shared" si="9"/>
        <v>0</v>
      </c>
      <c r="H597" s="2" t="str">
        <f>VLOOKUP(A597,'TB MAy'!A:H,8,0)</f>
        <v>Not Applicable</v>
      </c>
    </row>
    <row r="598" spans="1:8" hidden="1">
      <c r="A598" s="95" t="s">
        <v>408</v>
      </c>
      <c r="B598" s="78">
        <v>-5334</v>
      </c>
      <c r="C598" s="78">
        <v>94112</v>
      </c>
      <c r="D598" s="78">
        <v>88778</v>
      </c>
      <c r="E598" s="78"/>
      <c r="F598" s="96">
        <v>0</v>
      </c>
      <c r="G598" s="42">
        <f t="shared" si="9"/>
        <v>0</v>
      </c>
      <c r="H598" s="2" t="str">
        <f>VLOOKUP(A598,'TB MAy'!A:H,8,0)</f>
        <v>Not Applicable</v>
      </c>
    </row>
    <row r="599" spans="1:8" hidden="1">
      <c r="A599" s="95" t="s">
        <v>407</v>
      </c>
      <c r="B599" s="78">
        <v>-61931.199999999997</v>
      </c>
      <c r="C599" s="78">
        <v>61931</v>
      </c>
      <c r="D599" s="78"/>
      <c r="E599" s="78">
        <v>-0.2</v>
      </c>
      <c r="F599" s="96">
        <v>0</v>
      </c>
      <c r="G599" s="42">
        <f t="shared" si="9"/>
        <v>-0.2</v>
      </c>
      <c r="H599" s="2" t="str">
        <f>VLOOKUP(A599,'TB MAy'!A:H,8,0)</f>
        <v>Not Applicable</v>
      </c>
    </row>
    <row r="600" spans="1:8" hidden="1">
      <c r="A600" s="95" t="s">
        <v>1459</v>
      </c>
      <c r="B600" s="78">
        <v>3009</v>
      </c>
      <c r="C600" s="78"/>
      <c r="D600" s="78"/>
      <c r="E600" s="78">
        <v>3009</v>
      </c>
      <c r="F600" s="96">
        <v>0</v>
      </c>
      <c r="G600" s="42">
        <f t="shared" si="9"/>
        <v>3009</v>
      </c>
      <c r="H600" s="2" t="str">
        <f>VLOOKUP(A600,'TB MAy'!A:H,8,0)</f>
        <v>Not Applicable</v>
      </c>
    </row>
    <row r="601" spans="1:8" hidden="1">
      <c r="A601" s="95" t="s">
        <v>367</v>
      </c>
      <c r="B601" s="78">
        <v>-1204</v>
      </c>
      <c r="C601" s="78"/>
      <c r="D601" s="78"/>
      <c r="E601" s="78">
        <v>-1204</v>
      </c>
      <c r="F601" s="96">
        <v>0</v>
      </c>
      <c r="G601" s="42">
        <f t="shared" si="9"/>
        <v>-1204</v>
      </c>
      <c r="H601" s="2" t="str">
        <f>VLOOKUP(A601,'TB MAy'!A:H,8,0)</f>
        <v>Not Applicable</v>
      </c>
    </row>
    <row r="602" spans="1:8" hidden="1">
      <c r="A602" s="95" t="s">
        <v>877</v>
      </c>
      <c r="B602" s="78"/>
      <c r="C602" s="78"/>
      <c r="D602" s="78">
        <v>40425</v>
      </c>
      <c r="E602" s="78">
        <v>-40425</v>
      </c>
      <c r="F602" s="96">
        <v>0</v>
      </c>
      <c r="G602" s="42">
        <f t="shared" si="9"/>
        <v>-40425</v>
      </c>
      <c r="H602" s="2" t="str">
        <f>VLOOKUP(A602,'TB MAy'!A:H,8,0)</f>
        <v>Not Applicable</v>
      </c>
    </row>
    <row r="603" spans="1:8" hidden="1">
      <c r="A603" s="95" t="s">
        <v>1001</v>
      </c>
      <c r="B603" s="78"/>
      <c r="C603" s="78">
        <v>8000</v>
      </c>
      <c r="D603" s="78">
        <v>41040</v>
      </c>
      <c r="E603" s="78">
        <v>-33040</v>
      </c>
      <c r="F603" s="96">
        <v>0</v>
      </c>
      <c r="G603" s="42">
        <f t="shared" si="9"/>
        <v>-33040</v>
      </c>
      <c r="H603" s="2" t="str">
        <f>VLOOKUP(A603,'TB MAy'!A:H,8,0)</f>
        <v>Not Applicable</v>
      </c>
    </row>
    <row r="604" spans="1:8" hidden="1">
      <c r="A604" s="95" t="s">
        <v>405</v>
      </c>
      <c r="B604" s="78">
        <v>-25491</v>
      </c>
      <c r="C604" s="78">
        <v>144124</v>
      </c>
      <c r="D604" s="78">
        <v>124240</v>
      </c>
      <c r="E604" s="78">
        <v>-5607</v>
      </c>
      <c r="F604" s="96">
        <v>0</v>
      </c>
      <c r="G604" s="42">
        <f t="shared" si="9"/>
        <v>-5607</v>
      </c>
      <c r="H604" s="2" t="str">
        <f>VLOOKUP(A604,'TB MAy'!A:H,8,0)</f>
        <v>Not Applicable</v>
      </c>
    </row>
    <row r="605" spans="1:8" hidden="1">
      <c r="A605" s="95" t="s">
        <v>406</v>
      </c>
      <c r="B605" s="78"/>
      <c r="C605" s="78"/>
      <c r="D605" s="78"/>
      <c r="E605" s="78"/>
      <c r="F605" s="96">
        <v>0</v>
      </c>
      <c r="G605" s="42">
        <f t="shared" si="9"/>
        <v>0</v>
      </c>
      <c r="H605" s="2" t="str">
        <f>VLOOKUP(A605,'TB MAy'!A:H,8,0)</f>
        <v>Not Applicable</v>
      </c>
    </row>
    <row r="606" spans="1:8" hidden="1">
      <c r="A606" s="95" t="s">
        <v>896</v>
      </c>
      <c r="B606" s="78"/>
      <c r="C606" s="78"/>
      <c r="D606" s="78"/>
      <c r="E606" s="78"/>
      <c r="F606" s="96">
        <v>0</v>
      </c>
      <c r="G606" s="42">
        <f t="shared" si="9"/>
        <v>0</v>
      </c>
      <c r="H606" s="2" t="str">
        <f>VLOOKUP(A606,'TB MAy'!A:H,8,0)</f>
        <v>Not Applicable</v>
      </c>
    </row>
    <row r="607" spans="1:8" hidden="1">
      <c r="A607" s="95" t="s">
        <v>1461</v>
      </c>
      <c r="B607" s="78"/>
      <c r="C607" s="78"/>
      <c r="D607" s="78"/>
      <c r="E607" s="78"/>
      <c r="F607" s="96">
        <v>0</v>
      </c>
      <c r="G607" s="42">
        <f t="shared" si="9"/>
        <v>0</v>
      </c>
      <c r="H607" s="2" t="str">
        <f>VLOOKUP(A607,'TB MAy'!A:H,8,0)</f>
        <v>Not Applicable</v>
      </c>
    </row>
    <row r="608" spans="1:8" hidden="1">
      <c r="A608" s="95" t="s">
        <v>1571</v>
      </c>
      <c r="B608" s="78"/>
      <c r="C608" s="78"/>
      <c r="D608" s="78">
        <v>5515</v>
      </c>
      <c r="E608" s="78">
        <v>-5515</v>
      </c>
      <c r="F608" s="96">
        <v>0</v>
      </c>
      <c r="G608" s="42">
        <f t="shared" si="9"/>
        <v>-5515</v>
      </c>
      <c r="H608" s="2" t="s">
        <v>84</v>
      </c>
    </row>
    <row r="609" spans="1:8" hidden="1">
      <c r="A609" s="95" t="s">
        <v>404</v>
      </c>
      <c r="B609" s="78">
        <v>-491128</v>
      </c>
      <c r="C609" s="78">
        <v>491128</v>
      </c>
      <c r="D609" s="78">
        <v>801138</v>
      </c>
      <c r="E609" s="78">
        <v>-801138</v>
      </c>
      <c r="F609" s="96">
        <v>0</v>
      </c>
      <c r="G609" s="42">
        <f t="shared" ref="G609:G672" si="10">+E609+F609</f>
        <v>-801138</v>
      </c>
      <c r="H609" s="2" t="str">
        <f>VLOOKUP(A609,'TB MAy'!A:H,8,0)</f>
        <v>Not Applicable</v>
      </c>
    </row>
    <row r="610" spans="1:8" hidden="1">
      <c r="A610" s="95" t="s">
        <v>1462</v>
      </c>
      <c r="B610" s="78"/>
      <c r="C610" s="78"/>
      <c r="D610" s="78"/>
      <c r="E610" s="78"/>
      <c r="F610" s="96">
        <v>0</v>
      </c>
      <c r="G610" s="42">
        <f t="shared" si="10"/>
        <v>0</v>
      </c>
      <c r="H610" s="2" t="str">
        <f>VLOOKUP(A610,'TB MAy'!A:H,8,0)</f>
        <v>Not Applicable</v>
      </c>
    </row>
    <row r="611" spans="1:8" hidden="1">
      <c r="A611" s="95" t="s">
        <v>389</v>
      </c>
      <c r="B611" s="78">
        <v>-10631</v>
      </c>
      <c r="C611" s="78"/>
      <c r="D611" s="78"/>
      <c r="E611" s="78">
        <v>-10631</v>
      </c>
      <c r="F611" s="96">
        <v>0</v>
      </c>
      <c r="G611" s="42">
        <f t="shared" si="10"/>
        <v>-10631</v>
      </c>
      <c r="H611" s="2" t="str">
        <f>VLOOKUP(A611,'TB MAy'!A:H,8,0)</f>
        <v>Not Applicable</v>
      </c>
    </row>
    <row r="612" spans="1:8" hidden="1">
      <c r="A612" s="95" t="s">
        <v>384</v>
      </c>
      <c r="B612" s="78"/>
      <c r="C612" s="78"/>
      <c r="D612" s="78"/>
      <c r="E612" s="78"/>
      <c r="F612" s="96">
        <v>0</v>
      </c>
      <c r="G612" s="42">
        <f t="shared" si="10"/>
        <v>0</v>
      </c>
      <c r="H612" s="2" t="str">
        <f>VLOOKUP(A612,'TB MAy'!A:H,8,0)</f>
        <v>Not Applicable</v>
      </c>
    </row>
    <row r="613" spans="1:8" hidden="1">
      <c r="A613" s="95" t="s">
        <v>386</v>
      </c>
      <c r="B613" s="78">
        <v>-2491.02</v>
      </c>
      <c r="C613" s="78">
        <v>2491</v>
      </c>
      <c r="D613" s="78">
        <v>34826</v>
      </c>
      <c r="E613" s="78">
        <v>-34826.019999999997</v>
      </c>
      <c r="F613" s="96">
        <v>0</v>
      </c>
      <c r="G613" s="42">
        <f t="shared" si="10"/>
        <v>-34826.019999999997</v>
      </c>
      <c r="H613" s="2" t="str">
        <f>VLOOKUP(A613,'TB MAy'!A:H,8,0)</f>
        <v>Not Applicable</v>
      </c>
    </row>
    <row r="614" spans="1:8" hidden="1">
      <c r="A614" s="95" t="s">
        <v>387</v>
      </c>
      <c r="B614" s="78">
        <v>-33672</v>
      </c>
      <c r="C614" s="78">
        <v>37910</v>
      </c>
      <c r="D614" s="78">
        <v>4238</v>
      </c>
      <c r="E614" s="78"/>
      <c r="F614" s="96">
        <v>0</v>
      </c>
      <c r="G614" s="42">
        <f t="shared" si="10"/>
        <v>0</v>
      </c>
      <c r="H614" s="2" t="str">
        <f>VLOOKUP(A614,'TB MAy'!A:H,8,0)</f>
        <v>Not Applicable</v>
      </c>
    </row>
    <row r="615" spans="1:8" hidden="1">
      <c r="A615" s="95" t="s">
        <v>1572</v>
      </c>
      <c r="B615" s="78"/>
      <c r="C615" s="78"/>
      <c r="D615" s="78">
        <v>51798</v>
      </c>
      <c r="E615" s="78">
        <v>-51798</v>
      </c>
      <c r="F615" s="96">
        <v>0</v>
      </c>
      <c r="G615" s="42">
        <f t="shared" si="10"/>
        <v>-51798</v>
      </c>
      <c r="H615" s="2" t="s">
        <v>84</v>
      </c>
    </row>
    <row r="616" spans="1:8" hidden="1">
      <c r="A616" s="95" t="s">
        <v>1131</v>
      </c>
      <c r="B616" s="78">
        <v>-1829</v>
      </c>
      <c r="C616" s="78">
        <v>1829</v>
      </c>
      <c r="D616" s="78"/>
      <c r="E616" s="78"/>
      <c r="F616" s="96">
        <v>0</v>
      </c>
      <c r="G616" s="42">
        <f t="shared" si="10"/>
        <v>0</v>
      </c>
      <c r="H616" s="2" t="str">
        <f>VLOOKUP(A616,'TB MAy'!A:H,8,0)</f>
        <v>Not Applicable</v>
      </c>
    </row>
    <row r="617" spans="1:8" hidden="1">
      <c r="A617" s="95" t="s">
        <v>378</v>
      </c>
      <c r="B617" s="78">
        <v>-708</v>
      </c>
      <c r="C617" s="78"/>
      <c r="D617" s="78"/>
      <c r="E617" s="78">
        <v>-708</v>
      </c>
      <c r="F617" s="96">
        <v>0</v>
      </c>
      <c r="G617" s="42">
        <f t="shared" si="10"/>
        <v>-708</v>
      </c>
      <c r="H617" s="2" t="str">
        <f>VLOOKUP(A617,'TB MAy'!A:H,8,0)</f>
        <v>Not Applicable</v>
      </c>
    </row>
    <row r="618" spans="1:8" hidden="1">
      <c r="A618" s="95" t="s">
        <v>1463</v>
      </c>
      <c r="B618" s="78"/>
      <c r="C618" s="78">
        <v>75579</v>
      </c>
      <c r="D618" s="78">
        <v>75579</v>
      </c>
      <c r="E618" s="78"/>
      <c r="F618" s="96">
        <v>0</v>
      </c>
      <c r="G618" s="42">
        <f t="shared" si="10"/>
        <v>0</v>
      </c>
      <c r="H618" s="2" t="str">
        <f>VLOOKUP(A618,'TB MAy'!A:H,8,0)</f>
        <v>Not Applicable</v>
      </c>
    </row>
    <row r="619" spans="1:8" hidden="1">
      <c r="A619" s="95" t="s">
        <v>1031</v>
      </c>
      <c r="B619" s="78"/>
      <c r="C619" s="78">
        <v>595.9</v>
      </c>
      <c r="D619" s="78">
        <v>15493</v>
      </c>
      <c r="E619" s="78">
        <v>-14897.1</v>
      </c>
      <c r="F619" s="96">
        <v>0</v>
      </c>
      <c r="G619" s="42">
        <f t="shared" si="10"/>
        <v>-14897.1</v>
      </c>
      <c r="H619" s="2" t="str">
        <f>VLOOKUP(A619,'TB MAy'!A:H,8,0)</f>
        <v>Not Applicable</v>
      </c>
    </row>
    <row r="620" spans="1:8" hidden="1">
      <c r="A620" s="95" t="s">
        <v>1464</v>
      </c>
      <c r="B620" s="78">
        <v>-1605</v>
      </c>
      <c r="C620" s="78"/>
      <c r="D620" s="78">
        <v>2983</v>
      </c>
      <c r="E620" s="78">
        <v>-4588</v>
      </c>
      <c r="F620" s="96">
        <v>0</v>
      </c>
      <c r="G620" s="42">
        <f t="shared" si="10"/>
        <v>-4588</v>
      </c>
      <c r="H620" s="2" t="str">
        <f>VLOOKUP(A620,'TB MAy'!A:H,8,0)</f>
        <v>Not Applicable</v>
      </c>
    </row>
    <row r="621" spans="1:8" hidden="1">
      <c r="A621" s="95" t="s">
        <v>1220</v>
      </c>
      <c r="B621" s="78">
        <v>-284</v>
      </c>
      <c r="C621" s="78">
        <v>284</v>
      </c>
      <c r="D621" s="78"/>
      <c r="E621" s="78"/>
      <c r="F621" s="96">
        <v>0</v>
      </c>
      <c r="G621" s="42">
        <f t="shared" si="10"/>
        <v>0</v>
      </c>
      <c r="H621" s="2" t="str">
        <f>VLOOKUP(A621,'TB MAy'!A:H,8,0)</f>
        <v>Not Applicable</v>
      </c>
    </row>
    <row r="622" spans="1:8" hidden="1">
      <c r="A622" s="95" t="s">
        <v>1114</v>
      </c>
      <c r="B622" s="78">
        <v>-424.8</v>
      </c>
      <c r="C622" s="78"/>
      <c r="D622" s="78"/>
      <c r="E622" s="78">
        <v>-424.8</v>
      </c>
      <c r="F622" s="96">
        <v>0</v>
      </c>
      <c r="G622" s="42">
        <f t="shared" si="10"/>
        <v>-424.8</v>
      </c>
      <c r="H622" s="2" t="str">
        <f>VLOOKUP(A622,'TB MAy'!A:H,8,0)</f>
        <v>Not Applicable</v>
      </c>
    </row>
    <row r="623" spans="1:8" hidden="1">
      <c r="A623" s="95" t="s">
        <v>959</v>
      </c>
      <c r="B623" s="78">
        <v>-6195</v>
      </c>
      <c r="C623" s="78"/>
      <c r="D623" s="78"/>
      <c r="E623" s="78">
        <v>-6195</v>
      </c>
      <c r="F623" s="96">
        <v>0</v>
      </c>
      <c r="G623" s="42">
        <f t="shared" si="10"/>
        <v>-6195</v>
      </c>
      <c r="H623" s="2" t="str">
        <f>VLOOKUP(A623,'TB MAy'!A:H,8,0)</f>
        <v>Not Applicable</v>
      </c>
    </row>
    <row r="624" spans="1:8" hidden="1">
      <c r="A624" s="95" t="s">
        <v>1518</v>
      </c>
      <c r="B624" s="78"/>
      <c r="C624" s="78"/>
      <c r="D624" s="78"/>
      <c r="E624" s="78"/>
      <c r="F624" s="96">
        <v>0</v>
      </c>
      <c r="G624" s="42">
        <f t="shared" si="10"/>
        <v>0</v>
      </c>
      <c r="H624" s="2" t="str">
        <f>VLOOKUP(A624,'TB MAy'!A:H,8,0)</f>
        <v>Not Applicable</v>
      </c>
    </row>
    <row r="625" spans="1:8" hidden="1">
      <c r="A625" s="95" t="s">
        <v>935</v>
      </c>
      <c r="B625" s="78">
        <v>-1144070</v>
      </c>
      <c r="C625" s="78">
        <v>1144070</v>
      </c>
      <c r="D625" s="78">
        <v>485665</v>
      </c>
      <c r="E625" s="78">
        <v>-485665</v>
      </c>
      <c r="F625" s="96">
        <v>0</v>
      </c>
      <c r="G625" s="42">
        <f t="shared" si="10"/>
        <v>-485665</v>
      </c>
      <c r="H625" s="2" t="str">
        <f>VLOOKUP(A625,'TB MAy'!A:H,8,0)</f>
        <v>Not Applicable</v>
      </c>
    </row>
    <row r="626" spans="1:8" hidden="1">
      <c r="A626" s="95" t="s">
        <v>370</v>
      </c>
      <c r="B626" s="78"/>
      <c r="C626" s="78"/>
      <c r="D626" s="78">
        <v>23867</v>
      </c>
      <c r="E626" s="78">
        <v>-23867</v>
      </c>
      <c r="F626" s="96">
        <v>0</v>
      </c>
      <c r="G626" s="42">
        <f t="shared" si="10"/>
        <v>-23867</v>
      </c>
      <c r="H626" s="2" t="str">
        <f>VLOOKUP(A626,'TB MAy'!A:H,8,0)</f>
        <v>Not Applicable</v>
      </c>
    </row>
    <row r="627" spans="1:8" hidden="1">
      <c r="A627" s="95" t="s">
        <v>366</v>
      </c>
      <c r="B627" s="78"/>
      <c r="C627" s="78">
        <v>12841</v>
      </c>
      <c r="D627" s="78">
        <v>12841</v>
      </c>
      <c r="E627" s="78"/>
      <c r="F627" s="96">
        <v>0</v>
      </c>
      <c r="G627" s="42">
        <f t="shared" si="10"/>
        <v>0</v>
      </c>
      <c r="H627" s="2" t="str">
        <f>VLOOKUP(A627,'TB MAy'!A:H,8,0)</f>
        <v>Not Applicable</v>
      </c>
    </row>
    <row r="628" spans="1:8" hidden="1">
      <c r="A628" s="95" t="s">
        <v>1295</v>
      </c>
      <c r="B628" s="78">
        <v>-1123</v>
      </c>
      <c r="C628" s="78">
        <v>1123</v>
      </c>
      <c r="D628" s="78"/>
      <c r="E628" s="78"/>
      <c r="F628" s="96">
        <v>0</v>
      </c>
      <c r="G628" s="42">
        <f t="shared" si="10"/>
        <v>0</v>
      </c>
      <c r="H628" s="2" t="str">
        <f>VLOOKUP(A628,'TB MAy'!A:H,8,0)</f>
        <v>Not Applicable</v>
      </c>
    </row>
    <row r="629" spans="1:8" hidden="1">
      <c r="A629" s="95" t="s">
        <v>738</v>
      </c>
      <c r="B629" s="78">
        <v>-293007</v>
      </c>
      <c r="C629" s="78">
        <v>411489</v>
      </c>
      <c r="D629" s="78">
        <v>66032</v>
      </c>
      <c r="E629" s="78">
        <v>52450</v>
      </c>
      <c r="F629" s="96">
        <v>0</v>
      </c>
      <c r="G629" s="42">
        <f t="shared" si="10"/>
        <v>52450</v>
      </c>
      <c r="H629" s="2" t="str">
        <f>VLOOKUP(A629,'TB MAy'!A:H,8,0)</f>
        <v>Not Applicable</v>
      </c>
    </row>
    <row r="630" spans="1:8" hidden="1">
      <c r="A630" s="95" t="s">
        <v>1465</v>
      </c>
      <c r="B630" s="78"/>
      <c r="C630" s="78">
        <v>51400</v>
      </c>
      <c r="D630" s="78">
        <v>51400</v>
      </c>
      <c r="E630" s="78"/>
      <c r="F630" s="96">
        <v>0</v>
      </c>
      <c r="G630" s="42">
        <f t="shared" si="10"/>
        <v>0</v>
      </c>
      <c r="H630" s="2" t="str">
        <f>VLOOKUP(A630,'TB MAy'!A:H,8,0)</f>
        <v>Not Applicable</v>
      </c>
    </row>
    <row r="631" spans="1:8" hidden="1">
      <c r="A631" s="95" t="s">
        <v>1256</v>
      </c>
      <c r="B631" s="78"/>
      <c r="C631" s="78"/>
      <c r="D631" s="78"/>
      <c r="E631" s="78"/>
      <c r="F631" s="96">
        <v>0</v>
      </c>
      <c r="G631" s="42">
        <f t="shared" si="10"/>
        <v>0</v>
      </c>
      <c r="H631" s="2" t="s">
        <v>84</v>
      </c>
    </row>
    <row r="632" spans="1:8" hidden="1">
      <c r="A632" s="95" t="s">
        <v>1158</v>
      </c>
      <c r="B632" s="78"/>
      <c r="C632" s="78">
        <v>2202160</v>
      </c>
      <c r="D632" s="78">
        <v>2202160</v>
      </c>
      <c r="E632" s="78"/>
      <c r="F632" s="96">
        <v>0</v>
      </c>
      <c r="G632" s="42">
        <f t="shared" si="10"/>
        <v>0</v>
      </c>
      <c r="H632" s="2" t="str">
        <f>VLOOKUP(A632,'TB MAy'!A:H,8,0)</f>
        <v>Not Applicable</v>
      </c>
    </row>
    <row r="633" spans="1:8" hidden="1">
      <c r="A633" s="95" t="s">
        <v>1076</v>
      </c>
      <c r="B633" s="78">
        <v>-0.24</v>
      </c>
      <c r="C633" s="78"/>
      <c r="D633" s="78"/>
      <c r="E633" s="78">
        <v>-0.24</v>
      </c>
      <c r="F633" s="96">
        <v>0</v>
      </c>
      <c r="G633" s="42">
        <f t="shared" si="10"/>
        <v>-0.24</v>
      </c>
      <c r="H633" s="2" t="str">
        <f>VLOOKUP(A633,'TB MAy'!A:H,8,0)</f>
        <v>Not Applicable</v>
      </c>
    </row>
    <row r="634" spans="1:8" hidden="1">
      <c r="A634" s="95" t="s">
        <v>1573</v>
      </c>
      <c r="B634" s="78"/>
      <c r="C634" s="78">
        <v>29925</v>
      </c>
      <c r="D634" s="78">
        <v>17456</v>
      </c>
      <c r="E634" s="78">
        <v>12469</v>
      </c>
      <c r="F634" s="96">
        <v>0</v>
      </c>
      <c r="G634" s="42">
        <f t="shared" si="10"/>
        <v>12469</v>
      </c>
      <c r="H634" s="2" t="s">
        <v>84</v>
      </c>
    </row>
    <row r="635" spans="1:8" hidden="1">
      <c r="A635" s="95" t="s">
        <v>1354</v>
      </c>
      <c r="B635" s="78">
        <v>-9204</v>
      </c>
      <c r="C635" s="78">
        <v>9204</v>
      </c>
      <c r="D635" s="78"/>
      <c r="E635" s="78"/>
      <c r="F635" s="96">
        <v>0</v>
      </c>
      <c r="G635" s="42">
        <f t="shared" si="10"/>
        <v>0</v>
      </c>
      <c r="H635" s="2" t="str">
        <f>VLOOKUP(A635,'TB MAy'!A:H,8,0)</f>
        <v>Not Applicable</v>
      </c>
    </row>
    <row r="636" spans="1:8" hidden="1">
      <c r="A636" s="95" t="s">
        <v>1309</v>
      </c>
      <c r="B636" s="78"/>
      <c r="C636" s="78"/>
      <c r="D636" s="78"/>
      <c r="E636" s="78"/>
      <c r="F636" s="96">
        <v>0</v>
      </c>
      <c r="G636" s="42">
        <f t="shared" si="10"/>
        <v>0</v>
      </c>
      <c r="H636" s="2" t="str">
        <f>VLOOKUP(A636,'TB MAy'!A:H,8,0)</f>
        <v>Not Applicable</v>
      </c>
    </row>
    <row r="637" spans="1:8" hidden="1">
      <c r="A637" s="95" t="s">
        <v>728</v>
      </c>
      <c r="B637" s="78">
        <v>-73418.11</v>
      </c>
      <c r="C637" s="78"/>
      <c r="D637" s="78"/>
      <c r="E637" s="78">
        <v>-73418.11</v>
      </c>
      <c r="F637" s="96">
        <v>0</v>
      </c>
      <c r="G637" s="42">
        <f t="shared" si="10"/>
        <v>-73418.11</v>
      </c>
      <c r="H637" s="2" t="str">
        <f>VLOOKUP(A637,'TB MAy'!A:H,8,0)</f>
        <v>Not Applicable</v>
      </c>
    </row>
    <row r="638" spans="1:8" hidden="1">
      <c r="A638" s="95" t="s">
        <v>1355</v>
      </c>
      <c r="B638" s="78">
        <v>7059.94</v>
      </c>
      <c r="C638" s="78"/>
      <c r="D638" s="78">
        <v>7060</v>
      </c>
      <c r="E638" s="78">
        <v>-0.06</v>
      </c>
      <c r="F638" s="96">
        <v>0</v>
      </c>
      <c r="G638" s="42">
        <f t="shared" si="10"/>
        <v>-0.06</v>
      </c>
      <c r="H638" s="2" t="str">
        <f>VLOOKUP(A638,'TB MAy'!A:H,8,0)</f>
        <v>Not Applicable</v>
      </c>
    </row>
    <row r="639" spans="1:8" hidden="1">
      <c r="A639" s="95" t="s">
        <v>1006</v>
      </c>
      <c r="B639" s="78">
        <v>-751.7</v>
      </c>
      <c r="C639" s="78">
        <v>4530</v>
      </c>
      <c r="D639" s="78">
        <v>9865</v>
      </c>
      <c r="E639" s="78">
        <v>-6086.7</v>
      </c>
      <c r="F639" s="96">
        <v>0</v>
      </c>
      <c r="G639" s="42">
        <f t="shared" si="10"/>
        <v>-6086.7</v>
      </c>
      <c r="H639" s="2" t="str">
        <f>VLOOKUP(A639,'TB MAy'!A:H,8,0)</f>
        <v>Not Applicable</v>
      </c>
    </row>
    <row r="640" spans="1:8" hidden="1">
      <c r="A640" s="95" t="s">
        <v>1235</v>
      </c>
      <c r="B640" s="78">
        <v>-21750</v>
      </c>
      <c r="C640" s="78"/>
      <c r="D640" s="78"/>
      <c r="E640" s="78">
        <v>-21750</v>
      </c>
      <c r="F640" s="96">
        <v>0</v>
      </c>
      <c r="G640" s="42">
        <f t="shared" si="10"/>
        <v>-21750</v>
      </c>
      <c r="H640" s="2" t="str">
        <f>VLOOKUP(A640,'TB MAy'!A:H,8,0)</f>
        <v>Not Applicable</v>
      </c>
    </row>
    <row r="641" spans="1:8" hidden="1">
      <c r="A641" s="95" t="s">
        <v>1466</v>
      </c>
      <c r="B641" s="78"/>
      <c r="C641" s="78"/>
      <c r="D641" s="78"/>
      <c r="E641" s="78"/>
      <c r="F641" s="96">
        <v>0</v>
      </c>
      <c r="G641" s="42">
        <f t="shared" si="10"/>
        <v>0</v>
      </c>
      <c r="H641" s="2" t="str">
        <f>VLOOKUP(A641,'TB MAy'!A:H,8,0)</f>
        <v>Not Applicable</v>
      </c>
    </row>
    <row r="642" spans="1:8" hidden="1">
      <c r="A642" s="95" t="s">
        <v>716</v>
      </c>
      <c r="B642" s="78">
        <v>-23052.5</v>
      </c>
      <c r="C642" s="78">
        <v>23248</v>
      </c>
      <c r="D642" s="78">
        <v>23069</v>
      </c>
      <c r="E642" s="78">
        <v>-22873.5</v>
      </c>
      <c r="F642" s="96">
        <v>0</v>
      </c>
      <c r="G642" s="42">
        <f t="shared" si="10"/>
        <v>-22873.5</v>
      </c>
      <c r="H642" s="2" t="str">
        <f>VLOOKUP(A642,'TB MAy'!A:H,8,0)</f>
        <v>Not Applicable</v>
      </c>
    </row>
    <row r="643" spans="1:8" hidden="1">
      <c r="A643" s="95" t="s">
        <v>1104</v>
      </c>
      <c r="B643" s="78">
        <v>-1240561</v>
      </c>
      <c r="C643" s="78">
        <v>55386</v>
      </c>
      <c r="D643" s="78">
        <v>1172065</v>
      </c>
      <c r="E643" s="78">
        <v>-2357240</v>
      </c>
      <c r="F643" s="96">
        <v>0</v>
      </c>
      <c r="G643" s="42">
        <f t="shared" si="10"/>
        <v>-2357240</v>
      </c>
      <c r="H643" s="2" t="str">
        <f>VLOOKUP(A643,'TB MAy'!A:H,8,0)</f>
        <v>Not Applicable</v>
      </c>
    </row>
    <row r="644" spans="1:8" hidden="1">
      <c r="A644" s="95" t="s">
        <v>1356</v>
      </c>
      <c r="B644" s="78"/>
      <c r="C644" s="78"/>
      <c r="D644" s="78"/>
      <c r="E644" s="78"/>
      <c r="F644" s="96">
        <v>0</v>
      </c>
      <c r="G644" s="42">
        <f t="shared" si="10"/>
        <v>0</v>
      </c>
      <c r="H644" s="2" t="str">
        <f>VLOOKUP(A644,'TB MAy'!A:H,8,0)</f>
        <v>Not Applicable</v>
      </c>
    </row>
    <row r="645" spans="1:8" hidden="1">
      <c r="A645" s="95" t="s">
        <v>986</v>
      </c>
      <c r="B645" s="78">
        <v>-363904.66</v>
      </c>
      <c r="C645" s="78">
        <v>587379</v>
      </c>
      <c r="D645" s="78">
        <v>879515</v>
      </c>
      <c r="E645" s="78">
        <v>-656040.66</v>
      </c>
      <c r="F645" s="96">
        <v>0</v>
      </c>
      <c r="G645" s="42">
        <f t="shared" si="10"/>
        <v>-656040.66</v>
      </c>
      <c r="H645" s="2" t="str">
        <f>VLOOKUP(A645,'TB MAy'!A:H,8,0)</f>
        <v>Not Applicable</v>
      </c>
    </row>
    <row r="646" spans="1:8" hidden="1">
      <c r="A646" s="95" t="s">
        <v>709</v>
      </c>
      <c r="B646" s="78">
        <v>-1967533</v>
      </c>
      <c r="C646" s="78">
        <v>4697881</v>
      </c>
      <c r="D646" s="78">
        <v>2284009</v>
      </c>
      <c r="E646" s="78">
        <v>446339</v>
      </c>
      <c r="F646" s="96">
        <v>0</v>
      </c>
      <c r="G646" s="42">
        <f t="shared" si="10"/>
        <v>446339</v>
      </c>
      <c r="H646" s="2" t="str">
        <f>VLOOKUP(A646,'TB MAy'!A:H,8,0)</f>
        <v>Not Applicable</v>
      </c>
    </row>
    <row r="647" spans="1:8" hidden="1">
      <c r="A647" s="95" t="s">
        <v>681</v>
      </c>
      <c r="B647" s="78">
        <v>-6094</v>
      </c>
      <c r="C647" s="78">
        <v>14932</v>
      </c>
      <c r="D647" s="78">
        <v>24123</v>
      </c>
      <c r="E647" s="78">
        <v>-15285</v>
      </c>
      <c r="F647" s="96">
        <v>0</v>
      </c>
      <c r="G647" s="42">
        <f t="shared" si="10"/>
        <v>-15285</v>
      </c>
      <c r="H647" s="2" t="str">
        <f>VLOOKUP(A647,'TB MAy'!A:H,8,0)</f>
        <v>Not Applicable</v>
      </c>
    </row>
    <row r="648" spans="1:8" hidden="1">
      <c r="A648" s="95" t="s">
        <v>944</v>
      </c>
      <c r="B648" s="78">
        <v>-628076</v>
      </c>
      <c r="C648" s="78">
        <v>5101190</v>
      </c>
      <c r="D648" s="78">
        <v>4483714</v>
      </c>
      <c r="E648" s="78">
        <v>-10600</v>
      </c>
      <c r="F648" s="96">
        <v>0</v>
      </c>
      <c r="G648" s="42">
        <f t="shared" si="10"/>
        <v>-10600</v>
      </c>
      <c r="H648" s="2" t="str">
        <f>VLOOKUP(A648,'TB MAy'!A:H,8,0)</f>
        <v>Not Applicable</v>
      </c>
    </row>
    <row r="649" spans="1:8" hidden="1">
      <c r="A649" s="95" t="s">
        <v>873</v>
      </c>
      <c r="B649" s="78">
        <v>-85788</v>
      </c>
      <c r="C649" s="78"/>
      <c r="D649" s="78"/>
      <c r="E649" s="78">
        <v>-85788</v>
      </c>
      <c r="F649" s="96">
        <v>0</v>
      </c>
      <c r="G649" s="42">
        <f t="shared" si="10"/>
        <v>-85788</v>
      </c>
      <c r="H649" s="2" t="str">
        <f>VLOOKUP(A649,'TB MAy'!A:H,8,0)</f>
        <v>Not Applicable</v>
      </c>
    </row>
    <row r="650" spans="1:8" hidden="1">
      <c r="A650" s="95" t="s">
        <v>902</v>
      </c>
      <c r="B650" s="78">
        <v>-2037718</v>
      </c>
      <c r="C650" s="78">
        <v>4687718</v>
      </c>
      <c r="D650" s="78">
        <v>2891240</v>
      </c>
      <c r="E650" s="78">
        <v>-241240</v>
      </c>
      <c r="F650" s="96">
        <v>0</v>
      </c>
      <c r="G650" s="42">
        <f t="shared" si="10"/>
        <v>-241240</v>
      </c>
      <c r="H650" s="2" t="str">
        <f>VLOOKUP(A650,'TB MAy'!A:H,8,0)</f>
        <v>Not Applicable</v>
      </c>
    </row>
    <row r="651" spans="1:8" hidden="1">
      <c r="A651" s="95" t="s">
        <v>985</v>
      </c>
      <c r="B651" s="78">
        <v>-1274</v>
      </c>
      <c r="C651" s="78">
        <v>1274</v>
      </c>
      <c r="D651" s="78"/>
      <c r="E651" s="78"/>
      <c r="F651" s="96">
        <v>0</v>
      </c>
      <c r="G651" s="42">
        <f t="shared" si="10"/>
        <v>0</v>
      </c>
      <c r="H651" s="2" t="str">
        <f>VLOOKUP(A651,'TB MAy'!A:H,8,0)</f>
        <v>Not Applicable</v>
      </c>
    </row>
    <row r="652" spans="1:8" hidden="1">
      <c r="A652" s="95" t="s">
        <v>1311</v>
      </c>
      <c r="B652" s="78"/>
      <c r="C652" s="78"/>
      <c r="D652" s="78"/>
      <c r="E652" s="78"/>
      <c r="F652" s="96">
        <v>0</v>
      </c>
      <c r="G652" s="42">
        <f t="shared" si="10"/>
        <v>0</v>
      </c>
      <c r="H652" s="2" t="str">
        <f>VLOOKUP(A652,'TB MAy'!A:H,8,0)</f>
        <v>Not Applicable</v>
      </c>
    </row>
    <row r="653" spans="1:8" hidden="1">
      <c r="A653" s="95" t="s">
        <v>660</v>
      </c>
      <c r="B653" s="78">
        <v>4519</v>
      </c>
      <c r="C653" s="78">
        <v>45454</v>
      </c>
      <c r="D653" s="78"/>
      <c r="E653" s="78">
        <v>49973</v>
      </c>
      <c r="F653" s="96">
        <v>0</v>
      </c>
      <c r="G653" s="42">
        <f t="shared" si="10"/>
        <v>49973</v>
      </c>
      <c r="H653" s="2" t="str">
        <f>VLOOKUP(A653,'TB MAy'!A:H,8,0)</f>
        <v>Not Applicable</v>
      </c>
    </row>
    <row r="654" spans="1:8" hidden="1">
      <c r="A654" s="95" t="s">
        <v>659</v>
      </c>
      <c r="B654" s="78">
        <v>-221821.8</v>
      </c>
      <c r="C654" s="78">
        <v>107960</v>
      </c>
      <c r="D654" s="78">
        <v>7080</v>
      </c>
      <c r="E654" s="78">
        <v>-120941.8</v>
      </c>
      <c r="F654" s="96">
        <v>0</v>
      </c>
      <c r="G654" s="42">
        <f t="shared" si="10"/>
        <v>-120941.8</v>
      </c>
      <c r="H654" s="2" t="str">
        <f>VLOOKUP(A654,'TB MAy'!A:H,8,0)</f>
        <v>Not Applicable</v>
      </c>
    </row>
    <row r="655" spans="1:8" hidden="1">
      <c r="A655" s="95" t="s">
        <v>928</v>
      </c>
      <c r="B655" s="78">
        <v>-1105</v>
      </c>
      <c r="C655" s="78"/>
      <c r="D655" s="78"/>
      <c r="E655" s="78">
        <v>-1105</v>
      </c>
      <c r="F655" s="96">
        <v>0</v>
      </c>
      <c r="G655" s="42">
        <f t="shared" si="10"/>
        <v>-1105</v>
      </c>
      <c r="H655" s="2" t="str">
        <f>VLOOKUP(A655,'TB MAy'!A:H,8,0)</f>
        <v>Not Applicable</v>
      </c>
    </row>
    <row r="656" spans="1:8" hidden="1">
      <c r="A656" s="95" t="s">
        <v>1467</v>
      </c>
      <c r="B656" s="78"/>
      <c r="C656" s="78"/>
      <c r="D656" s="78"/>
      <c r="E656" s="78"/>
      <c r="F656" s="96">
        <v>0</v>
      </c>
      <c r="G656" s="42">
        <f t="shared" si="10"/>
        <v>0</v>
      </c>
      <c r="H656" s="2" t="s">
        <v>84</v>
      </c>
    </row>
    <row r="657" spans="1:8" hidden="1">
      <c r="A657" s="95" t="s">
        <v>1468</v>
      </c>
      <c r="B657" s="78"/>
      <c r="C657" s="78">
        <v>35105</v>
      </c>
      <c r="D657" s="78">
        <v>35105</v>
      </c>
      <c r="E657" s="78"/>
      <c r="F657" s="96">
        <v>0</v>
      </c>
      <c r="G657" s="42">
        <f t="shared" si="10"/>
        <v>0</v>
      </c>
      <c r="H657" s="2" t="str">
        <f>VLOOKUP(A657,'TB MAy'!A:H,8,0)</f>
        <v>Not Applicable</v>
      </c>
    </row>
    <row r="658" spans="1:8" hidden="1">
      <c r="A658" s="95" t="s">
        <v>651</v>
      </c>
      <c r="B658" s="78"/>
      <c r="C658" s="78">
        <v>67500</v>
      </c>
      <c r="D658" s="78">
        <v>67500</v>
      </c>
      <c r="E658" s="78"/>
      <c r="F658" s="96">
        <v>0</v>
      </c>
      <c r="G658" s="42">
        <f t="shared" si="10"/>
        <v>0</v>
      </c>
      <c r="H658" s="2" t="str">
        <f>VLOOKUP(A658,'TB MAy'!A:H,8,0)</f>
        <v>Not Applicable</v>
      </c>
    </row>
    <row r="659" spans="1:8" hidden="1">
      <c r="A659" s="95" t="s">
        <v>653</v>
      </c>
      <c r="B659" s="78"/>
      <c r="C659" s="78">
        <v>67500</v>
      </c>
      <c r="D659" s="78">
        <v>67500</v>
      </c>
      <c r="E659" s="78"/>
      <c r="F659" s="96">
        <v>0</v>
      </c>
      <c r="G659" s="42">
        <f t="shared" si="10"/>
        <v>0</v>
      </c>
      <c r="H659" s="2" t="str">
        <f>VLOOKUP(A659,'TB MAy'!A:H,8,0)</f>
        <v>Not Applicable</v>
      </c>
    </row>
    <row r="660" spans="1:8" hidden="1">
      <c r="A660" s="95" t="s">
        <v>1045</v>
      </c>
      <c r="B660" s="78"/>
      <c r="C660" s="78">
        <v>39600</v>
      </c>
      <c r="D660" s="78">
        <v>39600</v>
      </c>
      <c r="E660" s="78"/>
      <c r="F660" s="96">
        <v>0</v>
      </c>
      <c r="G660" s="42">
        <f t="shared" si="10"/>
        <v>0</v>
      </c>
      <c r="H660" s="2" t="str">
        <f>VLOOKUP(A660,'TB MAy'!A:H,8,0)</f>
        <v>Not Applicable</v>
      </c>
    </row>
    <row r="661" spans="1:8" hidden="1">
      <c r="A661" s="95" t="s">
        <v>646</v>
      </c>
      <c r="B661" s="78">
        <v>-2762</v>
      </c>
      <c r="C661" s="78">
        <v>2164</v>
      </c>
      <c r="D661" s="78">
        <v>3934</v>
      </c>
      <c r="E661" s="78">
        <v>-4532</v>
      </c>
      <c r="F661" s="96">
        <v>0</v>
      </c>
      <c r="G661" s="42">
        <f t="shared" si="10"/>
        <v>-4532</v>
      </c>
      <c r="H661" s="2" t="str">
        <f>VLOOKUP(A661,'TB MAy'!A:H,8,0)</f>
        <v>Not Applicable</v>
      </c>
    </row>
    <row r="662" spans="1:8" hidden="1">
      <c r="A662" s="95" t="s">
        <v>640</v>
      </c>
      <c r="B662" s="78"/>
      <c r="C662" s="78">
        <v>68230</v>
      </c>
      <c r="D662" s="78">
        <v>68230</v>
      </c>
      <c r="E662" s="78"/>
      <c r="F662" s="96">
        <v>0</v>
      </c>
      <c r="G662" s="42">
        <f t="shared" si="10"/>
        <v>0</v>
      </c>
      <c r="H662" s="2" t="str">
        <f>VLOOKUP(A662,'TB MAy'!A:H,8,0)</f>
        <v>Not Applicable</v>
      </c>
    </row>
    <row r="663" spans="1:8" hidden="1">
      <c r="A663" s="95" t="s">
        <v>1070</v>
      </c>
      <c r="B663" s="78"/>
      <c r="C663" s="78">
        <v>16284</v>
      </c>
      <c r="D663" s="78">
        <v>16284</v>
      </c>
      <c r="E663" s="78"/>
      <c r="F663" s="96">
        <v>0</v>
      </c>
      <c r="G663" s="42">
        <f t="shared" si="10"/>
        <v>0</v>
      </c>
      <c r="H663" s="2" t="str">
        <f>VLOOKUP(A663,'TB MAy'!A:H,8,0)</f>
        <v>Not Applicable</v>
      </c>
    </row>
    <row r="664" spans="1:8" hidden="1">
      <c r="A664" s="95" t="s">
        <v>628</v>
      </c>
      <c r="B664" s="78">
        <v>-47489</v>
      </c>
      <c r="C664" s="78">
        <v>98550</v>
      </c>
      <c r="D664" s="78">
        <v>70263</v>
      </c>
      <c r="E664" s="78">
        <v>-19202</v>
      </c>
      <c r="F664" s="96">
        <v>0</v>
      </c>
      <c r="G664" s="42">
        <f t="shared" si="10"/>
        <v>-19202</v>
      </c>
      <c r="H664" s="2" t="str">
        <f>VLOOKUP(A664,'TB MAy'!A:H,8,0)</f>
        <v>Not Applicable</v>
      </c>
    </row>
    <row r="665" spans="1:8" hidden="1">
      <c r="A665" s="95" t="s">
        <v>1519</v>
      </c>
      <c r="B665" s="78"/>
      <c r="C665" s="78"/>
      <c r="D665" s="78"/>
      <c r="E665" s="78"/>
      <c r="F665" s="96">
        <v>0</v>
      </c>
      <c r="G665" s="42">
        <f t="shared" si="10"/>
        <v>0</v>
      </c>
      <c r="H665" s="2" t="str">
        <f>VLOOKUP(A665,'TB MAy'!A:H,8,0)</f>
        <v>Not Applicable</v>
      </c>
    </row>
    <row r="666" spans="1:8" hidden="1">
      <c r="A666" s="95" t="s">
        <v>1288</v>
      </c>
      <c r="B666" s="78"/>
      <c r="C666" s="78">
        <v>67500</v>
      </c>
      <c r="D666" s="78">
        <v>67500</v>
      </c>
      <c r="E666" s="78"/>
      <c r="F666" s="96">
        <v>0</v>
      </c>
      <c r="G666" s="42">
        <f t="shared" si="10"/>
        <v>0</v>
      </c>
      <c r="H666" s="2" t="str">
        <f>VLOOKUP(A666,'TB MAy'!A:H,8,0)</f>
        <v>Not Applicable</v>
      </c>
    </row>
    <row r="667" spans="1:8" hidden="1">
      <c r="A667" s="95" t="s">
        <v>1124</v>
      </c>
      <c r="B667" s="78">
        <v>-327817.96000000002</v>
      </c>
      <c r="C667" s="78">
        <v>630213.01</v>
      </c>
      <c r="D667" s="78">
        <v>302396.01</v>
      </c>
      <c r="E667" s="78">
        <v>-0.96</v>
      </c>
      <c r="F667" s="96">
        <v>0</v>
      </c>
      <c r="G667" s="42">
        <f t="shared" si="10"/>
        <v>-0.96</v>
      </c>
      <c r="H667" s="2" t="str">
        <f>VLOOKUP(A667,'TB MAy'!A:H,8,0)</f>
        <v>Not Applicable</v>
      </c>
    </row>
    <row r="668" spans="1:8" hidden="1">
      <c r="A668" s="95" t="s">
        <v>1469</v>
      </c>
      <c r="B668" s="78"/>
      <c r="C668" s="78"/>
      <c r="D668" s="78"/>
      <c r="E668" s="78"/>
      <c r="F668" s="96">
        <v>0</v>
      </c>
      <c r="G668" s="42">
        <f t="shared" si="10"/>
        <v>0</v>
      </c>
      <c r="H668" s="2" t="str">
        <f>VLOOKUP(A668,'TB MAy'!A:H,8,0)</f>
        <v>Not Applicable</v>
      </c>
    </row>
    <row r="669" spans="1:8" hidden="1">
      <c r="A669" s="95" t="s">
        <v>1239</v>
      </c>
      <c r="B669" s="78"/>
      <c r="C669" s="78"/>
      <c r="D669" s="78">
        <v>1298</v>
      </c>
      <c r="E669" s="78">
        <v>-1298</v>
      </c>
      <c r="F669" s="96">
        <v>0</v>
      </c>
      <c r="G669" s="42">
        <f t="shared" si="10"/>
        <v>-1298</v>
      </c>
      <c r="H669" s="2" t="s">
        <v>84</v>
      </c>
    </row>
    <row r="670" spans="1:8" hidden="1">
      <c r="A670" s="95" t="s">
        <v>612</v>
      </c>
      <c r="B670" s="78">
        <v>-216491026.63</v>
      </c>
      <c r="C670" s="78">
        <v>49197.14</v>
      </c>
      <c r="D670" s="78">
        <v>66215702.140000001</v>
      </c>
      <c r="E670" s="78">
        <v>-282657531.63</v>
      </c>
      <c r="F670" s="96">
        <v>0</v>
      </c>
      <c r="G670" s="42">
        <f t="shared" si="10"/>
        <v>-282657531.63</v>
      </c>
      <c r="H670" s="2" t="str">
        <f>VLOOKUP(A670,'TB MAy'!A:H,8,0)</f>
        <v>Not Applicable</v>
      </c>
    </row>
    <row r="671" spans="1:8" hidden="1">
      <c r="A671" s="95" t="s">
        <v>611</v>
      </c>
      <c r="B671" s="78">
        <v>0.8</v>
      </c>
      <c r="C671" s="78">
        <v>19123</v>
      </c>
      <c r="D671" s="78">
        <v>46835032.75</v>
      </c>
      <c r="E671" s="78">
        <v>-46815908.950000003</v>
      </c>
      <c r="F671" s="96">
        <v>0</v>
      </c>
      <c r="G671" s="42">
        <f t="shared" si="10"/>
        <v>-46815908.950000003</v>
      </c>
      <c r="H671" s="2" t="str">
        <f>VLOOKUP(A671,'TB MAy'!A:H,8,0)</f>
        <v>Not Applicable</v>
      </c>
    </row>
    <row r="672" spans="1:8" hidden="1">
      <c r="A672" s="95" t="s">
        <v>1102</v>
      </c>
      <c r="B672" s="78"/>
      <c r="C672" s="78">
        <v>107515</v>
      </c>
      <c r="D672" s="78">
        <v>107515</v>
      </c>
      <c r="E672" s="78"/>
      <c r="F672" s="96">
        <v>0</v>
      </c>
      <c r="G672" s="42">
        <f t="shared" si="10"/>
        <v>0</v>
      </c>
      <c r="H672" s="2" t="str">
        <f>VLOOKUP(A672,'TB MAy'!A:H,8,0)</f>
        <v>Not Applicable</v>
      </c>
    </row>
    <row r="673" spans="1:8" hidden="1">
      <c r="A673" s="95" t="s">
        <v>1520</v>
      </c>
      <c r="B673" s="78"/>
      <c r="C673" s="78"/>
      <c r="D673" s="78"/>
      <c r="E673" s="78"/>
      <c r="F673" s="96">
        <v>0</v>
      </c>
      <c r="G673" s="42">
        <f t="shared" ref="G673:G736" si="11">+E673+F673</f>
        <v>0</v>
      </c>
      <c r="H673" s="2" t="str">
        <f>VLOOKUP(A673,'TB MAy'!A:H,8,0)</f>
        <v>Not Applicable</v>
      </c>
    </row>
    <row r="674" spans="1:8" hidden="1">
      <c r="A674" s="95" t="s">
        <v>1357</v>
      </c>
      <c r="B674" s="78">
        <v>-1</v>
      </c>
      <c r="C674" s="78"/>
      <c r="D674" s="78"/>
      <c r="E674" s="78">
        <v>-1</v>
      </c>
      <c r="F674" s="96">
        <v>0</v>
      </c>
      <c r="G674" s="42">
        <f t="shared" si="11"/>
        <v>-1</v>
      </c>
      <c r="H674" s="2" t="str">
        <f>VLOOKUP(A674,'TB MAy'!A:H,8,0)</f>
        <v>Not Applicable</v>
      </c>
    </row>
    <row r="675" spans="1:8" hidden="1">
      <c r="A675" s="95" t="s">
        <v>1042</v>
      </c>
      <c r="B675" s="78"/>
      <c r="C675" s="78">
        <v>39600</v>
      </c>
      <c r="D675" s="78">
        <v>39600</v>
      </c>
      <c r="E675" s="78"/>
      <c r="F675" s="96">
        <v>0</v>
      </c>
      <c r="G675" s="42">
        <f t="shared" si="11"/>
        <v>0</v>
      </c>
      <c r="H675" s="2" t="str">
        <f>VLOOKUP(A675,'TB MAy'!A:H,8,0)</f>
        <v>Not Applicable</v>
      </c>
    </row>
    <row r="676" spans="1:8" hidden="1">
      <c r="A676" s="95" t="s">
        <v>1574</v>
      </c>
      <c r="B676" s="78"/>
      <c r="C676" s="78">
        <v>889883</v>
      </c>
      <c r="D676" s="78">
        <v>930371</v>
      </c>
      <c r="E676" s="78">
        <v>-40488</v>
      </c>
      <c r="F676" s="96">
        <v>0</v>
      </c>
      <c r="G676" s="42">
        <f t="shared" si="11"/>
        <v>-40488</v>
      </c>
      <c r="H676" s="2" t="s">
        <v>84</v>
      </c>
    </row>
    <row r="677" spans="1:8" hidden="1">
      <c r="A677" s="95" t="s">
        <v>596</v>
      </c>
      <c r="B677" s="78">
        <v>68996.899999999994</v>
      </c>
      <c r="C677" s="78">
        <v>1044</v>
      </c>
      <c r="D677" s="78">
        <v>61596</v>
      </c>
      <c r="E677" s="78">
        <v>8444.9</v>
      </c>
      <c r="F677" s="96">
        <v>0</v>
      </c>
      <c r="G677" s="42">
        <f t="shared" si="11"/>
        <v>8444.9</v>
      </c>
      <c r="H677" s="2" t="str">
        <f>VLOOKUP(A677,'TB MAy'!A:H,8,0)</f>
        <v>Not Applicable</v>
      </c>
    </row>
    <row r="678" spans="1:8" hidden="1">
      <c r="A678" s="95" t="s">
        <v>1144</v>
      </c>
      <c r="B678" s="78">
        <v>-18700</v>
      </c>
      <c r="C678" s="78">
        <v>18700</v>
      </c>
      <c r="D678" s="78"/>
      <c r="E678" s="78"/>
      <c r="F678" s="96">
        <v>0</v>
      </c>
      <c r="G678" s="42">
        <f t="shared" si="11"/>
        <v>0</v>
      </c>
      <c r="H678" s="2" t="str">
        <f>VLOOKUP(A678,'TB MAy'!A:H,8,0)</f>
        <v>Not Applicable</v>
      </c>
    </row>
    <row r="679" spans="1:8" hidden="1">
      <c r="A679" s="95" t="s">
        <v>599</v>
      </c>
      <c r="B679" s="78">
        <v>-58381</v>
      </c>
      <c r="C679" s="78">
        <v>58381</v>
      </c>
      <c r="D679" s="78"/>
      <c r="E679" s="78"/>
      <c r="F679" s="96">
        <v>0</v>
      </c>
      <c r="G679" s="42">
        <f t="shared" si="11"/>
        <v>0</v>
      </c>
      <c r="H679" s="2" t="str">
        <f>VLOOKUP(A679,'TB MAy'!A:H,8,0)</f>
        <v>Not Applicable</v>
      </c>
    </row>
    <row r="680" spans="1:8" hidden="1">
      <c r="A680" s="95" t="s">
        <v>1176</v>
      </c>
      <c r="B680" s="78">
        <v>15969.8</v>
      </c>
      <c r="C680" s="78"/>
      <c r="D680" s="78">
        <v>15970</v>
      </c>
      <c r="E680" s="78">
        <v>-0.2</v>
      </c>
      <c r="F680" s="96">
        <v>0</v>
      </c>
      <c r="G680" s="42">
        <f t="shared" si="11"/>
        <v>-0.2</v>
      </c>
      <c r="H680" s="2" t="str">
        <f>VLOOKUP(A680,'TB MAy'!A:H,8,0)</f>
        <v>Not Applicable</v>
      </c>
    </row>
    <row r="681" spans="1:8" hidden="1">
      <c r="A681" s="95" t="s">
        <v>593</v>
      </c>
      <c r="B681" s="78"/>
      <c r="C681" s="78"/>
      <c r="D681" s="78"/>
      <c r="E681" s="78"/>
      <c r="F681" s="96">
        <v>0</v>
      </c>
      <c r="G681" s="42">
        <f t="shared" si="11"/>
        <v>0</v>
      </c>
      <c r="H681" s="2" t="str">
        <f>VLOOKUP(A681,'TB MAy'!A:H,8,0)</f>
        <v>Not Applicable</v>
      </c>
    </row>
    <row r="682" spans="1:8" hidden="1">
      <c r="A682" s="95" t="s">
        <v>1028</v>
      </c>
      <c r="B682" s="78">
        <v>2572</v>
      </c>
      <c r="C682" s="78">
        <v>270189</v>
      </c>
      <c r="D682" s="78">
        <v>272761</v>
      </c>
      <c r="E682" s="78"/>
      <c r="F682" s="96">
        <v>0</v>
      </c>
      <c r="G682" s="42">
        <f t="shared" si="11"/>
        <v>0</v>
      </c>
      <c r="H682" s="2" t="str">
        <f>VLOOKUP(A682,'TB MAy'!A:H,8,0)</f>
        <v>Not Applicable</v>
      </c>
    </row>
    <row r="683" spans="1:8" hidden="1">
      <c r="A683" s="95" t="s">
        <v>1162</v>
      </c>
      <c r="B683" s="78"/>
      <c r="C683" s="78">
        <v>35000</v>
      </c>
      <c r="D683" s="78">
        <v>35000</v>
      </c>
      <c r="E683" s="78"/>
      <c r="F683" s="96">
        <v>0</v>
      </c>
      <c r="G683" s="42">
        <f t="shared" si="11"/>
        <v>0</v>
      </c>
      <c r="H683" s="2" t="str">
        <f>VLOOKUP(A683,'TB MAy'!A:H,8,0)</f>
        <v>Not Applicable</v>
      </c>
    </row>
    <row r="684" spans="1:8" hidden="1">
      <c r="A684" s="95" t="s">
        <v>1290</v>
      </c>
      <c r="B684" s="78"/>
      <c r="C684" s="78">
        <v>646</v>
      </c>
      <c r="D684" s="78">
        <v>37940</v>
      </c>
      <c r="E684" s="78">
        <v>-37294</v>
      </c>
      <c r="F684" s="96">
        <v>0</v>
      </c>
      <c r="G684" s="42">
        <f t="shared" si="11"/>
        <v>-37294</v>
      </c>
      <c r="H684" s="2" t="s">
        <v>84</v>
      </c>
    </row>
    <row r="685" spans="1:8" hidden="1">
      <c r="A685" s="95" t="s">
        <v>1291</v>
      </c>
      <c r="B685" s="78">
        <v>-12285</v>
      </c>
      <c r="C685" s="78">
        <v>12285</v>
      </c>
      <c r="D685" s="78"/>
      <c r="E685" s="78"/>
      <c r="F685" s="96">
        <v>0</v>
      </c>
      <c r="G685" s="42">
        <f t="shared" si="11"/>
        <v>0</v>
      </c>
      <c r="H685" s="2" t="str">
        <f>VLOOKUP(A685,'TB MAy'!A:H,8,0)</f>
        <v>Not Applicable</v>
      </c>
    </row>
    <row r="686" spans="1:8" hidden="1">
      <c r="A686" s="95" t="s">
        <v>592</v>
      </c>
      <c r="B686" s="78">
        <v>-86766.26</v>
      </c>
      <c r="C686" s="78"/>
      <c r="D686" s="78"/>
      <c r="E686" s="78">
        <v>-86766.26</v>
      </c>
      <c r="F686" s="96">
        <v>0</v>
      </c>
      <c r="G686" s="42">
        <f t="shared" si="11"/>
        <v>-86766.26</v>
      </c>
      <c r="H686" s="2" t="str">
        <f>VLOOKUP(A686,'TB MAy'!A:H,8,0)</f>
        <v>Not Applicable</v>
      </c>
    </row>
    <row r="687" spans="1:8" hidden="1">
      <c r="A687" s="95" t="s">
        <v>1177</v>
      </c>
      <c r="B687" s="78">
        <v>-8425</v>
      </c>
      <c r="C687" s="78">
        <v>21004</v>
      </c>
      <c r="D687" s="78">
        <v>12579</v>
      </c>
      <c r="E687" s="78"/>
      <c r="F687" s="96">
        <v>0</v>
      </c>
      <c r="G687" s="42">
        <f t="shared" si="11"/>
        <v>0</v>
      </c>
      <c r="H687" s="2" t="str">
        <f>VLOOKUP(A687,'TB MAy'!A:H,8,0)</f>
        <v>Not Applicable</v>
      </c>
    </row>
    <row r="688" spans="1:8" hidden="1">
      <c r="A688" s="95" t="s">
        <v>1242</v>
      </c>
      <c r="B688" s="78"/>
      <c r="C688" s="78">
        <v>111000</v>
      </c>
      <c r="D688" s="78">
        <v>111000</v>
      </c>
      <c r="E688" s="78"/>
      <c r="F688" s="96">
        <v>0</v>
      </c>
      <c r="G688" s="42">
        <f t="shared" si="11"/>
        <v>0</v>
      </c>
      <c r="H688" s="2" t="str">
        <f>VLOOKUP(A688,'TB MAy'!A:H,8,0)</f>
        <v>Not Applicable</v>
      </c>
    </row>
    <row r="689" spans="1:8" hidden="1">
      <c r="A689" s="95" t="s">
        <v>984</v>
      </c>
      <c r="B689" s="78"/>
      <c r="C689" s="78">
        <v>36000</v>
      </c>
      <c r="D689" s="78">
        <v>36000</v>
      </c>
      <c r="E689" s="78"/>
      <c r="F689" s="96">
        <v>0</v>
      </c>
      <c r="G689" s="42">
        <f t="shared" si="11"/>
        <v>0</v>
      </c>
      <c r="H689" s="2" t="str">
        <f>VLOOKUP(A689,'TB MAy'!A:H,8,0)</f>
        <v>Not Applicable</v>
      </c>
    </row>
    <row r="690" spans="1:8" hidden="1">
      <c r="A690" s="95" t="s">
        <v>1163</v>
      </c>
      <c r="B690" s="78">
        <v>-8911011.1999999993</v>
      </c>
      <c r="C690" s="78"/>
      <c r="D690" s="78"/>
      <c r="E690" s="78">
        <v>-8911011.1999999993</v>
      </c>
      <c r="F690" s="96">
        <v>0</v>
      </c>
      <c r="G690" s="42">
        <f t="shared" si="11"/>
        <v>-8911011.1999999993</v>
      </c>
      <c r="H690" s="2" t="str">
        <f>VLOOKUP(A690,'TB MAy'!A:H,8,0)</f>
        <v>Not Applicable</v>
      </c>
    </row>
    <row r="691" spans="1:8" hidden="1">
      <c r="A691" s="95" t="s">
        <v>1521</v>
      </c>
      <c r="B691" s="78"/>
      <c r="C691" s="78">
        <v>649000</v>
      </c>
      <c r="D691" s="78">
        <v>649000</v>
      </c>
      <c r="E691" s="78"/>
      <c r="F691" s="96">
        <v>0</v>
      </c>
      <c r="G691" s="42">
        <f t="shared" si="11"/>
        <v>0</v>
      </c>
      <c r="H691" s="2" t="str">
        <f>VLOOKUP(A691,'TB MAy'!A:H,8,0)</f>
        <v>Not Applicable</v>
      </c>
    </row>
    <row r="692" spans="1:8" hidden="1">
      <c r="A692" s="95" t="s">
        <v>578</v>
      </c>
      <c r="B692" s="78">
        <v>-2751</v>
      </c>
      <c r="C692" s="78">
        <v>50594</v>
      </c>
      <c r="D692" s="78">
        <v>51517</v>
      </c>
      <c r="E692" s="78">
        <v>-3674</v>
      </c>
      <c r="F692" s="96">
        <v>0</v>
      </c>
      <c r="G692" s="42">
        <f t="shared" si="11"/>
        <v>-3674</v>
      </c>
      <c r="H692" s="2" t="str">
        <f>VLOOKUP(A692,'TB MAy'!A:H,8,0)</f>
        <v>Not Applicable</v>
      </c>
    </row>
    <row r="693" spans="1:8" hidden="1">
      <c r="A693" s="95" t="s">
        <v>580</v>
      </c>
      <c r="B693" s="78">
        <v>-124792.93</v>
      </c>
      <c r="C693" s="78"/>
      <c r="D693" s="78"/>
      <c r="E693" s="78">
        <v>-124792.93</v>
      </c>
      <c r="F693" s="96">
        <v>0</v>
      </c>
      <c r="G693" s="42">
        <f t="shared" si="11"/>
        <v>-124792.93</v>
      </c>
      <c r="H693" s="2" t="str">
        <f>VLOOKUP(A693,'TB MAy'!A:H,8,0)</f>
        <v>Not Applicable</v>
      </c>
    </row>
    <row r="694" spans="1:8" hidden="1">
      <c r="A694" s="95" t="s">
        <v>577</v>
      </c>
      <c r="B694" s="78">
        <v>-228232853.84999999</v>
      </c>
      <c r="C694" s="78"/>
      <c r="D694" s="78"/>
      <c r="E694" s="78">
        <v>-228232853.84999999</v>
      </c>
      <c r="F694" s="96">
        <v>0</v>
      </c>
      <c r="G694" s="42">
        <f t="shared" si="11"/>
        <v>-228232853.84999999</v>
      </c>
      <c r="H694" s="2" t="str">
        <f>VLOOKUP(A694,'TB MAy'!A:H,8,0)</f>
        <v>Not Applicable</v>
      </c>
    </row>
    <row r="695" spans="1:8" hidden="1">
      <c r="A695" s="95" t="s">
        <v>576</v>
      </c>
      <c r="B695" s="78">
        <v>-1727691445.1800001</v>
      </c>
      <c r="C695" s="78">
        <v>0.21</v>
      </c>
      <c r="D695" s="78">
        <v>72873133.010000005</v>
      </c>
      <c r="E695" s="78">
        <v>-1800564577.98</v>
      </c>
      <c r="F695" s="96">
        <v>0</v>
      </c>
      <c r="G695" s="42">
        <f t="shared" si="11"/>
        <v>-1800564577.98</v>
      </c>
      <c r="H695" s="2" t="str">
        <f>VLOOKUP(A695,'TB MAy'!A:H,8,0)</f>
        <v>Not Applicable</v>
      </c>
    </row>
    <row r="696" spans="1:8" hidden="1">
      <c r="A696" s="95" t="s">
        <v>1123</v>
      </c>
      <c r="B696" s="78">
        <v>-31984</v>
      </c>
      <c r="C696" s="78">
        <v>31984</v>
      </c>
      <c r="D696" s="78">
        <v>14667.4</v>
      </c>
      <c r="E696" s="78">
        <v>-14667.4</v>
      </c>
      <c r="F696" s="96">
        <v>0</v>
      </c>
      <c r="G696" s="42">
        <f t="shared" si="11"/>
        <v>-14667.4</v>
      </c>
      <c r="H696" s="2" t="str">
        <f>VLOOKUP(A696,'TB MAy'!A:H,8,0)</f>
        <v>Not Applicable</v>
      </c>
    </row>
    <row r="697" spans="1:8" hidden="1">
      <c r="A697" s="95" t="s">
        <v>1575</v>
      </c>
      <c r="B697" s="78"/>
      <c r="C697" s="78">
        <v>12500</v>
      </c>
      <c r="D697" s="78">
        <v>12500</v>
      </c>
      <c r="E697" s="78"/>
      <c r="F697" s="96">
        <v>0</v>
      </c>
      <c r="G697" s="42">
        <f t="shared" si="11"/>
        <v>0</v>
      </c>
      <c r="H697" s="2" t="s">
        <v>84</v>
      </c>
    </row>
    <row r="698" spans="1:8" hidden="1">
      <c r="A698" s="95" t="s">
        <v>1068</v>
      </c>
      <c r="B698" s="78">
        <v>-64639</v>
      </c>
      <c r="C698" s="78">
        <v>139993</v>
      </c>
      <c r="D698" s="78">
        <v>168999</v>
      </c>
      <c r="E698" s="78">
        <v>-93645</v>
      </c>
      <c r="F698" s="96">
        <v>0</v>
      </c>
      <c r="G698" s="42">
        <f t="shared" si="11"/>
        <v>-93645</v>
      </c>
      <c r="H698" s="2" t="str">
        <f>VLOOKUP(A698,'TB MAy'!A:H,8,0)</f>
        <v>Not Applicable</v>
      </c>
    </row>
    <row r="699" spans="1:8" hidden="1">
      <c r="A699" s="95" t="s">
        <v>1243</v>
      </c>
      <c r="B699" s="78">
        <v>-10974</v>
      </c>
      <c r="C699" s="78">
        <v>10974</v>
      </c>
      <c r="D699" s="78"/>
      <c r="E699" s="78"/>
      <c r="F699" s="96">
        <v>0</v>
      </c>
      <c r="G699" s="42">
        <f t="shared" si="11"/>
        <v>0</v>
      </c>
      <c r="H699" s="2" t="str">
        <f>VLOOKUP(A699,'TB MAy'!A:H,8,0)</f>
        <v>Not Applicable</v>
      </c>
    </row>
    <row r="700" spans="1:8" hidden="1">
      <c r="A700" s="95" t="s">
        <v>1522</v>
      </c>
      <c r="B700" s="78"/>
      <c r="C700" s="78">
        <v>41000</v>
      </c>
      <c r="D700" s="78">
        <v>41000</v>
      </c>
      <c r="E700" s="78"/>
      <c r="F700" s="96">
        <v>0</v>
      </c>
      <c r="G700" s="42">
        <f t="shared" si="11"/>
        <v>0</v>
      </c>
      <c r="H700" s="2" t="str">
        <f>VLOOKUP(A700,'TB MAy'!A:H,8,0)</f>
        <v>Not Applicable</v>
      </c>
    </row>
    <row r="701" spans="1:8" hidden="1">
      <c r="A701" s="95" t="s">
        <v>557</v>
      </c>
      <c r="B701" s="78"/>
      <c r="C701" s="78"/>
      <c r="D701" s="78"/>
      <c r="E701" s="78"/>
      <c r="F701" s="96">
        <v>0</v>
      </c>
      <c r="G701" s="42">
        <f t="shared" si="11"/>
        <v>0</v>
      </c>
      <c r="H701" s="2" t="str">
        <f>VLOOKUP(A701,'TB MAy'!A:H,8,0)</f>
        <v>Not Applicable</v>
      </c>
    </row>
    <row r="702" spans="1:8" hidden="1">
      <c r="A702" s="95" t="s">
        <v>911</v>
      </c>
      <c r="B702" s="78">
        <v>400</v>
      </c>
      <c r="C702" s="78"/>
      <c r="D702" s="78"/>
      <c r="E702" s="78">
        <v>400</v>
      </c>
      <c r="F702" s="96">
        <v>0</v>
      </c>
      <c r="G702" s="42">
        <f t="shared" si="11"/>
        <v>400</v>
      </c>
      <c r="H702" s="2" t="str">
        <f>VLOOKUP(A702,'TB MAy'!A:H,8,0)</f>
        <v>Not Applicable</v>
      </c>
    </row>
    <row r="703" spans="1:8" hidden="1">
      <c r="A703" s="95" t="s">
        <v>1245</v>
      </c>
      <c r="B703" s="78">
        <v>-1160334</v>
      </c>
      <c r="C703" s="78">
        <v>3147477</v>
      </c>
      <c r="D703" s="78">
        <v>1864579</v>
      </c>
      <c r="E703" s="78">
        <v>122564</v>
      </c>
      <c r="F703" s="96">
        <v>0</v>
      </c>
      <c r="G703" s="42">
        <f t="shared" si="11"/>
        <v>122564</v>
      </c>
      <c r="H703" s="2" t="str">
        <f>VLOOKUP(A703,'TB MAy'!A:H,8,0)</f>
        <v>Not Applicable</v>
      </c>
    </row>
    <row r="704" spans="1:8" hidden="1">
      <c r="A704" s="95" t="s">
        <v>552</v>
      </c>
      <c r="B704" s="78"/>
      <c r="C704" s="78"/>
      <c r="D704" s="78"/>
      <c r="E704" s="78"/>
      <c r="F704" s="96">
        <v>0</v>
      </c>
      <c r="G704" s="42">
        <f t="shared" si="11"/>
        <v>0</v>
      </c>
      <c r="H704" s="2" t="str">
        <f>VLOOKUP(A704,'TB MAy'!A:H,8,0)</f>
        <v>Not Applicable</v>
      </c>
    </row>
    <row r="705" spans="1:8" hidden="1">
      <c r="A705" s="95" t="s">
        <v>1100</v>
      </c>
      <c r="B705" s="78">
        <v>-12870</v>
      </c>
      <c r="C705" s="78">
        <v>23018</v>
      </c>
      <c r="D705" s="78">
        <v>10148</v>
      </c>
      <c r="E705" s="78"/>
      <c r="F705" s="96">
        <v>0</v>
      </c>
      <c r="G705" s="42">
        <f t="shared" si="11"/>
        <v>0</v>
      </c>
      <c r="H705" s="2" t="str">
        <f>VLOOKUP(A705,'TB MAy'!A:H,8,0)</f>
        <v>Not Applicable</v>
      </c>
    </row>
    <row r="706" spans="1:8" hidden="1">
      <c r="A706" s="95" t="s">
        <v>1215</v>
      </c>
      <c r="B706" s="78">
        <v>-968802</v>
      </c>
      <c r="C706" s="78">
        <v>2247389</v>
      </c>
      <c r="D706" s="78">
        <v>1374300</v>
      </c>
      <c r="E706" s="78">
        <v>-95713</v>
      </c>
      <c r="F706" s="96">
        <v>0</v>
      </c>
      <c r="G706" s="42">
        <f t="shared" si="11"/>
        <v>-95713</v>
      </c>
      <c r="H706" s="2" t="str">
        <f>VLOOKUP(A706,'TB MAy'!A:H,8,0)</f>
        <v>Not Applicable</v>
      </c>
    </row>
    <row r="707" spans="1:8" hidden="1">
      <c r="A707" s="95" t="s">
        <v>554</v>
      </c>
      <c r="B707" s="78">
        <v>-1057503</v>
      </c>
      <c r="C707" s="78">
        <v>868296.1</v>
      </c>
      <c r="D707" s="78">
        <v>1088211.1000000001</v>
      </c>
      <c r="E707" s="78">
        <v>-1277418</v>
      </c>
      <c r="F707" s="96">
        <v>0</v>
      </c>
      <c r="G707" s="42">
        <f t="shared" si="11"/>
        <v>-1277418</v>
      </c>
      <c r="H707" s="2" t="str">
        <f>VLOOKUP(A707,'TB MAy'!A:H,8,0)</f>
        <v>Not Applicable</v>
      </c>
    </row>
    <row r="708" spans="1:8" hidden="1">
      <c r="A708" s="95" t="s">
        <v>1470</v>
      </c>
      <c r="B708" s="78"/>
      <c r="C708" s="78">
        <v>4564</v>
      </c>
      <c r="D708" s="78">
        <v>4564</v>
      </c>
      <c r="E708" s="78"/>
      <c r="F708" s="96">
        <v>0</v>
      </c>
      <c r="G708" s="42">
        <f t="shared" si="11"/>
        <v>0</v>
      </c>
      <c r="H708" s="2" t="str">
        <f>VLOOKUP(A708,'TB MAy'!A:H,8,0)</f>
        <v>Not Applicable</v>
      </c>
    </row>
    <row r="709" spans="1:8" hidden="1">
      <c r="A709" s="95" t="s">
        <v>555</v>
      </c>
      <c r="B709" s="78">
        <v>-1.82</v>
      </c>
      <c r="C709" s="78"/>
      <c r="D709" s="78"/>
      <c r="E709" s="78">
        <v>-1.82</v>
      </c>
      <c r="F709" s="96">
        <v>0</v>
      </c>
      <c r="G709" s="42">
        <f t="shared" si="11"/>
        <v>-1.82</v>
      </c>
      <c r="H709" s="2" t="str">
        <f>VLOOKUP(A709,'TB MAy'!A:H,8,0)</f>
        <v>Not Applicable</v>
      </c>
    </row>
    <row r="710" spans="1:8" hidden="1">
      <c r="A710" s="95" t="s">
        <v>1312</v>
      </c>
      <c r="B710" s="78"/>
      <c r="C710" s="78"/>
      <c r="D710" s="78"/>
      <c r="E710" s="78"/>
      <c r="F710" s="96">
        <v>0</v>
      </c>
      <c r="G710" s="42">
        <f t="shared" si="11"/>
        <v>0</v>
      </c>
      <c r="H710" s="2" t="str">
        <f>VLOOKUP(A710,'TB MAy'!A:H,8,0)</f>
        <v>Not Applicable</v>
      </c>
    </row>
    <row r="711" spans="1:8" hidden="1">
      <c r="A711" s="95" t="s">
        <v>1246</v>
      </c>
      <c r="B711" s="78">
        <v>-202703</v>
      </c>
      <c r="C711" s="78">
        <v>202703</v>
      </c>
      <c r="D711" s="78"/>
      <c r="E711" s="78"/>
      <c r="F711" s="96">
        <v>0</v>
      </c>
      <c r="G711" s="42">
        <f t="shared" si="11"/>
        <v>0</v>
      </c>
      <c r="H711" s="2" t="str">
        <f>VLOOKUP(A711,'TB MAy'!A:H,8,0)</f>
        <v>Not Applicable</v>
      </c>
    </row>
    <row r="712" spans="1:8" hidden="1">
      <c r="A712" s="95" t="s">
        <v>1523</v>
      </c>
      <c r="B712" s="78"/>
      <c r="C712" s="78">
        <v>876881.25</v>
      </c>
      <c r="D712" s="78">
        <v>877625</v>
      </c>
      <c r="E712" s="78">
        <v>-743.75</v>
      </c>
      <c r="F712" s="96">
        <v>0</v>
      </c>
      <c r="G712" s="42">
        <f t="shared" si="11"/>
        <v>-743.75</v>
      </c>
      <c r="H712" s="2" t="str">
        <f>VLOOKUP(A712,'TB MAy'!A:H,8,0)</f>
        <v>Not Applicable</v>
      </c>
    </row>
    <row r="713" spans="1:8" hidden="1">
      <c r="A713" s="95" t="s">
        <v>1101</v>
      </c>
      <c r="B713" s="78"/>
      <c r="C713" s="78"/>
      <c r="D713" s="78"/>
      <c r="E713" s="78"/>
      <c r="F713" s="96">
        <v>0</v>
      </c>
      <c r="G713" s="42">
        <f t="shared" si="11"/>
        <v>0</v>
      </c>
      <c r="H713" s="2" t="str">
        <f>VLOOKUP(A713,'TB MAy'!A:H,8,0)</f>
        <v>Not Applicable</v>
      </c>
    </row>
    <row r="714" spans="1:8" hidden="1">
      <c r="A714" s="95" t="s">
        <v>549</v>
      </c>
      <c r="B714" s="78">
        <v>-1</v>
      </c>
      <c r="C714" s="78"/>
      <c r="D714" s="78"/>
      <c r="E714" s="78">
        <v>-1</v>
      </c>
      <c r="F714" s="96">
        <v>0</v>
      </c>
      <c r="G714" s="42">
        <f t="shared" si="11"/>
        <v>-1</v>
      </c>
      <c r="H714" s="2" t="str">
        <f>VLOOKUP(A714,'TB MAy'!A:H,8,0)</f>
        <v>Not Applicable</v>
      </c>
    </row>
    <row r="715" spans="1:8" hidden="1">
      <c r="A715" s="95" t="s">
        <v>1471</v>
      </c>
      <c r="B715" s="78">
        <v>-20886</v>
      </c>
      <c r="C715" s="78">
        <v>20886</v>
      </c>
      <c r="D715" s="78"/>
      <c r="E715" s="78"/>
      <c r="F715" s="96">
        <v>0</v>
      </c>
      <c r="G715" s="42">
        <f t="shared" si="11"/>
        <v>0</v>
      </c>
      <c r="H715" s="2" t="str">
        <f>VLOOKUP(A715,'TB MAy'!A:H,8,0)</f>
        <v>Not Applicable</v>
      </c>
    </row>
    <row r="716" spans="1:8" hidden="1">
      <c r="A716" s="95" t="s">
        <v>1359</v>
      </c>
      <c r="B716" s="78">
        <v>-13570</v>
      </c>
      <c r="C716" s="78">
        <v>24544</v>
      </c>
      <c r="D716" s="78">
        <v>24544</v>
      </c>
      <c r="E716" s="78">
        <v>-13570</v>
      </c>
      <c r="F716" s="96">
        <v>0</v>
      </c>
      <c r="G716" s="42">
        <f t="shared" si="11"/>
        <v>-13570</v>
      </c>
      <c r="H716" s="2" t="str">
        <f>VLOOKUP(A716,'TB MAy'!A:H,8,0)</f>
        <v>Not Applicable</v>
      </c>
    </row>
    <row r="717" spans="1:8" hidden="1">
      <c r="A717" s="95" t="s">
        <v>1263</v>
      </c>
      <c r="B717" s="78">
        <v>-5648.3</v>
      </c>
      <c r="C717" s="78">
        <v>444594.5</v>
      </c>
      <c r="D717" s="78">
        <v>444596</v>
      </c>
      <c r="E717" s="78">
        <v>-5649.8</v>
      </c>
      <c r="F717" s="96">
        <v>0</v>
      </c>
      <c r="G717" s="42">
        <f t="shared" si="11"/>
        <v>-5649.8</v>
      </c>
      <c r="H717" s="2" t="str">
        <f>VLOOKUP(A717,'TB MAy'!A:H,8,0)</f>
        <v>Not Applicable</v>
      </c>
    </row>
    <row r="718" spans="1:8" hidden="1">
      <c r="A718" s="95" t="s">
        <v>869</v>
      </c>
      <c r="B718" s="78">
        <v>-233175</v>
      </c>
      <c r="C718" s="78"/>
      <c r="D718" s="78"/>
      <c r="E718" s="78">
        <v>-233175</v>
      </c>
      <c r="F718" s="96">
        <v>0</v>
      </c>
      <c r="G718" s="42">
        <f t="shared" si="11"/>
        <v>-233175</v>
      </c>
      <c r="H718" s="2" t="str">
        <f>VLOOKUP(A718,'TB MAy'!A:H,8,0)</f>
        <v>Not Applicable</v>
      </c>
    </row>
    <row r="719" spans="1:8" hidden="1">
      <c r="A719" s="95" t="s">
        <v>541</v>
      </c>
      <c r="B719" s="78">
        <v>-267011.21000000002</v>
      </c>
      <c r="C719" s="78">
        <v>1451400</v>
      </c>
      <c r="D719" s="78">
        <v>1451400</v>
      </c>
      <c r="E719" s="78">
        <v>-267011.21000000002</v>
      </c>
      <c r="F719" s="96">
        <v>0</v>
      </c>
      <c r="G719" s="42">
        <f t="shared" si="11"/>
        <v>-267011.21000000002</v>
      </c>
      <c r="H719" s="2" t="str">
        <f>VLOOKUP(A719,'TB MAy'!A:H,8,0)</f>
        <v>Not Applicable</v>
      </c>
    </row>
    <row r="720" spans="1:8" hidden="1">
      <c r="A720" s="95" t="s">
        <v>543</v>
      </c>
      <c r="B720" s="78"/>
      <c r="C720" s="78">
        <v>339175</v>
      </c>
      <c r="D720" s="78">
        <v>339175</v>
      </c>
      <c r="E720" s="78"/>
      <c r="F720" s="96">
        <v>0</v>
      </c>
      <c r="G720" s="42">
        <f t="shared" si="11"/>
        <v>0</v>
      </c>
      <c r="H720" s="2" t="str">
        <f>VLOOKUP(A720,'TB MAy'!A:H,8,0)</f>
        <v>Not Applicable</v>
      </c>
    </row>
    <row r="721" spans="1:8" hidden="1">
      <c r="A721" s="95" t="s">
        <v>1040</v>
      </c>
      <c r="B721" s="78"/>
      <c r="C721" s="78">
        <v>39600</v>
      </c>
      <c r="D721" s="78">
        <v>39600</v>
      </c>
      <c r="E721" s="78"/>
      <c r="F721" s="96">
        <v>0</v>
      </c>
      <c r="G721" s="42">
        <f t="shared" si="11"/>
        <v>0</v>
      </c>
      <c r="H721" s="2" t="str">
        <f>VLOOKUP(A721,'TB MAy'!A:H,8,0)</f>
        <v>Not Applicable</v>
      </c>
    </row>
    <row r="722" spans="1:8" hidden="1">
      <c r="A722" s="95" t="s">
        <v>1336</v>
      </c>
      <c r="B722" s="78">
        <v>-590000.12</v>
      </c>
      <c r="C722" s="78">
        <v>2071663.46</v>
      </c>
      <c r="D722" s="78">
        <v>1831950</v>
      </c>
      <c r="E722" s="78">
        <v>-350286.66</v>
      </c>
      <c r="F722" s="96">
        <v>0</v>
      </c>
      <c r="G722" s="42">
        <f t="shared" si="11"/>
        <v>-350286.66</v>
      </c>
      <c r="H722" s="2" t="str">
        <f>VLOOKUP(A722,'TB MAy'!A:H,8,0)</f>
        <v>Not Applicable</v>
      </c>
    </row>
    <row r="723" spans="1:8" hidden="1">
      <c r="A723" s="95" t="s">
        <v>1039</v>
      </c>
      <c r="B723" s="78"/>
      <c r="C723" s="78">
        <v>39600</v>
      </c>
      <c r="D723" s="78">
        <v>39600</v>
      </c>
      <c r="E723" s="78"/>
      <c r="F723" s="96">
        <v>0</v>
      </c>
      <c r="G723" s="42">
        <f t="shared" si="11"/>
        <v>0</v>
      </c>
      <c r="H723" s="2" t="str">
        <f>VLOOKUP(A723,'TB MAy'!A:H,8,0)</f>
        <v>Not Applicable</v>
      </c>
    </row>
    <row r="724" spans="1:8" hidden="1">
      <c r="A724" s="95" t="s">
        <v>980</v>
      </c>
      <c r="B724" s="78">
        <v>590</v>
      </c>
      <c r="C724" s="78"/>
      <c r="D724" s="78"/>
      <c r="E724" s="78">
        <v>590</v>
      </c>
      <c r="F724" s="96">
        <v>0</v>
      </c>
      <c r="G724" s="42">
        <f t="shared" si="11"/>
        <v>590</v>
      </c>
      <c r="H724" s="2" t="str">
        <f>VLOOKUP(A724,'TB MAy'!A:H,8,0)</f>
        <v>Not Applicable</v>
      </c>
    </row>
    <row r="725" spans="1:8" hidden="1">
      <c r="A725" s="95" t="s">
        <v>531</v>
      </c>
      <c r="B725" s="78"/>
      <c r="C725" s="78">
        <v>9458</v>
      </c>
      <c r="D725" s="78">
        <v>9458</v>
      </c>
      <c r="E725" s="78"/>
      <c r="F725" s="96">
        <v>0</v>
      </c>
      <c r="G725" s="42">
        <f t="shared" si="11"/>
        <v>0</v>
      </c>
      <c r="H725" s="2" t="str">
        <f>VLOOKUP(A725,'TB MAy'!A:H,8,0)</f>
        <v>Not Applicable</v>
      </c>
    </row>
    <row r="726" spans="1:8" hidden="1">
      <c r="A726" s="95" t="s">
        <v>1473</v>
      </c>
      <c r="B726" s="78"/>
      <c r="C726" s="78">
        <v>22562</v>
      </c>
      <c r="D726" s="78">
        <v>22562</v>
      </c>
      <c r="E726" s="78"/>
      <c r="F726" s="96">
        <v>0</v>
      </c>
      <c r="G726" s="42">
        <f t="shared" si="11"/>
        <v>0</v>
      </c>
      <c r="H726" s="2" t="str">
        <f>VLOOKUP(A726,'TB MAy'!A:H,8,0)</f>
        <v>Not Applicable</v>
      </c>
    </row>
    <row r="727" spans="1:8" hidden="1">
      <c r="A727" s="95" t="s">
        <v>524</v>
      </c>
      <c r="B727" s="78">
        <v>-112</v>
      </c>
      <c r="C727" s="78"/>
      <c r="D727" s="78"/>
      <c r="E727" s="78">
        <v>-112</v>
      </c>
      <c r="F727" s="96">
        <v>0</v>
      </c>
      <c r="G727" s="42">
        <f t="shared" si="11"/>
        <v>-112</v>
      </c>
      <c r="H727" s="2" t="str">
        <f>VLOOKUP(A727,'TB MAy'!A:H,8,0)</f>
        <v>Not Applicable</v>
      </c>
    </row>
    <row r="728" spans="1:8" hidden="1">
      <c r="A728" s="95" t="s">
        <v>518</v>
      </c>
      <c r="B728" s="78">
        <v>-26359205</v>
      </c>
      <c r="C728" s="78"/>
      <c r="D728" s="78"/>
      <c r="E728" s="78">
        <v>-26359205</v>
      </c>
      <c r="F728" s="96">
        <v>0</v>
      </c>
      <c r="G728" s="42">
        <f t="shared" si="11"/>
        <v>-26359205</v>
      </c>
      <c r="H728" s="2" t="str">
        <f>VLOOKUP(A728,'TB MAy'!A:H,8,0)</f>
        <v>Not Applicable</v>
      </c>
    </row>
    <row r="729" spans="1:8" hidden="1">
      <c r="A729" s="95" t="s">
        <v>514</v>
      </c>
      <c r="B729" s="78">
        <v>-408514348.66000003</v>
      </c>
      <c r="C729" s="78"/>
      <c r="D729" s="78"/>
      <c r="E729" s="78">
        <v>-408514348.66000003</v>
      </c>
      <c r="F729" s="96">
        <v>0</v>
      </c>
      <c r="G729" s="42">
        <f t="shared" si="11"/>
        <v>-408514348.66000003</v>
      </c>
      <c r="H729" s="2" t="str">
        <f>VLOOKUP(A729,'TB MAy'!A:H,8,0)</f>
        <v>Not Applicable</v>
      </c>
    </row>
    <row r="730" spans="1:8" hidden="1">
      <c r="A730" s="95" t="s">
        <v>513</v>
      </c>
      <c r="B730" s="78">
        <v>-273011778.32999998</v>
      </c>
      <c r="C730" s="78"/>
      <c r="D730" s="78"/>
      <c r="E730" s="78">
        <v>-273011778.32999998</v>
      </c>
      <c r="F730" s="96">
        <v>0</v>
      </c>
      <c r="G730" s="42">
        <f t="shared" si="11"/>
        <v>-273011778.32999998</v>
      </c>
      <c r="H730" s="2" t="str">
        <f>VLOOKUP(A730,'TB MAy'!A:H,8,0)</f>
        <v>Not Applicable</v>
      </c>
    </row>
    <row r="731" spans="1:8" hidden="1">
      <c r="A731" s="95" t="s">
        <v>1576</v>
      </c>
      <c r="B731" s="78"/>
      <c r="C731" s="78"/>
      <c r="D731" s="78">
        <v>3540</v>
      </c>
      <c r="E731" s="78">
        <v>-3540</v>
      </c>
      <c r="F731" s="96">
        <v>0</v>
      </c>
      <c r="G731" s="42">
        <f t="shared" si="11"/>
        <v>-3540</v>
      </c>
      <c r="H731" s="2" t="s">
        <v>84</v>
      </c>
    </row>
    <row r="732" spans="1:8" hidden="1">
      <c r="A732" s="95" t="s">
        <v>1524</v>
      </c>
      <c r="B732" s="78"/>
      <c r="C732" s="78">
        <v>329051</v>
      </c>
      <c r="D732" s="78">
        <v>544973</v>
      </c>
      <c r="E732" s="78">
        <v>-215922</v>
      </c>
      <c r="F732" s="96">
        <v>0</v>
      </c>
      <c r="G732" s="42">
        <f t="shared" si="11"/>
        <v>-215922</v>
      </c>
      <c r="H732" s="2" t="str">
        <f>VLOOKUP(A732,'TB MAy'!A:H,8,0)</f>
        <v>Not Applicable</v>
      </c>
    </row>
    <row r="733" spans="1:8" hidden="1">
      <c r="A733" s="95" t="s">
        <v>510</v>
      </c>
      <c r="B733" s="78">
        <v>-3500</v>
      </c>
      <c r="C733" s="78"/>
      <c r="D733" s="78"/>
      <c r="E733" s="78">
        <v>-3500</v>
      </c>
      <c r="F733" s="96">
        <v>0</v>
      </c>
      <c r="G733" s="42">
        <f t="shared" si="11"/>
        <v>-3500</v>
      </c>
      <c r="H733" s="2" t="str">
        <f>VLOOKUP(A733,'TB MAy'!A:H,8,0)</f>
        <v>Not Applicable</v>
      </c>
    </row>
    <row r="734" spans="1:8" hidden="1">
      <c r="A734" s="95" t="s">
        <v>1360</v>
      </c>
      <c r="B734" s="78">
        <v>-36270</v>
      </c>
      <c r="C734" s="78">
        <v>36270</v>
      </c>
      <c r="D734" s="78"/>
      <c r="E734" s="78"/>
      <c r="F734" s="96">
        <v>0</v>
      </c>
      <c r="G734" s="42">
        <f t="shared" si="11"/>
        <v>0</v>
      </c>
      <c r="H734" s="2" t="str">
        <f>VLOOKUP(A734,'TB MAy'!A:H,8,0)</f>
        <v>Not Applicable</v>
      </c>
    </row>
    <row r="735" spans="1:8" hidden="1">
      <c r="A735" s="95" t="s">
        <v>909</v>
      </c>
      <c r="B735" s="78"/>
      <c r="C735" s="78"/>
      <c r="D735" s="78"/>
      <c r="E735" s="78"/>
      <c r="F735" s="96">
        <v>0</v>
      </c>
      <c r="G735" s="42">
        <f t="shared" si="11"/>
        <v>0</v>
      </c>
      <c r="H735" s="2" t="str">
        <f>VLOOKUP(A735,'TB MAy'!A:H,8,0)</f>
        <v>Not Applicable</v>
      </c>
    </row>
    <row r="736" spans="1:8" hidden="1">
      <c r="A736" s="95" t="s">
        <v>506</v>
      </c>
      <c r="B736" s="78">
        <v>-0.12</v>
      </c>
      <c r="C736" s="78"/>
      <c r="D736" s="78"/>
      <c r="E736" s="78">
        <v>-0.12</v>
      </c>
      <c r="F736" s="96">
        <v>0</v>
      </c>
      <c r="G736" s="42">
        <f t="shared" si="11"/>
        <v>-0.12</v>
      </c>
      <c r="H736" s="2" t="str">
        <f>VLOOKUP(A736,'TB MAy'!A:H,8,0)</f>
        <v>Not Applicable</v>
      </c>
    </row>
    <row r="737" spans="1:8" hidden="1">
      <c r="A737" s="95" t="s">
        <v>507</v>
      </c>
      <c r="B737" s="78">
        <v>-143345.60999999999</v>
      </c>
      <c r="C737" s="78"/>
      <c r="D737" s="78"/>
      <c r="E737" s="78">
        <v>-143345.60999999999</v>
      </c>
      <c r="F737" s="96">
        <v>0</v>
      </c>
      <c r="G737" s="42">
        <f t="shared" ref="G737:G800" si="12">+E737+F737</f>
        <v>-143345.60999999999</v>
      </c>
      <c r="H737" s="2" t="str">
        <f>VLOOKUP(A737,'TB MAy'!A:H,8,0)</f>
        <v>Not Applicable</v>
      </c>
    </row>
    <row r="738" spans="1:8" hidden="1">
      <c r="A738" s="95" t="s">
        <v>1525</v>
      </c>
      <c r="B738" s="78"/>
      <c r="C738" s="78"/>
      <c r="D738" s="78"/>
      <c r="E738" s="78"/>
      <c r="F738" s="96">
        <v>0</v>
      </c>
      <c r="G738" s="42">
        <f t="shared" si="12"/>
        <v>0</v>
      </c>
      <c r="H738" s="2" t="str">
        <f>VLOOKUP(A738,'TB MAy'!A:H,8,0)</f>
        <v>Not Applicable</v>
      </c>
    </row>
    <row r="739" spans="1:8" hidden="1">
      <c r="A739" s="95" t="s">
        <v>505</v>
      </c>
      <c r="B739" s="78"/>
      <c r="C739" s="78"/>
      <c r="D739" s="78"/>
      <c r="E739" s="78"/>
      <c r="F739" s="96">
        <v>0</v>
      </c>
      <c r="G739" s="42">
        <f t="shared" si="12"/>
        <v>0</v>
      </c>
      <c r="H739" s="2" t="str">
        <f>VLOOKUP(A739,'TB MAy'!A:H,8,0)</f>
        <v>Not Applicable</v>
      </c>
    </row>
    <row r="740" spans="1:8" hidden="1">
      <c r="A740" s="95" t="s">
        <v>504</v>
      </c>
      <c r="B740" s="78">
        <v>-63838054.280000001</v>
      </c>
      <c r="C740" s="78"/>
      <c r="D740" s="78"/>
      <c r="E740" s="78">
        <v>-63838054.280000001</v>
      </c>
      <c r="F740" s="96">
        <v>0</v>
      </c>
      <c r="G740" s="42">
        <f t="shared" si="12"/>
        <v>-63838054.280000001</v>
      </c>
      <c r="H740" s="2" t="str">
        <f>VLOOKUP(A740,'TB MAy'!A:H,8,0)</f>
        <v>Not Applicable</v>
      </c>
    </row>
    <row r="741" spans="1:8" hidden="1">
      <c r="A741" s="95" t="s">
        <v>502</v>
      </c>
      <c r="B741" s="78">
        <v>-2304483139.4699998</v>
      </c>
      <c r="C741" s="78"/>
      <c r="D741" s="78">
        <v>55825062.020000003</v>
      </c>
      <c r="E741" s="78">
        <v>-2360308201.4899998</v>
      </c>
      <c r="F741" s="96">
        <v>0</v>
      </c>
      <c r="G741" s="42">
        <f t="shared" si="12"/>
        <v>-2360308201.4899998</v>
      </c>
      <c r="H741" s="2" t="str">
        <f>VLOOKUP(A741,'TB MAy'!A:H,8,0)</f>
        <v>Not Applicable</v>
      </c>
    </row>
    <row r="742" spans="1:8" hidden="1">
      <c r="A742" s="95" t="s">
        <v>501</v>
      </c>
      <c r="B742" s="78">
        <v>9711150</v>
      </c>
      <c r="C742" s="78"/>
      <c r="D742" s="78"/>
      <c r="E742" s="78">
        <v>9711150</v>
      </c>
      <c r="F742" s="96">
        <v>0</v>
      </c>
      <c r="G742" s="42">
        <f t="shared" si="12"/>
        <v>9711150</v>
      </c>
      <c r="H742" s="2" t="str">
        <f>VLOOKUP(A742,'TB MAy'!A:H,8,0)</f>
        <v>Not Applicable</v>
      </c>
    </row>
    <row r="743" spans="1:8" hidden="1">
      <c r="A743" s="95" t="s">
        <v>499</v>
      </c>
      <c r="B743" s="78">
        <v>142144.26</v>
      </c>
      <c r="C743" s="78"/>
      <c r="D743" s="78"/>
      <c r="E743" s="78">
        <v>142144.26</v>
      </c>
      <c r="F743" s="96">
        <v>0</v>
      </c>
      <c r="G743" s="42">
        <f t="shared" si="12"/>
        <v>142144.26</v>
      </c>
      <c r="H743" s="2" t="str">
        <f>VLOOKUP(A743,'TB MAy'!A:H,8,0)</f>
        <v>Not Applicable</v>
      </c>
    </row>
    <row r="744" spans="1:8" hidden="1">
      <c r="A744" s="95" t="s">
        <v>500</v>
      </c>
      <c r="B744" s="78">
        <v>-11315312.48</v>
      </c>
      <c r="C744" s="78"/>
      <c r="D744" s="78"/>
      <c r="E744" s="78">
        <v>-11315312.48</v>
      </c>
      <c r="F744" s="96">
        <v>0</v>
      </c>
      <c r="G744" s="42">
        <f t="shared" si="12"/>
        <v>-11315312.48</v>
      </c>
      <c r="H744" s="2" t="str">
        <f>VLOOKUP(A744,'TB MAy'!A:H,8,0)</f>
        <v>Not Applicable</v>
      </c>
    </row>
    <row r="745" spans="1:8" hidden="1">
      <c r="A745" s="95" t="s">
        <v>498</v>
      </c>
      <c r="B745" s="78">
        <v>-201420265.81999999</v>
      </c>
      <c r="C745" s="78"/>
      <c r="D745" s="78"/>
      <c r="E745" s="78">
        <v>-201420265.81999999</v>
      </c>
      <c r="F745" s="96">
        <v>0</v>
      </c>
      <c r="G745" s="42">
        <f t="shared" si="12"/>
        <v>-201420265.81999999</v>
      </c>
      <c r="H745" s="2" t="str">
        <f>VLOOKUP(A745,'TB MAy'!A:H,8,0)</f>
        <v>Not Applicable</v>
      </c>
    </row>
    <row r="746" spans="1:8" hidden="1">
      <c r="A746" s="95" t="s">
        <v>497</v>
      </c>
      <c r="B746" s="78">
        <v>-168073662.58000001</v>
      </c>
      <c r="C746" s="78"/>
      <c r="D746" s="78">
        <v>306247.96000000002</v>
      </c>
      <c r="E746" s="78">
        <v>-168379910.53999999</v>
      </c>
      <c r="F746" s="96">
        <v>0</v>
      </c>
      <c r="G746" s="42">
        <f t="shared" si="12"/>
        <v>-168379910.53999999</v>
      </c>
      <c r="H746" s="2" t="str">
        <f>VLOOKUP(A746,'TB MAy'!A:H,8,0)</f>
        <v>Not Applicable</v>
      </c>
    </row>
    <row r="747" spans="1:8" hidden="1">
      <c r="A747" s="95" t="s">
        <v>1526</v>
      </c>
      <c r="B747" s="78"/>
      <c r="C747" s="78">
        <v>5496792.5</v>
      </c>
      <c r="D747" s="78">
        <v>5496792.75</v>
      </c>
      <c r="E747" s="78">
        <v>-0.25</v>
      </c>
      <c r="F747" s="96">
        <v>0</v>
      </c>
      <c r="G747" s="42">
        <f t="shared" si="12"/>
        <v>-0.25</v>
      </c>
      <c r="H747" s="2" t="str">
        <f>VLOOKUP(A747,'TB MAy'!A:H,8,0)</f>
        <v>Not Applicable</v>
      </c>
    </row>
    <row r="748" spans="1:8" hidden="1">
      <c r="A748" s="95" t="s">
        <v>908</v>
      </c>
      <c r="B748" s="78">
        <v>40000</v>
      </c>
      <c r="C748" s="78"/>
      <c r="D748" s="78"/>
      <c r="E748" s="78">
        <v>40000</v>
      </c>
      <c r="F748" s="96">
        <v>0</v>
      </c>
      <c r="G748" s="42">
        <f t="shared" si="12"/>
        <v>40000</v>
      </c>
      <c r="H748" s="2" t="str">
        <f>VLOOKUP(A748,'TB MAy'!A:H,8,0)</f>
        <v>Not Applicable</v>
      </c>
    </row>
    <row r="749" spans="1:8" hidden="1">
      <c r="A749" s="95" t="s">
        <v>1059</v>
      </c>
      <c r="B749" s="78">
        <v>-301099</v>
      </c>
      <c r="C749" s="78"/>
      <c r="D749" s="78"/>
      <c r="E749" s="78">
        <v>-301099</v>
      </c>
      <c r="F749" s="96">
        <v>0</v>
      </c>
      <c r="G749" s="42">
        <f t="shared" si="12"/>
        <v>-301099</v>
      </c>
      <c r="H749" s="2" t="str">
        <f>VLOOKUP(A749,'TB MAy'!A:H,8,0)</f>
        <v>Not Applicable</v>
      </c>
    </row>
    <row r="750" spans="1:8" hidden="1">
      <c r="A750" s="95" t="s">
        <v>1321</v>
      </c>
      <c r="B750" s="78"/>
      <c r="C750" s="78"/>
      <c r="D750" s="78"/>
      <c r="E750" s="78"/>
      <c r="F750" s="96">
        <v>0</v>
      </c>
      <c r="G750" s="42">
        <f t="shared" si="12"/>
        <v>0</v>
      </c>
      <c r="H750" s="2" t="str">
        <f>VLOOKUP(A750,'TB MAy'!A:H,8,0)</f>
        <v>Not Applicable</v>
      </c>
    </row>
    <row r="751" spans="1:8" hidden="1">
      <c r="A751" s="95" t="s">
        <v>1361</v>
      </c>
      <c r="B751" s="78">
        <v>30</v>
      </c>
      <c r="C751" s="78"/>
      <c r="D751" s="78"/>
      <c r="E751" s="78">
        <v>30</v>
      </c>
      <c r="F751" s="96">
        <v>0</v>
      </c>
      <c r="G751" s="42">
        <f t="shared" si="12"/>
        <v>30</v>
      </c>
      <c r="H751" s="2" t="str">
        <f>VLOOKUP(A751,'TB MAy'!A:H,8,0)</f>
        <v>Not Applicable</v>
      </c>
    </row>
    <row r="752" spans="1:8" hidden="1">
      <c r="A752" s="95" t="s">
        <v>487</v>
      </c>
      <c r="B752" s="78"/>
      <c r="C752" s="78"/>
      <c r="D752" s="78"/>
      <c r="E752" s="78"/>
      <c r="F752" s="96">
        <v>0</v>
      </c>
      <c r="G752" s="42">
        <f t="shared" si="12"/>
        <v>0</v>
      </c>
      <c r="H752" s="2" t="str">
        <f>VLOOKUP(A752,'TB MAy'!A:H,8,0)</f>
        <v>Not Applicable</v>
      </c>
    </row>
    <row r="753" spans="1:8" hidden="1">
      <c r="A753" s="95" t="s">
        <v>1362</v>
      </c>
      <c r="B753" s="78">
        <v>41300</v>
      </c>
      <c r="C753" s="78"/>
      <c r="D753" s="78">
        <v>41300</v>
      </c>
      <c r="E753" s="78"/>
      <c r="F753" s="96">
        <v>0</v>
      </c>
      <c r="G753" s="42">
        <f t="shared" si="12"/>
        <v>0</v>
      </c>
      <c r="H753" s="2" t="str">
        <f>VLOOKUP(A753,'TB MAy'!A:H,8,0)</f>
        <v>Not Applicable</v>
      </c>
    </row>
    <row r="754" spans="1:8" hidden="1">
      <c r="A754" s="95" t="s">
        <v>480</v>
      </c>
      <c r="B754" s="78"/>
      <c r="C754" s="78">
        <v>463</v>
      </c>
      <c r="D754" s="78">
        <v>463</v>
      </c>
      <c r="E754" s="78"/>
      <c r="F754" s="96">
        <v>0</v>
      </c>
      <c r="G754" s="42">
        <f t="shared" si="12"/>
        <v>0</v>
      </c>
      <c r="H754" s="2" t="str">
        <f>VLOOKUP(A754,'TB MAy'!A:H,8,0)</f>
        <v>Not Applicable</v>
      </c>
    </row>
    <row r="755" spans="1:8" hidden="1">
      <c r="A755" s="95" t="s">
        <v>474</v>
      </c>
      <c r="B755" s="78"/>
      <c r="C755" s="78">
        <v>4600</v>
      </c>
      <c r="D755" s="78">
        <v>4600</v>
      </c>
      <c r="E755" s="78"/>
      <c r="F755" s="96">
        <v>0</v>
      </c>
      <c r="G755" s="42">
        <f t="shared" si="12"/>
        <v>0</v>
      </c>
      <c r="H755" s="2" t="str">
        <f>VLOOKUP(A755,'TB MAy'!A:H,8,0)</f>
        <v>Not Applicable</v>
      </c>
    </row>
    <row r="756" spans="1:8" hidden="1">
      <c r="A756" s="95" t="s">
        <v>898</v>
      </c>
      <c r="B756" s="78">
        <v>200</v>
      </c>
      <c r="C756" s="78"/>
      <c r="D756" s="78"/>
      <c r="E756" s="78">
        <v>200</v>
      </c>
      <c r="F756" s="96">
        <v>0</v>
      </c>
      <c r="G756" s="42">
        <f t="shared" si="12"/>
        <v>200</v>
      </c>
      <c r="H756" s="2" t="str">
        <f>VLOOKUP(A756,'TB MAy'!A:H,8,0)</f>
        <v>Not Applicable</v>
      </c>
    </row>
    <row r="757" spans="1:8" hidden="1">
      <c r="A757" s="95" t="s">
        <v>476</v>
      </c>
      <c r="B757" s="78"/>
      <c r="C757" s="78">
        <v>7080</v>
      </c>
      <c r="D757" s="78">
        <v>7080</v>
      </c>
      <c r="E757" s="78"/>
      <c r="F757" s="96">
        <v>0</v>
      </c>
      <c r="G757" s="42">
        <f t="shared" si="12"/>
        <v>0</v>
      </c>
      <c r="H757" s="2" t="str">
        <f>VLOOKUP(A757,'TB MAy'!A:H,8,0)</f>
        <v>Not Applicable</v>
      </c>
    </row>
    <row r="758" spans="1:8" hidden="1">
      <c r="A758" s="95" t="s">
        <v>479</v>
      </c>
      <c r="B758" s="78"/>
      <c r="C758" s="78"/>
      <c r="D758" s="78"/>
      <c r="E758" s="78"/>
      <c r="F758" s="96">
        <v>0</v>
      </c>
      <c r="G758" s="42">
        <f t="shared" si="12"/>
        <v>0</v>
      </c>
      <c r="H758" s="2" t="str">
        <f>VLOOKUP(A758,'TB MAy'!A:H,8,0)</f>
        <v>Not Applicable</v>
      </c>
    </row>
    <row r="759" spans="1:8" hidden="1">
      <c r="A759" s="95" t="s">
        <v>1577</v>
      </c>
      <c r="B759" s="78"/>
      <c r="C759" s="78"/>
      <c r="D759" s="78">
        <v>3658</v>
      </c>
      <c r="E759" s="78">
        <v>-3658</v>
      </c>
      <c r="F759" s="96">
        <v>0</v>
      </c>
      <c r="G759" s="42">
        <f t="shared" si="12"/>
        <v>-3658</v>
      </c>
      <c r="H759" s="2" t="s">
        <v>84</v>
      </c>
    </row>
    <row r="760" spans="1:8" hidden="1">
      <c r="A760" s="95" t="s">
        <v>1065</v>
      </c>
      <c r="B760" s="78"/>
      <c r="C760" s="78">
        <v>21240</v>
      </c>
      <c r="D760" s="78"/>
      <c r="E760" s="78">
        <v>21240</v>
      </c>
      <c r="F760" s="96">
        <v>0</v>
      </c>
      <c r="G760" s="42">
        <f t="shared" si="12"/>
        <v>21240</v>
      </c>
      <c r="H760" s="2" t="s">
        <v>84</v>
      </c>
    </row>
    <row r="761" spans="1:8" hidden="1">
      <c r="A761" s="95" t="s">
        <v>468</v>
      </c>
      <c r="B761" s="78">
        <v>-15139</v>
      </c>
      <c r="C761" s="78"/>
      <c r="D761" s="78"/>
      <c r="E761" s="78">
        <v>-15139</v>
      </c>
      <c r="F761" s="96">
        <v>0</v>
      </c>
      <c r="G761" s="42">
        <f t="shared" si="12"/>
        <v>-15139</v>
      </c>
      <c r="H761" s="2" t="str">
        <f>VLOOKUP(A761,'TB MAy'!A:H,8,0)</f>
        <v>Not Applicable</v>
      </c>
    </row>
    <row r="762" spans="1:8" hidden="1">
      <c r="A762" s="95" t="s">
        <v>458</v>
      </c>
      <c r="B762" s="78"/>
      <c r="C762" s="78"/>
      <c r="D762" s="78"/>
      <c r="E762" s="78"/>
      <c r="F762" s="96">
        <v>0</v>
      </c>
      <c r="G762" s="42">
        <f t="shared" si="12"/>
        <v>0</v>
      </c>
      <c r="H762" s="2" t="str">
        <f>VLOOKUP(A762,'TB MAy'!A:H,8,0)</f>
        <v>Not Applicable</v>
      </c>
    </row>
    <row r="763" spans="1:8" hidden="1">
      <c r="A763" s="95" t="s">
        <v>1064</v>
      </c>
      <c r="B763" s="78">
        <v>-0.89</v>
      </c>
      <c r="C763" s="78">
        <v>20945</v>
      </c>
      <c r="D763" s="78">
        <v>11859</v>
      </c>
      <c r="E763" s="78">
        <v>9085.11</v>
      </c>
      <c r="F763" s="96">
        <v>0</v>
      </c>
      <c r="G763" s="42">
        <f t="shared" si="12"/>
        <v>9085.11</v>
      </c>
      <c r="H763" s="2" t="str">
        <f>VLOOKUP(A763,'TB MAy'!A:H,8,0)</f>
        <v>Not Applicable</v>
      </c>
    </row>
    <row r="764" spans="1:8" hidden="1">
      <c r="A764" s="95" t="s">
        <v>1364</v>
      </c>
      <c r="B764" s="78">
        <v>40000</v>
      </c>
      <c r="C764" s="78"/>
      <c r="D764" s="78"/>
      <c r="E764" s="78">
        <v>40000</v>
      </c>
      <c r="F764" s="96">
        <v>0</v>
      </c>
      <c r="G764" s="42">
        <f t="shared" si="12"/>
        <v>40000</v>
      </c>
      <c r="H764" s="2" t="str">
        <f>VLOOKUP(A764,'TB MAy'!A:H,8,0)</f>
        <v>Not Applicable</v>
      </c>
    </row>
    <row r="765" spans="1:8" hidden="1">
      <c r="A765" s="95" t="s">
        <v>1098</v>
      </c>
      <c r="B765" s="78">
        <v>-1890</v>
      </c>
      <c r="C765" s="78"/>
      <c r="D765" s="78"/>
      <c r="E765" s="78">
        <v>-1890</v>
      </c>
      <c r="F765" s="96">
        <v>0</v>
      </c>
      <c r="G765" s="42">
        <f t="shared" si="12"/>
        <v>-1890</v>
      </c>
      <c r="H765" s="2" t="str">
        <f>VLOOKUP(A765,'TB MAy'!A:H,8,0)</f>
        <v>Not Applicable</v>
      </c>
    </row>
    <row r="766" spans="1:8" hidden="1">
      <c r="A766" s="95" t="s">
        <v>1527</v>
      </c>
      <c r="B766" s="78"/>
      <c r="C766" s="78">
        <v>2124</v>
      </c>
      <c r="D766" s="78">
        <v>2124</v>
      </c>
      <c r="E766" s="78"/>
      <c r="F766" s="96">
        <v>0</v>
      </c>
      <c r="G766" s="42">
        <f t="shared" si="12"/>
        <v>0</v>
      </c>
      <c r="H766" s="2" t="str">
        <f>VLOOKUP(A766,'TB MAy'!A:H,8,0)</f>
        <v>Not Applicable</v>
      </c>
    </row>
    <row r="767" spans="1:8" hidden="1">
      <c r="A767" s="95" t="s">
        <v>1338</v>
      </c>
      <c r="B767" s="78"/>
      <c r="C767" s="78">
        <v>17000</v>
      </c>
      <c r="D767" s="78">
        <v>17000</v>
      </c>
      <c r="E767" s="78"/>
      <c r="F767" s="96">
        <v>0</v>
      </c>
      <c r="G767" s="42">
        <f t="shared" si="12"/>
        <v>0</v>
      </c>
      <c r="H767" s="2" t="s">
        <v>84</v>
      </c>
    </row>
    <row r="768" spans="1:8" hidden="1">
      <c r="A768" s="95" t="s">
        <v>1528</v>
      </c>
      <c r="B768" s="78"/>
      <c r="C768" s="78">
        <v>14750</v>
      </c>
      <c r="D768" s="78">
        <v>14750</v>
      </c>
      <c r="E768" s="78"/>
      <c r="F768" s="96">
        <v>0</v>
      </c>
      <c r="G768" s="42">
        <f t="shared" si="12"/>
        <v>0</v>
      </c>
      <c r="H768" s="2" t="str">
        <f>VLOOKUP(A768,'TB MAy'!A:H,8,0)</f>
        <v>Not Applicable</v>
      </c>
    </row>
    <row r="769" spans="1:8" hidden="1">
      <c r="A769" s="95" t="s">
        <v>448</v>
      </c>
      <c r="B769" s="78">
        <v>-49798</v>
      </c>
      <c r="C769" s="78">
        <v>200262</v>
      </c>
      <c r="D769" s="78">
        <v>150464</v>
      </c>
      <c r="E769" s="78"/>
      <c r="F769" s="96">
        <v>0</v>
      </c>
      <c r="G769" s="42">
        <f t="shared" si="12"/>
        <v>0</v>
      </c>
      <c r="H769" s="2" t="str">
        <f>VLOOKUP(A769,'TB MAy'!A:H,8,0)</f>
        <v>Not Applicable</v>
      </c>
    </row>
    <row r="770" spans="1:8" hidden="1">
      <c r="A770" s="95" t="s">
        <v>410</v>
      </c>
      <c r="B770" s="78">
        <v>-64676.56</v>
      </c>
      <c r="C770" s="78">
        <v>43680</v>
      </c>
      <c r="D770" s="78">
        <v>31152</v>
      </c>
      <c r="E770" s="78">
        <v>-52148.56</v>
      </c>
      <c r="F770" s="96">
        <v>0</v>
      </c>
      <c r="G770" s="42">
        <f t="shared" si="12"/>
        <v>-52148.56</v>
      </c>
      <c r="H770" s="2" t="str">
        <f>VLOOKUP(A770,'TB MAy'!A:H,8,0)</f>
        <v>Not Applicable</v>
      </c>
    </row>
    <row r="771" spans="1:8" hidden="1">
      <c r="A771" s="95" t="s">
        <v>1293</v>
      </c>
      <c r="B771" s="78">
        <v>-42120</v>
      </c>
      <c r="C771" s="78"/>
      <c r="D771" s="78"/>
      <c r="E771" s="78">
        <v>-42120</v>
      </c>
      <c r="F771" s="96">
        <v>0</v>
      </c>
      <c r="G771" s="42">
        <f t="shared" si="12"/>
        <v>-42120</v>
      </c>
      <c r="H771" s="2" t="str">
        <f>VLOOKUP(A771,'TB MAy'!A:H,8,0)</f>
        <v>Not Applicable</v>
      </c>
    </row>
    <row r="772" spans="1:8" hidden="1">
      <c r="A772" s="95" t="s">
        <v>1340</v>
      </c>
      <c r="B772" s="78">
        <v>-60416</v>
      </c>
      <c r="C772" s="78">
        <v>60416</v>
      </c>
      <c r="D772" s="78"/>
      <c r="E772" s="78"/>
      <c r="F772" s="96">
        <v>0</v>
      </c>
      <c r="G772" s="42">
        <f t="shared" si="12"/>
        <v>0</v>
      </c>
      <c r="H772" s="2" t="str">
        <f>VLOOKUP(A772,'TB MAy'!A:H,8,0)</f>
        <v>Not Applicable</v>
      </c>
    </row>
    <row r="773" spans="1:8" hidden="1">
      <c r="A773" s="95" t="s">
        <v>1266</v>
      </c>
      <c r="B773" s="78">
        <v>-44080</v>
      </c>
      <c r="C773" s="78">
        <v>336260</v>
      </c>
      <c r="D773" s="78">
        <v>312700</v>
      </c>
      <c r="E773" s="78">
        <v>-20520</v>
      </c>
      <c r="F773" s="96">
        <v>0</v>
      </c>
      <c r="G773" s="42">
        <f t="shared" si="12"/>
        <v>-20520</v>
      </c>
      <c r="H773" s="2" t="str">
        <f>VLOOKUP(A773,'TB MAy'!A:H,8,0)</f>
        <v>Not Applicable</v>
      </c>
    </row>
    <row r="774" spans="1:8" hidden="1">
      <c r="A774" s="95" t="s">
        <v>430</v>
      </c>
      <c r="B774" s="78">
        <v>-8366</v>
      </c>
      <c r="C774" s="78">
        <v>25098</v>
      </c>
      <c r="D774" s="78">
        <v>33022</v>
      </c>
      <c r="E774" s="78">
        <v>-16290</v>
      </c>
      <c r="F774" s="96">
        <v>0</v>
      </c>
      <c r="G774" s="42">
        <f t="shared" si="12"/>
        <v>-16290</v>
      </c>
      <c r="H774" s="2" t="str">
        <f>VLOOKUP(A774,'TB MAy'!A:H,8,0)</f>
        <v>Not Applicable</v>
      </c>
    </row>
    <row r="775" spans="1:8" hidden="1">
      <c r="A775" s="95" t="s">
        <v>413</v>
      </c>
      <c r="B775" s="78">
        <v>-3926</v>
      </c>
      <c r="C775" s="78"/>
      <c r="D775" s="78"/>
      <c r="E775" s="78">
        <v>-3926</v>
      </c>
      <c r="F775" s="96">
        <v>0</v>
      </c>
      <c r="G775" s="42">
        <f t="shared" si="12"/>
        <v>-3926</v>
      </c>
      <c r="H775" s="2" t="str">
        <f>VLOOKUP(A775,'TB MAy'!A:H,8,0)</f>
        <v>Not Applicable</v>
      </c>
    </row>
    <row r="776" spans="1:8" hidden="1">
      <c r="A776" s="95" t="s">
        <v>1325</v>
      </c>
      <c r="B776" s="78"/>
      <c r="C776" s="78"/>
      <c r="D776" s="78"/>
      <c r="E776" s="78"/>
      <c r="F776" s="96">
        <v>0</v>
      </c>
      <c r="G776" s="42">
        <f t="shared" si="12"/>
        <v>0</v>
      </c>
      <c r="H776" s="2" t="str">
        <f>VLOOKUP(A776,'TB MAy'!A:H,8,0)</f>
        <v>Not Applicable</v>
      </c>
    </row>
    <row r="777" spans="1:8" hidden="1">
      <c r="A777" s="95" t="s">
        <v>414</v>
      </c>
      <c r="B777" s="78">
        <v>-10234</v>
      </c>
      <c r="C777" s="78">
        <v>25585</v>
      </c>
      <c r="D777" s="78">
        <v>15351</v>
      </c>
      <c r="E777" s="78"/>
      <c r="F777" s="96">
        <v>0</v>
      </c>
      <c r="G777" s="42">
        <f t="shared" si="12"/>
        <v>0</v>
      </c>
      <c r="H777" s="2" t="str">
        <f>VLOOKUP(A777,'TB MAy'!A:H,8,0)</f>
        <v>Not Applicable</v>
      </c>
    </row>
    <row r="778" spans="1:8" hidden="1">
      <c r="A778" s="95" t="s">
        <v>1185</v>
      </c>
      <c r="B778" s="78">
        <v>-388959</v>
      </c>
      <c r="C778" s="78">
        <v>2379101</v>
      </c>
      <c r="D778" s="78">
        <v>2218487</v>
      </c>
      <c r="E778" s="78">
        <v>-228345</v>
      </c>
      <c r="F778" s="96">
        <v>0</v>
      </c>
      <c r="G778" s="42">
        <f t="shared" si="12"/>
        <v>-228345</v>
      </c>
      <c r="H778" s="2" t="str">
        <f>VLOOKUP(A778,'TB MAy'!A:H,8,0)</f>
        <v>Not Applicable</v>
      </c>
    </row>
    <row r="779" spans="1:8" hidden="1">
      <c r="A779" s="95" t="s">
        <v>1365</v>
      </c>
      <c r="B779" s="78">
        <v>-1687</v>
      </c>
      <c r="C779" s="78">
        <v>1687</v>
      </c>
      <c r="D779" s="78"/>
      <c r="E779" s="78"/>
      <c r="F779" s="96">
        <v>0</v>
      </c>
      <c r="G779" s="42">
        <f t="shared" si="12"/>
        <v>0</v>
      </c>
      <c r="H779" s="2" t="str">
        <f>VLOOKUP(A779,'TB MAy'!A:H,8,0)</f>
        <v>Not Applicable</v>
      </c>
    </row>
    <row r="780" spans="1:8" hidden="1">
      <c r="A780" s="95" t="s">
        <v>1186</v>
      </c>
      <c r="B780" s="78"/>
      <c r="C780" s="78">
        <v>8850</v>
      </c>
      <c r="D780" s="78">
        <v>8850</v>
      </c>
      <c r="E780" s="78"/>
      <c r="F780" s="96">
        <v>0</v>
      </c>
      <c r="G780" s="42">
        <f t="shared" si="12"/>
        <v>0</v>
      </c>
      <c r="H780" s="2" t="str">
        <f>VLOOKUP(A780,'TB MAy'!A:H,8,0)</f>
        <v>Not Applicable</v>
      </c>
    </row>
    <row r="781" spans="1:8" hidden="1">
      <c r="A781" s="95" t="s">
        <v>1474</v>
      </c>
      <c r="B781" s="78"/>
      <c r="C781" s="78">
        <v>11798.53</v>
      </c>
      <c r="D781" s="78">
        <v>35717.129999999997</v>
      </c>
      <c r="E781" s="78">
        <v>-23918.6</v>
      </c>
      <c r="F781" s="96">
        <v>0</v>
      </c>
      <c r="G781" s="42">
        <f t="shared" si="12"/>
        <v>-23918.6</v>
      </c>
      <c r="H781" s="2" t="str">
        <f>VLOOKUP(A781,'TB MAy'!A:H,8,0)</f>
        <v>Not Applicable</v>
      </c>
    </row>
    <row r="782" spans="1:8" hidden="1">
      <c r="A782" s="95" t="s">
        <v>961</v>
      </c>
      <c r="B782" s="78">
        <v>-5940</v>
      </c>
      <c r="C782" s="78">
        <v>18060</v>
      </c>
      <c r="D782" s="78">
        <v>24000</v>
      </c>
      <c r="E782" s="78">
        <v>-11880</v>
      </c>
      <c r="F782" s="96">
        <v>0</v>
      </c>
      <c r="G782" s="42">
        <f t="shared" si="12"/>
        <v>-11880</v>
      </c>
      <c r="H782" s="2" t="str">
        <f>VLOOKUP(A782,'TB MAy'!A:H,8,0)</f>
        <v>Not Applicable</v>
      </c>
    </row>
    <row r="783" spans="1:8" hidden="1">
      <c r="A783" s="95" t="s">
        <v>1366</v>
      </c>
      <c r="B783" s="78">
        <v>-56186</v>
      </c>
      <c r="C783" s="78">
        <v>56186</v>
      </c>
      <c r="D783" s="78"/>
      <c r="E783" s="78"/>
      <c r="F783" s="96">
        <v>0</v>
      </c>
      <c r="G783" s="42">
        <f t="shared" si="12"/>
        <v>0</v>
      </c>
      <c r="H783" s="2" t="str">
        <f>VLOOKUP(A783,'TB MAy'!A:H,8,0)</f>
        <v>Not Applicable</v>
      </c>
    </row>
    <row r="784" spans="1:8" hidden="1">
      <c r="A784" s="95" t="s">
        <v>865</v>
      </c>
      <c r="B784" s="78"/>
      <c r="C784" s="78"/>
      <c r="D784" s="78">
        <v>20813</v>
      </c>
      <c r="E784" s="78">
        <v>-20813</v>
      </c>
      <c r="F784" s="96">
        <v>0</v>
      </c>
      <c r="G784" s="42">
        <f t="shared" si="12"/>
        <v>-20813</v>
      </c>
      <c r="H784" s="2" t="s">
        <v>84</v>
      </c>
    </row>
    <row r="785" spans="1:8" hidden="1">
      <c r="A785" s="95" t="s">
        <v>1367</v>
      </c>
      <c r="B785" s="78">
        <v>-6825</v>
      </c>
      <c r="C785" s="78">
        <v>7413</v>
      </c>
      <c r="D785" s="78">
        <v>588</v>
      </c>
      <c r="E785" s="78"/>
      <c r="F785" s="96">
        <v>0</v>
      </c>
      <c r="G785" s="42">
        <f t="shared" si="12"/>
        <v>0</v>
      </c>
      <c r="H785" s="2" t="str">
        <f>VLOOKUP(A785,'TB MAy'!A:H,8,0)</f>
        <v>Not Applicable</v>
      </c>
    </row>
    <row r="786" spans="1:8" hidden="1">
      <c r="A786" s="95" t="s">
        <v>1294</v>
      </c>
      <c r="B786" s="78">
        <v>-1006540</v>
      </c>
      <c r="C786" s="78">
        <v>1242540</v>
      </c>
      <c r="D786" s="78">
        <v>413295</v>
      </c>
      <c r="E786" s="78">
        <v>-177295</v>
      </c>
      <c r="F786" s="96">
        <v>0</v>
      </c>
      <c r="G786" s="42">
        <f t="shared" si="12"/>
        <v>-177295</v>
      </c>
      <c r="H786" s="2" t="str">
        <f>VLOOKUP(A786,'TB MAy'!A:H,8,0)</f>
        <v>Not Applicable</v>
      </c>
    </row>
    <row r="787" spans="1:8" hidden="1">
      <c r="A787" s="95" t="s">
        <v>1529</v>
      </c>
      <c r="B787" s="78"/>
      <c r="C787" s="78">
        <v>9912</v>
      </c>
      <c r="D787" s="78">
        <v>9912</v>
      </c>
      <c r="E787" s="78"/>
      <c r="F787" s="96">
        <v>0</v>
      </c>
      <c r="G787" s="42">
        <f t="shared" si="12"/>
        <v>0</v>
      </c>
      <c r="H787" s="2" t="str">
        <f>VLOOKUP(A787,'TB MAy'!A:H,8,0)</f>
        <v>Not Applicable</v>
      </c>
    </row>
    <row r="788" spans="1:8" hidden="1">
      <c r="A788" s="95" t="s">
        <v>936</v>
      </c>
      <c r="B788" s="78">
        <v>-1401981.1</v>
      </c>
      <c r="C788" s="78">
        <v>1813011</v>
      </c>
      <c r="D788" s="78">
        <v>411031</v>
      </c>
      <c r="E788" s="78">
        <v>-1.1000000000000001</v>
      </c>
      <c r="F788" s="96">
        <v>0</v>
      </c>
      <c r="G788" s="42">
        <f t="shared" si="12"/>
        <v>-1.1000000000000001</v>
      </c>
      <c r="H788" s="2" t="str">
        <f>VLOOKUP(A788,'TB MAy'!A:H,8,0)</f>
        <v>Not Applicable</v>
      </c>
    </row>
    <row r="789" spans="1:8" hidden="1">
      <c r="A789" s="95" t="s">
        <v>1530</v>
      </c>
      <c r="B789" s="78"/>
      <c r="C789" s="78">
        <v>481288</v>
      </c>
      <c r="D789" s="78">
        <v>712850</v>
      </c>
      <c r="E789" s="78">
        <v>-231562</v>
      </c>
      <c r="F789" s="96">
        <v>0</v>
      </c>
      <c r="G789" s="42">
        <f t="shared" si="12"/>
        <v>-231562</v>
      </c>
      <c r="H789" s="2" t="str">
        <f>VLOOKUP(A789,'TB MAy'!A:H,8,0)</f>
        <v>Not Applicable</v>
      </c>
    </row>
    <row r="790" spans="1:8" hidden="1">
      <c r="A790" s="95" t="s">
        <v>391</v>
      </c>
      <c r="B790" s="78">
        <v>-3599</v>
      </c>
      <c r="C790" s="78"/>
      <c r="D790" s="78"/>
      <c r="E790" s="78">
        <v>-3599</v>
      </c>
      <c r="F790" s="96">
        <v>0</v>
      </c>
      <c r="G790" s="42">
        <f t="shared" si="12"/>
        <v>-3599</v>
      </c>
      <c r="H790" s="2" t="str">
        <f>VLOOKUP(A790,'TB MAy'!A:H,8,0)</f>
        <v>Not Applicable</v>
      </c>
    </row>
    <row r="791" spans="1:8" hidden="1">
      <c r="A791" s="95" t="s">
        <v>392</v>
      </c>
      <c r="B791" s="78"/>
      <c r="C791" s="78">
        <v>18692</v>
      </c>
      <c r="D791" s="78">
        <v>18692</v>
      </c>
      <c r="E791" s="78"/>
      <c r="F791" s="96">
        <v>0</v>
      </c>
      <c r="G791" s="42">
        <f t="shared" si="12"/>
        <v>0</v>
      </c>
      <c r="H791" s="2" t="str">
        <f>VLOOKUP(A791,'TB MAy'!A:H,8,0)</f>
        <v>Not Applicable</v>
      </c>
    </row>
    <row r="792" spans="1:8" hidden="1">
      <c r="A792" s="95" t="s">
        <v>1531</v>
      </c>
      <c r="B792" s="78"/>
      <c r="C792" s="78"/>
      <c r="D792" s="78"/>
      <c r="E792" s="78"/>
      <c r="F792" s="96">
        <v>0</v>
      </c>
      <c r="G792" s="42">
        <f t="shared" si="12"/>
        <v>0</v>
      </c>
      <c r="H792" s="2" t="str">
        <f>VLOOKUP(A792,'TB MAy'!A:H,8,0)</f>
        <v>Not Applicable</v>
      </c>
    </row>
    <row r="793" spans="1:8" hidden="1">
      <c r="A793" s="95" t="s">
        <v>383</v>
      </c>
      <c r="B793" s="78">
        <v>-23364</v>
      </c>
      <c r="C793" s="78">
        <v>46728</v>
      </c>
      <c r="D793" s="78">
        <v>46728</v>
      </c>
      <c r="E793" s="78">
        <v>-23364</v>
      </c>
      <c r="F793" s="96">
        <v>0</v>
      </c>
      <c r="G793" s="42">
        <f t="shared" si="12"/>
        <v>-23364</v>
      </c>
      <c r="H793" s="2" t="str">
        <f>VLOOKUP(A793,'TB MAy'!A:H,8,0)</f>
        <v>Not Applicable</v>
      </c>
    </row>
    <row r="794" spans="1:8" hidden="1">
      <c r="A794" s="95" t="s">
        <v>1475</v>
      </c>
      <c r="B794" s="78"/>
      <c r="C794" s="78"/>
      <c r="D794" s="78"/>
      <c r="E794" s="78"/>
      <c r="F794" s="96">
        <v>0</v>
      </c>
      <c r="G794" s="42">
        <f t="shared" si="12"/>
        <v>0</v>
      </c>
      <c r="H794" s="2" t="str">
        <f>VLOOKUP(A794,'TB MAy'!A:H,8,0)</f>
        <v>Not Applicable</v>
      </c>
    </row>
    <row r="795" spans="1:8" hidden="1">
      <c r="A795" s="95" t="s">
        <v>1033</v>
      </c>
      <c r="B795" s="78">
        <v>-3837501.48</v>
      </c>
      <c r="C795" s="78"/>
      <c r="D795" s="78"/>
      <c r="E795" s="78">
        <v>-3837501.48</v>
      </c>
      <c r="F795" s="96">
        <v>0</v>
      </c>
      <c r="G795" s="42">
        <f t="shared" si="12"/>
        <v>-3837501.48</v>
      </c>
      <c r="H795" s="2" t="str">
        <f>VLOOKUP(A795,'TB MAy'!A:H,8,0)</f>
        <v>Not Applicable</v>
      </c>
    </row>
    <row r="796" spans="1:8" hidden="1">
      <c r="A796" s="95" t="s">
        <v>1476</v>
      </c>
      <c r="B796" s="78"/>
      <c r="C796" s="78">
        <v>588560</v>
      </c>
      <c r="D796" s="78">
        <v>692424</v>
      </c>
      <c r="E796" s="78">
        <v>-103864</v>
      </c>
      <c r="F796" s="96">
        <v>0</v>
      </c>
      <c r="G796" s="42">
        <f t="shared" si="12"/>
        <v>-103864</v>
      </c>
      <c r="H796" s="2" t="str">
        <f>VLOOKUP(A796,'TB MAy'!A:H,8,0)</f>
        <v>Not Applicable</v>
      </c>
    </row>
    <row r="797" spans="1:8" hidden="1">
      <c r="A797" s="95" t="s">
        <v>1133</v>
      </c>
      <c r="B797" s="78"/>
      <c r="C797" s="78">
        <v>162840</v>
      </c>
      <c r="D797" s="78">
        <v>162840</v>
      </c>
      <c r="E797" s="78"/>
      <c r="F797" s="96">
        <v>0</v>
      </c>
      <c r="G797" s="42">
        <f t="shared" si="12"/>
        <v>0</v>
      </c>
      <c r="H797" s="2" t="str">
        <f>VLOOKUP(A797,'TB MAy'!A:H,8,0)</f>
        <v>Not Applicable</v>
      </c>
    </row>
    <row r="798" spans="1:8" hidden="1">
      <c r="A798" s="95" t="s">
        <v>1060</v>
      </c>
      <c r="B798" s="78"/>
      <c r="C798" s="78">
        <v>106200</v>
      </c>
      <c r="D798" s="78">
        <v>106200</v>
      </c>
      <c r="E798" s="78"/>
      <c r="F798" s="96">
        <v>0</v>
      </c>
      <c r="G798" s="42">
        <f t="shared" si="12"/>
        <v>0</v>
      </c>
      <c r="H798" s="2" t="str">
        <f>VLOOKUP(A798,'TB MAy'!A:H,8,0)</f>
        <v>Not Applicable</v>
      </c>
    </row>
    <row r="799" spans="1:8" hidden="1">
      <c r="A799" s="95" t="s">
        <v>895</v>
      </c>
      <c r="B799" s="78">
        <v>1605</v>
      </c>
      <c r="C799" s="78">
        <v>2983</v>
      </c>
      <c r="D799" s="78"/>
      <c r="E799" s="78">
        <v>4588</v>
      </c>
      <c r="F799" s="96">
        <v>0</v>
      </c>
      <c r="G799" s="42">
        <f t="shared" si="12"/>
        <v>4588</v>
      </c>
      <c r="H799" s="2" t="str">
        <f>VLOOKUP(A799,'TB MAy'!A:H,8,0)</f>
        <v>Not Applicable</v>
      </c>
    </row>
    <row r="800" spans="1:8" hidden="1">
      <c r="A800" s="95" t="s">
        <v>371</v>
      </c>
      <c r="B800" s="78">
        <v>-442725</v>
      </c>
      <c r="C800" s="78">
        <v>888540</v>
      </c>
      <c r="D800" s="78">
        <v>888540</v>
      </c>
      <c r="E800" s="78">
        <v>-442725</v>
      </c>
      <c r="F800" s="96">
        <v>0</v>
      </c>
      <c r="G800" s="42">
        <f t="shared" si="12"/>
        <v>-442725</v>
      </c>
      <c r="H800" s="2" t="str">
        <f>VLOOKUP(A800,'TB MAy'!A:H,8,0)</f>
        <v>Not Applicable</v>
      </c>
    </row>
    <row r="801" spans="1:8" hidden="1">
      <c r="A801" s="95" t="s">
        <v>1477</v>
      </c>
      <c r="B801" s="78">
        <v>-52305</v>
      </c>
      <c r="C801" s="78">
        <v>52305</v>
      </c>
      <c r="D801" s="78"/>
      <c r="E801" s="78"/>
      <c r="F801" s="96">
        <v>0</v>
      </c>
      <c r="G801" s="42">
        <f t="shared" ref="G801:G864" si="13">+E801+F801</f>
        <v>0</v>
      </c>
      <c r="H801" s="2" t="str">
        <f>VLOOKUP(A801,'TB MAy'!A:H,8,0)</f>
        <v>Not Applicable</v>
      </c>
    </row>
    <row r="802" spans="1:8" hidden="1">
      <c r="A802" s="95" t="s">
        <v>1343</v>
      </c>
      <c r="B802" s="78"/>
      <c r="C802" s="78">
        <v>32568</v>
      </c>
      <c r="D802" s="78">
        <v>32568</v>
      </c>
      <c r="E802" s="78"/>
      <c r="F802" s="96">
        <v>0</v>
      </c>
      <c r="G802" s="42">
        <f t="shared" si="13"/>
        <v>0</v>
      </c>
      <c r="H802" s="2" t="str">
        <f>VLOOKUP(A802,'TB MAy'!A:H,8,0)</f>
        <v>Not Applicable</v>
      </c>
    </row>
    <row r="803" spans="1:8" hidden="1">
      <c r="A803" s="95" t="s">
        <v>1022</v>
      </c>
      <c r="B803" s="78">
        <v>-2774</v>
      </c>
      <c r="C803" s="78">
        <v>2774</v>
      </c>
      <c r="D803" s="78"/>
      <c r="E803" s="78"/>
      <c r="F803" s="96">
        <v>0</v>
      </c>
      <c r="G803" s="42">
        <f t="shared" si="13"/>
        <v>0</v>
      </c>
      <c r="H803" s="2" t="str">
        <f>VLOOKUP(A803,'TB MAy'!A:H,8,0)</f>
        <v>Not Applicable</v>
      </c>
    </row>
    <row r="804" spans="1:8" hidden="1">
      <c r="A804" s="95" t="s">
        <v>1086</v>
      </c>
      <c r="B804" s="78"/>
      <c r="C804" s="78"/>
      <c r="D804" s="78"/>
      <c r="E804" s="78"/>
      <c r="F804" s="96">
        <v>0</v>
      </c>
      <c r="G804" s="42">
        <f t="shared" si="13"/>
        <v>0</v>
      </c>
      <c r="H804" s="2" t="str">
        <f>VLOOKUP(A804,'TB MAy'!A:H,8,0)</f>
        <v>Not Applicable</v>
      </c>
    </row>
    <row r="805" spans="1:8" hidden="1">
      <c r="A805" s="95" t="s">
        <v>1578</v>
      </c>
      <c r="B805" s="78"/>
      <c r="C805" s="78">
        <v>33369</v>
      </c>
      <c r="D805" s="78">
        <v>33369</v>
      </c>
      <c r="E805" s="78"/>
      <c r="F805" s="96">
        <v>0</v>
      </c>
      <c r="G805" s="42">
        <f t="shared" si="13"/>
        <v>0</v>
      </c>
      <c r="H805" s="2" t="s">
        <v>84</v>
      </c>
    </row>
    <row r="806" spans="1:8" hidden="1">
      <c r="A806" s="95" t="s">
        <v>1532</v>
      </c>
      <c r="B806" s="78"/>
      <c r="C806" s="78">
        <v>399901</v>
      </c>
      <c r="D806" s="78">
        <v>399901</v>
      </c>
      <c r="E806" s="78"/>
      <c r="F806" s="96">
        <v>0</v>
      </c>
      <c r="G806" s="42">
        <f t="shared" si="13"/>
        <v>0</v>
      </c>
      <c r="H806" s="2" t="str">
        <f>VLOOKUP(A806,'TB MAy'!A:H,8,0)</f>
        <v>Not Applicable</v>
      </c>
    </row>
    <row r="807" spans="1:8" hidden="1">
      <c r="A807" s="95" t="s">
        <v>733</v>
      </c>
      <c r="B807" s="78"/>
      <c r="C807" s="78"/>
      <c r="D807" s="78"/>
      <c r="E807" s="78"/>
      <c r="F807" s="96">
        <v>0</v>
      </c>
      <c r="G807" s="42">
        <f t="shared" si="13"/>
        <v>0</v>
      </c>
      <c r="H807" s="2" t="str">
        <f>VLOOKUP(A807,'TB MAy'!A:H,8,0)</f>
        <v>Not Applicable</v>
      </c>
    </row>
    <row r="808" spans="1:8" hidden="1">
      <c r="A808" s="95" t="s">
        <v>734</v>
      </c>
      <c r="B808" s="78">
        <v>12783.2</v>
      </c>
      <c r="C808" s="78"/>
      <c r="D808" s="78"/>
      <c r="E808" s="78">
        <v>12783.2</v>
      </c>
      <c r="F808" s="96">
        <v>0</v>
      </c>
      <c r="G808" s="42">
        <f t="shared" si="13"/>
        <v>12783.2</v>
      </c>
      <c r="H808" s="2" t="str">
        <f>VLOOKUP(A808,'TB MAy'!A:H,8,0)</f>
        <v>Not Applicable</v>
      </c>
    </row>
    <row r="809" spans="1:8" hidden="1">
      <c r="A809" s="95" t="s">
        <v>736</v>
      </c>
      <c r="B809" s="78">
        <v>-266476</v>
      </c>
      <c r="C809" s="78">
        <v>1211</v>
      </c>
      <c r="D809" s="78">
        <v>71449</v>
      </c>
      <c r="E809" s="78">
        <v>-336714</v>
      </c>
      <c r="F809" s="96">
        <v>0</v>
      </c>
      <c r="G809" s="42">
        <f t="shared" si="13"/>
        <v>-336714</v>
      </c>
      <c r="H809" s="2" t="str">
        <f>VLOOKUP(A809,'TB MAy'!A:H,8,0)</f>
        <v>Not Applicable</v>
      </c>
    </row>
    <row r="810" spans="1:8" hidden="1">
      <c r="A810" s="95" t="s">
        <v>1368</v>
      </c>
      <c r="B810" s="78">
        <v>-28000</v>
      </c>
      <c r="C810" s="78">
        <v>125680</v>
      </c>
      <c r="D810" s="78">
        <v>97680</v>
      </c>
      <c r="E810" s="78"/>
      <c r="F810" s="96">
        <v>0</v>
      </c>
      <c r="G810" s="42">
        <f t="shared" si="13"/>
        <v>0</v>
      </c>
      <c r="H810" s="2" t="str">
        <f>VLOOKUP(A810,'TB MAy'!A:H,8,0)</f>
        <v>Not Applicable</v>
      </c>
    </row>
    <row r="811" spans="1:8" hidden="1">
      <c r="A811" s="95" t="s">
        <v>711</v>
      </c>
      <c r="B811" s="78"/>
      <c r="C811" s="78">
        <v>19000</v>
      </c>
      <c r="D811" s="78">
        <v>19000</v>
      </c>
      <c r="E811" s="78"/>
      <c r="F811" s="96">
        <v>0</v>
      </c>
      <c r="G811" s="42">
        <f t="shared" si="13"/>
        <v>0</v>
      </c>
      <c r="H811" s="2" t="str">
        <f>VLOOKUP(A811,'TB MAy'!A:H,8,0)</f>
        <v>Not Applicable</v>
      </c>
    </row>
    <row r="812" spans="1:8" hidden="1">
      <c r="A812" s="95" t="s">
        <v>698</v>
      </c>
      <c r="B812" s="78">
        <v>-65680</v>
      </c>
      <c r="C812" s="78">
        <v>65680</v>
      </c>
      <c r="D812" s="78"/>
      <c r="E812" s="78"/>
      <c r="F812" s="96">
        <v>0</v>
      </c>
      <c r="G812" s="42">
        <f t="shared" si="13"/>
        <v>0</v>
      </c>
      <c r="H812" s="2" t="str">
        <f>VLOOKUP(A812,'TB MAy'!A:H,8,0)</f>
        <v>Not Applicable</v>
      </c>
    </row>
    <row r="813" spans="1:8" hidden="1">
      <c r="A813" s="95" t="s">
        <v>1369</v>
      </c>
      <c r="B813" s="78">
        <v>-246635</v>
      </c>
      <c r="C813" s="78">
        <v>543398</v>
      </c>
      <c r="D813" s="78">
        <v>296763</v>
      </c>
      <c r="E813" s="78"/>
      <c r="F813" s="96">
        <v>0</v>
      </c>
      <c r="G813" s="42">
        <f t="shared" si="13"/>
        <v>0</v>
      </c>
      <c r="H813" s="2" t="str">
        <f>VLOOKUP(A813,'TB MAy'!A:H,8,0)</f>
        <v>Not Applicable</v>
      </c>
    </row>
    <row r="814" spans="1:8" hidden="1">
      <c r="A814" s="95" t="s">
        <v>687</v>
      </c>
      <c r="B814" s="78">
        <v>523</v>
      </c>
      <c r="C814" s="78">
        <v>201589</v>
      </c>
      <c r="D814" s="78">
        <v>202112</v>
      </c>
      <c r="E814" s="78"/>
      <c r="F814" s="96">
        <v>0</v>
      </c>
      <c r="G814" s="42">
        <f t="shared" si="13"/>
        <v>0</v>
      </c>
      <c r="H814" s="2" t="str">
        <f>VLOOKUP(A814,'TB MAy'!A:H,8,0)</f>
        <v>Not Applicable</v>
      </c>
    </row>
    <row r="815" spans="1:8" hidden="1">
      <c r="A815" s="95" t="s">
        <v>1533</v>
      </c>
      <c r="B815" s="78"/>
      <c r="C815" s="78">
        <v>2477668</v>
      </c>
      <c r="D815" s="78">
        <v>2477668</v>
      </c>
      <c r="E815" s="78"/>
      <c r="F815" s="96">
        <v>0</v>
      </c>
      <c r="G815" s="42">
        <f t="shared" si="13"/>
        <v>0</v>
      </c>
      <c r="H815" s="2" t="str">
        <f>VLOOKUP(A815,'TB MAy'!A:H,8,0)</f>
        <v>Not Applicable</v>
      </c>
    </row>
    <row r="816" spans="1:8" hidden="1">
      <c r="A816" s="95" t="s">
        <v>666</v>
      </c>
      <c r="B816" s="78">
        <v>-25661</v>
      </c>
      <c r="C816" s="78">
        <v>19903</v>
      </c>
      <c r="D816" s="78"/>
      <c r="E816" s="78">
        <v>-5758</v>
      </c>
      <c r="F816" s="96">
        <v>0</v>
      </c>
      <c r="G816" s="42">
        <f t="shared" si="13"/>
        <v>-5758</v>
      </c>
      <c r="H816" s="2" t="str">
        <f>VLOOKUP(A816,'TB MAy'!A:H,8,0)</f>
        <v>Not Applicable</v>
      </c>
    </row>
    <row r="817" spans="1:8" hidden="1">
      <c r="A817" s="95" t="s">
        <v>1579</v>
      </c>
      <c r="B817" s="78"/>
      <c r="C817" s="78">
        <v>9000</v>
      </c>
      <c r="D817" s="78">
        <v>9000</v>
      </c>
      <c r="E817" s="78"/>
      <c r="F817" s="96">
        <v>0</v>
      </c>
      <c r="G817" s="42">
        <f t="shared" si="13"/>
        <v>0</v>
      </c>
      <c r="H817" s="2" t="s">
        <v>84</v>
      </c>
    </row>
    <row r="818" spans="1:8" hidden="1">
      <c r="A818" s="95" t="s">
        <v>661</v>
      </c>
      <c r="B818" s="78">
        <v>-49080</v>
      </c>
      <c r="C818" s="78"/>
      <c r="D818" s="78"/>
      <c r="E818" s="78">
        <v>-49080</v>
      </c>
      <c r="F818" s="96">
        <v>0</v>
      </c>
      <c r="G818" s="42">
        <f t="shared" si="13"/>
        <v>-49080</v>
      </c>
      <c r="H818" s="2" t="str">
        <f>VLOOKUP(A818,'TB MAy'!A:H,8,0)</f>
        <v>Not Applicable</v>
      </c>
    </row>
    <row r="819" spans="1:8" hidden="1">
      <c r="A819" s="95" t="s">
        <v>658</v>
      </c>
      <c r="B819" s="78">
        <v>13470</v>
      </c>
      <c r="C819" s="78"/>
      <c r="D819" s="78"/>
      <c r="E819" s="78">
        <v>13470</v>
      </c>
      <c r="F819" s="96">
        <v>0</v>
      </c>
      <c r="G819" s="42">
        <f t="shared" si="13"/>
        <v>13470</v>
      </c>
      <c r="H819" s="2" t="str">
        <f>VLOOKUP(A819,'TB MAy'!A:H,8,0)</f>
        <v>Not Applicable</v>
      </c>
    </row>
    <row r="820" spans="1:8" hidden="1">
      <c r="A820" s="95" t="s">
        <v>650</v>
      </c>
      <c r="B820" s="78">
        <v>-94099</v>
      </c>
      <c r="C820" s="78"/>
      <c r="D820" s="78"/>
      <c r="E820" s="78">
        <v>-94099</v>
      </c>
      <c r="F820" s="96">
        <v>0</v>
      </c>
      <c r="G820" s="42">
        <f t="shared" si="13"/>
        <v>-94099</v>
      </c>
      <c r="H820" s="2" t="str">
        <f>VLOOKUP(A820,'TB MAy'!A:H,8,0)</f>
        <v>Not Applicable</v>
      </c>
    </row>
    <row r="821" spans="1:8" hidden="1">
      <c r="A821" s="95" t="s">
        <v>655</v>
      </c>
      <c r="B821" s="78">
        <v>38013</v>
      </c>
      <c r="C821" s="78">
        <v>36014</v>
      </c>
      <c r="D821" s="78">
        <v>36014</v>
      </c>
      <c r="E821" s="78">
        <v>38013</v>
      </c>
      <c r="F821" s="96">
        <v>0</v>
      </c>
      <c r="G821" s="42">
        <f t="shared" si="13"/>
        <v>38013</v>
      </c>
      <c r="H821" s="2" t="str">
        <f>VLOOKUP(A821,'TB MAy'!A:H,8,0)</f>
        <v>Not Applicable</v>
      </c>
    </row>
    <row r="822" spans="1:8" hidden="1">
      <c r="A822" s="95" t="s">
        <v>1478</v>
      </c>
      <c r="B822" s="78"/>
      <c r="C822" s="78"/>
      <c r="D822" s="78"/>
      <c r="E822" s="78"/>
      <c r="F822" s="96">
        <v>0</v>
      </c>
      <c r="G822" s="42">
        <f t="shared" si="13"/>
        <v>0</v>
      </c>
      <c r="H822" s="2" t="s">
        <v>84</v>
      </c>
    </row>
    <row r="823" spans="1:8" hidden="1">
      <c r="A823" s="95" t="s">
        <v>643</v>
      </c>
      <c r="B823" s="78">
        <v>-3363</v>
      </c>
      <c r="C823" s="78">
        <v>355374</v>
      </c>
      <c r="D823" s="78">
        <v>357925</v>
      </c>
      <c r="E823" s="78">
        <v>-5914</v>
      </c>
      <c r="F823" s="96">
        <v>0</v>
      </c>
      <c r="G823" s="42">
        <f t="shared" si="13"/>
        <v>-5914</v>
      </c>
      <c r="H823" s="2" t="str">
        <f>VLOOKUP(A823,'TB MAy'!A:H,8,0)</f>
        <v>Not Applicable</v>
      </c>
    </row>
    <row r="824" spans="1:8" hidden="1">
      <c r="A824" s="95" t="s">
        <v>634</v>
      </c>
      <c r="B824" s="78"/>
      <c r="C824" s="78"/>
      <c r="D824" s="78"/>
      <c r="E824" s="78"/>
      <c r="F824" s="96">
        <v>0</v>
      </c>
      <c r="G824" s="42">
        <f t="shared" si="13"/>
        <v>0</v>
      </c>
      <c r="H824" s="2" t="str">
        <f>VLOOKUP(A824,'TB MAy'!A:H,8,0)</f>
        <v>Not Applicable</v>
      </c>
    </row>
    <row r="825" spans="1:8" hidden="1">
      <c r="A825" s="95" t="s">
        <v>633</v>
      </c>
      <c r="B825" s="78">
        <v>111474</v>
      </c>
      <c r="C825" s="78"/>
      <c r="D825" s="78"/>
      <c r="E825" s="78">
        <v>111474</v>
      </c>
      <c r="F825" s="96">
        <v>0</v>
      </c>
      <c r="G825" s="42">
        <f t="shared" si="13"/>
        <v>111474</v>
      </c>
      <c r="H825" s="2" t="str">
        <f>VLOOKUP(A825,'TB MAy'!A:H,8,0)</f>
        <v>Not Applicable</v>
      </c>
    </row>
    <row r="826" spans="1:8" hidden="1">
      <c r="A826" s="95" t="s">
        <v>630</v>
      </c>
      <c r="B826" s="78">
        <v>-221195</v>
      </c>
      <c r="C826" s="78">
        <v>221195</v>
      </c>
      <c r="D826" s="78"/>
      <c r="E826" s="78"/>
      <c r="F826" s="96">
        <v>0</v>
      </c>
      <c r="G826" s="42">
        <f t="shared" si="13"/>
        <v>0</v>
      </c>
      <c r="H826" s="2" t="str">
        <f>VLOOKUP(A826,'TB MAy'!A:H,8,0)</f>
        <v>Not Applicable</v>
      </c>
    </row>
    <row r="827" spans="1:8" hidden="1">
      <c r="A827" s="95" t="s">
        <v>621</v>
      </c>
      <c r="B827" s="78">
        <v>-538861</v>
      </c>
      <c r="C827" s="78">
        <v>538861</v>
      </c>
      <c r="D827" s="78"/>
      <c r="E827" s="78"/>
      <c r="F827" s="96">
        <v>0</v>
      </c>
      <c r="G827" s="42">
        <f t="shared" si="13"/>
        <v>0</v>
      </c>
      <c r="H827" s="2" t="str">
        <f>VLOOKUP(A827,'TB MAy'!A:H,8,0)</f>
        <v>Not Applicable</v>
      </c>
    </row>
    <row r="828" spans="1:8" hidden="1">
      <c r="A828" s="95" t="s">
        <v>1189</v>
      </c>
      <c r="B828" s="78"/>
      <c r="C828" s="78"/>
      <c r="D828" s="78"/>
      <c r="E828" s="78"/>
      <c r="F828" s="96">
        <v>0</v>
      </c>
      <c r="G828" s="42">
        <f t="shared" si="13"/>
        <v>0</v>
      </c>
      <c r="H828" s="2" t="s">
        <v>84</v>
      </c>
    </row>
    <row r="829" spans="1:8" hidden="1">
      <c r="A829" s="95" t="s">
        <v>617</v>
      </c>
      <c r="B829" s="78">
        <v>-0.2</v>
      </c>
      <c r="C829" s="78">
        <v>17582</v>
      </c>
      <c r="D829" s="78">
        <v>17582</v>
      </c>
      <c r="E829" s="78">
        <v>-0.2</v>
      </c>
      <c r="F829" s="96">
        <v>0</v>
      </c>
      <c r="G829" s="42">
        <f t="shared" si="13"/>
        <v>-0.2</v>
      </c>
      <c r="H829" s="2" t="str">
        <f>VLOOKUP(A829,'TB MAy'!A:H,8,0)</f>
        <v>Not Applicable</v>
      </c>
    </row>
    <row r="830" spans="1:8" hidden="1">
      <c r="A830" s="95" t="s">
        <v>585</v>
      </c>
      <c r="B830" s="78"/>
      <c r="C830" s="78">
        <v>6000</v>
      </c>
      <c r="D830" s="78">
        <v>6000</v>
      </c>
      <c r="E830" s="78"/>
      <c r="F830" s="96">
        <v>0</v>
      </c>
      <c r="G830" s="42">
        <f t="shared" si="13"/>
        <v>0</v>
      </c>
      <c r="H830" s="2" t="s">
        <v>84</v>
      </c>
    </row>
    <row r="831" spans="1:8" hidden="1">
      <c r="A831" s="95" t="s">
        <v>990</v>
      </c>
      <c r="B831" s="78">
        <v>13650</v>
      </c>
      <c r="C831" s="78"/>
      <c r="D831" s="78"/>
      <c r="E831" s="78">
        <v>13650</v>
      </c>
      <c r="F831" s="96">
        <v>0</v>
      </c>
      <c r="G831" s="42">
        <f t="shared" si="13"/>
        <v>13650</v>
      </c>
      <c r="H831" s="2" t="str">
        <f>VLOOKUP(A831,'TB MAy'!A:H,8,0)</f>
        <v>Not Applicable</v>
      </c>
    </row>
    <row r="832" spans="1:8" hidden="1">
      <c r="A832" s="95" t="s">
        <v>1481</v>
      </c>
      <c r="B832" s="78"/>
      <c r="C832" s="78"/>
      <c r="D832" s="78"/>
      <c r="E832" s="78"/>
      <c r="F832" s="96">
        <v>0</v>
      </c>
      <c r="G832" s="42">
        <f t="shared" si="13"/>
        <v>0</v>
      </c>
      <c r="H832" s="2" t="str">
        <f>VLOOKUP(A832,'TB MAy'!A:H,8,0)</f>
        <v>Not Applicable</v>
      </c>
    </row>
    <row r="833" spans="1:8" hidden="1">
      <c r="A833" s="95" t="s">
        <v>537</v>
      </c>
      <c r="B833" s="78">
        <v>4484</v>
      </c>
      <c r="C833" s="78">
        <v>815358</v>
      </c>
      <c r="D833" s="78">
        <v>815358</v>
      </c>
      <c r="E833" s="78">
        <v>4484</v>
      </c>
      <c r="F833" s="96">
        <v>0</v>
      </c>
      <c r="G833" s="42">
        <f t="shared" si="13"/>
        <v>4484</v>
      </c>
      <c r="H833" s="2" t="str">
        <f>VLOOKUP(A833,'TB MAy'!A:H,8,0)</f>
        <v>Not Applicable</v>
      </c>
    </row>
    <row r="834" spans="1:8" hidden="1">
      <c r="A834" s="95" t="s">
        <v>910</v>
      </c>
      <c r="B834" s="78">
        <v>13131.72</v>
      </c>
      <c r="C834" s="78"/>
      <c r="D834" s="78"/>
      <c r="E834" s="78">
        <v>13131.72</v>
      </c>
      <c r="F834" s="96">
        <v>0</v>
      </c>
      <c r="G834" s="42">
        <f t="shared" si="13"/>
        <v>13131.72</v>
      </c>
      <c r="H834" s="2" t="str">
        <f>VLOOKUP(A834,'TB MAy'!A:H,8,0)</f>
        <v>Not Applicable</v>
      </c>
    </row>
    <row r="835" spans="1:8" hidden="1">
      <c r="A835" s="95" t="s">
        <v>1580</v>
      </c>
      <c r="B835" s="78"/>
      <c r="C835" s="78">
        <v>6236</v>
      </c>
      <c r="D835" s="78">
        <v>473539</v>
      </c>
      <c r="E835" s="78">
        <v>-467303</v>
      </c>
      <c r="F835" s="96">
        <v>0</v>
      </c>
      <c r="G835" s="42">
        <f t="shared" si="13"/>
        <v>-467303</v>
      </c>
      <c r="H835" s="2" t="s">
        <v>84</v>
      </c>
    </row>
    <row r="836" spans="1:8" hidden="1">
      <c r="A836" s="95" t="s">
        <v>473</v>
      </c>
      <c r="B836" s="78">
        <v>276434.77</v>
      </c>
      <c r="C836" s="78">
        <v>50675.1</v>
      </c>
      <c r="D836" s="78"/>
      <c r="E836" s="78">
        <v>327109.87</v>
      </c>
      <c r="F836" s="96">
        <v>0</v>
      </c>
      <c r="G836" s="42">
        <f t="shared" si="13"/>
        <v>327109.87</v>
      </c>
      <c r="H836" s="2" t="str">
        <f>VLOOKUP(A836,'TB MAy'!A:H,8,0)</f>
        <v>Not Applicable</v>
      </c>
    </row>
    <row r="837" spans="1:8" hidden="1">
      <c r="A837" s="95" t="s">
        <v>1371</v>
      </c>
      <c r="B837" s="78"/>
      <c r="C837" s="78">
        <v>26000</v>
      </c>
      <c r="D837" s="78">
        <v>26000</v>
      </c>
      <c r="E837" s="78"/>
      <c r="F837" s="96">
        <v>0</v>
      </c>
      <c r="G837" s="42">
        <f t="shared" si="13"/>
        <v>0</v>
      </c>
      <c r="H837" s="2" t="str">
        <f>VLOOKUP(A837,'TB MAy'!A:H,8,0)</f>
        <v>Not Applicable</v>
      </c>
    </row>
    <row r="838" spans="1:8" hidden="1">
      <c r="A838" s="95" t="s">
        <v>442</v>
      </c>
      <c r="B838" s="78"/>
      <c r="C838" s="78"/>
      <c r="D838" s="78"/>
      <c r="E838" s="78"/>
      <c r="F838" s="96">
        <v>0</v>
      </c>
      <c r="G838" s="42">
        <f t="shared" si="13"/>
        <v>0</v>
      </c>
      <c r="H838" s="2" t="str">
        <f>VLOOKUP(A838,'TB MAy'!A:H,8,0)</f>
        <v>Not Applicable</v>
      </c>
    </row>
    <row r="839" spans="1:8" hidden="1">
      <c r="A839" s="95" t="s">
        <v>441</v>
      </c>
      <c r="B839" s="78">
        <v>-10033.879999999999</v>
      </c>
      <c r="C839" s="78">
        <v>225</v>
      </c>
      <c r="D839" s="78">
        <v>18560</v>
      </c>
      <c r="E839" s="78">
        <v>-28368.880000000001</v>
      </c>
      <c r="F839" s="96">
        <v>0</v>
      </c>
      <c r="G839" s="42">
        <f t="shared" si="13"/>
        <v>-28368.880000000001</v>
      </c>
      <c r="H839" s="2" t="str">
        <f>VLOOKUP(A839,'TB MAy'!A:H,8,0)</f>
        <v>Not Applicable</v>
      </c>
    </row>
    <row r="840" spans="1:8" hidden="1">
      <c r="A840" s="95" t="s">
        <v>438</v>
      </c>
      <c r="B840" s="78">
        <v>-14478</v>
      </c>
      <c r="C840" s="78">
        <v>18978</v>
      </c>
      <c r="D840" s="78">
        <v>4500</v>
      </c>
      <c r="E840" s="78"/>
      <c r="F840" s="96">
        <v>0</v>
      </c>
      <c r="G840" s="42">
        <f t="shared" si="13"/>
        <v>0</v>
      </c>
      <c r="H840" s="2" t="str">
        <f>VLOOKUP(A840,'TB MAy'!A:H,8,0)</f>
        <v>Not Applicable</v>
      </c>
    </row>
    <row r="841" spans="1:8" hidden="1">
      <c r="A841" s="95" t="s">
        <v>1093</v>
      </c>
      <c r="B841" s="78">
        <v>-40590</v>
      </c>
      <c r="C841" s="78">
        <v>110590</v>
      </c>
      <c r="D841" s="78">
        <v>70000</v>
      </c>
      <c r="E841" s="78"/>
      <c r="F841" s="96">
        <v>0</v>
      </c>
      <c r="G841" s="42">
        <f t="shared" si="13"/>
        <v>0</v>
      </c>
      <c r="H841" s="2" t="str">
        <f>VLOOKUP(A841,'TB MAy'!A:H,8,0)</f>
        <v>Not Applicable</v>
      </c>
    </row>
    <row r="842" spans="1:8" hidden="1">
      <c r="A842" s="95" t="s">
        <v>421</v>
      </c>
      <c r="B842" s="78">
        <v>-1060</v>
      </c>
      <c r="C842" s="78">
        <v>378000</v>
      </c>
      <c r="D842" s="78">
        <v>378000</v>
      </c>
      <c r="E842" s="78">
        <v>-1060</v>
      </c>
      <c r="F842" s="96">
        <v>0</v>
      </c>
      <c r="G842" s="42">
        <f t="shared" si="13"/>
        <v>-1060</v>
      </c>
      <c r="H842" s="2" t="str">
        <f>VLOOKUP(A842,'TB MAy'!A:H,8,0)</f>
        <v>Not Applicable</v>
      </c>
    </row>
    <row r="843" spans="1:8" hidden="1">
      <c r="A843" s="95" t="s">
        <v>876</v>
      </c>
      <c r="B843" s="78">
        <v>-546093</v>
      </c>
      <c r="C843" s="78">
        <v>1309638</v>
      </c>
      <c r="D843" s="78">
        <v>324173</v>
      </c>
      <c r="E843" s="78">
        <v>439372</v>
      </c>
      <c r="F843" s="96">
        <v>0</v>
      </c>
      <c r="G843" s="42">
        <f t="shared" si="13"/>
        <v>439372</v>
      </c>
      <c r="H843" s="2" t="str">
        <f>VLOOKUP(A843,'TB MAy'!A:H,8,0)</f>
        <v>Not Applicable</v>
      </c>
    </row>
    <row r="844" spans="1:8" hidden="1">
      <c r="A844" s="95" t="s">
        <v>1314</v>
      </c>
      <c r="B844" s="78"/>
      <c r="C844" s="78"/>
      <c r="D844" s="78"/>
      <c r="E844" s="78"/>
      <c r="F844" s="96">
        <v>0</v>
      </c>
      <c r="G844" s="42">
        <f t="shared" si="13"/>
        <v>0</v>
      </c>
      <c r="H844" s="2" t="s">
        <v>84</v>
      </c>
    </row>
    <row r="845" spans="1:8" hidden="1">
      <c r="A845" s="95" t="s">
        <v>1088</v>
      </c>
      <c r="B845" s="78">
        <v>6.48</v>
      </c>
      <c r="C845" s="78"/>
      <c r="D845" s="78"/>
      <c r="E845" s="78">
        <v>6.48</v>
      </c>
      <c r="F845" s="96">
        <v>0</v>
      </c>
      <c r="G845" s="42">
        <f t="shared" si="13"/>
        <v>6.48</v>
      </c>
      <c r="H845" s="2" t="str">
        <f>VLOOKUP(A845,'TB MAy'!A:H,8,0)</f>
        <v>Not Applicable</v>
      </c>
    </row>
    <row r="846" spans="1:8" hidden="1">
      <c r="A846" s="95" t="s">
        <v>923</v>
      </c>
      <c r="B846" s="78">
        <v>3.51</v>
      </c>
      <c r="C846" s="78">
        <v>1513</v>
      </c>
      <c r="D846" s="78">
        <v>1512.84</v>
      </c>
      <c r="E846" s="78">
        <v>3.67</v>
      </c>
      <c r="F846" s="96">
        <v>0</v>
      </c>
      <c r="G846" s="42">
        <f t="shared" si="13"/>
        <v>3.67</v>
      </c>
      <c r="H846" s="2" t="str">
        <f>VLOOKUP(A846,'TB MAy'!A:H,8,0)</f>
        <v>Not Applicable</v>
      </c>
    </row>
    <row r="847" spans="1:8" hidden="1">
      <c r="A847" s="95" t="s">
        <v>1032</v>
      </c>
      <c r="B847" s="78">
        <v>-1.94</v>
      </c>
      <c r="C847" s="78">
        <v>714</v>
      </c>
      <c r="D847" s="78">
        <v>715.18</v>
      </c>
      <c r="E847" s="78">
        <v>-3.12</v>
      </c>
      <c r="F847" s="96">
        <v>0</v>
      </c>
      <c r="G847" s="42">
        <f t="shared" si="13"/>
        <v>-3.12</v>
      </c>
      <c r="H847" s="2" t="str">
        <f>VLOOKUP(A847,'TB MAy'!A:H,8,0)</f>
        <v>Not Applicable</v>
      </c>
    </row>
    <row r="848" spans="1:8" hidden="1">
      <c r="A848" s="95" t="s">
        <v>948</v>
      </c>
      <c r="B848" s="78">
        <v>0.56000000000000005</v>
      </c>
      <c r="C848" s="78"/>
      <c r="D848" s="78"/>
      <c r="E848" s="78">
        <v>0.56000000000000005</v>
      </c>
      <c r="F848" s="96">
        <v>0</v>
      </c>
      <c r="G848" s="42">
        <f t="shared" si="13"/>
        <v>0.56000000000000005</v>
      </c>
      <c r="H848" s="2" t="str">
        <f>VLOOKUP(A848,'TB MAy'!A:H,8,0)</f>
        <v>Not Applicable</v>
      </c>
    </row>
    <row r="849" spans="1:8" hidden="1">
      <c r="A849" s="95" t="s">
        <v>1046</v>
      </c>
      <c r="B849" s="78"/>
      <c r="C849" s="78">
        <v>6677.23</v>
      </c>
      <c r="D849" s="78">
        <v>6677.23</v>
      </c>
      <c r="E849" s="78"/>
      <c r="F849" s="96">
        <v>0</v>
      </c>
      <c r="G849" s="42">
        <f t="shared" si="13"/>
        <v>0</v>
      </c>
      <c r="H849" s="2" t="str">
        <f>VLOOKUP(A849,'TB MAy'!A:H,8,0)</f>
        <v>Not Applicable</v>
      </c>
    </row>
    <row r="850" spans="1:8" hidden="1">
      <c r="A850" s="95" t="s">
        <v>1047</v>
      </c>
      <c r="B850" s="78"/>
      <c r="C850" s="78">
        <v>31823.46</v>
      </c>
      <c r="D850" s="78">
        <v>31823.46</v>
      </c>
      <c r="E850" s="78"/>
      <c r="F850" s="96">
        <v>0</v>
      </c>
      <c r="G850" s="42">
        <f t="shared" si="13"/>
        <v>0</v>
      </c>
      <c r="H850" s="2" t="str">
        <f>VLOOKUP(A850,'TB MAy'!A:H,8,0)</f>
        <v>Not Applicable</v>
      </c>
    </row>
    <row r="851" spans="1:8" hidden="1">
      <c r="A851" s="95" t="s">
        <v>880</v>
      </c>
      <c r="B851" s="78"/>
      <c r="C851" s="78"/>
      <c r="D851" s="78"/>
      <c r="E851" s="78"/>
      <c r="F851" s="96">
        <v>0</v>
      </c>
      <c r="G851" s="42">
        <f t="shared" si="13"/>
        <v>0</v>
      </c>
      <c r="H851" s="2" t="str">
        <f>VLOOKUP(A851,'TB MAy'!A:H,8,0)</f>
        <v>Not Applicable</v>
      </c>
    </row>
    <row r="852" spans="1:8" hidden="1">
      <c r="A852" s="95" t="s">
        <v>901</v>
      </c>
      <c r="B852" s="78">
        <v>33416</v>
      </c>
      <c r="C852" s="78"/>
      <c r="D852" s="78"/>
      <c r="E852" s="78">
        <v>33416</v>
      </c>
      <c r="F852" s="96">
        <v>0</v>
      </c>
      <c r="G852" s="42">
        <f t="shared" si="13"/>
        <v>33416</v>
      </c>
      <c r="H852" s="2" t="str">
        <f>VLOOKUP(A852,'TB MAy'!A:H,8,0)</f>
        <v>Not Applicable</v>
      </c>
    </row>
    <row r="853" spans="1:8" hidden="1">
      <c r="A853" s="95" t="s">
        <v>667</v>
      </c>
      <c r="B853" s="78"/>
      <c r="C853" s="78"/>
      <c r="D853" s="78"/>
      <c r="E853" s="78"/>
      <c r="F853" s="96">
        <v>0</v>
      </c>
      <c r="G853" s="42">
        <f t="shared" si="13"/>
        <v>0</v>
      </c>
      <c r="H853" s="2" t="str">
        <f>VLOOKUP(A853,'TB MAy'!A:H,8,0)</f>
        <v>Not Applicable</v>
      </c>
    </row>
    <row r="854" spans="1:8" hidden="1">
      <c r="A854" s="95" t="s">
        <v>668</v>
      </c>
      <c r="B854" s="78"/>
      <c r="C854" s="78"/>
      <c r="D854" s="78"/>
      <c r="E854" s="78"/>
      <c r="F854" s="96">
        <v>0</v>
      </c>
      <c r="G854" s="42">
        <f t="shared" si="13"/>
        <v>0</v>
      </c>
      <c r="H854" s="2" t="str">
        <f>VLOOKUP(A854,'TB MAy'!A:H,8,0)</f>
        <v>Not Applicable</v>
      </c>
    </row>
    <row r="855" spans="1:8" hidden="1">
      <c r="A855" s="95" t="s">
        <v>669</v>
      </c>
      <c r="B855" s="78">
        <v>0.01</v>
      </c>
      <c r="C855" s="78"/>
      <c r="D855" s="78"/>
      <c r="E855" s="78">
        <v>0.01</v>
      </c>
      <c r="F855" s="96">
        <v>0</v>
      </c>
      <c r="G855" s="42">
        <f t="shared" si="13"/>
        <v>0.01</v>
      </c>
      <c r="H855" s="2" t="str">
        <f>VLOOKUP(A855,'TB MAy'!A:H,8,0)</f>
        <v>Not Applicable</v>
      </c>
    </row>
    <row r="856" spans="1:8" hidden="1">
      <c r="A856" s="95" t="s">
        <v>929</v>
      </c>
      <c r="B856" s="78"/>
      <c r="C856" s="78"/>
      <c r="D856" s="78"/>
      <c r="E856" s="78"/>
      <c r="F856" s="96">
        <v>0</v>
      </c>
      <c r="G856" s="42">
        <f t="shared" si="13"/>
        <v>0</v>
      </c>
      <c r="H856" s="2" t="str">
        <f>VLOOKUP(A856,'TB MAy'!A:H,8,0)</f>
        <v>Not Applicable</v>
      </c>
    </row>
    <row r="857" spans="1:8" hidden="1">
      <c r="A857" s="95" t="s">
        <v>1581</v>
      </c>
      <c r="B857" s="78"/>
      <c r="C857" s="78"/>
      <c r="D857" s="78"/>
      <c r="E857" s="78"/>
      <c r="F857" s="96">
        <v>0</v>
      </c>
      <c r="G857" s="42">
        <f t="shared" si="13"/>
        <v>0</v>
      </c>
      <c r="H857" s="2" t="s">
        <v>84</v>
      </c>
    </row>
    <row r="858" spans="1:8" hidden="1">
      <c r="A858" s="95" t="s">
        <v>1372</v>
      </c>
      <c r="B858" s="78">
        <v>-740000</v>
      </c>
      <c r="C858" s="78">
        <v>747422.2</v>
      </c>
      <c r="D858" s="78">
        <v>7422.2</v>
      </c>
      <c r="E858" s="78"/>
      <c r="F858" s="96">
        <v>0</v>
      </c>
      <c r="G858" s="42">
        <f t="shared" si="13"/>
        <v>0</v>
      </c>
      <c r="H858" s="2" t="str">
        <f>VLOOKUP(A858,'TB MAy'!A:H,8,0)</f>
        <v>Not Applicable</v>
      </c>
    </row>
    <row r="859" spans="1:8" hidden="1">
      <c r="A859" s="95" t="s">
        <v>1373</v>
      </c>
      <c r="B859" s="78">
        <v>-2494774.1</v>
      </c>
      <c r="C859" s="78">
        <v>2494774.1</v>
      </c>
      <c r="D859" s="78"/>
      <c r="E859" s="78"/>
      <c r="F859" s="96">
        <v>0</v>
      </c>
      <c r="G859" s="42">
        <f t="shared" si="13"/>
        <v>0</v>
      </c>
      <c r="H859" s="2" t="str">
        <f>VLOOKUP(A859,'TB MAy'!A:H,8,0)</f>
        <v>Not Applicable</v>
      </c>
    </row>
    <row r="860" spans="1:8" hidden="1">
      <c r="A860" s="95" t="s">
        <v>1004</v>
      </c>
      <c r="B860" s="78">
        <v>-3515.4</v>
      </c>
      <c r="C860" s="78"/>
      <c r="D860" s="78"/>
      <c r="E860" s="78">
        <v>-3515.4</v>
      </c>
      <c r="F860" s="96">
        <v>0</v>
      </c>
      <c r="G860" s="42">
        <f t="shared" si="13"/>
        <v>-3515.4</v>
      </c>
      <c r="H860" s="2" t="str">
        <f>VLOOKUP(A860,'TB MAy'!A:H,8,0)</f>
        <v>Not Applicable</v>
      </c>
    </row>
    <row r="861" spans="1:8" hidden="1">
      <c r="A861" s="95" t="s">
        <v>1374</v>
      </c>
      <c r="B861" s="78">
        <v>-161506.79999999999</v>
      </c>
      <c r="C861" s="78"/>
      <c r="D861" s="78"/>
      <c r="E861" s="78">
        <v>-161506.79999999999</v>
      </c>
      <c r="F861" s="96">
        <v>0</v>
      </c>
      <c r="G861" s="42">
        <f t="shared" si="13"/>
        <v>-161506.79999999999</v>
      </c>
      <c r="H861" s="2" t="str">
        <f>VLOOKUP(A861,'TB MAy'!A:H,8,0)</f>
        <v>Not Applicable</v>
      </c>
    </row>
    <row r="862" spans="1:8" hidden="1">
      <c r="A862" s="95" t="s">
        <v>515</v>
      </c>
      <c r="B862" s="78">
        <v>74938.759999999995</v>
      </c>
      <c r="C862" s="78"/>
      <c r="D862" s="78"/>
      <c r="E862" s="78">
        <v>74938.759999999995</v>
      </c>
      <c r="F862" s="96">
        <v>0</v>
      </c>
      <c r="G862" s="42">
        <f t="shared" si="13"/>
        <v>74938.759999999995</v>
      </c>
      <c r="H862" s="2" t="str">
        <f>VLOOKUP(A862,'TB MAy'!A:H,8,0)</f>
        <v>Not Applicable</v>
      </c>
    </row>
    <row r="863" spans="1:8" hidden="1">
      <c r="A863" s="95" t="s">
        <v>437</v>
      </c>
      <c r="B863" s="78"/>
      <c r="C863" s="78"/>
      <c r="D863" s="78"/>
      <c r="E863" s="78"/>
      <c r="F863" s="96">
        <v>0</v>
      </c>
      <c r="G863" s="42">
        <f t="shared" si="13"/>
        <v>0</v>
      </c>
      <c r="H863" s="2" t="str">
        <f>VLOOKUP(A863,'TB MAy'!A:H,8,0)</f>
        <v>Not Applicable</v>
      </c>
    </row>
    <row r="864" spans="1:8" hidden="1">
      <c r="A864" s="95" t="s">
        <v>1315</v>
      </c>
      <c r="B864" s="78"/>
      <c r="C864" s="78"/>
      <c r="D864" s="78"/>
      <c r="E864" s="78"/>
      <c r="F864" s="96">
        <v>0</v>
      </c>
      <c r="G864" s="42">
        <f t="shared" si="13"/>
        <v>0</v>
      </c>
      <c r="H864" s="2" t="str">
        <f>VLOOKUP(A864,'TB MAy'!A:H,8,0)</f>
        <v>Not Applicable</v>
      </c>
    </row>
    <row r="865" spans="1:8" hidden="1">
      <c r="A865" s="95" t="s">
        <v>725</v>
      </c>
      <c r="B865" s="78"/>
      <c r="C865" s="78"/>
      <c r="D865" s="78"/>
      <c r="E865" s="78"/>
      <c r="F865" s="96">
        <v>0</v>
      </c>
      <c r="G865" s="42">
        <f t="shared" ref="G865:G928" si="14">+E865+F865</f>
        <v>0</v>
      </c>
      <c r="H865" s="2" t="s">
        <v>84</v>
      </c>
    </row>
    <row r="866" spans="1:8" hidden="1">
      <c r="A866" s="95" t="s">
        <v>696</v>
      </c>
      <c r="B866" s="78">
        <v>-8382528</v>
      </c>
      <c r="C866" s="78"/>
      <c r="D866" s="78"/>
      <c r="E866" s="78">
        <v>-8382528</v>
      </c>
      <c r="F866" s="96">
        <v>0</v>
      </c>
      <c r="G866" s="42">
        <f t="shared" si="14"/>
        <v>-8382528</v>
      </c>
      <c r="H866" s="2" t="str">
        <f>VLOOKUP(A866,'TB MAy'!A:H,8,0)</f>
        <v>Not Applicable</v>
      </c>
    </row>
    <row r="867" spans="1:8" hidden="1">
      <c r="A867" s="95" t="s">
        <v>1582</v>
      </c>
      <c r="B867" s="78"/>
      <c r="C867" s="78"/>
      <c r="D867" s="78"/>
      <c r="E867" s="78"/>
      <c r="F867" s="96">
        <v>0</v>
      </c>
      <c r="G867" s="42">
        <f t="shared" si="14"/>
        <v>0</v>
      </c>
      <c r="H867" s="2" t="s">
        <v>84</v>
      </c>
    </row>
    <row r="868" spans="1:8" hidden="1">
      <c r="A868" s="95" t="s">
        <v>674</v>
      </c>
      <c r="B868" s="78">
        <v>-2992.51</v>
      </c>
      <c r="C868" s="78"/>
      <c r="D868" s="78"/>
      <c r="E868" s="78">
        <v>-2992.51</v>
      </c>
      <c r="F868" s="96">
        <v>0</v>
      </c>
      <c r="G868" s="42">
        <f t="shared" si="14"/>
        <v>-2992.51</v>
      </c>
      <c r="H868" s="2" t="str">
        <f>VLOOKUP(A868,'TB MAy'!A:H,8,0)</f>
        <v>Not Applicable</v>
      </c>
    </row>
    <row r="869" spans="1:8" hidden="1">
      <c r="A869" s="95" t="s">
        <v>872</v>
      </c>
      <c r="B869" s="78"/>
      <c r="C869" s="78">
        <v>162840</v>
      </c>
      <c r="D869" s="78">
        <v>442500</v>
      </c>
      <c r="E869" s="78">
        <v>-279660</v>
      </c>
      <c r="F869" s="96">
        <v>0</v>
      </c>
      <c r="G869" s="42">
        <f t="shared" si="14"/>
        <v>-279660</v>
      </c>
      <c r="H869" s="2" t="str">
        <f>VLOOKUP(A869,'TB MAy'!A:H,8,0)</f>
        <v>Not Applicable</v>
      </c>
    </row>
    <row r="870" spans="1:8" hidden="1">
      <c r="A870" s="95" t="s">
        <v>635</v>
      </c>
      <c r="B870" s="78">
        <v>-315368</v>
      </c>
      <c r="C870" s="78"/>
      <c r="D870" s="78"/>
      <c r="E870" s="78">
        <v>-315368</v>
      </c>
      <c r="F870" s="96">
        <v>0</v>
      </c>
      <c r="G870" s="42">
        <f t="shared" si="14"/>
        <v>-315368</v>
      </c>
      <c r="H870" s="2" t="str">
        <f>VLOOKUP(A870,'TB MAy'!A:H,8,0)</f>
        <v>Not Applicable</v>
      </c>
    </row>
    <row r="871" spans="1:8" hidden="1">
      <c r="A871" s="95" t="s">
        <v>1323</v>
      </c>
      <c r="B871" s="78"/>
      <c r="C871" s="78"/>
      <c r="D871" s="78"/>
      <c r="E871" s="78"/>
      <c r="F871" s="96">
        <v>0</v>
      </c>
      <c r="G871" s="42">
        <f t="shared" si="14"/>
        <v>0</v>
      </c>
      <c r="H871" s="2" t="str">
        <f>VLOOKUP(A871,'TB MAy'!A:H,8,0)</f>
        <v>Not Applicable</v>
      </c>
    </row>
    <row r="872" spans="1:8" hidden="1">
      <c r="A872" s="95" t="s">
        <v>1483</v>
      </c>
      <c r="B872" s="78"/>
      <c r="C872" s="78"/>
      <c r="D872" s="78"/>
      <c r="E872" s="78"/>
      <c r="F872" s="96">
        <v>0</v>
      </c>
      <c r="G872" s="42">
        <f t="shared" si="14"/>
        <v>0</v>
      </c>
      <c r="H872" s="2" t="str">
        <f>VLOOKUP(A872,'TB MAy'!A:H,8,0)</f>
        <v>Not Applicable</v>
      </c>
    </row>
    <row r="873" spans="1:8" hidden="1">
      <c r="A873" s="95" t="s">
        <v>1193</v>
      </c>
      <c r="B873" s="78">
        <v>-12980</v>
      </c>
      <c r="C873" s="78"/>
      <c r="D873" s="78"/>
      <c r="E873" s="78">
        <v>-12980</v>
      </c>
      <c r="F873" s="96">
        <v>0</v>
      </c>
      <c r="G873" s="42">
        <f t="shared" si="14"/>
        <v>-12980</v>
      </c>
      <c r="H873" s="2" t="str">
        <f>VLOOKUP(A873,'TB MAy'!A:H,8,0)</f>
        <v>Not Applicable</v>
      </c>
    </row>
    <row r="874" spans="1:8" hidden="1">
      <c r="A874" s="95" t="s">
        <v>1316</v>
      </c>
      <c r="B874" s="78"/>
      <c r="C874" s="78"/>
      <c r="D874" s="78"/>
      <c r="E874" s="78"/>
      <c r="F874" s="96">
        <v>0</v>
      </c>
      <c r="G874" s="42">
        <f t="shared" si="14"/>
        <v>0</v>
      </c>
      <c r="H874" s="2" t="str">
        <f>VLOOKUP(A874,'TB MAy'!A:H,8,0)</f>
        <v>Not Applicable</v>
      </c>
    </row>
    <row r="875" spans="1:8" hidden="1">
      <c r="A875" s="95" t="s">
        <v>1534</v>
      </c>
      <c r="B875" s="78"/>
      <c r="C875" s="78">
        <v>3923500</v>
      </c>
      <c r="D875" s="78">
        <v>3923500</v>
      </c>
      <c r="E875" s="78"/>
      <c r="F875" s="96">
        <v>0</v>
      </c>
      <c r="G875" s="42">
        <f t="shared" si="14"/>
        <v>0</v>
      </c>
      <c r="H875" s="2" t="str">
        <f>VLOOKUP(A875,'TB MAy'!A:H,8,0)</f>
        <v>Not Applicable</v>
      </c>
    </row>
    <row r="876" spans="1:8" hidden="1">
      <c r="A876" s="95" t="s">
        <v>610</v>
      </c>
      <c r="B876" s="78">
        <v>-337874.88</v>
      </c>
      <c r="C876" s="78"/>
      <c r="D876" s="78"/>
      <c r="E876" s="78">
        <v>-337874.88</v>
      </c>
      <c r="F876" s="96">
        <v>0</v>
      </c>
      <c r="G876" s="42">
        <f t="shared" si="14"/>
        <v>-337874.88</v>
      </c>
      <c r="H876" s="2" t="str">
        <f>VLOOKUP(A876,'TB MAy'!A:H,8,0)</f>
        <v>Not Applicable</v>
      </c>
    </row>
    <row r="877" spans="1:8" hidden="1">
      <c r="A877" s="95" t="s">
        <v>1145</v>
      </c>
      <c r="B877" s="78">
        <v>-8041519.5300000003</v>
      </c>
      <c r="C877" s="78"/>
      <c r="D877" s="78">
        <v>1947871.86</v>
      </c>
      <c r="E877" s="78">
        <v>-9989391.3900000006</v>
      </c>
      <c r="F877" s="96">
        <v>0</v>
      </c>
      <c r="G877" s="42">
        <f t="shared" si="14"/>
        <v>-9989391.3900000006</v>
      </c>
      <c r="H877" s="2" t="str">
        <f>VLOOKUP(A877,'TB MAy'!A:H,8,0)</f>
        <v>Not Applicable</v>
      </c>
    </row>
    <row r="878" spans="1:8" hidden="1">
      <c r="A878" s="95" t="s">
        <v>1484</v>
      </c>
      <c r="B878" s="78"/>
      <c r="C878" s="78"/>
      <c r="D878" s="78"/>
      <c r="E878" s="78"/>
      <c r="F878" s="96">
        <v>0</v>
      </c>
      <c r="G878" s="42">
        <f t="shared" si="14"/>
        <v>0</v>
      </c>
      <c r="H878" s="2" t="str">
        <f>VLOOKUP(A878,'TB MAy'!A:H,8,0)</f>
        <v>Not Applicable</v>
      </c>
    </row>
    <row r="879" spans="1:8" hidden="1">
      <c r="A879" s="95" t="s">
        <v>603</v>
      </c>
      <c r="B879" s="78"/>
      <c r="C879" s="78"/>
      <c r="D879" s="78"/>
      <c r="E879" s="78"/>
      <c r="F879" s="96">
        <v>0</v>
      </c>
      <c r="G879" s="42">
        <f t="shared" si="14"/>
        <v>0</v>
      </c>
      <c r="H879" s="2" t="str">
        <f>VLOOKUP(A879,'TB MAy'!A:H,8,0)</f>
        <v>Not Applicable</v>
      </c>
    </row>
    <row r="880" spans="1:8" hidden="1">
      <c r="A880" s="95" t="s">
        <v>601</v>
      </c>
      <c r="B880" s="78"/>
      <c r="C880" s="78"/>
      <c r="D880" s="78"/>
      <c r="E880" s="78"/>
      <c r="F880" s="96">
        <v>0</v>
      </c>
      <c r="G880" s="42">
        <f t="shared" si="14"/>
        <v>0</v>
      </c>
      <c r="H880" s="2" t="str">
        <f>VLOOKUP(A880,'TB MAy'!A:H,8,0)</f>
        <v>Not Applicable</v>
      </c>
    </row>
    <row r="881" spans="1:8" hidden="1">
      <c r="A881" s="95" t="s">
        <v>598</v>
      </c>
      <c r="B881" s="78">
        <v>-3203037.26</v>
      </c>
      <c r="C881" s="78">
        <v>1605326.4</v>
      </c>
      <c r="D881" s="78">
        <v>1605326.4</v>
      </c>
      <c r="E881" s="78">
        <v>-3203037.26</v>
      </c>
      <c r="F881" s="96">
        <v>0</v>
      </c>
      <c r="G881" s="42">
        <f t="shared" si="14"/>
        <v>-3203037.26</v>
      </c>
      <c r="H881" s="2" t="str">
        <f>VLOOKUP(A881,'TB MAy'!A:H,8,0)</f>
        <v>Not Applicable</v>
      </c>
    </row>
    <row r="882" spans="1:8" hidden="1">
      <c r="A882" s="95" t="s">
        <v>1535</v>
      </c>
      <c r="B882" s="78"/>
      <c r="C882" s="78">
        <v>2604694.48</v>
      </c>
      <c r="D882" s="78">
        <v>2606903</v>
      </c>
      <c r="E882" s="78">
        <v>-2208.52</v>
      </c>
      <c r="F882" s="96">
        <v>0</v>
      </c>
      <c r="G882" s="42">
        <f t="shared" si="14"/>
        <v>-2208.52</v>
      </c>
      <c r="H882" s="2" t="str">
        <f>VLOOKUP(A882,'TB MAy'!A:H,8,0)</f>
        <v>Not Applicable</v>
      </c>
    </row>
    <row r="883" spans="1:8" hidden="1">
      <c r="A883" s="95" t="s">
        <v>560</v>
      </c>
      <c r="B883" s="78">
        <v>307113.17</v>
      </c>
      <c r="C883" s="78"/>
      <c r="D883" s="78"/>
      <c r="E883" s="78">
        <v>307113.17</v>
      </c>
      <c r="F883" s="96">
        <v>0</v>
      </c>
      <c r="G883" s="42">
        <f t="shared" si="14"/>
        <v>307113.17</v>
      </c>
      <c r="H883" s="2" t="str">
        <f>VLOOKUP(A883,'TB MAy'!A:H,8,0)</f>
        <v>Not Applicable</v>
      </c>
    </row>
    <row r="884" spans="1:8" hidden="1">
      <c r="A884" s="95" t="s">
        <v>1485</v>
      </c>
      <c r="B884" s="78"/>
      <c r="C884" s="78"/>
      <c r="D884" s="78"/>
      <c r="E884" s="78"/>
      <c r="F884" s="96">
        <v>0</v>
      </c>
      <c r="G884" s="42">
        <f t="shared" si="14"/>
        <v>0</v>
      </c>
      <c r="H884" s="2" t="str">
        <f>VLOOKUP(A884,'TB MAy'!A:H,8,0)</f>
        <v>Not Applicable</v>
      </c>
    </row>
    <row r="885" spans="1:8" hidden="1">
      <c r="A885" s="95" t="s">
        <v>989</v>
      </c>
      <c r="B885" s="78">
        <v>-18071983</v>
      </c>
      <c r="C885" s="78">
        <v>9184836</v>
      </c>
      <c r="D885" s="78">
        <v>10795103</v>
      </c>
      <c r="E885" s="78">
        <v>-19682250</v>
      </c>
      <c r="F885" s="96">
        <v>0</v>
      </c>
      <c r="G885" s="42">
        <f t="shared" si="14"/>
        <v>-19682250</v>
      </c>
      <c r="H885" s="2" t="str">
        <f>VLOOKUP(A885,'TB MAy'!A:H,8,0)</f>
        <v>Not Applicable</v>
      </c>
    </row>
    <row r="886" spans="1:8" hidden="1">
      <c r="A886" s="95" t="s">
        <v>1251</v>
      </c>
      <c r="B886" s="78"/>
      <c r="C886" s="78">
        <v>904441</v>
      </c>
      <c r="D886" s="78">
        <v>904824</v>
      </c>
      <c r="E886" s="78">
        <v>-383</v>
      </c>
      <c r="F886" s="96">
        <v>0</v>
      </c>
      <c r="G886" s="42">
        <f t="shared" si="14"/>
        <v>-383</v>
      </c>
      <c r="H886" s="2" t="str">
        <f>VLOOKUP(A886,'TB MAy'!A:H,8,0)</f>
        <v>Not Applicable</v>
      </c>
    </row>
    <row r="887" spans="1:8" hidden="1">
      <c r="A887" s="95" t="s">
        <v>1486</v>
      </c>
      <c r="B887" s="78"/>
      <c r="C887" s="78"/>
      <c r="D887" s="78"/>
      <c r="E887" s="78"/>
      <c r="F887" s="96">
        <v>0</v>
      </c>
      <c r="G887" s="42">
        <f t="shared" si="14"/>
        <v>0</v>
      </c>
      <c r="H887" s="2" t="str">
        <f>VLOOKUP(A887,'TB MAy'!A:H,8,0)</f>
        <v>Not Applicable</v>
      </c>
    </row>
    <row r="888" spans="1:8" hidden="1">
      <c r="A888" s="95" t="s">
        <v>527</v>
      </c>
      <c r="B888" s="78">
        <v>254743.26</v>
      </c>
      <c r="C888" s="78"/>
      <c r="D888" s="78"/>
      <c r="E888" s="78">
        <v>254743.26</v>
      </c>
      <c r="F888" s="96">
        <v>0</v>
      </c>
      <c r="G888" s="42">
        <f t="shared" si="14"/>
        <v>254743.26</v>
      </c>
      <c r="H888" s="2" t="str">
        <f>VLOOKUP(A888,'TB MAy'!A:H,8,0)</f>
        <v>Not Applicable</v>
      </c>
    </row>
    <row r="889" spans="1:8" hidden="1">
      <c r="A889" s="95" t="s">
        <v>1536</v>
      </c>
      <c r="B889" s="78"/>
      <c r="C889" s="78"/>
      <c r="D889" s="78"/>
      <c r="E889" s="78"/>
      <c r="F889" s="96">
        <v>0</v>
      </c>
      <c r="G889" s="42">
        <f t="shared" si="14"/>
        <v>0</v>
      </c>
      <c r="H889" s="2" t="str">
        <f>VLOOKUP(A889,'TB MAy'!A:H,8,0)</f>
        <v>Not Applicable</v>
      </c>
    </row>
    <row r="890" spans="1:8" hidden="1">
      <c r="A890" s="95" t="s">
        <v>889</v>
      </c>
      <c r="B890" s="78"/>
      <c r="C890" s="78"/>
      <c r="D890" s="78"/>
      <c r="E890" s="78"/>
      <c r="F890" s="96">
        <v>0</v>
      </c>
      <c r="G890" s="42">
        <f t="shared" si="14"/>
        <v>0</v>
      </c>
      <c r="H890" s="2" t="s">
        <v>84</v>
      </c>
    </row>
    <row r="891" spans="1:8" hidden="1">
      <c r="A891" s="95" t="s">
        <v>516</v>
      </c>
      <c r="B891" s="78">
        <v>-402161.93</v>
      </c>
      <c r="C891" s="78"/>
      <c r="D891" s="78"/>
      <c r="E891" s="78">
        <v>-402161.93</v>
      </c>
      <c r="F891" s="96">
        <v>0</v>
      </c>
      <c r="G891" s="42">
        <f t="shared" si="14"/>
        <v>-402161.93</v>
      </c>
      <c r="H891" s="2" t="str">
        <f>VLOOKUP(A891,'TB MAy'!A:H,8,0)</f>
        <v>Not Applicable</v>
      </c>
    </row>
    <row r="892" spans="1:8" hidden="1">
      <c r="A892" s="95" t="s">
        <v>1487</v>
      </c>
      <c r="B892" s="78">
        <v>-319.79000000000002</v>
      </c>
      <c r="C892" s="78"/>
      <c r="D892" s="78"/>
      <c r="E892" s="78">
        <v>-319.79000000000002</v>
      </c>
      <c r="F892" s="96">
        <v>0</v>
      </c>
      <c r="G892" s="42">
        <f t="shared" si="14"/>
        <v>-319.79000000000002</v>
      </c>
      <c r="H892" s="2" t="str">
        <f>VLOOKUP(A892,'TB MAy'!A:H,8,0)</f>
        <v>Not Applicable</v>
      </c>
    </row>
    <row r="893" spans="1:8" hidden="1">
      <c r="A893" s="95" t="s">
        <v>517</v>
      </c>
      <c r="B893" s="78"/>
      <c r="C893" s="78"/>
      <c r="D893" s="78"/>
      <c r="E893" s="78"/>
      <c r="F893" s="96">
        <v>0</v>
      </c>
      <c r="G893" s="42">
        <f t="shared" si="14"/>
        <v>0</v>
      </c>
      <c r="H893" s="2" t="str">
        <f>VLOOKUP(A893,'TB MAy'!A:H,8,0)</f>
        <v>Not Applicable</v>
      </c>
    </row>
    <row r="894" spans="1:8" hidden="1">
      <c r="A894" s="95" t="s">
        <v>1488</v>
      </c>
      <c r="B894" s="78">
        <v>-13781293.02</v>
      </c>
      <c r="C894" s="78"/>
      <c r="D894" s="78">
        <v>17147676</v>
      </c>
      <c r="E894" s="78">
        <v>-30928969.02</v>
      </c>
      <c r="F894" s="96">
        <v>0</v>
      </c>
      <c r="G894" s="42">
        <f t="shared" si="14"/>
        <v>-30928969.02</v>
      </c>
      <c r="H894" s="2" t="str">
        <f>VLOOKUP(A894,'TB MAy'!A:H,8,0)</f>
        <v>Not Applicable</v>
      </c>
    </row>
    <row r="895" spans="1:8" hidden="1">
      <c r="A895" s="95" t="s">
        <v>1489</v>
      </c>
      <c r="B895" s="78">
        <v>-34477367.549999997</v>
      </c>
      <c r="C895" s="78"/>
      <c r="D895" s="78"/>
      <c r="E895" s="78">
        <v>-34477367.549999997</v>
      </c>
      <c r="F895" s="96">
        <v>0</v>
      </c>
      <c r="G895" s="42">
        <f t="shared" si="14"/>
        <v>-34477367.549999997</v>
      </c>
      <c r="H895" s="2" t="str">
        <f>VLOOKUP(A895,'TB MAy'!A:H,8,0)</f>
        <v>Not Applicable</v>
      </c>
    </row>
    <row r="896" spans="1:8" hidden="1">
      <c r="A896" s="95" t="s">
        <v>1067</v>
      </c>
      <c r="B896" s="78">
        <v>-1416</v>
      </c>
      <c r="C896" s="78"/>
      <c r="D896" s="78"/>
      <c r="E896" s="78">
        <v>-1416</v>
      </c>
      <c r="F896" s="96">
        <v>0</v>
      </c>
      <c r="G896" s="42">
        <f t="shared" si="14"/>
        <v>-1416</v>
      </c>
      <c r="H896" s="2" t="str">
        <f>VLOOKUP(A896,'TB MAy'!A:H,8,0)</f>
        <v>Not Applicable</v>
      </c>
    </row>
    <row r="897" spans="1:8" hidden="1">
      <c r="A897" s="95" t="s">
        <v>511</v>
      </c>
      <c r="B897" s="78"/>
      <c r="C897" s="78"/>
      <c r="D897" s="78">
        <v>816307.12</v>
      </c>
      <c r="E897" s="78">
        <v>-816307.12</v>
      </c>
      <c r="F897" s="96">
        <v>0</v>
      </c>
      <c r="G897" s="42">
        <f t="shared" si="14"/>
        <v>-816307.12</v>
      </c>
      <c r="H897" s="2" t="s">
        <v>84</v>
      </c>
    </row>
    <row r="898" spans="1:8" hidden="1">
      <c r="A898" s="95" t="s">
        <v>1537</v>
      </c>
      <c r="B898" s="78"/>
      <c r="C898" s="78">
        <v>7691502</v>
      </c>
      <c r="D898" s="78">
        <v>7691501.25</v>
      </c>
      <c r="E898" s="78">
        <v>0.75</v>
      </c>
      <c r="F898" s="96">
        <v>0</v>
      </c>
      <c r="G898" s="42">
        <f t="shared" si="14"/>
        <v>0.75</v>
      </c>
      <c r="H898" s="2" t="str">
        <f>VLOOKUP(A898,'TB MAy'!A:H,8,0)</f>
        <v>Not Applicable</v>
      </c>
    </row>
    <row r="899" spans="1:8" hidden="1">
      <c r="A899" s="95" t="s">
        <v>461</v>
      </c>
      <c r="B899" s="78"/>
      <c r="C899" s="78"/>
      <c r="D899" s="78"/>
      <c r="E899" s="78"/>
      <c r="F899" s="96">
        <v>0</v>
      </c>
      <c r="G899" s="42">
        <f t="shared" si="14"/>
        <v>0</v>
      </c>
      <c r="H899" s="2" t="str">
        <f>VLOOKUP(A899,'TB MAy'!A:H,8,0)</f>
        <v>Not Applicable</v>
      </c>
    </row>
    <row r="900" spans="1:8" hidden="1">
      <c r="A900" s="95" t="s">
        <v>462</v>
      </c>
      <c r="B900" s="78">
        <v>-6019955.2800000003</v>
      </c>
      <c r="C900" s="78">
        <v>7956780.7999999998</v>
      </c>
      <c r="D900" s="78">
        <v>8291730.8099999996</v>
      </c>
      <c r="E900" s="78">
        <v>-6354905.29</v>
      </c>
      <c r="F900" s="96">
        <v>0</v>
      </c>
      <c r="G900" s="42">
        <f t="shared" si="14"/>
        <v>-6354905.29</v>
      </c>
      <c r="H900" s="2" t="str">
        <f>VLOOKUP(A900,'TB MAy'!A:H,8,0)</f>
        <v>Not Applicable</v>
      </c>
    </row>
    <row r="901" spans="1:8" hidden="1">
      <c r="A901" s="95" t="s">
        <v>463</v>
      </c>
      <c r="B901" s="78">
        <v>-7275146.4500000002</v>
      </c>
      <c r="C901" s="78">
        <v>9393673.4399999995</v>
      </c>
      <c r="D901" s="78">
        <v>4755433.51</v>
      </c>
      <c r="E901" s="78">
        <v>-2636906.52</v>
      </c>
      <c r="F901" s="96">
        <v>0</v>
      </c>
      <c r="G901" s="42">
        <f t="shared" si="14"/>
        <v>-2636906.52</v>
      </c>
      <c r="H901" s="2" t="str">
        <f>VLOOKUP(A901,'TB MAy'!A:H,8,0)</f>
        <v>Not Applicable</v>
      </c>
    </row>
    <row r="902" spans="1:8" hidden="1">
      <c r="A902" s="95" t="s">
        <v>457</v>
      </c>
      <c r="B902" s="78"/>
      <c r="C902" s="78"/>
      <c r="D902" s="78"/>
      <c r="E902" s="78"/>
      <c r="F902" s="96">
        <v>0</v>
      </c>
      <c r="G902" s="42">
        <f t="shared" si="14"/>
        <v>0</v>
      </c>
      <c r="H902" s="2" t="str">
        <f>VLOOKUP(A902,'TB MAy'!A:H,8,0)</f>
        <v>Not Applicable</v>
      </c>
    </row>
    <row r="903" spans="1:8" hidden="1">
      <c r="A903" s="95" t="s">
        <v>1490</v>
      </c>
      <c r="B903" s="78"/>
      <c r="C903" s="78"/>
      <c r="D903" s="78"/>
      <c r="E903" s="78"/>
      <c r="F903" s="96">
        <v>0</v>
      </c>
      <c r="G903" s="42">
        <f t="shared" si="14"/>
        <v>0</v>
      </c>
      <c r="H903" s="2" t="str">
        <f>VLOOKUP(A903,'TB MAy'!A:H,8,0)</f>
        <v>Not Applicable</v>
      </c>
    </row>
    <row r="904" spans="1:8" hidden="1">
      <c r="A904" s="95" t="s">
        <v>419</v>
      </c>
      <c r="B904" s="78">
        <v>4951811.6100000003</v>
      </c>
      <c r="C904" s="78">
        <v>5527758.5099999998</v>
      </c>
      <c r="D904" s="78">
        <v>1590299.64</v>
      </c>
      <c r="E904" s="78">
        <v>8889270.4800000004</v>
      </c>
      <c r="F904" s="96">
        <v>0</v>
      </c>
      <c r="G904" s="42">
        <f t="shared" si="14"/>
        <v>8889270.4800000004</v>
      </c>
      <c r="H904" s="2" t="str">
        <f>VLOOKUP(A904,'TB MAy'!A:H,8,0)</f>
        <v>Not Applicable</v>
      </c>
    </row>
    <row r="905" spans="1:8" hidden="1">
      <c r="A905" s="95" t="s">
        <v>1491</v>
      </c>
      <c r="B905" s="78"/>
      <c r="C905" s="78"/>
      <c r="D905" s="78"/>
      <c r="E905" s="78"/>
      <c r="F905" s="96">
        <v>0</v>
      </c>
      <c r="G905" s="42">
        <f t="shared" si="14"/>
        <v>0</v>
      </c>
      <c r="H905" s="2" t="str">
        <f>VLOOKUP(A905,'TB MAy'!A:H,8,0)</f>
        <v>Not Applicable</v>
      </c>
    </row>
    <row r="906" spans="1:8" hidden="1">
      <c r="A906" s="95" t="s">
        <v>1195</v>
      </c>
      <c r="B906" s="78">
        <v>-1176259</v>
      </c>
      <c r="C906" s="78">
        <v>1176259</v>
      </c>
      <c r="D906" s="78"/>
      <c r="E906" s="78"/>
      <c r="F906" s="96">
        <v>0</v>
      </c>
      <c r="G906" s="42">
        <f t="shared" si="14"/>
        <v>0</v>
      </c>
      <c r="H906" s="2" t="str">
        <f>VLOOKUP(A906,'TB MAy'!A:H,8,0)</f>
        <v>Not Applicable</v>
      </c>
    </row>
    <row r="907" spans="1:8" hidden="1">
      <c r="A907" s="95" t="s">
        <v>1492</v>
      </c>
      <c r="B907" s="78"/>
      <c r="C907" s="78"/>
      <c r="D907" s="78"/>
      <c r="E907" s="78"/>
      <c r="F907" s="96">
        <v>0</v>
      </c>
      <c r="G907" s="42">
        <f t="shared" si="14"/>
        <v>0</v>
      </c>
      <c r="H907" s="2" t="str">
        <f>VLOOKUP(A907,'TB MAy'!A:H,8,0)</f>
        <v>Not Applicable</v>
      </c>
    </row>
    <row r="908" spans="1:8" hidden="1">
      <c r="A908" s="95" t="s">
        <v>411</v>
      </c>
      <c r="B908" s="78">
        <v>-84959.8</v>
      </c>
      <c r="C908" s="78">
        <v>187856</v>
      </c>
      <c r="D908" s="78">
        <v>3631443.2</v>
      </c>
      <c r="E908" s="78">
        <v>-3528547</v>
      </c>
      <c r="F908" s="96">
        <v>0</v>
      </c>
      <c r="G908" s="42">
        <f t="shared" si="14"/>
        <v>-3528547</v>
      </c>
      <c r="H908" s="2" t="str">
        <f>VLOOKUP(A908,'TB MAy'!A:H,8,0)</f>
        <v>Not Applicable</v>
      </c>
    </row>
    <row r="909" spans="1:8" hidden="1">
      <c r="A909" s="95" t="s">
        <v>1090</v>
      </c>
      <c r="B909" s="78">
        <v>-9169591.1999999993</v>
      </c>
      <c r="C909" s="78"/>
      <c r="D909" s="78"/>
      <c r="E909" s="78">
        <v>-9169591.1999999993</v>
      </c>
      <c r="F909" s="96">
        <v>0</v>
      </c>
      <c r="G909" s="42">
        <f t="shared" si="14"/>
        <v>-9169591.1999999993</v>
      </c>
      <c r="H909" s="2" t="str">
        <f>VLOOKUP(A909,'TB MAy'!A:H,8,0)</f>
        <v>Not Applicable</v>
      </c>
    </row>
    <row r="910" spans="1:8" hidden="1">
      <c r="A910" s="95" t="s">
        <v>394</v>
      </c>
      <c r="B910" s="78">
        <v>-613943.67000000004</v>
      </c>
      <c r="C910" s="78"/>
      <c r="D910" s="78"/>
      <c r="E910" s="78">
        <v>-613943.67000000004</v>
      </c>
      <c r="F910" s="96">
        <v>0</v>
      </c>
      <c r="G910" s="42">
        <f t="shared" si="14"/>
        <v>-613943.67000000004</v>
      </c>
      <c r="H910" s="2" t="str">
        <f>VLOOKUP(A910,'TB MAy'!A:H,8,0)</f>
        <v>Not Applicable</v>
      </c>
    </row>
    <row r="911" spans="1:8" hidden="1">
      <c r="A911" s="95" t="s">
        <v>1000</v>
      </c>
      <c r="B911" s="78">
        <v>-2069133.4</v>
      </c>
      <c r="C911" s="78"/>
      <c r="D911" s="78"/>
      <c r="E911" s="78">
        <v>-2069133.4</v>
      </c>
      <c r="F911" s="96">
        <v>0</v>
      </c>
      <c r="G911" s="42">
        <f t="shared" si="14"/>
        <v>-2069133.4</v>
      </c>
      <c r="H911" s="2" t="str">
        <f>VLOOKUP(A911,'TB MAy'!A:H,8,0)</f>
        <v>Not Applicable</v>
      </c>
    </row>
    <row r="912" spans="1:8" hidden="1">
      <c r="A912" s="95" t="s">
        <v>1298</v>
      </c>
      <c r="B912" s="78">
        <v>-2298522</v>
      </c>
      <c r="C912" s="78">
        <v>6190422.5</v>
      </c>
      <c r="D912" s="78">
        <v>4387552.5</v>
      </c>
      <c r="E912" s="78">
        <v>-495652</v>
      </c>
      <c r="F912" s="96">
        <v>0</v>
      </c>
      <c r="G912" s="42">
        <f t="shared" si="14"/>
        <v>-495652</v>
      </c>
      <c r="H912" s="2" t="str">
        <f>VLOOKUP(A912,'TB MAy'!A:H,8,0)</f>
        <v>Not Applicable</v>
      </c>
    </row>
    <row r="913" spans="1:8" hidden="1">
      <c r="A913" s="95" t="s">
        <v>860</v>
      </c>
      <c r="B913" s="78"/>
      <c r="C913" s="78"/>
      <c r="D913" s="78"/>
      <c r="E913" s="78"/>
      <c r="F913" s="96">
        <v>0</v>
      </c>
      <c r="G913" s="42">
        <f t="shared" si="14"/>
        <v>0</v>
      </c>
      <c r="H913" s="2" t="str">
        <f>VLOOKUP(A913,'TB MAy'!A:H,8,0)</f>
        <v>Not Applicable</v>
      </c>
    </row>
    <row r="914" spans="1:8" hidden="1">
      <c r="A914" s="95" t="s">
        <v>390</v>
      </c>
      <c r="B914" s="78">
        <v>640875.06000000006</v>
      </c>
      <c r="C914" s="78"/>
      <c r="D914" s="78"/>
      <c r="E914" s="78">
        <v>640875.06000000006</v>
      </c>
      <c r="F914" s="96">
        <v>0</v>
      </c>
      <c r="G914" s="42">
        <f t="shared" si="14"/>
        <v>640875.06000000006</v>
      </c>
      <c r="H914" s="2" t="str">
        <f>VLOOKUP(A914,'TB MAy'!A:H,8,0)</f>
        <v>Not Applicable</v>
      </c>
    </row>
    <row r="915" spans="1:8" hidden="1">
      <c r="A915" s="95" t="s">
        <v>385</v>
      </c>
      <c r="B915" s="78"/>
      <c r="C915" s="78"/>
      <c r="D915" s="78"/>
      <c r="E915" s="78"/>
      <c r="F915" s="96">
        <v>0</v>
      </c>
      <c r="G915" s="42">
        <f t="shared" si="14"/>
        <v>0</v>
      </c>
      <c r="H915" s="2" t="str">
        <f>VLOOKUP(A915,'TB MAy'!A:H,8,0)</f>
        <v>Not Applicable</v>
      </c>
    </row>
    <row r="916" spans="1:8" hidden="1">
      <c r="A916" s="95" t="s">
        <v>380</v>
      </c>
      <c r="B916" s="78">
        <v>2691.2</v>
      </c>
      <c r="C916" s="78"/>
      <c r="D916" s="78"/>
      <c r="E916" s="78">
        <v>2691.2</v>
      </c>
      <c r="F916" s="96">
        <v>0</v>
      </c>
      <c r="G916" s="42">
        <f t="shared" si="14"/>
        <v>2691.2</v>
      </c>
      <c r="H916" s="2" t="str">
        <f>VLOOKUP(A916,'TB MAy'!A:H,8,0)</f>
        <v>Not Applicable</v>
      </c>
    </row>
    <row r="917" spans="1:8" hidden="1">
      <c r="A917" s="95" t="s">
        <v>381</v>
      </c>
      <c r="B917" s="78"/>
      <c r="C917" s="78"/>
      <c r="D917" s="78"/>
      <c r="E917" s="78"/>
      <c r="F917" s="96">
        <v>0</v>
      </c>
      <c r="G917" s="42">
        <f t="shared" si="14"/>
        <v>0</v>
      </c>
      <c r="H917" s="2" t="str">
        <f>VLOOKUP(A917,'TB MAy'!A:H,8,0)</f>
        <v>Not Applicable</v>
      </c>
    </row>
    <row r="918" spans="1:8" hidden="1">
      <c r="A918" s="95" t="s">
        <v>1538</v>
      </c>
      <c r="B918" s="78"/>
      <c r="C918" s="78">
        <v>1770</v>
      </c>
      <c r="D918" s="78">
        <v>1770</v>
      </c>
      <c r="E918" s="78"/>
      <c r="F918" s="96">
        <v>0</v>
      </c>
      <c r="G918" s="42">
        <f t="shared" si="14"/>
        <v>0</v>
      </c>
      <c r="H918" s="2" t="str">
        <f>VLOOKUP(A918,'TB MAy'!A:H,8,0)</f>
        <v>Not Applicable</v>
      </c>
    </row>
    <row r="919" spans="1:8" hidden="1">
      <c r="A919" s="95" t="s">
        <v>368</v>
      </c>
      <c r="B919" s="78"/>
      <c r="C919" s="78"/>
      <c r="D919" s="78"/>
      <c r="E919" s="78"/>
      <c r="F919" s="96">
        <v>0</v>
      </c>
      <c r="G919" s="42">
        <f t="shared" si="14"/>
        <v>0</v>
      </c>
      <c r="H919" s="2" t="str">
        <f>VLOOKUP(A919,'TB MAy'!A:H,8,0)</f>
        <v>Not Applicable</v>
      </c>
    </row>
    <row r="920" spans="1:8" hidden="1">
      <c r="A920" s="95" t="s">
        <v>958</v>
      </c>
      <c r="B920" s="78">
        <v>-49605.599999999999</v>
      </c>
      <c r="C920" s="78"/>
      <c r="D920" s="78"/>
      <c r="E920" s="78">
        <v>-49605.599999999999</v>
      </c>
      <c r="F920" s="96">
        <v>0</v>
      </c>
      <c r="G920" s="42">
        <f t="shared" si="14"/>
        <v>-49605.599999999999</v>
      </c>
      <c r="H920" s="2" t="str">
        <f>VLOOKUP(A920,'TB MAy'!A:H,8,0)</f>
        <v>Not Applicable</v>
      </c>
    </row>
    <row r="921" spans="1:8" hidden="1">
      <c r="A921" s="95" t="s">
        <v>1196</v>
      </c>
      <c r="B921" s="78">
        <v>-2328998.4</v>
      </c>
      <c r="C921" s="78"/>
      <c r="D921" s="78"/>
      <c r="E921" s="78">
        <v>-2328998.4</v>
      </c>
      <c r="F921" s="96">
        <v>0</v>
      </c>
      <c r="G921" s="42">
        <f t="shared" si="14"/>
        <v>-2328998.4</v>
      </c>
      <c r="H921" s="2" t="str">
        <f>VLOOKUP(A921,'TB MAy'!A:H,8,0)</f>
        <v>Not Applicable</v>
      </c>
    </row>
    <row r="922" spans="1:8" hidden="1">
      <c r="A922" s="95" t="s">
        <v>1376</v>
      </c>
      <c r="B922" s="78"/>
      <c r="C922" s="78"/>
      <c r="D922" s="78"/>
      <c r="E922" s="78"/>
      <c r="F922" s="96">
        <v>0</v>
      </c>
      <c r="G922" s="42">
        <f t="shared" si="14"/>
        <v>0</v>
      </c>
      <c r="H922" s="2" t="str">
        <f>VLOOKUP(A922,'TB MAy'!A:H,8,0)</f>
        <v>Not Applicable</v>
      </c>
    </row>
    <row r="923" spans="1:8" hidden="1">
      <c r="A923" s="95" t="s">
        <v>739</v>
      </c>
      <c r="B923" s="78"/>
      <c r="C923" s="78"/>
      <c r="D923" s="78"/>
      <c r="E923" s="78"/>
      <c r="F923" s="96">
        <v>0</v>
      </c>
      <c r="G923" s="42">
        <f t="shared" si="14"/>
        <v>0</v>
      </c>
      <c r="H923" s="2" t="s">
        <v>84</v>
      </c>
    </row>
    <row r="924" spans="1:8" hidden="1">
      <c r="A924" s="95" t="s">
        <v>931</v>
      </c>
      <c r="B924" s="78"/>
      <c r="C924" s="78">
        <v>15050</v>
      </c>
      <c r="D924" s="78">
        <v>15050</v>
      </c>
      <c r="E924" s="78"/>
      <c r="F924" s="96">
        <v>0</v>
      </c>
      <c r="G924" s="42">
        <f t="shared" si="14"/>
        <v>0</v>
      </c>
      <c r="H924" s="2" t="str">
        <f>VLOOKUP(A924,'TB MAy'!A:H,8,0)</f>
        <v>Not Applicable</v>
      </c>
    </row>
    <row r="925" spans="1:8" hidden="1">
      <c r="A925" s="95" t="s">
        <v>735</v>
      </c>
      <c r="B925" s="78">
        <v>39444.199999999997</v>
      </c>
      <c r="C925" s="78"/>
      <c r="D925" s="78"/>
      <c r="E925" s="78">
        <v>39444.199999999997</v>
      </c>
      <c r="F925" s="96">
        <v>0</v>
      </c>
      <c r="G925" s="42">
        <f t="shared" si="14"/>
        <v>39444.199999999997</v>
      </c>
      <c r="H925" s="2" t="str">
        <f>VLOOKUP(A925,'TB MAy'!A:H,8,0)</f>
        <v>Not Applicable</v>
      </c>
    </row>
    <row r="926" spans="1:8" hidden="1">
      <c r="A926" s="95" t="s">
        <v>732</v>
      </c>
      <c r="B926" s="78"/>
      <c r="C926" s="78"/>
      <c r="D926" s="78"/>
      <c r="E926" s="78"/>
      <c r="F926" s="96">
        <v>0</v>
      </c>
      <c r="G926" s="42">
        <f t="shared" si="14"/>
        <v>0</v>
      </c>
      <c r="H926" s="2" t="str">
        <f>VLOOKUP(A926,'TB MAy'!A:H,8,0)</f>
        <v>Not Applicable</v>
      </c>
    </row>
    <row r="927" spans="1:8" hidden="1">
      <c r="A927" s="95" t="s">
        <v>861</v>
      </c>
      <c r="B927" s="78"/>
      <c r="C927" s="78"/>
      <c r="D927" s="78"/>
      <c r="E927" s="78"/>
      <c r="F927" s="96">
        <v>0</v>
      </c>
      <c r="G927" s="42">
        <f t="shared" si="14"/>
        <v>0</v>
      </c>
      <c r="H927" s="2" t="str">
        <f>VLOOKUP(A927,'TB MAy'!A:H,8,0)</f>
        <v>Not Applicable</v>
      </c>
    </row>
    <row r="928" spans="1:8" hidden="1">
      <c r="A928" s="95" t="s">
        <v>882</v>
      </c>
      <c r="B928" s="78"/>
      <c r="C928" s="78">
        <v>40350</v>
      </c>
      <c r="D928" s="78">
        <v>40350</v>
      </c>
      <c r="E928" s="78"/>
      <c r="F928" s="96">
        <v>0</v>
      </c>
      <c r="G928" s="42">
        <f t="shared" si="14"/>
        <v>0</v>
      </c>
      <c r="H928" s="2" t="str">
        <f>VLOOKUP(A928,'TB MAy'!A:H,8,0)</f>
        <v>Not Applicable</v>
      </c>
    </row>
    <row r="929" spans="1:8" hidden="1">
      <c r="A929" s="95" t="s">
        <v>718</v>
      </c>
      <c r="B929" s="78">
        <v>-288118</v>
      </c>
      <c r="C929" s="78">
        <v>651229</v>
      </c>
      <c r="D929" s="78">
        <v>421677</v>
      </c>
      <c r="E929" s="78">
        <v>-58566</v>
      </c>
      <c r="F929" s="96">
        <v>0</v>
      </c>
      <c r="G929" s="42">
        <f t="shared" ref="G929:G992" si="15">+E929+F929</f>
        <v>-58566</v>
      </c>
      <c r="H929" s="2" t="str">
        <f>VLOOKUP(A929,'TB MAy'!A:H,8,0)</f>
        <v>Not Applicable</v>
      </c>
    </row>
    <row r="930" spans="1:8" hidden="1">
      <c r="A930" s="95" t="s">
        <v>721</v>
      </c>
      <c r="B930" s="78">
        <v>-4138</v>
      </c>
      <c r="C930" s="78"/>
      <c r="D930" s="78"/>
      <c r="E930" s="78">
        <v>-4138</v>
      </c>
      <c r="F930" s="96">
        <v>0</v>
      </c>
      <c r="G930" s="42">
        <f t="shared" si="15"/>
        <v>-4138</v>
      </c>
      <c r="H930" s="2" t="str">
        <f>VLOOKUP(A930,'TB MAy'!A:H,8,0)</f>
        <v>Not Applicable</v>
      </c>
    </row>
    <row r="931" spans="1:8" hidden="1">
      <c r="A931" s="95" t="s">
        <v>1105</v>
      </c>
      <c r="B931" s="78">
        <v>-60</v>
      </c>
      <c r="C931" s="78"/>
      <c r="D931" s="78"/>
      <c r="E931" s="78">
        <v>-60</v>
      </c>
      <c r="F931" s="96">
        <v>0</v>
      </c>
      <c r="G931" s="42">
        <f t="shared" si="15"/>
        <v>-60</v>
      </c>
      <c r="H931" s="2" t="str">
        <f>VLOOKUP(A931,'TB MAy'!A:H,8,0)</f>
        <v>Not Applicable</v>
      </c>
    </row>
    <row r="932" spans="1:8" hidden="1">
      <c r="A932" s="95" t="s">
        <v>705</v>
      </c>
      <c r="B932" s="78">
        <v>-1501466</v>
      </c>
      <c r="C932" s="78">
        <v>2760288</v>
      </c>
      <c r="D932" s="78">
        <v>1237412</v>
      </c>
      <c r="E932" s="78">
        <v>21410</v>
      </c>
      <c r="F932" s="96">
        <v>0</v>
      </c>
      <c r="G932" s="42">
        <f t="shared" si="15"/>
        <v>21410</v>
      </c>
      <c r="H932" s="2" t="str">
        <f>VLOOKUP(A932,'TB MAy'!A:H,8,0)</f>
        <v>Not Applicable</v>
      </c>
    </row>
    <row r="933" spans="1:8" hidden="1">
      <c r="A933" s="95" t="s">
        <v>1103</v>
      </c>
      <c r="B933" s="78">
        <v>6</v>
      </c>
      <c r="C933" s="78"/>
      <c r="D933" s="78"/>
      <c r="E933" s="78">
        <v>6</v>
      </c>
      <c r="F933" s="96">
        <v>0</v>
      </c>
      <c r="G933" s="42">
        <f t="shared" si="15"/>
        <v>6</v>
      </c>
      <c r="H933" s="2" t="str">
        <f>VLOOKUP(A933,'TB MAy'!A:H,8,0)</f>
        <v>Not Applicable</v>
      </c>
    </row>
    <row r="934" spans="1:8" hidden="1">
      <c r="A934" s="95" t="s">
        <v>903</v>
      </c>
      <c r="B934" s="78"/>
      <c r="C934" s="78">
        <v>18800</v>
      </c>
      <c r="D934" s="78">
        <v>18800</v>
      </c>
      <c r="E934" s="78"/>
      <c r="F934" s="96">
        <v>0</v>
      </c>
      <c r="G934" s="42">
        <f t="shared" si="15"/>
        <v>0</v>
      </c>
      <c r="H934" s="2" t="str">
        <f>VLOOKUP(A934,'TB MAy'!A:H,8,0)</f>
        <v>Not Applicable</v>
      </c>
    </row>
    <row r="935" spans="1:8" hidden="1">
      <c r="A935" s="95" t="s">
        <v>1299</v>
      </c>
      <c r="B935" s="78">
        <v>-109594</v>
      </c>
      <c r="C935" s="78">
        <v>305012</v>
      </c>
      <c r="D935" s="78">
        <v>155418</v>
      </c>
      <c r="E935" s="78">
        <v>40000</v>
      </c>
      <c r="F935" s="96">
        <v>0</v>
      </c>
      <c r="G935" s="42">
        <f t="shared" si="15"/>
        <v>40000</v>
      </c>
      <c r="H935" s="2" t="str">
        <f>VLOOKUP(A935,'TB MAy'!A:H,8,0)</f>
        <v>Not Applicable</v>
      </c>
    </row>
    <row r="936" spans="1:8" hidden="1">
      <c r="A936" s="95" t="s">
        <v>683</v>
      </c>
      <c r="B936" s="78">
        <v>99999.5</v>
      </c>
      <c r="C936" s="78"/>
      <c r="D936" s="78"/>
      <c r="E936" s="78">
        <v>99999.5</v>
      </c>
      <c r="F936" s="96">
        <v>0</v>
      </c>
      <c r="G936" s="42">
        <f t="shared" si="15"/>
        <v>99999.5</v>
      </c>
      <c r="H936" s="2" t="str">
        <f>VLOOKUP(A936,'TB MAy'!A:H,8,0)</f>
        <v>Not Applicable</v>
      </c>
    </row>
    <row r="937" spans="1:8" hidden="1">
      <c r="A937" s="95" t="s">
        <v>688</v>
      </c>
      <c r="B937" s="78">
        <v>112</v>
      </c>
      <c r="C937" s="78"/>
      <c r="D937" s="78"/>
      <c r="E937" s="78">
        <v>112</v>
      </c>
      <c r="F937" s="96">
        <v>0</v>
      </c>
      <c r="G937" s="42">
        <f t="shared" si="15"/>
        <v>112</v>
      </c>
      <c r="H937" s="2" t="str">
        <f>VLOOKUP(A937,'TB MAy'!A:H,8,0)</f>
        <v>Not Applicable</v>
      </c>
    </row>
    <row r="938" spans="1:8" hidden="1">
      <c r="A938" s="95" t="s">
        <v>1377</v>
      </c>
      <c r="B938" s="78">
        <v>13000</v>
      </c>
      <c r="C938" s="78"/>
      <c r="D938" s="78"/>
      <c r="E938" s="78">
        <v>13000</v>
      </c>
      <c r="F938" s="96">
        <v>0</v>
      </c>
      <c r="G938" s="42">
        <f t="shared" si="15"/>
        <v>13000</v>
      </c>
      <c r="H938" s="2" t="str">
        <f>VLOOKUP(A938,'TB MAy'!A:H,8,0)</f>
        <v>Not Applicable</v>
      </c>
    </row>
    <row r="939" spans="1:8" hidden="1">
      <c r="A939" s="95" t="s">
        <v>1583</v>
      </c>
      <c r="B939" s="78"/>
      <c r="C939" s="78"/>
      <c r="D939" s="78">
        <v>1627816.14</v>
      </c>
      <c r="E939" s="78">
        <v>-1627816.14</v>
      </c>
      <c r="F939" s="96">
        <v>0</v>
      </c>
      <c r="G939" s="42">
        <f t="shared" si="15"/>
        <v>-1627816.14</v>
      </c>
      <c r="H939" s="2" t="s">
        <v>84</v>
      </c>
    </row>
    <row r="940" spans="1:8" hidden="1">
      <c r="A940" s="95" t="s">
        <v>1493</v>
      </c>
      <c r="B940" s="78"/>
      <c r="C940" s="78"/>
      <c r="D940" s="78"/>
      <c r="E940" s="78"/>
      <c r="F940" s="96">
        <v>0</v>
      </c>
      <c r="G940" s="42">
        <f t="shared" si="15"/>
        <v>0</v>
      </c>
      <c r="H940" s="2" t="str">
        <f>VLOOKUP(A940,'TB MAy'!A:H,8,0)</f>
        <v>Not Applicable</v>
      </c>
    </row>
    <row r="941" spans="1:8" hidden="1">
      <c r="A941" s="95" t="s">
        <v>965</v>
      </c>
      <c r="B941" s="78"/>
      <c r="C941" s="78">
        <v>1362024</v>
      </c>
      <c r="D941" s="78">
        <v>2358485</v>
      </c>
      <c r="E941" s="78">
        <v>-996461</v>
      </c>
      <c r="F941" s="96">
        <v>0</v>
      </c>
      <c r="G941" s="42">
        <f t="shared" si="15"/>
        <v>-996461</v>
      </c>
      <c r="H941" s="2" t="str">
        <f>VLOOKUP(A941,'TB MAy'!A:H,8,0)</f>
        <v>Not Applicable</v>
      </c>
    </row>
    <row r="942" spans="1:8" hidden="1">
      <c r="A942" s="95" t="s">
        <v>665</v>
      </c>
      <c r="B942" s="78">
        <v>-3048</v>
      </c>
      <c r="C942" s="78">
        <v>2900</v>
      </c>
      <c r="D942" s="78"/>
      <c r="E942" s="78">
        <v>-148</v>
      </c>
      <c r="F942" s="96">
        <v>0</v>
      </c>
      <c r="G942" s="42">
        <f t="shared" si="15"/>
        <v>-148</v>
      </c>
      <c r="H942" s="2" t="str">
        <f>VLOOKUP(A942,'TB MAy'!A:H,8,0)</f>
        <v>Not Applicable</v>
      </c>
    </row>
    <row r="943" spans="1:8" hidden="1">
      <c r="A943" s="95" t="s">
        <v>663</v>
      </c>
      <c r="B943" s="78">
        <v>-601783.02</v>
      </c>
      <c r="C943" s="78">
        <v>1281807</v>
      </c>
      <c r="D943" s="78">
        <v>824021</v>
      </c>
      <c r="E943" s="78">
        <v>-143997.01999999999</v>
      </c>
      <c r="F943" s="96">
        <v>0</v>
      </c>
      <c r="G943" s="42">
        <f t="shared" si="15"/>
        <v>-143997.01999999999</v>
      </c>
      <c r="H943" s="2" t="str">
        <f>VLOOKUP(A943,'TB MAy'!A:H,8,0)</f>
        <v>Not Applicable</v>
      </c>
    </row>
    <row r="944" spans="1:8" hidden="1">
      <c r="A944" s="95" t="s">
        <v>649</v>
      </c>
      <c r="B944" s="78"/>
      <c r="C944" s="78"/>
      <c r="D944" s="78"/>
      <c r="E944" s="78"/>
      <c r="F944" s="96">
        <v>0</v>
      </c>
      <c r="G944" s="42">
        <f t="shared" si="15"/>
        <v>0</v>
      </c>
      <c r="H944" s="2" t="str">
        <f>VLOOKUP(A944,'TB MAy'!A:H,8,0)</f>
        <v>Not Applicable</v>
      </c>
    </row>
    <row r="945" spans="1:8" hidden="1">
      <c r="A945" s="95" t="s">
        <v>879</v>
      </c>
      <c r="B945" s="78"/>
      <c r="C945" s="78">
        <v>30000</v>
      </c>
      <c r="D945" s="78">
        <v>30000</v>
      </c>
      <c r="E945" s="78"/>
      <c r="F945" s="96">
        <v>0</v>
      </c>
      <c r="G945" s="42">
        <f t="shared" si="15"/>
        <v>0</v>
      </c>
      <c r="H945" s="2" t="str">
        <f>VLOOKUP(A945,'TB MAy'!A:H,8,0)</f>
        <v>Not Applicable</v>
      </c>
    </row>
    <row r="946" spans="1:8" hidden="1">
      <c r="A946" s="95" t="s">
        <v>654</v>
      </c>
      <c r="B946" s="78">
        <v>-15911</v>
      </c>
      <c r="C946" s="78">
        <v>15911</v>
      </c>
      <c r="D946" s="78"/>
      <c r="E946" s="78"/>
      <c r="F946" s="96">
        <v>0</v>
      </c>
      <c r="G946" s="42">
        <f t="shared" si="15"/>
        <v>0</v>
      </c>
      <c r="H946" s="2" t="str">
        <f>VLOOKUP(A946,'TB MAy'!A:H,8,0)</f>
        <v>Not Applicable</v>
      </c>
    </row>
    <row r="947" spans="1:8" hidden="1">
      <c r="A947" s="95" t="s">
        <v>1378</v>
      </c>
      <c r="B947" s="78"/>
      <c r="C947" s="78">
        <v>90480</v>
      </c>
      <c r="D947" s="78">
        <v>152591</v>
      </c>
      <c r="E947" s="78">
        <v>-62111</v>
      </c>
      <c r="F947" s="96">
        <v>0</v>
      </c>
      <c r="G947" s="42">
        <f t="shared" si="15"/>
        <v>-62111</v>
      </c>
      <c r="H947" s="2" t="str">
        <f>VLOOKUP(A947,'TB MAy'!A:H,8,0)</f>
        <v>Not Applicable</v>
      </c>
    </row>
    <row r="948" spans="1:8" hidden="1">
      <c r="A948" s="95" t="s">
        <v>991</v>
      </c>
      <c r="B948" s="78"/>
      <c r="C948" s="78">
        <v>667533</v>
      </c>
      <c r="D948" s="78">
        <v>667533</v>
      </c>
      <c r="E948" s="78"/>
      <c r="F948" s="96">
        <v>0</v>
      </c>
      <c r="G948" s="42">
        <f t="shared" si="15"/>
        <v>0</v>
      </c>
      <c r="H948" s="2" t="str">
        <f>VLOOKUP(A948,'TB MAy'!A:H,8,0)</f>
        <v>Not Applicable</v>
      </c>
    </row>
    <row r="949" spans="1:8" hidden="1">
      <c r="A949" s="95" t="s">
        <v>1344</v>
      </c>
      <c r="B949" s="78"/>
      <c r="C949" s="78">
        <v>2120908</v>
      </c>
      <c r="D949" s="78">
        <v>2120909</v>
      </c>
      <c r="E949" s="78">
        <v>-1</v>
      </c>
      <c r="F949" s="96">
        <v>0</v>
      </c>
      <c r="G949" s="42">
        <f t="shared" si="15"/>
        <v>-1</v>
      </c>
      <c r="H949" s="2" t="str">
        <f>VLOOKUP(A949,'TB MAy'!A:H,8,0)</f>
        <v>Not Applicable</v>
      </c>
    </row>
    <row r="950" spans="1:8" hidden="1">
      <c r="A950" s="95" t="s">
        <v>645</v>
      </c>
      <c r="B950" s="78"/>
      <c r="C950" s="78"/>
      <c r="D950" s="78"/>
      <c r="E950" s="78"/>
      <c r="F950" s="96">
        <v>0</v>
      </c>
      <c r="G950" s="42">
        <f t="shared" si="15"/>
        <v>0</v>
      </c>
      <c r="H950" s="2" t="str">
        <f>VLOOKUP(A950,'TB MAy'!A:H,8,0)</f>
        <v>Not Applicable</v>
      </c>
    </row>
    <row r="951" spans="1:8" hidden="1">
      <c r="A951" s="95" t="s">
        <v>631</v>
      </c>
      <c r="B951" s="78">
        <v>-34749</v>
      </c>
      <c r="C951" s="78">
        <v>97916</v>
      </c>
      <c r="D951" s="78">
        <v>79700</v>
      </c>
      <c r="E951" s="78">
        <v>-16533</v>
      </c>
      <c r="F951" s="96">
        <v>0</v>
      </c>
      <c r="G951" s="42">
        <f t="shared" si="15"/>
        <v>-16533</v>
      </c>
      <c r="H951" s="2" t="str">
        <f>VLOOKUP(A951,'TB MAy'!A:H,8,0)</f>
        <v>Not Applicable</v>
      </c>
    </row>
    <row r="952" spans="1:8" hidden="1">
      <c r="A952" s="95" t="s">
        <v>1379</v>
      </c>
      <c r="B952" s="78">
        <v>415</v>
      </c>
      <c r="C952" s="78">
        <v>24054</v>
      </c>
      <c r="D952" s="78">
        <v>24469</v>
      </c>
      <c r="E952" s="78"/>
      <c r="F952" s="96">
        <v>0</v>
      </c>
      <c r="G952" s="42">
        <f t="shared" si="15"/>
        <v>0</v>
      </c>
      <c r="H952" s="2" t="str">
        <f>VLOOKUP(A952,'TB MAy'!A:H,8,0)</f>
        <v>Not Applicable</v>
      </c>
    </row>
    <row r="953" spans="1:8" hidden="1">
      <c r="A953" s="95" t="s">
        <v>964</v>
      </c>
      <c r="B953" s="78">
        <v>-53820</v>
      </c>
      <c r="C953" s="78">
        <v>108100</v>
      </c>
      <c r="D953" s="78">
        <v>54280</v>
      </c>
      <c r="E953" s="78"/>
      <c r="F953" s="96">
        <v>0</v>
      </c>
      <c r="G953" s="42">
        <f t="shared" si="15"/>
        <v>0</v>
      </c>
      <c r="H953" s="2" t="str">
        <f>VLOOKUP(A953,'TB MAy'!A:H,8,0)</f>
        <v>Not Applicable</v>
      </c>
    </row>
    <row r="954" spans="1:8" hidden="1">
      <c r="A954" s="95" t="s">
        <v>622</v>
      </c>
      <c r="B954" s="78"/>
      <c r="C954" s="78">
        <v>31823.46</v>
      </c>
      <c r="D954" s="78">
        <v>31823.46</v>
      </c>
      <c r="E954" s="78"/>
      <c r="F954" s="96">
        <v>0</v>
      </c>
      <c r="G954" s="42">
        <f t="shared" si="15"/>
        <v>0</v>
      </c>
      <c r="H954" s="2" t="str">
        <f>VLOOKUP(A954,'TB MAy'!A:H,8,0)</f>
        <v>Not Applicable</v>
      </c>
    </row>
    <row r="955" spans="1:8" hidden="1">
      <c r="A955" s="95" t="s">
        <v>618</v>
      </c>
      <c r="B955" s="78">
        <v>-5547</v>
      </c>
      <c r="C955" s="78"/>
      <c r="D955" s="78"/>
      <c r="E955" s="78">
        <v>-5547</v>
      </c>
      <c r="F955" s="96">
        <v>0</v>
      </c>
      <c r="G955" s="42">
        <f t="shared" si="15"/>
        <v>-5547</v>
      </c>
      <c r="H955" s="2" t="str">
        <f>VLOOKUP(A955,'TB MAy'!A:H,8,0)</f>
        <v>Not Applicable</v>
      </c>
    </row>
    <row r="956" spans="1:8" hidden="1">
      <c r="A956" s="95" t="s">
        <v>1019</v>
      </c>
      <c r="B956" s="78">
        <v>19470</v>
      </c>
      <c r="C956" s="78"/>
      <c r="D956" s="78"/>
      <c r="E956" s="78">
        <v>19470</v>
      </c>
      <c r="F956" s="96">
        <v>0</v>
      </c>
      <c r="G956" s="42">
        <f t="shared" si="15"/>
        <v>19470</v>
      </c>
      <c r="H956" s="2" t="str">
        <f>VLOOKUP(A956,'TB MAy'!A:H,8,0)</f>
        <v>Not Applicable</v>
      </c>
    </row>
    <row r="957" spans="1:8" hidden="1">
      <c r="A957" s="95" t="s">
        <v>615</v>
      </c>
      <c r="B957" s="78"/>
      <c r="C957" s="78">
        <v>10500</v>
      </c>
      <c r="D957" s="78">
        <v>10500</v>
      </c>
      <c r="E957" s="78"/>
      <c r="F957" s="96">
        <v>0</v>
      </c>
      <c r="G957" s="42">
        <f t="shared" si="15"/>
        <v>0</v>
      </c>
      <c r="H957" s="2" t="str">
        <f>VLOOKUP(A957,'TB MAy'!A:H,8,0)</f>
        <v>Not Applicable</v>
      </c>
    </row>
    <row r="958" spans="1:8" hidden="1">
      <c r="A958" s="95" t="s">
        <v>941</v>
      </c>
      <c r="B958" s="78">
        <v>0.01</v>
      </c>
      <c r="C958" s="78"/>
      <c r="D958" s="78"/>
      <c r="E958" s="78">
        <v>0.01</v>
      </c>
      <c r="F958" s="96">
        <v>0</v>
      </c>
      <c r="G958" s="42">
        <f t="shared" si="15"/>
        <v>0.01</v>
      </c>
      <c r="H958" s="2" t="str">
        <f>VLOOKUP(A958,'TB MAy'!A:H,8,0)</f>
        <v>Not Applicable</v>
      </c>
    </row>
    <row r="959" spans="1:8" hidden="1">
      <c r="A959" s="95" t="s">
        <v>926</v>
      </c>
      <c r="B959" s="78">
        <v>30922.3</v>
      </c>
      <c r="C959" s="78"/>
      <c r="D959" s="78"/>
      <c r="E959" s="78">
        <v>30922.3</v>
      </c>
      <c r="F959" s="96">
        <v>0</v>
      </c>
      <c r="G959" s="42">
        <f t="shared" si="15"/>
        <v>30922.3</v>
      </c>
      <c r="H959" s="2" t="str">
        <f>VLOOKUP(A959,'TB MAy'!A:H,8,0)</f>
        <v>Not Applicable</v>
      </c>
    </row>
    <row r="960" spans="1:8" hidden="1">
      <c r="A960" s="95" t="s">
        <v>1345</v>
      </c>
      <c r="B960" s="78">
        <v>-9360</v>
      </c>
      <c r="C960" s="78">
        <v>25408</v>
      </c>
      <c r="D960" s="78">
        <v>16048</v>
      </c>
      <c r="E960" s="78"/>
      <c r="F960" s="96">
        <v>0</v>
      </c>
      <c r="G960" s="42">
        <f t="shared" si="15"/>
        <v>0</v>
      </c>
      <c r="H960" s="2" t="str">
        <f>VLOOKUP(A960,'TB MAy'!A:H,8,0)</f>
        <v>Not Applicable</v>
      </c>
    </row>
    <row r="961" spans="1:8" hidden="1">
      <c r="A961" s="95" t="s">
        <v>1271</v>
      </c>
      <c r="B961" s="78"/>
      <c r="C961" s="78">
        <v>4640</v>
      </c>
      <c r="D961" s="78">
        <v>4720</v>
      </c>
      <c r="E961" s="78">
        <v>-80</v>
      </c>
      <c r="F961" s="96">
        <v>0</v>
      </c>
      <c r="G961" s="42">
        <f t="shared" si="15"/>
        <v>-80</v>
      </c>
      <c r="H961" s="2" t="str">
        <f>VLOOKUP(A961,'TB MAy'!A:H,8,0)</f>
        <v>Not Applicable</v>
      </c>
    </row>
    <row r="962" spans="1:8" hidden="1">
      <c r="A962" s="95" t="s">
        <v>588</v>
      </c>
      <c r="B962" s="78"/>
      <c r="C962" s="78"/>
      <c r="D962" s="78"/>
      <c r="E962" s="78"/>
      <c r="F962" s="96">
        <v>0</v>
      </c>
      <c r="G962" s="42">
        <f t="shared" si="15"/>
        <v>0</v>
      </c>
      <c r="H962" s="2" t="str">
        <f>VLOOKUP(A962,'TB MAy'!A:H,8,0)</f>
        <v>Not Applicable</v>
      </c>
    </row>
    <row r="963" spans="1:8" hidden="1">
      <c r="A963" s="95" t="s">
        <v>915</v>
      </c>
      <c r="B963" s="78"/>
      <c r="C963" s="78"/>
      <c r="D963" s="78"/>
      <c r="E963" s="78"/>
      <c r="F963" s="96">
        <v>0</v>
      </c>
      <c r="G963" s="42">
        <f t="shared" si="15"/>
        <v>0</v>
      </c>
      <c r="H963" s="2" t="str">
        <f>VLOOKUP(A963,'TB MAy'!A:H,8,0)</f>
        <v>Not Applicable</v>
      </c>
    </row>
    <row r="964" spans="1:8" hidden="1">
      <c r="A964" s="95" t="s">
        <v>589</v>
      </c>
      <c r="B964" s="78"/>
      <c r="C964" s="78"/>
      <c r="D964" s="78"/>
      <c r="E964" s="78"/>
      <c r="F964" s="96">
        <v>0</v>
      </c>
      <c r="G964" s="42">
        <f t="shared" si="15"/>
        <v>0</v>
      </c>
      <c r="H964" s="2" t="str">
        <f>VLOOKUP(A964,'TB MAy'!A:H,8,0)</f>
        <v>Not Applicable</v>
      </c>
    </row>
    <row r="965" spans="1:8" hidden="1">
      <c r="A965" s="95" t="s">
        <v>590</v>
      </c>
      <c r="B965" s="78"/>
      <c r="C965" s="78">
        <v>283200</v>
      </c>
      <c r="D965" s="78">
        <v>318600</v>
      </c>
      <c r="E965" s="78">
        <v>-35400</v>
      </c>
      <c r="F965" s="96">
        <v>0</v>
      </c>
      <c r="G965" s="42">
        <f t="shared" si="15"/>
        <v>-35400</v>
      </c>
      <c r="H965" s="2" t="str">
        <f>VLOOKUP(A965,'TB MAy'!A:H,8,0)</f>
        <v>Not Applicable</v>
      </c>
    </row>
    <row r="966" spans="1:8" hidden="1">
      <c r="A966" s="95" t="s">
        <v>1018</v>
      </c>
      <c r="B966" s="78">
        <v>-30000</v>
      </c>
      <c r="C966" s="78"/>
      <c r="D966" s="78"/>
      <c r="E966" s="78">
        <v>-30000</v>
      </c>
      <c r="F966" s="96">
        <v>0</v>
      </c>
      <c r="G966" s="42">
        <f t="shared" si="15"/>
        <v>-30000</v>
      </c>
      <c r="H966" s="2" t="str">
        <f>VLOOKUP(A966,'TB MAy'!A:H,8,0)</f>
        <v>Not Applicable</v>
      </c>
    </row>
    <row r="967" spans="1:8" hidden="1">
      <c r="A967" s="95" t="s">
        <v>583</v>
      </c>
      <c r="B967" s="78">
        <v>40000</v>
      </c>
      <c r="C967" s="78"/>
      <c r="D967" s="78"/>
      <c r="E967" s="78">
        <v>40000</v>
      </c>
      <c r="F967" s="96">
        <v>0</v>
      </c>
      <c r="G967" s="42">
        <f t="shared" si="15"/>
        <v>40000</v>
      </c>
      <c r="H967" s="2" t="str">
        <f>VLOOKUP(A967,'TB MAy'!A:H,8,0)</f>
        <v>Not Applicable</v>
      </c>
    </row>
    <row r="968" spans="1:8" hidden="1">
      <c r="A968" s="95" t="s">
        <v>962</v>
      </c>
      <c r="B968" s="78"/>
      <c r="C968" s="78">
        <v>7080</v>
      </c>
      <c r="D968" s="78">
        <v>7080</v>
      </c>
      <c r="E968" s="78"/>
      <c r="F968" s="96">
        <v>0</v>
      </c>
      <c r="G968" s="42">
        <f t="shared" si="15"/>
        <v>0</v>
      </c>
      <c r="H968" s="2" t="s">
        <v>84</v>
      </c>
    </row>
    <row r="969" spans="1:8" hidden="1">
      <c r="A969" s="95" t="s">
        <v>582</v>
      </c>
      <c r="B969" s="78"/>
      <c r="C969" s="78">
        <v>363000</v>
      </c>
      <c r="D969" s="78">
        <v>363000</v>
      </c>
      <c r="E969" s="78"/>
      <c r="F969" s="96">
        <v>0</v>
      </c>
      <c r="G969" s="42">
        <f t="shared" si="15"/>
        <v>0</v>
      </c>
      <c r="H969" s="2" t="str">
        <f>VLOOKUP(A969,'TB MAy'!A:H,8,0)</f>
        <v>Not Applicable</v>
      </c>
    </row>
    <row r="970" spans="1:8" hidden="1">
      <c r="A970" s="95" t="s">
        <v>571</v>
      </c>
      <c r="B970" s="78">
        <v>-739687.61</v>
      </c>
      <c r="C970" s="78">
        <v>1073538.23</v>
      </c>
      <c r="D970" s="78">
        <v>604806</v>
      </c>
      <c r="E970" s="78">
        <v>-270955.38</v>
      </c>
      <c r="F970" s="96">
        <v>0</v>
      </c>
      <c r="G970" s="42">
        <f t="shared" si="15"/>
        <v>-270955.38</v>
      </c>
      <c r="H970" s="2" t="str">
        <f>VLOOKUP(A970,'TB MAy'!A:H,8,0)</f>
        <v>Not Applicable</v>
      </c>
    </row>
    <row r="971" spans="1:8" hidden="1">
      <c r="A971" s="95" t="s">
        <v>573</v>
      </c>
      <c r="B971" s="78">
        <v>-528463</v>
      </c>
      <c r="C971" s="78">
        <v>1302302</v>
      </c>
      <c r="D971" s="78">
        <v>743605</v>
      </c>
      <c r="E971" s="78">
        <v>30234</v>
      </c>
      <c r="F971" s="96">
        <v>0</v>
      </c>
      <c r="G971" s="42">
        <f t="shared" si="15"/>
        <v>30234</v>
      </c>
      <c r="H971" s="2" t="str">
        <f>VLOOKUP(A971,'TB MAy'!A:H,8,0)</f>
        <v>Not Applicable</v>
      </c>
    </row>
    <row r="972" spans="1:8" hidden="1">
      <c r="A972" s="95" t="s">
        <v>871</v>
      </c>
      <c r="B972" s="78"/>
      <c r="C972" s="78">
        <v>85000</v>
      </c>
      <c r="D972" s="78">
        <v>85000</v>
      </c>
      <c r="E972" s="78"/>
      <c r="F972" s="96">
        <v>0</v>
      </c>
      <c r="G972" s="42">
        <f t="shared" si="15"/>
        <v>0</v>
      </c>
      <c r="H972" s="2" t="str">
        <f>VLOOKUP(A972,'TB MAy'!A:H,8,0)</f>
        <v>Not Applicable</v>
      </c>
    </row>
    <row r="973" spans="1:8" hidden="1">
      <c r="A973" s="95" t="s">
        <v>551</v>
      </c>
      <c r="B973" s="78">
        <v>-14160</v>
      </c>
      <c r="C973" s="78">
        <v>28320</v>
      </c>
      <c r="D973" s="78">
        <v>21240</v>
      </c>
      <c r="E973" s="78">
        <v>-7080</v>
      </c>
      <c r="F973" s="96">
        <v>0</v>
      </c>
      <c r="G973" s="42">
        <f t="shared" si="15"/>
        <v>-7080</v>
      </c>
      <c r="H973" s="2" t="str">
        <f>VLOOKUP(A973,'TB MAy'!A:H,8,0)</f>
        <v>Not Applicable</v>
      </c>
    </row>
    <row r="974" spans="1:8" hidden="1">
      <c r="A974" s="95" t="s">
        <v>1227</v>
      </c>
      <c r="B974" s="78"/>
      <c r="C974" s="78">
        <v>150000</v>
      </c>
      <c r="D974" s="78"/>
      <c r="E974" s="78">
        <v>150000</v>
      </c>
      <c r="F974" s="96">
        <v>0</v>
      </c>
      <c r="G974" s="42">
        <f t="shared" si="15"/>
        <v>150000</v>
      </c>
      <c r="H974" s="2" t="str">
        <f>VLOOKUP(A974,'TB MAy'!A:H,8,0)</f>
        <v>Not Applicable</v>
      </c>
    </row>
    <row r="975" spans="1:8" hidden="1">
      <c r="A975" s="95" t="s">
        <v>1272</v>
      </c>
      <c r="B975" s="78"/>
      <c r="C975" s="78">
        <v>336600</v>
      </c>
      <c r="D975" s="78">
        <v>336600</v>
      </c>
      <c r="E975" s="78"/>
      <c r="F975" s="96">
        <v>0</v>
      </c>
      <c r="G975" s="42">
        <f t="shared" si="15"/>
        <v>0</v>
      </c>
      <c r="H975" s="2" t="str">
        <f>VLOOKUP(A975,'TB MAy'!A:H,8,0)</f>
        <v>Not Applicable</v>
      </c>
    </row>
    <row r="976" spans="1:8" hidden="1">
      <c r="A976" s="95" t="s">
        <v>981</v>
      </c>
      <c r="B976" s="78"/>
      <c r="C976" s="78">
        <v>150857</v>
      </c>
      <c r="D976" s="78">
        <v>150857</v>
      </c>
      <c r="E976" s="78"/>
      <c r="F976" s="96">
        <v>0</v>
      </c>
      <c r="G976" s="42">
        <f t="shared" si="15"/>
        <v>0</v>
      </c>
      <c r="H976" s="2" t="str">
        <f>VLOOKUP(A976,'TB MAy'!A:H,8,0)</f>
        <v>Not Applicable</v>
      </c>
    </row>
    <row r="977" spans="1:8" hidden="1">
      <c r="A977" s="95" t="s">
        <v>556</v>
      </c>
      <c r="B977" s="78"/>
      <c r="C977" s="78"/>
      <c r="D977" s="78"/>
      <c r="E977" s="78"/>
      <c r="F977" s="96">
        <v>0</v>
      </c>
      <c r="G977" s="42">
        <f t="shared" si="15"/>
        <v>0</v>
      </c>
      <c r="H977" s="2" t="str">
        <f>VLOOKUP(A977,'TB MAy'!A:H,8,0)</f>
        <v>Not Applicable</v>
      </c>
    </row>
    <row r="978" spans="1:8" hidden="1">
      <c r="A978" s="95" t="s">
        <v>1201</v>
      </c>
      <c r="B978" s="78">
        <v>-213150</v>
      </c>
      <c r="C978" s="78">
        <v>399525</v>
      </c>
      <c r="D978" s="78">
        <v>576135</v>
      </c>
      <c r="E978" s="78">
        <v>-389760</v>
      </c>
      <c r="F978" s="96">
        <v>0</v>
      </c>
      <c r="G978" s="42">
        <f t="shared" si="15"/>
        <v>-389760</v>
      </c>
      <c r="H978" s="2" t="str">
        <f>VLOOKUP(A978,'TB MAy'!A:H,8,0)</f>
        <v>Not Applicable</v>
      </c>
    </row>
    <row r="979" spans="1:8" hidden="1">
      <c r="A979" s="95" t="s">
        <v>1026</v>
      </c>
      <c r="B979" s="78">
        <v>-291160</v>
      </c>
      <c r="C979" s="78">
        <v>1900</v>
      </c>
      <c r="D979" s="78">
        <v>112100</v>
      </c>
      <c r="E979" s="78">
        <v>-401360</v>
      </c>
      <c r="F979" s="96">
        <v>0</v>
      </c>
      <c r="G979" s="42">
        <f t="shared" si="15"/>
        <v>-401360</v>
      </c>
      <c r="H979" s="2" t="str">
        <f>VLOOKUP(A979,'TB MAy'!A:H,8,0)</f>
        <v>Not Applicable</v>
      </c>
    </row>
    <row r="980" spans="1:8" hidden="1">
      <c r="A980" s="95" t="s">
        <v>547</v>
      </c>
      <c r="B980" s="78"/>
      <c r="C980" s="78"/>
      <c r="D980" s="78"/>
      <c r="E980" s="78"/>
      <c r="F980" s="96">
        <v>0</v>
      </c>
      <c r="G980" s="42">
        <f t="shared" si="15"/>
        <v>0</v>
      </c>
      <c r="H980" s="2" t="str">
        <f>VLOOKUP(A980,'TB MAy'!A:H,8,0)</f>
        <v>Not Applicable</v>
      </c>
    </row>
    <row r="981" spans="1:8" hidden="1">
      <c r="A981" s="95" t="s">
        <v>544</v>
      </c>
      <c r="B981" s="78">
        <v>-1598622.79</v>
      </c>
      <c r="C981" s="78">
        <v>5919320</v>
      </c>
      <c r="D981" s="78">
        <v>3364911</v>
      </c>
      <c r="E981" s="78">
        <v>955786.21</v>
      </c>
      <c r="F981" s="96">
        <v>0</v>
      </c>
      <c r="G981" s="42">
        <f t="shared" si="15"/>
        <v>955786.21</v>
      </c>
      <c r="H981" s="2" t="str">
        <f>VLOOKUP(A981,'TB MAy'!A:H,8,0)</f>
        <v>Not Applicable</v>
      </c>
    </row>
    <row r="982" spans="1:8" hidden="1">
      <c r="A982" s="95" t="s">
        <v>540</v>
      </c>
      <c r="B982" s="78"/>
      <c r="C982" s="78"/>
      <c r="D982" s="78"/>
      <c r="E982" s="78"/>
      <c r="F982" s="96">
        <v>0</v>
      </c>
      <c r="G982" s="42">
        <f t="shared" si="15"/>
        <v>0</v>
      </c>
      <c r="H982" s="2" t="str">
        <f>VLOOKUP(A982,'TB MAy'!A:H,8,0)</f>
        <v>Not Applicable</v>
      </c>
    </row>
    <row r="983" spans="1:8" hidden="1">
      <c r="A983" s="95" t="s">
        <v>538</v>
      </c>
      <c r="B983" s="78"/>
      <c r="C983" s="78"/>
      <c r="D983" s="78"/>
      <c r="E983" s="78"/>
      <c r="F983" s="96">
        <v>0</v>
      </c>
      <c r="G983" s="42">
        <f t="shared" si="15"/>
        <v>0</v>
      </c>
      <c r="H983" s="2" t="s">
        <v>84</v>
      </c>
    </row>
    <row r="984" spans="1:8" hidden="1">
      <c r="A984" s="95" t="s">
        <v>533</v>
      </c>
      <c r="B984" s="78">
        <v>-5775</v>
      </c>
      <c r="C984" s="78">
        <v>114000</v>
      </c>
      <c r="D984" s="78">
        <v>114000</v>
      </c>
      <c r="E984" s="78">
        <v>-5775</v>
      </c>
      <c r="F984" s="96">
        <v>0</v>
      </c>
      <c r="G984" s="42">
        <f t="shared" si="15"/>
        <v>-5775</v>
      </c>
      <c r="H984" s="2" t="str">
        <f>VLOOKUP(A984,'TB MAy'!A:H,8,0)</f>
        <v>Not Applicable</v>
      </c>
    </row>
    <row r="985" spans="1:8" hidden="1">
      <c r="A985" s="95" t="s">
        <v>534</v>
      </c>
      <c r="B985" s="78">
        <v>-15</v>
      </c>
      <c r="C985" s="78"/>
      <c r="D985" s="78"/>
      <c r="E985" s="78">
        <v>-15</v>
      </c>
      <c r="F985" s="96">
        <v>0</v>
      </c>
      <c r="G985" s="42">
        <f t="shared" si="15"/>
        <v>-15</v>
      </c>
      <c r="H985" s="2" t="str">
        <f>VLOOKUP(A985,'TB MAy'!A:H,8,0)</f>
        <v>Not Applicable</v>
      </c>
    </row>
    <row r="986" spans="1:8" hidden="1">
      <c r="A986" s="95" t="s">
        <v>535</v>
      </c>
      <c r="B986" s="78">
        <v>-19958</v>
      </c>
      <c r="C986" s="78"/>
      <c r="D986" s="78"/>
      <c r="E986" s="78">
        <v>-19958</v>
      </c>
      <c r="F986" s="96">
        <v>0</v>
      </c>
      <c r="G986" s="42">
        <f t="shared" si="15"/>
        <v>-19958</v>
      </c>
      <c r="H986" s="2" t="str">
        <f>VLOOKUP(A986,'TB MAy'!A:H,8,0)</f>
        <v>Not Applicable</v>
      </c>
    </row>
    <row r="987" spans="1:8" hidden="1">
      <c r="A987" s="95" t="s">
        <v>1171</v>
      </c>
      <c r="B987" s="78"/>
      <c r="C987" s="78">
        <v>83438</v>
      </c>
      <c r="D987" s="78">
        <v>83438</v>
      </c>
      <c r="E987" s="78"/>
      <c r="F987" s="96">
        <v>0</v>
      </c>
      <c r="G987" s="42">
        <f t="shared" si="15"/>
        <v>0</v>
      </c>
      <c r="H987" s="2" t="str">
        <f>VLOOKUP(A987,'TB MAy'!A:H,8,0)</f>
        <v>Not Applicable</v>
      </c>
    </row>
    <row r="988" spans="1:8" hidden="1">
      <c r="A988" s="95" t="s">
        <v>525</v>
      </c>
      <c r="B988" s="78">
        <v>-110312</v>
      </c>
      <c r="C988" s="78">
        <v>101312</v>
      </c>
      <c r="D988" s="78"/>
      <c r="E988" s="78">
        <v>-9000</v>
      </c>
      <c r="F988" s="96">
        <v>0</v>
      </c>
      <c r="G988" s="42">
        <f t="shared" si="15"/>
        <v>-9000</v>
      </c>
      <c r="H988" s="2" t="str">
        <f>VLOOKUP(A988,'TB MAy'!A:H,8,0)</f>
        <v>Not Applicable</v>
      </c>
    </row>
    <row r="989" spans="1:8" hidden="1">
      <c r="A989" s="95" t="s">
        <v>1203</v>
      </c>
      <c r="B989" s="78">
        <v>1</v>
      </c>
      <c r="C989" s="78"/>
      <c r="D989" s="78"/>
      <c r="E989" s="78">
        <v>1</v>
      </c>
      <c r="F989" s="96">
        <v>0</v>
      </c>
      <c r="G989" s="42">
        <f t="shared" si="15"/>
        <v>1</v>
      </c>
      <c r="H989" s="2" t="str">
        <f>VLOOKUP(A989,'TB MAy'!A:H,8,0)</f>
        <v>Not Applicable</v>
      </c>
    </row>
    <row r="990" spans="1:8" hidden="1">
      <c r="A990" s="95" t="s">
        <v>1015</v>
      </c>
      <c r="B990" s="78"/>
      <c r="C990" s="78">
        <v>3540</v>
      </c>
      <c r="D990" s="78">
        <v>3540</v>
      </c>
      <c r="E990" s="78"/>
      <c r="F990" s="96">
        <v>0</v>
      </c>
      <c r="G990" s="42">
        <f t="shared" si="15"/>
        <v>0</v>
      </c>
      <c r="H990" s="2" t="s">
        <v>84</v>
      </c>
    </row>
    <row r="991" spans="1:8" hidden="1">
      <c r="A991" s="95" t="s">
        <v>509</v>
      </c>
      <c r="B991" s="78">
        <v>0.5</v>
      </c>
      <c r="C991" s="78"/>
      <c r="D991" s="78"/>
      <c r="E991" s="78">
        <v>0.5</v>
      </c>
      <c r="F991" s="96">
        <v>0</v>
      </c>
      <c r="G991" s="42">
        <f t="shared" si="15"/>
        <v>0.5</v>
      </c>
      <c r="H991" s="2" t="str">
        <f>VLOOKUP(A991,'TB MAy'!A:H,8,0)</f>
        <v>Not Applicable</v>
      </c>
    </row>
    <row r="992" spans="1:8" hidden="1">
      <c r="A992" s="95" t="s">
        <v>1137</v>
      </c>
      <c r="B992" s="78">
        <v>-143516</v>
      </c>
      <c r="C992" s="78">
        <v>358776</v>
      </c>
      <c r="D992" s="78">
        <v>215260</v>
      </c>
      <c r="E992" s="78"/>
      <c r="F992" s="96">
        <v>0</v>
      </c>
      <c r="G992" s="42">
        <f t="shared" si="15"/>
        <v>0</v>
      </c>
      <c r="H992" s="2" t="str">
        <f>VLOOKUP(A992,'TB MAy'!A:H,8,0)</f>
        <v>Not Applicable</v>
      </c>
    </row>
    <row r="993" spans="1:8" hidden="1">
      <c r="A993" s="95" t="s">
        <v>1346</v>
      </c>
      <c r="B993" s="78"/>
      <c r="C993" s="78">
        <v>114600</v>
      </c>
      <c r="D993" s="78">
        <v>114600</v>
      </c>
      <c r="E993" s="78"/>
      <c r="F993" s="96">
        <v>0</v>
      </c>
      <c r="G993" s="42">
        <f t="shared" ref="G993:G1056" si="16">+E993+F993</f>
        <v>0</v>
      </c>
      <c r="H993" s="2" t="str">
        <f>VLOOKUP(A993,'TB MAy'!A:H,8,0)</f>
        <v>Not Applicable</v>
      </c>
    </row>
    <row r="994" spans="1:8" hidden="1">
      <c r="A994" s="95" t="s">
        <v>1204</v>
      </c>
      <c r="B994" s="78"/>
      <c r="C994" s="78">
        <v>96600</v>
      </c>
      <c r="D994" s="78">
        <v>96600</v>
      </c>
      <c r="E994" s="78"/>
      <c r="F994" s="96">
        <v>0</v>
      </c>
      <c r="G994" s="42">
        <f t="shared" si="16"/>
        <v>0</v>
      </c>
      <c r="H994" s="2" t="str">
        <f>VLOOKUP(A994,'TB MAy'!A:H,8,0)</f>
        <v>Not Applicable</v>
      </c>
    </row>
    <row r="995" spans="1:8" hidden="1">
      <c r="A995" s="95" t="s">
        <v>1025</v>
      </c>
      <c r="B995" s="78">
        <v>-61234</v>
      </c>
      <c r="C995" s="78">
        <v>114254</v>
      </c>
      <c r="D995" s="78">
        <v>53020</v>
      </c>
      <c r="E995" s="78"/>
      <c r="F995" s="96">
        <v>0</v>
      </c>
      <c r="G995" s="42">
        <f t="shared" si="16"/>
        <v>0</v>
      </c>
      <c r="H995" s="2" t="str">
        <f>VLOOKUP(A995,'TB MAy'!A:H,8,0)</f>
        <v>Not Applicable</v>
      </c>
    </row>
    <row r="996" spans="1:8" hidden="1">
      <c r="A996" s="95" t="s">
        <v>1539</v>
      </c>
      <c r="B996" s="78"/>
      <c r="C996" s="78">
        <v>440112</v>
      </c>
      <c r="D996" s="78">
        <v>440112</v>
      </c>
      <c r="E996" s="78"/>
      <c r="F996" s="96">
        <v>0</v>
      </c>
      <c r="G996" s="42">
        <f t="shared" si="16"/>
        <v>0</v>
      </c>
      <c r="H996" s="2" t="str">
        <f>VLOOKUP(A996,'TB MAy'!A:H,8,0)</f>
        <v>Not Applicable</v>
      </c>
    </row>
    <row r="997" spans="1:8" hidden="1">
      <c r="A997" s="95" t="s">
        <v>477</v>
      </c>
      <c r="B997" s="78"/>
      <c r="C997" s="78">
        <v>67500</v>
      </c>
      <c r="D997" s="78">
        <v>67500</v>
      </c>
      <c r="E997" s="78"/>
      <c r="F997" s="96">
        <v>0</v>
      </c>
      <c r="G997" s="42">
        <f t="shared" si="16"/>
        <v>0</v>
      </c>
      <c r="H997" s="2" t="str">
        <f>VLOOKUP(A997,'TB MAy'!A:H,8,0)</f>
        <v>Not Applicable</v>
      </c>
    </row>
    <row r="998" spans="1:8" hidden="1">
      <c r="A998" s="95" t="s">
        <v>465</v>
      </c>
      <c r="B998" s="78">
        <v>90000</v>
      </c>
      <c r="C998" s="78"/>
      <c r="D998" s="78"/>
      <c r="E998" s="78">
        <v>90000</v>
      </c>
      <c r="F998" s="96">
        <v>0</v>
      </c>
      <c r="G998" s="42">
        <f t="shared" si="16"/>
        <v>90000</v>
      </c>
      <c r="H998" s="2" t="str">
        <f>VLOOKUP(A998,'TB MAy'!A:H,8,0)</f>
        <v>Not Applicable</v>
      </c>
    </row>
    <row r="999" spans="1:8" hidden="1">
      <c r="A999" s="95" t="s">
        <v>1584</v>
      </c>
      <c r="B999" s="78"/>
      <c r="C999" s="78"/>
      <c r="D999" s="78"/>
      <c r="E999" s="78"/>
      <c r="F999" s="96">
        <v>0</v>
      </c>
      <c r="G999" s="42">
        <f t="shared" si="16"/>
        <v>0</v>
      </c>
      <c r="H999" s="2" t="s">
        <v>84</v>
      </c>
    </row>
    <row r="1000" spans="1:8" hidden="1">
      <c r="A1000" s="95" t="s">
        <v>469</v>
      </c>
      <c r="B1000" s="78">
        <v>-19750</v>
      </c>
      <c r="C1000" s="78"/>
      <c r="D1000" s="78"/>
      <c r="E1000" s="78">
        <v>-19750</v>
      </c>
      <c r="F1000" s="96">
        <v>0</v>
      </c>
      <c r="G1000" s="42">
        <f t="shared" si="16"/>
        <v>-19750</v>
      </c>
      <c r="H1000" s="2" t="str">
        <f>VLOOKUP(A1000,'TB MAy'!A:H,8,0)</f>
        <v>Not Applicable</v>
      </c>
    </row>
    <row r="1001" spans="1:8" hidden="1">
      <c r="A1001" s="95" t="s">
        <v>1585</v>
      </c>
      <c r="B1001" s="78"/>
      <c r="C1001" s="78"/>
      <c r="D1001" s="78"/>
      <c r="E1001" s="78"/>
      <c r="F1001" s="96">
        <v>0</v>
      </c>
      <c r="G1001" s="42">
        <f t="shared" si="16"/>
        <v>0</v>
      </c>
      <c r="H1001" s="2" t="s">
        <v>84</v>
      </c>
    </row>
    <row r="1002" spans="1:8" hidden="1">
      <c r="A1002" s="95" t="s">
        <v>1324</v>
      </c>
      <c r="B1002" s="78"/>
      <c r="C1002" s="78"/>
      <c r="D1002" s="78"/>
      <c r="E1002" s="78"/>
      <c r="F1002" s="96">
        <v>0</v>
      </c>
      <c r="G1002" s="42">
        <f t="shared" si="16"/>
        <v>0</v>
      </c>
      <c r="H1002" s="2" t="str">
        <f>VLOOKUP(A1002,'TB MAy'!A:H,8,0)</f>
        <v>Not Applicable</v>
      </c>
    </row>
    <row r="1003" spans="1:8" hidden="1">
      <c r="A1003" s="95" t="s">
        <v>471</v>
      </c>
      <c r="B1003" s="78">
        <v>-32040.76</v>
      </c>
      <c r="C1003" s="78"/>
      <c r="D1003" s="78"/>
      <c r="E1003" s="78">
        <v>-32040.76</v>
      </c>
      <c r="F1003" s="96">
        <v>0</v>
      </c>
      <c r="G1003" s="42">
        <f t="shared" si="16"/>
        <v>-32040.76</v>
      </c>
      <c r="H1003" s="2" t="str">
        <f>VLOOKUP(A1003,'TB MAy'!A:H,8,0)</f>
        <v>Not Applicable</v>
      </c>
    </row>
    <row r="1004" spans="1:8" hidden="1">
      <c r="A1004" s="95" t="s">
        <v>472</v>
      </c>
      <c r="B1004" s="78">
        <v>-31962</v>
      </c>
      <c r="C1004" s="78">
        <v>98895</v>
      </c>
      <c r="D1004" s="78">
        <v>66933</v>
      </c>
      <c r="E1004" s="78"/>
      <c r="F1004" s="96">
        <v>0</v>
      </c>
      <c r="G1004" s="42">
        <f t="shared" si="16"/>
        <v>0</v>
      </c>
      <c r="H1004" s="2" t="str">
        <f>VLOOKUP(A1004,'TB MAy'!A:H,8,0)</f>
        <v>Not Applicable</v>
      </c>
    </row>
    <row r="1005" spans="1:8" hidden="1">
      <c r="A1005" s="95" t="s">
        <v>464</v>
      </c>
      <c r="B1005" s="78">
        <v>-0.24</v>
      </c>
      <c r="C1005" s="78"/>
      <c r="D1005" s="78"/>
      <c r="E1005" s="78">
        <v>-0.24</v>
      </c>
      <c r="F1005" s="96">
        <v>0</v>
      </c>
      <c r="G1005" s="42">
        <f t="shared" si="16"/>
        <v>-0.24</v>
      </c>
      <c r="H1005" s="2" t="str">
        <f>VLOOKUP(A1005,'TB MAy'!A:H,8,0)</f>
        <v>Not Applicable</v>
      </c>
    </row>
    <row r="1006" spans="1:8" hidden="1">
      <c r="A1006" s="95" t="s">
        <v>1206</v>
      </c>
      <c r="B1006" s="78">
        <v>-0.38</v>
      </c>
      <c r="C1006" s="78"/>
      <c r="D1006" s="78"/>
      <c r="E1006" s="78">
        <v>-0.38</v>
      </c>
      <c r="F1006" s="96">
        <v>0</v>
      </c>
      <c r="G1006" s="42">
        <f t="shared" si="16"/>
        <v>-0.38</v>
      </c>
      <c r="H1006" s="2" t="str">
        <f>VLOOKUP(A1006,'TB MAy'!A:H,8,0)</f>
        <v>Not Applicable</v>
      </c>
    </row>
    <row r="1007" spans="1:8" hidden="1">
      <c r="A1007" s="95" t="s">
        <v>1172</v>
      </c>
      <c r="B1007" s="78">
        <v>-9769</v>
      </c>
      <c r="C1007" s="78">
        <v>19790</v>
      </c>
      <c r="D1007" s="78">
        <v>29559</v>
      </c>
      <c r="E1007" s="78">
        <v>-19538</v>
      </c>
      <c r="F1007" s="96">
        <v>0</v>
      </c>
      <c r="G1007" s="42">
        <f t="shared" si="16"/>
        <v>-19538</v>
      </c>
      <c r="H1007" s="2" t="str">
        <f>VLOOKUP(A1007,'TB MAy'!A:H,8,0)</f>
        <v>Not Applicable</v>
      </c>
    </row>
    <row r="1008" spans="1:8" hidden="1">
      <c r="A1008" s="95" t="s">
        <v>456</v>
      </c>
      <c r="B1008" s="78"/>
      <c r="C1008" s="78">
        <v>137900</v>
      </c>
      <c r="D1008" s="78">
        <v>137900</v>
      </c>
      <c r="E1008" s="78"/>
      <c r="F1008" s="96">
        <v>0</v>
      </c>
      <c r="G1008" s="42">
        <f t="shared" si="16"/>
        <v>0</v>
      </c>
      <c r="H1008" s="2" t="str">
        <f>VLOOKUP(A1008,'TB MAy'!A:H,8,0)</f>
        <v>Not Applicable</v>
      </c>
    </row>
    <row r="1009" spans="1:8" hidden="1">
      <c r="A1009" s="95" t="s">
        <v>447</v>
      </c>
      <c r="B1009" s="78">
        <v>-573637.34</v>
      </c>
      <c r="C1009" s="78">
        <v>1183063</v>
      </c>
      <c r="D1009" s="78">
        <v>655555</v>
      </c>
      <c r="E1009" s="78">
        <v>-46129.34</v>
      </c>
      <c r="F1009" s="96">
        <v>0</v>
      </c>
      <c r="G1009" s="42">
        <f t="shared" si="16"/>
        <v>-46129.34</v>
      </c>
      <c r="H1009" s="2" t="str">
        <f>VLOOKUP(A1009,'TB MAy'!A:H,8,0)</f>
        <v>Not Applicable</v>
      </c>
    </row>
    <row r="1010" spans="1:8" hidden="1">
      <c r="A1010" s="95" t="s">
        <v>436</v>
      </c>
      <c r="B1010" s="78">
        <v>-218</v>
      </c>
      <c r="C1010" s="78"/>
      <c r="D1010" s="78"/>
      <c r="E1010" s="78">
        <v>-218</v>
      </c>
      <c r="F1010" s="96">
        <v>0</v>
      </c>
      <c r="G1010" s="42">
        <f t="shared" si="16"/>
        <v>-218</v>
      </c>
      <c r="H1010" s="2" t="str">
        <f>VLOOKUP(A1010,'TB MAy'!A:H,8,0)</f>
        <v>Not Applicable</v>
      </c>
    </row>
    <row r="1011" spans="1:8" hidden="1">
      <c r="A1011" s="95" t="s">
        <v>1207</v>
      </c>
      <c r="B1011" s="78">
        <v>68</v>
      </c>
      <c r="C1011" s="78"/>
      <c r="D1011" s="78"/>
      <c r="E1011" s="78">
        <v>68</v>
      </c>
      <c r="F1011" s="96">
        <v>0</v>
      </c>
      <c r="G1011" s="42">
        <f t="shared" si="16"/>
        <v>68</v>
      </c>
      <c r="H1011" s="2" t="str">
        <f>VLOOKUP(A1011,'TB MAy'!A:H,8,0)</f>
        <v>Not Applicable</v>
      </c>
    </row>
    <row r="1012" spans="1:8" hidden="1">
      <c r="A1012" s="95" t="s">
        <v>1274</v>
      </c>
      <c r="B1012" s="78">
        <v>-499</v>
      </c>
      <c r="C1012" s="78">
        <v>28461</v>
      </c>
      <c r="D1012" s="78">
        <v>28950</v>
      </c>
      <c r="E1012" s="78">
        <v>-988</v>
      </c>
      <c r="F1012" s="96">
        <v>0</v>
      </c>
      <c r="G1012" s="42">
        <f t="shared" si="16"/>
        <v>-988</v>
      </c>
      <c r="H1012" s="2" t="str">
        <f>VLOOKUP(A1012,'TB MAy'!A:H,8,0)</f>
        <v>Not Applicable</v>
      </c>
    </row>
    <row r="1013" spans="1:8" hidden="1">
      <c r="A1013" s="95" t="s">
        <v>426</v>
      </c>
      <c r="B1013" s="78">
        <v>-31669</v>
      </c>
      <c r="C1013" s="78">
        <v>11817</v>
      </c>
      <c r="D1013" s="78"/>
      <c r="E1013" s="78">
        <v>-19852</v>
      </c>
      <c r="F1013" s="96">
        <v>0</v>
      </c>
      <c r="G1013" s="42">
        <f t="shared" si="16"/>
        <v>-19852</v>
      </c>
      <c r="H1013" s="2" t="str">
        <f>VLOOKUP(A1013,'TB MAy'!A:H,8,0)</f>
        <v>Not Applicable</v>
      </c>
    </row>
    <row r="1014" spans="1:8" hidden="1">
      <c r="A1014" s="95" t="s">
        <v>428</v>
      </c>
      <c r="B1014" s="78"/>
      <c r="C1014" s="78">
        <v>38500</v>
      </c>
      <c r="D1014" s="78">
        <v>38500</v>
      </c>
      <c r="E1014" s="78"/>
      <c r="F1014" s="96">
        <v>0</v>
      </c>
      <c r="G1014" s="42">
        <f t="shared" si="16"/>
        <v>0</v>
      </c>
      <c r="H1014" s="2" t="str">
        <f>VLOOKUP(A1014,'TB MAy'!A:H,8,0)</f>
        <v>Not Applicable</v>
      </c>
    </row>
    <row r="1015" spans="1:8" hidden="1">
      <c r="A1015" s="95" t="s">
        <v>924</v>
      </c>
      <c r="B1015" s="78">
        <v>-2000</v>
      </c>
      <c r="C1015" s="78">
        <v>79520</v>
      </c>
      <c r="D1015" s="78">
        <v>79520</v>
      </c>
      <c r="E1015" s="78">
        <v>-2000</v>
      </c>
      <c r="F1015" s="96">
        <v>0</v>
      </c>
      <c r="G1015" s="42">
        <f t="shared" si="16"/>
        <v>-2000</v>
      </c>
      <c r="H1015" s="2" t="str">
        <f>VLOOKUP(A1015,'TB MAy'!A:H,8,0)</f>
        <v>Not Applicable</v>
      </c>
    </row>
    <row r="1016" spans="1:8" hidden="1">
      <c r="A1016" s="95" t="s">
        <v>1092</v>
      </c>
      <c r="B1016" s="78"/>
      <c r="C1016" s="78"/>
      <c r="D1016" s="78"/>
      <c r="E1016" s="78"/>
      <c r="F1016" s="96">
        <v>0</v>
      </c>
      <c r="G1016" s="42">
        <f t="shared" si="16"/>
        <v>0</v>
      </c>
      <c r="H1016" s="2" t="str">
        <f>VLOOKUP(A1016,'TB MAy'!A:H,8,0)</f>
        <v>Not Applicable</v>
      </c>
    </row>
    <row r="1017" spans="1:8" hidden="1">
      <c r="A1017" s="95" t="s">
        <v>1381</v>
      </c>
      <c r="B1017" s="78"/>
      <c r="C1017" s="78"/>
      <c r="D1017" s="78"/>
      <c r="E1017" s="78"/>
      <c r="F1017" s="96">
        <v>0</v>
      </c>
      <c r="G1017" s="42">
        <f t="shared" si="16"/>
        <v>0</v>
      </c>
      <c r="H1017" s="2" t="str">
        <f>VLOOKUP(A1017,'TB MAy'!A:H,8,0)</f>
        <v>Not Applicable</v>
      </c>
    </row>
    <row r="1018" spans="1:8" hidden="1">
      <c r="A1018" s="95" t="s">
        <v>425</v>
      </c>
      <c r="B1018" s="78">
        <v>-242915</v>
      </c>
      <c r="C1018" s="78">
        <v>1579234</v>
      </c>
      <c r="D1018" s="78">
        <v>1537486</v>
      </c>
      <c r="E1018" s="78">
        <v>-201167</v>
      </c>
      <c r="F1018" s="96">
        <v>0</v>
      </c>
      <c r="G1018" s="42">
        <f t="shared" si="16"/>
        <v>-201167</v>
      </c>
      <c r="H1018" s="2" t="str">
        <f>VLOOKUP(A1018,'TB MAy'!A:H,8,0)</f>
        <v>Not Applicable</v>
      </c>
    </row>
    <row r="1019" spans="1:8" hidden="1">
      <c r="A1019" s="95" t="s">
        <v>417</v>
      </c>
      <c r="B1019" s="78">
        <v>-204507</v>
      </c>
      <c r="C1019" s="78"/>
      <c r="D1019" s="78"/>
      <c r="E1019" s="78">
        <v>-204507</v>
      </c>
      <c r="F1019" s="96">
        <v>0</v>
      </c>
      <c r="G1019" s="42">
        <f t="shared" si="16"/>
        <v>-204507</v>
      </c>
      <c r="H1019" s="2" t="str">
        <f>VLOOKUP(A1019,'TB MAy'!A:H,8,0)</f>
        <v>Not Applicable</v>
      </c>
    </row>
    <row r="1020" spans="1:8" hidden="1">
      <c r="A1020" s="95" t="s">
        <v>885</v>
      </c>
      <c r="B1020" s="78"/>
      <c r="C1020" s="78">
        <v>176575</v>
      </c>
      <c r="D1020" s="78">
        <v>515695</v>
      </c>
      <c r="E1020" s="78">
        <v>-339120</v>
      </c>
      <c r="F1020" s="96">
        <v>0</v>
      </c>
      <c r="G1020" s="42">
        <f t="shared" si="16"/>
        <v>-339120</v>
      </c>
      <c r="H1020" s="2" t="str">
        <f>VLOOKUP(A1020,'TB MAy'!A:H,8,0)</f>
        <v>Not Applicable</v>
      </c>
    </row>
    <row r="1021" spans="1:8" hidden="1">
      <c r="A1021" s="95" t="s">
        <v>1229</v>
      </c>
      <c r="B1021" s="78"/>
      <c r="C1021" s="78">
        <v>116923</v>
      </c>
      <c r="D1021" s="78">
        <v>116923</v>
      </c>
      <c r="E1021" s="78"/>
      <c r="F1021" s="96">
        <v>0</v>
      </c>
      <c r="G1021" s="42">
        <f t="shared" si="16"/>
        <v>0</v>
      </c>
      <c r="H1021" s="2" t="str">
        <f>VLOOKUP(A1021,'TB MAy'!A:H,8,0)</f>
        <v>Not Applicable</v>
      </c>
    </row>
    <row r="1022" spans="1:8" hidden="1">
      <c r="A1022" s="95" t="s">
        <v>1012</v>
      </c>
      <c r="B1022" s="78">
        <v>-0.93</v>
      </c>
      <c r="C1022" s="78">
        <v>257279</v>
      </c>
      <c r="D1022" s="78">
        <v>257279</v>
      </c>
      <c r="E1022" s="78">
        <v>-0.93</v>
      </c>
      <c r="F1022" s="96">
        <v>0</v>
      </c>
      <c r="G1022" s="42">
        <f t="shared" si="16"/>
        <v>-0.93</v>
      </c>
      <c r="H1022" s="2" t="str">
        <f>VLOOKUP(A1022,'TB MAy'!A:H,8,0)</f>
        <v>Not Applicable</v>
      </c>
    </row>
    <row r="1023" spans="1:8" hidden="1">
      <c r="A1023" s="95" t="s">
        <v>1586</v>
      </c>
      <c r="B1023" s="78"/>
      <c r="C1023" s="78"/>
      <c r="D1023" s="78"/>
      <c r="E1023" s="78"/>
      <c r="F1023" s="96">
        <v>0</v>
      </c>
      <c r="G1023" s="42">
        <f t="shared" si="16"/>
        <v>0</v>
      </c>
      <c r="H1023" s="2" t="s">
        <v>84</v>
      </c>
    </row>
    <row r="1024" spans="1:8" hidden="1">
      <c r="A1024" s="95" t="s">
        <v>403</v>
      </c>
      <c r="B1024" s="78">
        <v>-19994</v>
      </c>
      <c r="C1024" s="78"/>
      <c r="D1024" s="78"/>
      <c r="E1024" s="78">
        <v>-19994</v>
      </c>
      <c r="F1024" s="96">
        <v>0</v>
      </c>
      <c r="G1024" s="42">
        <f t="shared" si="16"/>
        <v>-19994</v>
      </c>
      <c r="H1024" s="2" t="str">
        <f>VLOOKUP(A1024,'TB MAy'!A:H,8,0)</f>
        <v>Not Applicable</v>
      </c>
    </row>
    <row r="1025" spans="1:8" hidden="1">
      <c r="A1025" s="95" t="s">
        <v>393</v>
      </c>
      <c r="B1025" s="78">
        <v>-2631534.48</v>
      </c>
      <c r="C1025" s="78">
        <v>6003192</v>
      </c>
      <c r="D1025" s="78">
        <v>3093098</v>
      </c>
      <c r="E1025" s="78">
        <v>278559.52</v>
      </c>
      <c r="F1025" s="96">
        <v>0</v>
      </c>
      <c r="G1025" s="42">
        <f t="shared" si="16"/>
        <v>278559.52</v>
      </c>
      <c r="H1025" s="2" t="str">
        <f>VLOOKUP(A1025,'TB MAy'!A:H,8,0)</f>
        <v>Not Applicable</v>
      </c>
    </row>
    <row r="1026" spans="1:8" hidden="1">
      <c r="A1026" s="95" t="s">
        <v>1208</v>
      </c>
      <c r="B1026" s="78">
        <v>-435305</v>
      </c>
      <c r="C1026" s="78">
        <v>758785</v>
      </c>
      <c r="D1026" s="78">
        <v>345715</v>
      </c>
      <c r="E1026" s="78">
        <v>-22235</v>
      </c>
      <c r="F1026" s="96">
        <v>0</v>
      </c>
      <c r="G1026" s="42">
        <f t="shared" si="16"/>
        <v>-22235</v>
      </c>
      <c r="H1026" s="2" t="str">
        <f>VLOOKUP(A1026,'TB MAy'!A:H,8,0)</f>
        <v>Not Applicable</v>
      </c>
    </row>
    <row r="1027" spans="1:8" hidden="1">
      <c r="A1027" s="95" t="s">
        <v>1209</v>
      </c>
      <c r="B1027" s="78">
        <v>128</v>
      </c>
      <c r="C1027" s="78">
        <v>29155</v>
      </c>
      <c r="D1027" s="78">
        <v>28910</v>
      </c>
      <c r="E1027" s="78">
        <v>373</v>
      </c>
      <c r="F1027" s="96">
        <v>0</v>
      </c>
      <c r="G1027" s="42">
        <f t="shared" si="16"/>
        <v>373</v>
      </c>
      <c r="H1027" s="2" t="str">
        <f>VLOOKUP(A1027,'TB MAy'!A:H,8,0)</f>
        <v>Not Applicable</v>
      </c>
    </row>
    <row r="1028" spans="1:8" hidden="1">
      <c r="A1028" s="95" t="s">
        <v>376</v>
      </c>
      <c r="B1028" s="78">
        <v>254386.12</v>
      </c>
      <c r="C1028" s="78">
        <v>7847521.3099999996</v>
      </c>
      <c r="D1028" s="78">
        <v>7847523</v>
      </c>
      <c r="E1028" s="78">
        <v>254384.43</v>
      </c>
      <c r="F1028" s="96">
        <v>0</v>
      </c>
      <c r="G1028" s="42">
        <f t="shared" si="16"/>
        <v>254384.43</v>
      </c>
      <c r="H1028" s="2" t="str">
        <f>VLOOKUP(A1028,'TB MAy'!A:H,8,0)</f>
        <v>Not Applicable</v>
      </c>
    </row>
    <row r="1029" spans="1:8" hidden="1">
      <c r="A1029" s="95" t="s">
        <v>906</v>
      </c>
      <c r="B1029" s="78">
        <v>-1.66</v>
      </c>
      <c r="C1029" s="78">
        <v>4153</v>
      </c>
      <c r="D1029" s="78">
        <v>4152.71</v>
      </c>
      <c r="E1029" s="78">
        <v>-1.37</v>
      </c>
      <c r="F1029" s="96">
        <v>0</v>
      </c>
      <c r="G1029" s="42">
        <f t="shared" si="16"/>
        <v>-1.37</v>
      </c>
      <c r="H1029" s="2" t="str">
        <f>VLOOKUP(A1029,'TB MAy'!A:H,8,0)</f>
        <v>Not Applicable</v>
      </c>
    </row>
    <row r="1030" spans="1:8" hidden="1">
      <c r="A1030" s="95" t="s">
        <v>1347</v>
      </c>
      <c r="B1030" s="78"/>
      <c r="C1030" s="78">
        <v>71600</v>
      </c>
      <c r="D1030" s="78">
        <v>71600</v>
      </c>
      <c r="E1030" s="78"/>
      <c r="F1030" s="96">
        <v>0</v>
      </c>
      <c r="G1030" s="42">
        <f t="shared" si="16"/>
        <v>0</v>
      </c>
      <c r="H1030" s="2" t="str">
        <f>VLOOKUP(A1030,'TB MAy'!A:H,8,0)</f>
        <v>Not Applicable</v>
      </c>
    </row>
    <row r="1031" spans="1:8" hidden="1">
      <c r="A1031" s="95" t="s">
        <v>379</v>
      </c>
      <c r="B1031" s="78">
        <v>288419</v>
      </c>
      <c r="C1031" s="78"/>
      <c r="D1031" s="78"/>
      <c r="E1031" s="78">
        <v>288419</v>
      </c>
      <c r="F1031" s="96">
        <v>0</v>
      </c>
      <c r="G1031" s="42">
        <f t="shared" si="16"/>
        <v>288419</v>
      </c>
      <c r="H1031" s="2" t="str">
        <f>VLOOKUP(A1031,'TB MAy'!A:H,8,0)</f>
        <v>Not Applicable</v>
      </c>
    </row>
    <row r="1032" spans="1:8" hidden="1">
      <c r="A1032" s="95" t="s">
        <v>1023</v>
      </c>
      <c r="B1032" s="78"/>
      <c r="C1032" s="78">
        <v>12386</v>
      </c>
      <c r="D1032" s="78">
        <v>12386</v>
      </c>
      <c r="E1032" s="78"/>
      <c r="F1032" s="96">
        <v>0</v>
      </c>
      <c r="G1032" s="42">
        <f t="shared" si="16"/>
        <v>0</v>
      </c>
      <c r="H1032" s="2" t="str">
        <f>VLOOKUP(A1032,'TB MAy'!A:H,8,0)</f>
        <v>Not Applicable</v>
      </c>
    </row>
    <row r="1033" spans="1:8" hidden="1">
      <c r="A1033" s="95" t="s">
        <v>1494</v>
      </c>
      <c r="B1033" s="78"/>
      <c r="C1033" s="78">
        <v>38000</v>
      </c>
      <c r="D1033" s="78">
        <v>38000</v>
      </c>
      <c r="E1033" s="78"/>
      <c r="F1033" s="96">
        <v>0</v>
      </c>
      <c r="G1033" s="42">
        <f t="shared" si="16"/>
        <v>0</v>
      </c>
      <c r="H1033" s="2" t="str">
        <f>VLOOKUP(A1033,'TB MAy'!A:H,8,0)</f>
        <v>Not Applicable</v>
      </c>
    </row>
    <row r="1034" spans="1:8" hidden="1">
      <c r="A1034" s="95" t="s">
        <v>1276</v>
      </c>
      <c r="B1034" s="78"/>
      <c r="C1034" s="78">
        <v>263500</v>
      </c>
      <c r="D1034" s="78">
        <v>263500</v>
      </c>
      <c r="E1034" s="78"/>
      <c r="F1034" s="96">
        <v>0</v>
      </c>
      <c r="G1034" s="42">
        <f t="shared" si="16"/>
        <v>0</v>
      </c>
      <c r="H1034" s="2" t="str">
        <f>VLOOKUP(A1034,'TB MAy'!A:H,8,0)</f>
        <v>Not Applicable</v>
      </c>
    </row>
    <row r="1035" spans="1:8" hidden="1">
      <c r="A1035" s="95" t="s">
        <v>373</v>
      </c>
      <c r="B1035" s="78">
        <v>-514654.86</v>
      </c>
      <c r="C1035" s="78">
        <v>1863640</v>
      </c>
      <c r="D1035" s="78">
        <v>1287274</v>
      </c>
      <c r="E1035" s="78">
        <v>61711.14</v>
      </c>
      <c r="F1035" s="96">
        <v>0</v>
      </c>
      <c r="G1035" s="42">
        <f t="shared" si="16"/>
        <v>61711.14</v>
      </c>
      <c r="H1035" s="2" t="str">
        <f>VLOOKUP(A1035,'TB MAy'!A:H,8,0)</f>
        <v>Not Applicable</v>
      </c>
    </row>
    <row r="1036" spans="1:8" hidden="1">
      <c r="A1036" s="95" t="s">
        <v>374</v>
      </c>
      <c r="B1036" s="78"/>
      <c r="C1036" s="78">
        <v>36105</v>
      </c>
      <c r="D1036" s="78">
        <v>36105</v>
      </c>
      <c r="E1036" s="78"/>
      <c r="F1036" s="96">
        <v>0</v>
      </c>
      <c r="G1036" s="42">
        <f t="shared" si="16"/>
        <v>0</v>
      </c>
      <c r="H1036" s="2" t="str">
        <f>VLOOKUP(A1036,'TB MAy'!A:H,8,0)</f>
        <v>Not Applicable</v>
      </c>
    </row>
    <row r="1037" spans="1:8" hidden="1">
      <c r="A1037" s="95" t="s">
        <v>375</v>
      </c>
      <c r="B1037" s="78">
        <v>0.37</v>
      </c>
      <c r="C1037" s="78"/>
      <c r="D1037" s="78"/>
      <c r="E1037" s="78">
        <v>0.37</v>
      </c>
      <c r="F1037" s="96">
        <v>0</v>
      </c>
      <c r="G1037" s="42">
        <f t="shared" si="16"/>
        <v>0.37</v>
      </c>
      <c r="H1037" s="2" t="str">
        <f>VLOOKUP(A1037,'TB MAy'!A:H,8,0)</f>
        <v>Not Applicable</v>
      </c>
    </row>
    <row r="1038" spans="1:8" hidden="1">
      <c r="A1038" s="95" t="s">
        <v>369</v>
      </c>
      <c r="B1038" s="78"/>
      <c r="C1038" s="78"/>
      <c r="D1038" s="78"/>
      <c r="E1038" s="78"/>
      <c r="F1038" s="96">
        <v>0</v>
      </c>
      <c r="G1038" s="42">
        <f t="shared" si="16"/>
        <v>0</v>
      </c>
      <c r="H1038" s="2" t="str">
        <f>VLOOKUP(A1038,'TB MAy'!A:H,8,0)</f>
        <v>Not Applicable</v>
      </c>
    </row>
    <row r="1039" spans="1:8" hidden="1">
      <c r="A1039" s="95" t="s">
        <v>702</v>
      </c>
      <c r="B1039" s="78">
        <v>48858560.479999997</v>
      </c>
      <c r="C1039" s="78"/>
      <c r="D1039" s="78"/>
      <c r="E1039" s="78">
        <v>48858560.479999997</v>
      </c>
      <c r="F1039" s="96">
        <v>0</v>
      </c>
      <c r="G1039" s="42">
        <f t="shared" si="16"/>
        <v>48858560.479999997</v>
      </c>
      <c r="H1039" s="2" t="str">
        <f>VLOOKUP(A1039,'TB MAy'!A:H,8,0)</f>
        <v>Not Applicable</v>
      </c>
    </row>
    <row r="1040" spans="1:8" hidden="1">
      <c r="A1040" s="95" t="s">
        <v>1210</v>
      </c>
      <c r="B1040" s="78">
        <v>-593752</v>
      </c>
      <c r="C1040" s="78"/>
      <c r="D1040" s="78">
        <v>222657</v>
      </c>
      <c r="E1040" s="78">
        <v>-816409</v>
      </c>
      <c r="F1040" s="96">
        <v>0</v>
      </c>
      <c r="G1040" s="42">
        <f t="shared" si="16"/>
        <v>-816409</v>
      </c>
      <c r="H1040" s="2" t="str">
        <f>VLOOKUP(A1040,'TB MAy'!A:H,8,0)</f>
        <v>Not Applicable</v>
      </c>
    </row>
    <row r="1041" spans="1:8" hidden="1">
      <c r="A1041" s="95" t="s">
        <v>703</v>
      </c>
      <c r="B1041" s="78">
        <v>3176949</v>
      </c>
      <c r="C1041" s="78"/>
      <c r="D1041" s="78"/>
      <c r="E1041" s="78">
        <v>3176949</v>
      </c>
      <c r="F1041" s="96">
        <v>0</v>
      </c>
      <c r="G1041" s="42">
        <f t="shared" si="16"/>
        <v>3176949</v>
      </c>
      <c r="H1041" s="2" t="str">
        <f>VLOOKUP(A1041,'TB MAy'!A:H,8,0)</f>
        <v>Not Applicable</v>
      </c>
    </row>
    <row r="1042" spans="1:8" hidden="1">
      <c r="A1042" s="95" t="s">
        <v>704</v>
      </c>
      <c r="B1042" s="78">
        <v>-279498594.20999998</v>
      </c>
      <c r="C1042" s="78">
        <v>170203814.46000001</v>
      </c>
      <c r="D1042" s="78">
        <v>42516278.590000004</v>
      </c>
      <c r="E1042" s="78">
        <v>-151811058.34</v>
      </c>
      <c r="F1042" s="96">
        <v>0</v>
      </c>
      <c r="G1042" s="42">
        <f t="shared" si="16"/>
        <v>-151811058.34</v>
      </c>
      <c r="H1042" s="2" t="str">
        <f>VLOOKUP(A1042,'TB MAy'!A:H,8,0)</f>
        <v>Not Applicable</v>
      </c>
    </row>
    <row r="1043" spans="1:8" hidden="1">
      <c r="A1043" s="95" t="s">
        <v>695</v>
      </c>
      <c r="B1043" s="78">
        <v>95441710.870000005</v>
      </c>
      <c r="C1043" s="78"/>
      <c r="D1043" s="78"/>
      <c r="E1043" s="78">
        <v>95441710.870000005</v>
      </c>
      <c r="F1043" s="96">
        <v>0</v>
      </c>
      <c r="G1043" s="42">
        <f t="shared" si="16"/>
        <v>95441710.870000005</v>
      </c>
      <c r="H1043" s="2" t="str">
        <f>VLOOKUP(A1043,'TB MAy'!A:H,8,0)</f>
        <v>Not Applicable</v>
      </c>
    </row>
    <row r="1044" spans="1:8" hidden="1">
      <c r="A1044" s="95" t="s">
        <v>689</v>
      </c>
      <c r="B1044" s="78">
        <v>1052208056.48</v>
      </c>
      <c r="C1044" s="78">
        <v>205618507</v>
      </c>
      <c r="D1044" s="78"/>
      <c r="E1044" s="78">
        <v>1257826563.48</v>
      </c>
      <c r="F1044" s="96">
        <v>0</v>
      </c>
      <c r="G1044" s="42">
        <f t="shared" si="16"/>
        <v>1257826563.48</v>
      </c>
      <c r="H1044" s="2" t="str">
        <f>VLOOKUP(A1044,'TB MAy'!A:H,8,0)</f>
        <v>Not Applicable</v>
      </c>
    </row>
    <row r="1045" spans="1:8" hidden="1">
      <c r="A1045" s="95" t="s">
        <v>690</v>
      </c>
      <c r="B1045" s="78">
        <v>805380592</v>
      </c>
      <c r="C1045" s="78"/>
      <c r="D1045" s="78"/>
      <c r="E1045" s="78">
        <v>805380592</v>
      </c>
      <c r="F1045" s="96">
        <v>0</v>
      </c>
      <c r="G1045" s="42">
        <f t="shared" si="16"/>
        <v>805380592</v>
      </c>
      <c r="H1045" s="2" t="str">
        <f>VLOOKUP(A1045,'TB MAy'!A:H,8,0)</f>
        <v>Not Applicable</v>
      </c>
    </row>
    <row r="1046" spans="1:8" hidden="1">
      <c r="A1046" s="95" t="s">
        <v>691</v>
      </c>
      <c r="B1046" s="78">
        <v>371618907.70999998</v>
      </c>
      <c r="C1046" s="78"/>
      <c r="D1046" s="78"/>
      <c r="E1046" s="78">
        <v>371618907.70999998</v>
      </c>
      <c r="F1046" s="96">
        <v>0</v>
      </c>
      <c r="G1046" s="42">
        <f t="shared" si="16"/>
        <v>371618907.70999998</v>
      </c>
      <c r="H1046" s="2" t="str">
        <f>VLOOKUP(A1046,'TB MAy'!A:H,8,0)</f>
        <v>Not Applicable</v>
      </c>
    </row>
    <row r="1047" spans="1:8" hidden="1">
      <c r="A1047" s="95" t="s">
        <v>692</v>
      </c>
      <c r="B1047" s="78">
        <v>180922430</v>
      </c>
      <c r="C1047" s="78"/>
      <c r="D1047" s="78"/>
      <c r="E1047" s="78">
        <v>180922430</v>
      </c>
      <c r="F1047" s="96">
        <v>0</v>
      </c>
      <c r="G1047" s="42">
        <f t="shared" si="16"/>
        <v>180922430</v>
      </c>
      <c r="H1047" s="2" t="str">
        <f>VLOOKUP(A1047,'TB MAy'!A:H,8,0)</f>
        <v>Not Applicable</v>
      </c>
    </row>
    <row r="1048" spans="1:8" hidden="1">
      <c r="A1048" s="95" t="s">
        <v>1073</v>
      </c>
      <c r="B1048" s="78">
        <v>-4259112</v>
      </c>
      <c r="C1048" s="78">
        <v>139577</v>
      </c>
      <c r="D1048" s="78"/>
      <c r="E1048" s="78">
        <v>-4119535</v>
      </c>
      <c r="F1048" s="96">
        <v>0</v>
      </c>
      <c r="G1048" s="42">
        <f t="shared" si="16"/>
        <v>-4119535</v>
      </c>
      <c r="H1048" s="2" t="str">
        <f>VLOOKUP(A1048,'TB MAy'!A:H,8,0)</f>
        <v>Not Applicable</v>
      </c>
    </row>
    <row r="1049" spans="1:8" hidden="1">
      <c r="A1049" s="95" t="s">
        <v>605</v>
      </c>
      <c r="B1049" s="78"/>
      <c r="C1049" s="78"/>
      <c r="D1049" s="78"/>
      <c r="E1049" s="78"/>
      <c r="F1049" s="96">
        <v>0</v>
      </c>
      <c r="G1049" s="42">
        <f t="shared" si="16"/>
        <v>0</v>
      </c>
      <c r="H1049" s="2" t="str">
        <f>VLOOKUP(A1049,'TB MAy'!A:H,8,0)</f>
        <v>Not Applicable</v>
      </c>
    </row>
    <row r="1050" spans="1:8" hidden="1">
      <c r="A1050" s="95" t="s">
        <v>606</v>
      </c>
      <c r="B1050" s="78"/>
      <c r="C1050" s="78"/>
      <c r="D1050" s="78"/>
      <c r="E1050" s="78"/>
      <c r="F1050" s="96">
        <v>0</v>
      </c>
      <c r="G1050" s="42">
        <f t="shared" si="16"/>
        <v>0</v>
      </c>
      <c r="H1050" s="2" t="str">
        <f>VLOOKUP(A1050,'TB MAy'!A:H,8,0)</f>
        <v>Not Applicable</v>
      </c>
    </row>
    <row r="1051" spans="1:8" hidden="1">
      <c r="A1051" s="95" t="s">
        <v>607</v>
      </c>
      <c r="B1051" s="78">
        <v>-61818.42</v>
      </c>
      <c r="C1051" s="78">
        <v>61818.42</v>
      </c>
      <c r="D1051" s="78"/>
      <c r="E1051" s="78"/>
      <c r="F1051" s="96">
        <v>0</v>
      </c>
      <c r="G1051" s="42">
        <f t="shared" si="16"/>
        <v>0</v>
      </c>
      <c r="H1051" s="2" t="str">
        <f>VLOOKUP(A1051,'TB MAy'!A:H,8,0)</f>
        <v>Not Applicable</v>
      </c>
    </row>
    <row r="1052" spans="1:8" hidden="1">
      <c r="A1052" s="95" t="s">
        <v>608</v>
      </c>
      <c r="B1052" s="78"/>
      <c r="C1052" s="78"/>
      <c r="D1052" s="78"/>
      <c r="E1052" s="78"/>
      <c r="F1052" s="96">
        <v>0</v>
      </c>
      <c r="G1052" s="42">
        <f t="shared" si="16"/>
        <v>0</v>
      </c>
      <c r="H1052" s="2" t="str">
        <f>VLOOKUP(A1052,'TB MAy'!A:H,8,0)</f>
        <v>Not Applicable</v>
      </c>
    </row>
    <row r="1053" spans="1:8" hidden="1">
      <c r="A1053" s="95" t="s">
        <v>1074</v>
      </c>
      <c r="B1053" s="78">
        <v>185980265.36000001</v>
      </c>
      <c r="C1053" s="78"/>
      <c r="D1053" s="78"/>
      <c r="E1053" s="78">
        <v>185980265.36000001</v>
      </c>
      <c r="F1053" s="96">
        <v>0</v>
      </c>
      <c r="G1053" s="42">
        <f t="shared" si="16"/>
        <v>185980265.36000001</v>
      </c>
      <c r="H1053" s="2" t="str">
        <f>VLOOKUP(A1053,'TB MAy'!A:H,8,0)</f>
        <v>Not Applicable</v>
      </c>
    </row>
    <row r="1054" spans="1:8" hidden="1">
      <c r="A1054" s="95" t="s">
        <v>993</v>
      </c>
      <c r="B1054" s="78">
        <v>895564656.16999996</v>
      </c>
      <c r="C1054" s="78"/>
      <c r="D1054" s="78"/>
      <c r="E1054" s="78">
        <v>895564656.16999996</v>
      </c>
      <c r="F1054" s="96">
        <v>0</v>
      </c>
      <c r="G1054" s="42">
        <f t="shared" si="16"/>
        <v>895564656.16999996</v>
      </c>
      <c r="H1054" s="2" t="str">
        <f>VLOOKUP(A1054,'TB MAy'!A:H,8,0)</f>
        <v>Not Applicable</v>
      </c>
    </row>
    <row r="1055" spans="1:8" hidden="1">
      <c r="A1055" s="95" t="s">
        <v>693</v>
      </c>
      <c r="B1055" s="78">
        <v>5323173.38</v>
      </c>
      <c r="C1055" s="78"/>
      <c r="D1055" s="78"/>
      <c r="E1055" s="78">
        <v>5323173.38</v>
      </c>
      <c r="F1055" s="96">
        <v>0</v>
      </c>
      <c r="G1055" s="42">
        <f t="shared" si="16"/>
        <v>5323173.38</v>
      </c>
      <c r="H1055" s="2" t="str">
        <f>VLOOKUP(A1055,'TB MAy'!A:H,8,0)</f>
        <v>Not Applicable</v>
      </c>
    </row>
    <row r="1056" spans="1:8" hidden="1">
      <c r="A1056" s="95" t="s">
        <v>694</v>
      </c>
      <c r="B1056" s="78">
        <v>30832921.030000001</v>
      </c>
      <c r="C1056" s="78"/>
      <c r="D1056" s="78"/>
      <c r="E1056" s="78">
        <v>30832921.030000001</v>
      </c>
      <c r="F1056" s="96">
        <v>0</v>
      </c>
      <c r="G1056" s="42">
        <f t="shared" si="16"/>
        <v>30832921.030000001</v>
      </c>
      <c r="H1056" s="2" t="str">
        <f>VLOOKUP(A1056,'TB MAy'!A:H,8,0)</f>
        <v>Not Applicable</v>
      </c>
    </row>
    <row r="1057" spans="1:8" hidden="1">
      <c r="A1057" s="95" t="s">
        <v>684</v>
      </c>
      <c r="B1057" s="78">
        <v>-47435515.340000004</v>
      </c>
      <c r="C1057" s="78">
        <v>12510769.17</v>
      </c>
      <c r="D1057" s="78">
        <v>10181221</v>
      </c>
      <c r="E1057" s="78">
        <v>-45105967.170000002</v>
      </c>
      <c r="F1057" s="96">
        <v>0</v>
      </c>
      <c r="G1057" s="42">
        <f t="shared" ref="G1057:G1073" si="17">+E1057+F1057</f>
        <v>-45105967.170000002</v>
      </c>
      <c r="H1057" s="2" t="str">
        <f>VLOOKUP(A1057,'TB MAy'!A:H,8,0)</f>
        <v>Not Applicable</v>
      </c>
    </row>
    <row r="1058" spans="1:8" hidden="1">
      <c r="A1058" s="95" t="s">
        <v>685</v>
      </c>
      <c r="B1058" s="78"/>
      <c r="C1058" s="78"/>
      <c r="D1058" s="78"/>
      <c r="E1058" s="78"/>
      <c r="F1058" s="96">
        <v>0</v>
      </c>
      <c r="G1058" s="42">
        <f t="shared" si="17"/>
        <v>0</v>
      </c>
      <c r="H1058" s="2" t="str">
        <f>VLOOKUP(A1058,'TB MAy'!A:H,8,0)</f>
        <v>Not Applicable</v>
      </c>
    </row>
    <row r="1059" spans="1:8" hidden="1">
      <c r="A1059" s="95" t="s">
        <v>686</v>
      </c>
      <c r="B1059" s="78"/>
      <c r="C1059" s="78"/>
      <c r="D1059" s="78"/>
      <c r="E1059" s="78"/>
      <c r="F1059" s="96">
        <v>0</v>
      </c>
      <c r="G1059" s="42">
        <f t="shared" si="17"/>
        <v>0</v>
      </c>
      <c r="H1059" s="2" t="str">
        <f>VLOOKUP(A1059,'TB MAy'!A:H,8,0)</f>
        <v>Not Applicable</v>
      </c>
    </row>
    <row r="1060" spans="1:8" hidden="1">
      <c r="A1060" s="95" t="s">
        <v>443</v>
      </c>
      <c r="B1060" s="78"/>
      <c r="C1060" s="78">
        <v>3242235.64</v>
      </c>
      <c r="D1060" s="78">
        <v>8443143.8100000005</v>
      </c>
      <c r="E1060" s="78">
        <v>-5200908.17</v>
      </c>
      <c r="F1060" s="96">
        <v>0</v>
      </c>
      <c r="G1060" s="42">
        <f t="shared" si="17"/>
        <v>-5200908.17</v>
      </c>
      <c r="H1060" s="2" t="str">
        <f>VLOOKUP(A1060,'TB MAy'!A:H,8,0)</f>
        <v>Not Applicable</v>
      </c>
    </row>
    <row r="1061" spans="1:8" hidden="1">
      <c r="A1061" s="95" t="s">
        <v>444</v>
      </c>
      <c r="B1061" s="78"/>
      <c r="C1061" s="78"/>
      <c r="D1061" s="78">
        <v>6890166.7300000004</v>
      </c>
      <c r="E1061" s="78">
        <v>-6890166.7300000004</v>
      </c>
      <c r="F1061" s="96">
        <v>0</v>
      </c>
      <c r="G1061" s="42">
        <f t="shared" si="17"/>
        <v>-6890166.7300000004</v>
      </c>
      <c r="H1061" s="2" t="str">
        <f>VLOOKUP(A1061,'TB MAy'!A:H,8,0)</f>
        <v>Not Applicable</v>
      </c>
    </row>
    <row r="1062" spans="1:8" hidden="1">
      <c r="A1062" s="95" t="s">
        <v>1014</v>
      </c>
      <c r="B1062" s="78">
        <v>-10682927.6</v>
      </c>
      <c r="C1062" s="78">
        <v>16899543.449999999</v>
      </c>
      <c r="D1062" s="78">
        <v>15646168</v>
      </c>
      <c r="E1062" s="78">
        <v>-9429552.1500000004</v>
      </c>
      <c r="F1062" s="96">
        <v>0</v>
      </c>
      <c r="G1062" s="42">
        <f t="shared" si="17"/>
        <v>-9429552.1500000004</v>
      </c>
      <c r="H1062" s="2" t="str">
        <f>VLOOKUP(A1062,'TB MAy'!A:H,8,0)</f>
        <v>Not Applicable</v>
      </c>
    </row>
    <row r="1063" spans="1:8" hidden="1">
      <c r="A1063" s="95" t="s">
        <v>445</v>
      </c>
      <c r="B1063" s="78">
        <v>-3270891.23</v>
      </c>
      <c r="C1063" s="78"/>
      <c r="D1063" s="78"/>
      <c r="E1063" s="78">
        <v>-3270891.23</v>
      </c>
      <c r="F1063" s="96">
        <v>0</v>
      </c>
      <c r="G1063" s="42">
        <f t="shared" si="17"/>
        <v>-3270891.23</v>
      </c>
      <c r="H1063" s="2" t="str">
        <f>VLOOKUP(A1063,'TB MAy'!A:H,8,0)</f>
        <v>Not Applicable</v>
      </c>
    </row>
    <row r="1064" spans="1:8" hidden="1">
      <c r="A1064" s="95" t="s">
        <v>446</v>
      </c>
      <c r="B1064" s="78">
        <v>12143287.42</v>
      </c>
      <c r="C1064" s="78"/>
      <c r="D1064" s="78"/>
      <c r="E1064" s="78">
        <v>12143287.42</v>
      </c>
      <c r="F1064" s="96">
        <v>0</v>
      </c>
      <c r="G1064" s="42">
        <f t="shared" si="17"/>
        <v>12143287.42</v>
      </c>
      <c r="H1064" s="2" t="str">
        <f>VLOOKUP(A1064,'TB MAy'!A:H,8,0)</f>
        <v>Not Applicable</v>
      </c>
    </row>
    <row r="1065" spans="1:8" hidden="1">
      <c r="A1065" s="95" t="s">
        <v>1540</v>
      </c>
      <c r="B1065" s="78"/>
      <c r="C1065" s="78"/>
      <c r="D1065" s="78"/>
      <c r="E1065" s="78"/>
      <c r="F1065" s="96">
        <v>0</v>
      </c>
      <c r="G1065" s="42">
        <f t="shared" si="17"/>
        <v>0</v>
      </c>
      <c r="H1065" s="2" t="str">
        <f>VLOOKUP(A1065,'TB MAy'!A:H,8,0)</f>
        <v>Not Applicable</v>
      </c>
    </row>
    <row r="1066" spans="1:8" hidden="1">
      <c r="A1066" s="95" t="s">
        <v>1024</v>
      </c>
      <c r="B1066" s="78">
        <v>-40751393.149999999</v>
      </c>
      <c r="C1066" s="78">
        <v>43035402.25</v>
      </c>
      <c r="D1066" s="78">
        <v>54845308.130000003</v>
      </c>
      <c r="E1066" s="78">
        <v>-52561299.030000001</v>
      </c>
      <c r="F1066" s="96">
        <v>0</v>
      </c>
      <c r="G1066" s="42">
        <f t="shared" si="17"/>
        <v>-52561299.030000001</v>
      </c>
      <c r="H1066" s="2" t="str">
        <f>VLOOKUP(A1066,'TB MAy'!A:H,8,0)</f>
        <v>Not Applicable</v>
      </c>
    </row>
    <row r="1067" spans="1:8" hidden="1">
      <c r="A1067" s="95" t="s">
        <v>503</v>
      </c>
      <c r="B1067" s="78">
        <v>64703271.210000001</v>
      </c>
      <c r="C1067" s="78"/>
      <c r="D1067" s="78"/>
      <c r="E1067" s="78">
        <v>64703271.210000001</v>
      </c>
      <c r="F1067" s="96">
        <v>0</v>
      </c>
      <c r="G1067" s="42">
        <f t="shared" si="17"/>
        <v>64703271.210000001</v>
      </c>
      <c r="H1067" s="2" t="str">
        <f>VLOOKUP(A1067,'TB MAy'!A:H,8,0)</f>
        <v>Not Applicable</v>
      </c>
    </row>
    <row r="1068" spans="1:8" hidden="1">
      <c r="A1068" s="95" t="s">
        <v>496</v>
      </c>
      <c r="B1068" s="78">
        <v>-6438533</v>
      </c>
      <c r="C1068" s="78"/>
      <c r="D1068" s="78"/>
      <c r="E1068" s="78">
        <v>-6438533</v>
      </c>
      <c r="F1068" s="96">
        <v>0</v>
      </c>
      <c r="G1068" s="42">
        <f t="shared" si="17"/>
        <v>-6438533</v>
      </c>
      <c r="H1068" s="2" t="str">
        <f>VLOOKUP(A1068,'TB MAy'!A:H,8,0)</f>
        <v>Not Applicable</v>
      </c>
    </row>
    <row r="1069" spans="1:8" hidden="1">
      <c r="A1069" s="95" t="s">
        <v>488</v>
      </c>
      <c r="B1069" s="78">
        <v>-173498418.13</v>
      </c>
      <c r="C1069" s="78"/>
      <c r="D1069" s="78"/>
      <c r="E1069" s="78">
        <v>-173498418.13</v>
      </c>
      <c r="F1069" s="96">
        <v>0</v>
      </c>
      <c r="G1069" s="42">
        <f t="shared" si="17"/>
        <v>-173498418.13</v>
      </c>
      <c r="H1069" s="2" t="str">
        <f>VLOOKUP(A1069,'TB MAy'!A:H,8,0)</f>
        <v>Not Applicable</v>
      </c>
    </row>
    <row r="1070" spans="1:8" hidden="1">
      <c r="A1070" s="95" t="s">
        <v>489</v>
      </c>
      <c r="B1070" s="78">
        <v>-683479.05</v>
      </c>
      <c r="C1070" s="78">
        <v>651344.05000000005</v>
      </c>
      <c r="D1070" s="78"/>
      <c r="E1070" s="78">
        <v>-32135</v>
      </c>
      <c r="F1070" s="96">
        <v>0</v>
      </c>
      <c r="G1070" s="42">
        <f t="shared" si="17"/>
        <v>-32135</v>
      </c>
      <c r="H1070" s="2" t="str">
        <f>VLOOKUP(A1070,'TB MAy'!A:H,8,0)</f>
        <v>Not Applicable</v>
      </c>
    </row>
    <row r="1071" spans="1:8" hidden="1">
      <c r="A1071" s="95" t="s">
        <v>490</v>
      </c>
      <c r="B1071" s="78">
        <v>162669</v>
      </c>
      <c r="C1071" s="78"/>
      <c r="D1071" s="78"/>
      <c r="E1071" s="78">
        <v>162669</v>
      </c>
      <c r="F1071" s="96">
        <v>0</v>
      </c>
      <c r="G1071" s="42">
        <f t="shared" si="17"/>
        <v>162669</v>
      </c>
      <c r="H1071" s="2" t="str">
        <f>VLOOKUP(A1071,'TB MAy'!A:H,8,0)</f>
        <v>Not Applicable</v>
      </c>
    </row>
    <row r="1072" spans="1:8" hidden="1">
      <c r="A1072" s="95" t="s">
        <v>491</v>
      </c>
      <c r="B1072" s="78">
        <v>-10188.9</v>
      </c>
      <c r="C1072" s="78"/>
      <c r="D1072" s="78"/>
      <c r="E1072" s="78">
        <v>-10188.9</v>
      </c>
      <c r="F1072" s="96">
        <v>0</v>
      </c>
      <c r="G1072" s="42">
        <f t="shared" si="17"/>
        <v>-10188.9</v>
      </c>
      <c r="H1072" s="2" t="str">
        <f>VLOOKUP(A1072,'TB MAy'!A:H,8,0)</f>
        <v>Not Applicable</v>
      </c>
    </row>
    <row r="1073" spans="1:8" hidden="1">
      <c r="A1073" s="95" t="s">
        <v>492</v>
      </c>
      <c r="B1073" s="78">
        <v>-1425427</v>
      </c>
      <c r="C1073" s="78"/>
      <c r="D1073" s="78"/>
      <c r="E1073" s="78">
        <v>-1425427</v>
      </c>
      <c r="F1073" s="96">
        <v>0</v>
      </c>
      <c r="G1073" s="42">
        <f t="shared" si="17"/>
        <v>-1425427</v>
      </c>
      <c r="H1073" s="2" t="str">
        <f>VLOOKUP(A1073,'TB MAy'!A:H,8,0)</f>
        <v>Not Applicable</v>
      </c>
    </row>
    <row r="1074" spans="1:8" hidden="1">
      <c r="A1074" s="95" t="s">
        <v>751</v>
      </c>
      <c r="B1074" s="78"/>
      <c r="C1074" s="78"/>
      <c r="D1074" s="78">
        <v>29818794.559999999</v>
      </c>
      <c r="E1074" s="78">
        <v>-29818794.559999999</v>
      </c>
      <c r="F1074" s="96">
        <v>0</v>
      </c>
      <c r="G1074" s="42">
        <f t="shared" ref="G1074:G1105" si="18">+E1074+F1074</f>
        <v>-29818794.559999999</v>
      </c>
      <c r="H1074" s="2" t="str">
        <f>VLOOKUP(A1074,'TB MAy'!A:H,8,0)</f>
        <v>Sale of Finished Goods</v>
      </c>
    </row>
    <row r="1075" spans="1:8" hidden="1">
      <c r="A1075" s="95" t="s">
        <v>749</v>
      </c>
      <c r="B1075" s="78"/>
      <c r="C1075" s="78"/>
      <c r="D1075" s="78">
        <v>3970108</v>
      </c>
      <c r="E1075" s="78">
        <v>-3970108</v>
      </c>
      <c r="F1075" s="96">
        <v>0</v>
      </c>
      <c r="G1075" s="42">
        <f t="shared" si="18"/>
        <v>-3970108</v>
      </c>
      <c r="H1075" s="2" t="str">
        <f>VLOOKUP(A1075,'TB MAy'!A:H,8,0)</f>
        <v>Sale of Finished Goods</v>
      </c>
    </row>
    <row r="1076" spans="1:8" hidden="1">
      <c r="A1076" s="95" t="s">
        <v>752</v>
      </c>
      <c r="B1076" s="78"/>
      <c r="C1076" s="78">
        <v>176400</v>
      </c>
      <c r="D1076" s="78">
        <v>173586447.44</v>
      </c>
      <c r="E1076" s="78">
        <v>-173410047.44</v>
      </c>
      <c r="F1076" s="96">
        <v>0</v>
      </c>
      <c r="G1076" s="42">
        <f t="shared" si="18"/>
        <v>-173410047.44</v>
      </c>
      <c r="H1076" s="2" t="str">
        <f>VLOOKUP(A1076,'TB MAy'!A:H,8,0)</f>
        <v>Sale of Finished Goods</v>
      </c>
    </row>
    <row r="1077" spans="1:8" hidden="1">
      <c r="A1077" s="95" t="s">
        <v>747</v>
      </c>
      <c r="B1077" s="78"/>
      <c r="C1077" s="78"/>
      <c r="D1077" s="78">
        <v>106076820.53</v>
      </c>
      <c r="E1077" s="78">
        <v>-106076820.53</v>
      </c>
      <c r="F1077" s="96">
        <v>0</v>
      </c>
      <c r="G1077" s="42">
        <f t="shared" si="18"/>
        <v>-106076820.53</v>
      </c>
      <c r="H1077" s="2" t="str">
        <f>VLOOKUP(A1077,'TB MAy'!A:H,8,0)</f>
        <v>Sale of Finished Goods</v>
      </c>
    </row>
    <row r="1078" spans="1:8" hidden="1">
      <c r="A1078" s="95" t="s">
        <v>945</v>
      </c>
      <c r="B1078" s="78"/>
      <c r="C1078" s="78"/>
      <c r="D1078" s="78">
        <v>22155565.600000001</v>
      </c>
      <c r="E1078" s="78">
        <v>-22155565.600000001</v>
      </c>
      <c r="F1078" s="96">
        <v>0</v>
      </c>
      <c r="G1078" s="42">
        <f t="shared" si="18"/>
        <v>-22155565.600000001</v>
      </c>
      <c r="H1078" s="8" t="s">
        <v>4</v>
      </c>
    </row>
    <row r="1079" spans="1:8" hidden="1">
      <c r="A1079" s="95" t="s">
        <v>746</v>
      </c>
      <c r="B1079" s="78"/>
      <c r="C1079" s="78"/>
      <c r="D1079" s="78">
        <v>31324667.77</v>
      </c>
      <c r="E1079" s="78">
        <v>-31324667.77</v>
      </c>
      <c r="F1079" s="96">
        <v>0</v>
      </c>
      <c r="G1079" s="42">
        <f t="shared" si="18"/>
        <v>-31324667.77</v>
      </c>
      <c r="H1079" s="2" t="str">
        <f>VLOOKUP(A1079,'TB MAy'!A:H,8,0)</f>
        <v>Income from Jobwork charges</v>
      </c>
    </row>
    <row r="1080" spans="1:8" hidden="1">
      <c r="A1080" s="95" t="s">
        <v>743</v>
      </c>
      <c r="B1080" s="78"/>
      <c r="C1080" s="78"/>
      <c r="D1080" s="78">
        <v>24954291.800000001</v>
      </c>
      <c r="E1080" s="78">
        <v>-24954291.800000001</v>
      </c>
      <c r="F1080" s="96">
        <v>0</v>
      </c>
      <c r="G1080" s="42">
        <f t="shared" si="18"/>
        <v>-24954291.800000001</v>
      </c>
      <c r="H1080" s="2" t="str">
        <f>VLOOKUP(A1080,'TB MAy'!A:H,8,0)</f>
        <v>Sale of Finished Goods</v>
      </c>
    </row>
    <row r="1081" spans="1:8" hidden="1">
      <c r="A1081" s="95" t="s">
        <v>932</v>
      </c>
      <c r="B1081" s="78"/>
      <c r="C1081" s="78"/>
      <c r="D1081" s="78">
        <v>4485725.0599999996</v>
      </c>
      <c r="E1081" s="78">
        <v>-4485725.0599999996</v>
      </c>
      <c r="F1081" s="96">
        <v>0</v>
      </c>
      <c r="G1081" s="42">
        <f t="shared" si="18"/>
        <v>-4485725.0599999996</v>
      </c>
      <c r="H1081" s="8" t="s">
        <v>6</v>
      </c>
    </row>
    <row r="1082" spans="1:8" hidden="1">
      <c r="A1082" s="95" t="s">
        <v>1108</v>
      </c>
      <c r="B1082" s="78"/>
      <c r="C1082" s="78"/>
      <c r="D1082" s="78">
        <v>394739.88</v>
      </c>
      <c r="E1082" s="78">
        <v>-394739.88</v>
      </c>
      <c r="F1082" s="96">
        <v>0</v>
      </c>
      <c r="G1082" s="42">
        <f t="shared" si="18"/>
        <v>-394739.88</v>
      </c>
      <c r="H1082" s="8" t="s">
        <v>6</v>
      </c>
    </row>
    <row r="1083" spans="1:8" hidden="1">
      <c r="A1083" s="95" t="s">
        <v>1107</v>
      </c>
      <c r="B1083" s="78"/>
      <c r="C1083" s="78"/>
      <c r="D1083" s="78">
        <v>1274150.2</v>
      </c>
      <c r="E1083" s="78">
        <v>-1274150.2</v>
      </c>
      <c r="F1083" s="96">
        <v>0</v>
      </c>
      <c r="G1083" s="42">
        <f t="shared" si="18"/>
        <v>-1274150.2</v>
      </c>
      <c r="H1083" s="8" t="s">
        <v>6</v>
      </c>
    </row>
    <row r="1084" spans="1:8" hidden="1">
      <c r="A1084" s="95" t="s">
        <v>753</v>
      </c>
      <c r="B1084" s="78"/>
      <c r="C1084" s="78"/>
      <c r="D1084" s="78">
        <v>26369689.219999999</v>
      </c>
      <c r="E1084" s="78">
        <v>-26369689.219999999</v>
      </c>
      <c r="F1084" s="96">
        <v>0</v>
      </c>
      <c r="G1084" s="42">
        <f t="shared" si="18"/>
        <v>-26369689.219999999</v>
      </c>
      <c r="H1084" s="8" t="s">
        <v>6</v>
      </c>
    </row>
    <row r="1085" spans="1:8" hidden="1">
      <c r="A1085" s="95" t="s">
        <v>20</v>
      </c>
      <c r="B1085" s="78"/>
      <c r="C1085" s="78"/>
      <c r="D1085" s="78">
        <v>349850</v>
      </c>
      <c r="E1085" s="78">
        <v>-349850</v>
      </c>
      <c r="F1085" s="96">
        <v>0</v>
      </c>
      <c r="G1085" s="42">
        <f t="shared" si="18"/>
        <v>-349850</v>
      </c>
      <c r="H1085" s="2" t="str">
        <f>VLOOKUP(A1085,'TB MAy'!A:H,8,0)</f>
        <v>Sales - Waste &amp; Scrape</v>
      </c>
    </row>
    <row r="1086" spans="1:8" hidden="1">
      <c r="A1086" s="95" t="s">
        <v>745</v>
      </c>
      <c r="B1086" s="78"/>
      <c r="C1086" s="78"/>
      <c r="D1086" s="78">
        <v>3798805</v>
      </c>
      <c r="E1086" s="78">
        <v>-3798805</v>
      </c>
      <c r="F1086" s="96">
        <v>0</v>
      </c>
      <c r="G1086" s="42">
        <f t="shared" si="18"/>
        <v>-3798805</v>
      </c>
      <c r="H1086" s="2" t="str">
        <f>VLOOKUP(A1086,'TB MAy'!A:H,8,0)</f>
        <v>Wind mill income</v>
      </c>
    </row>
    <row r="1087" spans="1:8" hidden="1">
      <c r="A1087" s="95" t="s">
        <v>1587</v>
      </c>
      <c r="B1087" s="78"/>
      <c r="C1087" s="78">
        <v>850830</v>
      </c>
      <c r="D1087" s="78"/>
      <c r="E1087" s="78">
        <v>850830</v>
      </c>
      <c r="F1087" s="96">
        <v>0</v>
      </c>
      <c r="G1087" s="42">
        <f t="shared" si="18"/>
        <v>850830</v>
      </c>
      <c r="H1087" s="2" t="s">
        <v>84</v>
      </c>
    </row>
    <row r="1088" spans="1:8" hidden="1">
      <c r="A1088" s="95" t="s">
        <v>828</v>
      </c>
      <c r="B1088" s="78"/>
      <c r="C1088" s="78">
        <v>165397.1</v>
      </c>
      <c r="D1088" s="78">
        <v>5687876.5099999998</v>
      </c>
      <c r="E1088" s="78">
        <v>-5522479.4100000001</v>
      </c>
      <c r="F1088" s="96">
        <v>0</v>
      </c>
      <c r="G1088" s="42">
        <f t="shared" si="18"/>
        <v>-5522479.4100000001</v>
      </c>
      <c r="H1088" s="2" t="str">
        <f>VLOOKUP(A1088,'TB MAy'!A:H,8,0)</f>
        <v>Add: Purchase expenses</v>
      </c>
    </row>
    <row r="1089" spans="1:8" hidden="1">
      <c r="A1089" s="95" t="s">
        <v>780</v>
      </c>
      <c r="B1089" s="78"/>
      <c r="C1089" s="78">
        <v>250</v>
      </c>
      <c r="D1089" s="78"/>
      <c r="E1089" s="78">
        <v>250</v>
      </c>
      <c r="F1089" s="96">
        <v>0</v>
      </c>
      <c r="G1089" s="42">
        <f t="shared" si="18"/>
        <v>250</v>
      </c>
      <c r="H1089" s="2" t="str">
        <f>VLOOKUP(A1089,'TB MAy'!A:H,8,0)</f>
        <v>Add: Purchase expenses</v>
      </c>
    </row>
    <row r="1090" spans="1:8" hidden="1">
      <c r="A1090" s="95" t="s">
        <v>764</v>
      </c>
      <c r="B1090" s="78"/>
      <c r="C1090" s="78">
        <v>89.66</v>
      </c>
      <c r="D1090" s="78">
        <v>42.48</v>
      </c>
      <c r="E1090" s="78">
        <v>47.18</v>
      </c>
      <c r="F1090" s="96">
        <v>0</v>
      </c>
      <c r="G1090" s="42">
        <f t="shared" si="18"/>
        <v>47.18</v>
      </c>
      <c r="H1090" s="21" t="s">
        <v>13</v>
      </c>
    </row>
    <row r="1091" spans="1:8" hidden="1">
      <c r="A1091" s="95" t="s">
        <v>823</v>
      </c>
      <c r="B1091" s="78"/>
      <c r="C1091" s="78">
        <v>66534.399999999994</v>
      </c>
      <c r="D1091" s="78">
        <v>36014</v>
      </c>
      <c r="E1091" s="78">
        <v>30520.400000000001</v>
      </c>
      <c r="F1091" s="96">
        <v>0</v>
      </c>
      <c r="G1091" s="42">
        <f t="shared" si="18"/>
        <v>30520.400000000001</v>
      </c>
      <c r="H1091" s="21" t="s">
        <v>13</v>
      </c>
    </row>
    <row r="1092" spans="1:8" hidden="1">
      <c r="A1092" s="95" t="s">
        <v>808</v>
      </c>
      <c r="B1092" s="78"/>
      <c r="C1092" s="78">
        <v>267652</v>
      </c>
      <c r="D1092" s="78"/>
      <c r="E1092" s="78">
        <v>267652</v>
      </c>
      <c r="F1092" s="96">
        <v>0</v>
      </c>
      <c r="G1092" s="42">
        <f t="shared" si="18"/>
        <v>267652</v>
      </c>
      <c r="H1092" s="2" t="str">
        <f>VLOOKUP(A1092,'TB MAy'!A:H,8,0)</f>
        <v>Add: Purchase expenses</v>
      </c>
    </row>
    <row r="1093" spans="1:8" hidden="1">
      <c r="A1093" s="95" t="s">
        <v>809</v>
      </c>
      <c r="B1093" s="78"/>
      <c r="C1093" s="78">
        <v>95587.04</v>
      </c>
      <c r="D1093" s="78">
        <v>16500</v>
      </c>
      <c r="E1093" s="78">
        <v>79087.039999999994</v>
      </c>
      <c r="F1093" s="96">
        <v>0</v>
      </c>
      <c r="G1093" s="42">
        <f t="shared" si="18"/>
        <v>79087.039999999994</v>
      </c>
      <c r="H1093" s="2" t="str">
        <f>VLOOKUP(A1093,'TB MAy'!A:H,8,0)</f>
        <v>Add: Purchase expenses</v>
      </c>
    </row>
    <row r="1094" spans="1:8" hidden="1">
      <c r="A1094" s="95" t="s">
        <v>1303</v>
      </c>
      <c r="B1094" s="78"/>
      <c r="C1094" s="78"/>
      <c r="D1094" s="78">
        <v>135020</v>
      </c>
      <c r="E1094" s="78">
        <v>-135020</v>
      </c>
      <c r="F1094" s="96">
        <v>0</v>
      </c>
      <c r="G1094" s="42">
        <f t="shared" si="18"/>
        <v>-135020</v>
      </c>
      <c r="H1094" s="2" t="str">
        <f>VLOOKUP(A1094,'TB MAy'!A:H,8,0)</f>
        <v>Add: Purchase expenses</v>
      </c>
    </row>
    <row r="1095" spans="1:8" hidden="1">
      <c r="A1095" s="95" t="s">
        <v>825</v>
      </c>
      <c r="B1095" s="78"/>
      <c r="C1095" s="78">
        <v>237966.51</v>
      </c>
      <c r="D1095" s="78"/>
      <c r="E1095" s="78">
        <v>237966.51</v>
      </c>
      <c r="F1095" s="96">
        <v>0</v>
      </c>
      <c r="G1095" s="42">
        <f t="shared" si="18"/>
        <v>237966.51</v>
      </c>
      <c r="H1095" s="2" t="str">
        <f>VLOOKUP(A1095,'TB MAy'!A:H,8,0)</f>
        <v>Add: Purchase of Stores, Spares &amp; Consumables</v>
      </c>
    </row>
    <row r="1096" spans="1:8" hidden="1">
      <c r="A1096" s="95" t="s">
        <v>833</v>
      </c>
      <c r="B1096" s="78"/>
      <c r="C1096" s="78">
        <v>207113</v>
      </c>
      <c r="D1096" s="78"/>
      <c r="E1096" s="78">
        <v>207113</v>
      </c>
      <c r="F1096" s="96">
        <v>0</v>
      </c>
      <c r="G1096" s="42">
        <f t="shared" si="18"/>
        <v>207113</v>
      </c>
      <c r="H1096" s="2" t="str">
        <f>VLOOKUP(A1096,'TB MAy'!A:H,8,0)</f>
        <v>Other Administrative Expenses</v>
      </c>
    </row>
    <row r="1097" spans="1:8" hidden="1">
      <c r="A1097" s="95" t="s">
        <v>806</v>
      </c>
      <c r="B1097" s="78"/>
      <c r="C1097" s="78">
        <v>29522</v>
      </c>
      <c r="D1097" s="78"/>
      <c r="E1097" s="78">
        <v>29522</v>
      </c>
      <c r="F1097" s="96">
        <v>0</v>
      </c>
      <c r="G1097" s="42">
        <f t="shared" si="18"/>
        <v>29522</v>
      </c>
      <c r="H1097" s="2" t="str">
        <f>VLOOKUP(A1097,'TB MAy'!A:H,8,0)</f>
        <v>Other Administrative Expenses</v>
      </c>
    </row>
    <row r="1098" spans="1:8">
      <c r="A1098" s="95" t="s">
        <v>800</v>
      </c>
      <c r="B1098" s="78"/>
      <c r="C1098" s="78">
        <v>15065632.939999999</v>
      </c>
      <c r="D1098" s="78"/>
      <c r="E1098" s="78">
        <v>15065632.939999999</v>
      </c>
      <c r="F1098" s="96">
        <v>8584167</v>
      </c>
      <c r="G1098" s="42">
        <f t="shared" si="18"/>
        <v>23649799.939999998</v>
      </c>
      <c r="H1098" s="2" t="str">
        <f>VLOOKUP(A1098,'TB MAy'!A:H,8,0)</f>
        <v>Labour charges</v>
      </c>
    </row>
    <row r="1099" spans="1:8" hidden="1">
      <c r="A1099" s="95" t="s">
        <v>785</v>
      </c>
      <c r="B1099" s="78"/>
      <c r="C1099" s="78">
        <v>11540348</v>
      </c>
      <c r="D1099" s="78"/>
      <c r="E1099" s="78">
        <v>11540348</v>
      </c>
      <c r="F1099" s="96">
        <v>0</v>
      </c>
      <c r="G1099" s="42">
        <f t="shared" si="18"/>
        <v>11540348</v>
      </c>
      <c r="H1099" s="2" t="str">
        <f>VLOOKUP(A1099,'TB MAy'!A:H,8,0)</f>
        <v>Power and fuel</v>
      </c>
    </row>
    <row r="1100" spans="1:8" hidden="1">
      <c r="A1100" s="95" t="s">
        <v>762</v>
      </c>
      <c r="B1100" s="78"/>
      <c r="C1100" s="78">
        <v>1111200</v>
      </c>
      <c r="D1100" s="78"/>
      <c r="E1100" s="78">
        <v>1111200</v>
      </c>
      <c r="F1100" s="96">
        <v>0</v>
      </c>
      <c r="G1100" s="42">
        <f t="shared" si="18"/>
        <v>1111200</v>
      </c>
      <c r="H1100" s="2" t="str">
        <f>VLOOKUP(A1100,'TB MAy'!A:H,8,0)</f>
        <v>Other Administrative Expenses</v>
      </c>
    </row>
    <row r="1101" spans="1:8" hidden="1">
      <c r="A1101" s="95" t="s">
        <v>1049</v>
      </c>
      <c r="B1101" s="78"/>
      <c r="C1101" s="78">
        <v>480000</v>
      </c>
      <c r="D1101" s="78"/>
      <c r="E1101" s="78">
        <v>480000</v>
      </c>
      <c r="F1101" s="96">
        <v>0</v>
      </c>
      <c r="G1101" s="42">
        <f t="shared" si="18"/>
        <v>480000</v>
      </c>
      <c r="H1101" s="2" t="str">
        <f>VLOOKUP(A1101,'TB MAy'!A:H,8,0)</f>
        <v>Other Administrative Expenses</v>
      </c>
    </row>
    <row r="1102" spans="1:8" hidden="1">
      <c r="A1102" s="95" t="s">
        <v>799</v>
      </c>
      <c r="B1102" s="78"/>
      <c r="C1102" s="78">
        <v>8286903.9500000002</v>
      </c>
      <c r="D1102" s="78"/>
      <c r="E1102" s="78">
        <v>8286903.9500000002</v>
      </c>
      <c r="F1102" s="96">
        <v>0</v>
      </c>
      <c r="G1102" s="42">
        <f t="shared" si="18"/>
        <v>8286903.9500000002</v>
      </c>
      <c r="H1102" s="2" t="str">
        <f>VLOOKUP(A1102,'TB MAy'!A:H,8,0)</f>
        <v xml:space="preserve">Jobwork charges </v>
      </c>
    </row>
    <row r="1103" spans="1:8">
      <c r="A1103" s="95" t="s">
        <v>803</v>
      </c>
      <c r="B1103" s="78"/>
      <c r="C1103" s="78">
        <v>162269</v>
      </c>
      <c r="D1103" s="78"/>
      <c r="E1103" s="78">
        <v>162269</v>
      </c>
      <c r="F1103" s="96">
        <v>89664</v>
      </c>
      <c r="G1103" s="42">
        <f t="shared" si="18"/>
        <v>251933</v>
      </c>
      <c r="H1103" s="2" t="str">
        <f>VLOOKUP(A1103,'TB MAy'!A:H,8,0)</f>
        <v>Freight Outward and C &amp; F Charges</v>
      </c>
    </row>
    <row r="1104" spans="1:8" hidden="1">
      <c r="A1104" s="95" t="s">
        <v>789</v>
      </c>
      <c r="B1104" s="78"/>
      <c r="C1104" s="78">
        <v>55200</v>
      </c>
      <c r="D1104" s="78"/>
      <c r="E1104" s="78">
        <v>55200</v>
      </c>
      <c r="F1104" s="96">
        <v>0</v>
      </c>
      <c r="G1104" s="42">
        <f t="shared" si="18"/>
        <v>55200</v>
      </c>
      <c r="H1104" s="2" t="str">
        <f>VLOOKUP(A1104,'TB MAy'!A:H,8,0)</f>
        <v>Other Manufacturing Expenses</v>
      </c>
    </row>
    <row r="1105" spans="1:8" hidden="1">
      <c r="A1105" s="95" t="s">
        <v>791</v>
      </c>
      <c r="B1105" s="78"/>
      <c r="C1105" s="78">
        <v>166630</v>
      </c>
      <c r="D1105" s="78"/>
      <c r="E1105" s="78">
        <v>166630</v>
      </c>
      <c r="F1105" s="96">
        <v>0</v>
      </c>
      <c r="G1105" s="42">
        <f t="shared" si="18"/>
        <v>166630</v>
      </c>
      <c r="H1105" s="2" t="str">
        <f>VLOOKUP(A1105,'TB MAy'!A:H,8,0)</f>
        <v>Other Administrative Expenses</v>
      </c>
    </row>
    <row r="1106" spans="1:8" hidden="1">
      <c r="A1106" s="95" t="s">
        <v>792</v>
      </c>
      <c r="B1106" s="78"/>
      <c r="C1106" s="78">
        <v>79520</v>
      </c>
      <c r="D1106" s="78"/>
      <c r="E1106" s="78">
        <v>79520</v>
      </c>
      <c r="F1106" s="96">
        <v>0</v>
      </c>
      <c r="G1106" s="42">
        <f t="shared" ref="G1106:G1137" si="19">+E1106+F1106</f>
        <v>79520</v>
      </c>
      <c r="H1106" s="2" t="str">
        <f>VLOOKUP(A1106,'TB MAy'!A:H,8,0)</f>
        <v>Other Manufacturing Expenses</v>
      </c>
    </row>
    <row r="1107" spans="1:8" hidden="1">
      <c r="A1107" s="95" t="s">
        <v>761</v>
      </c>
      <c r="B1107" s="78"/>
      <c r="C1107" s="78">
        <v>728030.84</v>
      </c>
      <c r="D1107" s="78"/>
      <c r="E1107" s="78">
        <v>728030.84</v>
      </c>
      <c r="F1107" s="96">
        <v>0</v>
      </c>
      <c r="G1107" s="42">
        <f t="shared" si="19"/>
        <v>728030.84</v>
      </c>
      <c r="H1107" s="2" t="str">
        <f>VLOOKUP(A1107,'TB MAy'!A:H,8,0)</f>
        <v>Other Manufacturing Expenses</v>
      </c>
    </row>
    <row r="1108" spans="1:8" hidden="1">
      <c r="A1108" s="95" t="s">
        <v>819</v>
      </c>
      <c r="B1108" s="78"/>
      <c r="C1108" s="78">
        <v>10992</v>
      </c>
      <c r="D1108" s="78"/>
      <c r="E1108" s="78">
        <v>10992</v>
      </c>
      <c r="F1108" s="96">
        <v>0</v>
      </c>
      <c r="G1108" s="42">
        <f t="shared" si="19"/>
        <v>10992</v>
      </c>
      <c r="H1108" s="2" t="str">
        <f>VLOOKUP(A1108,'TB MAy'!A:H,8,0)</f>
        <v>Add: Purchase of packing materials</v>
      </c>
    </row>
    <row r="1109" spans="1:8" hidden="1">
      <c r="A1109" s="95" t="s">
        <v>820</v>
      </c>
      <c r="B1109" s="78"/>
      <c r="C1109" s="78">
        <v>54138094.240000002</v>
      </c>
      <c r="D1109" s="78"/>
      <c r="E1109" s="78">
        <v>54138094.240000002</v>
      </c>
      <c r="F1109" s="96">
        <v>0</v>
      </c>
      <c r="G1109" s="42">
        <f t="shared" si="19"/>
        <v>54138094.240000002</v>
      </c>
      <c r="H1109" s="2" t="str">
        <f>VLOOKUP(A1109,'TB MAy'!A:H,8,0)</f>
        <v>Add: Purchase of raw materials</v>
      </c>
    </row>
    <row r="1110" spans="1:8" hidden="1">
      <c r="A1110" s="95" t="s">
        <v>821</v>
      </c>
      <c r="B1110" s="78"/>
      <c r="C1110" s="78">
        <v>38052.32</v>
      </c>
      <c r="D1110" s="78"/>
      <c r="E1110" s="78">
        <v>38052.32</v>
      </c>
      <c r="F1110" s="96">
        <v>0</v>
      </c>
      <c r="G1110" s="42">
        <f t="shared" si="19"/>
        <v>38052.32</v>
      </c>
      <c r="H1110" s="2" t="str">
        <f>VLOOKUP(A1110,'TB MAy'!A:H,8,0)</f>
        <v>Add: Purchase of Stores, Spares &amp; Consumables</v>
      </c>
    </row>
    <row r="1111" spans="1:8" hidden="1">
      <c r="A1111" s="95" t="s">
        <v>966</v>
      </c>
      <c r="B1111" s="78"/>
      <c r="C1111" s="78">
        <v>32596</v>
      </c>
      <c r="D1111" s="78"/>
      <c r="E1111" s="78">
        <v>32596</v>
      </c>
      <c r="F1111" s="96">
        <v>0</v>
      </c>
      <c r="G1111" s="42">
        <f t="shared" si="19"/>
        <v>32596</v>
      </c>
      <c r="H1111" s="2" t="str">
        <f>VLOOKUP(A1111,'TB MAy'!A:H,8,0)</f>
        <v>Add: Purchase of Stores, Spares &amp; Consumables</v>
      </c>
    </row>
    <row r="1112" spans="1:8" hidden="1">
      <c r="A1112" s="95" t="s">
        <v>767</v>
      </c>
      <c r="B1112" s="78"/>
      <c r="C1112" s="78">
        <v>1500</v>
      </c>
      <c r="D1112" s="78"/>
      <c r="E1112" s="78">
        <v>1500</v>
      </c>
      <c r="F1112" s="96">
        <v>0</v>
      </c>
      <c r="G1112" s="42">
        <f t="shared" si="19"/>
        <v>1500</v>
      </c>
      <c r="H1112" s="2" t="str">
        <f>VLOOKUP(A1112,'TB MAy'!A:H,8,0)</f>
        <v>Add: Purchase of packing materials</v>
      </c>
    </row>
    <row r="1113" spans="1:8" hidden="1">
      <c r="A1113" s="95" t="s">
        <v>772</v>
      </c>
      <c r="B1113" s="78"/>
      <c r="C1113" s="78">
        <v>2384152.77</v>
      </c>
      <c r="D1113" s="78"/>
      <c r="E1113" s="78">
        <v>2384152.77</v>
      </c>
      <c r="F1113" s="96">
        <v>0</v>
      </c>
      <c r="G1113" s="42">
        <f t="shared" si="19"/>
        <v>2384152.77</v>
      </c>
      <c r="H1113" s="2" t="str">
        <f>VLOOKUP(A1113,'TB MAy'!A:H,8,0)</f>
        <v>Add: Purchase of packing materials</v>
      </c>
    </row>
    <row r="1114" spans="1:8" hidden="1">
      <c r="A1114" s="95" t="s">
        <v>766</v>
      </c>
      <c r="B1114" s="78"/>
      <c r="C1114" s="78">
        <v>14305502</v>
      </c>
      <c r="D1114" s="78"/>
      <c r="E1114" s="78">
        <v>14305502</v>
      </c>
      <c r="F1114" s="96">
        <v>0</v>
      </c>
      <c r="G1114" s="42">
        <f t="shared" si="19"/>
        <v>14305502</v>
      </c>
      <c r="H1114" s="2" t="str">
        <f>VLOOKUP(A1114,'TB MAy'!A:H,8,0)</f>
        <v>Add: Purchase of raw materials</v>
      </c>
    </row>
    <row r="1115" spans="1:8" hidden="1">
      <c r="A1115" s="95" t="s">
        <v>771</v>
      </c>
      <c r="B1115" s="78"/>
      <c r="C1115" s="78">
        <v>191295273.88</v>
      </c>
      <c r="D1115" s="78">
        <v>41692.5</v>
      </c>
      <c r="E1115" s="78">
        <v>191253581.38</v>
      </c>
      <c r="F1115" s="96">
        <v>0</v>
      </c>
      <c r="G1115" s="42">
        <f t="shared" si="19"/>
        <v>191253581.38</v>
      </c>
      <c r="H1115" s="2" t="str">
        <f>VLOOKUP(A1115,'TB MAy'!A:H,8,0)</f>
        <v>Add: Purchase of raw materials</v>
      </c>
    </row>
    <row r="1116" spans="1:8" hidden="1">
      <c r="A1116" s="95" t="s">
        <v>765</v>
      </c>
      <c r="B1116" s="78"/>
      <c r="C1116" s="78">
        <v>12841</v>
      </c>
      <c r="D1116" s="78"/>
      <c r="E1116" s="78">
        <v>12841</v>
      </c>
      <c r="F1116" s="96">
        <v>0</v>
      </c>
      <c r="G1116" s="42">
        <f t="shared" si="19"/>
        <v>12841</v>
      </c>
      <c r="H1116" s="2" t="str">
        <f>VLOOKUP(A1116,'TB MAy'!A:H,8,0)</f>
        <v>Add: Purchase of Stores, Spares &amp; Consumables</v>
      </c>
    </row>
    <row r="1117" spans="1:8" hidden="1">
      <c r="A1117" s="95" t="s">
        <v>768</v>
      </c>
      <c r="B1117" s="78"/>
      <c r="C1117" s="78">
        <v>657949.94999999995</v>
      </c>
      <c r="D1117" s="78"/>
      <c r="E1117" s="78">
        <v>657949.94999999995</v>
      </c>
      <c r="F1117" s="96">
        <v>0</v>
      </c>
      <c r="G1117" s="42">
        <f t="shared" si="19"/>
        <v>657949.94999999995</v>
      </c>
      <c r="H1117" s="2" t="str">
        <f>VLOOKUP(A1117,'TB MAy'!A:H,8,0)</f>
        <v>Add: Purchase of Stores, Spares &amp; Consumables</v>
      </c>
    </row>
    <row r="1118" spans="1:8" hidden="1">
      <c r="A1118" s="95" t="s">
        <v>773</v>
      </c>
      <c r="B1118" s="78"/>
      <c r="C1118" s="78">
        <v>5671336.3899999997</v>
      </c>
      <c r="D1118" s="78">
        <v>18984</v>
      </c>
      <c r="E1118" s="78">
        <v>5652352.3899999997</v>
      </c>
      <c r="F1118" s="96">
        <v>0</v>
      </c>
      <c r="G1118" s="42">
        <f t="shared" si="19"/>
        <v>5652352.3899999997</v>
      </c>
      <c r="H1118" s="2" t="str">
        <f>VLOOKUP(A1118,'TB MAy'!A:H,8,0)</f>
        <v>Add: Purchase of Stores, Spares &amp; Consumables</v>
      </c>
    </row>
    <row r="1119" spans="1:8" hidden="1">
      <c r="A1119" s="95" t="s">
        <v>770</v>
      </c>
      <c r="B1119" s="78"/>
      <c r="C1119" s="78">
        <v>27776650</v>
      </c>
      <c r="D1119" s="78"/>
      <c r="E1119" s="78">
        <v>27776650</v>
      </c>
      <c r="F1119" s="96">
        <v>0</v>
      </c>
      <c r="G1119" s="42">
        <f t="shared" si="19"/>
        <v>27776650</v>
      </c>
      <c r="H1119" s="2" t="str">
        <f>VLOOKUP(A1119,'TB MAy'!A:H,8,0)</f>
        <v>Add: Purchase of raw materials</v>
      </c>
    </row>
    <row r="1120" spans="1:8" hidden="1">
      <c r="A1120" s="95" t="s">
        <v>827</v>
      </c>
      <c r="B1120" s="78"/>
      <c r="C1120" s="78">
        <v>196952</v>
      </c>
      <c r="D1120" s="78"/>
      <c r="E1120" s="78">
        <v>196952</v>
      </c>
      <c r="F1120" s="96">
        <v>0</v>
      </c>
      <c r="G1120" s="42">
        <f t="shared" si="19"/>
        <v>196952</v>
      </c>
      <c r="H1120" s="2" t="str">
        <f>VLOOKUP(A1120,'TB MAy'!A:H,8,0)</f>
        <v>Conveyance, vehicle running and traveling expenses</v>
      </c>
    </row>
    <row r="1121" spans="1:8" hidden="1">
      <c r="A1121" s="95" t="s">
        <v>1305</v>
      </c>
      <c r="B1121" s="78"/>
      <c r="C1121" s="78">
        <v>323250</v>
      </c>
      <c r="D1121" s="78"/>
      <c r="E1121" s="78">
        <v>323250</v>
      </c>
      <c r="F1121" s="96">
        <v>0</v>
      </c>
      <c r="G1121" s="42">
        <f t="shared" si="19"/>
        <v>323250</v>
      </c>
      <c r="H1121" s="2" t="str">
        <f>VLOOKUP(A1121,'TB MAy'!A:H,8,0)</f>
        <v>Other Administrative Expenses</v>
      </c>
    </row>
    <row r="1122" spans="1:8" hidden="1">
      <c r="A1122" s="95" t="s">
        <v>832</v>
      </c>
      <c r="B1122" s="78"/>
      <c r="C1122" s="78">
        <v>2475909</v>
      </c>
      <c r="D1122" s="78"/>
      <c r="E1122" s="78">
        <v>2475909</v>
      </c>
      <c r="F1122" s="96">
        <v>0</v>
      </c>
      <c r="G1122" s="42">
        <f t="shared" si="19"/>
        <v>2475909</v>
      </c>
      <c r="H1122" s="2" t="str">
        <f>VLOOKUP(A1122,'TB MAy'!A:H,8,0)</f>
        <v>Other Administrative Expenses</v>
      </c>
    </row>
    <row r="1123" spans="1:8">
      <c r="A1123" s="95" t="s">
        <v>816</v>
      </c>
      <c r="B1123" s="78"/>
      <c r="C1123" s="78">
        <v>1307034.7</v>
      </c>
      <c r="D1123" s="78"/>
      <c r="E1123" s="78">
        <v>1307034.7</v>
      </c>
      <c r="F1123" s="96">
        <v>310000</v>
      </c>
      <c r="G1123" s="42">
        <f t="shared" si="19"/>
        <v>1617034.7</v>
      </c>
      <c r="H1123" s="2" t="str">
        <f>VLOOKUP(A1123,'TB MAy'!A:H,8,0)</f>
        <v>Other Manufacturing Expenses</v>
      </c>
    </row>
    <row r="1124" spans="1:8" hidden="1">
      <c r="A1124" s="95" t="s">
        <v>793</v>
      </c>
      <c r="B1124" s="78"/>
      <c r="C1124" s="78">
        <v>26969.040000000001</v>
      </c>
      <c r="D1124" s="78"/>
      <c r="E1124" s="78">
        <v>26969.040000000001</v>
      </c>
      <c r="F1124" s="96">
        <v>0</v>
      </c>
      <c r="G1124" s="42">
        <f t="shared" si="19"/>
        <v>26969.040000000001</v>
      </c>
      <c r="H1124" s="2" t="str">
        <f>VLOOKUP(A1124,'TB MAy'!A:H,8,0)</f>
        <v>Insurance</v>
      </c>
    </row>
    <row r="1125" spans="1:8" hidden="1">
      <c r="A1125" s="95" t="s">
        <v>1306</v>
      </c>
      <c r="B1125" s="78"/>
      <c r="C1125" s="78">
        <v>4000</v>
      </c>
      <c r="D1125" s="78"/>
      <c r="E1125" s="78">
        <v>4000</v>
      </c>
      <c r="F1125" s="96">
        <v>0</v>
      </c>
      <c r="G1125" s="42">
        <f t="shared" si="19"/>
        <v>4000</v>
      </c>
      <c r="H1125" s="2" t="str">
        <f>VLOOKUP(A1125,'TB MAy'!A:H,8,0)</f>
        <v>Other Administrative Expenses</v>
      </c>
    </row>
    <row r="1126" spans="1:8" hidden="1">
      <c r="A1126" s="95" t="s">
        <v>805</v>
      </c>
      <c r="B1126" s="78"/>
      <c r="C1126" s="78">
        <v>4970</v>
      </c>
      <c r="D1126" s="78"/>
      <c r="E1126" s="78">
        <v>4970</v>
      </c>
      <c r="F1126" s="96">
        <v>0</v>
      </c>
      <c r="G1126" s="42">
        <f t="shared" si="19"/>
        <v>4970</v>
      </c>
      <c r="H1126" s="2" t="str">
        <f>VLOOKUP(A1126,'TB MAy'!A:H,8,0)</f>
        <v>Other Administrative Expenses</v>
      </c>
    </row>
    <row r="1127" spans="1:8" hidden="1">
      <c r="A1127" s="95" t="s">
        <v>776</v>
      </c>
      <c r="B1127" s="78"/>
      <c r="C1127" s="78">
        <v>16369.54</v>
      </c>
      <c r="D1127" s="78"/>
      <c r="E1127" s="78">
        <v>16369.54</v>
      </c>
      <c r="F1127" s="96">
        <v>0</v>
      </c>
      <c r="G1127" s="42">
        <f t="shared" si="19"/>
        <v>16369.54</v>
      </c>
      <c r="H1127" s="2" t="str">
        <f>VLOOKUP(A1127,'TB MAy'!A:H,8,0)</f>
        <v>Other Administrative Expenses</v>
      </c>
    </row>
    <row r="1128" spans="1:8" hidden="1">
      <c r="A1128" s="95" t="s">
        <v>783</v>
      </c>
      <c r="B1128" s="78"/>
      <c r="C1128" s="78">
        <v>9235</v>
      </c>
      <c r="D1128" s="78"/>
      <c r="E1128" s="78">
        <v>9235</v>
      </c>
      <c r="F1128" s="96">
        <v>0</v>
      </c>
      <c r="G1128" s="42">
        <f t="shared" si="19"/>
        <v>9235</v>
      </c>
      <c r="H1128" s="2" t="str">
        <f>VLOOKUP(A1128,'TB MAy'!A:H,8,0)</f>
        <v>Conveyance, vehicle running and traveling expenses</v>
      </c>
    </row>
    <row r="1129" spans="1:8" hidden="1">
      <c r="A1129" s="95" t="s">
        <v>784</v>
      </c>
      <c r="B1129" s="78"/>
      <c r="C1129" s="78">
        <v>15890.8</v>
      </c>
      <c r="D1129" s="78"/>
      <c r="E1129" s="78">
        <v>15890.8</v>
      </c>
      <c r="F1129" s="96">
        <v>0</v>
      </c>
      <c r="G1129" s="42">
        <f t="shared" si="19"/>
        <v>15890.8</v>
      </c>
      <c r="H1129" s="2" t="str">
        <f>VLOOKUP(A1129,'TB MAy'!A:H,8,0)</f>
        <v>Other Administrative Expenses</v>
      </c>
    </row>
    <row r="1130" spans="1:8" hidden="1">
      <c r="A1130" s="95" t="s">
        <v>786</v>
      </c>
      <c r="B1130" s="78"/>
      <c r="C1130" s="78">
        <v>188446.74</v>
      </c>
      <c r="D1130" s="78"/>
      <c r="E1130" s="78">
        <v>188446.74</v>
      </c>
      <c r="F1130" s="96">
        <v>0</v>
      </c>
      <c r="G1130" s="42">
        <f t="shared" si="19"/>
        <v>188446.74</v>
      </c>
      <c r="H1130" s="2" t="str">
        <f>VLOOKUP(A1130,'TB MAy'!A:H,8,0)</f>
        <v>Other Administrative Expenses</v>
      </c>
    </row>
    <row r="1131" spans="1:8" hidden="1">
      <c r="A1131" s="95" t="s">
        <v>763</v>
      </c>
      <c r="B1131" s="78"/>
      <c r="C1131" s="78">
        <v>11.98</v>
      </c>
      <c r="D1131" s="78">
        <v>8.9600000000000009</v>
      </c>
      <c r="E1131" s="78">
        <v>3.02</v>
      </c>
      <c r="F1131" s="96">
        <v>0</v>
      </c>
      <c r="G1131" s="42">
        <f t="shared" si="19"/>
        <v>3.02</v>
      </c>
      <c r="H1131" s="2" t="str">
        <f>VLOOKUP(A1131,'TB MAy'!A:H,8,0)</f>
        <v>Not Applicable</v>
      </c>
    </row>
    <row r="1132" spans="1:8">
      <c r="A1132" s="95" t="s">
        <v>755</v>
      </c>
      <c r="B1132" s="78"/>
      <c r="C1132" s="78">
        <v>421677</v>
      </c>
      <c r="D1132" s="78"/>
      <c r="E1132" s="78">
        <v>421677</v>
      </c>
      <c r="F1132" s="96">
        <v>205000</v>
      </c>
      <c r="G1132" s="42">
        <f t="shared" si="19"/>
        <v>626677</v>
      </c>
      <c r="H1132" s="2" t="str">
        <f>VLOOKUP(A1132,'TB MAy'!A:H,8,0)</f>
        <v>Other Administrative Expenses</v>
      </c>
    </row>
    <row r="1133" spans="1:8" hidden="1">
      <c r="A1133" s="95" t="s">
        <v>1007</v>
      </c>
      <c r="B1133" s="78"/>
      <c r="C1133" s="78">
        <v>750</v>
      </c>
      <c r="D1133" s="78"/>
      <c r="E1133" s="78">
        <v>750</v>
      </c>
      <c r="F1133" s="96">
        <v>0</v>
      </c>
      <c r="G1133" s="42">
        <f t="shared" si="19"/>
        <v>750</v>
      </c>
      <c r="H1133" s="8" t="s">
        <v>72</v>
      </c>
    </row>
    <row r="1134" spans="1:8" hidden="1">
      <c r="A1134" s="95" t="s">
        <v>756</v>
      </c>
      <c r="B1134" s="78"/>
      <c r="C1134" s="78">
        <v>355711.02</v>
      </c>
      <c r="D1134" s="78"/>
      <c r="E1134" s="78">
        <v>355711.02</v>
      </c>
      <c r="F1134" s="96">
        <v>0</v>
      </c>
      <c r="G1134" s="42">
        <f t="shared" si="19"/>
        <v>355711.02</v>
      </c>
      <c r="H1134" s="2" t="str">
        <f>VLOOKUP(A1134,'TB MAy'!A:H,8,0)</f>
        <v>Other Administrative Expenses</v>
      </c>
    </row>
    <row r="1135" spans="1:8" hidden="1">
      <c r="A1135" s="95" t="s">
        <v>757</v>
      </c>
      <c r="B1135" s="78"/>
      <c r="C1135" s="78">
        <v>33360.199999999997</v>
      </c>
      <c r="D1135" s="78"/>
      <c r="E1135" s="78">
        <v>33360.199999999997</v>
      </c>
      <c r="F1135" s="96">
        <v>0</v>
      </c>
      <c r="G1135" s="42">
        <f t="shared" si="19"/>
        <v>33360.199999999997</v>
      </c>
      <c r="H1135" s="2" t="str">
        <f>VLOOKUP(A1135,'TB MAy'!A:H,8,0)</f>
        <v>Other Administrative Expenses</v>
      </c>
    </row>
    <row r="1136" spans="1:8" hidden="1">
      <c r="A1136" s="95" t="s">
        <v>758</v>
      </c>
      <c r="B1136" s="78"/>
      <c r="C1136" s="78">
        <v>48374</v>
      </c>
      <c r="D1136" s="78"/>
      <c r="E1136" s="78">
        <v>48374</v>
      </c>
      <c r="F1136" s="96">
        <v>0</v>
      </c>
      <c r="G1136" s="42">
        <f t="shared" si="19"/>
        <v>48374</v>
      </c>
      <c r="H1136" s="2" t="str">
        <f>VLOOKUP(A1136,'TB MAy'!A:H,8,0)</f>
        <v>Other Administrative Expenses</v>
      </c>
    </row>
    <row r="1137" spans="1:8" hidden="1">
      <c r="A1137" s="95" t="s">
        <v>759</v>
      </c>
      <c r="B1137" s="78"/>
      <c r="C1137" s="78">
        <v>21171.84</v>
      </c>
      <c r="D1137" s="78"/>
      <c r="E1137" s="78">
        <v>21171.84</v>
      </c>
      <c r="F1137" s="96">
        <v>0</v>
      </c>
      <c r="G1137" s="42">
        <f t="shared" si="19"/>
        <v>21171.84</v>
      </c>
      <c r="H1137" s="2" t="str">
        <f>VLOOKUP(A1137,'TB MAy'!A:H,8,0)</f>
        <v>Conveyance, vehicle running and traveling expenses</v>
      </c>
    </row>
    <row r="1138" spans="1:8" hidden="1">
      <c r="A1138" s="95" t="s">
        <v>760</v>
      </c>
      <c r="B1138" s="78"/>
      <c r="C1138" s="78">
        <v>125266.2</v>
      </c>
      <c r="D1138" s="78"/>
      <c r="E1138" s="78">
        <v>125266.2</v>
      </c>
      <c r="F1138" s="96">
        <v>0</v>
      </c>
      <c r="G1138" s="42">
        <f t="shared" ref="G1138:G1169" si="20">+E1138+F1138</f>
        <v>125266.2</v>
      </c>
      <c r="H1138" s="2" t="str">
        <f>VLOOKUP(A1138,'TB MAy'!A:H,8,0)</f>
        <v>Other Administrative Expenses</v>
      </c>
    </row>
    <row r="1139" spans="1:8" hidden="1">
      <c r="A1139" s="95" t="s">
        <v>790</v>
      </c>
      <c r="B1139" s="78"/>
      <c r="C1139" s="78">
        <v>504000</v>
      </c>
      <c r="D1139" s="78"/>
      <c r="E1139" s="78">
        <v>504000</v>
      </c>
      <c r="F1139" s="96">
        <v>0</v>
      </c>
      <c r="G1139" s="42">
        <f t="shared" si="20"/>
        <v>504000</v>
      </c>
      <c r="H1139" s="2" t="str">
        <f>VLOOKUP(A1139,'TB MAy'!A:H,8,0)</f>
        <v>Conveyance, vehicle running and traveling expenses</v>
      </c>
    </row>
    <row r="1140" spans="1:8" hidden="1">
      <c r="A1140" s="95" t="s">
        <v>874</v>
      </c>
      <c r="B1140" s="78"/>
      <c r="C1140" s="78">
        <v>753000</v>
      </c>
      <c r="D1140" s="78"/>
      <c r="E1140" s="78">
        <v>753000</v>
      </c>
      <c r="F1140" s="96">
        <v>0</v>
      </c>
      <c r="G1140" s="42">
        <f t="shared" si="20"/>
        <v>753000</v>
      </c>
      <c r="H1140" s="2" t="str">
        <f>VLOOKUP(A1140,'TB MAy'!A:H,8,0)</f>
        <v>Conveyance, vehicle running and traveling expenses</v>
      </c>
    </row>
    <row r="1141" spans="1:8" hidden="1">
      <c r="A1141" s="95" t="s">
        <v>781</v>
      </c>
      <c r="B1141" s="78"/>
      <c r="C1141" s="78">
        <v>35077</v>
      </c>
      <c r="D1141" s="78"/>
      <c r="E1141" s="78">
        <v>35077</v>
      </c>
      <c r="F1141" s="96">
        <v>0</v>
      </c>
      <c r="G1141" s="42">
        <f t="shared" si="20"/>
        <v>35077</v>
      </c>
      <c r="H1141" s="2" t="str">
        <f>VLOOKUP(A1141,'TB MAy'!A:H,8,0)</f>
        <v>Contribution to provident and other funds</v>
      </c>
    </row>
    <row r="1142" spans="1:8" hidden="1">
      <c r="A1142" s="95" t="s">
        <v>782</v>
      </c>
      <c r="B1142" s="78"/>
      <c r="C1142" s="78">
        <v>876950</v>
      </c>
      <c r="D1142" s="78"/>
      <c r="E1142" s="78">
        <v>876950</v>
      </c>
      <c r="F1142" s="96">
        <v>0</v>
      </c>
      <c r="G1142" s="42">
        <f t="shared" si="20"/>
        <v>876950</v>
      </c>
      <c r="H1142" s="2" t="str">
        <f>VLOOKUP(A1142,'TB MAy'!A:H,8,0)</f>
        <v>Contribution to provident and other funds</v>
      </c>
    </row>
    <row r="1143" spans="1:8" hidden="1">
      <c r="A1143" s="95" t="s">
        <v>842</v>
      </c>
      <c r="B1143" s="78"/>
      <c r="C1143" s="78">
        <v>89812</v>
      </c>
      <c r="D1143" s="78"/>
      <c r="E1143" s="78">
        <v>89812</v>
      </c>
      <c r="F1143" s="96">
        <v>0</v>
      </c>
      <c r="G1143" s="42">
        <f t="shared" si="20"/>
        <v>89812</v>
      </c>
      <c r="H1143" s="2" t="str">
        <f>VLOOKUP(A1143,'TB MAy'!A:H,8,0)</f>
        <v xml:space="preserve">Salaries, wages and  bonus </v>
      </c>
    </row>
    <row r="1144" spans="1:8" hidden="1">
      <c r="A1144" s="95" t="s">
        <v>843</v>
      </c>
      <c r="B1144" s="78"/>
      <c r="C1144" s="78">
        <v>2152402</v>
      </c>
      <c r="D1144" s="78"/>
      <c r="E1144" s="78">
        <v>2152402</v>
      </c>
      <c r="F1144" s="96">
        <v>0</v>
      </c>
      <c r="G1144" s="42">
        <f t="shared" si="20"/>
        <v>2152402</v>
      </c>
      <c r="H1144" s="2" t="str">
        <f>VLOOKUP(A1144,'TB MAy'!A:H,8,0)</f>
        <v xml:space="preserve">Salaries, wages and  bonus </v>
      </c>
    </row>
    <row r="1145" spans="1:8" hidden="1">
      <c r="A1145" s="95" t="s">
        <v>844</v>
      </c>
      <c r="B1145" s="78"/>
      <c r="C1145" s="78">
        <v>99834</v>
      </c>
      <c r="D1145" s="78"/>
      <c r="E1145" s="78">
        <v>99834</v>
      </c>
      <c r="F1145" s="96">
        <v>0</v>
      </c>
      <c r="G1145" s="42">
        <f t="shared" si="20"/>
        <v>99834</v>
      </c>
      <c r="H1145" s="2" t="str">
        <f>VLOOKUP(A1145,'TB MAy'!A:H,8,0)</f>
        <v xml:space="preserve">Salaries, wages and  bonus </v>
      </c>
    </row>
    <row r="1146" spans="1:8" hidden="1">
      <c r="A1146" s="95" t="s">
        <v>845</v>
      </c>
      <c r="B1146" s="78"/>
      <c r="C1146" s="78">
        <v>30000</v>
      </c>
      <c r="D1146" s="78"/>
      <c r="E1146" s="78">
        <v>30000</v>
      </c>
      <c r="F1146" s="96">
        <v>0</v>
      </c>
      <c r="G1146" s="42">
        <f t="shared" si="20"/>
        <v>30000</v>
      </c>
      <c r="H1146" s="2" t="str">
        <f>VLOOKUP(A1146,'TB MAy'!A:H,8,0)</f>
        <v xml:space="preserve">Salaries, wages and  bonus </v>
      </c>
    </row>
    <row r="1147" spans="1:8" hidden="1">
      <c r="A1147" s="95" t="s">
        <v>846</v>
      </c>
      <c r="B1147" s="78"/>
      <c r="C1147" s="78">
        <v>4185186</v>
      </c>
      <c r="D1147" s="78"/>
      <c r="E1147" s="78">
        <v>4185186</v>
      </c>
      <c r="F1147" s="96">
        <v>0</v>
      </c>
      <c r="G1147" s="42">
        <f t="shared" si="20"/>
        <v>4185186</v>
      </c>
      <c r="H1147" s="2" t="str">
        <f>VLOOKUP(A1147,'TB MAy'!A:H,8,0)</f>
        <v xml:space="preserve">Salaries, wages and  bonus </v>
      </c>
    </row>
    <row r="1148" spans="1:8" hidden="1">
      <c r="A1148" s="95" t="s">
        <v>847</v>
      </c>
      <c r="B1148" s="78"/>
      <c r="C1148" s="78">
        <v>260607</v>
      </c>
      <c r="D1148" s="78"/>
      <c r="E1148" s="78">
        <v>260607</v>
      </c>
      <c r="F1148" s="96">
        <v>0</v>
      </c>
      <c r="G1148" s="42">
        <f t="shared" si="20"/>
        <v>260607</v>
      </c>
      <c r="H1148" s="2" t="str">
        <f>VLOOKUP(A1148,'TB MAy'!A:H,8,0)</f>
        <v xml:space="preserve">Salaries, wages and  bonus </v>
      </c>
    </row>
    <row r="1149" spans="1:8" hidden="1">
      <c r="A1149" s="95" t="s">
        <v>848</v>
      </c>
      <c r="B1149" s="78"/>
      <c r="C1149" s="78">
        <v>64174</v>
      </c>
      <c r="D1149" s="78"/>
      <c r="E1149" s="78">
        <v>64174</v>
      </c>
      <c r="F1149" s="96">
        <v>0</v>
      </c>
      <c r="G1149" s="42">
        <f t="shared" si="20"/>
        <v>64174</v>
      </c>
      <c r="H1149" s="2" t="str">
        <f>VLOOKUP(A1149,'TB MAy'!A:H,8,0)</f>
        <v xml:space="preserve">Salaries, wages and  bonus </v>
      </c>
    </row>
    <row r="1150" spans="1:8" hidden="1">
      <c r="A1150" s="95" t="s">
        <v>849</v>
      </c>
      <c r="B1150" s="78"/>
      <c r="C1150" s="78">
        <v>194626</v>
      </c>
      <c r="D1150" s="78"/>
      <c r="E1150" s="78">
        <v>194626</v>
      </c>
      <c r="F1150" s="96">
        <v>0</v>
      </c>
      <c r="G1150" s="42">
        <f t="shared" si="20"/>
        <v>194626</v>
      </c>
      <c r="H1150" s="2" t="str">
        <f>VLOOKUP(A1150,'TB MAy'!A:H,8,0)</f>
        <v xml:space="preserve">Salaries, wages and  bonus </v>
      </c>
    </row>
    <row r="1151" spans="1:8" hidden="1">
      <c r="A1151" s="95" t="s">
        <v>850</v>
      </c>
      <c r="B1151" s="78"/>
      <c r="C1151" s="78">
        <v>805174</v>
      </c>
      <c r="D1151" s="78"/>
      <c r="E1151" s="78">
        <v>805174</v>
      </c>
      <c r="F1151" s="96">
        <v>0</v>
      </c>
      <c r="G1151" s="42">
        <f t="shared" si="20"/>
        <v>805174</v>
      </c>
      <c r="H1151" s="2" t="str">
        <f>VLOOKUP(A1151,'TB MAy'!A:H,8,0)</f>
        <v xml:space="preserve">Salaries, wages and  bonus </v>
      </c>
    </row>
    <row r="1152" spans="1:8" hidden="1">
      <c r="A1152" s="95" t="s">
        <v>851</v>
      </c>
      <c r="B1152" s="78"/>
      <c r="C1152" s="78">
        <v>153539</v>
      </c>
      <c r="D1152" s="78"/>
      <c r="E1152" s="78">
        <v>153539</v>
      </c>
      <c r="F1152" s="96">
        <v>0</v>
      </c>
      <c r="G1152" s="42">
        <f t="shared" si="20"/>
        <v>153539</v>
      </c>
      <c r="H1152" s="2" t="str">
        <f>VLOOKUP(A1152,'TB MAy'!A:H,8,0)</f>
        <v xml:space="preserve">Salaries, wages and  bonus </v>
      </c>
    </row>
    <row r="1153" spans="1:8" hidden="1">
      <c r="A1153" s="95" t="s">
        <v>852</v>
      </c>
      <c r="B1153" s="78"/>
      <c r="C1153" s="78">
        <v>156424</v>
      </c>
      <c r="D1153" s="78"/>
      <c r="E1153" s="78">
        <v>156424</v>
      </c>
      <c r="F1153" s="96">
        <v>0</v>
      </c>
      <c r="G1153" s="42">
        <f t="shared" si="20"/>
        <v>156424</v>
      </c>
      <c r="H1153" s="2" t="str">
        <f>VLOOKUP(A1153,'TB MAy'!A:H,8,0)</f>
        <v xml:space="preserve">Salaries, wages and  bonus </v>
      </c>
    </row>
    <row r="1154" spans="1:8" hidden="1">
      <c r="A1154" s="95" t="s">
        <v>853</v>
      </c>
      <c r="B1154" s="78"/>
      <c r="C1154" s="78">
        <v>1438874</v>
      </c>
      <c r="D1154" s="78"/>
      <c r="E1154" s="78">
        <v>1438874</v>
      </c>
      <c r="F1154" s="96">
        <v>0</v>
      </c>
      <c r="G1154" s="42">
        <f t="shared" si="20"/>
        <v>1438874</v>
      </c>
      <c r="H1154" s="2" t="str">
        <f>VLOOKUP(A1154,'TB MAy'!A:H,8,0)</f>
        <v xml:space="preserve">Salaries, wages and  bonus </v>
      </c>
    </row>
    <row r="1155" spans="1:8" hidden="1">
      <c r="A1155" s="95" t="s">
        <v>839</v>
      </c>
      <c r="B1155" s="78"/>
      <c r="C1155" s="78">
        <v>126650</v>
      </c>
      <c r="D1155" s="78"/>
      <c r="E1155" s="78">
        <v>126650</v>
      </c>
      <c r="F1155" s="96">
        <v>0</v>
      </c>
      <c r="G1155" s="42">
        <f t="shared" si="20"/>
        <v>126650</v>
      </c>
      <c r="H1155" s="2" t="str">
        <f>VLOOKUP(A1155,'TB MAy'!A:H,8,0)</f>
        <v xml:space="preserve">Salaries, wages and  bonus </v>
      </c>
    </row>
    <row r="1156" spans="1:8" hidden="1">
      <c r="A1156" s="95" t="s">
        <v>840</v>
      </c>
      <c r="B1156" s="78"/>
      <c r="C1156" s="78">
        <v>32445</v>
      </c>
      <c r="D1156" s="78"/>
      <c r="E1156" s="78">
        <v>32445</v>
      </c>
      <c r="F1156" s="96">
        <v>0</v>
      </c>
      <c r="G1156" s="42">
        <f t="shared" si="20"/>
        <v>32445</v>
      </c>
      <c r="H1156" s="2" t="str">
        <f>VLOOKUP(A1156,'TB MAy'!A:H,8,0)</f>
        <v xml:space="preserve">Salaries, wages and  bonus </v>
      </c>
    </row>
    <row r="1157" spans="1:8" hidden="1">
      <c r="A1157" s="95" t="s">
        <v>817</v>
      </c>
      <c r="B1157" s="78"/>
      <c r="C1157" s="78">
        <v>2148887</v>
      </c>
      <c r="D1157" s="78"/>
      <c r="E1157" s="78">
        <v>2148887</v>
      </c>
      <c r="F1157" s="96">
        <v>0</v>
      </c>
      <c r="G1157" s="42">
        <f t="shared" si="20"/>
        <v>2148887</v>
      </c>
      <c r="H1157" s="2" t="str">
        <f>VLOOKUP(A1157,'TB MAy'!A:H,8,0)</f>
        <v xml:space="preserve">Salaries, wages and  bonus </v>
      </c>
    </row>
    <row r="1158" spans="1:8" hidden="1">
      <c r="A1158" s="95" t="s">
        <v>801</v>
      </c>
      <c r="B1158" s="78"/>
      <c r="C1158" s="78">
        <v>47020</v>
      </c>
      <c r="D1158" s="78"/>
      <c r="E1158" s="78">
        <v>47020</v>
      </c>
      <c r="F1158" s="96">
        <v>0</v>
      </c>
      <c r="G1158" s="42">
        <f t="shared" si="20"/>
        <v>47020</v>
      </c>
      <c r="H1158" s="2" t="str">
        <f>VLOOKUP(A1158,'TB MAy'!A:H,8,0)</f>
        <v xml:space="preserve">Salaries, wages and  bonus </v>
      </c>
    </row>
    <row r="1159" spans="1:8" hidden="1">
      <c r="A1159" s="95" t="s">
        <v>779</v>
      </c>
      <c r="B1159" s="78"/>
      <c r="C1159" s="78"/>
      <c r="D1159" s="78">
        <v>32410</v>
      </c>
      <c r="E1159" s="78">
        <v>-32410</v>
      </c>
      <c r="F1159" s="96">
        <v>0</v>
      </c>
      <c r="G1159" s="42">
        <f t="shared" si="20"/>
        <v>-32410</v>
      </c>
      <c r="H1159" s="2" t="str">
        <f>VLOOKUP(A1159,'TB MAy'!A:H,8,0)</f>
        <v xml:space="preserve">Salaries, wages and  bonus </v>
      </c>
    </row>
    <row r="1160" spans="1:8">
      <c r="A1160" s="95" t="s">
        <v>754</v>
      </c>
      <c r="B1160" s="78"/>
      <c r="C1160" s="78">
        <v>5903107</v>
      </c>
      <c r="D1160" s="78"/>
      <c r="E1160" s="78">
        <v>5903107</v>
      </c>
      <c r="F1160" s="96">
        <v>9869685</v>
      </c>
      <c r="G1160" s="42">
        <f t="shared" si="20"/>
        <v>15772792</v>
      </c>
      <c r="H1160" s="2" t="str">
        <f>VLOOKUP(A1160,'TB MAy'!A:H,8,0)</f>
        <v xml:space="preserve">Salaries, wages and  bonus </v>
      </c>
    </row>
    <row r="1161" spans="1:8" hidden="1">
      <c r="A1161" s="95" t="s">
        <v>787</v>
      </c>
      <c r="B1161" s="78"/>
      <c r="C1161" s="78">
        <v>62930</v>
      </c>
      <c r="D1161" s="78"/>
      <c r="E1161" s="78">
        <v>62930</v>
      </c>
      <c r="F1161" s="96">
        <v>0</v>
      </c>
      <c r="G1161" s="42">
        <f t="shared" si="20"/>
        <v>62930</v>
      </c>
      <c r="H1161" s="2" t="str">
        <f>VLOOKUP(A1161,'TB MAy'!A:H,8,0)</f>
        <v>Staff welfare expenses</v>
      </c>
    </row>
    <row r="1162" spans="1:8" hidden="1">
      <c r="A1162" s="95" t="s">
        <v>822</v>
      </c>
      <c r="B1162" s="78"/>
      <c r="C1162" s="78">
        <v>781101</v>
      </c>
      <c r="D1162" s="78">
        <v>160830</v>
      </c>
      <c r="E1162" s="78">
        <v>620271</v>
      </c>
      <c r="F1162" s="96">
        <v>0</v>
      </c>
      <c r="G1162" s="42">
        <f t="shared" si="20"/>
        <v>620271</v>
      </c>
      <c r="H1162" s="2" t="str">
        <f>VLOOKUP(A1162,'TB MAy'!A:H,8,0)</f>
        <v>Staff welfare expenses</v>
      </c>
    </row>
    <row r="1163" spans="1:8" hidden="1">
      <c r="A1163" s="95" t="s">
        <v>804</v>
      </c>
      <c r="B1163" s="78"/>
      <c r="C1163" s="78">
        <v>13831</v>
      </c>
      <c r="D1163" s="78"/>
      <c r="E1163" s="78">
        <v>13831</v>
      </c>
      <c r="F1163" s="96">
        <v>0</v>
      </c>
      <c r="G1163" s="42">
        <f t="shared" si="20"/>
        <v>13831</v>
      </c>
      <c r="H1163" s="2" t="str">
        <f>VLOOKUP(A1163,'TB MAy'!A:H,8,0)</f>
        <v>Staff welfare expenses</v>
      </c>
    </row>
    <row r="1164" spans="1:8" hidden="1">
      <c r="A1164" s="95" t="s">
        <v>835</v>
      </c>
      <c r="B1164" s="78"/>
      <c r="C1164" s="78">
        <v>163607.97</v>
      </c>
      <c r="D1164" s="78"/>
      <c r="E1164" s="78">
        <v>163607.97</v>
      </c>
      <c r="F1164" s="96">
        <v>0</v>
      </c>
      <c r="G1164" s="42">
        <f t="shared" si="20"/>
        <v>163607.97</v>
      </c>
      <c r="H1164" s="2" t="str">
        <f>VLOOKUP(A1164,'TB MAy'!A:H,8,0)</f>
        <v>Not Applicable</v>
      </c>
    </row>
    <row r="1165" spans="1:8" hidden="1">
      <c r="A1165" s="95" t="s">
        <v>838</v>
      </c>
      <c r="B1165" s="78"/>
      <c r="C1165" s="78">
        <v>136106.21</v>
      </c>
      <c r="D1165" s="78"/>
      <c r="E1165" s="78">
        <v>136106.21</v>
      </c>
      <c r="F1165" s="96">
        <v>0</v>
      </c>
      <c r="G1165" s="42">
        <f t="shared" si="20"/>
        <v>136106.21</v>
      </c>
      <c r="H1165" s="2" t="str">
        <f>VLOOKUP(A1165,'TB MAy'!A:H,8,0)</f>
        <v>Not Applicable</v>
      </c>
    </row>
    <row r="1166" spans="1:8" hidden="1">
      <c r="A1166" s="95" t="s">
        <v>831</v>
      </c>
      <c r="B1166" s="78"/>
      <c r="C1166" s="78">
        <v>19764.87</v>
      </c>
      <c r="D1166" s="78">
        <v>14547273.1</v>
      </c>
      <c r="E1166" s="78">
        <v>-14527508.23</v>
      </c>
      <c r="F1166" s="96">
        <v>0</v>
      </c>
      <c r="G1166" s="42">
        <f t="shared" si="20"/>
        <v>-14527508.23</v>
      </c>
      <c r="H1166" s="2" t="str">
        <f>VLOOKUP(A1166,'TB MAy'!A:H,8,0)</f>
        <v>Exchange Rate Difference</v>
      </c>
    </row>
    <row r="1167" spans="1:8" hidden="1">
      <c r="A1167" s="95" t="s">
        <v>798</v>
      </c>
      <c r="B1167" s="78"/>
      <c r="C1167" s="78">
        <v>83661.58</v>
      </c>
      <c r="D1167" s="78"/>
      <c r="E1167" s="78">
        <v>83661.58</v>
      </c>
      <c r="F1167" s="96">
        <v>0</v>
      </c>
      <c r="G1167" s="42">
        <f t="shared" si="20"/>
        <v>83661.58</v>
      </c>
      <c r="H1167" s="2" t="str">
        <f>VLOOKUP(A1167,'TB MAy'!A:H,8,0)</f>
        <v>Not Applicable</v>
      </c>
    </row>
    <row r="1168" spans="1:8" hidden="1">
      <c r="A1168" s="95" t="s">
        <v>807</v>
      </c>
      <c r="B1168" s="78"/>
      <c r="C1168" s="78">
        <v>1184470.32</v>
      </c>
      <c r="D1168" s="78"/>
      <c r="E1168" s="78">
        <v>1184470.32</v>
      </c>
      <c r="F1168" s="96">
        <v>0</v>
      </c>
      <c r="G1168" s="42">
        <f t="shared" si="20"/>
        <v>1184470.32</v>
      </c>
      <c r="H1168" s="2" t="str">
        <f>VLOOKUP(A1168,'TB MAy'!A:H,8,0)</f>
        <v>Not Applicable</v>
      </c>
    </row>
    <row r="1169" spans="1:8" hidden="1">
      <c r="A1169" s="95" t="s">
        <v>796</v>
      </c>
      <c r="B1169" s="78"/>
      <c r="C1169" s="78">
        <v>2898816.06</v>
      </c>
      <c r="D1169" s="78">
        <v>1097860.42</v>
      </c>
      <c r="E1169" s="78">
        <v>1800955.64</v>
      </c>
      <c r="F1169" s="96">
        <v>0</v>
      </c>
      <c r="G1169" s="42">
        <f t="shared" si="20"/>
        <v>1800955.64</v>
      </c>
      <c r="H1169" s="2" t="str">
        <f>VLOOKUP(A1169,'TB MAy'!A:H,8,0)</f>
        <v>Not Applicable</v>
      </c>
    </row>
    <row r="1170" spans="1:8" hidden="1">
      <c r="A1170" s="95" t="s">
        <v>797</v>
      </c>
      <c r="B1170" s="78"/>
      <c r="C1170" s="78">
        <v>12313.99</v>
      </c>
      <c r="D1170" s="78"/>
      <c r="E1170" s="78">
        <v>12313.99</v>
      </c>
      <c r="F1170" s="96">
        <v>0</v>
      </c>
      <c r="G1170" s="42">
        <f t="shared" ref="G1170:G1177" si="21">+E1170+F1170</f>
        <v>12313.99</v>
      </c>
      <c r="H1170" s="2" t="str">
        <f>VLOOKUP(A1170,'TB MAy'!A:H,8,0)</f>
        <v>Other Administrative Expenses</v>
      </c>
    </row>
    <row r="1171" spans="1:8" hidden="1">
      <c r="A1171" s="95" t="s">
        <v>1588</v>
      </c>
      <c r="B1171" s="78"/>
      <c r="C1171" s="78">
        <v>600</v>
      </c>
      <c r="D1171" s="78"/>
      <c r="E1171" s="78">
        <v>600</v>
      </c>
      <c r="F1171" s="96">
        <v>0</v>
      </c>
      <c r="G1171" s="42">
        <f t="shared" si="21"/>
        <v>600</v>
      </c>
      <c r="H1171" s="2" t="s">
        <v>84</v>
      </c>
    </row>
    <row r="1172" spans="1:8" hidden="1">
      <c r="A1172" s="95" t="s">
        <v>802</v>
      </c>
      <c r="B1172" s="78"/>
      <c r="C1172" s="78">
        <v>2200</v>
      </c>
      <c r="D1172" s="78"/>
      <c r="E1172" s="78">
        <v>2200</v>
      </c>
      <c r="F1172" s="96">
        <v>0</v>
      </c>
      <c r="G1172" s="42">
        <f t="shared" si="21"/>
        <v>2200</v>
      </c>
      <c r="H1172" s="2" t="str">
        <f>VLOOKUP(A1172,'TB MAy'!A:H,8,0)</f>
        <v>Other Administrative Expenses</v>
      </c>
    </row>
    <row r="1173" spans="1:8" hidden="1">
      <c r="A1173" s="95" t="s">
        <v>775</v>
      </c>
      <c r="B1173" s="78"/>
      <c r="C1173" s="78">
        <v>246537.34</v>
      </c>
      <c r="D1173" s="78"/>
      <c r="E1173" s="78">
        <v>246537.34</v>
      </c>
      <c r="F1173" s="96">
        <v>0</v>
      </c>
      <c r="G1173" s="42">
        <f t="shared" si="21"/>
        <v>246537.34</v>
      </c>
      <c r="H1173" s="2" t="str">
        <f>VLOOKUP(A1173,'TB MAy'!A:H,8,0)</f>
        <v>Other Administrative Expenses</v>
      </c>
    </row>
    <row r="1174" spans="1:8" hidden="1">
      <c r="A1174" s="95" t="s">
        <v>834</v>
      </c>
      <c r="B1174" s="78"/>
      <c r="C1174" s="78">
        <v>323.94</v>
      </c>
      <c r="D1174" s="78"/>
      <c r="E1174" s="78">
        <v>323.94</v>
      </c>
      <c r="F1174" s="96">
        <v>0</v>
      </c>
      <c r="G1174" s="42">
        <f t="shared" si="21"/>
        <v>323.94</v>
      </c>
      <c r="H1174" s="8" t="s">
        <v>72</v>
      </c>
    </row>
    <row r="1175" spans="1:8" hidden="1">
      <c r="A1175" s="95" t="s">
        <v>824</v>
      </c>
      <c r="B1175" s="78"/>
      <c r="C1175" s="78">
        <v>1501382.08</v>
      </c>
      <c r="D1175" s="78">
        <v>1062</v>
      </c>
      <c r="E1175" s="78">
        <v>1500320.08</v>
      </c>
      <c r="F1175" s="96">
        <v>0</v>
      </c>
      <c r="G1175" s="42">
        <f t="shared" si="21"/>
        <v>1500320.08</v>
      </c>
      <c r="H1175" s="2" t="str">
        <f>VLOOKUP(A1175,'TB MAy'!A:H,8,0)</f>
        <v>Freight Outward and C &amp; F Charges</v>
      </c>
    </row>
    <row r="1176" spans="1:8" hidden="1">
      <c r="A1176" s="95" t="s">
        <v>1079</v>
      </c>
      <c r="B1176" s="78"/>
      <c r="C1176" s="78">
        <v>34999.5</v>
      </c>
      <c r="D1176" s="78"/>
      <c r="E1176" s="78">
        <v>34999.5</v>
      </c>
      <c r="F1176" s="96">
        <v>0</v>
      </c>
      <c r="G1176" s="42">
        <f t="shared" si="21"/>
        <v>34999.5</v>
      </c>
      <c r="H1176" s="2" t="str">
        <f>VLOOKUP(A1176,'TB MAy'!A:H,8,0)</f>
        <v>Freight Outward and C &amp; F Charges</v>
      </c>
    </row>
    <row r="1177" spans="1:8" hidden="1">
      <c r="A1177" s="95" t="s">
        <v>829</v>
      </c>
      <c r="B1177" s="78"/>
      <c r="C1177" s="78">
        <v>1070545.17</v>
      </c>
      <c r="D1177" s="78">
        <v>10.53</v>
      </c>
      <c r="E1177" s="78">
        <v>1070534.6399999999</v>
      </c>
      <c r="F1177" s="96">
        <v>0</v>
      </c>
      <c r="G1177" s="42">
        <f t="shared" si="21"/>
        <v>1070534.6399999999</v>
      </c>
      <c r="H1177" s="8" t="s">
        <v>4</v>
      </c>
    </row>
    <row r="1178" spans="1:8" hidden="1">
      <c r="A1178" s="95" t="s">
        <v>933</v>
      </c>
      <c r="B1178" s="78"/>
      <c r="C1178" s="78">
        <v>6677.23</v>
      </c>
      <c r="D1178" s="78"/>
      <c r="E1178" s="78">
        <v>6677.23</v>
      </c>
      <c r="F1178" s="96">
        <v>0</v>
      </c>
      <c r="G1178" s="42">
        <f t="shared" ref="G1178:G1184" si="22">+E1178+F1178</f>
        <v>6677.23</v>
      </c>
      <c r="H1178" s="2" t="str">
        <f>VLOOKUP(A1178,'TB MAy'!A:H,8,0)</f>
        <v>Other Administrative Expenses</v>
      </c>
    </row>
    <row r="1179" spans="1:8" hidden="1">
      <c r="A1179" s="95" t="s">
        <v>810</v>
      </c>
      <c r="B1179" s="78"/>
      <c r="C1179" s="78"/>
      <c r="D1179" s="78">
        <v>4410333.55</v>
      </c>
      <c r="E1179" s="78">
        <v>-4410333.55</v>
      </c>
      <c r="F1179" s="96">
        <v>0</v>
      </c>
      <c r="G1179" s="42">
        <f t="shared" si="22"/>
        <v>-4410333.55</v>
      </c>
      <c r="H1179" s="2" t="str">
        <f>VLOOKUP(A1179,'TB MAy'!A:H,8,0)</f>
        <v>Freight Outward and C &amp; F Charges</v>
      </c>
    </row>
    <row r="1180" spans="1:8" hidden="1">
      <c r="A1180" s="95" t="s">
        <v>811</v>
      </c>
      <c r="B1180" s="78"/>
      <c r="C1180" s="78">
        <v>7210</v>
      </c>
      <c r="D1180" s="78"/>
      <c r="E1180" s="78">
        <v>7210</v>
      </c>
      <c r="F1180" s="96">
        <v>0</v>
      </c>
      <c r="G1180" s="42">
        <f t="shared" si="22"/>
        <v>7210</v>
      </c>
      <c r="H1180" s="2" t="str">
        <f>VLOOKUP(A1180,'TB MAy'!A:H,8,0)</f>
        <v>Freight Outward and C &amp; F Charges</v>
      </c>
    </row>
    <row r="1181" spans="1:8">
      <c r="A1181" s="95" t="s">
        <v>812</v>
      </c>
      <c r="B1181" s="78"/>
      <c r="C1181" s="78">
        <v>6251972.9299999997</v>
      </c>
      <c r="D1181" s="78">
        <v>67261</v>
      </c>
      <c r="E1181" s="78">
        <v>6184711.9299999997</v>
      </c>
      <c r="F1181" s="96">
        <v>500000</v>
      </c>
      <c r="G1181" s="42">
        <f t="shared" si="22"/>
        <v>6684711.9299999997</v>
      </c>
      <c r="H1181" s="2" t="str">
        <f>VLOOKUP(A1181,'TB MAy'!A:H,8,0)</f>
        <v>Freight Outward and C &amp; F Charges</v>
      </c>
    </row>
    <row r="1182" spans="1:8" hidden="1">
      <c r="A1182" s="95" t="s">
        <v>813</v>
      </c>
      <c r="B1182" s="78"/>
      <c r="C1182" s="78">
        <v>1006450</v>
      </c>
      <c r="D1182" s="78">
        <v>114000</v>
      </c>
      <c r="E1182" s="78">
        <v>892450</v>
      </c>
      <c r="F1182" s="96">
        <v>0</v>
      </c>
      <c r="G1182" s="42">
        <f t="shared" si="22"/>
        <v>892450</v>
      </c>
      <c r="H1182" s="2" t="str">
        <f>VLOOKUP(A1182,'TB MAy'!A:H,8,0)</f>
        <v>Freight Outward and C &amp; F Charges</v>
      </c>
    </row>
    <row r="1183" spans="1:8" hidden="1">
      <c r="A1183" s="95" t="s">
        <v>814</v>
      </c>
      <c r="B1183" s="78"/>
      <c r="C1183" s="78">
        <v>26400</v>
      </c>
      <c r="D1183" s="78"/>
      <c r="E1183" s="78">
        <v>26400</v>
      </c>
      <c r="F1183" s="96">
        <v>0</v>
      </c>
      <c r="G1183" s="42">
        <f t="shared" si="22"/>
        <v>26400</v>
      </c>
      <c r="H1183" s="2" t="str">
        <f>VLOOKUP(A1183,'TB MAy'!A:H,8,0)</f>
        <v>Other Administrative Expenses</v>
      </c>
    </row>
    <row r="1184" spans="1:8" hidden="1">
      <c r="A1184" s="95" t="s">
        <v>1541</v>
      </c>
      <c r="B1184" s="78"/>
      <c r="C1184" s="78">
        <v>115154.71</v>
      </c>
      <c r="D1184" s="78"/>
      <c r="E1184" s="78">
        <v>115154.71</v>
      </c>
      <c r="F1184" s="96">
        <v>0</v>
      </c>
      <c r="G1184" s="42">
        <f t="shared" si="22"/>
        <v>115154.71</v>
      </c>
      <c r="H1184" s="2" t="str">
        <f>VLOOKUP(A1184,'TB MAy'!A:H,8,0)</f>
        <v>Other Administrative Expenses</v>
      </c>
    </row>
    <row r="1185" spans="1:8" hidden="1">
      <c r="A1185" s="95" t="s">
        <v>794</v>
      </c>
      <c r="B1185" s="78"/>
      <c r="C1185" s="78"/>
      <c r="D1185" s="78">
        <v>19409.54</v>
      </c>
      <c r="E1185" s="78">
        <v>-19409.54</v>
      </c>
      <c r="F1185" s="96">
        <v>0</v>
      </c>
      <c r="G1185" s="42">
        <f t="shared" ref="G1185:G1186" si="23">+E1185+F1185</f>
        <v>-19409.54</v>
      </c>
      <c r="H1185" s="8" t="s">
        <v>71</v>
      </c>
    </row>
    <row r="1186" spans="1:8" hidden="1">
      <c r="A1186" s="95" t="s">
        <v>854</v>
      </c>
      <c r="B1186" s="78">
        <v>-737698452.00999999</v>
      </c>
      <c r="C1186" s="78"/>
      <c r="D1186" s="78">
        <v>0.01</v>
      </c>
      <c r="E1186" s="78">
        <v>-737698452.01999998</v>
      </c>
      <c r="F1186" s="96">
        <v>0</v>
      </c>
      <c r="G1186" s="42">
        <f t="shared" si="23"/>
        <v>-737698452.01999998</v>
      </c>
      <c r="H1186" s="2" t="str">
        <f>VLOOKUP(A1186,'TB MAy'!A:H,8,0)</f>
        <v>Not Applicable</v>
      </c>
    </row>
    <row r="1187" spans="1:8">
      <c r="A1187" s="97" t="s">
        <v>1495</v>
      </c>
      <c r="B1187" s="78">
        <f>-SUBTOTAL(9,B5:B1186)</f>
        <v>0</v>
      </c>
      <c r="C1187" s="78">
        <f>SUM(C5:C1186)</f>
        <v>1849652693.1000001</v>
      </c>
      <c r="D1187" s="78">
        <f>SUM(D5:D1186)</f>
        <v>1849652693.0999999</v>
      </c>
      <c r="E1187" s="78">
        <f>SUM(E5:E1186)</f>
        <v>2.2649765014648438E-6</v>
      </c>
      <c r="F1187" s="73">
        <f>SUBTOTAL(9,F5:F1186)</f>
        <v>19558516</v>
      </c>
      <c r="G1187" s="73">
        <f>SUBTOTAL(9,G5:G1186)</f>
        <v>48602948.57</v>
      </c>
      <c r="H1187" s="2"/>
    </row>
    <row r="1188" spans="1:8" s="101" customFormat="1">
      <c r="A1188" s="98"/>
      <c r="B1188" s="99"/>
      <c r="C1188" s="99"/>
      <c r="D1188" s="99"/>
      <c r="E1188" s="99"/>
      <c r="F1188" s="100"/>
      <c r="G1188" s="102"/>
    </row>
  </sheetData>
  <autoFilter ref="A4:H1186">
    <filterColumn colId="5">
      <filters>
        <filter val="205,000"/>
        <filter val="310,000"/>
        <filter val="500,000"/>
        <filter val="8,584,167"/>
        <filter val="89,664"/>
        <filter val="9,869,685"/>
      </filters>
    </filterColumn>
  </autoFilter>
  <mergeCells count="3">
    <mergeCell ref="B1:E1"/>
    <mergeCell ref="B2:E2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212"/>
  <sheetViews>
    <sheetView workbookViewId="0">
      <selection activeCell="F1198" sqref="F1198"/>
    </sheetView>
  </sheetViews>
  <sheetFormatPr defaultRowHeight="12.75"/>
  <cols>
    <col min="1" max="1" width="60.42578125" style="1" bestFit="1" customWidth="1"/>
    <col min="2" max="2" width="14.42578125" style="43" customWidth="1"/>
    <col min="3" max="3" width="15.7109375" style="43" customWidth="1"/>
    <col min="4" max="4" width="14" style="43" customWidth="1"/>
    <col min="5" max="5" width="17.5703125" style="43" customWidth="1"/>
    <col min="6" max="6" width="11.140625" style="1" customWidth="1"/>
    <col min="7" max="7" width="14.85546875" style="1" customWidth="1"/>
    <col min="8" max="8" width="37.7109375" style="1" customWidth="1"/>
    <col min="9" max="16384" width="9.140625" style="1"/>
  </cols>
  <sheetData>
    <row r="1" spans="1:8">
      <c r="A1" s="60"/>
      <c r="B1" s="110" t="s">
        <v>1390</v>
      </c>
      <c r="C1" s="110"/>
      <c r="D1" s="110"/>
      <c r="E1" s="110"/>
    </row>
    <row r="2" spans="1:8">
      <c r="A2" s="61"/>
      <c r="B2" s="110" t="s">
        <v>1591</v>
      </c>
      <c r="C2" s="110"/>
      <c r="D2" s="110"/>
      <c r="E2" s="110"/>
    </row>
    <row r="3" spans="1:8">
      <c r="A3" s="60"/>
      <c r="B3" s="71"/>
      <c r="C3" s="110" t="s">
        <v>1393</v>
      </c>
      <c r="D3" s="110"/>
      <c r="E3" s="71"/>
    </row>
    <row r="4" spans="1:8">
      <c r="A4" s="67" t="s">
        <v>82</v>
      </c>
      <c r="B4" s="71" t="s">
        <v>1392</v>
      </c>
      <c r="C4" s="104" t="s">
        <v>1395</v>
      </c>
      <c r="D4" s="104" t="s">
        <v>1396</v>
      </c>
      <c r="E4" s="71" t="s">
        <v>1394</v>
      </c>
      <c r="F4" s="38" t="s">
        <v>1496</v>
      </c>
      <c r="G4" s="44" t="s">
        <v>1497</v>
      </c>
      <c r="H4" s="81" t="s">
        <v>1498</v>
      </c>
    </row>
    <row r="5" spans="1:8" hidden="1">
      <c r="A5" s="62" t="s">
        <v>1397</v>
      </c>
      <c r="B5" s="73"/>
      <c r="C5" s="73">
        <v>996302.51</v>
      </c>
      <c r="D5" s="73">
        <v>48.2</v>
      </c>
      <c r="E5" s="73">
        <v>996254.31</v>
      </c>
      <c r="F5" s="42">
        <v>0</v>
      </c>
      <c r="G5" s="42">
        <f>+E5+F5</f>
        <v>996254.31</v>
      </c>
      <c r="H5" s="2" t="str">
        <f>VLOOKUP(A5,'TB JUNE'!A:H,8,0)</f>
        <v>Not Applicable</v>
      </c>
    </row>
    <row r="6" spans="1:8" hidden="1">
      <c r="A6" s="62" t="s">
        <v>107</v>
      </c>
      <c r="B6" s="73">
        <v>-154365251.06999999</v>
      </c>
      <c r="C6" s="73"/>
      <c r="D6" s="73"/>
      <c r="E6" s="73">
        <v>-154365251.06999999</v>
      </c>
      <c r="F6" s="42">
        <v>0</v>
      </c>
      <c r="G6" s="42">
        <f t="shared" ref="G6:G69" si="0">+E6+F6</f>
        <v>-154365251.06999999</v>
      </c>
      <c r="H6" s="2" t="str">
        <f>VLOOKUP(A6,'TB JUNE'!A:H,8,0)</f>
        <v>Not Applicable</v>
      </c>
    </row>
    <row r="7" spans="1:8" hidden="1">
      <c r="A7" s="62" t="s">
        <v>108</v>
      </c>
      <c r="B7" s="73">
        <v>1070438.6000000001</v>
      </c>
      <c r="C7" s="73"/>
      <c r="D7" s="73"/>
      <c r="E7" s="73">
        <v>1070438.6000000001</v>
      </c>
      <c r="F7" s="42">
        <v>0</v>
      </c>
      <c r="G7" s="42">
        <f t="shared" si="0"/>
        <v>1070438.6000000001</v>
      </c>
      <c r="H7" s="2" t="str">
        <f>VLOOKUP(A7,'TB JUNE'!A:H,8,0)</f>
        <v>Not Applicable</v>
      </c>
    </row>
    <row r="8" spans="1:8" hidden="1">
      <c r="A8" s="62" t="s">
        <v>111</v>
      </c>
      <c r="B8" s="73">
        <v>6687573.29</v>
      </c>
      <c r="C8" s="73"/>
      <c r="D8" s="73"/>
      <c r="E8" s="73">
        <v>6687573.29</v>
      </c>
      <c r="F8" s="42">
        <v>0</v>
      </c>
      <c r="G8" s="42">
        <f t="shared" si="0"/>
        <v>6687573.29</v>
      </c>
      <c r="H8" s="2" t="str">
        <f>VLOOKUP(A8,'TB JUNE'!A:H,8,0)</f>
        <v>Not Applicable</v>
      </c>
    </row>
    <row r="9" spans="1:8" hidden="1">
      <c r="A9" s="62" t="s">
        <v>1057</v>
      </c>
      <c r="B9" s="73">
        <v>2359808.65</v>
      </c>
      <c r="C9" s="73"/>
      <c r="D9" s="73"/>
      <c r="E9" s="73">
        <v>2359808.65</v>
      </c>
      <c r="F9" s="42">
        <v>0</v>
      </c>
      <c r="G9" s="42">
        <f t="shared" si="0"/>
        <v>2359808.65</v>
      </c>
      <c r="H9" s="2" t="str">
        <f>VLOOKUP(A9,'TB JUNE'!A:H,8,0)</f>
        <v>Not Applicable</v>
      </c>
    </row>
    <row r="10" spans="1:8" hidden="1">
      <c r="A10" s="62" t="s">
        <v>905</v>
      </c>
      <c r="B10" s="73">
        <v>753208.69</v>
      </c>
      <c r="C10" s="73"/>
      <c r="D10" s="73"/>
      <c r="E10" s="73">
        <v>753208.69</v>
      </c>
      <c r="F10" s="42">
        <v>0</v>
      </c>
      <c r="G10" s="42">
        <f t="shared" si="0"/>
        <v>753208.69</v>
      </c>
      <c r="H10" s="2" t="str">
        <f>VLOOKUP(A10,'TB JUNE'!A:H,8,0)</f>
        <v>Not Applicable</v>
      </c>
    </row>
    <row r="11" spans="1:8" hidden="1">
      <c r="A11" s="62" t="s">
        <v>341</v>
      </c>
      <c r="B11" s="73">
        <v>723178.82</v>
      </c>
      <c r="C11" s="73"/>
      <c r="D11" s="73"/>
      <c r="E11" s="73">
        <v>723178.82</v>
      </c>
      <c r="F11" s="42">
        <v>0</v>
      </c>
      <c r="G11" s="42">
        <f t="shared" si="0"/>
        <v>723178.82</v>
      </c>
      <c r="H11" s="2" t="str">
        <f>VLOOKUP(A11,'TB JUNE'!A:H,8,0)</f>
        <v>Not Applicable</v>
      </c>
    </row>
    <row r="12" spans="1:8" hidden="1">
      <c r="A12" s="62" t="s">
        <v>340</v>
      </c>
      <c r="B12" s="73">
        <v>822958.41</v>
      </c>
      <c r="C12" s="73"/>
      <c r="D12" s="73"/>
      <c r="E12" s="73">
        <v>822958.41</v>
      </c>
      <c r="F12" s="42">
        <v>0</v>
      </c>
      <c r="G12" s="42">
        <f t="shared" si="0"/>
        <v>822958.41</v>
      </c>
      <c r="H12" s="2" t="str">
        <f>VLOOKUP(A12,'TB JUNE'!A:H,8,0)</f>
        <v>Not Applicable</v>
      </c>
    </row>
    <row r="13" spans="1:8" hidden="1">
      <c r="A13" s="62" t="s">
        <v>339</v>
      </c>
      <c r="B13" s="73">
        <v>256416</v>
      </c>
      <c r="C13" s="73"/>
      <c r="D13" s="73"/>
      <c r="E13" s="73">
        <v>256416</v>
      </c>
      <c r="F13" s="42">
        <v>0</v>
      </c>
      <c r="G13" s="42">
        <f t="shared" si="0"/>
        <v>256416</v>
      </c>
      <c r="H13" s="2" t="str">
        <f>VLOOKUP(A13,'TB JUNE'!A:H,8,0)</f>
        <v>Not Applicable</v>
      </c>
    </row>
    <row r="14" spans="1:8" hidden="1">
      <c r="A14" s="62" t="s">
        <v>338</v>
      </c>
      <c r="B14" s="73">
        <v>167632.97</v>
      </c>
      <c r="C14" s="73"/>
      <c r="D14" s="73"/>
      <c r="E14" s="73">
        <v>167632.97</v>
      </c>
      <c r="F14" s="42">
        <v>0</v>
      </c>
      <c r="G14" s="42">
        <f t="shared" si="0"/>
        <v>167632.97</v>
      </c>
      <c r="H14" s="2" t="str">
        <f>VLOOKUP(A14,'TB JUNE'!A:H,8,0)</f>
        <v>Not Applicable</v>
      </c>
    </row>
    <row r="15" spans="1:8" hidden="1">
      <c r="A15" s="62" t="s">
        <v>337</v>
      </c>
      <c r="B15" s="73">
        <v>157074.42000000001</v>
      </c>
      <c r="C15" s="73"/>
      <c r="D15" s="73"/>
      <c r="E15" s="73">
        <v>157074.42000000001</v>
      </c>
      <c r="F15" s="42">
        <v>0</v>
      </c>
      <c r="G15" s="42">
        <f t="shared" si="0"/>
        <v>157074.42000000001</v>
      </c>
      <c r="H15" s="2" t="str">
        <f>VLOOKUP(A15,'TB JUNE'!A:H,8,0)</f>
        <v>Not Applicable</v>
      </c>
    </row>
    <row r="16" spans="1:8" hidden="1">
      <c r="A16" s="62" t="s">
        <v>336</v>
      </c>
      <c r="B16" s="73">
        <v>681686</v>
      </c>
      <c r="C16" s="73"/>
      <c r="D16" s="73"/>
      <c r="E16" s="73">
        <v>681686</v>
      </c>
      <c r="F16" s="42">
        <v>0</v>
      </c>
      <c r="G16" s="42">
        <f t="shared" si="0"/>
        <v>681686</v>
      </c>
      <c r="H16" s="2" t="str">
        <f>VLOOKUP(A16,'TB JUNE'!A:H,8,0)</f>
        <v>Not Applicable</v>
      </c>
    </row>
    <row r="17" spans="1:8" hidden="1">
      <c r="A17" s="62" t="s">
        <v>1592</v>
      </c>
      <c r="B17" s="73"/>
      <c r="C17" s="73">
        <v>5474.76</v>
      </c>
      <c r="D17" s="73"/>
      <c r="E17" s="73">
        <v>5474.76</v>
      </c>
      <c r="F17" s="42">
        <v>0</v>
      </c>
      <c r="G17" s="42">
        <f t="shared" si="0"/>
        <v>5474.76</v>
      </c>
      <c r="H17" s="2" t="s">
        <v>84</v>
      </c>
    </row>
    <row r="18" spans="1:8" hidden="1">
      <c r="A18" s="62" t="s">
        <v>1130</v>
      </c>
      <c r="B18" s="73">
        <v>1806.82</v>
      </c>
      <c r="C18" s="73"/>
      <c r="D18" s="73"/>
      <c r="E18" s="73">
        <v>1806.82</v>
      </c>
      <c r="F18" s="42">
        <v>0</v>
      </c>
      <c r="G18" s="42">
        <f t="shared" si="0"/>
        <v>1806.82</v>
      </c>
      <c r="H18" s="2" t="str">
        <f>VLOOKUP(A18,'TB JUNE'!A:H,8,0)</f>
        <v>Not Applicable</v>
      </c>
    </row>
    <row r="19" spans="1:8" hidden="1">
      <c r="A19" s="62" t="s">
        <v>335</v>
      </c>
      <c r="B19" s="73">
        <v>8213.7099999999991</v>
      </c>
      <c r="C19" s="73"/>
      <c r="D19" s="73"/>
      <c r="E19" s="73">
        <v>8213.7099999999991</v>
      </c>
      <c r="F19" s="42">
        <v>0</v>
      </c>
      <c r="G19" s="42">
        <f t="shared" si="0"/>
        <v>8213.7099999999991</v>
      </c>
      <c r="H19" s="2" t="str">
        <f>VLOOKUP(A19,'TB JUNE'!A:H,8,0)</f>
        <v>Not Applicable</v>
      </c>
    </row>
    <row r="20" spans="1:8" hidden="1">
      <c r="A20" s="62" t="s">
        <v>334</v>
      </c>
      <c r="B20" s="73">
        <v>8936.56</v>
      </c>
      <c r="C20" s="73"/>
      <c r="D20" s="73"/>
      <c r="E20" s="73">
        <v>8936.56</v>
      </c>
      <c r="F20" s="42">
        <v>0</v>
      </c>
      <c r="G20" s="42">
        <f t="shared" si="0"/>
        <v>8936.56</v>
      </c>
      <c r="H20" s="2" t="str">
        <f>VLOOKUP(A20,'TB JUNE'!A:H,8,0)</f>
        <v>Not Applicable</v>
      </c>
    </row>
    <row r="21" spans="1:8" hidden="1">
      <c r="A21" s="62" t="s">
        <v>333</v>
      </c>
      <c r="B21" s="73">
        <v>196345.38</v>
      </c>
      <c r="C21" s="73"/>
      <c r="D21" s="73"/>
      <c r="E21" s="73">
        <v>196345.38</v>
      </c>
      <c r="F21" s="42">
        <v>0</v>
      </c>
      <c r="G21" s="42">
        <f t="shared" si="0"/>
        <v>196345.38</v>
      </c>
      <c r="H21" s="2" t="str">
        <f>VLOOKUP(A21,'TB JUNE'!A:H,8,0)</f>
        <v>Not Applicable</v>
      </c>
    </row>
    <row r="22" spans="1:8" hidden="1">
      <c r="A22" s="62" t="s">
        <v>232</v>
      </c>
      <c r="B22" s="73">
        <v>-484344</v>
      </c>
      <c r="C22" s="73"/>
      <c r="D22" s="73"/>
      <c r="E22" s="73">
        <v>-484344</v>
      </c>
      <c r="F22" s="42">
        <v>0</v>
      </c>
      <c r="G22" s="42">
        <f t="shared" si="0"/>
        <v>-484344</v>
      </c>
      <c r="H22" s="2" t="str">
        <f>VLOOKUP(A22,'TB JUNE'!A:H,8,0)</f>
        <v>Not Applicable</v>
      </c>
    </row>
    <row r="23" spans="1:8" hidden="1">
      <c r="A23" s="62" t="s">
        <v>332</v>
      </c>
      <c r="B23" s="73">
        <v>473797.97</v>
      </c>
      <c r="C23" s="73"/>
      <c r="D23" s="73"/>
      <c r="E23" s="73">
        <v>473797.97</v>
      </c>
      <c r="F23" s="42">
        <v>0</v>
      </c>
      <c r="G23" s="42">
        <f t="shared" si="0"/>
        <v>473797.97</v>
      </c>
      <c r="H23" s="2" t="str">
        <f>VLOOKUP(A23,'TB JUNE'!A:H,8,0)</f>
        <v>Not Applicable</v>
      </c>
    </row>
    <row r="24" spans="1:8" hidden="1">
      <c r="A24" s="62" t="s">
        <v>331</v>
      </c>
      <c r="B24" s="73">
        <v>6228</v>
      </c>
      <c r="C24" s="73"/>
      <c r="D24" s="73"/>
      <c r="E24" s="73">
        <v>6228</v>
      </c>
      <c r="F24" s="42">
        <v>0</v>
      </c>
      <c r="G24" s="42">
        <f t="shared" si="0"/>
        <v>6228</v>
      </c>
      <c r="H24" s="2" t="str">
        <f>VLOOKUP(A24,'TB JUNE'!A:H,8,0)</f>
        <v>Not Applicable</v>
      </c>
    </row>
    <row r="25" spans="1:8" hidden="1">
      <c r="A25" s="62" t="s">
        <v>330</v>
      </c>
      <c r="B25" s="73">
        <v>650</v>
      </c>
      <c r="C25" s="73"/>
      <c r="D25" s="73"/>
      <c r="E25" s="73">
        <v>650</v>
      </c>
      <c r="F25" s="42">
        <v>0</v>
      </c>
      <c r="G25" s="42">
        <f t="shared" si="0"/>
        <v>650</v>
      </c>
      <c r="H25" s="2" t="str">
        <f>VLOOKUP(A25,'TB JUNE'!A:H,8,0)</f>
        <v>Not Applicable</v>
      </c>
    </row>
    <row r="26" spans="1:8" hidden="1">
      <c r="A26" s="62" t="s">
        <v>329</v>
      </c>
      <c r="B26" s="73">
        <v>127789.26</v>
      </c>
      <c r="C26" s="73"/>
      <c r="D26" s="73"/>
      <c r="E26" s="73">
        <v>127789.26</v>
      </c>
      <c r="F26" s="42">
        <v>0</v>
      </c>
      <c r="G26" s="42">
        <f t="shared" si="0"/>
        <v>127789.26</v>
      </c>
      <c r="H26" s="2" t="str">
        <f>VLOOKUP(A26,'TB JUNE'!A:H,8,0)</f>
        <v>Not Applicable</v>
      </c>
    </row>
    <row r="27" spans="1:8" hidden="1">
      <c r="A27" s="62" t="s">
        <v>203</v>
      </c>
      <c r="B27" s="73">
        <v>106300</v>
      </c>
      <c r="C27" s="73"/>
      <c r="D27" s="73"/>
      <c r="E27" s="73">
        <v>106300</v>
      </c>
      <c r="F27" s="42">
        <v>0</v>
      </c>
      <c r="G27" s="42">
        <f t="shared" si="0"/>
        <v>106300</v>
      </c>
      <c r="H27" s="2" t="str">
        <f>VLOOKUP(A27,'TB JUNE'!A:H,8,0)</f>
        <v>Not Applicable</v>
      </c>
    </row>
    <row r="28" spans="1:8" hidden="1">
      <c r="A28" s="62" t="s">
        <v>106</v>
      </c>
      <c r="B28" s="73">
        <v>417606643.33999997</v>
      </c>
      <c r="C28" s="73"/>
      <c r="D28" s="73"/>
      <c r="E28" s="73">
        <v>417606643.33999997</v>
      </c>
      <c r="F28" s="42">
        <v>0</v>
      </c>
      <c r="G28" s="42">
        <f t="shared" si="0"/>
        <v>417606643.33999997</v>
      </c>
      <c r="H28" s="2" t="str">
        <f>VLOOKUP(A28,'TB JUNE'!A:H,8,0)</f>
        <v>Not Applicable</v>
      </c>
    </row>
    <row r="29" spans="1:8" hidden="1">
      <c r="A29" s="62" t="s">
        <v>283</v>
      </c>
      <c r="B29" s="73">
        <v>-400000</v>
      </c>
      <c r="C29" s="73"/>
      <c r="D29" s="73"/>
      <c r="E29" s="73">
        <v>-400000</v>
      </c>
      <c r="F29" s="42">
        <v>0</v>
      </c>
      <c r="G29" s="42">
        <f t="shared" si="0"/>
        <v>-400000</v>
      </c>
      <c r="H29" s="2" t="str">
        <f>VLOOKUP(A29,'TB JUNE'!A:H,8,0)</f>
        <v>Not Applicable</v>
      </c>
    </row>
    <row r="30" spans="1:8" hidden="1">
      <c r="A30" s="62" t="s">
        <v>308</v>
      </c>
      <c r="B30" s="73">
        <v>9000</v>
      </c>
      <c r="C30" s="73"/>
      <c r="D30" s="73"/>
      <c r="E30" s="73">
        <v>9000</v>
      </c>
      <c r="F30" s="42">
        <v>0</v>
      </c>
      <c r="G30" s="42">
        <f t="shared" si="0"/>
        <v>9000</v>
      </c>
      <c r="H30" s="2" t="str">
        <f>VLOOKUP(A30,'TB JUNE'!A:H,8,0)</f>
        <v>Not Applicable</v>
      </c>
    </row>
    <row r="31" spans="1:8" hidden="1">
      <c r="A31" s="62" t="s">
        <v>309</v>
      </c>
      <c r="B31" s="73">
        <v>3000</v>
      </c>
      <c r="C31" s="73"/>
      <c r="D31" s="73"/>
      <c r="E31" s="73">
        <v>3000</v>
      </c>
      <c r="F31" s="42">
        <v>0</v>
      </c>
      <c r="G31" s="42">
        <f t="shared" si="0"/>
        <v>3000</v>
      </c>
      <c r="H31" s="2" t="str">
        <f>VLOOKUP(A31,'TB JUNE'!A:H,8,0)</f>
        <v>Not Applicable</v>
      </c>
    </row>
    <row r="32" spans="1:8" hidden="1">
      <c r="A32" s="62" t="s">
        <v>310</v>
      </c>
      <c r="B32" s="73">
        <v>17933</v>
      </c>
      <c r="C32" s="73"/>
      <c r="D32" s="73"/>
      <c r="E32" s="73">
        <v>17933</v>
      </c>
      <c r="F32" s="42">
        <v>0</v>
      </c>
      <c r="G32" s="42">
        <f t="shared" si="0"/>
        <v>17933</v>
      </c>
      <c r="H32" s="2" t="str">
        <f>VLOOKUP(A32,'TB JUNE'!A:H,8,0)</f>
        <v>Not Applicable</v>
      </c>
    </row>
    <row r="33" spans="1:8" hidden="1">
      <c r="A33" s="62" t="s">
        <v>311</v>
      </c>
      <c r="B33" s="73">
        <v>104000</v>
      </c>
      <c r="C33" s="73"/>
      <c r="D33" s="73"/>
      <c r="E33" s="73">
        <v>104000</v>
      </c>
      <c r="F33" s="42">
        <v>0</v>
      </c>
      <c r="G33" s="42">
        <f t="shared" si="0"/>
        <v>104000</v>
      </c>
      <c r="H33" s="2" t="str">
        <f>VLOOKUP(A33,'TB JUNE'!A:H,8,0)</f>
        <v>Not Applicable</v>
      </c>
    </row>
    <row r="34" spans="1:8" hidden="1">
      <c r="A34" s="62" t="s">
        <v>312</v>
      </c>
      <c r="B34" s="73">
        <v>30000</v>
      </c>
      <c r="C34" s="73"/>
      <c r="D34" s="73"/>
      <c r="E34" s="73">
        <v>30000</v>
      </c>
      <c r="F34" s="42">
        <v>0</v>
      </c>
      <c r="G34" s="42">
        <f t="shared" si="0"/>
        <v>30000</v>
      </c>
      <c r="H34" s="2" t="str">
        <f>VLOOKUP(A34,'TB JUNE'!A:H,8,0)</f>
        <v>Not Applicable</v>
      </c>
    </row>
    <row r="35" spans="1:8" hidden="1">
      <c r="A35" s="62" t="s">
        <v>947</v>
      </c>
      <c r="B35" s="73">
        <v>311200</v>
      </c>
      <c r="C35" s="73"/>
      <c r="D35" s="73"/>
      <c r="E35" s="73">
        <v>311200</v>
      </c>
      <c r="F35" s="42">
        <v>0</v>
      </c>
      <c r="G35" s="42">
        <f t="shared" si="0"/>
        <v>311200</v>
      </c>
      <c r="H35" s="2" t="str">
        <f>VLOOKUP(A35,'TB JUNE'!A:H,8,0)</f>
        <v>Not Applicable</v>
      </c>
    </row>
    <row r="36" spans="1:8" hidden="1">
      <c r="A36" s="62" t="s">
        <v>105</v>
      </c>
      <c r="B36" s="73">
        <v>109261394.04000001</v>
      </c>
      <c r="C36" s="73">
        <v>22617750.949999999</v>
      </c>
      <c r="D36" s="73"/>
      <c r="E36" s="73">
        <v>131879144.98999999</v>
      </c>
      <c r="F36" s="42">
        <v>0</v>
      </c>
      <c r="G36" s="42">
        <f t="shared" si="0"/>
        <v>131879144.98999999</v>
      </c>
      <c r="H36" s="2" t="str">
        <f>VLOOKUP(A36,'TB JUNE'!A:H,8,0)</f>
        <v>Not Applicable</v>
      </c>
    </row>
    <row r="37" spans="1:8" hidden="1">
      <c r="A37" s="62" t="s">
        <v>104</v>
      </c>
      <c r="B37" s="73">
        <v>-141619453.02000001</v>
      </c>
      <c r="C37" s="73"/>
      <c r="D37" s="73"/>
      <c r="E37" s="73">
        <v>-141619453.02000001</v>
      </c>
      <c r="F37" s="42">
        <v>0</v>
      </c>
      <c r="G37" s="42">
        <f t="shared" si="0"/>
        <v>-141619453.02000001</v>
      </c>
      <c r="H37" s="2" t="str">
        <f>VLOOKUP(A37,'TB JUNE'!A:H,8,0)</f>
        <v>Not Applicable</v>
      </c>
    </row>
    <row r="38" spans="1:8" hidden="1">
      <c r="A38" s="62" t="s">
        <v>103</v>
      </c>
      <c r="B38" s="73">
        <v>-973216365.96000004</v>
      </c>
      <c r="C38" s="73"/>
      <c r="D38" s="73"/>
      <c r="E38" s="73">
        <v>-973216365.96000004</v>
      </c>
      <c r="F38" s="42">
        <v>0</v>
      </c>
      <c r="G38" s="42">
        <f t="shared" si="0"/>
        <v>-973216365.96000004</v>
      </c>
      <c r="H38" s="2" t="str">
        <f>VLOOKUP(A38,'TB JUNE'!A:H,8,0)</f>
        <v>Not Applicable</v>
      </c>
    </row>
    <row r="39" spans="1:8" hidden="1">
      <c r="A39" s="62" t="s">
        <v>102</v>
      </c>
      <c r="B39" s="73">
        <v>-33335574.710000001</v>
      </c>
      <c r="C39" s="73"/>
      <c r="D39" s="73"/>
      <c r="E39" s="73">
        <v>-33335574.710000001</v>
      </c>
      <c r="F39" s="42">
        <v>0</v>
      </c>
      <c r="G39" s="42">
        <f t="shared" si="0"/>
        <v>-33335574.710000001</v>
      </c>
      <c r="H39" s="2" t="str">
        <f>VLOOKUP(A39,'TB JUNE'!A:H,8,0)</f>
        <v>Not Applicable</v>
      </c>
    </row>
    <row r="40" spans="1:8" hidden="1">
      <c r="A40" s="62" t="s">
        <v>101</v>
      </c>
      <c r="B40" s="73">
        <v>-3371691962.54</v>
      </c>
      <c r="C40" s="73">
        <v>320112227.54000002</v>
      </c>
      <c r="D40" s="73">
        <v>469133790.08999997</v>
      </c>
      <c r="E40" s="73">
        <v>-3520713525.0900002</v>
      </c>
      <c r="F40" s="42">
        <v>0</v>
      </c>
      <c r="G40" s="42">
        <f t="shared" si="0"/>
        <v>-3520713525.0900002</v>
      </c>
      <c r="H40" s="2" t="str">
        <f>VLOOKUP(A40,'TB JUNE'!A:H,8,0)</f>
        <v>Not Applicable</v>
      </c>
    </row>
    <row r="41" spans="1:8" hidden="1">
      <c r="A41" s="62" t="s">
        <v>117</v>
      </c>
      <c r="B41" s="73">
        <v>7980.76</v>
      </c>
      <c r="C41" s="73">
        <v>840719</v>
      </c>
      <c r="D41" s="73">
        <v>813374</v>
      </c>
      <c r="E41" s="73">
        <v>35325.760000000002</v>
      </c>
      <c r="F41" s="42">
        <v>0</v>
      </c>
      <c r="G41" s="42">
        <f t="shared" si="0"/>
        <v>35325.760000000002</v>
      </c>
      <c r="H41" s="2" t="str">
        <f>VLOOKUP(A41,'TB JUNE'!A:H,8,0)</f>
        <v>Not Applicable</v>
      </c>
    </row>
    <row r="42" spans="1:8" hidden="1">
      <c r="A42" s="62" t="s">
        <v>118</v>
      </c>
      <c r="B42" s="73">
        <v>4950</v>
      </c>
      <c r="C42" s="73"/>
      <c r="D42" s="73">
        <v>808</v>
      </c>
      <c r="E42" s="73">
        <v>4142</v>
      </c>
      <c r="F42" s="42">
        <v>0</v>
      </c>
      <c r="G42" s="42">
        <f t="shared" si="0"/>
        <v>4142</v>
      </c>
      <c r="H42" s="2" t="str">
        <f>VLOOKUP(A42,'TB JUNE'!A:H,8,0)</f>
        <v>Not Applicable</v>
      </c>
    </row>
    <row r="43" spans="1:8" hidden="1">
      <c r="A43" s="62" t="s">
        <v>1502</v>
      </c>
      <c r="B43" s="73"/>
      <c r="C43" s="73">
        <v>888121</v>
      </c>
      <c r="D43" s="73">
        <v>850830</v>
      </c>
      <c r="E43" s="73">
        <v>37291</v>
      </c>
      <c r="F43" s="42">
        <v>0</v>
      </c>
      <c r="G43" s="42">
        <f t="shared" si="0"/>
        <v>37291</v>
      </c>
      <c r="H43" s="2" t="str">
        <f>VLOOKUP(A43,'TB JUNE'!A:H,8,0)</f>
        <v>Not Applicable</v>
      </c>
    </row>
    <row r="44" spans="1:8" hidden="1">
      <c r="A44" s="62" t="s">
        <v>324</v>
      </c>
      <c r="B44" s="73">
        <v>178885102</v>
      </c>
      <c r="C44" s="73"/>
      <c r="D44" s="73"/>
      <c r="E44" s="73">
        <v>178885102</v>
      </c>
      <c r="F44" s="42">
        <v>0</v>
      </c>
      <c r="G44" s="42">
        <f t="shared" si="0"/>
        <v>178885102</v>
      </c>
      <c r="H44" s="2" t="str">
        <f>VLOOKUP(A44,'TB JUNE'!A:H,8,0)</f>
        <v>Not Applicable</v>
      </c>
    </row>
    <row r="45" spans="1:8" hidden="1">
      <c r="A45" s="62" t="s">
        <v>212</v>
      </c>
      <c r="B45" s="73">
        <v>5000000</v>
      </c>
      <c r="C45" s="73"/>
      <c r="D45" s="73"/>
      <c r="E45" s="73">
        <v>5000000</v>
      </c>
      <c r="F45" s="42">
        <v>0</v>
      </c>
      <c r="G45" s="42">
        <f t="shared" si="0"/>
        <v>5000000</v>
      </c>
      <c r="H45" s="2" t="str">
        <f>VLOOKUP(A45,'TB JUNE'!A:H,8,0)</f>
        <v>Not Applicable</v>
      </c>
    </row>
    <row r="46" spans="1:8" hidden="1">
      <c r="A46" s="62" t="s">
        <v>233</v>
      </c>
      <c r="B46" s="73">
        <v>-2993657.11</v>
      </c>
      <c r="C46" s="73"/>
      <c r="D46" s="73"/>
      <c r="E46" s="73">
        <v>-2993657.11</v>
      </c>
      <c r="F46" s="42">
        <v>0</v>
      </c>
      <c r="G46" s="42">
        <f t="shared" si="0"/>
        <v>-2993657.11</v>
      </c>
      <c r="H46" s="2" t="str">
        <f>VLOOKUP(A46,'TB JUNE'!A:H,8,0)</f>
        <v>Not Applicable</v>
      </c>
    </row>
    <row r="47" spans="1:8" hidden="1">
      <c r="A47" s="62" t="s">
        <v>123</v>
      </c>
      <c r="B47" s="73">
        <v>2497.6</v>
      </c>
      <c r="C47" s="73">
        <v>26764338.809999999</v>
      </c>
      <c r="D47" s="73">
        <v>19755477.579999998</v>
      </c>
      <c r="E47" s="73">
        <v>7011358.8300000001</v>
      </c>
      <c r="F47" s="42">
        <v>0</v>
      </c>
      <c r="G47" s="42">
        <f t="shared" si="0"/>
        <v>7011358.8300000001</v>
      </c>
      <c r="H47" s="2" t="str">
        <f>VLOOKUP(A47,'TB JUNE'!A:H,8,0)</f>
        <v>Not Applicable</v>
      </c>
    </row>
    <row r="48" spans="1:8" hidden="1">
      <c r="A48" s="62" t="s">
        <v>188</v>
      </c>
      <c r="B48" s="73"/>
      <c r="C48" s="73">
        <v>33861.9</v>
      </c>
      <c r="D48" s="73">
        <v>33861.9</v>
      </c>
      <c r="E48" s="73"/>
      <c r="F48" s="42">
        <v>0</v>
      </c>
      <c r="G48" s="42">
        <f t="shared" si="0"/>
        <v>0</v>
      </c>
      <c r="H48" s="2" t="str">
        <f>VLOOKUP(A48,'TB JUNE'!A:H,8,0)</f>
        <v>Not Applicable</v>
      </c>
    </row>
    <row r="49" spans="1:8" hidden="1">
      <c r="A49" s="62" t="s">
        <v>967</v>
      </c>
      <c r="B49" s="73"/>
      <c r="C49" s="73"/>
      <c r="D49" s="73"/>
      <c r="E49" s="73"/>
      <c r="F49" s="42">
        <v>0</v>
      </c>
      <c r="G49" s="42">
        <f t="shared" si="0"/>
        <v>0</v>
      </c>
      <c r="H49" s="2" t="str">
        <f>VLOOKUP(A49,'TB JUNE'!A:H,8,0)</f>
        <v>Not Applicable</v>
      </c>
    </row>
    <row r="50" spans="1:8" hidden="1">
      <c r="A50" s="62" t="s">
        <v>1400</v>
      </c>
      <c r="B50" s="73"/>
      <c r="C50" s="73"/>
      <c r="D50" s="73"/>
      <c r="E50" s="73"/>
      <c r="F50" s="42">
        <v>0</v>
      </c>
      <c r="G50" s="42">
        <f t="shared" si="0"/>
        <v>0</v>
      </c>
      <c r="H50" s="2" t="str">
        <f>VLOOKUP(A50,'TB JUNE'!A:H,8,0)</f>
        <v>Not Applicable</v>
      </c>
    </row>
    <row r="51" spans="1:8" hidden="1">
      <c r="A51" s="62" t="s">
        <v>209</v>
      </c>
      <c r="B51" s="73">
        <v>0.04</v>
      </c>
      <c r="C51" s="73">
        <v>4030467.59</v>
      </c>
      <c r="D51" s="73">
        <v>3183670.96</v>
      </c>
      <c r="E51" s="73">
        <v>846796.67</v>
      </c>
      <c r="F51" s="42">
        <v>0</v>
      </c>
      <c r="G51" s="42">
        <f t="shared" si="0"/>
        <v>846796.67</v>
      </c>
      <c r="H51" s="2" t="str">
        <f>VLOOKUP(A51,'TB JUNE'!A:H,8,0)</f>
        <v>Not Applicable</v>
      </c>
    </row>
    <row r="52" spans="1:8" hidden="1">
      <c r="A52" s="62" t="s">
        <v>307</v>
      </c>
      <c r="B52" s="73">
        <v>2497.6</v>
      </c>
      <c r="C52" s="73">
        <v>26764338.609999999</v>
      </c>
      <c r="D52" s="73">
        <v>19755477.579999998</v>
      </c>
      <c r="E52" s="73">
        <v>7011358.6299999999</v>
      </c>
      <c r="F52" s="42">
        <v>0</v>
      </c>
      <c r="G52" s="42">
        <f t="shared" si="0"/>
        <v>7011358.6299999999</v>
      </c>
      <c r="H52" s="2" t="str">
        <f>VLOOKUP(A52,'TB JUNE'!A:H,8,0)</f>
        <v>Not Applicable</v>
      </c>
    </row>
    <row r="53" spans="1:8" hidden="1">
      <c r="A53" s="62" t="s">
        <v>975</v>
      </c>
      <c r="B53" s="73">
        <v>-87133.69</v>
      </c>
      <c r="C53" s="73"/>
      <c r="D53" s="73">
        <v>118000</v>
      </c>
      <c r="E53" s="73">
        <v>-205133.69</v>
      </c>
      <c r="F53" s="42">
        <v>0</v>
      </c>
      <c r="G53" s="42">
        <f t="shared" si="0"/>
        <v>-205133.69</v>
      </c>
      <c r="H53" s="2" t="str">
        <f>VLOOKUP(A53,'TB JUNE'!A:H,8,0)</f>
        <v>Not Applicable</v>
      </c>
    </row>
    <row r="54" spans="1:8" hidden="1">
      <c r="A54" s="62" t="s">
        <v>1593</v>
      </c>
      <c r="B54" s="73"/>
      <c r="C54" s="73">
        <v>14180.04</v>
      </c>
      <c r="D54" s="73">
        <v>14180</v>
      </c>
      <c r="E54" s="73">
        <v>0.04</v>
      </c>
      <c r="F54" s="42">
        <v>0</v>
      </c>
      <c r="G54" s="42">
        <f t="shared" si="0"/>
        <v>0.04</v>
      </c>
      <c r="H54" s="2" t="s">
        <v>84</v>
      </c>
    </row>
    <row r="55" spans="1:8" hidden="1">
      <c r="A55" s="62" t="s">
        <v>129</v>
      </c>
      <c r="B55" s="73"/>
      <c r="C55" s="73"/>
      <c r="D55" s="73"/>
      <c r="E55" s="73"/>
      <c r="F55" s="42">
        <v>0</v>
      </c>
      <c r="G55" s="42">
        <f t="shared" si="0"/>
        <v>0</v>
      </c>
      <c r="H55" s="2" t="str">
        <f>VLOOKUP(A55,'TB JUNE'!A:H,8,0)</f>
        <v>Not Applicable</v>
      </c>
    </row>
    <row r="56" spans="1:8" hidden="1">
      <c r="A56" s="62" t="s">
        <v>208</v>
      </c>
      <c r="B56" s="73">
        <v>1259702.33</v>
      </c>
      <c r="C56" s="73">
        <v>7114388.3300000001</v>
      </c>
      <c r="D56" s="73">
        <v>4800983.34</v>
      </c>
      <c r="E56" s="73">
        <v>3573107.32</v>
      </c>
      <c r="F56" s="42">
        <v>0</v>
      </c>
      <c r="G56" s="42">
        <f t="shared" si="0"/>
        <v>3573107.32</v>
      </c>
      <c r="H56" s="2" t="str">
        <f>VLOOKUP(A56,'TB JUNE'!A:H,8,0)</f>
        <v>Not Applicable</v>
      </c>
    </row>
    <row r="57" spans="1:8" hidden="1">
      <c r="A57" s="62" t="s">
        <v>142</v>
      </c>
      <c r="B57" s="73">
        <v>1562798.14</v>
      </c>
      <c r="C57" s="73">
        <v>2295539.66</v>
      </c>
      <c r="D57" s="73">
        <v>1566340.09</v>
      </c>
      <c r="E57" s="73">
        <v>2291997.71</v>
      </c>
      <c r="F57" s="42">
        <v>0</v>
      </c>
      <c r="G57" s="42">
        <f t="shared" si="0"/>
        <v>2291997.71</v>
      </c>
      <c r="H57" s="2" t="str">
        <f>VLOOKUP(A57,'TB JUNE'!A:H,8,0)</f>
        <v>Not Applicable</v>
      </c>
    </row>
    <row r="58" spans="1:8" hidden="1">
      <c r="A58" s="62" t="s">
        <v>1547</v>
      </c>
      <c r="B58" s="73"/>
      <c r="C58" s="73">
        <v>397960.7</v>
      </c>
      <c r="D58" s="73">
        <v>397960.7</v>
      </c>
      <c r="E58" s="73"/>
      <c r="F58" s="42">
        <v>0</v>
      </c>
      <c r="G58" s="42">
        <f t="shared" si="0"/>
        <v>0</v>
      </c>
      <c r="H58" s="2" t="str">
        <f>VLOOKUP(A58,'TB JUNE'!A:H,8,0)</f>
        <v>Not Applicable</v>
      </c>
    </row>
    <row r="59" spans="1:8" hidden="1">
      <c r="A59" s="62" t="s">
        <v>143</v>
      </c>
      <c r="B59" s="73">
        <v>3825909.25</v>
      </c>
      <c r="C59" s="73">
        <v>2026701</v>
      </c>
      <c r="D59" s="73">
        <v>5843124</v>
      </c>
      <c r="E59" s="73">
        <v>9486.25</v>
      </c>
      <c r="F59" s="42">
        <v>0</v>
      </c>
      <c r="G59" s="42">
        <f t="shared" si="0"/>
        <v>9486.25</v>
      </c>
      <c r="H59" s="2" t="str">
        <f>VLOOKUP(A59,'TB JUNE'!A:H,8,0)</f>
        <v>Not Applicable</v>
      </c>
    </row>
    <row r="60" spans="1:8" hidden="1">
      <c r="A60" s="62" t="s">
        <v>1404</v>
      </c>
      <c r="B60" s="73"/>
      <c r="C60" s="73"/>
      <c r="D60" s="73"/>
      <c r="E60" s="73"/>
      <c r="F60" s="42">
        <v>0</v>
      </c>
      <c r="G60" s="42">
        <f t="shared" si="0"/>
        <v>0</v>
      </c>
      <c r="H60" s="2" t="s">
        <v>84</v>
      </c>
    </row>
    <row r="61" spans="1:8" hidden="1">
      <c r="A61" s="62" t="s">
        <v>277</v>
      </c>
      <c r="B61" s="73">
        <v>20247963.82</v>
      </c>
      <c r="C61" s="73">
        <v>42649432.159999996</v>
      </c>
      <c r="D61" s="73">
        <v>45062572.119999997</v>
      </c>
      <c r="E61" s="73">
        <v>17834823.859999999</v>
      </c>
      <c r="F61" s="42">
        <v>0</v>
      </c>
      <c r="G61" s="42">
        <f t="shared" si="0"/>
        <v>17834823.859999999</v>
      </c>
      <c r="H61" s="2" t="str">
        <f>VLOOKUP(A61,'TB JUNE'!A:H,8,0)</f>
        <v>Not Applicable</v>
      </c>
    </row>
    <row r="62" spans="1:8" hidden="1">
      <c r="A62" s="62" t="s">
        <v>157</v>
      </c>
      <c r="B62" s="73">
        <v>6083898</v>
      </c>
      <c r="C62" s="73"/>
      <c r="D62" s="73"/>
      <c r="E62" s="73">
        <v>6083898</v>
      </c>
      <c r="F62" s="42">
        <v>0</v>
      </c>
      <c r="G62" s="42">
        <f t="shared" si="0"/>
        <v>6083898</v>
      </c>
      <c r="H62" s="2" t="str">
        <f>VLOOKUP(A62,'TB JUNE'!A:H,8,0)</f>
        <v>Not Applicable</v>
      </c>
    </row>
    <row r="63" spans="1:8" hidden="1">
      <c r="A63" s="62" t="s">
        <v>1405</v>
      </c>
      <c r="B63" s="73"/>
      <c r="C63" s="73"/>
      <c r="D63" s="73"/>
      <c r="E63" s="73"/>
      <c r="F63" s="42">
        <v>0</v>
      </c>
      <c r="G63" s="42">
        <f t="shared" si="0"/>
        <v>0</v>
      </c>
      <c r="H63" s="2" t="s">
        <v>84</v>
      </c>
    </row>
    <row r="64" spans="1:8" hidden="1">
      <c r="A64" s="62" t="s">
        <v>240</v>
      </c>
      <c r="B64" s="73">
        <v>44562171</v>
      </c>
      <c r="C64" s="73"/>
      <c r="D64" s="73"/>
      <c r="E64" s="73">
        <v>44562171</v>
      </c>
      <c r="F64" s="42">
        <v>0</v>
      </c>
      <c r="G64" s="42">
        <f t="shared" si="0"/>
        <v>44562171</v>
      </c>
      <c r="H64" s="2" t="str">
        <f>VLOOKUP(A64,'TB JUNE'!A:H,8,0)</f>
        <v>Not Applicable</v>
      </c>
    </row>
    <row r="65" spans="1:8" hidden="1">
      <c r="A65" s="62" t="s">
        <v>181</v>
      </c>
      <c r="B65" s="73">
        <v>3037413</v>
      </c>
      <c r="C65" s="73"/>
      <c r="D65" s="73"/>
      <c r="E65" s="73">
        <v>3037413</v>
      </c>
      <c r="F65" s="42">
        <v>0</v>
      </c>
      <c r="G65" s="42">
        <f t="shared" si="0"/>
        <v>3037413</v>
      </c>
      <c r="H65" s="2" t="str">
        <f>VLOOKUP(A65,'TB JUNE'!A:H,8,0)</f>
        <v>Not Applicable</v>
      </c>
    </row>
    <row r="66" spans="1:8" hidden="1">
      <c r="A66" s="62" t="s">
        <v>183</v>
      </c>
      <c r="B66" s="73"/>
      <c r="C66" s="73"/>
      <c r="D66" s="73"/>
      <c r="E66" s="73"/>
      <c r="F66" s="42">
        <v>0</v>
      </c>
      <c r="G66" s="42">
        <f t="shared" si="0"/>
        <v>0</v>
      </c>
      <c r="H66" s="2" t="str">
        <f>VLOOKUP(A66,'TB JUNE'!A:H,8,0)</f>
        <v>Not Applicable</v>
      </c>
    </row>
    <row r="67" spans="1:8" hidden="1">
      <c r="A67" s="62" t="s">
        <v>186</v>
      </c>
      <c r="B67" s="73"/>
      <c r="C67" s="73"/>
      <c r="D67" s="73"/>
      <c r="E67" s="73"/>
      <c r="F67" s="42">
        <v>0</v>
      </c>
      <c r="G67" s="42">
        <f t="shared" si="0"/>
        <v>0</v>
      </c>
      <c r="H67" s="2" t="str">
        <f>VLOOKUP(A67,'TB JUNE'!A:H,8,0)</f>
        <v>Not Applicable</v>
      </c>
    </row>
    <row r="68" spans="1:8" hidden="1">
      <c r="A68" s="62" t="s">
        <v>192</v>
      </c>
      <c r="B68" s="73"/>
      <c r="C68" s="73"/>
      <c r="D68" s="73"/>
      <c r="E68" s="73"/>
      <c r="F68" s="42">
        <v>0</v>
      </c>
      <c r="G68" s="42">
        <f t="shared" si="0"/>
        <v>0</v>
      </c>
      <c r="H68" s="2" t="str">
        <f>VLOOKUP(A68,'TB JUNE'!A:H,8,0)</f>
        <v>Not Applicable</v>
      </c>
    </row>
    <row r="69" spans="1:8" hidden="1">
      <c r="A69" s="62" t="s">
        <v>287</v>
      </c>
      <c r="B69" s="73">
        <v>67898.509999999995</v>
      </c>
      <c r="C69" s="73"/>
      <c r="D69" s="73"/>
      <c r="E69" s="73">
        <v>67898.509999999995</v>
      </c>
      <c r="F69" s="42">
        <v>0</v>
      </c>
      <c r="G69" s="42">
        <f t="shared" si="0"/>
        <v>67898.509999999995</v>
      </c>
      <c r="H69" s="2" t="str">
        <f>VLOOKUP(A69,'TB JUNE'!A:H,8,0)</f>
        <v>Not Applicable</v>
      </c>
    </row>
    <row r="70" spans="1:8" hidden="1">
      <c r="A70" s="62" t="s">
        <v>153</v>
      </c>
      <c r="B70" s="73"/>
      <c r="C70" s="73"/>
      <c r="D70" s="73"/>
      <c r="E70" s="73"/>
      <c r="F70" s="42">
        <v>0</v>
      </c>
      <c r="G70" s="42">
        <f t="shared" ref="G70:G133" si="1">+E70+F70</f>
        <v>0</v>
      </c>
      <c r="H70" s="2" t="s">
        <v>84</v>
      </c>
    </row>
    <row r="71" spans="1:8" hidden="1">
      <c r="A71" s="62" t="s">
        <v>85</v>
      </c>
      <c r="B71" s="73">
        <v>-955050</v>
      </c>
      <c r="C71" s="73">
        <v>8027300</v>
      </c>
      <c r="D71" s="73">
        <v>4501000</v>
      </c>
      <c r="E71" s="73">
        <v>2571250</v>
      </c>
      <c r="F71" s="42">
        <v>0</v>
      </c>
      <c r="G71" s="42">
        <f t="shared" si="1"/>
        <v>2571250</v>
      </c>
      <c r="H71" s="2" t="str">
        <f>VLOOKUP(A71,'TB JUNE'!A:H,8,0)</f>
        <v>Not Applicable</v>
      </c>
    </row>
    <row r="72" spans="1:8" hidden="1">
      <c r="A72" s="62" t="s">
        <v>320</v>
      </c>
      <c r="B72" s="73">
        <v>2277276</v>
      </c>
      <c r="C72" s="73">
        <v>915000</v>
      </c>
      <c r="D72" s="73">
        <v>235000</v>
      </c>
      <c r="E72" s="73">
        <v>2957276</v>
      </c>
      <c r="F72" s="42">
        <v>0</v>
      </c>
      <c r="G72" s="42">
        <f t="shared" si="1"/>
        <v>2957276</v>
      </c>
      <c r="H72" s="2" t="str">
        <f>VLOOKUP(A72,'TB JUNE'!A:H,8,0)</f>
        <v>Not Applicable</v>
      </c>
    </row>
    <row r="73" spans="1:8" hidden="1">
      <c r="A73" s="62" t="s">
        <v>89</v>
      </c>
      <c r="B73" s="73">
        <v>184593.3</v>
      </c>
      <c r="C73" s="73"/>
      <c r="D73" s="73"/>
      <c r="E73" s="73">
        <v>184593.3</v>
      </c>
      <c r="F73" s="42">
        <v>0</v>
      </c>
      <c r="G73" s="42">
        <f t="shared" si="1"/>
        <v>184593.3</v>
      </c>
      <c r="H73" s="2" t="str">
        <f>VLOOKUP(A73,'TB JUNE'!A:H,8,0)</f>
        <v>Not Applicable</v>
      </c>
    </row>
    <row r="74" spans="1:8" hidden="1">
      <c r="A74" s="62" t="s">
        <v>855</v>
      </c>
      <c r="B74" s="73">
        <v>1165250</v>
      </c>
      <c r="C74" s="73">
        <v>656262.9</v>
      </c>
      <c r="D74" s="73">
        <v>1165250</v>
      </c>
      <c r="E74" s="73">
        <v>656262.9</v>
      </c>
      <c r="F74" s="42">
        <v>0</v>
      </c>
      <c r="G74" s="42">
        <f t="shared" si="1"/>
        <v>656262.9</v>
      </c>
      <c r="H74" s="2" t="str">
        <f>VLOOKUP(A74,'TB JUNE'!A:H,8,0)</f>
        <v>Not Applicable</v>
      </c>
    </row>
    <row r="75" spans="1:8" hidden="1">
      <c r="A75" s="62" t="s">
        <v>1548</v>
      </c>
      <c r="B75" s="73"/>
      <c r="C75" s="73"/>
      <c r="D75" s="73"/>
      <c r="E75" s="73"/>
      <c r="F75" s="42">
        <v>0</v>
      </c>
      <c r="G75" s="42">
        <f t="shared" si="1"/>
        <v>0</v>
      </c>
      <c r="H75" s="2" t="str">
        <f>VLOOKUP(A75,'TB JUNE'!A:H,8,0)</f>
        <v>Not Applicable</v>
      </c>
    </row>
    <row r="76" spans="1:8" hidden="1">
      <c r="A76" s="62" t="s">
        <v>201</v>
      </c>
      <c r="B76" s="73"/>
      <c r="C76" s="73"/>
      <c r="D76" s="73"/>
      <c r="E76" s="73"/>
      <c r="F76" s="42">
        <v>0</v>
      </c>
      <c r="G76" s="42">
        <f t="shared" si="1"/>
        <v>0</v>
      </c>
      <c r="H76" s="2" t="str">
        <f>VLOOKUP(A76,'TB JUNE'!A:H,8,0)</f>
        <v>Not Applicable</v>
      </c>
    </row>
    <row r="77" spans="1:8" hidden="1">
      <c r="A77" s="62" t="s">
        <v>1504</v>
      </c>
      <c r="B77" s="73"/>
      <c r="C77" s="73"/>
      <c r="D77" s="73"/>
      <c r="E77" s="73"/>
      <c r="F77" s="42">
        <v>0</v>
      </c>
      <c r="G77" s="42">
        <f t="shared" si="1"/>
        <v>0</v>
      </c>
      <c r="H77" s="2" t="str">
        <f>VLOOKUP(A77,'TB JUNE'!A:H,8,0)</f>
        <v>Not Applicable</v>
      </c>
    </row>
    <row r="78" spans="1:8" hidden="1">
      <c r="A78" s="62" t="s">
        <v>210</v>
      </c>
      <c r="B78" s="73"/>
      <c r="C78" s="73"/>
      <c r="D78" s="73"/>
      <c r="E78" s="73"/>
      <c r="F78" s="42">
        <v>0</v>
      </c>
      <c r="G78" s="42">
        <f t="shared" si="1"/>
        <v>0</v>
      </c>
      <c r="H78" s="2" t="str">
        <f>VLOOKUP(A78,'TB JUNE'!A:H,8,0)</f>
        <v>Not Applicable</v>
      </c>
    </row>
    <row r="79" spans="1:8" hidden="1">
      <c r="A79" s="62" t="s">
        <v>211</v>
      </c>
      <c r="B79" s="73"/>
      <c r="C79" s="73"/>
      <c r="D79" s="73"/>
      <c r="E79" s="73"/>
      <c r="F79" s="42">
        <v>0</v>
      </c>
      <c r="G79" s="42">
        <f t="shared" si="1"/>
        <v>0</v>
      </c>
      <c r="H79" s="2" t="str">
        <f>VLOOKUP(A79,'TB JUNE'!A:H,8,0)</f>
        <v>Not Applicable</v>
      </c>
    </row>
    <row r="80" spans="1:8" hidden="1">
      <c r="A80" s="62" t="s">
        <v>1408</v>
      </c>
      <c r="B80" s="73">
        <v>0.28999999999999998</v>
      </c>
      <c r="C80" s="73">
        <v>2516504.13</v>
      </c>
      <c r="D80" s="73">
        <v>1351508</v>
      </c>
      <c r="E80" s="73">
        <v>1164996.42</v>
      </c>
      <c r="F80" s="42">
        <v>0</v>
      </c>
      <c r="G80" s="42">
        <f t="shared" si="1"/>
        <v>1164996.42</v>
      </c>
      <c r="H80" s="2" t="str">
        <f>VLOOKUP(A80,'TB JUNE'!A:H,8,0)</f>
        <v>Not Applicable</v>
      </c>
    </row>
    <row r="81" spans="1:8" hidden="1">
      <c r="A81" s="62" t="s">
        <v>93</v>
      </c>
      <c r="B81" s="73">
        <v>1416914.97</v>
      </c>
      <c r="C81" s="73">
        <v>1711986.48</v>
      </c>
      <c r="D81" s="73">
        <v>1397115</v>
      </c>
      <c r="E81" s="73">
        <v>1731786.45</v>
      </c>
      <c r="F81" s="42">
        <v>0</v>
      </c>
      <c r="G81" s="42">
        <f t="shared" si="1"/>
        <v>1731786.45</v>
      </c>
      <c r="H81" s="2" t="str">
        <f>VLOOKUP(A81,'TB JUNE'!A:H,8,0)</f>
        <v>Not Applicable</v>
      </c>
    </row>
    <row r="82" spans="1:8" hidden="1">
      <c r="A82" s="62" t="s">
        <v>1348</v>
      </c>
      <c r="B82" s="73">
        <v>1078377.3</v>
      </c>
      <c r="C82" s="73">
        <v>1165392.3999999999</v>
      </c>
      <c r="D82" s="73">
        <v>2243769.7000000002</v>
      </c>
      <c r="E82" s="73"/>
      <c r="F82" s="42">
        <v>0</v>
      </c>
      <c r="G82" s="42">
        <f t="shared" si="1"/>
        <v>0</v>
      </c>
      <c r="H82" s="2" t="str">
        <f>VLOOKUP(A82,'TB JUNE'!A:H,8,0)</f>
        <v>Not Applicable</v>
      </c>
    </row>
    <row r="83" spans="1:8" hidden="1">
      <c r="A83" s="62" t="s">
        <v>95</v>
      </c>
      <c r="B83" s="73"/>
      <c r="C83" s="73"/>
      <c r="D83" s="73"/>
      <c r="E83" s="73"/>
      <c r="F83" s="42">
        <v>0</v>
      </c>
      <c r="G83" s="42">
        <f t="shared" si="1"/>
        <v>0</v>
      </c>
      <c r="H83" s="2" t="str">
        <f>VLOOKUP(A83,'TB JUNE'!A:H,8,0)</f>
        <v>Not Applicable</v>
      </c>
    </row>
    <row r="84" spans="1:8" hidden="1">
      <c r="A84" s="62" t="s">
        <v>94</v>
      </c>
      <c r="B84" s="73"/>
      <c r="C84" s="73"/>
      <c r="D84" s="73"/>
      <c r="E84" s="73"/>
      <c r="F84" s="42">
        <v>0</v>
      </c>
      <c r="G84" s="42">
        <f t="shared" si="1"/>
        <v>0</v>
      </c>
      <c r="H84" s="2" t="str">
        <f>VLOOKUP(A84,'TB JUNE'!A:H,8,0)</f>
        <v>Not Applicable</v>
      </c>
    </row>
    <row r="85" spans="1:8" hidden="1">
      <c r="A85" s="62" t="s">
        <v>97</v>
      </c>
      <c r="B85" s="73"/>
      <c r="C85" s="73"/>
      <c r="D85" s="73"/>
      <c r="E85" s="73"/>
      <c r="F85" s="42">
        <v>0</v>
      </c>
      <c r="G85" s="42">
        <f t="shared" si="1"/>
        <v>0</v>
      </c>
      <c r="H85" s="2" t="str">
        <f>VLOOKUP(A85,'TB JUNE'!A:H,8,0)</f>
        <v>Not Applicable</v>
      </c>
    </row>
    <row r="86" spans="1:8" hidden="1">
      <c r="A86" s="62" t="s">
        <v>934</v>
      </c>
      <c r="B86" s="73">
        <v>876917.2</v>
      </c>
      <c r="C86" s="73"/>
      <c r="D86" s="73">
        <v>876917.2</v>
      </c>
      <c r="E86" s="73"/>
      <c r="F86" s="42">
        <v>0</v>
      </c>
      <c r="G86" s="42">
        <f t="shared" si="1"/>
        <v>0</v>
      </c>
      <c r="H86" s="2" t="str">
        <f>VLOOKUP(A86,'TB JUNE'!A:H,8,0)</f>
        <v>Not Applicable</v>
      </c>
    </row>
    <row r="87" spans="1:8" hidden="1">
      <c r="A87" s="62" t="s">
        <v>220</v>
      </c>
      <c r="B87" s="73"/>
      <c r="C87" s="73"/>
      <c r="D87" s="73"/>
      <c r="E87" s="73"/>
      <c r="F87" s="42">
        <v>0</v>
      </c>
      <c r="G87" s="42">
        <f t="shared" si="1"/>
        <v>0</v>
      </c>
      <c r="H87" s="2" t="str">
        <f>VLOOKUP(A87,'TB JUNE'!A:H,8,0)</f>
        <v>Not Applicable</v>
      </c>
    </row>
    <row r="88" spans="1:8" hidden="1">
      <c r="A88" s="62" t="s">
        <v>109</v>
      </c>
      <c r="B88" s="73"/>
      <c r="C88" s="73"/>
      <c r="D88" s="73"/>
      <c r="E88" s="73"/>
      <c r="F88" s="42">
        <v>0</v>
      </c>
      <c r="G88" s="42">
        <f t="shared" si="1"/>
        <v>0</v>
      </c>
      <c r="H88" s="2" t="str">
        <f>VLOOKUP(A88,'TB JUNE'!A:H,8,0)</f>
        <v>Not Applicable</v>
      </c>
    </row>
    <row r="89" spans="1:8" hidden="1">
      <c r="A89" s="62" t="s">
        <v>1503</v>
      </c>
      <c r="B89" s="73"/>
      <c r="C89" s="73">
        <v>3321700</v>
      </c>
      <c r="D89" s="73">
        <v>206500</v>
      </c>
      <c r="E89" s="73">
        <v>3115200</v>
      </c>
      <c r="F89" s="42">
        <v>0</v>
      </c>
      <c r="G89" s="42">
        <f t="shared" si="1"/>
        <v>3115200</v>
      </c>
      <c r="H89" s="2" t="str">
        <f>VLOOKUP(A89,'TB JUNE'!A:H,8,0)</f>
        <v>Not Applicable</v>
      </c>
    </row>
    <row r="90" spans="1:8" hidden="1">
      <c r="A90" s="62" t="s">
        <v>110</v>
      </c>
      <c r="B90" s="73"/>
      <c r="C90" s="73">
        <v>2602819</v>
      </c>
      <c r="D90" s="73"/>
      <c r="E90" s="73">
        <v>2602819</v>
      </c>
      <c r="F90" s="42">
        <v>0</v>
      </c>
      <c r="G90" s="42">
        <f t="shared" si="1"/>
        <v>2602819</v>
      </c>
      <c r="H90" s="2" t="str">
        <f>VLOOKUP(A90,'TB JUNE'!A:H,8,0)</f>
        <v>Not Applicable</v>
      </c>
    </row>
    <row r="91" spans="1:8" hidden="1">
      <c r="A91" s="62" t="s">
        <v>1326</v>
      </c>
      <c r="B91" s="73"/>
      <c r="C91" s="73"/>
      <c r="D91" s="73"/>
      <c r="E91" s="73"/>
      <c r="F91" s="42">
        <v>0</v>
      </c>
      <c r="G91" s="42">
        <f t="shared" si="1"/>
        <v>0</v>
      </c>
      <c r="H91" s="2" t="str">
        <f>VLOOKUP(A91,'TB JUNE'!A:H,8,0)</f>
        <v>Not Applicable</v>
      </c>
    </row>
    <row r="92" spans="1:8" hidden="1">
      <c r="A92" s="62" t="s">
        <v>114</v>
      </c>
      <c r="B92" s="73"/>
      <c r="C92" s="73"/>
      <c r="D92" s="73"/>
      <c r="E92" s="73"/>
      <c r="F92" s="42">
        <v>0</v>
      </c>
      <c r="G92" s="42">
        <f t="shared" si="1"/>
        <v>0</v>
      </c>
      <c r="H92" s="2" t="str">
        <f>VLOOKUP(A92,'TB JUNE'!A:H,8,0)</f>
        <v>Not Applicable</v>
      </c>
    </row>
    <row r="93" spans="1:8" hidden="1">
      <c r="A93" s="62" t="s">
        <v>229</v>
      </c>
      <c r="B93" s="73"/>
      <c r="C93" s="73"/>
      <c r="D93" s="73"/>
      <c r="E93" s="73"/>
      <c r="F93" s="42">
        <v>0</v>
      </c>
      <c r="G93" s="42">
        <f t="shared" si="1"/>
        <v>0</v>
      </c>
      <c r="H93" s="2" t="str">
        <f>VLOOKUP(A93,'TB JUNE'!A:H,8,0)</f>
        <v>Not Applicable</v>
      </c>
    </row>
    <row r="94" spans="1:8" hidden="1">
      <c r="A94" s="62" t="s">
        <v>1409</v>
      </c>
      <c r="B94" s="73"/>
      <c r="C94" s="73">
        <v>1407150</v>
      </c>
      <c r="D94" s="73">
        <v>1407150</v>
      </c>
      <c r="E94" s="73"/>
      <c r="F94" s="42">
        <v>0</v>
      </c>
      <c r="G94" s="42">
        <f t="shared" si="1"/>
        <v>0</v>
      </c>
      <c r="H94" s="2" t="str">
        <f>VLOOKUP(A94,'TB JUNE'!A:H,8,0)</f>
        <v>Not Applicable</v>
      </c>
    </row>
    <row r="95" spans="1:8" hidden="1">
      <c r="A95" s="62" t="s">
        <v>236</v>
      </c>
      <c r="B95" s="73">
        <v>3709</v>
      </c>
      <c r="C95" s="73"/>
      <c r="D95" s="73"/>
      <c r="E95" s="73">
        <v>3709</v>
      </c>
      <c r="F95" s="42">
        <v>0</v>
      </c>
      <c r="G95" s="42">
        <f t="shared" si="1"/>
        <v>3709</v>
      </c>
      <c r="H95" s="2" t="str">
        <f>VLOOKUP(A95,'TB JUNE'!A:H,8,0)</f>
        <v>Not Applicable</v>
      </c>
    </row>
    <row r="96" spans="1:8" hidden="1">
      <c r="A96" s="62" t="s">
        <v>1550</v>
      </c>
      <c r="B96" s="73"/>
      <c r="C96" s="73">
        <v>772558.5</v>
      </c>
      <c r="D96" s="73">
        <v>771012</v>
      </c>
      <c r="E96" s="73">
        <v>1546.5</v>
      </c>
      <c r="F96" s="42">
        <v>0</v>
      </c>
      <c r="G96" s="42">
        <f t="shared" si="1"/>
        <v>1546.5</v>
      </c>
      <c r="H96" s="2" t="str">
        <f>VLOOKUP(A96,'TB JUNE'!A:H,8,0)</f>
        <v>Not Applicable</v>
      </c>
    </row>
    <row r="97" spans="1:8" hidden="1">
      <c r="A97" s="62" t="s">
        <v>1506</v>
      </c>
      <c r="B97" s="73"/>
      <c r="C97" s="73">
        <v>274944.71999999997</v>
      </c>
      <c r="D97" s="73">
        <v>274944.71999999997</v>
      </c>
      <c r="E97" s="73"/>
      <c r="F97" s="42">
        <v>0</v>
      </c>
      <c r="G97" s="42">
        <f t="shared" si="1"/>
        <v>0</v>
      </c>
      <c r="H97" s="2" t="str">
        <f>VLOOKUP(A97,'TB JUNE'!A:H,8,0)</f>
        <v>Not Applicable</v>
      </c>
    </row>
    <row r="98" spans="1:8" hidden="1">
      <c r="A98" s="62" t="s">
        <v>1307</v>
      </c>
      <c r="B98" s="73"/>
      <c r="C98" s="73"/>
      <c r="D98" s="73"/>
      <c r="E98" s="73"/>
      <c r="F98" s="42">
        <v>0</v>
      </c>
      <c r="G98" s="42">
        <f t="shared" si="1"/>
        <v>0</v>
      </c>
      <c r="H98" s="2" t="str">
        <f>VLOOKUP(A98,'TB JUNE'!A:H,8,0)</f>
        <v>Not Applicable</v>
      </c>
    </row>
    <row r="99" spans="1:8" hidden="1">
      <c r="A99" s="62" t="s">
        <v>237</v>
      </c>
      <c r="B99" s="73">
        <v>-399.12</v>
      </c>
      <c r="C99" s="73"/>
      <c r="D99" s="73"/>
      <c r="E99" s="73">
        <v>-399.12</v>
      </c>
      <c r="F99" s="42">
        <v>0</v>
      </c>
      <c r="G99" s="42">
        <f t="shared" si="1"/>
        <v>-399.12</v>
      </c>
      <c r="H99" s="2" t="str">
        <f>VLOOKUP(A99,'TB JUNE'!A:H,8,0)</f>
        <v>Not Applicable</v>
      </c>
    </row>
    <row r="100" spans="1:8" hidden="1">
      <c r="A100" s="62" t="s">
        <v>1112</v>
      </c>
      <c r="B100" s="73">
        <v>-0.2</v>
      </c>
      <c r="C100" s="73"/>
      <c r="D100" s="73"/>
      <c r="E100" s="73">
        <v>-0.2</v>
      </c>
      <c r="F100" s="42">
        <v>0</v>
      </c>
      <c r="G100" s="42">
        <f t="shared" si="1"/>
        <v>-0.2</v>
      </c>
      <c r="H100" s="2" t="str">
        <f>VLOOKUP(A100,'TB JUNE'!A:H,8,0)</f>
        <v>Not Applicable</v>
      </c>
    </row>
    <row r="101" spans="1:8" hidden="1">
      <c r="A101" s="62" t="s">
        <v>1008</v>
      </c>
      <c r="B101" s="73"/>
      <c r="C101" s="73"/>
      <c r="D101" s="73"/>
      <c r="E101" s="73"/>
      <c r="F101" s="42">
        <v>0</v>
      </c>
      <c r="G101" s="42">
        <f t="shared" si="1"/>
        <v>0</v>
      </c>
      <c r="H101" s="2" t="str">
        <f>VLOOKUP(A101,'TB JUNE'!A:H,8,0)</f>
        <v>Not Applicable</v>
      </c>
    </row>
    <row r="102" spans="1:8" hidden="1">
      <c r="A102" s="62" t="s">
        <v>1403</v>
      </c>
      <c r="B102" s="73"/>
      <c r="C102" s="73">
        <v>277300</v>
      </c>
      <c r="D102" s="73"/>
      <c r="E102" s="73">
        <v>277300</v>
      </c>
      <c r="F102" s="42">
        <v>0</v>
      </c>
      <c r="G102" s="42">
        <f t="shared" si="1"/>
        <v>277300</v>
      </c>
      <c r="H102" s="2" t="str">
        <f>VLOOKUP(A102,'TB JUNE'!A:H,8,0)</f>
        <v>Not Applicable</v>
      </c>
    </row>
    <row r="103" spans="1:8" hidden="1">
      <c r="A103" s="62" t="s">
        <v>1173</v>
      </c>
      <c r="B103" s="73">
        <v>7080</v>
      </c>
      <c r="C103" s="73"/>
      <c r="D103" s="73"/>
      <c r="E103" s="73">
        <v>7080</v>
      </c>
      <c r="F103" s="42">
        <v>0</v>
      </c>
      <c r="G103" s="42">
        <f t="shared" si="1"/>
        <v>7080</v>
      </c>
      <c r="H103" s="2" t="str">
        <f>VLOOKUP(A103,'TB JUNE'!A:H,8,0)</f>
        <v>Not Applicable</v>
      </c>
    </row>
    <row r="104" spans="1:8" hidden="1">
      <c r="A104" s="62" t="s">
        <v>1080</v>
      </c>
      <c r="B104" s="73"/>
      <c r="C104" s="73">
        <v>62490.91</v>
      </c>
      <c r="D104" s="73">
        <v>62491</v>
      </c>
      <c r="E104" s="73">
        <v>-0.09</v>
      </c>
      <c r="F104" s="42">
        <v>0</v>
      </c>
      <c r="G104" s="42">
        <f t="shared" si="1"/>
        <v>-0.09</v>
      </c>
      <c r="H104" s="2" t="str">
        <f>VLOOKUP(A104,'TB JUNE'!A:H,8,0)</f>
        <v>Not Applicable</v>
      </c>
    </row>
    <row r="105" spans="1:8" hidden="1">
      <c r="A105" s="62" t="s">
        <v>180</v>
      </c>
      <c r="B105" s="73"/>
      <c r="C105" s="73"/>
      <c r="D105" s="73"/>
      <c r="E105" s="73"/>
      <c r="F105" s="42">
        <v>0</v>
      </c>
      <c r="G105" s="42">
        <f t="shared" si="1"/>
        <v>0</v>
      </c>
      <c r="H105" s="2" t="str">
        <f>VLOOKUP(A105,'TB JUNE'!A:H,8,0)</f>
        <v>Not Applicable</v>
      </c>
    </row>
    <row r="106" spans="1:8" hidden="1">
      <c r="A106" s="62" t="s">
        <v>1280</v>
      </c>
      <c r="B106" s="73"/>
      <c r="C106" s="73"/>
      <c r="D106" s="73"/>
      <c r="E106" s="73"/>
      <c r="F106" s="42">
        <v>0</v>
      </c>
      <c r="G106" s="42">
        <f t="shared" si="1"/>
        <v>0</v>
      </c>
      <c r="H106" s="2" t="str">
        <f>VLOOKUP(A106,'TB JUNE'!A:H,8,0)</f>
        <v>Not Applicable</v>
      </c>
    </row>
    <row r="107" spans="1:8" hidden="1">
      <c r="A107" s="62" t="s">
        <v>145</v>
      </c>
      <c r="B107" s="73">
        <v>861066</v>
      </c>
      <c r="C107" s="73"/>
      <c r="D107" s="73"/>
      <c r="E107" s="73">
        <v>861066</v>
      </c>
      <c r="F107" s="42">
        <v>0</v>
      </c>
      <c r="G107" s="42">
        <f t="shared" si="1"/>
        <v>861066</v>
      </c>
      <c r="H107" s="2" t="str">
        <f>VLOOKUP(A107,'TB JUNE'!A:H,8,0)</f>
        <v>Not Applicable</v>
      </c>
    </row>
    <row r="108" spans="1:8" hidden="1">
      <c r="A108" s="62" t="s">
        <v>1279</v>
      </c>
      <c r="B108" s="73">
        <v>100980</v>
      </c>
      <c r="C108" s="73"/>
      <c r="D108" s="73"/>
      <c r="E108" s="73">
        <v>100980</v>
      </c>
      <c r="F108" s="42">
        <v>0</v>
      </c>
      <c r="G108" s="42">
        <f t="shared" si="1"/>
        <v>100980</v>
      </c>
      <c r="H108" s="2" t="str">
        <f>VLOOKUP(A108,'TB JUNE'!A:H,8,0)</f>
        <v>Not Applicable</v>
      </c>
    </row>
    <row r="109" spans="1:8" hidden="1">
      <c r="A109" s="62" t="s">
        <v>198</v>
      </c>
      <c r="B109" s="73"/>
      <c r="C109" s="73"/>
      <c r="D109" s="73"/>
      <c r="E109" s="73"/>
      <c r="F109" s="42">
        <v>0</v>
      </c>
      <c r="G109" s="42">
        <f t="shared" si="1"/>
        <v>0</v>
      </c>
      <c r="H109" s="2" t="str">
        <f>VLOOKUP(A109,'TB JUNE'!A:H,8,0)</f>
        <v>Not Applicable</v>
      </c>
    </row>
    <row r="110" spans="1:8" hidden="1">
      <c r="A110" s="62" t="s">
        <v>1085</v>
      </c>
      <c r="B110" s="73"/>
      <c r="C110" s="73">
        <v>26539.38</v>
      </c>
      <c r="D110" s="73">
        <v>26539</v>
      </c>
      <c r="E110" s="73">
        <v>0.38</v>
      </c>
      <c r="F110" s="42">
        <v>0</v>
      </c>
      <c r="G110" s="42">
        <f t="shared" si="1"/>
        <v>0.38</v>
      </c>
      <c r="H110" s="2" t="s">
        <v>84</v>
      </c>
    </row>
    <row r="111" spans="1:8" hidden="1">
      <c r="A111" s="62" t="s">
        <v>1594</v>
      </c>
      <c r="B111" s="73">
        <v>-5256733.6100000003</v>
      </c>
      <c r="C111" s="73">
        <v>22261760.32</v>
      </c>
      <c r="D111" s="73">
        <v>38589342.939999998</v>
      </c>
      <c r="E111" s="73">
        <v>-21584316.23</v>
      </c>
      <c r="F111" s="42">
        <v>0</v>
      </c>
      <c r="G111" s="42">
        <f t="shared" si="1"/>
        <v>-21584316.23</v>
      </c>
      <c r="H111" s="2" t="s">
        <v>84</v>
      </c>
    </row>
    <row r="112" spans="1:8" hidden="1">
      <c r="A112" s="62" t="s">
        <v>213</v>
      </c>
      <c r="B112" s="73">
        <v>-60996.61</v>
      </c>
      <c r="C112" s="73"/>
      <c r="D112" s="73"/>
      <c r="E112" s="73">
        <v>-60996.61</v>
      </c>
      <c r="F112" s="42">
        <v>0</v>
      </c>
      <c r="G112" s="42">
        <f t="shared" si="1"/>
        <v>-60996.61</v>
      </c>
      <c r="H112" s="2" t="str">
        <f>VLOOKUP(A112,'TB JUNE'!A:H,8,0)</f>
        <v>Not Applicable</v>
      </c>
    </row>
    <row r="113" spans="1:8" hidden="1">
      <c r="A113" s="62" t="s">
        <v>1129</v>
      </c>
      <c r="B113" s="73"/>
      <c r="C113" s="73"/>
      <c r="D113" s="73"/>
      <c r="E113" s="73"/>
      <c r="F113" s="42">
        <v>0</v>
      </c>
      <c r="G113" s="42">
        <f t="shared" si="1"/>
        <v>0</v>
      </c>
      <c r="H113" s="2" t="str">
        <f>VLOOKUP(A113,'TB JUNE'!A:H,8,0)</f>
        <v>Not Applicable</v>
      </c>
    </row>
    <row r="114" spans="1:8" hidden="1">
      <c r="A114" s="62" t="s">
        <v>1010</v>
      </c>
      <c r="B114" s="73">
        <v>-0.8</v>
      </c>
      <c r="C114" s="73">
        <v>39718.800000000003</v>
      </c>
      <c r="D114" s="73">
        <v>39718</v>
      </c>
      <c r="E114" s="73"/>
      <c r="F114" s="42">
        <v>0</v>
      </c>
      <c r="G114" s="42">
        <f t="shared" si="1"/>
        <v>0</v>
      </c>
      <c r="H114" s="2" t="str">
        <f>VLOOKUP(A114,'TB JUNE'!A:H,8,0)</f>
        <v>Not Applicable</v>
      </c>
    </row>
    <row r="115" spans="1:8" hidden="1">
      <c r="A115" s="62" t="s">
        <v>214</v>
      </c>
      <c r="B115" s="73"/>
      <c r="C115" s="73"/>
      <c r="D115" s="73"/>
      <c r="E115" s="73"/>
      <c r="F115" s="42">
        <v>0</v>
      </c>
      <c r="G115" s="42">
        <f t="shared" si="1"/>
        <v>0</v>
      </c>
      <c r="H115" s="2" t="str">
        <f>VLOOKUP(A115,'TB JUNE'!A:H,8,0)</f>
        <v>Not Applicable</v>
      </c>
    </row>
    <row r="116" spans="1:8" hidden="1">
      <c r="A116" s="62" t="s">
        <v>997</v>
      </c>
      <c r="B116" s="73">
        <v>790600</v>
      </c>
      <c r="C116" s="73">
        <v>849600</v>
      </c>
      <c r="D116" s="73">
        <v>790600</v>
      </c>
      <c r="E116" s="73">
        <v>849600</v>
      </c>
      <c r="F116" s="42">
        <v>0</v>
      </c>
      <c r="G116" s="42">
        <f t="shared" si="1"/>
        <v>849600</v>
      </c>
      <c r="H116" s="2" t="str">
        <f>VLOOKUP(A116,'TB JUNE'!A:H,8,0)</f>
        <v>Not Applicable</v>
      </c>
    </row>
    <row r="117" spans="1:8" hidden="1">
      <c r="A117" s="62" t="s">
        <v>1411</v>
      </c>
      <c r="B117" s="73"/>
      <c r="C117" s="73"/>
      <c r="D117" s="73"/>
      <c r="E117" s="73"/>
      <c r="F117" s="42">
        <v>0</v>
      </c>
      <c r="G117" s="42">
        <f t="shared" si="1"/>
        <v>0</v>
      </c>
      <c r="H117" s="2" t="str">
        <f>VLOOKUP(A117,'TB JUNE'!A:H,8,0)</f>
        <v>Not Applicable</v>
      </c>
    </row>
    <row r="118" spans="1:8" hidden="1">
      <c r="A118" s="62" t="s">
        <v>278</v>
      </c>
      <c r="B118" s="73">
        <v>-41231265.590000004</v>
      </c>
      <c r="C118" s="73"/>
      <c r="D118" s="73"/>
      <c r="E118" s="73">
        <v>-41231265.590000004</v>
      </c>
      <c r="F118" s="42">
        <v>0</v>
      </c>
      <c r="G118" s="42">
        <f t="shared" si="1"/>
        <v>-41231265.590000004</v>
      </c>
      <c r="H118" s="2" t="str">
        <f>VLOOKUP(A118,'TB JUNE'!A:H,8,0)</f>
        <v>Not Applicable</v>
      </c>
    </row>
    <row r="119" spans="1:8" hidden="1">
      <c r="A119" s="62" t="s">
        <v>279</v>
      </c>
      <c r="B119" s="73">
        <v>2313539751.3099999</v>
      </c>
      <c r="C119" s="73">
        <v>47202699.060000002</v>
      </c>
      <c r="D119" s="73">
        <v>3762508.77</v>
      </c>
      <c r="E119" s="73">
        <v>2356979941.5999999</v>
      </c>
      <c r="F119" s="42">
        <v>0</v>
      </c>
      <c r="G119" s="42">
        <f t="shared" si="1"/>
        <v>2356979941.5999999</v>
      </c>
      <c r="H119" s="2" t="str">
        <f>VLOOKUP(A119,'TB JUNE'!A:H,8,0)</f>
        <v>Not Applicable</v>
      </c>
    </row>
    <row r="120" spans="1:8" hidden="1">
      <c r="A120" s="62" t="s">
        <v>280</v>
      </c>
      <c r="B120" s="73">
        <v>14907.1</v>
      </c>
      <c r="C120" s="73"/>
      <c r="D120" s="73"/>
      <c r="E120" s="73">
        <v>14907.1</v>
      </c>
      <c r="F120" s="42">
        <v>0</v>
      </c>
      <c r="G120" s="42">
        <f t="shared" si="1"/>
        <v>14907.1</v>
      </c>
      <c r="H120" s="2" t="str">
        <f>VLOOKUP(A120,'TB JUNE'!A:H,8,0)</f>
        <v>Not Applicable</v>
      </c>
    </row>
    <row r="121" spans="1:8" hidden="1">
      <c r="A121" s="62" t="s">
        <v>281</v>
      </c>
      <c r="B121" s="73">
        <v>334761187.47000003</v>
      </c>
      <c r="C121" s="73"/>
      <c r="D121" s="73"/>
      <c r="E121" s="73">
        <v>334761187.47000003</v>
      </c>
      <c r="F121" s="42">
        <v>0</v>
      </c>
      <c r="G121" s="42">
        <f t="shared" si="1"/>
        <v>334761187.47000003</v>
      </c>
      <c r="H121" s="2" t="str">
        <f>VLOOKUP(A121,'TB JUNE'!A:H,8,0)</f>
        <v>Not Applicable</v>
      </c>
    </row>
    <row r="122" spans="1:8" hidden="1">
      <c r="A122" s="62" t="s">
        <v>282</v>
      </c>
      <c r="B122" s="73">
        <v>190645194.84999999</v>
      </c>
      <c r="C122" s="73"/>
      <c r="D122" s="73"/>
      <c r="E122" s="73">
        <v>190645194.84999999</v>
      </c>
      <c r="F122" s="42">
        <v>0</v>
      </c>
      <c r="G122" s="42">
        <f t="shared" si="1"/>
        <v>190645194.84999999</v>
      </c>
      <c r="H122" s="2" t="str">
        <f>VLOOKUP(A122,'TB JUNE'!A:H,8,0)</f>
        <v>Not Applicable</v>
      </c>
    </row>
    <row r="123" spans="1:8" hidden="1">
      <c r="A123" s="62" t="s">
        <v>284</v>
      </c>
      <c r="B123" s="73">
        <v>1250730553.02</v>
      </c>
      <c r="C123" s="73">
        <v>86799008.159999996</v>
      </c>
      <c r="D123" s="73">
        <v>17370</v>
      </c>
      <c r="E123" s="73">
        <v>1337512191.1800001</v>
      </c>
      <c r="F123" s="42">
        <v>0</v>
      </c>
      <c r="G123" s="42">
        <f t="shared" si="1"/>
        <v>1337512191.1800001</v>
      </c>
      <c r="H123" s="2" t="str">
        <f>VLOOKUP(A123,'TB JUNE'!A:H,8,0)</f>
        <v>Not Applicable</v>
      </c>
    </row>
    <row r="124" spans="1:8" hidden="1">
      <c r="A124" s="62" t="s">
        <v>998</v>
      </c>
      <c r="B124" s="73">
        <v>458670</v>
      </c>
      <c r="C124" s="73"/>
      <c r="D124" s="73"/>
      <c r="E124" s="73">
        <v>458670</v>
      </c>
      <c r="F124" s="42">
        <v>0</v>
      </c>
      <c r="G124" s="42">
        <f t="shared" si="1"/>
        <v>458670</v>
      </c>
      <c r="H124" s="2" t="str">
        <f>VLOOKUP(A124,'TB JUNE'!A:H,8,0)</f>
        <v>Not Applicable</v>
      </c>
    </row>
    <row r="125" spans="1:8" hidden="1">
      <c r="A125" s="62" t="s">
        <v>215</v>
      </c>
      <c r="B125" s="73"/>
      <c r="C125" s="73"/>
      <c r="D125" s="73"/>
      <c r="E125" s="73"/>
      <c r="F125" s="42">
        <v>0</v>
      </c>
      <c r="G125" s="42">
        <f t="shared" si="1"/>
        <v>0</v>
      </c>
      <c r="H125" s="2" t="str">
        <f>VLOOKUP(A125,'TB JUNE'!A:H,8,0)</f>
        <v>Not Applicable</v>
      </c>
    </row>
    <row r="126" spans="1:8" hidden="1">
      <c r="A126" s="62" t="s">
        <v>216</v>
      </c>
      <c r="B126" s="73"/>
      <c r="C126" s="73"/>
      <c r="D126" s="73"/>
      <c r="E126" s="73"/>
      <c r="F126" s="42">
        <v>0</v>
      </c>
      <c r="G126" s="42">
        <f t="shared" si="1"/>
        <v>0</v>
      </c>
      <c r="H126" s="2" t="str">
        <f>VLOOKUP(A126,'TB JUNE'!A:H,8,0)</f>
        <v>Not Applicable</v>
      </c>
    </row>
    <row r="127" spans="1:8" hidden="1">
      <c r="A127" s="62" t="s">
        <v>221</v>
      </c>
      <c r="B127" s="73">
        <v>38029942.490000002</v>
      </c>
      <c r="C127" s="73"/>
      <c r="D127" s="73"/>
      <c r="E127" s="73">
        <v>38029942.490000002</v>
      </c>
      <c r="F127" s="42">
        <v>0</v>
      </c>
      <c r="G127" s="42">
        <f t="shared" si="1"/>
        <v>38029942.490000002</v>
      </c>
      <c r="H127" s="2" t="str">
        <f>VLOOKUP(A127,'TB JUNE'!A:H,8,0)</f>
        <v>Not Applicable</v>
      </c>
    </row>
    <row r="128" spans="1:8" hidden="1">
      <c r="A128" s="62" t="s">
        <v>222</v>
      </c>
      <c r="B128" s="73">
        <v>285662294.56</v>
      </c>
      <c r="C128" s="73">
        <v>31531745.52</v>
      </c>
      <c r="D128" s="73">
        <v>80660273.510000005</v>
      </c>
      <c r="E128" s="73">
        <v>236533766.56999999</v>
      </c>
      <c r="F128" s="42">
        <v>0</v>
      </c>
      <c r="G128" s="42">
        <f t="shared" si="1"/>
        <v>236533766.56999999</v>
      </c>
      <c r="H128" s="2" t="str">
        <f>VLOOKUP(A128,'TB JUNE'!A:H,8,0)</f>
        <v>Not Applicable</v>
      </c>
    </row>
    <row r="129" spans="1:8" hidden="1">
      <c r="A129" s="62" t="s">
        <v>1552</v>
      </c>
      <c r="B129" s="73"/>
      <c r="C129" s="73"/>
      <c r="D129" s="73"/>
      <c r="E129" s="73"/>
      <c r="F129" s="42">
        <v>0</v>
      </c>
      <c r="G129" s="42">
        <f t="shared" si="1"/>
        <v>0</v>
      </c>
      <c r="H129" s="2" t="str">
        <f>VLOOKUP(A129,'TB JUNE'!A:H,8,0)</f>
        <v>Not Applicable</v>
      </c>
    </row>
    <row r="130" spans="1:8" hidden="1">
      <c r="A130" s="62" t="s">
        <v>299</v>
      </c>
      <c r="B130" s="73"/>
      <c r="C130" s="73"/>
      <c r="D130" s="73"/>
      <c r="E130" s="73"/>
      <c r="F130" s="42">
        <v>0</v>
      </c>
      <c r="G130" s="42">
        <f t="shared" si="1"/>
        <v>0</v>
      </c>
      <c r="H130" s="2" t="str">
        <f>VLOOKUP(A130,'TB JUNE'!A:H,8,0)</f>
        <v>Not Applicable</v>
      </c>
    </row>
    <row r="131" spans="1:8" hidden="1">
      <c r="A131" s="62" t="s">
        <v>223</v>
      </c>
      <c r="B131" s="73">
        <v>2002647731.99</v>
      </c>
      <c r="C131" s="73">
        <v>103562411.93000001</v>
      </c>
      <c r="D131" s="73"/>
      <c r="E131" s="73">
        <v>2106210143.9200001</v>
      </c>
      <c r="F131" s="42">
        <v>0</v>
      </c>
      <c r="G131" s="42">
        <f t="shared" si="1"/>
        <v>2106210143.9200001</v>
      </c>
      <c r="H131" s="2" t="str">
        <f>VLOOKUP(A131,'TB JUNE'!A:H,8,0)</f>
        <v>Not Applicable</v>
      </c>
    </row>
    <row r="132" spans="1:8" hidden="1">
      <c r="A132" s="62" t="s">
        <v>1549</v>
      </c>
      <c r="B132" s="73"/>
      <c r="C132" s="73">
        <v>472752</v>
      </c>
      <c r="D132" s="73">
        <v>622752</v>
      </c>
      <c r="E132" s="73">
        <v>-150000</v>
      </c>
      <c r="F132" s="42">
        <v>0</v>
      </c>
      <c r="G132" s="42">
        <f t="shared" si="1"/>
        <v>-150000</v>
      </c>
      <c r="H132" s="2" t="str">
        <f>VLOOKUP(A132,'TB JUNE'!A:H,8,0)</f>
        <v>Not Applicable</v>
      </c>
    </row>
    <row r="133" spans="1:8" hidden="1">
      <c r="A133" s="62" t="s">
        <v>1508</v>
      </c>
      <c r="B133" s="73"/>
      <c r="C133" s="73">
        <v>143880</v>
      </c>
      <c r="D133" s="73">
        <v>207680</v>
      </c>
      <c r="E133" s="73">
        <v>-63800</v>
      </c>
      <c r="F133" s="42">
        <v>0</v>
      </c>
      <c r="G133" s="42">
        <f t="shared" si="1"/>
        <v>-63800</v>
      </c>
      <c r="H133" s="2" t="str">
        <f>VLOOKUP(A133,'TB JUNE'!A:H,8,0)</f>
        <v>Not Applicable</v>
      </c>
    </row>
    <row r="134" spans="1:8" hidden="1">
      <c r="A134" s="62" t="s">
        <v>226</v>
      </c>
      <c r="B134" s="73">
        <v>4254750.16</v>
      </c>
      <c r="C134" s="73"/>
      <c r="D134" s="73"/>
      <c r="E134" s="73">
        <v>4254750.16</v>
      </c>
      <c r="F134" s="42">
        <v>0</v>
      </c>
      <c r="G134" s="42">
        <f t="shared" ref="G134:G197" si="2">+E134+F134</f>
        <v>4254750.16</v>
      </c>
      <c r="H134" s="2" t="str">
        <f>VLOOKUP(A134,'TB JUNE'!A:H,8,0)</f>
        <v>Not Applicable</v>
      </c>
    </row>
    <row r="135" spans="1:8" hidden="1">
      <c r="A135" s="62" t="s">
        <v>1410</v>
      </c>
      <c r="B135" s="73"/>
      <c r="C135" s="73"/>
      <c r="D135" s="73"/>
      <c r="E135" s="73"/>
      <c r="F135" s="42">
        <v>0</v>
      </c>
      <c r="G135" s="42">
        <f t="shared" si="2"/>
        <v>0</v>
      </c>
      <c r="H135" s="2" t="str">
        <f>VLOOKUP(A135,'TB JUNE'!A:H,8,0)</f>
        <v>Not Applicable</v>
      </c>
    </row>
    <row r="136" spans="1:8" hidden="1">
      <c r="A136" s="62" t="s">
        <v>856</v>
      </c>
      <c r="B136" s="73"/>
      <c r="C136" s="73"/>
      <c r="D136" s="73"/>
      <c r="E136" s="73"/>
      <c r="F136" s="42">
        <v>0</v>
      </c>
      <c r="G136" s="42">
        <f t="shared" si="2"/>
        <v>0</v>
      </c>
      <c r="H136" s="2" t="str">
        <f>VLOOKUP(A136,'TB JUNE'!A:H,8,0)</f>
        <v>Not Applicable</v>
      </c>
    </row>
    <row r="137" spans="1:8" hidden="1">
      <c r="A137" s="62" t="s">
        <v>1084</v>
      </c>
      <c r="B137" s="73">
        <v>36647.85</v>
      </c>
      <c r="C137" s="73"/>
      <c r="D137" s="73"/>
      <c r="E137" s="73">
        <v>36647.85</v>
      </c>
      <c r="F137" s="42">
        <v>0</v>
      </c>
      <c r="G137" s="42">
        <f t="shared" si="2"/>
        <v>36647.85</v>
      </c>
      <c r="H137" s="2" t="str">
        <f>VLOOKUP(A137,'TB JUNE'!A:H,8,0)</f>
        <v>Not Applicable</v>
      </c>
    </row>
    <row r="138" spans="1:8" hidden="1">
      <c r="A138" s="62" t="s">
        <v>251</v>
      </c>
      <c r="B138" s="73">
        <v>5897841.1200000001</v>
      </c>
      <c r="C138" s="73">
        <v>2702520.96</v>
      </c>
      <c r="D138" s="73">
        <v>1600000</v>
      </c>
      <c r="E138" s="73">
        <v>7000362.0800000001</v>
      </c>
      <c r="F138" s="42">
        <v>0</v>
      </c>
      <c r="G138" s="42">
        <f t="shared" si="2"/>
        <v>7000362.0800000001</v>
      </c>
      <c r="H138" s="2" t="str">
        <f>VLOOKUP(A138,'TB JUNE'!A:H,8,0)</f>
        <v>Not Applicable</v>
      </c>
    </row>
    <row r="139" spans="1:8" hidden="1">
      <c r="A139" s="62" t="s">
        <v>316</v>
      </c>
      <c r="B139" s="73"/>
      <c r="C139" s="73"/>
      <c r="D139" s="73"/>
      <c r="E139" s="73"/>
      <c r="F139" s="42">
        <v>0</v>
      </c>
      <c r="G139" s="42">
        <f t="shared" si="2"/>
        <v>0</v>
      </c>
      <c r="H139" s="2" t="str">
        <f>VLOOKUP(A139,'TB JUNE'!A:H,8,0)</f>
        <v>Not Applicable</v>
      </c>
    </row>
    <row r="140" spans="1:8" hidden="1">
      <c r="A140" s="62" t="s">
        <v>999</v>
      </c>
      <c r="B140" s="73">
        <v>5927.06</v>
      </c>
      <c r="C140" s="73"/>
      <c r="D140" s="73"/>
      <c r="E140" s="73">
        <v>5927.06</v>
      </c>
      <c r="F140" s="42">
        <v>0</v>
      </c>
      <c r="G140" s="42">
        <f t="shared" si="2"/>
        <v>5927.06</v>
      </c>
      <c r="H140" s="2" t="str">
        <f>VLOOKUP(A140,'TB JUNE'!A:H,8,0)</f>
        <v>Not Applicable</v>
      </c>
    </row>
    <row r="141" spans="1:8" hidden="1">
      <c r="A141" s="62" t="s">
        <v>328</v>
      </c>
      <c r="B141" s="73"/>
      <c r="C141" s="73"/>
      <c r="D141" s="73"/>
      <c r="E141" s="73"/>
      <c r="F141" s="42">
        <v>0</v>
      </c>
      <c r="G141" s="42">
        <f t="shared" si="2"/>
        <v>0</v>
      </c>
      <c r="H141" s="2" t="str">
        <f>VLOOKUP(A141,'TB JUNE'!A:H,8,0)</f>
        <v>Not Applicable</v>
      </c>
    </row>
    <row r="142" spans="1:8" hidden="1">
      <c r="A142" s="62" t="s">
        <v>921</v>
      </c>
      <c r="B142" s="73"/>
      <c r="C142" s="73"/>
      <c r="D142" s="73"/>
      <c r="E142" s="73"/>
      <c r="F142" s="42">
        <v>0</v>
      </c>
      <c r="G142" s="42">
        <f t="shared" si="2"/>
        <v>0</v>
      </c>
      <c r="H142" s="2" t="str">
        <f>VLOOKUP(A142,'TB JUNE'!A:H,8,0)</f>
        <v>Not Applicable</v>
      </c>
    </row>
    <row r="143" spans="1:8" hidden="1">
      <c r="A143" s="62" t="s">
        <v>1021</v>
      </c>
      <c r="B143" s="73">
        <v>43680</v>
      </c>
      <c r="C143" s="73"/>
      <c r="D143" s="73"/>
      <c r="E143" s="73">
        <v>43680</v>
      </c>
      <c r="F143" s="42">
        <v>0</v>
      </c>
      <c r="G143" s="42">
        <f t="shared" si="2"/>
        <v>43680</v>
      </c>
      <c r="H143" s="2" t="str">
        <f>VLOOKUP(A143,'TB JUNE'!A:H,8,0)</f>
        <v>Not Applicable</v>
      </c>
    </row>
    <row r="144" spans="1:8" hidden="1">
      <c r="A144" s="62" t="s">
        <v>1553</v>
      </c>
      <c r="B144" s="73"/>
      <c r="C144" s="73"/>
      <c r="D144" s="73"/>
      <c r="E144" s="73"/>
      <c r="F144" s="42">
        <v>0</v>
      </c>
      <c r="G144" s="42">
        <f t="shared" si="2"/>
        <v>0</v>
      </c>
      <c r="H144" s="2" t="str">
        <f>VLOOKUP(A144,'TB JUNE'!A:H,8,0)</f>
        <v>Not Applicable</v>
      </c>
    </row>
    <row r="145" spans="1:8" hidden="1">
      <c r="A145" s="62" t="s">
        <v>1255</v>
      </c>
      <c r="B145" s="73">
        <v>660271.35999999999</v>
      </c>
      <c r="C145" s="73">
        <v>169827.96</v>
      </c>
      <c r="D145" s="73">
        <v>462916</v>
      </c>
      <c r="E145" s="73">
        <v>367183.32</v>
      </c>
      <c r="F145" s="42">
        <v>0</v>
      </c>
      <c r="G145" s="42">
        <f t="shared" si="2"/>
        <v>367183.32</v>
      </c>
      <c r="H145" s="2" t="str">
        <f>VLOOKUP(A145,'TB JUNE'!A:H,8,0)</f>
        <v>Not Applicable</v>
      </c>
    </row>
    <row r="146" spans="1:8" hidden="1">
      <c r="A146" s="62" t="s">
        <v>262</v>
      </c>
      <c r="B146" s="73">
        <v>37315340.590000004</v>
      </c>
      <c r="C146" s="73"/>
      <c r="D146" s="73"/>
      <c r="E146" s="73">
        <v>37315340.590000004</v>
      </c>
      <c r="F146" s="42">
        <v>0</v>
      </c>
      <c r="G146" s="42">
        <f t="shared" si="2"/>
        <v>37315340.590000004</v>
      </c>
      <c r="H146" s="2" t="str">
        <f>VLOOKUP(A146,'TB JUNE'!A:H,8,0)</f>
        <v>Not Applicable</v>
      </c>
    </row>
    <row r="147" spans="1:8" hidden="1">
      <c r="A147" s="62" t="s">
        <v>263</v>
      </c>
      <c r="B147" s="73">
        <v>144441320.65000001</v>
      </c>
      <c r="C147" s="73"/>
      <c r="D147" s="73"/>
      <c r="E147" s="73">
        <v>144441320.65000001</v>
      </c>
      <c r="F147" s="42">
        <v>0</v>
      </c>
      <c r="G147" s="42">
        <f t="shared" si="2"/>
        <v>144441320.65000001</v>
      </c>
      <c r="H147" s="2" t="str">
        <f>VLOOKUP(A147,'TB JUNE'!A:H,8,0)</f>
        <v>Not Applicable</v>
      </c>
    </row>
    <row r="148" spans="1:8" hidden="1">
      <c r="A148" s="62" t="s">
        <v>264</v>
      </c>
      <c r="B148" s="73">
        <v>83440</v>
      </c>
      <c r="C148" s="73"/>
      <c r="D148" s="73"/>
      <c r="E148" s="73">
        <v>83440</v>
      </c>
      <c r="F148" s="42">
        <v>0</v>
      </c>
      <c r="G148" s="42">
        <f t="shared" si="2"/>
        <v>83440</v>
      </c>
      <c r="H148" s="2" t="str">
        <f>VLOOKUP(A148,'TB JUNE'!A:H,8,0)</f>
        <v>Not Applicable</v>
      </c>
    </row>
    <row r="149" spans="1:8" hidden="1">
      <c r="A149" s="62" t="s">
        <v>196</v>
      </c>
      <c r="B149" s="73">
        <v>124228425.31999999</v>
      </c>
      <c r="C149" s="73"/>
      <c r="D149" s="73"/>
      <c r="E149" s="73">
        <v>124228425.31999999</v>
      </c>
      <c r="F149" s="42">
        <v>0</v>
      </c>
      <c r="G149" s="42">
        <f t="shared" si="2"/>
        <v>124228425.31999999</v>
      </c>
      <c r="H149" s="2" t="str">
        <f>VLOOKUP(A149,'TB JUNE'!A:H,8,0)</f>
        <v>Not Applicable</v>
      </c>
    </row>
    <row r="150" spans="1:8" hidden="1">
      <c r="A150" s="62" t="s">
        <v>197</v>
      </c>
      <c r="B150" s="73">
        <v>105929094.08</v>
      </c>
      <c r="C150" s="73">
        <v>84730930.590000004</v>
      </c>
      <c r="D150" s="73">
        <v>130727899.43000001</v>
      </c>
      <c r="E150" s="73">
        <v>59932125.240000002</v>
      </c>
      <c r="F150" s="42">
        <v>0</v>
      </c>
      <c r="G150" s="42">
        <f t="shared" si="2"/>
        <v>59932125.240000002</v>
      </c>
      <c r="H150" s="2" t="str">
        <f>VLOOKUP(A150,'TB JUNE'!A:H,8,0)</f>
        <v>Not Applicable</v>
      </c>
    </row>
    <row r="151" spans="1:8" hidden="1">
      <c r="A151" s="62" t="s">
        <v>265</v>
      </c>
      <c r="B151" s="73">
        <v>-44800</v>
      </c>
      <c r="C151" s="73"/>
      <c r="D151" s="73"/>
      <c r="E151" s="73">
        <v>-44800</v>
      </c>
      <c r="F151" s="42">
        <v>0</v>
      </c>
      <c r="G151" s="42">
        <f t="shared" si="2"/>
        <v>-44800</v>
      </c>
      <c r="H151" s="2" t="str">
        <f>VLOOKUP(A151,'TB JUNE'!A:H,8,0)</f>
        <v>Not Applicable</v>
      </c>
    </row>
    <row r="152" spans="1:8" hidden="1">
      <c r="A152" s="62" t="s">
        <v>83</v>
      </c>
      <c r="B152" s="73"/>
      <c r="C152" s="73"/>
      <c r="D152" s="73"/>
      <c r="E152" s="73"/>
      <c r="F152" s="42">
        <v>0</v>
      </c>
      <c r="G152" s="42">
        <f t="shared" si="2"/>
        <v>0</v>
      </c>
      <c r="H152" s="2" t="str">
        <f>VLOOKUP(A152,'TB JUNE'!A:H,8,0)</f>
        <v>Not Applicable</v>
      </c>
    </row>
    <row r="153" spans="1:8" hidden="1">
      <c r="A153" s="62" t="s">
        <v>88</v>
      </c>
      <c r="B153" s="73">
        <v>0.01</v>
      </c>
      <c r="C153" s="73"/>
      <c r="D153" s="73"/>
      <c r="E153" s="73">
        <v>0.01</v>
      </c>
      <c r="F153" s="42">
        <v>0</v>
      </c>
      <c r="G153" s="42">
        <f t="shared" si="2"/>
        <v>0.01</v>
      </c>
      <c r="H153" s="2" t="str">
        <f>VLOOKUP(A153,'TB JUNE'!A:H,8,0)</f>
        <v>Not Applicable</v>
      </c>
    </row>
    <row r="154" spans="1:8" hidden="1">
      <c r="A154" s="62" t="s">
        <v>90</v>
      </c>
      <c r="B154" s="73"/>
      <c r="C154" s="73"/>
      <c r="D154" s="73"/>
      <c r="E154" s="73"/>
      <c r="F154" s="42">
        <v>0</v>
      </c>
      <c r="G154" s="42">
        <f t="shared" si="2"/>
        <v>0</v>
      </c>
      <c r="H154" s="2" t="str">
        <f>VLOOKUP(A154,'TB JUNE'!A:H,8,0)</f>
        <v>Not Applicable</v>
      </c>
    </row>
    <row r="155" spans="1:8" hidden="1">
      <c r="A155" s="62" t="s">
        <v>96</v>
      </c>
      <c r="B155" s="73"/>
      <c r="C155" s="73"/>
      <c r="D155" s="73"/>
      <c r="E155" s="73"/>
      <c r="F155" s="42">
        <v>0</v>
      </c>
      <c r="G155" s="42">
        <f t="shared" si="2"/>
        <v>0</v>
      </c>
      <c r="H155" s="2" t="str">
        <f>VLOOKUP(A155,'TB JUNE'!A:H,8,0)</f>
        <v>Not Applicable</v>
      </c>
    </row>
    <row r="156" spans="1:8" hidden="1">
      <c r="A156" s="62" t="s">
        <v>1281</v>
      </c>
      <c r="B156" s="73">
        <v>511492.5</v>
      </c>
      <c r="C156" s="73"/>
      <c r="D156" s="73"/>
      <c r="E156" s="73">
        <v>511492.5</v>
      </c>
      <c r="F156" s="42">
        <v>0</v>
      </c>
      <c r="G156" s="42">
        <f t="shared" si="2"/>
        <v>511492.5</v>
      </c>
      <c r="H156" s="2" t="str">
        <f>VLOOKUP(A156,'TB JUNE'!A:H,8,0)</f>
        <v>Not Applicable</v>
      </c>
    </row>
    <row r="157" spans="1:8" hidden="1">
      <c r="A157" s="62" t="s">
        <v>98</v>
      </c>
      <c r="B157" s="73"/>
      <c r="C157" s="73"/>
      <c r="D157" s="73"/>
      <c r="E157" s="73"/>
      <c r="F157" s="42">
        <v>0</v>
      </c>
      <c r="G157" s="42">
        <f t="shared" si="2"/>
        <v>0</v>
      </c>
      <c r="H157" s="2" t="str">
        <f>VLOOKUP(A157,'TB JUNE'!A:H,8,0)</f>
        <v>Not Applicable</v>
      </c>
    </row>
    <row r="158" spans="1:8" hidden="1">
      <c r="A158" s="62" t="s">
        <v>100</v>
      </c>
      <c r="B158" s="73">
        <v>0.01</v>
      </c>
      <c r="C158" s="73"/>
      <c r="D158" s="73"/>
      <c r="E158" s="73">
        <v>0.01</v>
      </c>
      <c r="F158" s="42">
        <v>0</v>
      </c>
      <c r="G158" s="42">
        <f t="shared" si="2"/>
        <v>0.01</v>
      </c>
      <c r="H158" s="2" t="str">
        <f>VLOOKUP(A158,'TB JUNE'!A:H,8,0)</f>
        <v>Not Applicable</v>
      </c>
    </row>
    <row r="159" spans="1:8" hidden="1">
      <c r="A159" s="62" t="s">
        <v>113</v>
      </c>
      <c r="B159" s="73"/>
      <c r="C159" s="73"/>
      <c r="D159" s="73"/>
      <c r="E159" s="73"/>
      <c r="F159" s="42">
        <v>0</v>
      </c>
      <c r="G159" s="42">
        <f t="shared" si="2"/>
        <v>0</v>
      </c>
      <c r="H159" s="2" t="str">
        <f>VLOOKUP(A159,'TB JUNE'!A:H,8,0)</f>
        <v>Not Applicable</v>
      </c>
    </row>
    <row r="160" spans="1:8" hidden="1">
      <c r="A160" s="62" t="s">
        <v>120</v>
      </c>
      <c r="B160" s="73"/>
      <c r="C160" s="73"/>
      <c r="D160" s="73"/>
      <c r="E160" s="73"/>
      <c r="F160" s="42">
        <v>0</v>
      </c>
      <c r="G160" s="42">
        <f t="shared" si="2"/>
        <v>0</v>
      </c>
      <c r="H160" s="2" t="str">
        <f>VLOOKUP(A160,'TB JUNE'!A:H,8,0)</f>
        <v>Not Applicable</v>
      </c>
    </row>
    <row r="161" spans="1:8" hidden="1">
      <c r="A161" s="62" t="s">
        <v>1330</v>
      </c>
      <c r="B161" s="73">
        <v>3205673.42</v>
      </c>
      <c r="C161" s="73"/>
      <c r="D161" s="73">
        <v>3205673.42</v>
      </c>
      <c r="E161" s="73"/>
      <c r="F161" s="42">
        <v>0</v>
      </c>
      <c r="G161" s="42">
        <f t="shared" si="2"/>
        <v>0</v>
      </c>
      <c r="H161" s="2" t="str">
        <f>VLOOKUP(A161,'TB JUNE'!A:H,8,0)</f>
        <v>Not Applicable</v>
      </c>
    </row>
    <row r="162" spans="1:8" hidden="1">
      <c r="A162" s="62" t="s">
        <v>892</v>
      </c>
      <c r="B162" s="73">
        <v>0.04</v>
      </c>
      <c r="C162" s="73"/>
      <c r="D162" s="73"/>
      <c r="E162" s="73">
        <v>0.04</v>
      </c>
      <c r="F162" s="42">
        <v>0</v>
      </c>
      <c r="G162" s="42">
        <f t="shared" si="2"/>
        <v>0.04</v>
      </c>
      <c r="H162" s="2" t="str">
        <f>VLOOKUP(A162,'TB JUNE'!A:H,8,0)</f>
        <v>Not Applicable</v>
      </c>
    </row>
    <row r="163" spans="1:8" hidden="1">
      <c r="A163" s="62" t="s">
        <v>893</v>
      </c>
      <c r="B163" s="73">
        <v>3886371.7</v>
      </c>
      <c r="C163" s="73">
        <v>5209153.62</v>
      </c>
      <c r="D163" s="73">
        <v>3884063.4</v>
      </c>
      <c r="E163" s="73">
        <v>5211461.92</v>
      </c>
      <c r="F163" s="42">
        <v>0</v>
      </c>
      <c r="G163" s="42">
        <f t="shared" si="2"/>
        <v>5211461.92</v>
      </c>
      <c r="H163" s="2" t="str">
        <f>VLOOKUP(A163,'TB JUNE'!A:H,8,0)</f>
        <v>Not Applicable</v>
      </c>
    </row>
    <row r="164" spans="1:8" hidden="1">
      <c r="A164" s="62" t="s">
        <v>121</v>
      </c>
      <c r="B164" s="73">
        <v>1401640</v>
      </c>
      <c r="C164" s="73"/>
      <c r="D164" s="73">
        <v>1432063.84</v>
      </c>
      <c r="E164" s="73">
        <v>-30423.84</v>
      </c>
      <c r="F164" s="42">
        <v>0</v>
      </c>
      <c r="G164" s="42">
        <f t="shared" si="2"/>
        <v>-30423.84</v>
      </c>
      <c r="H164" s="2" t="str">
        <f>VLOOKUP(A164,'TB JUNE'!A:H,8,0)</f>
        <v>Not Applicable</v>
      </c>
    </row>
    <row r="165" spans="1:8" hidden="1">
      <c r="A165" s="62" t="s">
        <v>122</v>
      </c>
      <c r="B165" s="73">
        <v>26659540.510000002</v>
      </c>
      <c r="C165" s="73"/>
      <c r="D165" s="73">
        <v>23483763.899999999</v>
      </c>
      <c r="E165" s="73">
        <v>3175776.61</v>
      </c>
      <c r="F165" s="42">
        <v>0</v>
      </c>
      <c r="G165" s="42">
        <f t="shared" si="2"/>
        <v>3175776.61</v>
      </c>
      <c r="H165" s="2" t="str">
        <f>VLOOKUP(A165,'TB JUNE'!A:H,8,0)</f>
        <v>Not Applicable</v>
      </c>
    </row>
    <row r="166" spans="1:8" hidden="1">
      <c r="A166" s="62" t="s">
        <v>126</v>
      </c>
      <c r="B166" s="73"/>
      <c r="C166" s="73"/>
      <c r="D166" s="73"/>
      <c r="E166" s="73"/>
      <c r="F166" s="42">
        <v>0</v>
      </c>
      <c r="G166" s="42">
        <f t="shared" si="2"/>
        <v>0</v>
      </c>
      <c r="H166" s="2" t="str">
        <f>VLOOKUP(A166,'TB JUNE'!A:H,8,0)</f>
        <v>Not Applicable</v>
      </c>
    </row>
    <row r="167" spans="1:8" hidden="1">
      <c r="A167" s="62" t="s">
        <v>132</v>
      </c>
      <c r="B167" s="73">
        <v>3151699.2</v>
      </c>
      <c r="C167" s="73"/>
      <c r="D167" s="73"/>
      <c r="E167" s="73">
        <v>3151699.2</v>
      </c>
      <c r="F167" s="42">
        <v>0</v>
      </c>
      <c r="G167" s="42">
        <f t="shared" si="2"/>
        <v>3151699.2</v>
      </c>
      <c r="H167" s="2" t="str">
        <f>VLOOKUP(A167,'TB JUNE'!A:H,8,0)</f>
        <v>Not Applicable</v>
      </c>
    </row>
    <row r="168" spans="1:8" hidden="1">
      <c r="A168" s="62" t="s">
        <v>133</v>
      </c>
      <c r="B168" s="73"/>
      <c r="C168" s="73"/>
      <c r="D168" s="73"/>
      <c r="E168" s="73"/>
      <c r="F168" s="42">
        <v>0</v>
      </c>
      <c r="G168" s="42">
        <f t="shared" si="2"/>
        <v>0</v>
      </c>
      <c r="H168" s="2" t="str">
        <f>VLOOKUP(A168,'TB JUNE'!A:H,8,0)</f>
        <v>Not Applicable</v>
      </c>
    </row>
    <row r="169" spans="1:8" hidden="1">
      <c r="A169" s="62" t="s">
        <v>134</v>
      </c>
      <c r="B169" s="73"/>
      <c r="C169" s="73"/>
      <c r="D169" s="73"/>
      <c r="E169" s="73"/>
      <c r="F169" s="42">
        <v>0</v>
      </c>
      <c r="G169" s="42">
        <f t="shared" si="2"/>
        <v>0</v>
      </c>
      <c r="H169" s="2" t="str">
        <f>VLOOKUP(A169,'TB JUNE'!A:H,8,0)</f>
        <v>Not Applicable</v>
      </c>
    </row>
    <row r="170" spans="1:8" hidden="1">
      <c r="A170" s="62" t="s">
        <v>135</v>
      </c>
      <c r="B170" s="73"/>
      <c r="C170" s="73"/>
      <c r="D170" s="73"/>
      <c r="E170" s="73"/>
      <c r="F170" s="42">
        <v>0</v>
      </c>
      <c r="G170" s="42">
        <f t="shared" si="2"/>
        <v>0</v>
      </c>
      <c r="H170" s="2" t="str">
        <f>VLOOKUP(A170,'TB JUNE'!A:H,8,0)</f>
        <v>Not Applicable</v>
      </c>
    </row>
    <row r="171" spans="1:8" hidden="1">
      <c r="A171" s="62" t="s">
        <v>1417</v>
      </c>
      <c r="B171" s="73"/>
      <c r="C171" s="73"/>
      <c r="D171" s="73"/>
      <c r="E171" s="73"/>
      <c r="F171" s="42">
        <v>0</v>
      </c>
      <c r="G171" s="42">
        <f t="shared" si="2"/>
        <v>0</v>
      </c>
      <c r="H171" s="2" t="str">
        <f>VLOOKUP(A171,'TB JUNE'!A:H,8,0)</f>
        <v>Not Applicable</v>
      </c>
    </row>
    <row r="172" spans="1:8" hidden="1">
      <c r="A172" s="62" t="s">
        <v>137</v>
      </c>
      <c r="B172" s="73"/>
      <c r="C172" s="73"/>
      <c r="D172" s="73"/>
      <c r="E172" s="73"/>
      <c r="F172" s="42">
        <v>0</v>
      </c>
      <c r="G172" s="42">
        <f t="shared" si="2"/>
        <v>0</v>
      </c>
      <c r="H172" s="2" t="str">
        <f>VLOOKUP(A172,'TB JUNE'!A:H,8,0)</f>
        <v>Not Applicable</v>
      </c>
    </row>
    <row r="173" spans="1:8" hidden="1">
      <c r="A173" s="62" t="s">
        <v>138</v>
      </c>
      <c r="B173" s="73"/>
      <c r="C173" s="73"/>
      <c r="D173" s="73"/>
      <c r="E173" s="73"/>
      <c r="F173" s="42">
        <v>0</v>
      </c>
      <c r="G173" s="42">
        <f t="shared" si="2"/>
        <v>0</v>
      </c>
      <c r="H173" s="2" t="str">
        <f>VLOOKUP(A173,'TB JUNE'!A:H,8,0)</f>
        <v>Not Applicable</v>
      </c>
    </row>
    <row r="174" spans="1:8" hidden="1">
      <c r="A174" s="62" t="s">
        <v>152</v>
      </c>
      <c r="B174" s="73"/>
      <c r="C174" s="73"/>
      <c r="D174" s="73"/>
      <c r="E174" s="73"/>
      <c r="F174" s="42">
        <v>0</v>
      </c>
      <c r="G174" s="42">
        <f t="shared" si="2"/>
        <v>0</v>
      </c>
      <c r="H174" s="2" t="str">
        <f>VLOOKUP(A174,'TB JUNE'!A:H,8,0)</f>
        <v>Not Applicable</v>
      </c>
    </row>
    <row r="175" spans="1:8" hidden="1">
      <c r="A175" s="62" t="s">
        <v>894</v>
      </c>
      <c r="B175" s="73"/>
      <c r="C175" s="73"/>
      <c r="D175" s="73"/>
      <c r="E175" s="73"/>
      <c r="F175" s="42">
        <v>0</v>
      </c>
      <c r="G175" s="42">
        <f t="shared" si="2"/>
        <v>0</v>
      </c>
      <c r="H175" s="2" t="str">
        <f>VLOOKUP(A175,'TB JUNE'!A:H,8,0)</f>
        <v>Not Applicable</v>
      </c>
    </row>
    <row r="176" spans="1:8" hidden="1">
      <c r="A176" s="62" t="s">
        <v>154</v>
      </c>
      <c r="B176" s="73"/>
      <c r="C176" s="73"/>
      <c r="D176" s="73"/>
      <c r="E176" s="73"/>
      <c r="F176" s="42">
        <v>0</v>
      </c>
      <c r="G176" s="42">
        <f t="shared" si="2"/>
        <v>0</v>
      </c>
      <c r="H176" s="2" t="str">
        <f>VLOOKUP(A176,'TB JUNE'!A:H,8,0)</f>
        <v>Not Applicable</v>
      </c>
    </row>
    <row r="177" spans="1:8" hidden="1">
      <c r="A177" s="62" t="s">
        <v>165</v>
      </c>
      <c r="B177" s="73"/>
      <c r="C177" s="73"/>
      <c r="D177" s="73"/>
      <c r="E177" s="73"/>
      <c r="F177" s="42">
        <v>0</v>
      </c>
      <c r="G177" s="42">
        <f t="shared" si="2"/>
        <v>0</v>
      </c>
      <c r="H177" s="2" t="str">
        <f>VLOOKUP(A177,'TB JUNE'!A:H,8,0)</f>
        <v>Not Applicable</v>
      </c>
    </row>
    <row r="178" spans="1:8" hidden="1">
      <c r="A178" s="62" t="s">
        <v>158</v>
      </c>
      <c r="B178" s="73"/>
      <c r="C178" s="73"/>
      <c r="D178" s="73"/>
      <c r="E178" s="73"/>
      <c r="F178" s="42">
        <v>0</v>
      </c>
      <c r="G178" s="42">
        <f t="shared" si="2"/>
        <v>0</v>
      </c>
      <c r="H178" s="2" t="str">
        <f>VLOOKUP(A178,'TB JUNE'!A:H,8,0)</f>
        <v>Not Applicable</v>
      </c>
    </row>
    <row r="179" spans="1:8" hidden="1">
      <c r="A179" s="62" t="s">
        <v>169</v>
      </c>
      <c r="B179" s="73">
        <v>96740594.230000004</v>
      </c>
      <c r="C179" s="73">
        <v>50349421.030000001</v>
      </c>
      <c r="D179" s="73">
        <v>79097242.730000004</v>
      </c>
      <c r="E179" s="73">
        <v>67992772.530000001</v>
      </c>
      <c r="F179" s="42">
        <v>0</v>
      </c>
      <c r="G179" s="42">
        <f t="shared" si="2"/>
        <v>67992772.530000001</v>
      </c>
      <c r="H179" s="2" t="str">
        <f>VLOOKUP(A179,'TB JUNE'!A:H,8,0)</f>
        <v>Not Applicable</v>
      </c>
    </row>
    <row r="180" spans="1:8" hidden="1">
      <c r="A180" s="62" t="s">
        <v>174</v>
      </c>
      <c r="B180" s="73">
        <v>31380.02</v>
      </c>
      <c r="C180" s="73"/>
      <c r="D180" s="73"/>
      <c r="E180" s="73">
        <v>31380.02</v>
      </c>
      <c r="F180" s="42">
        <v>0</v>
      </c>
      <c r="G180" s="42">
        <f t="shared" si="2"/>
        <v>31380.02</v>
      </c>
      <c r="H180" s="2" t="str">
        <f>VLOOKUP(A180,'TB JUNE'!A:H,8,0)</f>
        <v>Not Applicable</v>
      </c>
    </row>
    <row r="181" spans="1:8" hidden="1">
      <c r="A181" s="62" t="s">
        <v>1349</v>
      </c>
      <c r="B181" s="73">
        <v>6306819.7599999998</v>
      </c>
      <c r="C181" s="73">
        <v>6382670.8899999997</v>
      </c>
      <c r="D181" s="73">
        <v>6306819.75</v>
      </c>
      <c r="E181" s="73">
        <v>6382670.9000000004</v>
      </c>
      <c r="F181" s="42">
        <v>0</v>
      </c>
      <c r="G181" s="42">
        <f t="shared" si="2"/>
        <v>6382670.9000000004</v>
      </c>
      <c r="H181" s="2" t="str">
        <f>VLOOKUP(A181,'TB JUNE'!A:H,8,0)</f>
        <v>Not Applicable</v>
      </c>
    </row>
    <row r="182" spans="1:8" hidden="1">
      <c r="A182" s="62" t="s">
        <v>1081</v>
      </c>
      <c r="B182" s="73"/>
      <c r="C182" s="73">
        <v>5.81</v>
      </c>
      <c r="D182" s="73">
        <v>5.81</v>
      </c>
      <c r="E182" s="73"/>
      <c r="F182" s="42">
        <v>0</v>
      </c>
      <c r="G182" s="42">
        <f t="shared" si="2"/>
        <v>0</v>
      </c>
      <c r="H182" s="2" t="str">
        <f>VLOOKUP(A182,'TB JUNE'!A:H,8,0)</f>
        <v>Not Applicable</v>
      </c>
    </row>
    <row r="183" spans="1:8" hidden="1">
      <c r="A183" s="62" t="s">
        <v>956</v>
      </c>
      <c r="B183" s="73"/>
      <c r="C183" s="73"/>
      <c r="D183" s="73"/>
      <c r="E183" s="73"/>
      <c r="F183" s="42">
        <v>0</v>
      </c>
      <c r="G183" s="42">
        <f t="shared" si="2"/>
        <v>0</v>
      </c>
      <c r="H183" s="2" t="str">
        <f>VLOOKUP(A183,'TB JUNE'!A:H,8,0)</f>
        <v>Not Applicable</v>
      </c>
    </row>
    <row r="184" spans="1:8" hidden="1">
      <c r="A184" s="62" t="s">
        <v>266</v>
      </c>
      <c r="B184" s="73">
        <v>4599669.7300000004</v>
      </c>
      <c r="C184" s="73"/>
      <c r="D184" s="73"/>
      <c r="E184" s="73">
        <v>4599669.7300000004</v>
      </c>
      <c r="F184" s="42">
        <v>0</v>
      </c>
      <c r="G184" s="42">
        <f t="shared" si="2"/>
        <v>4599669.7300000004</v>
      </c>
      <c r="H184" s="2" t="str">
        <f>VLOOKUP(A184,'TB JUNE'!A:H,8,0)</f>
        <v>Not Applicable</v>
      </c>
    </row>
    <row r="185" spans="1:8" hidden="1">
      <c r="A185" s="62" t="s">
        <v>1053</v>
      </c>
      <c r="B185" s="73">
        <v>18614228.199999999</v>
      </c>
      <c r="C185" s="73">
        <v>20330601.309999999</v>
      </c>
      <c r="D185" s="73">
        <v>42785310.200000003</v>
      </c>
      <c r="E185" s="73">
        <v>-3840480.69</v>
      </c>
      <c r="F185" s="42">
        <v>0</v>
      </c>
      <c r="G185" s="42">
        <f t="shared" si="2"/>
        <v>-3840480.69</v>
      </c>
      <c r="H185" s="2" t="str">
        <f>VLOOKUP(A185,'TB JUNE'!A:H,8,0)</f>
        <v>Not Applicable</v>
      </c>
    </row>
    <row r="186" spans="1:8" hidden="1">
      <c r="A186" s="62" t="s">
        <v>271</v>
      </c>
      <c r="B186" s="73">
        <v>1000</v>
      </c>
      <c r="C186" s="73"/>
      <c r="D186" s="73"/>
      <c r="E186" s="73">
        <v>1000</v>
      </c>
      <c r="F186" s="42">
        <v>0</v>
      </c>
      <c r="G186" s="42">
        <f t="shared" si="2"/>
        <v>1000</v>
      </c>
      <c r="H186" s="2" t="str">
        <f>VLOOKUP(A186,'TB JUNE'!A:H,8,0)</f>
        <v>Not Applicable</v>
      </c>
    </row>
    <row r="187" spans="1:8" hidden="1">
      <c r="A187" s="62" t="s">
        <v>1011</v>
      </c>
      <c r="B187" s="73">
        <v>42831</v>
      </c>
      <c r="C187" s="73"/>
      <c r="D187" s="73">
        <v>42831</v>
      </c>
      <c r="E187" s="73"/>
      <c r="F187" s="42">
        <v>0</v>
      </c>
      <c r="G187" s="42">
        <f t="shared" si="2"/>
        <v>0</v>
      </c>
      <c r="H187" s="2" t="str">
        <f>VLOOKUP(A187,'TB JUNE'!A:H,8,0)</f>
        <v>Not Applicable</v>
      </c>
    </row>
    <row r="188" spans="1:8" hidden="1">
      <c r="A188" s="62" t="s">
        <v>1595</v>
      </c>
      <c r="B188" s="73"/>
      <c r="C188" s="73">
        <v>79101.3</v>
      </c>
      <c r="D188" s="73"/>
      <c r="E188" s="73">
        <v>79101.3</v>
      </c>
      <c r="F188" s="42">
        <v>0</v>
      </c>
      <c r="G188" s="42">
        <f t="shared" si="2"/>
        <v>79101.3</v>
      </c>
      <c r="H188" s="2" t="s">
        <v>84</v>
      </c>
    </row>
    <row r="189" spans="1:8" hidden="1">
      <c r="A189" s="62" t="s">
        <v>272</v>
      </c>
      <c r="B189" s="73">
        <v>5253236.1500000004</v>
      </c>
      <c r="C189" s="73"/>
      <c r="D189" s="73"/>
      <c r="E189" s="73">
        <v>5253236.1500000004</v>
      </c>
      <c r="F189" s="42">
        <v>0</v>
      </c>
      <c r="G189" s="42">
        <f t="shared" si="2"/>
        <v>5253236.1500000004</v>
      </c>
      <c r="H189" s="2" t="str">
        <f>VLOOKUP(A189,'TB JUNE'!A:H,8,0)</f>
        <v>Not Applicable</v>
      </c>
    </row>
    <row r="190" spans="1:8" hidden="1">
      <c r="A190" s="62" t="s">
        <v>273</v>
      </c>
      <c r="B190" s="73"/>
      <c r="C190" s="73"/>
      <c r="D190" s="73"/>
      <c r="E190" s="73"/>
      <c r="F190" s="42">
        <v>0</v>
      </c>
      <c r="G190" s="42">
        <f t="shared" si="2"/>
        <v>0</v>
      </c>
      <c r="H190" s="2" t="str">
        <f>VLOOKUP(A190,'TB JUNE'!A:H,8,0)</f>
        <v>Not Applicable</v>
      </c>
    </row>
    <row r="191" spans="1:8" hidden="1">
      <c r="A191" s="62" t="s">
        <v>292</v>
      </c>
      <c r="B191" s="73">
        <v>580857.16</v>
      </c>
      <c r="C191" s="73"/>
      <c r="D191" s="73"/>
      <c r="E191" s="73">
        <v>580857.16</v>
      </c>
      <c r="F191" s="42">
        <v>0</v>
      </c>
      <c r="G191" s="42">
        <f t="shared" si="2"/>
        <v>580857.16</v>
      </c>
      <c r="H191" s="2" t="str">
        <f>VLOOKUP(A191,'TB JUNE'!A:H,8,0)</f>
        <v>Not Applicable</v>
      </c>
    </row>
    <row r="192" spans="1:8" hidden="1">
      <c r="A192" s="62" t="s">
        <v>957</v>
      </c>
      <c r="B192" s="73"/>
      <c r="C192" s="73"/>
      <c r="D192" s="73"/>
      <c r="E192" s="73"/>
      <c r="F192" s="42">
        <v>0</v>
      </c>
      <c r="G192" s="42">
        <f t="shared" si="2"/>
        <v>0</v>
      </c>
      <c r="H192" s="2" t="str">
        <f>VLOOKUP(A192,'TB JUNE'!A:H,8,0)</f>
        <v>Not Applicable</v>
      </c>
    </row>
    <row r="193" spans="1:8" hidden="1">
      <c r="A193" s="62" t="s">
        <v>1551</v>
      </c>
      <c r="B193" s="73"/>
      <c r="C193" s="73">
        <v>211532.7</v>
      </c>
      <c r="D193" s="73">
        <v>211533</v>
      </c>
      <c r="E193" s="73">
        <v>-0.3</v>
      </c>
      <c r="F193" s="42">
        <v>0</v>
      </c>
      <c r="G193" s="42">
        <f t="shared" si="2"/>
        <v>-0.3</v>
      </c>
      <c r="H193" s="2" t="str">
        <f>VLOOKUP(A193,'TB JUNE'!A:H,8,0)</f>
        <v>Not Applicable</v>
      </c>
    </row>
    <row r="194" spans="1:8" hidden="1">
      <c r="A194" s="62" t="s">
        <v>1002</v>
      </c>
      <c r="B194" s="73"/>
      <c r="C194" s="73"/>
      <c r="D194" s="73"/>
      <c r="E194" s="73"/>
      <c r="F194" s="42">
        <v>0</v>
      </c>
      <c r="G194" s="42">
        <f t="shared" si="2"/>
        <v>0</v>
      </c>
      <c r="H194" s="2" t="str">
        <f>VLOOKUP(A194,'TB JUNE'!A:H,8,0)</f>
        <v>Not Applicable</v>
      </c>
    </row>
    <row r="195" spans="1:8" hidden="1">
      <c r="A195" s="62" t="s">
        <v>1596</v>
      </c>
      <c r="B195" s="73"/>
      <c r="C195" s="73">
        <v>2407200</v>
      </c>
      <c r="D195" s="73">
        <v>1604800</v>
      </c>
      <c r="E195" s="73">
        <v>802400</v>
      </c>
      <c r="F195" s="42">
        <v>0</v>
      </c>
      <c r="G195" s="42">
        <f t="shared" si="2"/>
        <v>802400</v>
      </c>
      <c r="H195" s="2" t="s">
        <v>84</v>
      </c>
    </row>
    <row r="196" spans="1:8" hidden="1">
      <c r="A196" s="62" t="s">
        <v>302</v>
      </c>
      <c r="B196" s="73"/>
      <c r="C196" s="73"/>
      <c r="D196" s="73"/>
      <c r="E196" s="73"/>
      <c r="F196" s="42">
        <v>0</v>
      </c>
      <c r="G196" s="42">
        <f t="shared" si="2"/>
        <v>0</v>
      </c>
      <c r="H196" s="2" t="str">
        <f>VLOOKUP(A196,'TB JUNE'!A:H,8,0)</f>
        <v>Not Applicable</v>
      </c>
    </row>
    <row r="197" spans="1:8" hidden="1">
      <c r="A197" s="62" t="s">
        <v>313</v>
      </c>
      <c r="B197" s="73"/>
      <c r="C197" s="73"/>
      <c r="D197" s="73"/>
      <c r="E197" s="73"/>
      <c r="F197" s="42">
        <v>0</v>
      </c>
      <c r="G197" s="42">
        <f t="shared" si="2"/>
        <v>0</v>
      </c>
      <c r="H197" s="2" t="str">
        <f>VLOOKUP(A197,'TB JUNE'!A:H,8,0)</f>
        <v>Not Applicable</v>
      </c>
    </row>
    <row r="198" spans="1:8" hidden="1">
      <c r="A198" s="62" t="s">
        <v>314</v>
      </c>
      <c r="B198" s="73">
        <v>0.21</v>
      </c>
      <c r="C198" s="73"/>
      <c r="D198" s="73">
        <v>500000</v>
      </c>
      <c r="E198" s="73">
        <v>-499999.79</v>
      </c>
      <c r="F198" s="42">
        <v>0</v>
      </c>
      <c r="G198" s="42">
        <f t="shared" ref="G198:G261" si="3">+E198+F198</f>
        <v>-499999.79</v>
      </c>
      <c r="H198" s="2" t="str">
        <f>VLOOKUP(A198,'TB JUNE'!A:H,8,0)</f>
        <v>Not Applicable</v>
      </c>
    </row>
    <row r="199" spans="1:8" hidden="1">
      <c r="A199" s="62" t="s">
        <v>1156</v>
      </c>
      <c r="B199" s="73">
        <v>0.4</v>
      </c>
      <c r="C199" s="73"/>
      <c r="D199" s="73"/>
      <c r="E199" s="73">
        <v>0.4</v>
      </c>
      <c r="F199" s="42">
        <v>0</v>
      </c>
      <c r="G199" s="42">
        <f t="shared" si="3"/>
        <v>0.4</v>
      </c>
      <c r="H199" s="2" t="str">
        <f>VLOOKUP(A199,'TB JUNE'!A:H,8,0)</f>
        <v>Not Applicable</v>
      </c>
    </row>
    <row r="200" spans="1:8" hidden="1">
      <c r="A200" s="62" t="s">
        <v>1414</v>
      </c>
      <c r="B200" s="73"/>
      <c r="C200" s="73"/>
      <c r="D200" s="73"/>
      <c r="E200" s="73"/>
      <c r="F200" s="42">
        <v>0</v>
      </c>
      <c r="G200" s="42">
        <f t="shared" si="3"/>
        <v>0</v>
      </c>
      <c r="H200" s="2" t="str">
        <f>VLOOKUP(A200,'TB JUNE'!A:H,8,0)</f>
        <v>Not Applicable</v>
      </c>
    </row>
    <row r="201" spans="1:8" hidden="1">
      <c r="A201" s="62" t="s">
        <v>315</v>
      </c>
      <c r="B201" s="73"/>
      <c r="C201" s="73"/>
      <c r="D201" s="73"/>
      <c r="E201" s="73"/>
      <c r="F201" s="42">
        <v>0</v>
      </c>
      <c r="G201" s="42">
        <f t="shared" si="3"/>
        <v>0</v>
      </c>
      <c r="H201" s="2" t="str">
        <f>VLOOKUP(A201,'TB JUNE'!A:H,8,0)</f>
        <v>Not Applicable</v>
      </c>
    </row>
    <row r="202" spans="1:8" hidden="1">
      <c r="A202" s="62" t="s">
        <v>1554</v>
      </c>
      <c r="B202" s="73">
        <v>-60010</v>
      </c>
      <c r="C202" s="73"/>
      <c r="D202" s="73"/>
      <c r="E202" s="73">
        <v>-60010</v>
      </c>
      <c r="F202" s="42">
        <v>0</v>
      </c>
      <c r="G202" s="42">
        <f t="shared" si="3"/>
        <v>-60010</v>
      </c>
      <c r="H202" s="2" t="str">
        <f>VLOOKUP(A202,'TB JUNE'!A:H,8,0)</f>
        <v>Not Applicable</v>
      </c>
    </row>
    <row r="203" spans="1:8" hidden="1">
      <c r="A203" s="62" t="s">
        <v>1416</v>
      </c>
      <c r="B203" s="73"/>
      <c r="C203" s="73"/>
      <c r="D203" s="73"/>
      <c r="E203" s="73"/>
      <c r="F203" s="42">
        <v>0</v>
      </c>
      <c r="G203" s="42">
        <f t="shared" si="3"/>
        <v>0</v>
      </c>
      <c r="H203" s="2" t="s">
        <v>84</v>
      </c>
    </row>
    <row r="204" spans="1:8" hidden="1">
      <c r="A204" s="62" t="s">
        <v>350</v>
      </c>
      <c r="B204" s="73">
        <v>2043</v>
      </c>
      <c r="C204" s="73"/>
      <c r="D204" s="73">
        <v>2043</v>
      </c>
      <c r="E204" s="73"/>
      <c r="F204" s="42">
        <v>0</v>
      </c>
      <c r="G204" s="42">
        <f t="shared" si="3"/>
        <v>0</v>
      </c>
      <c r="H204" s="2" t="str">
        <f>VLOOKUP(A204,'TB JUNE'!A:H,8,0)</f>
        <v>Not Applicable</v>
      </c>
    </row>
    <row r="205" spans="1:8" hidden="1">
      <c r="A205" s="62" t="s">
        <v>351</v>
      </c>
      <c r="B205" s="73"/>
      <c r="C205" s="73"/>
      <c r="D205" s="73"/>
      <c r="E205" s="73"/>
      <c r="F205" s="42">
        <v>0</v>
      </c>
      <c r="G205" s="42">
        <f t="shared" si="3"/>
        <v>0</v>
      </c>
      <c r="H205" s="2" t="str">
        <f>VLOOKUP(A205,'TB JUNE'!A:H,8,0)</f>
        <v>Not Applicable</v>
      </c>
    </row>
    <row r="206" spans="1:8" hidden="1">
      <c r="A206" s="62" t="s">
        <v>922</v>
      </c>
      <c r="B206" s="73"/>
      <c r="C206" s="73"/>
      <c r="D206" s="73"/>
      <c r="E206" s="73"/>
      <c r="F206" s="42">
        <v>0</v>
      </c>
      <c r="G206" s="42">
        <f t="shared" si="3"/>
        <v>0</v>
      </c>
      <c r="H206" s="2" t="str">
        <f>VLOOKUP(A206,'TB JUNE'!A:H,8,0)</f>
        <v>Not Applicable</v>
      </c>
    </row>
    <row r="207" spans="1:8" hidden="1">
      <c r="A207" s="62" t="s">
        <v>1509</v>
      </c>
      <c r="B207" s="73"/>
      <c r="C207" s="73"/>
      <c r="D207" s="73"/>
      <c r="E207" s="73"/>
      <c r="F207" s="42">
        <v>0</v>
      </c>
      <c r="G207" s="42">
        <f t="shared" si="3"/>
        <v>0</v>
      </c>
      <c r="H207" s="2" t="str">
        <f>VLOOKUP(A207,'TB JUNE'!A:H,8,0)</f>
        <v>Not Applicable</v>
      </c>
    </row>
    <row r="208" spans="1:8" hidden="1">
      <c r="A208" s="62" t="s">
        <v>185</v>
      </c>
      <c r="B208" s="73"/>
      <c r="C208" s="73"/>
      <c r="D208" s="73"/>
      <c r="E208" s="73"/>
      <c r="F208" s="42">
        <v>0</v>
      </c>
      <c r="G208" s="42">
        <f t="shared" si="3"/>
        <v>0</v>
      </c>
      <c r="H208" s="2" t="str">
        <f>VLOOKUP(A208,'TB JUNE'!A:H,8,0)</f>
        <v>Not Applicable</v>
      </c>
    </row>
    <row r="209" spans="1:8" hidden="1">
      <c r="A209" s="62" t="s">
        <v>184</v>
      </c>
      <c r="B209" s="73"/>
      <c r="C209" s="73"/>
      <c r="D209" s="73">
        <v>750701.25</v>
      </c>
      <c r="E209" s="73">
        <v>-750701.25</v>
      </c>
      <c r="F209" s="42">
        <v>0</v>
      </c>
      <c r="G209" s="42">
        <f t="shared" si="3"/>
        <v>-750701.25</v>
      </c>
      <c r="H209" s="2" t="str">
        <f>VLOOKUP(A209,'TB JUNE'!A:H,8,0)</f>
        <v>Not Applicable</v>
      </c>
    </row>
    <row r="210" spans="1:8" hidden="1">
      <c r="A210" s="62" t="s">
        <v>194</v>
      </c>
      <c r="B210" s="73"/>
      <c r="C210" s="73"/>
      <c r="D210" s="73"/>
      <c r="E210" s="73"/>
      <c r="F210" s="42">
        <v>0</v>
      </c>
      <c r="G210" s="42">
        <f t="shared" si="3"/>
        <v>0</v>
      </c>
      <c r="H210" s="2" t="str">
        <f>VLOOKUP(A210,'TB JUNE'!A:H,8,0)</f>
        <v>Not Applicable</v>
      </c>
    </row>
    <row r="211" spans="1:8" hidden="1">
      <c r="A211" s="62" t="s">
        <v>193</v>
      </c>
      <c r="B211" s="73"/>
      <c r="C211" s="73"/>
      <c r="D211" s="73"/>
      <c r="E211" s="73"/>
      <c r="F211" s="42">
        <v>0</v>
      </c>
      <c r="G211" s="42">
        <f t="shared" si="3"/>
        <v>0</v>
      </c>
      <c r="H211" s="2" t="str">
        <f>VLOOKUP(A211,'TB JUNE'!A:H,8,0)</f>
        <v>Not Applicable</v>
      </c>
    </row>
    <row r="212" spans="1:8" hidden="1">
      <c r="A212" s="62" t="s">
        <v>189</v>
      </c>
      <c r="B212" s="73"/>
      <c r="C212" s="73"/>
      <c r="D212" s="73"/>
      <c r="E212" s="73"/>
      <c r="F212" s="42">
        <v>0</v>
      </c>
      <c r="G212" s="42">
        <f t="shared" si="3"/>
        <v>0</v>
      </c>
      <c r="H212" s="2" t="str">
        <f>VLOOKUP(A212,'TB JUNE'!A:H,8,0)</f>
        <v>Not Applicable</v>
      </c>
    </row>
    <row r="213" spans="1:8" hidden="1">
      <c r="A213" s="62" t="s">
        <v>190</v>
      </c>
      <c r="B213" s="73"/>
      <c r="C213" s="73"/>
      <c r="D213" s="73"/>
      <c r="E213" s="73"/>
      <c r="F213" s="42">
        <v>0</v>
      </c>
      <c r="G213" s="42">
        <f t="shared" si="3"/>
        <v>0</v>
      </c>
      <c r="H213" s="2" t="str">
        <f>VLOOKUP(A213,'TB JUNE'!A:H,8,0)</f>
        <v>Not Applicable</v>
      </c>
    </row>
    <row r="214" spans="1:8" hidden="1">
      <c r="A214" s="62" t="s">
        <v>199</v>
      </c>
      <c r="B214" s="73"/>
      <c r="C214" s="73"/>
      <c r="D214" s="73"/>
      <c r="E214" s="73"/>
      <c r="F214" s="42">
        <v>0</v>
      </c>
      <c r="G214" s="42">
        <f t="shared" si="3"/>
        <v>0</v>
      </c>
      <c r="H214" s="2" t="str">
        <f>VLOOKUP(A214,'TB JUNE'!A:H,8,0)</f>
        <v>Not Applicable</v>
      </c>
    </row>
    <row r="215" spans="1:8" hidden="1">
      <c r="A215" s="62" t="s">
        <v>200</v>
      </c>
      <c r="B215" s="73"/>
      <c r="C215" s="73"/>
      <c r="D215" s="73"/>
      <c r="E215" s="73"/>
      <c r="F215" s="42">
        <v>0</v>
      </c>
      <c r="G215" s="42">
        <f t="shared" si="3"/>
        <v>0</v>
      </c>
      <c r="H215" s="2" t="str">
        <f>VLOOKUP(A215,'TB JUNE'!A:H,8,0)</f>
        <v>Not Applicable</v>
      </c>
    </row>
    <row r="216" spans="1:8" hidden="1">
      <c r="A216" s="62" t="s">
        <v>217</v>
      </c>
      <c r="B216" s="73"/>
      <c r="C216" s="73"/>
      <c r="D216" s="73"/>
      <c r="E216" s="73"/>
      <c r="F216" s="42">
        <v>0</v>
      </c>
      <c r="G216" s="42">
        <f t="shared" si="3"/>
        <v>0</v>
      </c>
      <c r="H216" s="2" t="str">
        <f>VLOOKUP(A216,'TB JUNE'!A:H,8,0)</f>
        <v>Not Applicable</v>
      </c>
    </row>
    <row r="217" spans="1:8" hidden="1">
      <c r="A217" s="62" t="s">
        <v>218</v>
      </c>
      <c r="B217" s="73">
        <v>6380967.2599999998</v>
      </c>
      <c r="C217" s="73">
        <v>17525582.82</v>
      </c>
      <c r="D217" s="73">
        <v>23906549.190000001</v>
      </c>
      <c r="E217" s="73">
        <v>0.89</v>
      </c>
      <c r="F217" s="42">
        <v>0</v>
      </c>
      <c r="G217" s="42">
        <f t="shared" si="3"/>
        <v>0.89</v>
      </c>
      <c r="H217" s="2" t="str">
        <f>VLOOKUP(A217,'TB JUNE'!A:H,8,0)</f>
        <v>Not Applicable</v>
      </c>
    </row>
    <row r="218" spans="1:8" hidden="1">
      <c r="A218" s="62" t="s">
        <v>219</v>
      </c>
      <c r="B218" s="73">
        <v>38729992.630000003</v>
      </c>
      <c r="C218" s="73">
        <v>43163331.140000001</v>
      </c>
      <c r="D218" s="73">
        <v>39288067.659999996</v>
      </c>
      <c r="E218" s="73">
        <v>42605256.109999999</v>
      </c>
      <c r="F218" s="42">
        <v>0</v>
      </c>
      <c r="G218" s="42">
        <f t="shared" si="3"/>
        <v>42605256.109999999</v>
      </c>
      <c r="H218" s="2" t="str">
        <f>VLOOKUP(A218,'TB JUNE'!A:H,8,0)</f>
        <v>Not Applicable</v>
      </c>
    </row>
    <row r="219" spans="1:8" hidden="1">
      <c r="A219" s="62" t="s">
        <v>969</v>
      </c>
      <c r="B219" s="73">
        <v>-0.04</v>
      </c>
      <c r="C219" s="73"/>
      <c r="D219" s="73"/>
      <c r="E219" s="73">
        <v>-0.04</v>
      </c>
      <c r="F219" s="42">
        <v>0</v>
      </c>
      <c r="G219" s="42">
        <f t="shared" si="3"/>
        <v>-0.04</v>
      </c>
      <c r="H219" s="2" t="str">
        <f>VLOOKUP(A219,'TB JUNE'!A:H,8,0)</f>
        <v>Not Applicable</v>
      </c>
    </row>
    <row r="220" spans="1:8" hidden="1">
      <c r="A220" s="62" t="s">
        <v>225</v>
      </c>
      <c r="B220" s="73"/>
      <c r="C220" s="73"/>
      <c r="D220" s="73"/>
      <c r="E220" s="73"/>
      <c r="F220" s="42">
        <v>0</v>
      </c>
      <c r="G220" s="42">
        <f t="shared" si="3"/>
        <v>0</v>
      </c>
      <c r="H220" s="2" t="str">
        <f>VLOOKUP(A220,'TB JUNE'!A:H,8,0)</f>
        <v>Not Applicable</v>
      </c>
    </row>
    <row r="221" spans="1:8" hidden="1">
      <c r="A221" s="62" t="s">
        <v>224</v>
      </c>
      <c r="B221" s="73">
        <v>-607862.51</v>
      </c>
      <c r="C221" s="73"/>
      <c r="D221" s="73"/>
      <c r="E221" s="73">
        <v>-607862.51</v>
      </c>
      <c r="F221" s="42">
        <v>0</v>
      </c>
      <c r="G221" s="42">
        <f t="shared" si="3"/>
        <v>-607862.51</v>
      </c>
      <c r="H221" s="2" t="str">
        <f>VLOOKUP(A221,'TB JUNE'!A:H,8,0)</f>
        <v>Not Applicable</v>
      </c>
    </row>
    <row r="222" spans="1:8" hidden="1">
      <c r="A222" s="62" t="s">
        <v>1419</v>
      </c>
      <c r="B222" s="73"/>
      <c r="C222" s="73"/>
      <c r="D222" s="73"/>
      <c r="E222" s="73"/>
      <c r="F222" s="42">
        <v>0</v>
      </c>
      <c r="G222" s="42">
        <f t="shared" si="3"/>
        <v>0</v>
      </c>
      <c r="H222" s="2" t="str">
        <f>VLOOKUP(A222,'TB JUNE'!A:H,8,0)</f>
        <v>Not Applicable</v>
      </c>
    </row>
    <row r="223" spans="1:8" hidden="1">
      <c r="A223" s="62" t="s">
        <v>227</v>
      </c>
      <c r="B223" s="73"/>
      <c r="C223" s="73"/>
      <c r="D223" s="73"/>
      <c r="E223" s="73"/>
      <c r="F223" s="42">
        <v>0</v>
      </c>
      <c r="G223" s="42">
        <f t="shared" si="3"/>
        <v>0</v>
      </c>
      <c r="H223" s="2" t="str">
        <f>VLOOKUP(A223,'TB JUNE'!A:H,8,0)</f>
        <v>Not Applicable</v>
      </c>
    </row>
    <row r="224" spans="1:8" hidden="1">
      <c r="A224" s="62" t="s">
        <v>230</v>
      </c>
      <c r="B224" s="73"/>
      <c r="C224" s="73">
        <v>23651703.5</v>
      </c>
      <c r="D224" s="73">
        <v>18453342.699999999</v>
      </c>
      <c r="E224" s="73">
        <v>5198360.8</v>
      </c>
      <c r="F224" s="42">
        <v>0</v>
      </c>
      <c r="G224" s="42">
        <f t="shared" si="3"/>
        <v>5198360.8</v>
      </c>
      <c r="H224" s="2" t="str">
        <f>VLOOKUP(A224,'TB JUNE'!A:H,8,0)</f>
        <v>Not Applicable</v>
      </c>
    </row>
    <row r="225" spans="1:8" hidden="1">
      <c r="A225" s="62" t="s">
        <v>863</v>
      </c>
      <c r="B225" s="73"/>
      <c r="C225" s="73"/>
      <c r="D225" s="73"/>
      <c r="E225" s="73"/>
      <c r="F225" s="42">
        <v>0</v>
      </c>
      <c r="G225" s="42">
        <f t="shared" si="3"/>
        <v>0</v>
      </c>
      <c r="H225" s="2" t="str">
        <f>VLOOKUP(A225,'TB JUNE'!A:H,8,0)</f>
        <v>Not Applicable</v>
      </c>
    </row>
    <row r="226" spans="1:8" hidden="1">
      <c r="A226" s="62" t="s">
        <v>976</v>
      </c>
      <c r="B226" s="73">
        <v>66.33</v>
      </c>
      <c r="C226" s="73"/>
      <c r="D226" s="73"/>
      <c r="E226" s="73">
        <v>66.33</v>
      </c>
      <c r="F226" s="42">
        <v>0</v>
      </c>
      <c r="G226" s="42">
        <f t="shared" si="3"/>
        <v>66.33</v>
      </c>
      <c r="H226" s="2" t="str">
        <f>VLOOKUP(A226,'TB JUNE'!A:H,8,0)</f>
        <v>Not Applicable</v>
      </c>
    </row>
    <row r="227" spans="1:8" hidden="1">
      <c r="A227" s="62" t="s">
        <v>235</v>
      </c>
      <c r="B227" s="73"/>
      <c r="C227" s="73"/>
      <c r="D227" s="73"/>
      <c r="E227" s="73"/>
      <c r="F227" s="42">
        <v>0</v>
      </c>
      <c r="G227" s="42">
        <f t="shared" si="3"/>
        <v>0</v>
      </c>
      <c r="H227" s="2" t="str">
        <f>VLOOKUP(A227,'TB JUNE'!A:H,8,0)</f>
        <v>Not Applicable</v>
      </c>
    </row>
    <row r="228" spans="1:8" hidden="1">
      <c r="A228" s="62" t="s">
        <v>1174</v>
      </c>
      <c r="B228" s="73">
        <v>584231.6</v>
      </c>
      <c r="C228" s="73"/>
      <c r="D228" s="73"/>
      <c r="E228" s="73">
        <v>584231.6</v>
      </c>
      <c r="F228" s="42">
        <v>0</v>
      </c>
      <c r="G228" s="42">
        <f t="shared" si="3"/>
        <v>584231.6</v>
      </c>
      <c r="H228" s="2" t="str">
        <f>VLOOKUP(A228,'TB JUNE'!A:H,8,0)</f>
        <v>Not Applicable</v>
      </c>
    </row>
    <row r="229" spans="1:8" hidden="1">
      <c r="A229" s="62" t="s">
        <v>238</v>
      </c>
      <c r="B229" s="73">
        <v>0.03</v>
      </c>
      <c r="C229" s="73"/>
      <c r="D229" s="73"/>
      <c r="E229" s="73">
        <v>0.03</v>
      </c>
      <c r="F229" s="42">
        <v>0</v>
      </c>
      <c r="G229" s="42">
        <f t="shared" si="3"/>
        <v>0.03</v>
      </c>
      <c r="H229" s="2" t="str">
        <f>VLOOKUP(A229,'TB JUNE'!A:H,8,0)</f>
        <v>Not Applicable</v>
      </c>
    </row>
    <row r="230" spans="1:8" hidden="1">
      <c r="A230" s="62" t="s">
        <v>239</v>
      </c>
      <c r="B230" s="73"/>
      <c r="C230" s="73"/>
      <c r="D230" s="73"/>
      <c r="E230" s="73"/>
      <c r="F230" s="42">
        <v>0</v>
      </c>
      <c r="G230" s="42">
        <f t="shared" si="3"/>
        <v>0</v>
      </c>
      <c r="H230" s="2" t="str">
        <f>VLOOKUP(A230,'TB JUNE'!A:H,8,0)</f>
        <v>Not Applicable</v>
      </c>
    </row>
    <row r="231" spans="1:8" hidden="1">
      <c r="A231" s="62" t="s">
        <v>241</v>
      </c>
      <c r="B231" s="73"/>
      <c r="C231" s="73"/>
      <c r="D231" s="73"/>
      <c r="E231" s="73"/>
      <c r="F231" s="42">
        <v>0</v>
      </c>
      <c r="G231" s="42">
        <f t="shared" si="3"/>
        <v>0</v>
      </c>
      <c r="H231" s="2" t="str">
        <f>VLOOKUP(A231,'TB JUNE'!A:H,8,0)</f>
        <v>Not Applicable</v>
      </c>
    </row>
    <row r="232" spans="1:8" hidden="1">
      <c r="A232" s="62" t="s">
        <v>243</v>
      </c>
      <c r="B232" s="73">
        <v>-231550.7</v>
      </c>
      <c r="C232" s="73"/>
      <c r="D232" s="73"/>
      <c r="E232" s="73">
        <v>-231550.7</v>
      </c>
      <c r="F232" s="42">
        <v>0</v>
      </c>
      <c r="G232" s="42">
        <f t="shared" si="3"/>
        <v>-231550.7</v>
      </c>
      <c r="H232" s="2" t="str">
        <f>VLOOKUP(A232,'TB JUNE'!A:H,8,0)</f>
        <v>Not Applicable</v>
      </c>
    </row>
    <row r="233" spans="1:8" hidden="1">
      <c r="A233" s="62" t="s">
        <v>249</v>
      </c>
      <c r="B233" s="73"/>
      <c r="C233" s="73"/>
      <c r="D233" s="73"/>
      <c r="E233" s="73"/>
      <c r="F233" s="42">
        <v>0</v>
      </c>
      <c r="G233" s="42">
        <f t="shared" si="3"/>
        <v>0</v>
      </c>
      <c r="H233" s="2" t="str">
        <f>VLOOKUP(A233,'TB JUNE'!A:H,8,0)</f>
        <v>Not Applicable</v>
      </c>
    </row>
    <row r="234" spans="1:8" hidden="1">
      <c r="A234" s="62" t="s">
        <v>252</v>
      </c>
      <c r="B234" s="73">
        <v>-1056500.3799999999</v>
      </c>
      <c r="C234" s="73"/>
      <c r="D234" s="73"/>
      <c r="E234" s="73">
        <v>-1056500.3799999999</v>
      </c>
      <c r="F234" s="42">
        <v>0</v>
      </c>
      <c r="G234" s="42">
        <f t="shared" si="3"/>
        <v>-1056500.3799999999</v>
      </c>
      <c r="H234" s="2" t="str">
        <f>VLOOKUP(A234,'TB JUNE'!A:H,8,0)</f>
        <v>Not Applicable</v>
      </c>
    </row>
    <row r="235" spans="1:8" hidden="1">
      <c r="A235" s="62" t="s">
        <v>253</v>
      </c>
      <c r="B235" s="73"/>
      <c r="C235" s="73"/>
      <c r="D235" s="73"/>
      <c r="E235" s="73"/>
      <c r="F235" s="42">
        <v>0</v>
      </c>
      <c r="G235" s="42">
        <f t="shared" si="3"/>
        <v>0</v>
      </c>
      <c r="H235" s="2" t="str">
        <f>VLOOKUP(A235,'TB JUNE'!A:H,8,0)</f>
        <v>Not Applicable</v>
      </c>
    </row>
    <row r="236" spans="1:8" hidden="1">
      <c r="A236" s="62" t="s">
        <v>254</v>
      </c>
      <c r="B236" s="73"/>
      <c r="C236" s="73"/>
      <c r="D236" s="73"/>
      <c r="E236" s="73"/>
      <c r="F236" s="42">
        <v>0</v>
      </c>
      <c r="G236" s="42">
        <f t="shared" si="3"/>
        <v>0</v>
      </c>
      <c r="H236" s="2" t="str">
        <f>VLOOKUP(A236,'TB JUNE'!A:H,8,0)</f>
        <v>Not Applicable</v>
      </c>
    </row>
    <row r="237" spans="1:8" hidden="1">
      <c r="A237" s="62" t="s">
        <v>255</v>
      </c>
      <c r="B237" s="73"/>
      <c r="C237" s="73"/>
      <c r="D237" s="73"/>
      <c r="E237" s="73"/>
      <c r="F237" s="42">
        <v>0</v>
      </c>
      <c r="G237" s="42">
        <f t="shared" si="3"/>
        <v>0</v>
      </c>
      <c r="H237" s="2" t="str">
        <f>VLOOKUP(A237,'TB JUNE'!A:H,8,0)</f>
        <v>Not Applicable</v>
      </c>
    </row>
    <row r="238" spans="1:8" hidden="1">
      <c r="A238" s="62" t="s">
        <v>256</v>
      </c>
      <c r="B238" s="73"/>
      <c r="C238" s="73"/>
      <c r="D238" s="73"/>
      <c r="E238" s="73"/>
      <c r="F238" s="42">
        <v>0</v>
      </c>
      <c r="G238" s="42">
        <f t="shared" si="3"/>
        <v>0</v>
      </c>
      <c r="H238" s="2" t="str">
        <f>VLOOKUP(A238,'TB JUNE'!A:H,8,0)</f>
        <v>Not Applicable</v>
      </c>
    </row>
    <row r="239" spans="1:8" hidden="1">
      <c r="A239" s="62" t="s">
        <v>1510</v>
      </c>
      <c r="B239" s="73"/>
      <c r="C239" s="73"/>
      <c r="D239" s="73"/>
      <c r="E239" s="73"/>
      <c r="F239" s="42">
        <v>0</v>
      </c>
      <c r="G239" s="42">
        <f t="shared" si="3"/>
        <v>0</v>
      </c>
      <c r="H239" s="2" t="s">
        <v>84</v>
      </c>
    </row>
    <row r="240" spans="1:8" hidden="1">
      <c r="A240" s="62" t="s">
        <v>257</v>
      </c>
      <c r="B240" s="73"/>
      <c r="C240" s="73"/>
      <c r="D240" s="73"/>
      <c r="E240" s="73"/>
      <c r="F240" s="42">
        <v>0</v>
      </c>
      <c r="G240" s="42">
        <f t="shared" si="3"/>
        <v>0</v>
      </c>
      <c r="H240" s="2" t="str">
        <f>VLOOKUP(A240,'TB JUNE'!A:H,8,0)</f>
        <v>Not Applicable</v>
      </c>
    </row>
    <row r="241" spans="1:8" hidden="1">
      <c r="A241" s="62" t="s">
        <v>259</v>
      </c>
      <c r="B241" s="73">
        <v>2061.2199999999998</v>
      </c>
      <c r="C241" s="73">
        <v>13676419.619999999</v>
      </c>
      <c r="D241" s="73"/>
      <c r="E241" s="73">
        <v>13678480.84</v>
      </c>
      <c r="F241" s="42">
        <v>0</v>
      </c>
      <c r="G241" s="42">
        <f t="shared" si="3"/>
        <v>13678480.84</v>
      </c>
      <c r="H241" s="2" t="str">
        <f>VLOOKUP(A241,'TB JUNE'!A:H,8,0)</f>
        <v>Not Applicable</v>
      </c>
    </row>
    <row r="242" spans="1:8" hidden="1">
      <c r="A242" s="62" t="s">
        <v>260</v>
      </c>
      <c r="B242" s="73">
        <v>10015039.57</v>
      </c>
      <c r="C242" s="73"/>
      <c r="D242" s="73">
        <v>5325925.75</v>
      </c>
      <c r="E242" s="73">
        <v>4689113.82</v>
      </c>
      <c r="F242" s="42">
        <v>0</v>
      </c>
      <c r="G242" s="42">
        <f t="shared" si="3"/>
        <v>4689113.82</v>
      </c>
      <c r="H242" s="2" t="str">
        <f>VLOOKUP(A242,'TB JUNE'!A:H,8,0)</f>
        <v>Not Applicable</v>
      </c>
    </row>
    <row r="243" spans="1:8" hidden="1">
      <c r="A243" s="62" t="s">
        <v>261</v>
      </c>
      <c r="B243" s="73"/>
      <c r="C243" s="73"/>
      <c r="D243" s="73"/>
      <c r="E243" s="73"/>
      <c r="F243" s="42">
        <v>0</v>
      </c>
      <c r="G243" s="42">
        <f t="shared" si="3"/>
        <v>0</v>
      </c>
      <c r="H243" s="2" t="str">
        <f>VLOOKUP(A243,'TB JUNE'!A:H,8,0)</f>
        <v>Not Applicable</v>
      </c>
    </row>
    <row r="244" spans="1:8" hidden="1">
      <c r="A244" s="62" t="s">
        <v>267</v>
      </c>
      <c r="B244" s="73">
        <v>163639685.36000001</v>
      </c>
      <c r="C244" s="73">
        <v>3627211.81</v>
      </c>
      <c r="D244" s="73"/>
      <c r="E244" s="73">
        <v>167266897.16999999</v>
      </c>
      <c r="F244" s="42">
        <v>0</v>
      </c>
      <c r="G244" s="42">
        <f t="shared" si="3"/>
        <v>167266897.16999999</v>
      </c>
      <c r="H244" s="2" t="str">
        <f>VLOOKUP(A244,'TB JUNE'!A:H,8,0)</f>
        <v>Not Applicable</v>
      </c>
    </row>
    <row r="245" spans="1:8" hidden="1">
      <c r="A245" s="62" t="s">
        <v>268</v>
      </c>
      <c r="B245" s="73">
        <v>-3253294.89</v>
      </c>
      <c r="C245" s="73">
        <v>6425476.3099999996</v>
      </c>
      <c r="D245" s="73">
        <v>4644938.0599999996</v>
      </c>
      <c r="E245" s="73">
        <v>-1472756.64</v>
      </c>
      <c r="F245" s="42">
        <v>0</v>
      </c>
      <c r="G245" s="42">
        <f t="shared" si="3"/>
        <v>-1472756.64</v>
      </c>
      <c r="H245" s="2" t="str">
        <f>VLOOKUP(A245,'TB JUNE'!A:H,8,0)</f>
        <v>Not Applicable</v>
      </c>
    </row>
    <row r="246" spans="1:8" hidden="1">
      <c r="A246" s="62" t="s">
        <v>269</v>
      </c>
      <c r="B246" s="73"/>
      <c r="C246" s="73"/>
      <c r="D246" s="73"/>
      <c r="E246" s="73"/>
      <c r="F246" s="42">
        <v>0</v>
      </c>
      <c r="G246" s="42">
        <f t="shared" si="3"/>
        <v>0</v>
      </c>
      <c r="H246" s="2" t="str">
        <f>VLOOKUP(A246,'TB JUNE'!A:H,8,0)</f>
        <v>Not Applicable</v>
      </c>
    </row>
    <row r="247" spans="1:8" hidden="1">
      <c r="A247" s="62" t="s">
        <v>270</v>
      </c>
      <c r="B247" s="73"/>
      <c r="C247" s="73"/>
      <c r="D247" s="73"/>
      <c r="E247" s="73"/>
      <c r="F247" s="42">
        <v>0</v>
      </c>
      <c r="G247" s="42">
        <f t="shared" si="3"/>
        <v>0</v>
      </c>
      <c r="H247" s="2" t="str">
        <f>VLOOKUP(A247,'TB JUNE'!A:H,8,0)</f>
        <v>Not Applicable</v>
      </c>
    </row>
    <row r="248" spans="1:8" hidden="1">
      <c r="A248" s="62" t="s">
        <v>286</v>
      </c>
      <c r="B248" s="73"/>
      <c r="C248" s="73"/>
      <c r="D248" s="73"/>
      <c r="E248" s="73"/>
      <c r="F248" s="42">
        <v>0</v>
      </c>
      <c r="G248" s="42">
        <f t="shared" si="3"/>
        <v>0</v>
      </c>
      <c r="H248" s="2" t="str">
        <f>VLOOKUP(A248,'TB JUNE'!A:H,8,0)</f>
        <v>Not Applicable</v>
      </c>
    </row>
    <row r="249" spans="1:8" hidden="1">
      <c r="A249" s="62" t="s">
        <v>290</v>
      </c>
      <c r="B249" s="73">
        <v>3816893.58</v>
      </c>
      <c r="C249" s="73"/>
      <c r="D249" s="73">
        <v>3816893.58</v>
      </c>
      <c r="E249" s="73"/>
      <c r="F249" s="42">
        <v>0</v>
      </c>
      <c r="G249" s="42">
        <f t="shared" si="3"/>
        <v>0</v>
      </c>
      <c r="H249" s="2" t="str">
        <f>VLOOKUP(A249,'TB JUNE'!A:H,8,0)</f>
        <v>Not Applicable</v>
      </c>
    </row>
    <row r="250" spans="1:8" hidden="1">
      <c r="A250" s="62" t="s">
        <v>288</v>
      </c>
      <c r="B250" s="73"/>
      <c r="C250" s="73"/>
      <c r="D250" s="73"/>
      <c r="E250" s="73"/>
      <c r="F250" s="42">
        <v>0</v>
      </c>
      <c r="G250" s="42">
        <f t="shared" si="3"/>
        <v>0</v>
      </c>
      <c r="H250" s="2" t="str">
        <f>VLOOKUP(A250,'TB JUNE'!A:H,8,0)</f>
        <v>Not Applicable</v>
      </c>
    </row>
    <row r="251" spans="1:8" hidden="1">
      <c r="A251" s="62" t="s">
        <v>291</v>
      </c>
      <c r="B251" s="73"/>
      <c r="C251" s="73"/>
      <c r="D251" s="73"/>
      <c r="E251" s="73"/>
      <c r="F251" s="42">
        <v>0</v>
      </c>
      <c r="G251" s="42">
        <f t="shared" si="3"/>
        <v>0</v>
      </c>
      <c r="H251" s="2" t="str">
        <f>VLOOKUP(A251,'TB JUNE'!A:H,8,0)</f>
        <v>Not Applicable</v>
      </c>
    </row>
    <row r="252" spans="1:8" hidden="1">
      <c r="A252" s="62" t="s">
        <v>1020</v>
      </c>
      <c r="B252" s="73"/>
      <c r="C252" s="73"/>
      <c r="D252" s="73"/>
      <c r="E252" s="73"/>
      <c r="F252" s="42">
        <v>0</v>
      </c>
      <c r="G252" s="42">
        <f t="shared" si="3"/>
        <v>0</v>
      </c>
      <c r="H252" s="2" t="str">
        <f>VLOOKUP(A252,'TB JUNE'!A:H,8,0)</f>
        <v>Not Applicable</v>
      </c>
    </row>
    <row r="253" spans="1:8" hidden="1">
      <c r="A253" s="62" t="s">
        <v>293</v>
      </c>
      <c r="B253" s="73"/>
      <c r="C253" s="73"/>
      <c r="D253" s="73"/>
      <c r="E253" s="73"/>
      <c r="F253" s="42">
        <v>0</v>
      </c>
      <c r="G253" s="42">
        <f t="shared" si="3"/>
        <v>0</v>
      </c>
      <c r="H253" s="2" t="str">
        <f>VLOOKUP(A253,'TB JUNE'!A:H,8,0)</f>
        <v>Not Applicable</v>
      </c>
    </row>
    <row r="254" spans="1:8" hidden="1">
      <c r="A254" s="62" t="s">
        <v>294</v>
      </c>
      <c r="B254" s="73"/>
      <c r="C254" s="73"/>
      <c r="D254" s="73"/>
      <c r="E254" s="73"/>
      <c r="F254" s="42">
        <v>0</v>
      </c>
      <c r="G254" s="42">
        <f t="shared" si="3"/>
        <v>0</v>
      </c>
      <c r="H254" s="2" t="str">
        <f>VLOOKUP(A254,'TB JUNE'!A:H,8,0)</f>
        <v>Not Applicable</v>
      </c>
    </row>
    <row r="255" spans="1:8" hidden="1">
      <c r="A255" s="62" t="s">
        <v>295</v>
      </c>
      <c r="B255" s="73"/>
      <c r="C255" s="73"/>
      <c r="D255" s="73"/>
      <c r="E255" s="73"/>
      <c r="F255" s="42">
        <v>0</v>
      </c>
      <c r="G255" s="42">
        <f t="shared" si="3"/>
        <v>0</v>
      </c>
      <c r="H255" s="2" t="str">
        <f>VLOOKUP(A255,'TB JUNE'!A:H,8,0)</f>
        <v>Not Applicable</v>
      </c>
    </row>
    <row r="256" spans="1:8" hidden="1">
      <c r="A256" s="62" t="s">
        <v>297</v>
      </c>
      <c r="B256" s="73"/>
      <c r="C256" s="73"/>
      <c r="D256" s="73"/>
      <c r="E256" s="73"/>
      <c r="F256" s="42">
        <v>0</v>
      </c>
      <c r="G256" s="42">
        <f t="shared" si="3"/>
        <v>0</v>
      </c>
      <c r="H256" s="2" t="str">
        <f>VLOOKUP(A256,'TB JUNE'!A:H,8,0)</f>
        <v>Not Applicable</v>
      </c>
    </row>
    <row r="257" spans="1:8" hidden="1">
      <c r="A257" s="62" t="s">
        <v>300</v>
      </c>
      <c r="B257" s="73">
        <v>-21431.97</v>
      </c>
      <c r="C257" s="73"/>
      <c r="D257" s="73"/>
      <c r="E257" s="73">
        <v>-21431.97</v>
      </c>
      <c r="F257" s="42">
        <v>0</v>
      </c>
      <c r="G257" s="42">
        <f t="shared" si="3"/>
        <v>-21431.97</v>
      </c>
      <c r="H257" s="2" t="str">
        <f>VLOOKUP(A257,'TB JUNE'!A:H,8,0)</f>
        <v>Not Applicable</v>
      </c>
    </row>
    <row r="258" spans="1:8" hidden="1">
      <c r="A258" s="62" t="s">
        <v>301</v>
      </c>
      <c r="B258" s="73"/>
      <c r="C258" s="73"/>
      <c r="D258" s="73"/>
      <c r="E258" s="73"/>
      <c r="F258" s="42">
        <v>0</v>
      </c>
      <c r="G258" s="42">
        <f t="shared" si="3"/>
        <v>0</v>
      </c>
      <c r="H258" s="2" t="str">
        <f>VLOOKUP(A258,'TB JUNE'!A:H,8,0)</f>
        <v>Not Applicable</v>
      </c>
    </row>
    <row r="259" spans="1:8" hidden="1">
      <c r="A259" s="62" t="s">
        <v>1420</v>
      </c>
      <c r="B259" s="73"/>
      <c r="C259" s="73"/>
      <c r="D259" s="73"/>
      <c r="E259" s="73"/>
      <c r="F259" s="42">
        <v>0</v>
      </c>
      <c r="G259" s="42">
        <f t="shared" si="3"/>
        <v>0</v>
      </c>
      <c r="H259" s="2" t="str">
        <f>VLOOKUP(A259,'TB JUNE'!A:H,8,0)</f>
        <v>Not Applicable</v>
      </c>
    </row>
    <row r="260" spans="1:8" hidden="1">
      <c r="A260" s="62" t="s">
        <v>859</v>
      </c>
      <c r="B260" s="73"/>
      <c r="C260" s="73"/>
      <c r="D260" s="73"/>
      <c r="E260" s="73"/>
      <c r="F260" s="42">
        <v>0</v>
      </c>
      <c r="G260" s="42">
        <f t="shared" si="3"/>
        <v>0</v>
      </c>
      <c r="H260" s="2" t="str">
        <f>VLOOKUP(A260,'TB JUNE'!A:H,8,0)</f>
        <v>Not Applicable</v>
      </c>
    </row>
    <row r="261" spans="1:8" hidden="1">
      <c r="A261" s="62" t="s">
        <v>303</v>
      </c>
      <c r="B261" s="73"/>
      <c r="C261" s="73"/>
      <c r="D261" s="73"/>
      <c r="E261" s="73"/>
      <c r="F261" s="42">
        <v>0</v>
      </c>
      <c r="G261" s="42">
        <f t="shared" si="3"/>
        <v>0</v>
      </c>
      <c r="H261" s="2" t="str">
        <f>VLOOKUP(A261,'TB JUNE'!A:H,8,0)</f>
        <v>Not Applicable</v>
      </c>
    </row>
    <row r="262" spans="1:8" hidden="1">
      <c r="A262" s="62" t="s">
        <v>304</v>
      </c>
      <c r="B262" s="73">
        <v>0.01</v>
      </c>
      <c r="C262" s="73"/>
      <c r="D262" s="73"/>
      <c r="E262" s="73">
        <v>0.01</v>
      </c>
      <c r="F262" s="42">
        <v>0</v>
      </c>
      <c r="G262" s="42">
        <f t="shared" ref="G262:G325" si="4">+E262+F262</f>
        <v>0.01</v>
      </c>
      <c r="H262" s="2" t="str">
        <f>VLOOKUP(A262,'TB JUNE'!A:H,8,0)</f>
        <v>Not Applicable</v>
      </c>
    </row>
    <row r="263" spans="1:8" hidden="1">
      <c r="A263" s="62" t="s">
        <v>1421</v>
      </c>
      <c r="B263" s="73"/>
      <c r="C263" s="73"/>
      <c r="D263" s="73"/>
      <c r="E263" s="73"/>
      <c r="F263" s="42">
        <v>0</v>
      </c>
      <c r="G263" s="42">
        <f t="shared" si="4"/>
        <v>0</v>
      </c>
      <c r="H263" s="2" t="s">
        <v>84</v>
      </c>
    </row>
    <row r="264" spans="1:8" hidden="1">
      <c r="A264" s="62" t="s">
        <v>306</v>
      </c>
      <c r="B264" s="73"/>
      <c r="C264" s="73"/>
      <c r="D264" s="73"/>
      <c r="E264" s="73"/>
      <c r="F264" s="42">
        <v>0</v>
      </c>
      <c r="G264" s="42">
        <f t="shared" si="4"/>
        <v>0</v>
      </c>
      <c r="H264" s="2" t="str">
        <f>VLOOKUP(A264,'TB JUNE'!A:H,8,0)</f>
        <v>Not Applicable</v>
      </c>
    </row>
    <row r="265" spans="1:8" hidden="1">
      <c r="A265" s="62" t="s">
        <v>318</v>
      </c>
      <c r="B265" s="73"/>
      <c r="C265" s="73"/>
      <c r="D265" s="73"/>
      <c r="E265" s="73"/>
      <c r="F265" s="42">
        <v>0</v>
      </c>
      <c r="G265" s="42">
        <f t="shared" si="4"/>
        <v>0</v>
      </c>
      <c r="H265" s="2" t="str">
        <f>VLOOKUP(A265,'TB JUNE'!A:H,8,0)</f>
        <v>Not Applicable</v>
      </c>
    </row>
    <row r="266" spans="1:8" hidden="1">
      <c r="A266" s="62" t="s">
        <v>319</v>
      </c>
      <c r="B266" s="73"/>
      <c r="C266" s="73"/>
      <c r="D266" s="73"/>
      <c r="E266" s="73"/>
      <c r="F266" s="42">
        <v>0</v>
      </c>
      <c r="G266" s="42">
        <f t="shared" si="4"/>
        <v>0</v>
      </c>
      <c r="H266" s="2" t="str">
        <f>VLOOKUP(A266,'TB JUNE'!A:H,8,0)</f>
        <v>Not Applicable</v>
      </c>
    </row>
    <row r="267" spans="1:8" hidden="1">
      <c r="A267" s="62" t="s">
        <v>344</v>
      </c>
      <c r="B267" s="73"/>
      <c r="C267" s="73"/>
      <c r="D267" s="73"/>
      <c r="E267" s="73"/>
      <c r="F267" s="42">
        <v>0</v>
      </c>
      <c r="G267" s="42">
        <f t="shared" si="4"/>
        <v>0</v>
      </c>
      <c r="H267" s="2" t="str">
        <f>VLOOKUP(A267,'TB JUNE'!A:H,8,0)</f>
        <v>Not Applicable</v>
      </c>
    </row>
    <row r="268" spans="1:8" hidden="1">
      <c r="A268" s="62" t="s">
        <v>342</v>
      </c>
      <c r="B268" s="73">
        <v>3735890.99</v>
      </c>
      <c r="C268" s="73">
        <v>4502628</v>
      </c>
      <c r="D268" s="73">
        <v>2492887.69</v>
      </c>
      <c r="E268" s="73">
        <v>5745631.2999999998</v>
      </c>
      <c r="F268" s="42">
        <v>0</v>
      </c>
      <c r="G268" s="42">
        <f t="shared" si="4"/>
        <v>5745631.2999999998</v>
      </c>
      <c r="H268" s="2" t="str">
        <f>VLOOKUP(A268,'TB JUNE'!A:H,8,0)</f>
        <v>Not Applicable</v>
      </c>
    </row>
    <row r="269" spans="1:8" hidden="1">
      <c r="A269" s="62" t="s">
        <v>343</v>
      </c>
      <c r="B269" s="73">
        <v>27243559.170000002</v>
      </c>
      <c r="C269" s="73">
        <v>35315506.649999999</v>
      </c>
      <c r="D269" s="73">
        <v>19741972.690000001</v>
      </c>
      <c r="E269" s="73">
        <v>42817093.130000003</v>
      </c>
      <c r="F269" s="42">
        <v>0</v>
      </c>
      <c r="G269" s="42">
        <f t="shared" si="4"/>
        <v>42817093.130000003</v>
      </c>
      <c r="H269" s="2" t="str">
        <f>VLOOKUP(A269,'TB JUNE'!A:H,8,0)</f>
        <v>Not Applicable</v>
      </c>
    </row>
    <row r="270" spans="1:8" hidden="1">
      <c r="A270" s="62" t="s">
        <v>875</v>
      </c>
      <c r="B270" s="73"/>
      <c r="C270" s="73"/>
      <c r="D270" s="73"/>
      <c r="E270" s="73"/>
      <c r="F270" s="42">
        <v>0</v>
      </c>
      <c r="G270" s="42">
        <f t="shared" si="4"/>
        <v>0</v>
      </c>
      <c r="H270" s="2" t="str">
        <f>VLOOKUP(A270,'TB JUNE'!A:H,8,0)</f>
        <v>Not Applicable</v>
      </c>
    </row>
    <row r="271" spans="1:8" hidden="1">
      <c r="A271" s="62" t="s">
        <v>347</v>
      </c>
      <c r="B271" s="73"/>
      <c r="C271" s="73"/>
      <c r="D271" s="73"/>
      <c r="E271" s="73"/>
      <c r="F271" s="42">
        <v>0</v>
      </c>
      <c r="G271" s="42">
        <f t="shared" si="4"/>
        <v>0</v>
      </c>
      <c r="H271" s="2" t="str">
        <f>VLOOKUP(A271,'TB JUNE'!A:H,8,0)</f>
        <v>Not Applicable</v>
      </c>
    </row>
    <row r="272" spans="1:8" hidden="1">
      <c r="A272" s="62" t="s">
        <v>349</v>
      </c>
      <c r="B272" s="73"/>
      <c r="C272" s="73"/>
      <c r="D272" s="73"/>
      <c r="E272" s="73"/>
      <c r="F272" s="42">
        <v>0</v>
      </c>
      <c r="G272" s="42">
        <f t="shared" si="4"/>
        <v>0</v>
      </c>
      <c r="H272" s="2" t="str">
        <f>VLOOKUP(A272,'TB JUNE'!A:H,8,0)</f>
        <v>Not Applicable</v>
      </c>
    </row>
    <row r="273" spans="1:8" hidden="1">
      <c r="A273" s="62" t="s">
        <v>352</v>
      </c>
      <c r="B273" s="73"/>
      <c r="C273" s="73"/>
      <c r="D273" s="73"/>
      <c r="E273" s="73"/>
      <c r="F273" s="42">
        <v>0</v>
      </c>
      <c r="G273" s="42">
        <f t="shared" si="4"/>
        <v>0</v>
      </c>
      <c r="H273" s="2" t="str">
        <f>VLOOKUP(A273,'TB JUNE'!A:H,8,0)</f>
        <v>Not Applicable</v>
      </c>
    </row>
    <row r="274" spans="1:8" hidden="1">
      <c r="A274" s="62" t="s">
        <v>353</v>
      </c>
      <c r="B274" s="73"/>
      <c r="C274" s="73"/>
      <c r="D274" s="73"/>
      <c r="E274" s="73"/>
      <c r="F274" s="42">
        <v>0</v>
      </c>
      <c r="G274" s="42">
        <f t="shared" si="4"/>
        <v>0</v>
      </c>
      <c r="H274" s="2" t="str">
        <f>VLOOKUP(A274,'TB JUNE'!A:H,8,0)</f>
        <v>Not Applicable</v>
      </c>
    </row>
    <row r="275" spans="1:8" hidden="1">
      <c r="A275" s="62" t="s">
        <v>365</v>
      </c>
      <c r="B275" s="73">
        <v>3887636.38</v>
      </c>
      <c r="C275" s="73"/>
      <c r="D275" s="73">
        <v>3887636.38</v>
      </c>
      <c r="E275" s="73"/>
      <c r="F275" s="42">
        <v>0</v>
      </c>
      <c r="G275" s="42">
        <f t="shared" si="4"/>
        <v>0</v>
      </c>
      <c r="H275" s="2" t="str">
        <f>VLOOKUP(A275,'TB JUNE'!A:H,8,0)</f>
        <v>Not Applicable</v>
      </c>
    </row>
    <row r="276" spans="1:8" hidden="1">
      <c r="A276" s="62" t="s">
        <v>361</v>
      </c>
      <c r="B276" s="73"/>
      <c r="C276" s="73"/>
      <c r="D276" s="73"/>
      <c r="E276" s="73"/>
      <c r="F276" s="42">
        <v>0</v>
      </c>
      <c r="G276" s="42">
        <f t="shared" si="4"/>
        <v>0</v>
      </c>
      <c r="H276" s="2" t="str">
        <f>VLOOKUP(A276,'TB JUNE'!A:H,8,0)</f>
        <v>Not Applicable</v>
      </c>
    </row>
    <row r="277" spans="1:8" hidden="1">
      <c r="A277" s="62" t="s">
        <v>364</v>
      </c>
      <c r="B277" s="73"/>
      <c r="C277" s="73"/>
      <c r="D277" s="73"/>
      <c r="E277" s="73"/>
      <c r="F277" s="42">
        <v>0</v>
      </c>
      <c r="G277" s="42">
        <f t="shared" si="4"/>
        <v>0</v>
      </c>
      <c r="H277" s="2" t="str">
        <f>VLOOKUP(A277,'TB JUNE'!A:H,8,0)</f>
        <v>Not Applicable</v>
      </c>
    </row>
    <row r="278" spans="1:8" hidden="1">
      <c r="A278" s="62" t="s">
        <v>167</v>
      </c>
      <c r="B278" s="73">
        <v>9269027.4700000007</v>
      </c>
      <c r="C278" s="73"/>
      <c r="D278" s="73"/>
      <c r="E278" s="73">
        <v>9269027.4700000007</v>
      </c>
      <c r="F278" s="42">
        <v>0</v>
      </c>
      <c r="G278" s="42">
        <f t="shared" si="4"/>
        <v>9269027.4700000007</v>
      </c>
      <c r="H278" s="2" t="str">
        <f>VLOOKUP(A278,'TB JUNE'!A:H,8,0)</f>
        <v>Not Applicable</v>
      </c>
    </row>
    <row r="279" spans="1:8" hidden="1">
      <c r="A279" s="62" t="s">
        <v>179</v>
      </c>
      <c r="B279" s="73">
        <v>3500808.87</v>
      </c>
      <c r="C279" s="73"/>
      <c r="D279" s="73"/>
      <c r="E279" s="73">
        <v>3500808.87</v>
      </c>
      <c r="F279" s="42">
        <v>0</v>
      </c>
      <c r="G279" s="42">
        <f t="shared" si="4"/>
        <v>3500808.87</v>
      </c>
      <c r="H279" s="2" t="str">
        <f>VLOOKUP(A279,'TB JUNE'!A:H,8,0)</f>
        <v>Not Applicable</v>
      </c>
    </row>
    <row r="280" spans="1:8" hidden="1">
      <c r="A280" s="62" t="s">
        <v>166</v>
      </c>
      <c r="B280" s="73">
        <v>94180171.590000004</v>
      </c>
      <c r="C280" s="73"/>
      <c r="D280" s="73"/>
      <c r="E280" s="73">
        <v>94180171.590000004</v>
      </c>
      <c r="F280" s="42">
        <v>0</v>
      </c>
      <c r="G280" s="42">
        <f t="shared" si="4"/>
        <v>94180171.590000004</v>
      </c>
      <c r="H280" s="2" t="str">
        <f>VLOOKUP(A280,'TB JUNE'!A:H,8,0)</f>
        <v>Not Applicable</v>
      </c>
    </row>
    <row r="281" spans="1:8" hidden="1">
      <c r="A281" s="62" t="s">
        <v>231</v>
      </c>
      <c r="B281" s="73">
        <v>10039863</v>
      </c>
      <c r="C281" s="73"/>
      <c r="D281" s="73"/>
      <c r="E281" s="73">
        <v>10039863</v>
      </c>
      <c r="F281" s="42">
        <v>0</v>
      </c>
      <c r="G281" s="42">
        <f t="shared" si="4"/>
        <v>10039863</v>
      </c>
      <c r="H281" s="2" t="str">
        <f>VLOOKUP(A281,'TB JUNE'!A:H,8,0)</f>
        <v>Not Applicable</v>
      </c>
    </row>
    <row r="282" spans="1:8" hidden="1">
      <c r="A282" s="62" t="s">
        <v>116</v>
      </c>
      <c r="B282" s="73">
        <v>13500</v>
      </c>
      <c r="C282" s="73"/>
      <c r="D282" s="73"/>
      <c r="E282" s="73">
        <v>13500</v>
      </c>
      <c r="F282" s="42">
        <v>0</v>
      </c>
      <c r="G282" s="42">
        <f t="shared" si="4"/>
        <v>13500</v>
      </c>
      <c r="H282" s="2" t="str">
        <f>VLOOKUP(A282,'TB JUNE'!A:H,8,0)</f>
        <v>Not Applicable</v>
      </c>
    </row>
    <row r="283" spans="1:8" hidden="1">
      <c r="A283" s="62" t="s">
        <v>163</v>
      </c>
      <c r="B283" s="73">
        <v>31000</v>
      </c>
      <c r="C283" s="73"/>
      <c r="D283" s="73"/>
      <c r="E283" s="73">
        <v>31000</v>
      </c>
      <c r="F283" s="42">
        <v>0</v>
      </c>
      <c r="G283" s="42">
        <f t="shared" si="4"/>
        <v>31000</v>
      </c>
      <c r="H283" s="2" t="str">
        <f>VLOOKUP(A283,'TB JUNE'!A:H,8,0)</f>
        <v>Not Applicable</v>
      </c>
    </row>
    <row r="284" spans="1:8" hidden="1">
      <c r="A284" s="62" t="s">
        <v>164</v>
      </c>
      <c r="B284" s="73">
        <v>53550</v>
      </c>
      <c r="C284" s="73"/>
      <c r="D284" s="73"/>
      <c r="E284" s="73">
        <v>53550</v>
      </c>
      <c r="F284" s="42">
        <v>0</v>
      </c>
      <c r="G284" s="42">
        <f t="shared" si="4"/>
        <v>53550</v>
      </c>
      <c r="H284" s="2" t="str">
        <f>VLOOKUP(A284,'TB JUNE'!A:H,8,0)</f>
        <v>Not Applicable</v>
      </c>
    </row>
    <row r="285" spans="1:8" hidden="1">
      <c r="A285" s="62" t="s">
        <v>242</v>
      </c>
      <c r="B285" s="73">
        <v>56429</v>
      </c>
      <c r="C285" s="73"/>
      <c r="D285" s="73"/>
      <c r="E285" s="73">
        <v>56429</v>
      </c>
      <c r="F285" s="42">
        <v>0</v>
      </c>
      <c r="G285" s="42">
        <f t="shared" si="4"/>
        <v>56429</v>
      </c>
      <c r="H285" s="2" t="str">
        <f>VLOOKUP(A285,'TB JUNE'!A:H,8,0)</f>
        <v>Not Applicable</v>
      </c>
    </row>
    <row r="286" spans="1:8" hidden="1">
      <c r="A286" s="62" t="s">
        <v>258</v>
      </c>
      <c r="B286" s="73">
        <v>117232.81</v>
      </c>
      <c r="C286" s="73">
        <v>372950</v>
      </c>
      <c r="D286" s="73"/>
      <c r="E286" s="73">
        <v>490182.81</v>
      </c>
      <c r="F286" s="42">
        <v>0</v>
      </c>
      <c r="G286" s="42">
        <f t="shared" si="4"/>
        <v>490182.81</v>
      </c>
      <c r="H286" s="2" t="str">
        <f>VLOOKUP(A286,'TB JUNE'!A:H,8,0)</f>
        <v>Not Applicable</v>
      </c>
    </row>
    <row r="287" spans="1:8" hidden="1">
      <c r="A287" s="62" t="s">
        <v>296</v>
      </c>
      <c r="B287" s="73">
        <v>2090000</v>
      </c>
      <c r="C287" s="73"/>
      <c r="D287" s="73"/>
      <c r="E287" s="73">
        <v>2090000</v>
      </c>
      <c r="F287" s="42">
        <v>0</v>
      </c>
      <c r="G287" s="42">
        <f t="shared" si="4"/>
        <v>2090000</v>
      </c>
      <c r="H287" s="2" t="str">
        <f>VLOOKUP(A287,'TB JUNE'!A:H,8,0)</f>
        <v>Not Applicable</v>
      </c>
    </row>
    <row r="288" spans="1:8" hidden="1">
      <c r="A288" s="62" t="s">
        <v>345</v>
      </c>
      <c r="B288" s="73">
        <v>34721.1</v>
      </c>
      <c r="C288" s="73"/>
      <c r="D288" s="73"/>
      <c r="E288" s="73">
        <v>34721.1</v>
      </c>
      <c r="F288" s="42">
        <v>0</v>
      </c>
      <c r="G288" s="42">
        <f t="shared" si="4"/>
        <v>34721.1</v>
      </c>
      <c r="H288" s="2" t="str">
        <f>VLOOKUP(A288,'TB JUNE'!A:H,8,0)</f>
        <v>Not Applicable</v>
      </c>
    </row>
    <row r="289" spans="1:8" hidden="1">
      <c r="A289" s="62" t="s">
        <v>87</v>
      </c>
      <c r="B289" s="73">
        <v>447443.5</v>
      </c>
      <c r="C289" s="73"/>
      <c r="D289" s="73"/>
      <c r="E289" s="73">
        <v>447443.5</v>
      </c>
      <c r="F289" s="42">
        <v>0</v>
      </c>
      <c r="G289" s="42">
        <f t="shared" si="4"/>
        <v>447443.5</v>
      </c>
      <c r="H289" s="2" t="str">
        <f>VLOOKUP(A289,'TB JUNE'!A:H,8,0)</f>
        <v>Not Applicable</v>
      </c>
    </row>
    <row r="290" spans="1:8" hidden="1">
      <c r="A290" s="62" t="s">
        <v>150</v>
      </c>
      <c r="B290" s="73">
        <v>1051369</v>
      </c>
      <c r="C290" s="73"/>
      <c r="D290" s="73"/>
      <c r="E290" s="73">
        <v>1051369</v>
      </c>
      <c r="F290" s="42">
        <v>0</v>
      </c>
      <c r="G290" s="42">
        <f t="shared" si="4"/>
        <v>1051369</v>
      </c>
      <c r="H290" s="2" t="str">
        <f>VLOOKUP(A290,'TB JUNE'!A:H,8,0)</f>
        <v>Not Applicable</v>
      </c>
    </row>
    <row r="291" spans="1:8" hidden="1">
      <c r="A291" s="62" t="s">
        <v>119</v>
      </c>
      <c r="B291" s="73">
        <v>1403125.05</v>
      </c>
      <c r="C291" s="73"/>
      <c r="D291" s="73"/>
      <c r="E291" s="73">
        <v>1403125.05</v>
      </c>
      <c r="F291" s="42">
        <v>0</v>
      </c>
      <c r="G291" s="42">
        <f t="shared" si="4"/>
        <v>1403125.05</v>
      </c>
      <c r="H291" s="2" t="str">
        <f>VLOOKUP(A291,'TB JUNE'!A:H,8,0)</f>
        <v>Not Applicable</v>
      </c>
    </row>
    <row r="292" spans="1:8" hidden="1">
      <c r="A292" s="62" t="s">
        <v>148</v>
      </c>
      <c r="B292" s="73">
        <v>200728.55</v>
      </c>
      <c r="C292" s="73"/>
      <c r="D292" s="73"/>
      <c r="E292" s="73">
        <v>200728.55</v>
      </c>
      <c r="F292" s="42">
        <v>0</v>
      </c>
      <c r="G292" s="42">
        <f t="shared" si="4"/>
        <v>200728.55</v>
      </c>
      <c r="H292" s="2" t="str">
        <f>VLOOKUP(A292,'TB JUNE'!A:H,8,0)</f>
        <v>Not Applicable</v>
      </c>
    </row>
    <row r="293" spans="1:8" hidden="1">
      <c r="A293" s="62" t="s">
        <v>358</v>
      </c>
      <c r="B293" s="73">
        <v>483189.07</v>
      </c>
      <c r="C293" s="73"/>
      <c r="D293" s="73"/>
      <c r="E293" s="73">
        <v>483189.07</v>
      </c>
      <c r="F293" s="42">
        <v>0</v>
      </c>
      <c r="G293" s="42">
        <f t="shared" si="4"/>
        <v>483189.07</v>
      </c>
      <c r="H293" s="2" t="str">
        <f>VLOOKUP(A293,'TB JUNE'!A:H,8,0)</f>
        <v>Not Applicable</v>
      </c>
    </row>
    <row r="294" spans="1:8" hidden="1">
      <c r="A294" s="62" t="s">
        <v>127</v>
      </c>
      <c r="B294" s="73">
        <v>34794806.829999998</v>
      </c>
      <c r="C294" s="73"/>
      <c r="D294" s="73"/>
      <c r="E294" s="73">
        <v>34794806.829999998</v>
      </c>
      <c r="F294" s="42">
        <v>0</v>
      </c>
      <c r="G294" s="42">
        <f t="shared" si="4"/>
        <v>34794806.829999998</v>
      </c>
      <c r="H294" s="2" t="str">
        <f>VLOOKUP(A294,'TB JUNE'!A:H,8,0)</f>
        <v>Not Applicable</v>
      </c>
    </row>
    <row r="295" spans="1:8" hidden="1">
      <c r="A295" s="62" t="s">
        <v>128</v>
      </c>
      <c r="B295" s="73">
        <v>49292293.990000002</v>
      </c>
      <c r="C295" s="73"/>
      <c r="D295" s="73"/>
      <c r="E295" s="73">
        <v>49292293.990000002</v>
      </c>
      <c r="F295" s="42">
        <v>0</v>
      </c>
      <c r="G295" s="42">
        <f t="shared" si="4"/>
        <v>49292293.990000002</v>
      </c>
      <c r="H295" s="2" t="str">
        <f>VLOOKUP(A295,'TB JUNE'!A:H,8,0)</f>
        <v>Not Applicable</v>
      </c>
    </row>
    <row r="296" spans="1:8" hidden="1">
      <c r="A296" s="62" t="s">
        <v>363</v>
      </c>
      <c r="B296" s="73">
        <v>44090</v>
      </c>
      <c r="C296" s="73"/>
      <c r="D296" s="73"/>
      <c r="E296" s="73">
        <v>44090</v>
      </c>
      <c r="F296" s="42">
        <v>0</v>
      </c>
      <c r="G296" s="42">
        <f t="shared" si="4"/>
        <v>44090</v>
      </c>
      <c r="H296" s="2" t="str">
        <f>VLOOKUP(A296,'TB JUNE'!A:H,8,0)</f>
        <v>Not Applicable</v>
      </c>
    </row>
    <row r="297" spans="1:8" hidden="1">
      <c r="A297" s="62" t="s">
        <v>131</v>
      </c>
      <c r="B297" s="73">
        <v>462700</v>
      </c>
      <c r="C297" s="73">
        <v>79587.199999999997</v>
      </c>
      <c r="D297" s="73"/>
      <c r="E297" s="73">
        <v>542287.19999999995</v>
      </c>
      <c r="F297" s="42">
        <v>0</v>
      </c>
      <c r="G297" s="42">
        <f t="shared" si="4"/>
        <v>542287.19999999995</v>
      </c>
      <c r="H297" s="2" t="str">
        <f>VLOOKUP(A297,'TB JUNE'!A:H,8,0)</f>
        <v>Not Applicable</v>
      </c>
    </row>
    <row r="298" spans="1:8" hidden="1">
      <c r="A298" s="62" t="s">
        <v>155</v>
      </c>
      <c r="B298" s="73">
        <v>9196089.25</v>
      </c>
      <c r="C298" s="73">
        <v>916372</v>
      </c>
      <c r="D298" s="73"/>
      <c r="E298" s="73">
        <v>10112461.25</v>
      </c>
      <c r="F298" s="42">
        <v>0</v>
      </c>
      <c r="G298" s="42">
        <f t="shared" si="4"/>
        <v>10112461.25</v>
      </c>
      <c r="H298" s="2" t="str">
        <f>VLOOKUP(A298,'TB JUNE'!A:H,8,0)</f>
        <v>Not Applicable</v>
      </c>
    </row>
    <row r="299" spans="1:8" hidden="1">
      <c r="A299" s="62" t="s">
        <v>156</v>
      </c>
      <c r="B299" s="73">
        <v>116092.3</v>
      </c>
      <c r="C299" s="73"/>
      <c r="D299" s="73"/>
      <c r="E299" s="73">
        <v>116092.3</v>
      </c>
      <c r="F299" s="42">
        <v>0</v>
      </c>
      <c r="G299" s="42">
        <f t="shared" si="4"/>
        <v>116092.3</v>
      </c>
      <c r="H299" s="2" t="str">
        <f>VLOOKUP(A299,'TB JUNE'!A:H,8,0)</f>
        <v>Not Applicable</v>
      </c>
    </row>
    <row r="300" spans="1:8" hidden="1">
      <c r="A300" s="62" t="s">
        <v>168</v>
      </c>
      <c r="B300" s="73">
        <v>4952525.9400000004</v>
      </c>
      <c r="C300" s="73">
        <v>59400</v>
      </c>
      <c r="D300" s="73"/>
      <c r="E300" s="73">
        <v>5011925.9400000004</v>
      </c>
      <c r="F300" s="42">
        <v>0</v>
      </c>
      <c r="G300" s="42">
        <f t="shared" si="4"/>
        <v>5011925.9400000004</v>
      </c>
      <c r="H300" s="2" t="str">
        <f>VLOOKUP(A300,'TB JUNE'!A:H,8,0)</f>
        <v>Not Applicable</v>
      </c>
    </row>
    <row r="301" spans="1:8" hidden="1">
      <c r="A301" s="62" t="s">
        <v>182</v>
      </c>
      <c r="B301" s="73">
        <v>1011000</v>
      </c>
      <c r="C301" s="73"/>
      <c r="D301" s="73"/>
      <c r="E301" s="73">
        <v>1011000</v>
      </c>
      <c r="F301" s="42">
        <v>0</v>
      </c>
      <c r="G301" s="42">
        <f t="shared" si="4"/>
        <v>1011000</v>
      </c>
      <c r="H301" s="2" t="str">
        <f>VLOOKUP(A301,'TB JUNE'!A:H,8,0)</f>
        <v>Not Applicable</v>
      </c>
    </row>
    <row r="302" spans="1:8" hidden="1">
      <c r="A302" s="62" t="s">
        <v>99</v>
      </c>
      <c r="B302" s="73">
        <v>854410</v>
      </c>
      <c r="C302" s="73"/>
      <c r="D302" s="73"/>
      <c r="E302" s="73">
        <v>854410</v>
      </c>
      <c r="F302" s="42">
        <v>0</v>
      </c>
      <c r="G302" s="42">
        <f t="shared" si="4"/>
        <v>854410</v>
      </c>
      <c r="H302" s="2" t="str">
        <f>VLOOKUP(A302,'TB JUNE'!A:H,8,0)</f>
        <v>Not Applicable</v>
      </c>
    </row>
    <row r="303" spans="1:8" hidden="1">
      <c r="A303" s="62" t="s">
        <v>112</v>
      </c>
      <c r="B303" s="73">
        <v>16200</v>
      </c>
      <c r="C303" s="73"/>
      <c r="D303" s="73"/>
      <c r="E303" s="73">
        <v>16200</v>
      </c>
      <c r="F303" s="42">
        <v>0</v>
      </c>
      <c r="G303" s="42">
        <f t="shared" si="4"/>
        <v>16200</v>
      </c>
      <c r="H303" s="2" t="str">
        <f>VLOOKUP(A303,'TB JUNE'!A:H,8,0)</f>
        <v>Not Applicable</v>
      </c>
    </row>
    <row r="304" spans="1:8" hidden="1">
      <c r="A304" s="62" t="s">
        <v>162</v>
      </c>
      <c r="B304" s="73">
        <v>9351983.25</v>
      </c>
      <c r="C304" s="73">
        <v>550000</v>
      </c>
      <c r="D304" s="73"/>
      <c r="E304" s="73">
        <v>9901983.25</v>
      </c>
      <c r="F304" s="42">
        <v>0</v>
      </c>
      <c r="G304" s="42">
        <f t="shared" si="4"/>
        <v>9901983.25</v>
      </c>
      <c r="H304" s="2" t="str">
        <f>VLOOKUP(A304,'TB JUNE'!A:H,8,0)</f>
        <v>Not Applicable</v>
      </c>
    </row>
    <row r="305" spans="1:8" hidden="1">
      <c r="A305" s="62" t="s">
        <v>204</v>
      </c>
      <c r="B305" s="73">
        <v>495000</v>
      </c>
      <c r="C305" s="73"/>
      <c r="D305" s="73"/>
      <c r="E305" s="73">
        <v>495000</v>
      </c>
      <c r="F305" s="42">
        <v>0</v>
      </c>
      <c r="G305" s="42">
        <f t="shared" si="4"/>
        <v>495000</v>
      </c>
      <c r="H305" s="2" t="str">
        <f>VLOOKUP(A305,'TB JUNE'!A:H,8,0)</f>
        <v>Not Applicable</v>
      </c>
    </row>
    <row r="306" spans="1:8" hidden="1">
      <c r="A306" s="62" t="s">
        <v>205</v>
      </c>
      <c r="B306" s="73">
        <v>7089366.9500000002</v>
      </c>
      <c r="C306" s="73"/>
      <c r="D306" s="73"/>
      <c r="E306" s="73">
        <v>7089366.9500000002</v>
      </c>
      <c r="F306" s="42">
        <v>0</v>
      </c>
      <c r="G306" s="42">
        <f t="shared" si="4"/>
        <v>7089366.9500000002</v>
      </c>
      <c r="H306" s="2" t="str">
        <f>VLOOKUP(A306,'TB JUNE'!A:H,8,0)</f>
        <v>Not Applicable</v>
      </c>
    </row>
    <row r="307" spans="1:8" hidden="1">
      <c r="A307" s="62" t="s">
        <v>326</v>
      </c>
      <c r="B307" s="73">
        <v>286177</v>
      </c>
      <c r="C307" s="73"/>
      <c r="D307" s="73"/>
      <c r="E307" s="73">
        <v>286177</v>
      </c>
      <c r="F307" s="42">
        <v>0</v>
      </c>
      <c r="G307" s="42">
        <f t="shared" si="4"/>
        <v>286177</v>
      </c>
      <c r="H307" s="2" t="str">
        <f>VLOOKUP(A307,'TB JUNE'!A:H,8,0)</f>
        <v>Not Applicable</v>
      </c>
    </row>
    <row r="308" spans="1:8" hidden="1">
      <c r="A308" s="62" t="s">
        <v>171</v>
      </c>
      <c r="B308" s="73">
        <v>3500000</v>
      </c>
      <c r="C308" s="73"/>
      <c r="D308" s="73"/>
      <c r="E308" s="73">
        <v>3500000</v>
      </c>
      <c r="F308" s="42">
        <v>0</v>
      </c>
      <c r="G308" s="42">
        <f t="shared" si="4"/>
        <v>3500000</v>
      </c>
      <c r="H308" s="2" t="str">
        <f>VLOOKUP(A308,'TB JUNE'!A:H,8,0)</f>
        <v>Not Applicable</v>
      </c>
    </row>
    <row r="309" spans="1:8" hidden="1">
      <c r="A309" s="62" t="s">
        <v>149</v>
      </c>
      <c r="B309" s="73">
        <v>52020</v>
      </c>
      <c r="C309" s="73"/>
      <c r="D309" s="73"/>
      <c r="E309" s="73">
        <v>52020</v>
      </c>
      <c r="F309" s="42">
        <v>0</v>
      </c>
      <c r="G309" s="42">
        <f t="shared" si="4"/>
        <v>52020</v>
      </c>
      <c r="H309" s="2" t="str">
        <f>VLOOKUP(A309,'TB JUNE'!A:H,8,0)</f>
        <v>Not Applicable</v>
      </c>
    </row>
    <row r="310" spans="1:8" hidden="1">
      <c r="A310" s="62" t="s">
        <v>298</v>
      </c>
      <c r="B310" s="73">
        <v>9443.83</v>
      </c>
      <c r="C310" s="73"/>
      <c r="D310" s="73"/>
      <c r="E310" s="73">
        <v>9443.83</v>
      </c>
      <c r="F310" s="42">
        <v>0</v>
      </c>
      <c r="G310" s="42">
        <f t="shared" si="4"/>
        <v>9443.83</v>
      </c>
      <c r="H310" s="2" t="str">
        <f>VLOOKUP(A310,'TB JUNE'!A:H,8,0)</f>
        <v>Not Applicable</v>
      </c>
    </row>
    <row r="311" spans="1:8" hidden="1">
      <c r="A311" s="62" t="s">
        <v>346</v>
      </c>
      <c r="B311" s="73">
        <v>1631889.63</v>
      </c>
      <c r="C311" s="73">
        <v>35000</v>
      </c>
      <c r="D311" s="73"/>
      <c r="E311" s="73">
        <v>1666889.63</v>
      </c>
      <c r="F311" s="42">
        <v>0</v>
      </c>
      <c r="G311" s="42">
        <f t="shared" si="4"/>
        <v>1666889.63</v>
      </c>
      <c r="H311" s="2" t="str">
        <f>VLOOKUP(A311,'TB JUNE'!A:H,8,0)</f>
        <v>Not Applicable</v>
      </c>
    </row>
    <row r="312" spans="1:8" hidden="1">
      <c r="A312" s="62" t="s">
        <v>357</v>
      </c>
      <c r="B312" s="73">
        <v>128375</v>
      </c>
      <c r="C312" s="73"/>
      <c r="D312" s="73"/>
      <c r="E312" s="73">
        <v>128375</v>
      </c>
      <c r="F312" s="42">
        <v>0</v>
      </c>
      <c r="G312" s="42">
        <f t="shared" si="4"/>
        <v>128375</v>
      </c>
      <c r="H312" s="2" t="str">
        <f>VLOOKUP(A312,'TB JUNE'!A:H,8,0)</f>
        <v>Not Applicable</v>
      </c>
    </row>
    <row r="313" spans="1:8" hidden="1">
      <c r="A313" s="62" t="s">
        <v>206</v>
      </c>
      <c r="B313" s="73">
        <v>634840</v>
      </c>
      <c r="C313" s="73">
        <v>30000</v>
      </c>
      <c r="D313" s="73"/>
      <c r="E313" s="73">
        <v>664840</v>
      </c>
      <c r="F313" s="42">
        <v>0</v>
      </c>
      <c r="G313" s="42">
        <f t="shared" si="4"/>
        <v>664840</v>
      </c>
      <c r="H313" s="2" t="str">
        <f>VLOOKUP(A313,'TB JUNE'!A:H,8,0)</f>
        <v>Not Applicable</v>
      </c>
    </row>
    <row r="314" spans="1:8" hidden="1">
      <c r="A314" s="62" t="s">
        <v>207</v>
      </c>
      <c r="B314" s="73">
        <v>1564968</v>
      </c>
      <c r="C314" s="73"/>
      <c r="D314" s="73"/>
      <c r="E314" s="73">
        <v>1564968</v>
      </c>
      <c r="F314" s="42">
        <v>0</v>
      </c>
      <c r="G314" s="42">
        <f t="shared" si="4"/>
        <v>1564968</v>
      </c>
      <c r="H314" s="2" t="str">
        <f>VLOOKUP(A314,'TB JUNE'!A:H,8,0)</f>
        <v>Not Applicable</v>
      </c>
    </row>
    <row r="315" spans="1:8" hidden="1">
      <c r="A315" s="62" t="s">
        <v>248</v>
      </c>
      <c r="B315" s="73">
        <v>708000</v>
      </c>
      <c r="C315" s="73"/>
      <c r="D315" s="73"/>
      <c r="E315" s="73">
        <v>708000</v>
      </c>
      <c r="F315" s="42">
        <v>0</v>
      </c>
      <c r="G315" s="42">
        <f t="shared" si="4"/>
        <v>708000</v>
      </c>
      <c r="H315" s="2" t="str">
        <f>VLOOKUP(A315,'TB JUNE'!A:H,8,0)</f>
        <v>Not Applicable</v>
      </c>
    </row>
    <row r="316" spans="1:8" hidden="1">
      <c r="A316" s="62" t="s">
        <v>285</v>
      </c>
      <c r="B316" s="73">
        <v>3193887.76</v>
      </c>
      <c r="C316" s="73">
        <v>916140</v>
      </c>
      <c r="D316" s="73"/>
      <c r="E316" s="73">
        <v>4110027.76</v>
      </c>
      <c r="F316" s="42">
        <v>0</v>
      </c>
      <c r="G316" s="42">
        <f t="shared" si="4"/>
        <v>4110027.76</v>
      </c>
      <c r="H316" s="2" t="str">
        <f>VLOOKUP(A316,'TB JUNE'!A:H,8,0)</f>
        <v>Not Applicable</v>
      </c>
    </row>
    <row r="317" spans="1:8" hidden="1">
      <c r="A317" s="62" t="s">
        <v>228</v>
      </c>
      <c r="B317" s="73">
        <v>379000</v>
      </c>
      <c r="C317" s="73"/>
      <c r="D317" s="73"/>
      <c r="E317" s="73">
        <v>379000</v>
      </c>
      <c r="F317" s="42">
        <v>0</v>
      </c>
      <c r="G317" s="42">
        <f t="shared" si="4"/>
        <v>379000</v>
      </c>
      <c r="H317" s="2" t="str">
        <f>VLOOKUP(A317,'TB JUNE'!A:H,8,0)</f>
        <v>Not Applicable</v>
      </c>
    </row>
    <row r="318" spans="1:8" hidden="1">
      <c r="A318" s="62" t="s">
        <v>250</v>
      </c>
      <c r="B318" s="73">
        <v>2467345</v>
      </c>
      <c r="C318" s="73"/>
      <c r="D318" s="73"/>
      <c r="E318" s="73">
        <v>2467345</v>
      </c>
      <c r="F318" s="42">
        <v>0</v>
      </c>
      <c r="G318" s="42">
        <f t="shared" si="4"/>
        <v>2467345</v>
      </c>
      <c r="H318" s="2" t="str">
        <f>VLOOKUP(A318,'TB JUNE'!A:H,8,0)</f>
        <v>Not Applicable</v>
      </c>
    </row>
    <row r="319" spans="1:8" hidden="1">
      <c r="A319" s="62" t="s">
        <v>130</v>
      </c>
      <c r="B319" s="73">
        <v>529727.6</v>
      </c>
      <c r="C319" s="73"/>
      <c r="D319" s="73"/>
      <c r="E319" s="73">
        <v>529727.6</v>
      </c>
      <c r="F319" s="42">
        <v>0</v>
      </c>
      <c r="G319" s="42">
        <f t="shared" si="4"/>
        <v>529727.6</v>
      </c>
      <c r="H319" s="2" t="str">
        <f>VLOOKUP(A319,'TB JUNE'!A:H,8,0)</f>
        <v>Not Applicable</v>
      </c>
    </row>
    <row r="320" spans="1:8" hidden="1">
      <c r="A320" s="62" t="s">
        <v>172</v>
      </c>
      <c r="B320" s="73">
        <v>1853402.6</v>
      </c>
      <c r="C320" s="73"/>
      <c r="D320" s="73"/>
      <c r="E320" s="73">
        <v>1853402.6</v>
      </c>
      <c r="F320" s="42">
        <v>0</v>
      </c>
      <c r="G320" s="42">
        <f t="shared" si="4"/>
        <v>1853402.6</v>
      </c>
      <c r="H320" s="2" t="str">
        <f>VLOOKUP(A320,'TB JUNE'!A:H,8,0)</f>
        <v>Not Applicable</v>
      </c>
    </row>
    <row r="321" spans="1:8" hidden="1">
      <c r="A321" s="62" t="s">
        <v>173</v>
      </c>
      <c r="B321" s="73">
        <v>1617335</v>
      </c>
      <c r="C321" s="73"/>
      <c r="D321" s="73"/>
      <c r="E321" s="73">
        <v>1617335</v>
      </c>
      <c r="F321" s="42">
        <v>0</v>
      </c>
      <c r="G321" s="42">
        <f t="shared" si="4"/>
        <v>1617335</v>
      </c>
      <c r="H321" s="2" t="str">
        <f>VLOOKUP(A321,'TB JUNE'!A:H,8,0)</f>
        <v>Not Applicable</v>
      </c>
    </row>
    <row r="322" spans="1:8" hidden="1">
      <c r="A322" s="62" t="s">
        <v>276</v>
      </c>
      <c r="B322" s="73">
        <v>62823024.82</v>
      </c>
      <c r="C322" s="73">
        <v>960754.1</v>
      </c>
      <c r="D322" s="73"/>
      <c r="E322" s="73">
        <v>63783778.920000002</v>
      </c>
      <c r="F322" s="42">
        <v>0</v>
      </c>
      <c r="G322" s="42">
        <f t="shared" si="4"/>
        <v>63783778.920000002</v>
      </c>
      <c r="H322" s="2" t="str">
        <f>VLOOKUP(A322,'TB JUNE'!A:H,8,0)</f>
        <v>Not Applicable</v>
      </c>
    </row>
    <row r="323" spans="1:8" hidden="1">
      <c r="A323" s="62" t="s">
        <v>317</v>
      </c>
      <c r="B323" s="73">
        <v>36486616.130000003</v>
      </c>
      <c r="C323" s="73"/>
      <c r="D323" s="73"/>
      <c r="E323" s="73">
        <v>36486616.130000003</v>
      </c>
      <c r="F323" s="42">
        <v>0</v>
      </c>
      <c r="G323" s="42">
        <f t="shared" si="4"/>
        <v>36486616.130000003</v>
      </c>
      <c r="H323" s="2" t="str">
        <f>VLOOKUP(A323,'TB JUNE'!A:H,8,0)</f>
        <v>Not Applicable</v>
      </c>
    </row>
    <row r="324" spans="1:8" hidden="1">
      <c r="A324" s="62" t="s">
        <v>348</v>
      </c>
      <c r="B324" s="73">
        <v>24243</v>
      </c>
      <c r="C324" s="73"/>
      <c r="D324" s="73"/>
      <c r="E324" s="73">
        <v>24243</v>
      </c>
      <c r="F324" s="42">
        <v>0</v>
      </c>
      <c r="G324" s="42">
        <f t="shared" si="4"/>
        <v>24243</v>
      </c>
      <c r="H324" s="2" t="str">
        <f>VLOOKUP(A324,'TB JUNE'!A:H,8,0)</f>
        <v>Not Applicable</v>
      </c>
    </row>
    <row r="325" spans="1:8" hidden="1">
      <c r="A325" s="62" t="s">
        <v>147</v>
      </c>
      <c r="B325" s="73">
        <v>360000</v>
      </c>
      <c r="C325" s="73"/>
      <c r="D325" s="73"/>
      <c r="E325" s="73">
        <v>360000</v>
      </c>
      <c r="F325" s="42">
        <v>0</v>
      </c>
      <c r="G325" s="42">
        <f t="shared" si="4"/>
        <v>360000</v>
      </c>
      <c r="H325" s="2" t="str">
        <f>VLOOKUP(A325,'TB JUNE'!A:H,8,0)</f>
        <v>Not Applicable</v>
      </c>
    </row>
    <row r="326" spans="1:8" hidden="1">
      <c r="A326" s="62" t="s">
        <v>362</v>
      </c>
      <c r="B326" s="73">
        <v>68557970.409999996</v>
      </c>
      <c r="C326" s="73"/>
      <c r="D326" s="73"/>
      <c r="E326" s="73">
        <v>68557970.409999996</v>
      </c>
      <c r="F326" s="42">
        <v>0</v>
      </c>
      <c r="G326" s="42">
        <f t="shared" ref="G326:G389" si="5">+E326+F326</f>
        <v>68557970.409999996</v>
      </c>
      <c r="H326" s="2" t="str">
        <f>VLOOKUP(A326,'TB JUNE'!A:H,8,0)</f>
        <v>Not Applicable</v>
      </c>
    </row>
    <row r="327" spans="1:8" hidden="1">
      <c r="A327" s="62" t="s">
        <v>289</v>
      </c>
      <c r="B327" s="73">
        <v>1398408.4</v>
      </c>
      <c r="C327" s="73"/>
      <c r="D327" s="73"/>
      <c r="E327" s="73">
        <v>1398408.4</v>
      </c>
      <c r="F327" s="42">
        <v>0</v>
      </c>
      <c r="G327" s="42">
        <f t="shared" si="5"/>
        <v>1398408.4</v>
      </c>
      <c r="H327" s="2" t="str">
        <f>VLOOKUP(A327,'TB JUNE'!A:H,8,0)</f>
        <v>Not Applicable</v>
      </c>
    </row>
    <row r="328" spans="1:8" hidden="1">
      <c r="A328" s="62" t="s">
        <v>322</v>
      </c>
      <c r="B328" s="73">
        <v>27382501.739999998</v>
      </c>
      <c r="C328" s="73">
        <v>892200</v>
      </c>
      <c r="D328" s="73"/>
      <c r="E328" s="73">
        <v>28274701.739999998</v>
      </c>
      <c r="F328" s="42">
        <v>0</v>
      </c>
      <c r="G328" s="42">
        <f t="shared" si="5"/>
        <v>28274701.739999998</v>
      </c>
      <c r="H328" s="2" t="str">
        <f>VLOOKUP(A328,'TB JUNE'!A:H,8,0)</f>
        <v>Not Applicable</v>
      </c>
    </row>
    <row r="329" spans="1:8" hidden="1">
      <c r="A329" s="62" t="s">
        <v>323</v>
      </c>
      <c r="B329" s="73">
        <v>3211189.8</v>
      </c>
      <c r="C329" s="73"/>
      <c r="D329" s="73"/>
      <c r="E329" s="73">
        <v>3211189.8</v>
      </c>
      <c r="F329" s="42">
        <v>0</v>
      </c>
      <c r="G329" s="42">
        <f t="shared" si="5"/>
        <v>3211189.8</v>
      </c>
      <c r="H329" s="2" t="str">
        <f>VLOOKUP(A329,'TB JUNE'!A:H,8,0)</f>
        <v>Not Applicable</v>
      </c>
    </row>
    <row r="330" spans="1:8" hidden="1">
      <c r="A330" s="62" t="s">
        <v>92</v>
      </c>
      <c r="B330" s="73">
        <v>24410011.23</v>
      </c>
      <c r="C330" s="73"/>
      <c r="D330" s="73"/>
      <c r="E330" s="73">
        <v>24410011.23</v>
      </c>
      <c r="F330" s="42">
        <v>0</v>
      </c>
      <c r="G330" s="42">
        <f t="shared" si="5"/>
        <v>24410011.23</v>
      </c>
      <c r="H330" s="2" t="str">
        <f>VLOOKUP(A330,'TB JUNE'!A:H,8,0)</f>
        <v>Not Applicable</v>
      </c>
    </row>
    <row r="331" spans="1:8" hidden="1">
      <c r="A331" s="62" t="s">
        <v>124</v>
      </c>
      <c r="B331" s="73">
        <v>574500</v>
      </c>
      <c r="C331" s="73"/>
      <c r="D331" s="73"/>
      <c r="E331" s="73">
        <v>574500</v>
      </c>
      <c r="F331" s="42">
        <v>0</v>
      </c>
      <c r="G331" s="42">
        <f t="shared" si="5"/>
        <v>574500</v>
      </c>
      <c r="H331" s="2" t="str">
        <f>VLOOKUP(A331,'TB JUNE'!A:H,8,0)</f>
        <v>Not Applicable</v>
      </c>
    </row>
    <row r="332" spans="1:8" hidden="1">
      <c r="A332" s="62" t="s">
        <v>125</v>
      </c>
      <c r="B332" s="73">
        <v>9371448</v>
      </c>
      <c r="C332" s="73"/>
      <c r="D332" s="73"/>
      <c r="E332" s="73">
        <v>9371448</v>
      </c>
      <c r="F332" s="42">
        <v>0</v>
      </c>
      <c r="G332" s="42">
        <f t="shared" si="5"/>
        <v>9371448</v>
      </c>
      <c r="H332" s="2" t="str">
        <f>VLOOKUP(A332,'TB JUNE'!A:H,8,0)</f>
        <v>Not Applicable</v>
      </c>
    </row>
    <row r="333" spans="1:8" hidden="1">
      <c r="A333" s="62" t="s">
        <v>159</v>
      </c>
      <c r="B333" s="73">
        <v>28350</v>
      </c>
      <c r="C333" s="73"/>
      <c r="D333" s="73"/>
      <c r="E333" s="73">
        <v>28350</v>
      </c>
      <c r="F333" s="42">
        <v>0</v>
      </c>
      <c r="G333" s="42">
        <f t="shared" si="5"/>
        <v>28350</v>
      </c>
      <c r="H333" s="2" t="str">
        <f>VLOOKUP(A333,'TB JUNE'!A:H,8,0)</f>
        <v>Not Applicable</v>
      </c>
    </row>
    <row r="334" spans="1:8" hidden="1">
      <c r="A334" s="62" t="s">
        <v>160</v>
      </c>
      <c r="B334" s="73">
        <v>30366108.780000001</v>
      </c>
      <c r="C334" s="73"/>
      <c r="D334" s="73"/>
      <c r="E334" s="73">
        <v>30366108.780000001</v>
      </c>
      <c r="F334" s="42">
        <v>0</v>
      </c>
      <c r="G334" s="42">
        <f t="shared" si="5"/>
        <v>30366108.780000001</v>
      </c>
      <c r="H334" s="2" t="str">
        <f>VLOOKUP(A334,'TB JUNE'!A:H,8,0)</f>
        <v>Not Applicable</v>
      </c>
    </row>
    <row r="335" spans="1:8" hidden="1">
      <c r="A335" s="62" t="s">
        <v>161</v>
      </c>
      <c r="B335" s="73">
        <v>39942385.469999999</v>
      </c>
      <c r="C335" s="73"/>
      <c r="D335" s="73"/>
      <c r="E335" s="73">
        <v>39942385.469999999</v>
      </c>
      <c r="F335" s="42">
        <v>0</v>
      </c>
      <c r="G335" s="42">
        <f t="shared" si="5"/>
        <v>39942385.469999999</v>
      </c>
      <c r="H335" s="2" t="str">
        <f>VLOOKUP(A335,'TB JUNE'!A:H,8,0)</f>
        <v>Not Applicable</v>
      </c>
    </row>
    <row r="336" spans="1:8" hidden="1">
      <c r="A336" s="62" t="s">
        <v>170</v>
      </c>
      <c r="B336" s="73">
        <v>96500</v>
      </c>
      <c r="C336" s="73"/>
      <c r="D336" s="73"/>
      <c r="E336" s="73">
        <v>96500</v>
      </c>
      <c r="F336" s="42">
        <v>0</v>
      </c>
      <c r="G336" s="42">
        <f t="shared" si="5"/>
        <v>96500</v>
      </c>
      <c r="H336" s="2" t="str">
        <f>VLOOKUP(A336,'TB JUNE'!A:H,8,0)</f>
        <v>Not Applicable</v>
      </c>
    </row>
    <row r="337" spans="1:8" hidden="1">
      <c r="A337" s="62" t="s">
        <v>187</v>
      </c>
      <c r="B337" s="73">
        <v>100000</v>
      </c>
      <c r="C337" s="73"/>
      <c r="D337" s="73"/>
      <c r="E337" s="73">
        <v>100000</v>
      </c>
      <c r="F337" s="42">
        <v>0</v>
      </c>
      <c r="G337" s="42">
        <f t="shared" si="5"/>
        <v>100000</v>
      </c>
      <c r="H337" s="2" t="str">
        <f>VLOOKUP(A337,'TB JUNE'!A:H,8,0)</f>
        <v>Not Applicable</v>
      </c>
    </row>
    <row r="338" spans="1:8" hidden="1">
      <c r="A338" s="62" t="s">
        <v>202</v>
      </c>
      <c r="B338" s="73">
        <v>186280</v>
      </c>
      <c r="C338" s="73"/>
      <c r="D338" s="73"/>
      <c r="E338" s="73">
        <v>186280</v>
      </c>
      <c r="F338" s="42">
        <v>0</v>
      </c>
      <c r="G338" s="42">
        <f t="shared" si="5"/>
        <v>186280</v>
      </c>
      <c r="H338" s="2" t="str">
        <f>VLOOKUP(A338,'TB JUNE'!A:H,8,0)</f>
        <v>Not Applicable</v>
      </c>
    </row>
    <row r="339" spans="1:8" hidden="1">
      <c r="A339" s="62" t="s">
        <v>244</v>
      </c>
      <c r="B339" s="73">
        <v>65000</v>
      </c>
      <c r="C339" s="73"/>
      <c r="D339" s="73"/>
      <c r="E339" s="73">
        <v>65000</v>
      </c>
      <c r="F339" s="42">
        <v>0</v>
      </c>
      <c r="G339" s="42">
        <f t="shared" si="5"/>
        <v>65000</v>
      </c>
      <c r="H339" s="2" t="str">
        <f>VLOOKUP(A339,'TB JUNE'!A:H,8,0)</f>
        <v>Not Applicable</v>
      </c>
    </row>
    <row r="340" spans="1:8" hidden="1">
      <c r="A340" s="62" t="s">
        <v>325</v>
      </c>
      <c r="B340" s="73">
        <v>57500</v>
      </c>
      <c r="C340" s="73"/>
      <c r="D340" s="73"/>
      <c r="E340" s="73">
        <v>57500</v>
      </c>
      <c r="F340" s="42">
        <v>0</v>
      </c>
      <c r="G340" s="42">
        <f t="shared" si="5"/>
        <v>57500</v>
      </c>
      <c r="H340" s="2" t="str">
        <f>VLOOKUP(A340,'TB JUNE'!A:H,8,0)</f>
        <v>Not Applicable</v>
      </c>
    </row>
    <row r="341" spans="1:8" hidden="1">
      <c r="A341" s="62" t="s">
        <v>86</v>
      </c>
      <c r="B341" s="73">
        <v>879414</v>
      </c>
      <c r="C341" s="73"/>
      <c r="D341" s="73"/>
      <c r="E341" s="73">
        <v>879414</v>
      </c>
      <c r="F341" s="42">
        <v>0</v>
      </c>
      <c r="G341" s="42">
        <f t="shared" si="5"/>
        <v>879414</v>
      </c>
      <c r="H341" s="2" t="str">
        <f>VLOOKUP(A341,'TB JUNE'!A:H,8,0)</f>
        <v>Not Applicable</v>
      </c>
    </row>
    <row r="342" spans="1:8" hidden="1">
      <c r="A342" s="62" t="s">
        <v>139</v>
      </c>
      <c r="B342" s="73">
        <v>85795</v>
      </c>
      <c r="C342" s="73"/>
      <c r="D342" s="73"/>
      <c r="E342" s="73">
        <v>85795</v>
      </c>
      <c r="F342" s="42">
        <v>0</v>
      </c>
      <c r="G342" s="42">
        <f t="shared" si="5"/>
        <v>85795</v>
      </c>
      <c r="H342" s="2" t="str">
        <f>VLOOKUP(A342,'TB JUNE'!A:H,8,0)</f>
        <v>Not Applicable</v>
      </c>
    </row>
    <row r="343" spans="1:8" hidden="1">
      <c r="A343" s="62" t="s">
        <v>140</v>
      </c>
      <c r="B343" s="73">
        <v>140000</v>
      </c>
      <c r="C343" s="73"/>
      <c r="D343" s="73"/>
      <c r="E343" s="73">
        <v>140000</v>
      </c>
      <c r="F343" s="42">
        <v>0</v>
      </c>
      <c r="G343" s="42">
        <f t="shared" si="5"/>
        <v>140000</v>
      </c>
      <c r="H343" s="2" t="str">
        <f>VLOOKUP(A343,'TB JUNE'!A:H,8,0)</f>
        <v>Not Applicable</v>
      </c>
    </row>
    <row r="344" spans="1:8" hidden="1">
      <c r="A344" s="62" t="s">
        <v>141</v>
      </c>
      <c r="B344" s="73">
        <v>93100</v>
      </c>
      <c r="C344" s="73"/>
      <c r="D344" s="73"/>
      <c r="E344" s="73">
        <v>93100</v>
      </c>
      <c r="F344" s="42">
        <v>0</v>
      </c>
      <c r="G344" s="42">
        <f t="shared" si="5"/>
        <v>93100</v>
      </c>
      <c r="H344" s="2" t="str">
        <f>VLOOKUP(A344,'TB JUNE'!A:H,8,0)</f>
        <v>Not Applicable</v>
      </c>
    </row>
    <row r="345" spans="1:8" hidden="1">
      <c r="A345" s="62" t="s">
        <v>91</v>
      </c>
      <c r="B345" s="73">
        <v>16675</v>
      </c>
      <c r="C345" s="73"/>
      <c r="D345" s="73"/>
      <c r="E345" s="73">
        <v>16675</v>
      </c>
      <c r="F345" s="42">
        <v>0</v>
      </c>
      <c r="G345" s="42">
        <f t="shared" si="5"/>
        <v>16675</v>
      </c>
      <c r="H345" s="2" t="str">
        <f>VLOOKUP(A345,'TB JUNE'!A:H,8,0)</f>
        <v>Not Applicable</v>
      </c>
    </row>
    <row r="346" spans="1:8" hidden="1">
      <c r="A346" s="62" t="s">
        <v>146</v>
      </c>
      <c r="B346" s="73">
        <v>2659625.63</v>
      </c>
      <c r="C346" s="73"/>
      <c r="D346" s="73"/>
      <c r="E346" s="73">
        <v>2659625.63</v>
      </c>
      <c r="F346" s="42">
        <v>0</v>
      </c>
      <c r="G346" s="42">
        <f t="shared" si="5"/>
        <v>2659625.63</v>
      </c>
      <c r="H346" s="2" t="str">
        <f>VLOOKUP(A346,'TB JUNE'!A:H,8,0)</f>
        <v>Not Applicable</v>
      </c>
    </row>
    <row r="347" spans="1:8" hidden="1">
      <c r="A347" s="62" t="s">
        <v>151</v>
      </c>
      <c r="B347" s="73">
        <v>98304</v>
      </c>
      <c r="C347" s="73"/>
      <c r="D347" s="73"/>
      <c r="E347" s="73">
        <v>98304</v>
      </c>
      <c r="F347" s="42">
        <v>0</v>
      </c>
      <c r="G347" s="42">
        <f t="shared" si="5"/>
        <v>98304</v>
      </c>
      <c r="H347" s="2" t="str">
        <f>VLOOKUP(A347,'TB JUNE'!A:H,8,0)</f>
        <v>Not Applicable</v>
      </c>
    </row>
    <row r="348" spans="1:8" hidden="1">
      <c r="A348" s="62" t="s">
        <v>191</v>
      </c>
      <c r="B348" s="73">
        <v>7650</v>
      </c>
      <c r="C348" s="73"/>
      <c r="D348" s="73"/>
      <c r="E348" s="73">
        <v>7650</v>
      </c>
      <c r="F348" s="42">
        <v>0</v>
      </c>
      <c r="G348" s="42">
        <f t="shared" si="5"/>
        <v>7650</v>
      </c>
      <c r="H348" s="2" t="str">
        <f>VLOOKUP(A348,'TB JUNE'!A:H,8,0)</f>
        <v>Not Applicable</v>
      </c>
    </row>
    <row r="349" spans="1:8" hidden="1">
      <c r="A349" s="62" t="s">
        <v>195</v>
      </c>
      <c r="B349" s="73">
        <v>211477</v>
      </c>
      <c r="C349" s="73"/>
      <c r="D349" s="73"/>
      <c r="E349" s="73">
        <v>211477</v>
      </c>
      <c r="F349" s="42">
        <v>0</v>
      </c>
      <c r="G349" s="42">
        <f t="shared" si="5"/>
        <v>211477</v>
      </c>
      <c r="H349" s="2" t="str">
        <f>VLOOKUP(A349,'TB JUNE'!A:H,8,0)</f>
        <v>Not Applicable</v>
      </c>
    </row>
    <row r="350" spans="1:8" hidden="1">
      <c r="A350" s="62" t="s">
        <v>305</v>
      </c>
      <c r="B350" s="73">
        <v>90000</v>
      </c>
      <c r="C350" s="73"/>
      <c r="D350" s="73"/>
      <c r="E350" s="73">
        <v>90000</v>
      </c>
      <c r="F350" s="42">
        <v>0</v>
      </c>
      <c r="G350" s="42">
        <f t="shared" si="5"/>
        <v>90000</v>
      </c>
      <c r="H350" s="2" t="str">
        <f>VLOOKUP(A350,'TB JUNE'!A:H,8,0)</f>
        <v>Not Applicable</v>
      </c>
    </row>
    <row r="351" spans="1:8" hidden="1">
      <c r="A351" s="62" t="s">
        <v>327</v>
      </c>
      <c r="B351" s="73">
        <v>758907.36</v>
      </c>
      <c r="C351" s="73"/>
      <c r="D351" s="73"/>
      <c r="E351" s="73">
        <v>758907.36</v>
      </c>
      <c r="F351" s="42">
        <v>0</v>
      </c>
      <c r="G351" s="42">
        <f t="shared" si="5"/>
        <v>758907.36</v>
      </c>
      <c r="H351" s="2" t="str">
        <f>VLOOKUP(A351,'TB JUNE'!A:H,8,0)</f>
        <v>Not Applicable</v>
      </c>
    </row>
    <row r="352" spans="1:8" hidden="1">
      <c r="A352" s="62" t="s">
        <v>354</v>
      </c>
      <c r="B352" s="73">
        <v>349108.97</v>
      </c>
      <c r="C352" s="73"/>
      <c r="D352" s="73"/>
      <c r="E352" s="73">
        <v>349108.97</v>
      </c>
      <c r="F352" s="42">
        <v>0</v>
      </c>
      <c r="G352" s="42">
        <f t="shared" si="5"/>
        <v>349108.97</v>
      </c>
      <c r="H352" s="2" t="str">
        <f>VLOOKUP(A352,'TB JUNE'!A:H,8,0)</f>
        <v>Not Applicable</v>
      </c>
    </row>
    <row r="353" spans="1:8" hidden="1">
      <c r="A353" s="62" t="s">
        <v>355</v>
      </c>
      <c r="B353" s="73">
        <v>1571437</v>
      </c>
      <c r="C353" s="73"/>
      <c r="D353" s="73"/>
      <c r="E353" s="73">
        <v>1571437</v>
      </c>
      <c r="F353" s="42">
        <v>0</v>
      </c>
      <c r="G353" s="42">
        <f t="shared" si="5"/>
        <v>1571437</v>
      </c>
      <c r="H353" s="2" t="str">
        <f>VLOOKUP(A353,'TB JUNE'!A:H,8,0)</f>
        <v>Not Applicable</v>
      </c>
    </row>
    <row r="354" spans="1:8" hidden="1">
      <c r="A354" s="62" t="s">
        <v>356</v>
      </c>
      <c r="B354" s="73">
        <v>68400</v>
      </c>
      <c r="C354" s="73"/>
      <c r="D354" s="73"/>
      <c r="E354" s="73">
        <v>68400</v>
      </c>
      <c r="F354" s="42">
        <v>0</v>
      </c>
      <c r="G354" s="42">
        <f t="shared" si="5"/>
        <v>68400</v>
      </c>
      <c r="H354" s="2" t="str">
        <f>VLOOKUP(A354,'TB JUNE'!A:H,8,0)</f>
        <v>Not Applicable</v>
      </c>
    </row>
    <row r="355" spans="1:8" hidden="1">
      <c r="A355" s="62" t="s">
        <v>359</v>
      </c>
      <c r="B355" s="73">
        <v>429513.24</v>
      </c>
      <c r="C355" s="73"/>
      <c r="D355" s="73"/>
      <c r="E355" s="73">
        <v>429513.24</v>
      </c>
      <c r="F355" s="42">
        <v>0</v>
      </c>
      <c r="G355" s="42">
        <f t="shared" si="5"/>
        <v>429513.24</v>
      </c>
      <c r="H355" s="2" t="str">
        <f>VLOOKUP(A355,'TB JUNE'!A:H,8,0)</f>
        <v>Not Applicable</v>
      </c>
    </row>
    <row r="356" spans="1:8" hidden="1">
      <c r="A356" s="62" t="s">
        <v>360</v>
      </c>
      <c r="B356" s="73">
        <v>5850</v>
      </c>
      <c r="C356" s="73"/>
      <c r="D356" s="73"/>
      <c r="E356" s="73">
        <v>5850</v>
      </c>
      <c r="F356" s="42">
        <v>0</v>
      </c>
      <c r="G356" s="42">
        <f t="shared" si="5"/>
        <v>5850</v>
      </c>
      <c r="H356" s="2" t="str">
        <f>VLOOKUP(A356,'TB JUNE'!A:H,8,0)</f>
        <v>Not Applicable</v>
      </c>
    </row>
    <row r="357" spans="1:8" hidden="1">
      <c r="A357" s="62" t="s">
        <v>136</v>
      </c>
      <c r="B357" s="73">
        <v>1015945.55</v>
      </c>
      <c r="C357" s="73"/>
      <c r="D357" s="73"/>
      <c r="E357" s="73">
        <v>1015945.55</v>
      </c>
      <c r="F357" s="42">
        <v>0</v>
      </c>
      <c r="G357" s="42">
        <f t="shared" si="5"/>
        <v>1015945.55</v>
      </c>
      <c r="H357" s="2" t="str">
        <f>VLOOKUP(A357,'TB JUNE'!A:H,8,0)</f>
        <v>Not Applicable</v>
      </c>
    </row>
    <row r="358" spans="1:8" hidden="1">
      <c r="A358" s="62" t="s">
        <v>1052</v>
      </c>
      <c r="B358" s="73">
        <v>5673027</v>
      </c>
      <c r="C358" s="73"/>
      <c r="D358" s="73"/>
      <c r="E358" s="73">
        <v>5673027</v>
      </c>
      <c r="F358" s="42">
        <v>0</v>
      </c>
      <c r="G358" s="42">
        <f t="shared" si="5"/>
        <v>5673027</v>
      </c>
      <c r="H358" s="2" t="str">
        <f>VLOOKUP(A358,'TB JUNE'!A:H,8,0)</f>
        <v>Not Applicable</v>
      </c>
    </row>
    <row r="359" spans="1:8" hidden="1">
      <c r="A359" s="62" t="s">
        <v>115</v>
      </c>
      <c r="B359" s="73">
        <v>733185</v>
      </c>
      <c r="C359" s="73"/>
      <c r="D359" s="73"/>
      <c r="E359" s="73">
        <v>733185</v>
      </c>
      <c r="F359" s="42">
        <v>0</v>
      </c>
      <c r="G359" s="42">
        <f t="shared" si="5"/>
        <v>733185</v>
      </c>
      <c r="H359" s="2" t="str">
        <f>VLOOKUP(A359,'TB JUNE'!A:H,8,0)</f>
        <v>Not Applicable</v>
      </c>
    </row>
    <row r="360" spans="1:8" hidden="1">
      <c r="A360" s="62" t="s">
        <v>144</v>
      </c>
      <c r="B360" s="73">
        <v>2750</v>
      </c>
      <c r="C360" s="73"/>
      <c r="D360" s="73"/>
      <c r="E360" s="73">
        <v>2750</v>
      </c>
      <c r="F360" s="42">
        <v>0</v>
      </c>
      <c r="G360" s="42">
        <f t="shared" si="5"/>
        <v>2750</v>
      </c>
      <c r="H360" s="2" t="str">
        <f>VLOOKUP(A360,'TB JUNE'!A:H,8,0)</f>
        <v>Not Applicable</v>
      </c>
    </row>
    <row r="361" spans="1:8" hidden="1">
      <c r="A361" s="62" t="s">
        <v>245</v>
      </c>
      <c r="B361" s="73">
        <v>36400</v>
      </c>
      <c r="C361" s="73"/>
      <c r="D361" s="73"/>
      <c r="E361" s="73">
        <v>36400</v>
      </c>
      <c r="F361" s="42">
        <v>0</v>
      </c>
      <c r="G361" s="42">
        <f t="shared" si="5"/>
        <v>36400</v>
      </c>
      <c r="H361" s="2" t="str">
        <f>VLOOKUP(A361,'TB JUNE'!A:H,8,0)</f>
        <v>Not Applicable</v>
      </c>
    </row>
    <row r="362" spans="1:8" hidden="1">
      <c r="A362" s="62" t="s">
        <v>246</v>
      </c>
      <c r="B362" s="73">
        <v>43030</v>
      </c>
      <c r="C362" s="73"/>
      <c r="D362" s="73"/>
      <c r="E362" s="73">
        <v>43030</v>
      </c>
      <c r="F362" s="42">
        <v>0</v>
      </c>
      <c r="G362" s="42">
        <f t="shared" si="5"/>
        <v>43030</v>
      </c>
      <c r="H362" s="2" t="str">
        <f>VLOOKUP(A362,'TB JUNE'!A:H,8,0)</f>
        <v>Not Applicable</v>
      </c>
    </row>
    <row r="363" spans="1:8" hidden="1">
      <c r="A363" s="62" t="s">
        <v>247</v>
      </c>
      <c r="B363" s="73">
        <v>43030</v>
      </c>
      <c r="C363" s="73"/>
      <c r="D363" s="73"/>
      <c r="E363" s="73">
        <v>43030</v>
      </c>
      <c r="F363" s="42">
        <v>0</v>
      </c>
      <c r="G363" s="42">
        <f t="shared" si="5"/>
        <v>43030</v>
      </c>
      <c r="H363" s="2" t="str">
        <f>VLOOKUP(A363,'TB JUNE'!A:H,8,0)</f>
        <v>Not Applicable</v>
      </c>
    </row>
    <row r="364" spans="1:8" hidden="1">
      <c r="A364" s="62" t="s">
        <v>175</v>
      </c>
      <c r="B364" s="73">
        <v>1818539</v>
      </c>
      <c r="C364" s="73"/>
      <c r="D364" s="73"/>
      <c r="E364" s="73">
        <v>1818539</v>
      </c>
      <c r="F364" s="42">
        <v>0</v>
      </c>
      <c r="G364" s="42">
        <f t="shared" si="5"/>
        <v>1818539</v>
      </c>
      <c r="H364" s="2" t="str">
        <f>VLOOKUP(A364,'TB JUNE'!A:H,8,0)</f>
        <v>Not Applicable</v>
      </c>
    </row>
    <row r="365" spans="1:8" hidden="1">
      <c r="A365" s="62" t="s">
        <v>176</v>
      </c>
      <c r="B365" s="73">
        <v>766214</v>
      </c>
      <c r="C365" s="73"/>
      <c r="D365" s="73"/>
      <c r="E365" s="73">
        <v>766214</v>
      </c>
      <c r="F365" s="42">
        <v>0</v>
      </c>
      <c r="G365" s="42">
        <f t="shared" si="5"/>
        <v>766214</v>
      </c>
      <c r="H365" s="2" t="str">
        <f>VLOOKUP(A365,'TB JUNE'!A:H,8,0)</f>
        <v>Not Applicable</v>
      </c>
    </row>
    <row r="366" spans="1:8" hidden="1">
      <c r="A366" s="62" t="s">
        <v>177</v>
      </c>
      <c r="B366" s="73">
        <v>3428358</v>
      </c>
      <c r="C366" s="73"/>
      <c r="D366" s="73"/>
      <c r="E366" s="73">
        <v>3428358</v>
      </c>
      <c r="F366" s="42">
        <v>0</v>
      </c>
      <c r="G366" s="42">
        <f t="shared" si="5"/>
        <v>3428358</v>
      </c>
      <c r="H366" s="2" t="str">
        <f>VLOOKUP(A366,'TB JUNE'!A:H,8,0)</f>
        <v>Not Applicable</v>
      </c>
    </row>
    <row r="367" spans="1:8" hidden="1">
      <c r="A367" s="62" t="s">
        <v>178</v>
      </c>
      <c r="B367" s="73">
        <v>1419968.98</v>
      </c>
      <c r="C367" s="73"/>
      <c r="D367" s="73"/>
      <c r="E367" s="73">
        <v>1419968.98</v>
      </c>
      <c r="F367" s="42">
        <v>0</v>
      </c>
      <c r="G367" s="42">
        <f t="shared" si="5"/>
        <v>1419968.98</v>
      </c>
      <c r="H367" s="2" t="str">
        <f>VLOOKUP(A367,'TB JUNE'!A:H,8,0)</f>
        <v>Not Applicable</v>
      </c>
    </row>
    <row r="368" spans="1:8" hidden="1">
      <c r="A368" s="62" t="s">
        <v>321</v>
      </c>
      <c r="B368" s="73">
        <v>2154376</v>
      </c>
      <c r="C368" s="73"/>
      <c r="D368" s="73"/>
      <c r="E368" s="73">
        <v>2154376</v>
      </c>
      <c r="F368" s="42">
        <v>0</v>
      </c>
      <c r="G368" s="42">
        <f t="shared" si="5"/>
        <v>2154376</v>
      </c>
      <c r="H368" s="2" t="str">
        <f>VLOOKUP(A368,'TB JUNE'!A:H,8,0)</f>
        <v>Not Applicable</v>
      </c>
    </row>
    <row r="369" spans="1:8" hidden="1">
      <c r="A369" s="62" t="s">
        <v>1597</v>
      </c>
      <c r="B369" s="73"/>
      <c r="C369" s="73">
        <v>12000</v>
      </c>
      <c r="D369" s="73"/>
      <c r="E369" s="73">
        <v>12000</v>
      </c>
      <c r="F369" s="42">
        <v>0</v>
      </c>
      <c r="G369" s="42">
        <f t="shared" si="5"/>
        <v>12000</v>
      </c>
      <c r="H369" s="2" t="s">
        <v>84</v>
      </c>
    </row>
    <row r="370" spans="1:8" hidden="1">
      <c r="A370" s="62" t="s">
        <v>486</v>
      </c>
      <c r="B370" s="73">
        <v>-590104048.52999997</v>
      </c>
      <c r="C370" s="73"/>
      <c r="D370" s="73"/>
      <c r="E370" s="73">
        <v>-590104048.52999997</v>
      </c>
      <c r="F370" s="42">
        <v>0</v>
      </c>
      <c r="G370" s="42">
        <f t="shared" si="5"/>
        <v>-590104048.52999997</v>
      </c>
      <c r="H370" s="2" t="str">
        <f>VLOOKUP(A370,'TB JUNE'!A:H,8,0)</f>
        <v>Not Applicable</v>
      </c>
    </row>
    <row r="371" spans="1:8" hidden="1">
      <c r="A371" s="62" t="s">
        <v>1555</v>
      </c>
      <c r="B371" s="73"/>
      <c r="C371" s="73">
        <v>10000</v>
      </c>
      <c r="D371" s="73">
        <v>10000</v>
      </c>
      <c r="E371" s="73"/>
      <c r="F371" s="42">
        <v>0</v>
      </c>
      <c r="G371" s="42">
        <f t="shared" si="5"/>
        <v>0</v>
      </c>
      <c r="H371" s="2" t="str">
        <f>VLOOKUP(A371,'TB JUNE'!A:H,8,0)</f>
        <v>Not Applicable</v>
      </c>
    </row>
    <row r="372" spans="1:8" hidden="1">
      <c r="A372" s="62" t="s">
        <v>664</v>
      </c>
      <c r="B372" s="73"/>
      <c r="C372" s="73">
        <v>20166504.16</v>
      </c>
      <c r="D372" s="73">
        <v>24900850.739999998</v>
      </c>
      <c r="E372" s="73">
        <v>-4734346.58</v>
      </c>
      <c r="F372" s="42">
        <v>0</v>
      </c>
      <c r="G372" s="42">
        <f t="shared" si="5"/>
        <v>-4734346.58</v>
      </c>
      <c r="H372" s="2" t="str">
        <f>VLOOKUP(A372,'TB JUNE'!A:H,8,0)</f>
        <v>Not Applicable</v>
      </c>
    </row>
    <row r="373" spans="1:8" hidden="1">
      <c r="A373" s="62" t="s">
        <v>595</v>
      </c>
      <c r="B373" s="73"/>
      <c r="C373" s="73">
        <v>5580680.1399999997</v>
      </c>
      <c r="D373" s="73">
        <v>8115352.4100000001</v>
      </c>
      <c r="E373" s="73">
        <v>-2534672.27</v>
      </c>
      <c r="F373" s="42">
        <v>0</v>
      </c>
      <c r="G373" s="42">
        <f t="shared" si="5"/>
        <v>-2534672.27</v>
      </c>
      <c r="H373" s="2" t="str">
        <f>VLOOKUP(A373,'TB JUNE'!A:H,8,0)</f>
        <v>Not Applicable</v>
      </c>
    </row>
    <row r="374" spans="1:8" hidden="1">
      <c r="A374" s="62" t="s">
        <v>434</v>
      </c>
      <c r="B374" s="73"/>
      <c r="C374" s="73">
        <v>20166504.16</v>
      </c>
      <c r="D374" s="73">
        <v>24900850.739999998</v>
      </c>
      <c r="E374" s="73">
        <v>-4734346.58</v>
      </c>
      <c r="F374" s="42">
        <v>0</v>
      </c>
      <c r="G374" s="42">
        <f t="shared" si="5"/>
        <v>-4734346.58</v>
      </c>
      <c r="H374" s="2" t="str">
        <f>VLOOKUP(A374,'TB JUNE'!A:H,8,0)</f>
        <v>Not Applicable</v>
      </c>
    </row>
    <row r="375" spans="1:8" hidden="1">
      <c r="A375" s="62" t="s">
        <v>485</v>
      </c>
      <c r="B375" s="73">
        <v>-74528</v>
      </c>
      <c r="C375" s="73">
        <v>279000</v>
      </c>
      <c r="D375" s="73">
        <v>201600</v>
      </c>
      <c r="E375" s="73">
        <v>2872</v>
      </c>
      <c r="F375" s="42">
        <v>0</v>
      </c>
      <c r="G375" s="42">
        <f t="shared" si="5"/>
        <v>2872</v>
      </c>
      <c r="H375" s="2" t="str">
        <f>VLOOKUP(A375,'TB JUNE'!A:H,8,0)</f>
        <v>Not Applicable</v>
      </c>
    </row>
    <row r="376" spans="1:8" hidden="1">
      <c r="A376" s="62" t="s">
        <v>395</v>
      </c>
      <c r="B376" s="73"/>
      <c r="C376" s="73"/>
      <c r="D376" s="73"/>
      <c r="E376" s="73"/>
      <c r="F376" s="42">
        <v>0</v>
      </c>
      <c r="G376" s="42">
        <f t="shared" si="5"/>
        <v>0</v>
      </c>
      <c r="H376" s="2" t="str">
        <f>VLOOKUP(A376,'TB JUNE'!A:H,8,0)</f>
        <v>Not Applicable</v>
      </c>
    </row>
    <row r="377" spans="1:8" hidden="1">
      <c r="A377" s="62" t="s">
        <v>396</v>
      </c>
      <c r="B377" s="73"/>
      <c r="C377" s="73"/>
      <c r="D377" s="73"/>
      <c r="E377" s="73"/>
      <c r="F377" s="42">
        <v>0</v>
      </c>
      <c r="G377" s="42">
        <f t="shared" si="5"/>
        <v>0</v>
      </c>
      <c r="H377" s="2" t="str">
        <f>VLOOKUP(A377,'TB JUNE'!A:H,8,0)</f>
        <v>Not Applicable</v>
      </c>
    </row>
    <row r="378" spans="1:8" hidden="1">
      <c r="A378" s="62" t="s">
        <v>397</v>
      </c>
      <c r="B378" s="73"/>
      <c r="C378" s="73"/>
      <c r="D378" s="73"/>
      <c r="E378" s="73"/>
      <c r="F378" s="42">
        <v>0</v>
      </c>
      <c r="G378" s="42">
        <f t="shared" si="5"/>
        <v>0</v>
      </c>
      <c r="H378" s="2" t="str">
        <f>VLOOKUP(A378,'TB JUNE'!A:H,8,0)</f>
        <v>Not Applicable</v>
      </c>
    </row>
    <row r="379" spans="1:8" hidden="1">
      <c r="A379" s="62" t="s">
        <v>398</v>
      </c>
      <c r="B379" s="73"/>
      <c r="C379" s="73"/>
      <c r="D379" s="73"/>
      <c r="E379" s="73"/>
      <c r="F379" s="42">
        <v>0</v>
      </c>
      <c r="G379" s="42">
        <f t="shared" si="5"/>
        <v>0</v>
      </c>
      <c r="H379" s="2" t="str">
        <f>VLOOKUP(A379,'TB JUNE'!A:H,8,0)</f>
        <v>Not Applicable</v>
      </c>
    </row>
    <row r="380" spans="1:8" hidden="1">
      <c r="A380" s="62" t="s">
        <v>1308</v>
      </c>
      <c r="B380" s="73"/>
      <c r="C380" s="73"/>
      <c r="D380" s="73"/>
      <c r="E380" s="73"/>
      <c r="F380" s="42">
        <v>0</v>
      </c>
      <c r="G380" s="42">
        <f t="shared" si="5"/>
        <v>0</v>
      </c>
      <c r="H380" s="2" t="str">
        <f>VLOOKUP(A380,'TB JUNE'!A:H,8,0)</f>
        <v>Not Applicable</v>
      </c>
    </row>
    <row r="381" spans="1:8" hidden="1">
      <c r="A381" s="62" t="s">
        <v>1061</v>
      </c>
      <c r="B381" s="73"/>
      <c r="C381" s="73"/>
      <c r="D381" s="73"/>
      <c r="E381" s="73"/>
      <c r="F381" s="42">
        <v>0</v>
      </c>
      <c r="G381" s="42">
        <f t="shared" si="5"/>
        <v>0</v>
      </c>
      <c r="H381" s="2" t="str">
        <f>VLOOKUP(A381,'TB JUNE'!A:H,8,0)</f>
        <v>Not Applicable</v>
      </c>
    </row>
    <row r="382" spans="1:8" hidden="1">
      <c r="A382" s="62" t="s">
        <v>1422</v>
      </c>
      <c r="B382" s="73"/>
      <c r="C382" s="73"/>
      <c r="D382" s="73">
        <v>10280.19</v>
      </c>
      <c r="E382" s="73">
        <v>-10280.19</v>
      </c>
      <c r="F382" s="42">
        <v>0</v>
      </c>
      <c r="G382" s="42">
        <f t="shared" si="5"/>
        <v>-10280.19</v>
      </c>
      <c r="H382" s="2" t="str">
        <f>VLOOKUP(A382,'TB JUNE'!A:H,8,0)</f>
        <v>Not Applicable</v>
      </c>
    </row>
    <row r="383" spans="1:8" hidden="1">
      <c r="A383" s="62" t="s">
        <v>399</v>
      </c>
      <c r="B383" s="73"/>
      <c r="C383" s="73">
        <v>10000</v>
      </c>
      <c r="D383" s="73">
        <v>40000</v>
      </c>
      <c r="E383" s="73">
        <v>-30000</v>
      </c>
      <c r="F383" s="42">
        <v>0</v>
      </c>
      <c r="G383" s="42">
        <f t="shared" si="5"/>
        <v>-30000</v>
      </c>
      <c r="H383" s="2" t="str">
        <f>VLOOKUP(A383,'TB JUNE'!A:H,8,0)</f>
        <v>Not Applicable</v>
      </c>
    </row>
    <row r="384" spans="1:8" hidden="1">
      <c r="A384" s="62" t="s">
        <v>400</v>
      </c>
      <c r="B384" s="73">
        <v>-18553</v>
      </c>
      <c r="C384" s="73"/>
      <c r="D384" s="73">
        <v>742867</v>
      </c>
      <c r="E384" s="73">
        <v>-761420</v>
      </c>
      <c r="F384" s="42">
        <v>0</v>
      </c>
      <c r="G384" s="42">
        <f t="shared" si="5"/>
        <v>-761420</v>
      </c>
      <c r="H384" s="2" t="str">
        <f>VLOOKUP(A384,'TB JUNE'!A:H,8,0)</f>
        <v>Not Applicable</v>
      </c>
    </row>
    <row r="385" spans="1:8" hidden="1">
      <c r="A385" s="62" t="s">
        <v>971</v>
      </c>
      <c r="B385" s="73"/>
      <c r="C385" s="73"/>
      <c r="D385" s="73">
        <v>110880</v>
      </c>
      <c r="E385" s="73">
        <v>-110880</v>
      </c>
      <c r="F385" s="42">
        <v>0</v>
      </c>
      <c r="G385" s="42">
        <f t="shared" si="5"/>
        <v>-110880</v>
      </c>
      <c r="H385" s="2" t="str">
        <f>VLOOKUP(A385,'TB JUNE'!A:H,8,0)</f>
        <v>Not Applicable</v>
      </c>
    </row>
    <row r="386" spans="1:8" hidden="1">
      <c r="A386" s="62" t="s">
        <v>401</v>
      </c>
      <c r="B386" s="73"/>
      <c r="C386" s="73"/>
      <c r="D386" s="73">
        <v>30934</v>
      </c>
      <c r="E386" s="73">
        <v>-30934</v>
      </c>
      <c r="F386" s="42">
        <v>0</v>
      </c>
      <c r="G386" s="42">
        <f t="shared" si="5"/>
        <v>-30934</v>
      </c>
      <c r="H386" s="2" t="str">
        <f>VLOOKUP(A386,'TB JUNE'!A:H,8,0)</f>
        <v>Not Applicable</v>
      </c>
    </row>
    <row r="387" spans="1:8" hidden="1">
      <c r="A387" s="62" t="s">
        <v>402</v>
      </c>
      <c r="B387" s="73"/>
      <c r="C387" s="73">
        <v>1.1299999999999999</v>
      </c>
      <c r="D387" s="73">
        <v>294613.73</v>
      </c>
      <c r="E387" s="73">
        <v>-294612.59999999998</v>
      </c>
      <c r="F387" s="42">
        <v>0</v>
      </c>
      <c r="G387" s="42">
        <f t="shared" si="5"/>
        <v>-294612.59999999998</v>
      </c>
      <c r="H387" s="2" t="str">
        <f>VLOOKUP(A387,'TB JUNE'!A:H,8,0)</f>
        <v>Not Applicable</v>
      </c>
    </row>
    <row r="388" spans="1:8" hidden="1">
      <c r="A388" s="62" t="s">
        <v>673</v>
      </c>
      <c r="B388" s="73">
        <v>-1494215</v>
      </c>
      <c r="C388" s="73"/>
      <c r="D388" s="73"/>
      <c r="E388" s="73">
        <v>-1494215</v>
      </c>
      <c r="F388" s="42">
        <v>0</v>
      </c>
      <c r="G388" s="42">
        <f t="shared" si="5"/>
        <v>-1494215</v>
      </c>
      <c r="H388" s="2" t="str">
        <f>VLOOKUP(A388,'TB JUNE'!A:H,8,0)</f>
        <v>Not Applicable</v>
      </c>
    </row>
    <row r="389" spans="1:8" hidden="1">
      <c r="A389" s="62" t="s">
        <v>637</v>
      </c>
      <c r="B389" s="73">
        <v>-311010</v>
      </c>
      <c r="C389" s="73">
        <v>1135821</v>
      </c>
      <c r="D389" s="73">
        <v>825353</v>
      </c>
      <c r="E389" s="73">
        <v>-542</v>
      </c>
      <c r="F389" s="42">
        <v>0</v>
      </c>
      <c r="G389" s="42">
        <f t="shared" si="5"/>
        <v>-542</v>
      </c>
      <c r="H389" s="2" t="str">
        <f>VLOOKUP(A389,'TB JUNE'!A:H,8,0)</f>
        <v>Not Applicable</v>
      </c>
    </row>
    <row r="390" spans="1:8" hidden="1">
      <c r="A390" s="62" t="s">
        <v>626</v>
      </c>
      <c r="B390" s="73">
        <v>36125</v>
      </c>
      <c r="C390" s="73">
        <v>112972</v>
      </c>
      <c r="D390" s="73">
        <v>112973</v>
      </c>
      <c r="E390" s="73">
        <v>36124</v>
      </c>
      <c r="F390" s="42">
        <v>0</v>
      </c>
      <c r="G390" s="42">
        <f t="shared" ref="G390:G453" si="6">+E390+F390</f>
        <v>36124</v>
      </c>
      <c r="H390" s="2" t="str">
        <f>VLOOKUP(A390,'TB JUNE'!A:H,8,0)</f>
        <v>Not Applicable</v>
      </c>
    </row>
    <row r="391" spans="1:8" hidden="1">
      <c r="A391" s="62" t="s">
        <v>455</v>
      </c>
      <c r="B391" s="73">
        <v>-8641911.9800000004</v>
      </c>
      <c r="C391" s="73">
        <v>25186955</v>
      </c>
      <c r="D391" s="73">
        <v>20962739</v>
      </c>
      <c r="E391" s="73">
        <v>-4417695.9800000004</v>
      </c>
      <c r="F391" s="42">
        <v>0</v>
      </c>
      <c r="G391" s="42">
        <f t="shared" si="6"/>
        <v>-4417695.9800000004</v>
      </c>
      <c r="H391" s="2" t="str">
        <f>VLOOKUP(A391,'TB JUNE'!A:H,8,0)</f>
        <v>Not Applicable</v>
      </c>
    </row>
    <row r="392" spans="1:8" hidden="1">
      <c r="A392" s="62" t="s">
        <v>1423</v>
      </c>
      <c r="B392" s="73">
        <v>-5841</v>
      </c>
      <c r="C392" s="73">
        <v>13579</v>
      </c>
      <c r="D392" s="73">
        <v>13579</v>
      </c>
      <c r="E392" s="73">
        <v>-5841</v>
      </c>
      <c r="F392" s="42">
        <v>0</v>
      </c>
      <c r="G392" s="42">
        <f t="shared" si="6"/>
        <v>-5841</v>
      </c>
      <c r="H392" s="2" t="str">
        <f>VLOOKUP(A392,'TB JUNE'!A:H,8,0)</f>
        <v>Not Applicable</v>
      </c>
    </row>
    <row r="393" spans="1:8" hidden="1">
      <c r="A393" s="62" t="s">
        <v>1350</v>
      </c>
      <c r="B393" s="73">
        <v>-34321.599999999999</v>
      </c>
      <c r="C393" s="73">
        <v>72837.600000000006</v>
      </c>
      <c r="D393" s="73">
        <v>38516</v>
      </c>
      <c r="E393" s="73"/>
      <c r="F393" s="42">
        <v>0</v>
      </c>
      <c r="G393" s="42">
        <f t="shared" si="6"/>
        <v>0</v>
      </c>
      <c r="H393" s="2" t="str">
        <f>VLOOKUP(A393,'TB JUNE'!A:H,8,0)</f>
        <v>Not Applicable</v>
      </c>
    </row>
    <row r="394" spans="1:8" hidden="1">
      <c r="A394" s="62" t="s">
        <v>644</v>
      </c>
      <c r="B394" s="73">
        <v>-2537</v>
      </c>
      <c r="C394" s="73">
        <v>4891</v>
      </c>
      <c r="D394" s="73">
        <v>4891</v>
      </c>
      <c r="E394" s="73">
        <v>-2537</v>
      </c>
      <c r="F394" s="42">
        <v>0</v>
      </c>
      <c r="G394" s="42">
        <f t="shared" si="6"/>
        <v>-2537</v>
      </c>
      <c r="H394" s="2" t="str">
        <f>VLOOKUP(A394,'TB JUNE'!A:H,8,0)</f>
        <v>Not Applicable</v>
      </c>
    </row>
    <row r="395" spans="1:8" hidden="1">
      <c r="A395" s="62" t="s">
        <v>1424</v>
      </c>
      <c r="B395" s="73"/>
      <c r="C395" s="73"/>
      <c r="D395" s="73"/>
      <c r="E395" s="73"/>
      <c r="F395" s="42">
        <v>0</v>
      </c>
      <c r="G395" s="42">
        <f t="shared" si="6"/>
        <v>0</v>
      </c>
      <c r="H395" s="2" t="str">
        <f>VLOOKUP(A395,'TB JUNE'!A:H,8,0)</f>
        <v>Not Applicable</v>
      </c>
    </row>
    <row r="396" spans="1:8" hidden="1">
      <c r="A396" s="62" t="s">
        <v>1038</v>
      </c>
      <c r="B396" s="73">
        <v>-5992</v>
      </c>
      <c r="C396" s="73"/>
      <c r="D396" s="73"/>
      <c r="E396" s="73">
        <v>-5992</v>
      </c>
      <c r="F396" s="42">
        <v>0</v>
      </c>
      <c r="G396" s="42">
        <f t="shared" si="6"/>
        <v>-5992</v>
      </c>
      <c r="H396" s="2" t="str">
        <f>VLOOKUP(A396,'TB JUNE'!A:H,8,0)</f>
        <v>Not Applicable</v>
      </c>
    </row>
    <row r="397" spans="1:8" hidden="1">
      <c r="A397" s="62" t="s">
        <v>482</v>
      </c>
      <c r="B397" s="73">
        <v>-197176</v>
      </c>
      <c r="C397" s="73"/>
      <c r="D397" s="73"/>
      <c r="E397" s="73">
        <v>-197176</v>
      </c>
      <c r="F397" s="42">
        <v>0</v>
      </c>
      <c r="G397" s="42">
        <f t="shared" si="6"/>
        <v>-197176</v>
      </c>
      <c r="H397" s="2" t="str">
        <f>VLOOKUP(A397,'TB JUNE'!A:H,8,0)</f>
        <v>Not Applicable</v>
      </c>
    </row>
    <row r="398" spans="1:8" hidden="1">
      <c r="A398" s="62" t="s">
        <v>478</v>
      </c>
      <c r="B398" s="73">
        <v>-5377</v>
      </c>
      <c r="C398" s="73"/>
      <c r="D398" s="73"/>
      <c r="E398" s="73">
        <v>-5377</v>
      </c>
      <c r="F398" s="42">
        <v>0</v>
      </c>
      <c r="G398" s="42">
        <f t="shared" si="6"/>
        <v>-5377</v>
      </c>
      <c r="H398" s="2" t="str">
        <f>VLOOKUP(A398,'TB JUNE'!A:H,8,0)</f>
        <v>Not Applicable</v>
      </c>
    </row>
    <row r="399" spans="1:8" hidden="1">
      <c r="A399" s="62" t="s">
        <v>431</v>
      </c>
      <c r="B399" s="73"/>
      <c r="C399" s="73"/>
      <c r="D399" s="73"/>
      <c r="E399" s="73"/>
      <c r="F399" s="42">
        <v>0</v>
      </c>
      <c r="G399" s="42">
        <f t="shared" si="6"/>
        <v>0</v>
      </c>
      <c r="H399" s="2" t="str">
        <f>VLOOKUP(A399,'TB JUNE'!A:H,8,0)</f>
        <v>Not Applicable</v>
      </c>
    </row>
    <row r="400" spans="1:8" hidden="1">
      <c r="A400" s="62" t="s">
        <v>418</v>
      </c>
      <c r="B400" s="73">
        <v>-11250</v>
      </c>
      <c r="C400" s="73">
        <v>11250</v>
      </c>
      <c r="D400" s="73"/>
      <c r="E400" s="73"/>
      <c r="F400" s="42">
        <v>0</v>
      </c>
      <c r="G400" s="42">
        <f t="shared" si="6"/>
        <v>0</v>
      </c>
      <c r="H400" s="2" t="str">
        <f>VLOOKUP(A400,'TB JUNE'!A:H,8,0)</f>
        <v>Not Applicable</v>
      </c>
    </row>
    <row r="401" spans="1:8" hidden="1">
      <c r="A401" s="62" t="s">
        <v>416</v>
      </c>
      <c r="B401" s="73">
        <v>-424</v>
      </c>
      <c r="C401" s="73">
        <v>144</v>
      </c>
      <c r="D401" s="73">
        <v>14800</v>
      </c>
      <c r="E401" s="73">
        <v>-15080</v>
      </c>
      <c r="F401" s="42">
        <v>0</v>
      </c>
      <c r="G401" s="42">
        <f t="shared" si="6"/>
        <v>-15080</v>
      </c>
      <c r="H401" s="2" t="str">
        <f>VLOOKUP(A401,'TB JUNE'!A:H,8,0)</f>
        <v>Not Applicable</v>
      </c>
    </row>
    <row r="402" spans="1:8" hidden="1">
      <c r="A402" s="62" t="s">
        <v>377</v>
      </c>
      <c r="B402" s="73"/>
      <c r="C402" s="73">
        <v>6422.14</v>
      </c>
      <c r="D402" s="73">
        <v>6423</v>
      </c>
      <c r="E402" s="73">
        <v>-0.86</v>
      </c>
      <c r="F402" s="42">
        <v>0</v>
      </c>
      <c r="G402" s="42">
        <f t="shared" si="6"/>
        <v>-0.86</v>
      </c>
      <c r="H402" s="2" t="str">
        <f>VLOOKUP(A402,'TB JUNE'!A:H,8,0)</f>
        <v>Not Applicable</v>
      </c>
    </row>
    <row r="403" spans="1:8" hidden="1">
      <c r="A403" s="62" t="s">
        <v>382</v>
      </c>
      <c r="B403" s="73">
        <v>-150.47999999999999</v>
      </c>
      <c r="C403" s="73"/>
      <c r="D403" s="73"/>
      <c r="E403" s="73">
        <v>-150.47999999999999</v>
      </c>
      <c r="F403" s="42">
        <v>0</v>
      </c>
      <c r="G403" s="42">
        <f t="shared" si="6"/>
        <v>-150.47999999999999</v>
      </c>
      <c r="H403" s="2" t="str">
        <f>VLOOKUP(A403,'TB JUNE'!A:H,8,0)</f>
        <v>Not Applicable</v>
      </c>
    </row>
    <row r="404" spans="1:8" hidden="1">
      <c r="A404" s="62" t="s">
        <v>1426</v>
      </c>
      <c r="B404" s="73">
        <v>-420</v>
      </c>
      <c r="C404" s="73">
        <v>2734</v>
      </c>
      <c r="D404" s="73">
        <v>4433</v>
      </c>
      <c r="E404" s="73">
        <v>-2119</v>
      </c>
      <c r="F404" s="42">
        <v>0</v>
      </c>
      <c r="G404" s="42">
        <f t="shared" si="6"/>
        <v>-2119</v>
      </c>
      <c r="H404" s="2" t="str">
        <f>VLOOKUP(A404,'TB JUNE'!A:H,8,0)</f>
        <v>Not Applicable</v>
      </c>
    </row>
    <row r="405" spans="1:8" hidden="1">
      <c r="A405" s="62" t="s">
        <v>995</v>
      </c>
      <c r="B405" s="73"/>
      <c r="C405" s="73"/>
      <c r="D405" s="73"/>
      <c r="E405" s="73"/>
      <c r="F405" s="42">
        <v>0</v>
      </c>
      <c r="G405" s="42">
        <f t="shared" si="6"/>
        <v>0</v>
      </c>
      <c r="H405" s="2" t="str">
        <f>VLOOKUP(A405,'TB JUNE'!A:H,8,0)</f>
        <v>Not Applicable</v>
      </c>
    </row>
    <row r="406" spans="1:8" hidden="1">
      <c r="A406" s="62" t="s">
        <v>741</v>
      </c>
      <c r="B406" s="73">
        <v>-43311</v>
      </c>
      <c r="C406" s="73">
        <v>117812</v>
      </c>
      <c r="D406" s="73">
        <v>106908</v>
      </c>
      <c r="E406" s="73">
        <v>-32407</v>
      </c>
      <c r="F406" s="42">
        <v>0</v>
      </c>
      <c r="G406" s="42">
        <f t="shared" si="6"/>
        <v>-32407</v>
      </c>
      <c r="H406" s="2" t="str">
        <f>VLOOKUP(A406,'TB JUNE'!A:H,8,0)</f>
        <v>Not Applicable</v>
      </c>
    </row>
    <row r="407" spans="1:8" hidden="1">
      <c r="A407" s="62" t="s">
        <v>1556</v>
      </c>
      <c r="B407" s="73"/>
      <c r="C407" s="73">
        <v>22600</v>
      </c>
      <c r="D407" s="73">
        <v>22600</v>
      </c>
      <c r="E407" s="73"/>
      <c r="F407" s="42">
        <v>0</v>
      </c>
      <c r="G407" s="42">
        <f t="shared" si="6"/>
        <v>0</v>
      </c>
      <c r="H407" s="2" t="str">
        <f>VLOOKUP(A407,'TB JUNE'!A:H,8,0)</f>
        <v>Not Applicable</v>
      </c>
    </row>
    <row r="408" spans="1:8" hidden="1">
      <c r="A408" s="62" t="s">
        <v>676</v>
      </c>
      <c r="B408" s="73">
        <v>-8821</v>
      </c>
      <c r="C408" s="73">
        <v>12066</v>
      </c>
      <c r="D408" s="73">
        <v>64947</v>
      </c>
      <c r="E408" s="73">
        <v>-61702</v>
      </c>
      <c r="F408" s="42">
        <v>0</v>
      </c>
      <c r="G408" s="42">
        <f t="shared" si="6"/>
        <v>-61702</v>
      </c>
      <c r="H408" s="2" t="str">
        <f>VLOOKUP(A408,'TB JUNE'!A:H,8,0)</f>
        <v>Not Applicable</v>
      </c>
    </row>
    <row r="409" spans="1:8" hidden="1">
      <c r="A409" s="62" t="s">
        <v>729</v>
      </c>
      <c r="B409" s="73">
        <v>-25095</v>
      </c>
      <c r="C409" s="73"/>
      <c r="D409" s="73">
        <v>24622</v>
      </c>
      <c r="E409" s="73">
        <v>-49717</v>
      </c>
      <c r="F409" s="42">
        <v>0</v>
      </c>
      <c r="G409" s="42">
        <f t="shared" si="6"/>
        <v>-49717</v>
      </c>
      <c r="H409" s="2" t="str">
        <f>VLOOKUP(A409,'TB JUNE'!A:H,8,0)</f>
        <v>Not Applicable</v>
      </c>
    </row>
    <row r="410" spans="1:8" hidden="1">
      <c r="A410" s="62" t="s">
        <v>1427</v>
      </c>
      <c r="B410" s="73"/>
      <c r="C410" s="73">
        <v>10537</v>
      </c>
      <c r="D410" s="73">
        <v>10537</v>
      </c>
      <c r="E410" s="73"/>
      <c r="F410" s="42">
        <v>0</v>
      </c>
      <c r="G410" s="42">
        <f t="shared" si="6"/>
        <v>0</v>
      </c>
      <c r="H410" s="2" t="str">
        <f>VLOOKUP(A410,'TB JUNE'!A:H,8,0)</f>
        <v>Not Applicable</v>
      </c>
    </row>
    <row r="411" spans="1:8" hidden="1">
      <c r="A411" s="62" t="s">
        <v>731</v>
      </c>
      <c r="B411" s="73"/>
      <c r="C411" s="73">
        <v>4750</v>
      </c>
      <c r="D411" s="73">
        <v>4750</v>
      </c>
      <c r="E411" s="73"/>
      <c r="F411" s="42">
        <v>0</v>
      </c>
      <c r="G411" s="42">
        <f t="shared" si="6"/>
        <v>0</v>
      </c>
      <c r="H411" s="2" t="str">
        <f>VLOOKUP(A411,'TB JUNE'!A:H,8,0)</f>
        <v>Not Applicable</v>
      </c>
    </row>
    <row r="412" spans="1:8" hidden="1">
      <c r="A412" s="62" t="s">
        <v>1512</v>
      </c>
      <c r="B412" s="73"/>
      <c r="C412" s="73">
        <v>2855</v>
      </c>
      <c r="D412" s="73">
        <v>2855</v>
      </c>
      <c r="E412" s="73"/>
      <c r="F412" s="42">
        <v>0</v>
      </c>
      <c r="G412" s="42">
        <f t="shared" si="6"/>
        <v>0</v>
      </c>
      <c r="H412" s="2" t="str">
        <f>VLOOKUP(A412,'TB JUNE'!A:H,8,0)</f>
        <v>Not Applicable</v>
      </c>
    </row>
    <row r="413" spans="1:8" hidden="1">
      <c r="A413" s="62" t="s">
        <v>727</v>
      </c>
      <c r="B413" s="73">
        <v>-79852.479999999996</v>
      </c>
      <c r="C413" s="73">
        <v>479924.3</v>
      </c>
      <c r="D413" s="73">
        <v>599863.81999999995</v>
      </c>
      <c r="E413" s="73">
        <v>-199792</v>
      </c>
      <c r="F413" s="42">
        <v>0</v>
      </c>
      <c r="G413" s="42">
        <f t="shared" si="6"/>
        <v>-199792</v>
      </c>
      <c r="H413" s="2" t="str">
        <f>VLOOKUP(A413,'TB JUNE'!A:H,8,0)</f>
        <v>Not Applicable</v>
      </c>
    </row>
    <row r="414" spans="1:8" hidden="1">
      <c r="A414" s="62" t="s">
        <v>1234</v>
      </c>
      <c r="B414" s="73"/>
      <c r="C414" s="73">
        <v>10030</v>
      </c>
      <c r="D414" s="73">
        <v>10030</v>
      </c>
      <c r="E414" s="73"/>
      <c r="F414" s="42">
        <v>0</v>
      </c>
      <c r="G414" s="42">
        <f t="shared" si="6"/>
        <v>0</v>
      </c>
      <c r="H414" s="2" t="s">
        <v>84</v>
      </c>
    </row>
    <row r="415" spans="1:8" hidden="1">
      <c r="A415" s="62" t="s">
        <v>1428</v>
      </c>
      <c r="B415" s="73">
        <v>2078.34</v>
      </c>
      <c r="C415" s="73"/>
      <c r="D415" s="73"/>
      <c r="E415" s="73">
        <v>2078.34</v>
      </c>
      <c r="F415" s="42">
        <v>0</v>
      </c>
      <c r="G415" s="42">
        <f t="shared" si="6"/>
        <v>2078.34</v>
      </c>
      <c r="H415" s="2" t="str">
        <f>VLOOKUP(A415,'TB JUNE'!A:H,8,0)</f>
        <v>Not Applicable</v>
      </c>
    </row>
    <row r="416" spans="1:8" hidden="1">
      <c r="A416" s="62" t="s">
        <v>726</v>
      </c>
      <c r="B416" s="73">
        <v>-524510</v>
      </c>
      <c r="C416" s="73"/>
      <c r="D416" s="73"/>
      <c r="E416" s="73">
        <v>-524510</v>
      </c>
      <c r="F416" s="42">
        <v>0</v>
      </c>
      <c r="G416" s="42">
        <f t="shared" si="6"/>
        <v>-524510</v>
      </c>
      <c r="H416" s="2" t="str">
        <f>VLOOKUP(A416,'TB JUNE'!A:H,8,0)</f>
        <v>Not Applicable</v>
      </c>
    </row>
    <row r="417" spans="1:8" hidden="1">
      <c r="A417" s="62" t="s">
        <v>1331</v>
      </c>
      <c r="B417" s="73">
        <v>-670</v>
      </c>
      <c r="C417" s="73"/>
      <c r="D417" s="73"/>
      <c r="E417" s="73">
        <v>-670</v>
      </c>
      <c r="F417" s="42">
        <v>0</v>
      </c>
      <c r="G417" s="42">
        <f t="shared" si="6"/>
        <v>-670</v>
      </c>
      <c r="H417" s="2" t="str">
        <f>VLOOKUP(A417,'TB JUNE'!A:H,8,0)</f>
        <v>Not Applicable</v>
      </c>
    </row>
    <row r="418" spans="1:8" hidden="1">
      <c r="A418" s="62" t="s">
        <v>1317</v>
      </c>
      <c r="B418" s="73">
        <v>-1000252</v>
      </c>
      <c r="C418" s="73">
        <v>2048649</v>
      </c>
      <c r="D418" s="73">
        <v>1048397</v>
      </c>
      <c r="E418" s="73"/>
      <c r="F418" s="42">
        <v>0</v>
      </c>
      <c r="G418" s="42">
        <f t="shared" si="6"/>
        <v>0</v>
      </c>
      <c r="H418" s="2" t="str">
        <f>VLOOKUP(A418,'TB JUNE'!A:H,8,0)</f>
        <v>Not Applicable</v>
      </c>
    </row>
    <row r="419" spans="1:8" hidden="1">
      <c r="A419" s="62" t="s">
        <v>714</v>
      </c>
      <c r="B419" s="73"/>
      <c r="C419" s="73">
        <v>129210</v>
      </c>
      <c r="D419" s="73">
        <v>129210</v>
      </c>
      <c r="E419" s="73"/>
      <c r="F419" s="42">
        <v>0</v>
      </c>
      <c r="G419" s="42">
        <f t="shared" si="6"/>
        <v>0</v>
      </c>
      <c r="H419" s="2" t="str">
        <f>VLOOKUP(A419,'TB JUNE'!A:H,8,0)</f>
        <v>Not Applicable</v>
      </c>
    </row>
    <row r="420" spans="1:8" hidden="1">
      <c r="A420" s="62" t="s">
        <v>722</v>
      </c>
      <c r="B420" s="73"/>
      <c r="C420" s="73">
        <v>2962</v>
      </c>
      <c r="D420" s="73">
        <v>2962</v>
      </c>
      <c r="E420" s="73"/>
      <c r="F420" s="42">
        <v>0</v>
      </c>
      <c r="G420" s="42">
        <f t="shared" si="6"/>
        <v>0</v>
      </c>
      <c r="H420" s="2" t="str">
        <f>VLOOKUP(A420,'TB JUNE'!A:H,8,0)</f>
        <v>Not Applicable</v>
      </c>
    </row>
    <row r="421" spans="1:8" hidden="1">
      <c r="A421" s="62" t="s">
        <v>1429</v>
      </c>
      <c r="B421" s="73"/>
      <c r="C421" s="73">
        <v>26668</v>
      </c>
      <c r="D421" s="73">
        <v>26668</v>
      </c>
      <c r="E421" s="73"/>
      <c r="F421" s="42">
        <v>0</v>
      </c>
      <c r="G421" s="42">
        <f t="shared" si="6"/>
        <v>0</v>
      </c>
      <c r="H421" s="2" t="str">
        <f>VLOOKUP(A421,'TB JUNE'!A:H,8,0)</f>
        <v>Not Applicable</v>
      </c>
    </row>
    <row r="422" spans="1:8" hidden="1">
      <c r="A422" s="62" t="s">
        <v>723</v>
      </c>
      <c r="B422" s="73">
        <v>-38457</v>
      </c>
      <c r="C422" s="73">
        <v>39863</v>
      </c>
      <c r="D422" s="73">
        <v>96834.32</v>
      </c>
      <c r="E422" s="73">
        <v>-95428.32</v>
      </c>
      <c r="F422" s="42">
        <v>0</v>
      </c>
      <c r="G422" s="42">
        <f t="shared" si="6"/>
        <v>-95428.32</v>
      </c>
      <c r="H422" s="2" t="str">
        <f>VLOOKUP(A422,'TB JUNE'!A:H,8,0)</f>
        <v>Not Applicable</v>
      </c>
    </row>
    <row r="423" spans="1:8" hidden="1">
      <c r="A423" s="62" t="s">
        <v>1430</v>
      </c>
      <c r="B423" s="73"/>
      <c r="C423" s="73"/>
      <c r="D423" s="73"/>
      <c r="E423" s="73"/>
      <c r="F423" s="42">
        <v>0</v>
      </c>
      <c r="G423" s="42">
        <f t="shared" si="6"/>
        <v>0</v>
      </c>
      <c r="H423" s="2" t="str">
        <f>VLOOKUP(A423,'TB JUNE'!A:H,8,0)</f>
        <v>Not Applicable</v>
      </c>
    </row>
    <row r="424" spans="1:8" hidden="1">
      <c r="A424" s="62" t="s">
        <v>724</v>
      </c>
      <c r="B424" s="73">
        <v>-14491.4</v>
      </c>
      <c r="C424" s="73"/>
      <c r="D424" s="73"/>
      <c r="E424" s="73">
        <v>-14491.4</v>
      </c>
      <c r="F424" s="42">
        <v>0</v>
      </c>
      <c r="G424" s="42">
        <f t="shared" si="6"/>
        <v>-14491.4</v>
      </c>
      <c r="H424" s="2" t="str">
        <f>VLOOKUP(A424,'TB JUNE'!A:H,8,0)</f>
        <v>Not Applicable</v>
      </c>
    </row>
    <row r="425" spans="1:8" hidden="1">
      <c r="A425" s="62" t="s">
        <v>1005</v>
      </c>
      <c r="B425" s="73"/>
      <c r="C425" s="73"/>
      <c r="D425" s="73"/>
      <c r="E425" s="73"/>
      <c r="F425" s="42">
        <v>0</v>
      </c>
      <c r="G425" s="42">
        <f t="shared" si="6"/>
        <v>0</v>
      </c>
      <c r="H425" s="2" t="str">
        <f>VLOOKUP(A425,'TB JUNE'!A:H,8,0)</f>
        <v>Not Applicable</v>
      </c>
    </row>
    <row r="426" spans="1:8" hidden="1">
      <c r="A426" s="62" t="s">
        <v>1257</v>
      </c>
      <c r="B426" s="73">
        <v>20060</v>
      </c>
      <c r="C426" s="73"/>
      <c r="D426" s="73"/>
      <c r="E426" s="73">
        <v>20060</v>
      </c>
      <c r="F426" s="42">
        <v>0</v>
      </c>
      <c r="G426" s="42">
        <f t="shared" si="6"/>
        <v>20060</v>
      </c>
      <c r="H426" s="2" t="str">
        <f>VLOOKUP(A426,'TB JUNE'!A:H,8,0)</f>
        <v>Not Applicable</v>
      </c>
    </row>
    <row r="427" spans="1:8" hidden="1">
      <c r="A427" s="62" t="s">
        <v>719</v>
      </c>
      <c r="B427" s="73">
        <v>-215896.93</v>
      </c>
      <c r="C427" s="73">
        <v>1191113</v>
      </c>
      <c r="D427" s="73">
        <v>1164462</v>
      </c>
      <c r="E427" s="73">
        <v>-189245.93</v>
      </c>
      <c r="F427" s="42">
        <v>0</v>
      </c>
      <c r="G427" s="42">
        <f t="shared" si="6"/>
        <v>-189245.93</v>
      </c>
      <c r="H427" s="2" t="str">
        <f>VLOOKUP(A427,'TB JUNE'!A:H,8,0)</f>
        <v>Not Applicable</v>
      </c>
    </row>
    <row r="428" spans="1:8" hidden="1">
      <c r="A428" s="62" t="s">
        <v>720</v>
      </c>
      <c r="B428" s="73"/>
      <c r="C428" s="73"/>
      <c r="D428" s="73"/>
      <c r="E428" s="73"/>
      <c r="F428" s="42">
        <v>0</v>
      </c>
      <c r="G428" s="42">
        <f t="shared" si="6"/>
        <v>0</v>
      </c>
      <c r="H428" s="2" t="str">
        <f>VLOOKUP(A428,'TB JUNE'!A:H,8,0)</f>
        <v>Not Applicable</v>
      </c>
    </row>
    <row r="429" spans="1:8" hidden="1">
      <c r="A429" s="62" t="s">
        <v>713</v>
      </c>
      <c r="B429" s="73">
        <v>-6066</v>
      </c>
      <c r="C429" s="73">
        <v>6066</v>
      </c>
      <c r="D429" s="73"/>
      <c r="E429" s="73"/>
      <c r="F429" s="42">
        <v>0</v>
      </c>
      <c r="G429" s="42">
        <f t="shared" si="6"/>
        <v>0</v>
      </c>
      <c r="H429" s="2" t="str">
        <f>VLOOKUP(A429,'TB JUNE'!A:H,8,0)</f>
        <v>Not Applicable</v>
      </c>
    </row>
    <row r="430" spans="1:8" hidden="1">
      <c r="A430" s="62" t="s">
        <v>700</v>
      </c>
      <c r="B430" s="73"/>
      <c r="C430" s="73">
        <v>1121</v>
      </c>
      <c r="D430" s="73">
        <v>1121</v>
      </c>
      <c r="E430" s="73"/>
      <c r="F430" s="42">
        <v>0</v>
      </c>
      <c r="G430" s="42">
        <f t="shared" si="6"/>
        <v>0</v>
      </c>
      <c r="H430" s="2" t="str">
        <f>VLOOKUP(A430,'TB JUNE'!A:H,8,0)</f>
        <v>Not Applicable</v>
      </c>
    </row>
    <row r="431" spans="1:8" hidden="1">
      <c r="A431" s="62" t="s">
        <v>701</v>
      </c>
      <c r="B431" s="73">
        <v>-0.8</v>
      </c>
      <c r="C431" s="73">
        <v>9888</v>
      </c>
      <c r="D431" s="73">
        <v>21700</v>
      </c>
      <c r="E431" s="73">
        <v>-11812.8</v>
      </c>
      <c r="F431" s="42">
        <v>0</v>
      </c>
      <c r="G431" s="42">
        <f t="shared" si="6"/>
        <v>-11812.8</v>
      </c>
      <c r="H431" s="2" t="str">
        <f>VLOOKUP(A431,'TB JUNE'!A:H,8,0)</f>
        <v>Not Applicable</v>
      </c>
    </row>
    <row r="432" spans="1:8" hidden="1">
      <c r="A432" s="62" t="s">
        <v>987</v>
      </c>
      <c r="B432" s="73"/>
      <c r="C432" s="73">
        <v>17700</v>
      </c>
      <c r="D432" s="73">
        <v>17700</v>
      </c>
      <c r="E432" s="73"/>
      <c r="F432" s="42">
        <v>0</v>
      </c>
      <c r="G432" s="42">
        <f t="shared" si="6"/>
        <v>0</v>
      </c>
      <c r="H432" s="2" t="str">
        <f>VLOOKUP(A432,'TB JUNE'!A:H,8,0)</f>
        <v>Not Applicable</v>
      </c>
    </row>
    <row r="433" spans="1:8" hidden="1">
      <c r="A433" s="62" t="s">
        <v>1431</v>
      </c>
      <c r="B433" s="73"/>
      <c r="C433" s="73">
        <v>15258</v>
      </c>
      <c r="D433" s="73">
        <v>15258</v>
      </c>
      <c r="E433" s="73"/>
      <c r="F433" s="42">
        <v>0</v>
      </c>
      <c r="G433" s="42">
        <f t="shared" si="6"/>
        <v>0</v>
      </c>
      <c r="H433" s="2" t="str">
        <f>VLOOKUP(A433,'TB JUNE'!A:H,8,0)</f>
        <v>Not Applicable</v>
      </c>
    </row>
    <row r="434" spans="1:8" hidden="1">
      <c r="A434" s="62" t="s">
        <v>679</v>
      </c>
      <c r="B434" s="73">
        <v>-35156.6</v>
      </c>
      <c r="C434" s="73">
        <v>41795.599999999999</v>
      </c>
      <c r="D434" s="73">
        <v>20414</v>
      </c>
      <c r="E434" s="73">
        <v>-13775</v>
      </c>
      <c r="F434" s="42">
        <v>0</v>
      </c>
      <c r="G434" s="42">
        <f t="shared" si="6"/>
        <v>-13775</v>
      </c>
      <c r="H434" s="2" t="str">
        <f>VLOOKUP(A434,'TB JUNE'!A:H,8,0)</f>
        <v>Not Applicable</v>
      </c>
    </row>
    <row r="435" spans="1:8" hidden="1">
      <c r="A435" s="62" t="s">
        <v>680</v>
      </c>
      <c r="B435" s="73">
        <v>-222313</v>
      </c>
      <c r="C435" s="73">
        <v>468252</v>
      </c>
      <c r="D435" s="73">
        <v>435303</v>
      </c>
      <c r="E435" s="73">
        <v>-189364</v>
      </c>
      <c r="F435" s="42">
        <v>0</v>
      </c>
      <c r="G435" s="42">
        <f t="shared" si="6"/>
        <v>-189364</v>
      </c>
      <c r="H435" s="2" t="str">
        <f>VLOOKUP(A435,'TB JUNE'!A:H,8,0)</f>
        <v>Not Applicable</v>
      </c>
    </row>
    <row r="436" spans="1:8" hidden="1">
      <c r="A436" s="62" t="s">
        <v>1432</v>
      </c>
      <c r="B436" s="73">
        <v>-9048</v>
      </c>
      <c r="C436" s="73">
        <v>9048</v>
      </c>
      <c r="D436" s="73"/>
      <c r="E436" s="73"/>
      <c r="F436" s="42">
        <v>0</v>
      </c>
      <c r="G436" s="42">
        <f t="shared" si="6"/>
        <v>0</v>
      </c>
      <c r="H436" s="2" t="str">
        <f>VLOOKUP(A436,'TB JUNE'!A:H,8,0)</f>
        <v>Not Applicable</v>
      </c>
    </row>
    <row r="437" spans="1:8" hidden="1">
      <c r="A437" s="62" t="s">
        <v>707</v>
      </c>
      <c r="B437" s="73">
        <v>-4776</v>
      </c>
      <c r="C437" s="73">
        <v>4776</v>
      </c>
      <c r="D437" s="73"/>
      <c r="E437" s="73"/>
      <c r="F437" s="42">
        <v>0</v>
      </c>
      <c r="G437" s="42">
        <f t="shared" si="6"/>
        <v>0</v>
      </c>
      <c r="H437" s="2" t="str">
        <f>VLOOKUP(A437,'TB JUNE'!A:H,8,0)</f>
        <v>Not Applicable</v>
      </c>
    </row>
    <row r="438" spans="1:8" hidden="1">
      <c r="A438" s="62" t="s">
        <v>708</v>
      </c>
      <c r="B438" s="73">
        <v>-85570</v>
      </c>
      <c r="C438" s="73">
        <v>139146</v>
      </c>
      <c r="D438" s="73">
        <v>71284</v>
      </c>
      <c r="E438" s="73">
        <v>-17708</v>
      </c>
      <c r="F438" s="42">
        <v>0</v>
      </c>
      <c r="G438" s="42">
        <f t="shared" si="6"/>
        <v>-17708</v>
      </c>
      <c r="H438" s="2" t="str">
        <f>VLOOKUP(A438,'TB JUNE'!A:H,8,0)</f>
        <v>Not Applicable</v>
      </c>
    </row>
    <row r="439" spans="1:8" hidden="1">
      <c r="A439" s="62" t="s">
        <v>710</v>
      </c>
      <c r="B439" s="73">
        <v>-11033</v>
      </c>
      <c r="C439" s="73"/>
      <c r="D439" s="73"/>
      <c r="E439" s="73">
        <v>-11033</v>
      </c>
      <c r="F439" s="42">
        <v>0</v>
      </c>
      <c r="G439" s="42">
        <f t="shared" si="6"/>
        <v>-11033</v>
      </c>
      <c r="H439" s="2" t="str">
        <f>VLOOKUP(A439,'TB JUNE'!A:H,8,0)</f>
        <v>Not Applicable</v>
      </c>
    </row>
    <row r="440" spans="1:8" hidden="1">
      <c r="A440" s="62" t="s">
        <v>712</v>
      </c>
      <c r="B440" s="73"/>
      <c r="C440" s="73"/>
      <c r="D440" s="73"/>
      <c r="E440" s="73"/>
      <c r="F440" s="42">
        <v>0</v>
      </c>
      <c r="G440" s="42">
        <f t="shared" si="6"/>
        <v>0</v>
      </c>
      <c r="H440" s="2" t="s">
        <v>84</v>
      </c>
    </row>
    <row r="441" spans="1:8" hidden="1">
      <c r="A441" s="62" t="s">
        <v>697</v>
      </c>
      <c r="B441" s="73">
        <v>-0.2</v>
      </c>
      <c r="C441" s="73"/>
      <c r="D441" s="73"/>
      <c r="E441" s="73">
        <v>-0.2</v>
      </c>
      <c r="F441" s="42">
        <v>0</v>
      </c>
      <c r="G441" s="42">
        <f t="shared" si="6"/>
        <v>-0.2</v>
      </c>
      <c r="H441" s="2" t="str">
        <f>VLOOKUP(A441,'TB JUNE'!A:H,8,0)</f>
        <v>Not Applicable</v>
      </c>
    </row>
    <row r="442" spans="1:8" hidden="1">
      <c r="A442" s="62" t="s">
        <v>1557</v>
      </c>
      <c r="B442" s="73"/>
      <c r="C442" s="73">
        <v>37760</v>
      </c>
      <c r="D442" s="73">
        <v>37760</v>
      </c>
      <c r="E442" s="73"/>
      <c r="F442" s="42">
        <v>0</v>
      </c>
      <c r="G442" s="42">
        <f t="shared" si="6"/>
        <v>0</v>
      </c>
      <c r="H442" s="2" t="str">
        <f>VLOOKUP(A442,'TB JUNE'!A:H,8,0)</f>
        <v>Not Applicable</v>
      </c>
    </row>
    <row r="443" spans="1:8" hidden="1">
      <c r="A443" s="62" t="s">
        <v>682</v>
      </c>
      <c r="B443" s="73"/>
      <c r="C443" s="73">
        <v>10997.6</v>
      </c>
      <c r="D443" s="73">
        <v>10997.6</v>
      </c>
      <c r="E443" s="73"/>
      <c r="F443" s="42">
        <v>0</v>
      </c>
      <c r="G443" s="42">
        <f t="shared" si="6"/>
        <v>0</v>
      </c>
      <c r="H443" s="2" t="str">
        <f>VLOOKUP(A443,'TB JUNE'!A:H,8,0)</f>
        <v>Not Applicable</v>
      </c>
    </row>
    <row r="444" spans="1:8" hidden="1">
      <c r="A444" s="62" t="s">
        <v>678</v>
      </c>
      <c r="B444" s="73">
        <v>-9842</v>
      </c>
      <c r="C444" s="73">
        <v>12261</v>
      </c>
      <c r="D444" s="73">
        <v>8845</v>
      </c>
      <c r="E444" s="73">
        <v>-6426</v>
      </c>
      <c r="F444" s="42">
        <v>0</v>
      </c>
      <c r="G444" s="42">
        <f t="shared" si="6"/>
        <v>-6426</v>
      </c>
      <c r="H444" s="2" t="str">
        <f>VLOOKUP(A444,'TB JUNE'!A:H,8,0)</f>
        <v>Not Applicable</v>
      </c>
    </row>
    <row r="445" spans="1:8" hidden="1">
      <c r="A445" s="62" t="s">
        <v>675</v>
      </c>
      <c r="B445" s="73">
        <v>-615888</v>
      </c>
      <c r="C445" s="73">
        <v>1269373</v>
      </c>
      <c r="D445" s="73">
        <v>1438515</v>
      </c>
      <c r="E445" s="73">
        <v>-785030</v>
      </c>
      <c r="F445" s="42">
        <v>0</v>
      </c>
      <c r="G445" s="42">
        <f t="shared" si="6"/>
        <v>-785030</v>
      </c>
      <c r="H445" s="2" t="str">
        <f>VLOOKUP(A445,'TB JUNE'!A:H,8,0)</f>
        <v>Not Applicable</v>
      </c>
    </row>
    <row r="446" spans="1:8" hidden="1">
      <c r="A446" s="62" t="s">
        <v>670</v>
      </c>
      <c r="B446" s="73">
        <v>-376908</v>
      </c>
      <c r="C446" s="73">
        <v>98531</v>
      </c>
      <c r="D446" s="73">
        <v>48696</v>
      </c>
      <c r="E446" s="73">
        <v>-327073</v>
      </c>
      <c r="F446" s="42">
        <v>0</v>
      </c>
      <c r="G446" s="42">
        <f t="shared" si="6"/>
        <v>-327073</v>
      </c>
      <c r="H446" s="2" t="str">
        <f>VLOOKUP(A446,'TB JUNE'!A:H,8,0)</f>
        <v>Not Applicable</v>
      </c>
    </row>
    <row r="447" spans="1:8" hidden="1">
      <c r="A447" s="62" t="s">
        <v>671</v>
      </c>
      <c r="B447" s="73">
        <v>-529509.01</v>
      </c>
      <c r="C447" s="73">
        <v>332841</v>
      </c>
      <c r="D447" s="73">
        <v>135306</v>
      </c>
      <c r="E447" s="73">
        <v>-331974.01</v>
      </c>
      <c r="F447" s="42">
        <v>0</v>
      </c>
      <c r="G447" s="42">
        <f t="shared" si="6"/>
        <v>-331974.01</v>
      </c>
      <c r="H447" s="2" t="str">
        <f>VLOOKUP(A447,'TB JUNE'!A:H,8,0)</f>
        <v>Not Applicable</v>
      </c>
    </row>
    <row r="448" spans="1:8" hidden="1">
      <c r="A448" s="62" t="s">
        <v>672</v>
      </c>
      <c r="B448" s="73">
        <v>-759069.8</v>
      </c>
      <c r="C448" s="73">
        <v>916112</v>
      </c>
      <c r="D448" s="73">
        <v>358666</v>
      </c>
      <c r="E448" s="73">
        <v>-201623.8</v>
      </c>
      <c r="F448" s="42">
        <v>0</v>
      </c>
      <c r="G448" s="42">
        <f t="shared" si="6"/>
        <v>-201623.8</v>
      </c>
      <c r="H448" s="2" t="str">
        <f>VLOOKUP(A448,'TB JUNE'!A:H,8,0)</f>
        <v>Not Applicable</v>
      </c>
    </row>
    <row r="449" spans="1:8" hidden="1">
      <c r="A449" s="62" t="s">
        <v>677</v>
      </c>
      <c r="B449" s="73">
        <v>-8083</v>
      </c>
      <c r="C449" s="73">
        <v>36002</v>
      </c>
      <c r="D449" s="73">
        <v>32025</v>
      </c>
      <c r="E449" s="73">
        <v>-4106</v>
      </c>
      <c r="F449" s="42">
        <v>0</v>
      </c>
      <c r="G449" s="42">
        <f t="shared" si="6"/>
        <v>-4106</v>
      </c>
      <c r="H449" s="2" t="str">
        <f>VLOOKUP(A449,'TB JUNE'!A:H,8,0)</f>
        <v>Not Applicable</v>
      </c>
    </row>
    <row r="450" spans="1:8" hidden="1">
      <c r="A450" s="62" t="s">
        <v>1433</v>
      </c>
      <c r="B450" s="73">
        <v>-1</v>
      </c>
      <c r="C450" s="73"/>
      <c r="D450" s="73"/>
      <c r="E450" s="73">
        <v>-1</v>
      </c>
      <c r="F450" s="42">
        <v>0</v>
      </c>
      <c r="G450" s="42">
        <f t="shared" si="6"/>
        <v>-1</v>
      </c>
      <c r="H450" s="2" t="str">
        <f>VLOOKUP(A450,'TB JUNE'!A:H,8,0)</f>
        <v>Not Applicable</v>
      </c>
    </row>
    <row r="451" spans="1:8" hidden="1">
      <c r="A451" s="62" t="s">
        <v>1259</v>
      </c>
      <c r="B451" s="73">
        <v>3</v>
      </c>
      <c r="C451" s="73">
        <v>298</v>
      </c>
      <c r="D451" s="73">
        <v>295</v>
      </c>
      <c r="E451" s="73">
        <v>6</v>
      </c>
      <c r="F451" s="42">
        <v>0</v>
      </c>
      <c r="G451" s="42">
        <f t="shared" si="6"/>
        <v>6</v>
      </c>
      <c r="H451" s="2" t="str">
        <f>VLOOKUP(A451,'TB JUNE'!A:H,8,0)</f>
        <v>Not Applicable</v>
      </c>
    </row>
    <row r="452" spans="1:8" hidden="1">
      <c r="A452" s="62" t="s">
        <v>1287</v>
      </c>
      <c r="B452" s="73">
        <v>-1684</v>
      </c>
      <c r="C452" s="73">
        <v>2852</v>
      </c>
      <c r="D452" s="73">
        <v>1168</v>
      </c>
      <c r="E452" s="73"/>
      <c r="F452" s="42">
        <v>0</v>
      </c>
      <c r="G452" s="42">
        <f t="shared" si="6"/>
        <v>0</v>
      </c>
      <c r="H452" s="2" t="str">
        <f>VLOOKUP(A452,'TB JUNE'!A:H,8,0)</f>
        <v>Not Applicable</v>
      </c>
    </row>
    <row r="453" spans="1:8" hidden="1">
      <c r="A453" s="62" t="s">
        <v>1310</v>
      </c>
      <c r="B453" s="73"/>
      <c r="C453" s="73"/>
      <c r="D453" s="73"/>
      <c r="E453" s="73"/>
      <c r="F453" s="42">
        <v>0</v>
      </c>
      <c r="G453" s="42">
        <f t="shared" si="6"/>
        <v>0</v>
      </c>
      <c r="H453" s="2" t="str">
        <f>VLOOKUP(A453,'TB JUNE'!A:H,8,0)</f>
        <v>Not Applicable</v>
      </c>
    </row>
    <row r="454" spans="1:8" hidden="1">
      <c r="A454" s="62" t="s">
        <v>1159</v>
      </c>
      <c r="B454" s="73"/>
      <c r="C454" s="73">
        <v>53100</v>
      </c>
      <c r="D454" s="73">
        <v>53100</v>
      </c>
      <c r="E454" s="73"/>
      <c r="F454" s="42">
        <v>0</v>
      </c>
      <c r="G454" s="42">
        <f t="shared" ref="G454:G517" si="7">+E454+F454</f>
        <v>0</v>
      </c>
      <c r="H454" s="2" t="str">
        <f>VLOOKUP(A454,'TB JUNE'!A:H,8,0)</f>
        <v>Not Applicable</v>
      </c>
    </row>
    <row r="455" spans="1:8" hidden="1">
      <c r="A455" s="62" t="s">
        <v>662</v>
      </c>
      <c r="B455" s="73">
        <v>-69292</v>
      </c>
      <c r="C455" s="73">
        <v>99750</v>
      </c>
      <c r="D455" s="73">
        <v>34904</v>
      </c>
      <c r="E455" s="73">
        <v>-4446</v>
      </c>
      <c r="F455" s="42">
        <v>0</v>
      </c>
      <c r="G455" s="42">
        <f t="shared" si="7"/>
        <v>-4446</v>
      </c>
      <c r="H455" s="2" t="str">
        <f>VLOOKUP(A455,'TB JUNE'!A:H,8,0)</f>
        <v>Not Applicable</v>
      </c>
    </row>
    <row r="456" spans="1:8" hidden="1">
      <c r="A456" s="62" t="s">
        <v>862</v>
      </c>
      <c r="B456" s="73">
        <v>34.36</v>
      </c>
      <c r="C456" s="73"/>
      <c r="D456" s="73"/>
      <c r="E456" s="73">
        <v>34.36</v>
      </c>
      <c r="F456" s="42">
        <v>0</v>
      </c>
      <c r="G456" s="42">
        <f t="shared" si="7"/>
        <v>34.36</v>
      </c>
      <c r="H456" s="2" t="str">
        <f>VLOOKUP(A456,'TB JUNE'!A:H,8,0)</f>
        <v>Not Applicable</v>
      </c>
    </row>
    <row r="457" spans="1:8" hidden="1">
      <c r="A457" s="62" t="s">
        <v>657</v>
      </c>
      <c r="B457" s="73"/>
      <c r="C457" s="73"/>
      <c r="D457" s="73"/>
      <c r="E457" s="73"/>
      <c r="F457" s="42">
        <v>0</v>
      </c>
      <c r="G457" s="42">
        <f t="shared" si="7"/>
        <v>0</v>
      </c>
      <c r="H457" s="2" t="s">
        <v>84</v>
      </c>
    </row>
    <row r="458" spans="1:8" hidden="1">
      <c r="A458" s="62" t="s">
        <v>1598</v>
      </c>
      <c r="B458" s="73"/>
      <c r="C458" s="73">
        <v>7670</v>
      </c>
      <c r="D458" s="73">
        <v>7670</v>
      </c>
      <c r="E458" s="73"/>
      <c r="F458" s="42">
        <v>0</v>
      </c>
      <c r="G458" s="42">
        <f t="shared" si="7"/>
        <v>0</v>
      </c>
      <c r="H458" s="2" t="s">
        <v>84</v>
      </c>
    </row>
    <row r="459" spans="1:8" hidden="1">
      <c r="A459" s="62" t="s">
        <v>1434</v>
      </c>
      <c r="B459" s="73">
        <v>10683.33</v>
      </c>
      <c r="C459" s="73">
        <v>8130</v>
      </c>
      <c r="D459" s="73">
        <v>8602</v>
      </c>
      <c r="E459" s="73">
        <v>10211.33</v>
      </c>
      <c r="F459" s="42">
        <v>0</v>
      </c>
      <c r="G459" s="42">
        <f t="shared" si="7"/>
        <v>10211.33</v>
      </c>
      <c r="H459" s="2" t="str">
        <f>VLOOKUP(A459,'TB JUNE'!A:H,8,0)</f>
        <v>Not Applicable</v>
      </c>
    </row>
    <row r="460" spans="1:8" hidden="1">
      <c r="A460" s="62" t="s">
        <v>648</v>
      </c>
      <c r="B460" s="73">
        <v>-4886</v>
      </c>
      <c r="C460" s="73">
        <v>10886</v>
      </c>
      <c r="D460" s="73">
        <v>10886</v>
      </c>
      <c r="E460" s="73">
        <v>-4886</v>
      </c>
      <c r="F460" s="42">
        <v>0</v>
      </c>
      <c r="G460" s="42">
        <f t="shared" si="7"/>
        <v>-4886</v>
      </c>
      <c r="H460" s="2" t="str">
        <f>VLOOKUP(A460,'TB JUNE'!A:H,8,0)</f>
        <v>Not Applicable</v>
      </c>
    </row>
    <row r="461" spans="1:8" hidden="1">
      <c r="A461" s="62" t="s">
        <v>1160</v>
      </c>
      <c r="B461" s="73">
        <v>-36014</v>
      </c>
      <c r="C461" s="73">
        <v>84512</v>
      </c>
      <c r="D461" s="73">
        <v>77231</v>
      </c>
      <c r="E461" s="73">
        <v>-28733</v>
      </c>
      <c r="F461" s="42">
        <v>0</v>
      </c>
      <c r="G461" s="42">
        <f t="shared" si="7"/>
        <v>-28733</v>
      </c>
      <c r="H461" s="2" t="str">
        <f>VLOOKUP(A461,'TB JUNE'!A:H,8,0)</f>
        <v>Not Applicable</v>
      </c>
    </row>
    <row r="462" spans="1:8" hidden="1">
      <c r="A462" s="62" t="s">
        <v>641</v>
      </c>
      <c r="B462" s="73"/>
      <c r="C462" s="73">
        <v>581931</v>
      </c>
      <c r="D462" s="73">
        <v>581931</v>
      </c>
      <c r="E462" s="73"/>
      <c r="F462" s="42">
        <v>0</v>
      </c>
      <c r="G462" s="42">
        <f t="shared" si="7"/>
        <v>0</v>
      </c>
      <c r="H462" s="2" t="str">
        <f>VLOOKUP(A462,'TB JUNE'!A:H,8,0)</f>
        <v>Not Applicable</v>
      </c>
    </row>
    <row r="463" spans="1:8" hidden="1">
      <c r="A463" s="62" t="s">
        <v>1558</v>
      </c>
      <c r="B463" s="73"/>
      <c r="C463" s="73">
        <v>385</v>
      </c>
      <c r="D463" s="73">
        <v>45430</v>
      </c>
      <c r="E463" s="73">
        <v>-45045</v>
      </c>
      <c r="F463" s="42">
        <v>0</v>
      </c>
      <c r="G463" s="42">
        <f t="shared" si="7"/>
        <v>-45045</v>
      </c>
      <c r="H463" s="2" t="str">
        <f>VLOOKUP(A463,'TB JUNE'!A:H,8,0)</f>
        <v>Not Applicable</v>
      </c>
    </row>
    <row r="464" spans="1:8" hidden="1">
      <c r="A464" s="62" t="s">
        <v>1435</v>
      </c>
      <c r="B464" s="73"/>
      <c r="C464" s="73"/>
      <c r="D464" s="73"/>
      <c r="E464" s="73"/>
      <c r="F464" s="42">
        <v>0</v>
      </c>
      <c r="G464" s="42">
        <f t="shared" si="7"/>
        <v>0</v>
      </c>
      <c r="H464" s="2" t="str">
        <f>VLOOKUP(A464,'TB JUNE'!A:H,8,0)</f>
        <v>Not Applicable</v>
      </c>
    </row>
    <row r="465" spans="1:8" hidden="1">
      <c r="A465" s="62" t="s">
        <v>639</v>
      </c>
      <c r="B465" s="73"/>
      <c r="C465" s="73"/>
      <c r="D465" s="73"/>
      <c r="E465" s="73"/>
      <c r="F465" s="42">
        <v>0</v>
      </c>
      <c r="G465" s="42">
        <f t="shared" si="7"/>
        <v>0</v>
      </c>
      <c r="H465" s="2" t="str">
        <f>VLOOKUP(A465,'TB JUNE'!A:H,8,0)</f>
        <v>Not Applicable</v>
      </c>
    </row>
    <row r="466" spans="1:8" hidden="1">
      <c r="A466" s="62" t="s">
        <v>1513</v>
      </c>
      <c r="B466" s="73"/>
      <c r="C466" s="73"/>
      <c r="D466" s="73"/>
      <c r="E466" s="73"/>
      <c r="F466" s="42">
        <v>0</v>
      </c>
      <c r="G466" s="42">
        <f t="shared" si="7"/>
        <v>0</v>
      </c>
      <c r="H466" s="2" t="str">
        <f>VLOOKUP(A466,'TB JUNE'!A:H,8,0)</f>
        <v>Not Applicable</v>
      </c>
    </row>
    <row r="467" spans="1:8" hidden="1">
      <c r="A467" s="62" t="s">
        <v>636</v>
      </c>
      <c r="B467" s="73">
        <v>-86536</v>
      </c>
      <c r="C467" s="73"/>
      <c r="D467" s="73">
        <v>209968.4</v>
      </c>
      <c r="E467" s="73">
        <v>-296504.40000000002</v>
      </c>
      <c r="F467" s="42">
        <v>0</v>
      </c>
      <c r="G467" s="42">
        <f t="shared" si="7"/>
        <v>-296504.40000000002</v>
      </c>
      <c r="H467" s="2" t="str">
        <f>VLOOKUP(A467,'TB JUNE'!A:H,8,0)</f>
        <v>Not Applicable</v>
      </c>
    </row>
    <row r="468" spans="1:8" hidden="1">
      <c r="A468" s="62" t="s">
        <v>943</v>
      </c>
      <c r="B468" s="73">
        <v>-3363</v>
      </c>
      <c r="C468" s="73">
        <v>15163</v>
      </c>
      <c r="D468" s="73">
        <v>37760</v>
      </c>
      <c r="E468" s="73">
        <v>-25960</v>
      </c>
      <c r="F468" s="42">
        <v>0</v>
      </c>
      <c r="G468" s="42">
        <f t="shared" si="7"/>
        <v>-25960</v>
      </c>
      <c r="H468" s="2" t="str">
        <f>VLOOKUP(A468,'TB JUNE'!A:H,8,0)</f>
        <v>Not Applicable</v>
      </c>
    </row>
    <row r="469" spans="1:8" hidden="1">
      <c r="A469" s="62" t="s">
        <v>1599</v>
      </c>
      <c r="B469" s="73"/>
      <c r="C469" s="73"/>
      <c r="D469" s="73">
        <v>1416</v>
      </c>
      <c r="E469" s="73">
        <v>-1416</v>
      </c>
      <c r="F469" s="42">
        <v>0</v>
      </c>
      <c r="G469" s="42">
        <f t="shared" si="7"/>
        <v>-1416</v>
      </c>
      <c r="H469" s="2" t="s">
        <v>84</v>
      </c>
    </row>
    <row r="470" spans="1:8" hidden="1">
      <c r="A470" s="62" t="s">
        <v>1600</v>
      </c>
      <c r="B470" s="73"/>
      <c r="C470" s="73"/>
      <c r="D470" s="73">
        <v>2803</v>
      </c>
      <c r="E470" s="73">
        <v>-2803</v>
      </c>
      <c r="F470" s="42">
        <v>0</v>
      </c>
      <c r="G470" s="42">
        <f t="shared" si="7"/>
        <v>-2803</v>
      </c>
      <c r="H470" s="2" t="s">
        <v>84</v>
      </c>
    </row>
    <row r="471" spans="1:8" hidden="1">
      <c r="A471" s="62" t="s">
        <v>632</v>
      </c>
      <c r="B471" s="73">
        <v>-13664</v>
      </c>
      <c r="C471" s="73">
        <v>25700</v>
      </c>
      <c r="D471" s="73">
        <v>12036</v>
      </c>
      <c r="E471" s="73"/>
      <c r="F471" s="42">
        <v>0</v>
      </c>
      <c r="G471" s="42">
        <f t="shared" si="7"/>
        <v>0</v>
      </c>
      <c r="H471" s="2" t="str">
        <f>VLOOKUP(A471,'TB JUNE'!A:H,8,0)</f>
        <v>Not Applicable</v>
      </c>
    </row>
    <row r="472" spans="1:8" hidden="1">
      <c r="A472" s="62" t="s">
        <v>1148</v>
      </c>
      <c r="B472" s="73">
        <v>323.94</v>
      </c>
      <c r="C472" s="73">
        <v>570350.81000000006</v>
      </c>
      <c r="D472" s="73">
        <v>570674.77</v>
      </c>
      <c r="E472" s="73">
        <v>-0.02</v>
      </c>
      <c r="F472" s="42">
        <v>0</v>
      </c>
      <c r="G472" s="42">
        <f t="shared" si="7"/>
        <v>-0.02</v>
      </c>
      <c r="H472" s="2" t="str">
        <f>VLOOKUP(A472,'TB JUNE'!A:H,8,0)</f>
        <v>Not Applicable</v>
      </c>
    </row>
    <row r="473" spans="1:8" hidden="1">
      <c r="A473" s="62" t="s">
        <v>627</v>
      </c>
      <c r="B473" s="73"/>
      <c r="C473" s="73">
        <v>74340</v>
      </c>
      <c r="D473" s="73">
        <v>74340</v>
      </c>
      <c r="E473" s="73"/>
      <c r="F473" s="42">
        <v>0</v>
      </c>
      <c r="G473" s="42">
        <f t="shared" si="7"/>
        <v>0</v>
      </c>
      <c r="H473" s="2" t="str">
        <f>VLOOKUP(A473,'TB JUNE'!A:H,8,0)</f>
        <v>Not Applicable</v>
      </c>
    </row>
    <row r="474" spans="1:8" hidden="1">
      <c r="A474" s="62" t="s">
        <v>1238</v>
      </c>
      <c r="B474" s="73">
        <v>-17043</v>
      </c>
      <c r="C474" s="73"/>
      <c r="D474" s="73">
        <v>4194</v>
      </c>
      <c r="E474" s="73">
        <v>-21237</v>
      </c>
      <c r="F474" s="42">
        <v>0</v>
      </c>
      <c r="G474" s="42">
        <f t="shared" si="7"/>
        <v>-21237</v>
      </c>
      <c r="H474" s="2" t="str">
        <f>VLOOKUP(A474,'TB JUNE'!A:H,8,0)</f>
        <v>Not Applicable</v>
      </c>
    </row>
    <row r="475" spans="1:8" hidden="1">
      <c r="A475" s="62" t="s">
        <v>891</v>
      </c>
      <c r="B475" s="73"/>
      <c r="C475" s="73">
        <v>12611</v>
      </c>
      <c r="D475" s="73">
        <v>24836</v>
      </c>
      <c r="E475" s="73">
        <v>-12225</v>
      </c>
      <c r="F475" s="42">
        <v>0</v>
      </c>
      <c r="G475" s="42">
        <f t="shared" si="7"/>
        <v>-12225</v>
      </c>
      <c r="H475" s="2" t="str">
        <f>VLOOKUP(A475,'TB JUNE'!A:H,8,0)</f>
        <v>Not Applicable</v>
      </c>
    </row>
    <row r="476" spans="1:8" hidden="1">
      <c r="A476" s="62" t="s">
        <v>1436</v>
      </c>
      <c r="B476" s="73">
        <v>-830</v>
      </c>
      <c r="C476" s="73"/>
      <c r="D476" s="73"/>
      <c r="E476" s="73">
        <v>-830</v>
      </c>
      <c r="F476" s="42">
        <v>0</v>
      </c>
      <c r="G476" s="42">
        <f t="shared" si="7"/>
        <v>-830</v>
      </c>
      <c r="H476" s="2" t="str">
        <f>VLOOKUP(A476,'TB JUNE'!A:H,8,0)</f>
        <v>Not Applicable</v>
      </c>
    </row>
    <row r="477" spans="1:8" hidden="1">
      <c r="A477" s="62" t="s">
        <v>624</v>
      </c>
      <c r="B477" s="73">
        <v>-66336.52</v>
      </c>
      <c r="C477" s="73">
        <v>123863.48</v>
      </c>
      <c r="D477" s="73">
        <v>117287.8</v>
      </c>
      <c r="E477" s="73">
        <v>-59760.84</v>
      </c>
      <c r="F477" s="42">
        <v>0</v>
      </c>
      <c r="G477" s="42">
        <f t="shared" si="7"/>
        <v>-59760.84</v>
      </c>
      <c r="H477" s="2" t="str">
        <f>VLOOKUP(A477,'TB JUNE'!A:H,8,0)</f>
        <v>Not Applicable</v>
      </c>
    </row>
    <row r="478" spans="1:8" hidden="1">
      <c r="A478" s="62" t="s">
        <v>623</v>
      </c>
      <c r="B478" s="73">
        <v>-56883.74</v>
      </c>
      <c r="C478" s="73">
        <v>71604.22</v>
      </c>
      <c r="D478" s="73">
        <v>58383.48</v>
      </c>
      <c r="E478" s="73">
        <v>-43663</v>
      </c>
      <c r="F478" s="42">
        <v>0</v>
      </c>
      <c r="G478" s="42">
        <f t="shared" si="7"/>
        <v>-43663</v>
      </c>
      <c r="H478" s="2" t="str">
        <f>VLOOKUP(A478,'TB JUNE'!A:H,8,0)</f>
        <v>Not Applicable</v>
      </c>
    </row>
    <row r="479" spans="1:8" hidden="1">
      <c r="A479" s="62" t="s">
        <v>620</v>
      </c>
      <c r="B479" s="73">
        <v>-58114.01</v>
      </c>
      <c r="C479" s="73">
        <v>81812</v>
      </c>
      <c r="D479" s="73">
        <v>56485</v>
      </c>
      <c r="E479" s="73">
        <v>-32787.01</v>
      </c>
      <c r="F479" s="42">
        <v>0</v>
      </c>
      <c r="G479" s="42">
        <f t="shared" si="7"/>
        <v>-32787.01</v>
      </c>
      <c r="H479" s="2" t="str">
        <f>VLOOKUP(A479,'TB JUNE'!A:H,8,0)</f>
        <v>Not Applicable</v>
      </c>
    </row>
    <row r="480" spans="1:8" hidden="1">
      <c r="A480" s="62" t="s">
        <v>1437</v>
      </c>
      <c r="B480" s="73"/>
      <c r="C480" s="73"/>
      <c r="D480" s="73"/>
      <c r="E480" s="73"/>
      <c r="F480" s="42">
        <v>0</v>
      </c>
      <c r="G480" s="42">
        <f t="shared" si="7"/>
        <v>0</v>
      </c>
      <c r="H480" s="2" t="str">
        <f>VLOOKUP(A480,'TB JUNE'!A:H,8,0)</f>
        <v>Not Applicable</v>
      </c>
    </row>
    <row r="481" spans="1:8" hidden="1">
      <c r="A481" s="62" t="s">
        <v>619</v>
      </c>
      <c r="B481" s="73">
        <v>-14581.4</v>
      </c>
      <c r="C481" s="73">
        <v>15737</v>
      </c>
      <c r="D481" s="73">
        <v>6700</v>
      </c>
      <c r="E481" s="73">
        <v>-5544.4</v>
      </c>
      <c r="F481" s="42">
        <v>0</v>
      </c>
      <c r="G481" s="42">
        <f t="shared" si="7"/>
        <v>-5544.4</v>
      </c>
      <c r="H481" s="2" t="str">
        <f>VLOOKUP(A481,'TB JUNE'!A:H,8,0)</f>
        <v>Not Applicable</v>
      </c>
    </row>
    <row r="482" spans="1:8" hidden="1">
      <c r="A482" s="62" t="s">
        <v>613</v>
      </c>
      <c r="B482" s="73"/>
      <c r="C482" s="73"/>
      <c r="D482" s="73"/>
      <c r="E482" s="73"/>
      <c r="F482" s="42">
        <v>0</v>
      </c>
      <c r="G482" s="42">
        <f t="shared" si="7"/>
        <v>0</v>
      </c>
      <c r="H482" s="2" t="str">
        <f>VLOOKUP(A482,'TB JUNE'!A:H,8,0)</f>
        <v>Not Applicable</v>
      </c>
    </row>
    <row r="483" spans="1:8" hidden="1">
      <c r="A483" s="62" t="s">
        <v>616</v>
      </c>
      <c r="B483" s="73">
        <v>-45725</v>
      </c>
      <c r="C483" s="73">
        <v>80476</v>
      </c>
      <c r="D483" s="73">
        <v>48085</v>
      </c>
      <c r="E483" s="73">
        <v>-13334</v>
      </c>
      <c r="F483" s="42">
        <v>0</v>
      </c>
      <c r="G483" s="42">
        <f t="shared" si="7"/>
        <v>-13334</v>
      </c>
      <c r="H483" s="2" t="str">
        <f>VLOOKUP(A483,'TB JUNE'!A:H,8,0)</f>
        <v>Not Applicable</v>
      </c>
    </row>
    <row r="484" spans="1:8" hidden="1">
      <c r="A484" s="62" t="s">
        <v>963</v>
      </c>
      <c r="B484" s="73">
        <v>-0.06</v>
      </c>
      <c r="C484" s="73"/>
      <c r="D484" s="73"/>
      <c r="E484" s="73">
        <v>-0.06</v>
      </c>
      <c r="F484" s="42">
        <v>0</v>
      </c>
      <c r="G484" s="42">
        <f t="shared" si="7"/>
        <v>-0.06</v>
      </c>
      <c r="H484" s="2" t="str">
        <f>VLOOKUP(A484,'TB JUNE'!A:H,8,0)</f>
        <v>Not Applicable</v>
      </c>
    </row>
    <row r="485" spans="1:8" hidden="1">
      <c r="A485" s="62" t="s">
        <v>1214</v>
      </c>
      <c r="B485" s="73">
        <v>-32720</v>
      </c>
      <c r="C485" s="73">
        <v>55166</v>
      </c>
      <c r="D485" s="73">
        <v>31740</v>
      </c>
      <c r="E485" s="73">
        <v>-9294</v>
      </c>
      <c r="F485" s="42">
        <v>0</v>
      </c>
      <c r="G485" s="42">
        <f t="shared" si="7"/>
        <v>-9294</v>
      </c>
      <c r="H485" s="2" t="str">
        <f>VLOOKUP(A485,'TB JUNE'!A:H,8,0)</f>
        <v>Not Applicable</v>
      </c>
    </row>
    <row r="486" spans="1:8" hidden="1">
      <c r="A486" s="62" t="s">
        <v>1438</v>
      </c>
      <c r="B486" s="73">
        <v>-5239</v>
      </c>
      <c r="C486" s="73">
        <v>1983</v>
      </c>
      <c r="D486" s="73">
        <v>1983</v>
      </c>
      <c r="E486" s="73">
        <v>-5239</v>
      </c>
      <c r="F486" s="42">
        <v>0</v>
      </c>
      <c r="G486" s="42">
        <f t="shared" si="7"/>
        <v>-5239</v>
      </c>
      <c r="H486" s="2" t="str">
        <f>VLOOKUP(A486,'TB JUNE'!A:H,8,0)</f>
        <v>Not Applicable</v>
      </c>
    </row>
    <row r="487" spans="1:8" hidden="1">
      <c r="A487" s="62" t="s">
        <v>940</v>
      </c>
      <c r="B487" s="73">
        <v>-0.2</v>
      </c>
      <c r="C487" s="73"/>
      <c r="D487" s="73"/>
      <c r="E487" s="73">
        <v>-0.2</v>
      </c>
      <c r="F487" s="42">
        <v>0</v>
      </c>
      <c r="G487" s="42">
        <f t="shared" si="7"/>
        <v>-0.2</v>
      </c>
      <c r="H487" s="2" t="str">
        <f>VLOOKUP(A487,'TB JUNE'!A:H,8,0)</f>
        <v>Not Applicable</v>
      </c>
    </row>
    <row r="488" spans="1:8" hidden="1">
      <c r="A488" s="62" t="s">
        <v>600</v>
      </c>
      <c r="B488" s="73"/>
      <c r="C488" s="73">
        <v>10502</v>
      </c>
      <c r="D488" s="73">
        <v>10502</v>
      </c>
      <c r="E488" s="73"/>
      <c r="F488" s="42">
        <v>0</v>
      </c>
      <c r="G488" s="42">
        <f t="shared" si="7"/>
        <v>0</v>
      </c>
      <c r="H488" s="2" t="str">
        <f>VLOOKUP(A488,'TB JUNE'!A:H,8,0)</f>
        <v>Not Applicable</v>
      </c>
    </row>
    <row r="489" spans="1:8" hidden="1">
      <c r="A489" s="62" t="s">
        <v>1439</v>
      </c>
      <c r="B489" s="73">
        <v>-2576</v>
      </c>
      <c r="C489" s="73"/>
      <c r="D489" s="73"/>
      <c r="E489" s="73">
        <v>-2576</v>
      </c>
      <c r="F489" s="42">
        <v>0</v>
      </c>
      <c r="G489" s="42">
        <f t="shared" si="7"/>
        <v>-2576</v>
      </c>
      <c r="H489" s="2" t="str">
        <f>VLOOKUP(A489,'TB JUNE'!A:H,8,0)</f>
        <v>Not Applicable</v>
      </c>
    </row>
    <row r="490" spans="1:8" hidden="1">
      <c r="A490" s="62" t="s">
        <v>1559</v>
      </c>
      <c r="B490" s="73"/>
      <c r="C490" s="73"/>
      <c r="D490" s="73">
        <v>5192</v>
      </c>
      <c r="E490" s="73">
        <v>-5192</v>
      </c>
      <c r="F490" s="42">
        <v>0</v>
      </c>
      <c r="G490" s="42">
        <f t="shared" si="7"/>
        <v>-5192</v>
      </c>
      <c r="H490" s="2" t="str">
        <f>VLOOKUP(A490,'TB JUNE'!A:H,8,0)</f>
        <v>Not Applicable</v>
      </c>
    </row>
    <row r="491" spans="1:8" hidden="1">
      <c r="A491" s="62" t="s">
        <v>1334</v>
      </c>
      <c r="B491" s="73"/>
      <c r="C491" s="73"/>
      <c r="D491" s="73"/>
      <c r="E491" s="73"/>
      <c r="F491" s="42">
        <v>0</v>
      </c>
      <c r="G491" s="42">
        <f t="shared" si="7"/>
        <v>0</v>
      </c>
      <c r="H491" s="2" t="s">
        <v>84</v>
      </c>
    </row>
    <row r="492" spans="1:8" hidden="1">
      <c r="A492" s="62" t="s">
        <v>591</v>
      </c>
      <c r="B492" s="73">
        <v>-61629.86</v>
      </c>
      <c r="C492" s="73"/>
      <c r="D492" s="73"/>
      <c r="E492" s="73">
        <v>-61629.86</v>
      </c>
      <c r="F492" s="42">
        <v>0</v>
      </c>
      <c r="G492" s="42">
        <f t="shared" si="7"/>
        <v>-61629.86</v>
      </c>
      <c r="H492" s="2" t="str">
        <f>VLOOKUP(A492,'TB JUNE'!A:H,8,0)</f>
        <v>Not Applicable</v>
      </c>
    </row>
    <row r="493" spans="1:8" hidden="1">
      <c r="A493" s="62" t="s">
        <v>1440</v>
      </c>
      <c r="B493" s="73">
        <v>-72712</v>
      </c>
      <c r="C493" s="73">
        <v>73712</v>
      </c>
      <c r="D493" s="73">
        <v>1000</v>
      </c>
      <c r="E493" s="73"/>
      <c r="F493" s="42">
        <v>0</v>
      </c>
      <c r="G493" s="42">
        <f t="shared" si="7"/>
        <v>0</v>
      </c>
      <c r="H493" s="2" t="str">
        <f>VLOOKUP(A493,'TB JUNE'!A:H,8,0)</f>
        <v>Not Applicable</v>
      </c>
    </row>
    <row r="494" spans="1:8" hidden="1">
      <c r="A494" s="62" t="s">
        <v>1179</v>
      </c>
      <c r="B494" s="73">
        <v>-3328</v>
      </c>
      <c r="C494" s="73"/>
      <c r="D494" s="73"/>
      <c r="E494" s="73">
        <v>-3328</v>
      </c>
      <c r="F494" s="42">
        <v>0</v>
      </c>
      <c r="G494" s="42">
        <f t="shared" si="7"/>
        <v>-3328</v>
      </c>
      <c r="H494" s="2" t="str">
        <f>VLOOKUP(A494,'TB JUNE'!A:H,8,0)</f>
        <v>Not Applicable</v>
      </c>
    </row>
    <row r="495" spans="1:8" hidden="1">
      <c r="A495" s="62" t="s">
        <v>1069</v>
      </c>
      <c r="B495" s="73">
        <v>-15895</v>
      </c>
      <c r="C495" s="73">
        <v>28216</v>
      </c>
      <c r="D495" s="73">
        <v>79277</v>
      </c>
      <c r="E495" s="73">
        <v>-66956</v>
      </c>
      <c r="F495" s="42">
        <v>0</v>
      </c>
      <c r="G495" s="42">
        <f t="shared" si="7"/>
        <v>-66956</v>
      </c>
      <c r="H495" s="2" t="str">
        <f>VLOOKUP(A495,'TB JUNE'!A:H,8,0)</f>
        <v>Not Applicable</v>
      </c>
    </row>
    <row r="496" spans="1:8" hidden="1">
      <c r="A496" s="62" t="s">
        <v>586</v>
      </c>
      <c r="B496" s="73">
        <v>-31508.18</v>
      </c>
      <c r="C496" s="73">
        <v>11611</v>
      </c>
      <c r="D496" s="73">
        <v>11611</v>
      </c>
      <c r="E496" s="73">
        <v>-31508.18</v>
      </c>
      <c r="F496" s="42">
        <v>0</v>
      </c>
      <c r="G496" s="42">
        <f t="shared" si="7"/>
        <v>-31508.18</v>
      </c>
      <c r="H496" s="2" t="str">
        <f>VLOOKUP(A496,'TB JUNE'!A:H,8,0)</f>
        <v>Not Applicable</v>
      </c>
    </row>
    <row r="497" spans="1:8" hidden="1">
      <c r="A497" s="62" t="s">
        <v>579</v>
      </c>
      <c r="B497" s="73">
        <v>-12489</v>
      </c>
      <c r="C497" s="73">
        <v>12489</v>
      </c>
      <c r="D497" s="73"/>
      <c r="E497" s="73"/>
      <c r="F497" s="42">
        <v>0</v>
      </c>
      <c r="G497" s="42">
        <f t="shared" si="7"/>
        <v>0</v>
      </c>
      <c r="H497" s="2" t="str">
        <f>VLOOKUP(A497,'TB JUNE'!A:H,8,0)</f>
        <v>Not Applicable</v>
      </c>
    </row>
    <row r="498" spans="1:8" hidden="1">
      <c r="A498" s="62" t="s">
        <v>574</v>
      </c>
      <c r="B498" s="73">
        <v>-122395.71</v>
      </c>
      <c r="C498" s="73">
        <v>120688.3</v>
      </c>
      <c r="D498" s="73">
        <v>139504</v>
      </c>
      <c r="E498" s="73">
        <v>-141211.41</v>
      </c>
      <c r="F498" s="42">
        <v>0</v>
      </c>
      <c r="G498" s="42">
        <f t="shared" si="7"/>
        <v>-141211.41</v>
      </c>
      <c r="H498" s="2" t="str">
        <f>VLOOKUP(A498,'TB JUNE'!A:H,8,0)</f>
        <v>Not Applicable</v>
      </c>
    </row>
    <row r="499" spans="1:8" hidden="1">
      <c r="A499" s="62" t="s">
        <v>575</v>
      </c>
      <c r="B499" s="73">
        <v>-3610</v>
      </c>
      <c r="C499" s="73"/>
      <c r="D499" s="73"/>
      <c r="E499" s="73">
        <v>-3610</v>
      </c>
      <c r="F499" s="42">
        <v>0</v>
      </c>
      <c r="G499" s="42">
        <f t="shared" si="7"/>
        <v>-3610</v>
      </c>
      <c r="H499" s="2" t="str">
        <f>VLOOKUP(A499,'TB JUNE'!A:H,8,0)</f>
        <v>Not Applicable</v>
      </c>
    </row>
    <row r="500" spans="1:8" hidden="1">
      <c r="A500" s="62" t="s">
        <v>1560</v>
      </c>
      <c r="B500" s="73"/>
      <c r="C500" s="73">
        <v>5247</v>
      </c>
      <c r="D500" s="73">
        <v>10494</v>
      </c>
      <c r="E500" s="73">
        <v>-5247</v>
      </c>
      <c r="F500" s="42">
        <v>0</v>
      </c>
      <c r="G500" s="42">
        <f t="shared" si="7"/>
        <v>-5247</v>
      </c>
      <c r="H500" s="2" t="str">
        <f>VLOOKUP(A500,'TB JUNE'!A:H,8,0)</f>
        <v>Not Applicable</v>
      </c>
    </row>
    <row r="501" spans="1:8" hidden="1">
      <c r="A501" s="62" t="s">
        <v>568</v>
      </c>
      <c r="B501" s="73">
        <v>-5192</v>
      </c>
      <c r="C501" s="73"/>
      <c r="D501" s="73"/>
      <c r="E501" s="73">
        <v>-5192</v>
      </c>
      <c r="F501" s="42">
        <v>0</v>
      </c>
      <c r="G501" s="42">
        <f t="shared" si="7"/>
        <v>-5192</v>
      </c>
      <c r="H501" s="2" t="str">
        <f>VLOOKUP(A501,'TB JUNE'!A:H,8,0)</f>
        <v>Not Applicable</v>
      </c>
    </row>
    <row r="502" spans="1:8" hidden="1">
      <c r="A502" s="62" t="s">
        <v>570</v>
      </c>
      <c r="B502" s="73"/>
      <c r="C502" s="73">
        <v>11623</v>
      </c>
      <c r="D502" s="73">
        <v>11623</v>
      </c>
      <c r="E502" s="73"/>
      <c r="F502" s="42">
        <v>0</v>
      </c>
      <c r="G502" s="42">
        <f t="shared" si="7"/>
        <v>0</v>
      </c>
      <c r="H502" s="2" t="str">
        <f>VLOOKUP(A502,'TB JUNE'!A:H,8,0)</f>
        <v>Not Applicable</v>
      </c>
    </row>
    <row r="503" spans="1:8" hidden="1">
      <c r="A503" s="62" t="s">
        <v>1561</v>
      </c>
      <c r="B503" s="73"/>
      <c r="C503" s="73">
        <v>41300</v>
      </c>
      <c r="D503" s="73">
        <v>41300</v>
      </c>
      <c r="E503" s="73"/>
      <c r="F503" s="42">
        <v>0</v>
      </c>
      <c r="G503" s="42">
        <f t="shared" si="7"/>
        <v>0</v>
      </c>
      <c r="H503" s="2" t="str">
        <f>VLOOKUP(A503,'TB JUNE'!A:H,8,0)</f>
        <v>Not Applicable</v>
      </c>
    </row>
    <row r="504" spans="1:8" hidden="1">
      <c r="A504" s="62" t="s">
        <v>1562</v>
      </c>
      <c r="B504" s="73"/>
      <c r="C504" s="73">
        <v>243730.18</v>
      </c>
      <c r="D504" s="73">
        <v>243730.18</v>
      </c>
      <c r="E504" s="73"/>
      <c r="F504" s="42">
        <v>0</v>
      </c>
      <c r="G504" s="42">
        <f t="shared" si="7"/>
        <v>0</v>
      </c>
      <c r="H504" s="2" t="str">
        <f>VLOOKUP(A504,'TB JUNE'!A:H,8,0)</f>
        <v>Not Applicable</v>
      </c>
    </row>
    <row r="505" spans="1:8" hidden="1">
      <c r="A505" s="62" t="s">
        <v>572</v>
      </c>
      <c r="B505" s="73">
        <v>-2944</v>
      </c>
      <c r="C505" s="73">
        <v>2944</v>
      </c>
      <c r="D505" s="73">
        <v>2762</v>
      </c>
      <c r="E505" s="73">
        <v>-2762</v>
      </c>
      <c r="F505" s="42">
        <v>0</v>
      </c>
      <c r="G505" s="42">
        <f t="shared" si="7"/>
        <v>-2762</v>
      </c>
      <c r="H505" s="2" t="str">
        <f>VLOOKUP(A505,'TB JUNE'!A:H,8,0)</f>
        <v>Not Applicable</v>
      </c>
    </row>
    <row r="506" spans="1:8" hidden="1">
      <c r="A506" s="62" t="s">
        <v>1563</v>
      </c>
      <c r="B506" s="73"/>
      <c r="C506" s="73">
        <v>78706</v>
      </c>
      <c r="D506" s="73">
        <v>78706</v>
      </c>
      <c r="E506" s="73"/>
      <c r="F506" s="42">
        <v>0</v>
      </c>
      <c r="G506" s="42">
        <f t="shared" si="7"/>
        <v>0</v>
      </c>
      <c r="H506" s="2" t="str">
        <f>VLOOKUP(A506,'TB JUNE'!A:H,8,0)</f>
        <v>Not Applicable</v>
      </c>
    </row>
    <row r="507" spans="1:8" hidden="1">
      <c r="A507" s="62" t="s">
        <v>1262</v>
      </c>
      <c r="B507" s="73">
        <v>-61655</v>
      </c>
      <c r="C507" s="73">
        <v>61655</v>
      </c>
      <c r="D507" s="73">
        <v>69915</v>
      </c>
      <c r="E507" s="73">
        <v>-69915</v>
      </c>
      <c r="F507" s="42">
        <v>0</v>
      </c>
      <c r="G507" s="42">
        <f t="shared" si="7"/>
        <v>-69915</v>
      </c>
      <c r="H507" s="2" t="str">
        <f>VLOOKUP(A507,'TB JUNE'!A:H,8,0)</f>
        <v>Not Applicable</v>
      </c>
    </row>
    <row r="508" spans="1:8" hidden="1">
      <c r="A508" s="62" t="s">
        <v>1351</v>
      </c>
      <c r="B508" s="73">
        <v>-2443</v>
      </c>
      <c r="C508" s="73">
        <v>2443</v>
      </c>
      <c r="D508" s="73"/>
      <c r="E508" s="73"/>
      <c r="F508" s="42">
        <v>0</v>
      </c>
      <c r="G508" s="42">
        <f t="shared" si="7"/>
        <v>0</v>
      </c>
      <c r="H508" s="2" t="str">
        <f>VLOOKUP(A508,'TB JUNE'!A:H,8,0)</f>
        <v>Not Applicable</v>
      </c>
    </row>
    <row r="509" spans="1:8" hidden="1">
      <c r="A509" s="62" t="s">
        <v>1442</v>
      </c>
      <c r="B509" s="73">
        <v>16500</v>
      </c>
      <c r="C509" s="73"/>
      <c r="D509" s="73"/>
      <c r="E509" s="73">
        <v>16500</v>
      </c>
      <c r="F509" s="42">
        <v>0</v>
      </c>
      <c r="G509" s="42">
        <f t="shared" si="7"/>
        <v>16500</v>
      </c>
      <c r="H509" s="2" t="str">
        <f>VLOOKUP(A509,'TB JUNE'!A:H,8,0)</f>
        <v>Not Applicable</v>
      </c>
    </row>
    <row r="510" spans="1:8" hidden="1">
      <c r="A510" s="62" t="s">
        <v>1443</v>
      </c>
      <c r="B510" s="73"/>
      <c r="C510" s="73"/>
      <c r="D510" s="73"/>
      <c r="E510" s="73"/>
      <c r="F510" s="42">
        <v>0</v>
      </c>
      <c r="G510" s="42">
        <f t="shared" si="7"/>
        <v>0</v>
      </c>
      <c r="H510" s="2" t="str">
        <f>VLOOKUP(A510,'TB JUNE'!A:H,8,0)</f>
        <v>Not Applicable</v>
      </c>
    </row>
    <row r="511" spans="1:8" hidden="1">
      <c r="A511" s="62" t="s">
        <v>563</v>
      </c>
      <c r="B511" s="73">
        <v>-11151</v>
      </c>
      <c r="C511" s="73">
        <v>29736</v>
      </c>
      <c r="D511" s="73">
        <v>26019</v>
      </c>
      <c r="E511" s="73">
        <v>-7434</v>
      </c>
      <c r="F511" s="42">
        <v>0</v>
      </c>
      <c r="G511" s="42">
        <f t="shared" si="7"/>
        <v>-7434</v>
      </c>
      <c r="H511" s="2" t="str">
        <f>VLOOKUP(A511,'TB JUNE'!A:H,8,0)</f>
        <v>Not Applicable</v>
      </c>
    </row>
    <row r="512" spans="1:8" hidden="1">
      <c r="A512" s="62" t="s">
        <v>564</v>
      </c>
      <c r="B512" s="73">
        <v>-370</v>
      </c>
      <c r="C512" s="73">
        <v>1875</v>
      </c>
      <c r="D512" s="73">
        <v>1505</v>
      </c>
      <c r="E512" s="73"/>
      <c r="F512" s="42">
        <v>0</v>
      </c>
      <c r="G512" s="42">
        <f t="shared" si="7"/>
        <v>0</v>
      </c>
      <c r="H512" s="2" t="str">
        <f>VLOOKUP(A512,'TB JUNE'!A:H,8,0)</f>
        <v>Not Applicable</v>
      </c>
    </row>
    <row r="513" spans="1:8" hidden="1">
      <c r="A513" s="62" t="s">
        <v>982</v>
      </c>
      <c r="B513" s="73">
        <v>-4720</v>
      </c>
      <c r="C513" s="73">
        <v>4720</v>
      </c>
      <c r="D513" s="73"/>
      <c r="E513" s="73"/>
      <c r="F513" s="42">
        <v>0</v>
      </c>
      <c r="G513" s="42">
        <f t="shared" si="7"/>
        <v>0</v>
      </c>
      <c r="H513" s="2" t="str">
        <f>VLOOKUP(A513,'TB JUNE'!A:H,8,0)</f>
        <v>Not Applicable</v>
      </c>
    </row>
    <row r="514" spans="1:8" hidden="1">
      <c r="A514" s="62" t="s">
        <v>983</v>
      </c>
      <c r="B514" s="73">
        <v>-5192</v>
      </c>
      <c r="C514" s="73">
        <v>21122</v>
      </c>
      <c r="D514" s="73">
        <v>15930</v>
      </c>
      <c r="E514" s="73"/>
      <c r="F514" s="42">
        <v>0</v>
      </c>
      <c r="G514" s="42">
        <f t="shared" si="7"/>
        <v>0</v>
      </c>
      <c r="H514" s="2" t="str">
        <f>VLOOKUP(A514,'TB JUNE'!A:H,8,0)</f>
        <v>Not Applicable</v>
      </c>
    </row>
    <row r="515" spans="1:8" hidden="1">
      <c r="A515" s="62" t="s">
        <v>566</v>
      </c>
      <c r="B515" s="73">
        <v>-6455</v>
      </c>
      <c r="C515" s="73">
        <v>2915</v>
      </c>
      <c r="D515" s="73">
        <v>2301</v>
      </c>
      <c r="E515" s="73">
        <v>-5841</v>
      </c>
      <c r="F515" s="42">
        <v>0</v>
      </c>
      <c r="G515" s="42">
        <f t="shared" si="7"/>
        <v>-5841</v>
      </c>
      <c r="H515" s="2" t="str">
        <f>VLOOKUP(A515,'TB JUNE'!A:H,8,0)</f>
        <v>Not Applicable</v>
      </c>
    </row>
    <row r="516" spans="1:8" hidden="1">
      <c r="A516" s="62" t="s">
        <v>938</v>
      </c>
      <c r="B516" s="73">
        <v>-67989.240000000005</v>
      </c>
      <c r="C516" s="73">
        <v>119754.82</v>
      </c>
      <c r="D516" s="73">
        <v>28151.79</v>
      </c>
      <c r="E516" s="73">
        <v>23613.79</v>
      </c>
      <c r="F516" s="42">
        <v>0</v>
      </c>
      <c r="G516" s="42">
        <f t="shared" si="7"/>
        <v>23613.79</v>
      </c>
      <c r="H516" s="2" t="str">
        <f>VLOOKUP(A516,'TB JUNE'!A:H,8,0)</f>
        <v>Not Applicable</v>
      </c>
    </row>
    <row r="517" spans="1:8" hidden="1">
      <c r="A517" s="62" t="s">
        <v>939</v>
      </c>
      <c r="B517" s="73">
        <v>-272501.25</v>
      </c>
      <c r="C517" s="73">
        <v>333292.21000000002</v>
      </c>
      <c r="D517" s="73">
        <v>410576.32</v>
      </c>
      <c r="E517" s="73">
        <v>-349785.36</v>
      </c>
      <c r="F517" s="42">
        <v>0</v>
      </c>
      <c r="G517" s="42">
        <f t="shared" si="7"/>
        <v>-349785.36</v>
      </c>
      <c r="H517" s="2" t="str">
        <f>VLOOKUP(A517,'TB JUNE'!A:H,8,0)</f>
        <v>Not Applicable</v>
      </c>
    </row>
    <row r="518" spans="1:8" hidden="1">
      <c r="A518" s="62" t="s">
        <v>558</v>
      </c>
      <c r="B518" s="73">
        <v>-369869.69</v>
      </c>
      <c r="C518" s="73"/>
      <c r="D518" s="73"/>
      <c r="E518" s="73">
        <v>-369869.69</v>
      </c>
      <c r="F518" s="42">
        <v>0</v>
      </c>
      <c r="G518" s="42">
        <f t="shared" ref="G518:G581" si="8">+E518+F518</f>
        <v>-369869.69</v>
      </c>
      <c r="H518" s="2" t="str">
        <f>VLOOKUP(A518,'TB JUNE'!A:H,8,0)</f>
        <v>Not Applicable</v>
      </c>
    </row>
    <row r="519" spans="1:8" hidden="1">
      <c r="A519" s="62" t="s">
        <v>559</v>
      </c>
      <c r="B519" s="73">
        <v>-51379.05</v>
      </c>
      <c r="C519" s="73"/>
      <c r="D519" s="73"/>
      <c r="E519" s="73">
        <v>-51379.05</v>
      </c>
      <c r="F519" s="42">
        <v>0</v>
      </c>
      <c r="G519" s="42">
        <f t="shared" si="8"/>
        <v>-51379.05</v>
      </c>
      <c r="H519" s="2" t="str">
        <f>VLOOKUP(A519,'TB JUNE'!A:H,8,0)</f>
        <v>Not Applicable</v>
      </c>
    </row>
    <row r="520" spans="1:8" hidden="1">
      <c r="A520" s="62" t="s">
        <v>914</v>
      </c>
      <c r="B520" s="73"/>
      <c r="C520" s="73"/>
      <c r="D520" s="73"/>
      <c r="E520" s="73"/>
      <c r="F520" s="42">
        <v>0</v>
      </c>
      <c r="G520" s="42">
        <f t="shared" si="8"/>
        <v>0</v>
      </c>
      <c r="H520" s="2" t="str">
        <f>VLOOKUP(A520,'TB JUNE'!A:H,8,0)</f>
        <v>Not Applicable</v>
      </c>
    </row>
    <row r="521" spans="1:8" hidden="1">
      <c r="A521" s="62" t="s">
        <v>550</v>
      </c>
      <c r="B521" s="73"/>
      <c r="C521" s="73"/>
      <c r="D521" s="73">
        <v>2650</v>
      </c>
      <c r="E521" s="73">
        <v>-2650</v>
      </c>
      <c r="F521" s="42">
        <v>0</v>
      </c>
      <c r="G521" s="42">
        <f t="shared" si="8"/>
        <v>-2650</v>
      </c>
      <c r="H521" s="2" t="s">
        <v>84</v>
      </c>
    </row>
    <row r="522" spans="1:8" hidden="1">
      <c r="A522" s="62" t="s">
        <v>1445</v>
      </c>
      <c r="B522" s="73">
        <v>128</v>
      </c>
      <c r="C522" s="73"/>
      <c r="D522" s="73"/>
      <c r="E522" s="73">
        <v>128</v>
      </c>
      <c r="F522" s="42">
        <v>0</v>
      </c>
      <c r="G522" s="42">
        <f t="shared" si="8"/>
        <v>128</v>
      </c>
      <c r="H522" s="2" t="str">
        <f>VLOOKUP(A522,'TB JUNE'!A:H,8,0)</f>
        <v>Not Applicable</v>
      </c>
    </row>
    <row r="523" spans="1:8" hidden="1">
      <c r="A523" s="62" t="s">
        <v>1514</v>
      </c>
      <c r="B523" s="73"/>
      <c r="C523" s="73">
        <v>23010</v>
      </c>
      <c r="D523" s="73">
        <v>23010</v>
      </c>
      <c r="E523" s="73"/>
      <c r="F523" s="42">
        <v>0</v>
      </c>
      <c r="G523" s="42">
        <f t="shared" si="8"/>
        <v>0</v>
      </c>
      <c r="H523" s="2" t="str">
        <f>VLOOKUP(A523,'TB JUNE'!A:H,8,0)</f>
        <v>Not Applicable</v>
      </c>
    </row>
    <row r="524" spans="1:8" hidden="1">
      <c r="A524" s="62" t="s">
        <v>553</v>
      </c>
      <c r="B524" s="73">
        <v>-363.33</v>
      </c>
      <c r="C524" s="73"/>
      <c r="D524" s="73"/>
      <c r="E524" s="73">
        <v>-363.33</v>
      </c>
      <c r="F524" s="42">
        <v>0</v>
      </c>
      <c r="G524" s="42">
        <f t="shared" si="8"/>
        <v>-363.33</v>
      </c>
      <c r="H524" s="2" t="str">
        <f>VLOOKUP(A524,'TB JUNE'!A:H,8,0)</f>
        <v>Not Applicable</v>
      </c>
    </row>
    <row r="525" spans="1:8" hidden="1">
      <c r="A525" s="62" t="s">
        <v>1601</v>
      </c>
      <c r="B525" s="73"/>
      <c r="C525" s="73">
        <v>49914</v>
      </c>
      <c r="D525" s="73">
        <v>49914</v>
      </c>
      <c r="E525" s="73"/>
      <c r="F525" s="42">
        <v>0</v>
      </c>
      <c r="G525" s="42">
        <f t="shared" si="8"/>
        <v>0</v>
      </c>
      <c r="H525" s="2" t="s">
        <v>84</v>
      </c>
    </row>
    <row r="526" spans="1:8" hidden="1">
      <c r="A526" s="62" t="s">
        <v>1564</v>
      </c>
      <c r="B526" s="73"/>
      <c r="C526" s="73"/>
      <c r="D526" s="73">
        <v>2348</v>
      </c>
      <c r="E526" s="73">
        <v>-2348</v>
      </c>
      <c r="F526" s="42">
        <v>0</v>
      </c>
      <c r="G526" s="42">
        <f t="shared" si="8"/>
        <v>-2348</v>
      </c>
      <c r="H526" s="2" t="str">
        <f>VLOOKUP(A526,'TB JUNE'!A:H,8,0)</f>
        <v>Not Applicable</v>
      </c>
    </row>
    <row r="527" spans="1:8" hidden="1">
      <c r="A527" s="62" t="s">
        <v>1565</v>
      </c>
      <c r="B527" s="73"/>
      <c r="C527" s="73">
        <v>3500</v>
      </c>
      <c r="D527" s="73">
        <v>3500</v>
      </c>
      <c r="E527" s="73"/>
      <c r="F527" s="42">
        <v>0</v>
      </c>
      <c r="G527" s="42">
        <f t="shared" si="8"/>
        <v>0</v>
      </c>
      <c r="H527" s="2" t="str">
        <f>VLOOKUP(A527,'TB JUNE'!A:H,8,0)</f>
        <v>Not Applicable</v>
      </c>
    </row>
    <row r="528" spans="1:8" hidden="1">
      <c r="A528" s="62" t="s">
        <v>1602</v>
      </c>
      <c r="B528" s="73"/>
      <c r="C528" s="73">
        <v>474419</v>
      </c>
      <c r="D528" s="73">
        <v>474419</v>
      </c>
      <c r="E528" s="73"/>
      <c r="F528" s="42">
        <v>0</v>
      </c>
      <c r="G528" s="42">
        <f t="shared" si="8"/>
        <v>0</v>
      </c>
      <c r="H528" s="2" t="s">
        <v>84</v>
      </c>
    </row>
    <row r="529" spans="1:8" hidden="1">
      <c r="A529" s="62" t="s">
        <v>1182</v>
      </c>
      <c r="B529" s="73">
        <v>-4209.1400000000003</v>
      </c>
      <c r="C529" s="73">
        <v>6389</v>
      </c>
      <c r="D529" s="73">
        <v>2181</v>
      </c>
      <c r="E529" s="73">
        <v>-1.1399999999999999</v>
      </c>
      <c r="F529" s="42">
        <v>0</v>
      </c>
      <c r="G529" s="42">
        <f t="shared" si="8"/>
        <v>-1.1399999999999999</v>
      </c>
      <c r="H529" s="2" t="str">
        <f>VLOOKUP(A529,'TB JUNE'!A:H,8,0)</f>
        <v>Not Applicable</v>
      </c>
    </row>
    <row r="530" spans="1:8" hidden="1">
      <c r="A530" s="62" t="s">
        <v>548</v>
      </c>
      <c r="B530" s="73">
        <v>-71007.13</v>
      </c>
      <c r="C530" s="73">
        <v>362194.13</v>
      </c>
      <c r="D530" s="73">
        <v>338696</v>
      </c>
      <c r="E530" s="73">
        <v>-47509</v>
      </c>
      <c r="F530" s="42">
        <v>0</v>
      </c>
      <c r="G530" s="42">
        <f t="shared" si="8"/>
        <v>-47509</v>
      </c>
      <c r="H530" s="2" t="str">
        <f>VLOOKUP(A530,'TB JUNE'!A:H,8,0)</f>
        <v>Not Applicable</v>
      </c>
    </row>
    <row r="531" spans="1:8" hidden="1">
      <c r="A531" s="62" t="s">
        <v>1603</v>
      </c>
      <c r="B531" s="73"/>
      <c r="C531" s="73">
        <v>2400</v>
      </c>
      <c r="D531" s="73">
        <v>2400</v>
      </c>
      <c r="E531" s="73"/>
      <c r="F531" s="42">
        <v>0</v>
      </c>
      <c r="G531" s="42">
        <f t="shared" si="8"/>
        <v>0</v>
      </c>
      <c r="H531" s="2" t="s">
        <v>84</v>
      </c>
    </row>
    <row r="532" spans="1:8" hidden="1">
      <c r="A532" s="62" t="s">
        <v>1446</v>
      </c>
      <c r="B532" s="73">
        <v>-4366</v>
      </c>
      <c r="C532" s="73">
        <v>4366</v>
      </c>
      <c r="D532" s="73"/>
      <c r="E532" s="73"/>
      <c r="F532" s="42">
        <v>0</v>
      </c>
      <c r="G532" s="42">
        <f t="shared" si="8"/>
        <v>0</v>
      </c>
      <c r="H532" s="2" t="str">
        <f>VLOOKUP(A532,'TB JUNE'!A:H,8,0)</f>
        <v>Not Applicable</v>
      </c>
    </row>
    <row r="533" spans="1:8" hidden="1">
      <c r="A533" s="62" t="s">
        <v>1017</v>
      </c>
      <c r="B533" s="73">
        <v>-18880</v>
      </c>
      <c r="C533" s="73">
        <v>18880</v>
      </c>
      <c r="D533" s="73"/>
      <c r="E533" s="73"/>
      <c r="F533" s="42">
        <v>0</v>
      </c>
      <c r="G533" s="42">
        <f t="shared" si="8"/>
        <v>0</v>
      </c>
      <c r="H533" s="2" t="str">
        <f>VLOOKUP(A533,'TB JUNE'!A:H,8,0)</f>
        <v>Not Applicable</v>
      </c>
    </row>
    <row r="534" spans="1:8" hidden="1">
      <c r="A534" s="62" t="s">
        <v>1320</v>
      </c>
      <c r="B534" s="73">
        <v>100501.5</v>
      </c>
      <c r="C534" s="73">
        <v>45736.800000000003</v>
      </c>
      <c r="D534" s="73">
        <v>146239</v>
      </c>
      <c r="E534" s="73">
        <v>-0.7</v>
      </c>
      <c r="F534" s="42">
        <v>0</v>
      </c>
      <c r="G534" s="42">
        <f t="shared" si="8"/>
        <v>-0.7</v>
      </c>
      <c r="H534" s="2" t="str">
        <f>VLOOKUP(A534,'TB JUNE'!A:H,8,0)</f>
        <v>Not Applicable</v>
      </c>
    </row>
    <row r="535" spans="1:8" hidden="1">
      <c r="A535" s="62" t="s">
        <v>1447</v>
      </c>
      <c r="B535" s="73">
        <v>1021.88</v>
      </c>
      <c r="C535" s="73"/>
      <c r="D535" s="73"/>
      <c r="E535" s="73">
        <v>1021.88</v>
      </c>
      <c r="F535" s="42">
        <v>0</v>
      </c>
      <c r="G535" s="42">
        <f t="shared" si="8"/>
        <v>1021.88</v>
      </c>
      <c r="H535" s="2" t="str">
        <f>VLOOKUP(A535,'TB JUNE'!A:H,8,0)</f>
        <v>Not Applicable</v>
      </c>
    </row>
    <row r="536" spans="1:8" hidden="1">
      <c r="A536" s="62" t="s">
        <v>1337</v>
      </c>
      <c r="B536" s="73">
        <v>-840</v>
      </c>
      <c r="C536" s="73"/>
      <c r="D536" s="73"/>
      <c r="E536" s="73">
        <v>-840</v>
      </c>
      <c r="F536" s="42">
        <v>0</v>
      </c>
      <c r="G536" s="42">
        <f t="shared" si="8"/>
        <v>-840</v>
      </c>
      <c r="H536" s="2" t="str">
        <f>VLOOKUP(A536,'TB JUNE'!A:H,8,0)</f>
        <v>Not Applicable</v>
      </c>
    </row>
    <row r="537" spans="1:8" hidden="1">
      <c r="A537" s="62" t="s">
        <v>536</v>
      </c>
      <c r="B537" s="73">
        <v>-5960</v>
      </c>
      <c r="C537" s="73">
        <v>5960</v>
      </c>
      <c r="D537" s="73">
        <v>30504</v>
      </c>
      <c r="E537" s="73">
        <v>-30504</v>
      </c>
      <c r="F537" s="42">
        <v>0</v>
      </c>
      <c r="G537" s="42">
        <f t="shared" si="8"/>
        <v>-30504</v>
      </c>
      <c r="H537" s="2" t="str">
        <f>VLOOKUP(A537,'TB JUNE'!A:H,8,0)</f>
        <v>Not Applicable</v>
      </c>
    </row>
    <row r="538" spans="1:8" hidden="1">
      <c r="A538" s="62" t="s">
        <v>1566</v>
      </c>
      <c r="B538" s="73"/>
      <c r="C538" s="73">
        <v>190250</v>
      </c>
      <c r="D538" s="73">
        <v>235733</v>
      </c>
      <c r="E538" s="73">
        <v>-45483</v>
      </c>
      <c r="F538" s="42">
        <v>0</v>
      </c>
      <c r="G538" s="42">
        <f t="shared" si="8"/>
        <v>-45483</v>
      </c>
      <c r="H538" s="2" t="str">
        <f>VLOOKUP(A538,'TB JUNE'!A:H,8,0)</f>
        <v>Not Applicable</v>
      </c>
    </row>
    <row r="539" spans="1:8" hidden="1">
      <c r="A539" s="62" t="s">
        <v>532</v>
      </c>
      <c r="B539" s="73">
        <v>-15458</v>
      </c>
      <c r="C539" s="73"/>
      <c r="D539" s="73"/>
      <c r="E539" s="73">
        <v>-15458</v>
      </c>
      <c r="F539" s="42">
        <v>0</v>
      </c>
      <c r="G539" s="42">
        <f t="shared" si="8"/>
        <v>-15458</v>
      </c>
      <c r="H539" s="2" t="str">
        <f>VLOOKUP(A539,'TB JUNE'!A:H,8,0)</f>
        <v>Not Applicable</v>
      </c>
    </row>
    <row r="540" spans="1:8" hidden="1">
      <c r="A540" s="62" t="s">
        <v>1448</v>
      </c>
      <c r="B540" s="73">
        <v>-28477</v>
      </c>
      <c r="C540" s="73">
        <v>37362</v>
      </c>
      <c r="D540" s="73">
        <v>12980</v>
      </c>
      <c r="E540" s="73">
        <v>-4095</v>
      </c>
      <c r="F540" s="42">
        <v>0</v>
      </c>
      <c r="G540" s="42">
        <f t="shared" si="8"/>
        <v>-4095</v>
      </c>
      <c r="H540" s="2" t="str">
        <f>VLOOKUP(A540,'TB JUNE'!A:H,8,0)</f>
        <v>Not Applicable</v>
      </c>
    </row>
    <row r="541" spans="1:8" hidden="1">
      <c r="A541" s="62" t="s">
        <v>530</v>
      </c>
      <c r="B541" s="73">
        <v>-84201</v>
      </c>
      <c r="C541" s="73">
        <v>140416</v>
      </c>
      <c r="D541" s="73">
        <v>100298</v>
      </c>
      <c r="E541" s="73">
        <v>-44083</v>
      </c>
      <c r="F541" s="42">
        <v>0</v>
      </c>
      <c r="G541" s="42">
        <f t="shared" si="8"/>
        <v>-44083</v>
      </c>
      <c r="H541" s="2" t="str">
        <f>VLOOKUP(A541,'TB JUNE'!A:H,8,0)</f>
        <v>Not Applicable</v>
      </c>
    </row>
    <row r="542" spans="1:8" hidden="1">
      <c r="A542" s="62" t="s">
        <v>1449</v>
      </c>
      <c r="B542" s="73">
        <v>-38744</v>
      </c>
      <c r="C542" s="73"/>
      <c r="D542" s="73"/>
      <c r="E542" s="73">
        <v>-38744</v>
      </c>
      <c r="F542" s="42">
        <v>0</v>
      </c>
      <c r="G542" s="42">
        <f t="shared" si="8"/>
        <v>-38744</v>
      </c>
      <c r="H542" s="2" t="str">
        <f>VLOOKUP(A542,'TB JUNE'!A:H,8,0)</f>
        <v>Not Applicable</v>
      </c>
    </row>
    <row r="543" spans="1:8" hidden="1">
      <c r="A543" s="62" t="s">
        <v>529</v>
      </c>
      <c r="B543" s="73">
        <v>-38962.5</v>
      </c>
      <c r="C543" s="73">
        <v>85101</v>
      </c>
      <c r="D543" s="73">
        <v>102002</v>
      </c>
      <c r="E543" s="73">
        <v>-55863.5</v>
      </c>
      <c r="F543" s="42">
        <v>0</v>
      </c>
      <c r="G543" s="42">
        <f t="shared" si="8"/>
        <v>-55863.5</v>
      </c>
      <c r="H543" s="2" t="str">
        <f>VLOOKUP(A543,'TB JUNE'!A:H,8,0)</f>
        <v>Not Applicable</v>
      </c>
    </row>
    <row r="544" spans="1:8" hidden="1">
      <c r="A544" s="62" t="s">
        <v>1450</v>
      </c>
      <c r="B544" s="73"/>
      <c r="C544" s="73"/>
      <c r="D544" s="73"/>
      <c r="E544" s="73"/>
      <c r="F544" s="42">
        <v>0</v>
      </c>
      <c r="G544" s="42">
        <f t="shared" si="8"/>
        <v>0</v>
      </c>
      <c r="H544" s="2" t="str">
        <f>VLOOKUP(A544,'TB JUNE'!A:H,8,0)</f>
        <v>Not Applicable</v>
      </c>
    </row>
    <row r="545" spans="1:8" hidden="1">
      <c r="A545" s="62" t="s">
        <v>522</v>
      </c>
      <c r="B545" s="73">
        <v>-16891.400000000001</v>
      </c>
      <c r="C545" s="73">
        <v>17965</v>
      </c>
      <c r="D545" s="73">
        <v>5345</v>
      </c>
      <c r="E545" s="73">
        <v>-4271.3999999999996</v>
      </c>
      <c r="F545" s="42">
        <v>0</v>
      </c>
      <c r="G545" s="42">
        <f t="shared" si="8"/>
        <v>-4271.3999999999996</v>
      </c>
      <c r="H545" s="2" t="str">
        <f>VLOOKUP(A545,'TB JUNE'!A:H,8,0)</f>
        <v>Not Applicable</v>
      </c>
    </row>
    <row r="546" spans="1:8" hidden="1">
      <c r="A546" s="62" t="s">
        <v>523</v>
      </c>
      <c r="B546" s="73">
        <v>3266.14</v>
      </c>
      <c r="C546" s="73"/>
      <c r="D546" s="73">
        <v>3266</v>
      </c>
      <c r="E546" s="73">
        <v>0.14000000000000001</v>
      </c>
      <c r="F546" s="42">
        <v>0</v>
      </c>
      <c r="G546" s="42">
        <f t="shared" si="8"/>
        <v>0.14000000000000001</v>
      </c>
      <c r="H546" s="2" t="str">
        <f>VLOOKUP(A546,'TB JUNE'!A:H,8,0)</f>
        <v>Not Applicable</v>
      </c>
    </row>
    <row r="547" spans="1:8" hidden="1">
      <c r="A547" s="62" t="s">
        <v>1451</v>
      </c>
      <c r="B547" s="73">
        <v>-330.4</v>
      </c>
      <c r="C547" s="73"/>
      <c r="D547" s="73"/>
      <c r="E547" s="73">
        <v>-330.4</v>
      </c>
      <c r="F547" s="42">
        <v>0</v>
      </c>
      <c r="G547" s="42">
        <f t="shared" si="8"/>
        <v>-330.4</v>
      </c>
      <c r="H547" s="2" t="str">
        <f>VLOOKUP(A547,'TB JUNE'!A:H,8,0)</f>
        <v>Not Applicable</v>
      </c>
    </row>
    <row r="548" spans="1:8" hidden="1">
      <c r="A548" s="62" t="s">
        <v>520</v>
      </c>
      <c r="B548" s="73">
        <v>-8153</v>
      </c>
      <c r="C548" s="73">
        <v>8153</v>
      </c>
      <c r="D548" s="73"/>
      <c r="E548" s="73"/>
      <c r="F548" s="42">
        <v>0</v>
      </c>
      <c r="G548" s="42">
        <f t="shared" si="8"/>
        <v>0</v>
      </c>
      <c r="H548" s="2" t="str">
        <f>VLOOKUP(A548,'TB JUNE'!A:H,8,0)</f>
        <v>Not Applicable</v>
      </c>
    </row>
    <row r="549" spans="1:8" hidden="1">
      <c r="A549" s="62" t="s">
        <v>1016</v>
      </c>
      <c r="B549" s="73">
        <v>29517.8</v>
      </c>
      <c r="C549" s="73"/>
      <c r="D549" s="73">
        <v>25618</v>
      </c>
      <c r="E549" s="73">
        <v>3899.8</v>
      </c>
      <c r="F549" s="42">
        <v>0</v>
      </c>
      <c r="G549" s="42">
        <f t="shared" si="8"/>
        <v>3899.8</v>
      </c>
      <c r="H549" s="2" t="str">
        <f>VLOOKUP(A549,'TB JUNE'!A:H,8,0)</f>
        <v>Not Applicable</v>
      </c>
    </row>
    <row r="550" spans="1:8" hidden="1">
      <c r="A550" s="62" t="s">
        <v>1567</v>
      </c>
      <c r="B550" s="73"/>
      <c r="C550" s="73">
        <v>27848</v>
      </c>
      <c r="D550" s="73">
        <v>27848</v>
      </c>
      <c r="E550" s="73"/>
      <c r="F550" s="42">
        <v>0</v>
      </c>
      <c r="G550" s="42">
        <f t="shared" si="8"/>
        <v>0</v>
      </c>
      <c r="H550" s="2" t="str">
        <f>VLOOKUP(A550,'TB JUNE'!A:H,8,0)</f>
        <v>Not Applicable</v>
      </c>
    </row>
    <row r="551" spans="1:8" hidden="1">
      <c r="A551" s="62" t="s">
        <v>512</v>
      </c>
      <c r="B551" s="73"/>
      <c r="C551" s="73"/>
      <c r="D551" s="73"/>
      <c r="E551" s="73"/>
      <c r="F551" s="42">
        <v>0</v>
      </c>
      <c r="G551" s="42">
        <f t="shared" si="8"/>
        <v>0</v>
      </c>
      <c r="H551" s="2" t="s">
        <v>84</v>
      </c>
    </row>
    <row r="552" spans="1:8" hidden="1">
      <c r="A552" s="62" t="s">
        <v>857</v>
      </c>
      <c r="B552" s="73">
        <v>-110405</v>
      </c>
      <c r="C552" s="73">
        <v>185513.62</v>
      </c>
      <c r="D552" s="73">
        <v>114484</v>
      </c>
      <c r="E552" s="73">
        <v>-39375.379999999997</v>
      </c>
      <c r="F552" s="42">
        <v>0</v>
      </c>
      <c r="G552" s="42">
        <f t="shared" si="8"/>
        <v>-39375.379999999997</v>
      </c>
      <c r="H552" s="2" t="str">
        <f>VLOOKUP(A552,'TB JUNE'!A:H,8,0)</f>
        <v>Not Applicable</v>
      </c>
    </row>
    <row r="553" spans="1:8" hidden="1">
      <c r="A553" s="62" t="s">
        <v>1118</v>
      </c>
      <c r="B553" s="73">
        <v>-41712.94</v>
      </c>
      <c r="C553" s="73">
        <v>227360</v>
      </c>
      <c r="D553" s="73">
        <v>213706</v>
      </c>
      <c r="E553" s="73">
        <v>-28058.94</v>
      </c>
      <c r="F553" s="42">
        <v>0</v>
      </c>
      <c r="G553" s="42">
        <f t="shared" si="8"/>
        <v>-28058.94</v>
      </c>
      <c r="H553" s="2" t="str">
        <f>VLOOKUP(A553,'TB JUNE'!A:H,8,0)</f>
        <v>Not Applicable</v>
      </c>
    </row>
    <row r="554" spans="1:8" hidden="1">
      <c r="A554" s="62" t="s">
        <v>493</v>
      </c>
      <c r="B554" s="73"/>
      <c r="C554" s="73"/>
      <c r="D554" s="73"/>
      <c r="E554" s="73"/>
      <c r="F554" s="42">
        <v>0</v>
      </c>
      <c r="G554" s="42">
        <f t="shared" si="8"/>
        <v>0</v>
      </c>
      <c r="H554" s="2" t="s">
        <v>84</v>
      </c>
    </row>
    <row r="555" spans="1:8" hidden="1">
      <c r="A555" s="62" t="s">
        <v>484</v>
      </c>
      <c r="B555" s="73">
        <v>-18145.099999999999</v>
      </c>
      <c r="C555" s="73">
        <v>18145.099999999999</v>
      </c>
      <c r="D555" s="73"/>
      <c r="E555" s="73"/>
      <c r="F555" s="42">
        <v>0</v>
      </c>
      <c r="G555" s="42">
        <f t="shared" si="8"/>
        <v>0</v>
      </c>
      <c r="H555" s="2" t="str">
        <f>VLOOKUP(A555,'TB JUNE'!A:H,8,0)</f>
        <v>Not Applicable</v>
      </c>
    </row>
    <row r="556" spans="1:8" hidden="1">
      <c r="A556" s="62" t="s">
        <v>1453</v>
      </c>
      <c r="B556" s="73"/>
      <c r="C556" s="73"/>
      <c r="D556" s="73"/>
      <c r="E556" s="73"/>
      <c r="F556" s="42">
        <v>0</v>
      </c>
      <c r="G556" s="42">
        <f t="shared" si="8"/>
        <v>0</v>
      </c>
      <c r="H556" s="2" t="str">
        <f>VLOOKUP(A556,'TB JUNE'!A:H,8,0)</f>
        <v>Not Applicable</v>
      </c>
    </row>
    <row r="557" spans="1:8" hidden="1">
      <c r="A557" s="62" t="s">
        <v>481</v>
      </c>
      <c r="B557" s="73">
        <v>-466.6</v>
      </c>
      <c r="C557" s="73">
        <v>4578</v>
      </c>
      <c r="D557" s="73">
        <v>2478</v>
      </c>
      <c r="E557" s="73">
        <v>1633.4</v>
      </c>
      <c r="F557" s="42">
        <v>0</v>
      </c>
      <c r="G557" s="42">
        <f t="shared" si="8"/>
        <v>1633.4</v>
      </c>
      <c r="H557" s="2" t="str">
        <f>VLOOKUP(A557,'TB JUNE'!A:H,8,0)</f>
        <v>Not Applicable</v>
      </c>
    </row>
    <row r="558" spans="1:8" hidden="1">
      <c r="A558" s="62" t="s">
        <v>475</v>
      </c>
      <c r="B558" s="73"/>
      <c r="C558" s="73">
        <v>4248</v>
      </c>
      <c r="D558" s="73">
        <v>4248</v>
      </c>
      <c r="E558" s="73"/>
      <c r="F558" s="42">
        <v>0</v>
      </c>
      <c r="G558" s="42">
        <f t="shared" si="8"/>
        <v>0</v>
      </c>
      <c r="H558" s="2" t="str">
        <f>VLOOKUP(A558,'TB JUNE'!A:H,8,0)</f>
        <v>Not Applicable</v>
      </c>
    </row>
    <row r="559" spans="1:8" hidden="1">
      <c r="A559" s="62" t="s">
        <v>466</v>
      </c>
      <c r="B559" s="73"/>
      <c r="C559" s="73">
        <v>23388</v>
      </c>
      <c r="D559" s="73">
        <v>23388</v>
      </c>
      <c r="E559" s="73"/>
      <c r="F559" s="42">
        <v>0</v>
      </c>
      <c r="G559" s="42">
        <f t="shared" si="8"/>
        <v>0</v>
      </c>
      <c r="H559" s="2" t="str">
        <f>VLOOKUP(A559,'TB JUNE'!A:H,8,0)</f>
        <v>Not Applicable</v>
      </c>
    </row>
    <row r="560" spans="1:8" hidden="1">
      <c r="A560" s="62" t="s">
        <v>467</v>
      </c>
      <c r="B560" s="73">
        <v>-3363</v>
      </c>
      <c r="C560" s="73">
        <v>30055</v>
      </c>
      <c r="D560" s="73">
        <v>26692</v>
      </c>
      <c r="E560" s="73"/>
      <c r="F560" s="42">
        <v>0</v>
      </c>
      <c r="G560" s="42">
        <f t="shared" si="8"/>
        <v>0</v>
      </c>
      <c r="H560" s="2" t="str">
        <f>VLOOKUP(A560,'TB JUNE'!A:H,8,0)</f>
        <v>Not Applicable</v>
      </c>
    </row>
    <row r="561" spans="1:8" hidden="1">
      <c r="A561" s="62" t="s">
        <v>868</v>
      </c>
      <c r="B561" s="73">
        <v>-16992</v>
      </c>
      <c r="C561" s="73"/>
      <c r="D561" s="73"/>
      <c r="E561" s="73">
        <v>-16992</v>
      </c>
      <c r="F561" s="42">
        <v>0</v>
      </c>
      <c r="G561" s="42">
        <f t="shared" si="8"/>
        <v>-16992</v>
      </c>
      <c r="H561" s="2" t="str">
        <f>VLOOKUP(A561,'TB JUNE'!A:H,8,0)</f>
        <v>Not Applicable</v>
      </c>
    </row>
    <row r="562" spans="1:8" hidden="1">
      <c r="A562" s="62" t="s">
        <v>1037</v>
      </c>
      <c r="B562" s="73"/>
      <c r="C562" s="73">
        <v>24898</v>
      </c>
      <c r="D562" s="73">
        <v>24898</v>
      </c>
      <c r="E562" s="73"/>
      <c r="F562" s="42">
        <v>0</v>
      </c>
      <c r="G562" s="42">
        <f t="shared" si="8"/>
        <v>0</v>
      </c>
      <c r="H562" s="2" t="str">
        <f>VLOOKUP(A562,'TB JUNE'!A:H,8,0)</f>
        <v>Not Applicable</v>
      </c>
    </row>
    <row r="563" spans="1:8" hidden="1">
      <c r="A563" s="62" t="s">
        <v>897</v>
      </c>
      <c r="B563" s="73">
        <v>118.8</v>
      </c>
      <c r="C563" s="73"/>
      <c r="D563" s="73"/>
      <c r="E563" s="73">
        <v>118.8</v>
      </c>
      <c r="F563" s="42">
        <v>0</v>
      </c>
      <c r="G563" s="42">
        <f t="shared" si="8"/>
        <v>118.8</v>
      </c>
      <c r="H563" s="2" t="str">
        <f>VLOOKUP(A563,'TB JUNE'!A:H,8,0)</f>
        <v>Not Applicable</v>
      </c>
    </row>
    <row r="564" spans="1:8" hidden="1">
      <c r="A564" s="62" t="s">
        <v>1217</v>
      </c>
      <c r="B564" s="73">
        <v>-51715</v>
      </c>
      <c r="C564" s="73">
        <v>51715</v>
      </c>
      <c r="D564" s="73">
        <v>5310</v>
      </c>
      <c r="E564" s="73">
        <v>-5310</v>
      </c>
      <c r="F564" s="42">
        <v>0</v>
      </c>
      <c r="G564" s="42">
        <f t="shared" si="8"/>
        <v>-5310</v>
      </c>
      <c r="H564" s="2" t="str">
        <f>VLOOKUP(A564,'TB JUNE'!A:H,8,0)</f>
        <v>Not Applicable</v>
      </c>
    </row>
    <row r="565" spans="1:8" hidden="1">
      <c r="A565" s="62" t="s">
        <v>1604</v>
      </c>
      <c r="B565" s="73"/>
      <c r="C565" s="73">
        <v>19505.400000000001</v>
      </c>
      <c r="D565" s="73">
        <v>19328</v>
      </c>
      <c r="E565" s="73">
        <v>177.4</v>
      </c>
      <c r="F565" s="42">
        <v>0</v>
      </c>
      <c r="G565" s="42">
        <f t="shared" si="8"/>
        <v>177.4</v>
      </c>
      <c r="H565" s="2" t="s">
        <v>84</v>
      </c>
    </row>
    <row r="566" spans="1:8" hidden="1">
      <c r="A566" s="62" t="s">
        <v>459</v>
      </c>
      <c r="B566" s="73">
        <v>-14300</v>
      </c>
      <c r="C566" s="73">
        <v>14300</v>
      </c>
      <c r="D566" s="73"/>
      <c r="E566" s="73"/>
      <c r="F566" s="42">
        <v>0</v>
      </c>
      <c r="G566" s="42">
        <f t="shared" si="8"/>
        <v>0</v>
      </c>
      <c r="H566" s="2" t="str">
        <f>VLOOKUP(A566,'TB JUNE'!A:H,8,0)</f>
        <v>Not Applicable</v>
      </c>
    </row>
    <row r="567" spans="1:8" hidden="1">
      <c r="A567" s="62" t="s">
        <v>1454</v>
      </c>
      <c r="B567" s="73"/>
      <c r="C567" s="73">
        <v>1309.8</v>
      </c>
      <c r="D567" s="73">
        <v>1309.8</v>
      </c>
      <c r="E567" s="73"/>
      <c r="F567" s="42">
        <v>0</v>
      </c>
      <c r="G567" s="42">
        <f t="shared" si="8"/>
        <v>0</v>
      </c>
      <c r="H567" s="2" t="str">
        <f>VLOOKUP(A567,'TB JUNE'!A:H,8,0)</f>
        <v>Not Applicable</v>
      </c>
    </row>
    <row r="568" spans="1:8" hidden="1">
      <c r="A568" s="62" t="s">
        <v>1455</v>
      </c>
      <c r="B568" s="73"/>
      <c r="C568" s="73"/>
      <c r="D568" s="73"/>
      <c r="E568" s="73"/>
      <c r="F568" s="42">
        <v>0</v>
      </c>
      <c r="G568" s="42">
        <f t="shared" si="8"/>
        <v>0</v>
      </c>
      <c r="H568" s="2" t="str">
        <f>VLOOKUP(A568,'TB JUNE'!A:H,8,0)</f>
        <v>Not Applicable</v>
      </c>
    </row>
    <row r="569" spans="1:8" hidden="1">
      <c r="A569" s="62" t="s">
        <v>409</v>
      </c>
      <c r="B569" s="73"/>
      <c r="C569" s="73">
        <v>23930</v>
      </c>
      <c r="D569" s="73">
        <v>23930</v>
      </c>
      <c r="E569" s="73"/>
      <c r="F569" s="42">
        <v>0</v>
      </c>
      <c r="G569" s="42">
        <f t="shared" si="8"/>
        <v>0</v>
      </c>
      <c r="H569" s="2" t="str">
        <f>VLOOKUP(A569,'TB JUNE'!A:H,8,0)</f>
        <v>Not Applicable</v>
      </c>
    </row>
    <row r="570" spans="1:8" hidden="1">
      <c r="A570" s="62" t="s">
        <v>978</v>
      </c>
      <c r="B570" s="73">
        <v>-8198</v>
      </c>
      <c r="C570" s="73"/>
      <c r="D570" s="73"/>
      <c r="E570" s="73">
        <v>-8198</v>
      </c>
      <c r="F570" s="42">
        <v>0</v>
      </c>
      <c r="G570" s="42">
        <f t="shared" si="8"/>
        <v>-8198</v>
      </c>
      <c r="H570" s="2" t="str">
        <f>VLOOKUP(A570,'TB JUNE'!A:H,8,0)</f>
        <v>Not Applicable</v>
      </c>
    </row>
    <row r="571" spans="1:8" hidden="1">
      <c r="A571" s="62" t="s">
        <v>453</v>
      </c>
      <c r="B571" s="73">
        <v>-315182</v>
      </c>
      <c r="C571" s="73">
        <v>730744</v>
      </c>
      <c r="D571" s="73">
        <v>653675</v>
      </c>
      <c r="E571" s="73">
        <v>-238113</v>
      </c>
      <c r="F571" s="42">
        <v>0</v>
      </c>
      <c r="G571" s="42">
        <f t="shared" si="8"/>
        <v>-238113</v>
      </c>
      <c r="H571" s="2" t="str">
        <f>VLOOKUP(A571,'TB JUNE'!A:H,8,0)</f>
        <v>Not Applicable</v>
      </c>
    </row>
    <row r="572" spans="1:8" hidden="1">
      <c r="A572" s="62" t="s">
        <v>449</v>
      </c>
      <c r="B572" s="73">
        <v>-6136</v>
      </c>
      <c r="C572" s="73">
        <v>179</v>
      </c>
      <c r="D572" s="73">
        <v>179</v>
      </c>
      <c r="E572" s="73">
        <v>-6136</v>
      </c>
      <c r="F572" s="42">
        <v>0</v>
      </c>
      <c r="G572" s="42">
        <f t="shared" si="8"/>
        <v>-6136</v>
      </c>
      <c r="H572" s="2" t="str">
        <f>VLOOKUP(A572,'TB JUNE'!A:H,8,0)</f>
        <v>Not Applicable</v>
      </c>
    </row>
    <row r="573" spans="1:8" hidden="1">
      <c r="A573" s="62" t="s">
        <v>1096</v>
      </c>
      <c r="B573" s="73"/>
      <c r="C573" s="73"/>
      <c r="D573" s="73"/>
      <c r="E573" s="73"/>
      <c r="F573" s="42">
        <v>0</v>
      </c>
      <c r="G573" s="42">
        <f t="shared" si="8"/>
        <v>0</v>
      </c>
      <c r="H573" s="2" t="str">
        <f>VLOOKUP(A573,'TB JUNE'!A:H,8,0)</f>
        <v>Not Applicable</v>
      </c>
    </row>
    <row r="574" spans="1:8" hidden="1">
      <c r="A574" s="62" t="s">
        <v>450</v>
      </c>
      <c r="B574" s="73">
        <v>-4213</v>
      </c>
      <c r="C574" s="73">
        <v>32202.799999999999</v>
      </c>
      <c r="D574" s="73">
        <v>27989.8</v>
      </c>
      <c r="E574" s="73"/>
      <c r="F574" s="42">
        <v>0</v>
      </c>
      <c r="G574" s="42">
        <f t="shared" si="8"/>
        <v>0</v>
      </c>
      <c r="H574" s="2" t="str">
        <f>VLOOKUP(A574,'TB JUNE'!A:H,8,0)</f>
        <v>Not Applicable</v>
      </c>
    </row>
    <row r="575" spans="1:8" hidden="1">
      <c r="A575" s="62" t="s">
        <v>451</v>
      </c>
      <c r="B575" s="73">
        <v>-68735</v>
      </c>
      <c r="C575" s="73">
        <v>68735</v>
      </c>
      <c r="D575" s="73"/>
      <c r="E575" s="73"/>
      <c r="F575" s="42">
        <v>0</v>
      </c>
      <c r="G575" s="42">
        <f t="shared" si="8"/>
        <v>0</v>
      </c>
      <c r="H575" s="2" t="str">
        <f>VLOOKUP(A575,'TB JUNE'!A:H,8,0)</f>
        <v>Not Applicable</v>
      </c>
    </row>
    <row r="576" spans="1:8" hidden="1">
      <c r="A576" s="62" t="s">
        <v>452</v>
      </c>
      <c r="B576" s="73"/>
      <c r="C576" s="73">
        <v>9980.25</v>
      </c>
      <c r="D576" s="73">
        <v>9980.25</v>
      </c>
      <c r="E576" s="73"/>
      <c r="F576" s="42">
        <v>0</v>
      </c>
      <c r="G576" s="42">
        <f t="shared" si="8"/>
        <v>0</v>
      </c>
      <c r="H576" s="2" t="str">
        <f>VLOOKUP(A576,'TB JUNE'!A:H,8,0)</f>
        <v>Not Applicable</v>
      </c>
    </row>
    <row r="577" spans="1:8" hidden="1">
      <c r="A577" s="62" t="s">
        <v>435</v>
      </c>
      <c r="B577" s="73">
        <v>-2047</v>
      </c>
      <c r="C577" s="73"/>
      <c r="D577" s="73"/>
      <c r="E577" s="73">
        <v>-2047</v>
      </c>
      <c r="F577" s="42">
        <v>0</v>
      </c>
      <c r="G577" s="42">
        <f t="shared" si="8"/>
        <v>-2047</v>
      </c>
      <c r="H577" s="2" t="str">
        <f>VLOOKUP(A577,'TB JUNE'!A:H,8,0)</f>
        <v>Not Applicable</v>
      </c>
    </row>
    <row r="578" spans="1:8" hidden="1">
      <c r="A578" s="62" t="s">
        <v>1568</v>
      </c>
      <c r="B578" s="73"/>
      <c r="C578" s="73">
        <v>29</v>
      </c>
      <c r="D578" s="73">
        <v>3044</v>
      </c>
      <c r="E578" s="73">
        <v>-3015</v>
      </c>
      <c r="F578" s="42">
        <v>0</v>
      </c>
      <c r="G578" s="42">
        <f t="shared" si="8"/>
        <v>-3015</v>
      </c>
      <c r="H578" s="2" t="str">
        <f>VLOOKUP(A578,'TB JUNE'!A:H,8,0)</f>
        <v>Not Applicable</v>
      </c>
    </row>
    <row r="579" spans="1:8" hidden="1">
      <c r="A579" s="62" t="s">
        <v>439</v>
      </c>
      <c r="B579" s="73">
        <v>-200412.23</v>
      </c>
      <c r="C579" s="73">
        <v>65047.5</v>
      </c>
      <c r="D579" s="73">
        <v>50032</v>
      </c>
      <c r="E579" s="73">
        <v>-185396.73</v>
      </c>
      <c r="F579" s="42">
        <v>0</v>
      </c>
      <c r="G579" s="42">
        <f t="shared" si="8"/>
        <v>-185396.73</v>
      </c>
      <c r="H579" s="2" t="str">
        <f>VLOOKUP(A579,'TB JUNE'!A:H,8,0)</f>
        <v>Not Applicable</v>
      </c>
    </row>
    <row r="580" spans="1:8" hidden="1">
      <c r="A580" s="62" t="s">
        <v>440</v>
      </c>
      <c r="B580" s="73"/>
      <c r="C580" s="73"/>
      <c r="D580" s="73"/>
      <c r="E580" s="73"/>
      <c r="F580" s="42">
        <v>0</v>
      </c>
      <c r="G580" s="42">
        <f t="shared" si="8"/>
        <v>0</v>
      </c>
      <c r="H580" s="2" t="str">
        <f>VLOOKUP(A580,'TB JUNE'!A:H,8,0)</f>
        <v>Not Applicable</v>
      </c>
    </row>
    <row r="581" spans="1:8" hidden="1">
      <c r="A581" s="62" t="s">
        <v>1063</v>
      </c>
      <c r="B581" s="73">
        <v>0.14000000000000001</v>
      </c>
      <c r="C581" s="73"/>
      <c r="D581" s="73"/>
      <c r="E581" s="73">
        <v>0.14000000000000001</v>
      </c>
      <c r="F581" s="42">
        <v>0</v>
      </c>
      <c r="G581" s="42">
        <f t="shared" si="8"/>
        <v>0.14000000000000001</v>
      </c>
      <c r="H581" s="2" t="str">
        <f>VLOOKUP(A581,'TB JUNE'!A:H,8,0)</f>
        <v>Not Applicable</v>
      </c>
    </row>
    <row r="582" spans="1:8" hidden="1">
      <c r="A582" s="62" t="s">
        <v>1339</v>
      </c>
      <c r="B582" s="73">
        <v>-43660</v>
      </c>
      <c r="C582" s="73">
        <v>62835</v>
      </c>
      <c r="D582" s="73">
        <v>29795</v>
      </c>
      <c r="E582" s="73">
        <v>-10620</v>
      </c>
      <c r="F582" s="42">
        <v>0</v>
      </c>
      <c r="G582" s="42">
        <f t="shared" ref="G582:G645" si="9">+E582+F582</f>
        <v>-10620</v>
      </c>
      <c r="H582" s="2" t="str">
        <f>VLOOKUP(A582,'TB JUNE'!A:H,8,0)</f>
        <v>Not Applicable</v>
      </c>
    </row>
    <row r="583" spans="1:8" hidden="1">
      <c r="A583" s="62" t="s">
        <v>432</v>
      </c>
      <c r="B583" s="73"/>
      <c r="C583" s="73"/>
      <c r="D583" s="73"/>
      <c r="E583" s="73"/>
      <c r="F583" s="42">
        <v>0</v>
      </c>
      <c r="G583" s="42">
        <f t="shared" si="9"/>
        <v>0</v>
      </c>
      <c r="H583" s="2" t="str">
        <f>VLOOKUP(A583,'TB JUNE'!A:H,8,0)</f>
        <v>Not Applicable</v>
      </c>
    </row>
    <row r="584" spans="1:8" hidden="1">
      <c r="A584" s="62" t="s">
        <v>427</v>
      </c>
      <c r="B584" s="73">
        <v>6938.4</v>
      </c>
      <c r="C584" s="73"/>
      <c r="D584" s="73">
        <v>6939</v>
      </c>
      <c r="E584" s="73">
        <v>-0.6</v>
      </c>
      <c r="F584" s="42">
        <v>0</v>
      </c>
      <c r="G584" s="42">
        <f t="shared" si="9"/>
        <v>-0.6</v>
      </c>
      <c r="H584" s="2" t="str">
        <f>VLOOKUP(A584,'TB JUNE'!A:H,8,0)</f>
        <v>Not Applicable</v>
      </c>
    </row>
    <row r="585" spans="1:8" hidden="1">
      <c r="A585" s="62" t="s">
        <v>429</v>
      </c>
      <c r="B585" s="73">
        <v>-47161</v>
      </c>
      <c r="C585" s="73">
        <v>46844</v>
      </c>
      <c r="D585" s="73">
        <v>47713</v>
      </c>
      <c r="E585" s="73">
        <v>-48030</v>
      </c>
      <c r="F585" s="42">
        <v>0</v>
      </c>
      <c r="G585" s="42">
        <f t="shared" si="9"/>
        <v>-48030</v>
      </c>
      <c r="H585" s="2" t="str">
        <f>VLOOKUP(A585,'TB JUNE'!A:H,8,0)</f>
        <v>Not Applicable</v>
      </c>
    </row>
    <row r="586" spans="1:8" hidden="1">
      <c r="A586" s="62" t="s">
        <v>1341</v>
      </c>
      <c r="B586" s="73">
        <v>-28261</v>
      </c>
      <c r="C586" s="73">
        <v>28261</v>
      </c>
      <c r="D586" s="73"/>
      <c r="E586" s="73"/>
      <c r="F586" s="42">
        <v>0</v>
      </c>
      <c r="G586" s="42">
        <f t="shared" si="9"/>
        <v>0</v>
      </c>
      <c r="H586" s="2" t="str">
        <f>VLOOKUP(A586,'TB JUNE'!A:H,8,0)</f>
        <v>Not Applicable</v>
      </c>
    </row>
    <row r="587" spans="1:8" hidden="1">
      <c r="A587" s="62" t="s">
        <v>424</v>
      </c>
      <c r="B587" s="73">
        <v>-40521</v>
      </c>
      <c r="C587" s="73">
        <v>51731</v>
      </c>
      <c r="D587" s="73">
        <v>82800</v>
      </c>
      <c r="E587" s="73">
        <v>-71590</v>
      </c>
      <c r="F587" s="42">
        <v>0</v>
      </c>
      <c r="G587" s="42">
        <f t="shared" si="9"/>
        <v>-71590</v>
      </c>
      <c r="H587" s="2" t="str">
        <f>VLOOKUP(A587,'TB JUNE'!A:H,8,0)</f>
        <v>Not Applicable</v>
      </c>
    </row>
    <row r="588" spans="1:8" hidden="1">
      <c r="A588" s="62" t="s">
        <v>1570</v>
      </c>
      <c r="B588" s="73"/>
      <c r="C588" s="73">
        <v>964</v>
      </c>
      <c r="D588" s="73">
        <v>964</v>
      </c>
      <c r="E588" s="73"/>
      <c r="F588" s="42">
        <v>0</v>
      </c>
      <c r="G588" s="42">
        <f t="shared" si="9"/>
        <v>0</v>
      </c>
      <c r="H588" s="2" t="str">
        <f>VLOOKUP(A588,'TB JUNE'!A:H,8,0)</f>
        <v>Not Applicable</v>
      </c>
    </row>
    <row r="589" spans="1:8" hidden="1">
      <c r="A589" s="62" t="s">
        <v>1013</v>
      </c>
      <c r="B589" s="73">
        <v>-1661730</v>
      </c>
      <c r="C589" s="73">
        <v>2808341.05</v>
      </c>
      <c r="D589" s="73">
        <v>2179386.5499999998</v>
      </c>
      <c r="E589" s="73">
        <v>-1032775.5</v>
      </c>
      <c r="F589" s="42">
        <v>0</v>
      </c>
      <c r="G589" s="42">
        <f t="shared" si="9"/>
        <v>-1032775.5</v>
      </c>
      <c r="H589" s="2" t="str">
        <f>VLOOKUP(A589,'TB JUNE'!A:H,8,0)</f>
        <v>Not Applicable</v>
      </c>
    </row>
    <row r="590" spans="1:8" hidden="1">
      <c r="A590" s="62" t="s">
        <v>949</v>
      </c>
      <c r="B590" s="73"/>
      <c r="C590" s="73"/>
      <c r="D590" s="73">
        <v>12508</v>
      </c>
      <c r="E590" s="73">
        <v>-12508</v>
      </c>
      <c r="F590" s="42">
        <v>0</v>
      </c>
      <c r="G590" s="42">
        <f t="shared" si="9"/>
        <v>-12508</v>
      </c>
      <c r="H590" s="2" t="s">
        <v>84</v>
      </c>
    </row>
    <row r="591" spans="1:8" hidden="1">
      <c r="A591" s="62" t="s">
        <v>1456</v>
      </c>
      <c r="B591" s="73"/>
      <c r="C591" s="73">
        <v>13122</v>
      </c>
      <c r="D591" s="73">
        <v>13122</v>
      </c>
      <c r="E591" s="73"/>
      <c r="F591" s="42">
        <v>0</v>
      </c>
      <c r="G591" s="42">
        <f t="shared" si="9"/>
        <v>0</v>
      </c>
      <c r="H591" s="2" t="str">
        <f>VLOOKUP(A591,'TB JUNE'!A:H,8,0)</f>
        <v>Not Applicable</v>
      </c>
    </row>
    <row r="592" spans="1:8" hidden="1">
      <c r="A592" s="62" t="s">
        <v>422</v>
      </c>
      <c r="B592" s="73"/>
      <c r="C592" s="73"/>
      <c r="D592" s="73"/>
      <c r="E592" s="73"/>
      <c r="F592" s="42">
        <v>0</v>
      </c>
      <c r="G592" s="42">
        <f t="shared" si="9"/>
        <v>0</v>
      </c>
      <c r="H592" s="2" t="s">
        <v>84</v>
      </c>
    </row>
    <row r="593" spans="1:8" hidden="1">
      <c r="A593" s="62" t="s">
        <v>1115</v>
      </c>
      <c r="B593" s="73">
        <v>-127436</v>
      </c>
      <c r="C593" s="73">
        <v>361016</v>
      </c>
      <c r="D593" s="73">
        <v>517795</v>
      </c>
      <c r="E593" s="73">
        <v>-284215</v>
      </c>
      <c r="F593" s="42">
        <v>0</v>
      </c>
      <c r="G593" s="42">
        <f t="shared" si="9"/>
        <v>-284215</v>
      </c>
      <c r="H593" s="2" t="str">
        <f>VLOOKUP(A593,'TB JUNE'!A:H,8,0)</f>
        <v>Not Applicable</v>
      </c>
    </row>
    <row r="594" spans="1:8" hidden="1">
      <c r="A594" s="62" t="s">
        <v>1457</v>
      </c>
      <c r="B594" s="73">
        <v>-25648</v>
      </c>
      <c r="C594" s="73">
        <v>26344</v>
      </c>
      <c r="D594" s="73">
        <v>2950</v>
      </c>
      <c r="E594" s="73">
        <v>-2254</v>
      </c>
      <c r="F594" s="42">
        <v>0</v>
      </c>
      <c r="G594" s="42">
        <f t="shared" si="9"/>
        <v>-2254</v>
      </c>
      <c r="H594" s="2" t="str">
        <f>VLOOKUP(A594,'TB JUNE'!A:H,8,0)</f>
        <v>Not Applicable</v>
      </c>
    </row>
    <row r="595" spans="1:8" hidden="1">
      <c r="A595" s="62" t="s">
        <v>415</v>
      </c>
      <c r="B595" s="73">
        <v>-35754</v>
      </c>
      <c r="C595" s="73">
        <v>40262</v>
      </c>
      <c r="D595" s="73">
        <v>4508</v>
      </c>
      <c r="E595" s="73"/>
      <c r="F595" s="42">
        <v>0</v>
      </c>
      <c r="G595" s="42">
        <f t="shared" si="9"/>
        <v>0</v>
      </c>
      <c r="H595" s="2" t="str">
        <f>VLOOKUP(A595,'TB JUNE'!A:H,8,0)</f>
        <v>Not Applicable</v>
      </c>
    </row>
    <row r="596" spans="1:8" hidden="1">
      <c r="A596" s="62" t="s">
        <v>1516</v>
      </c>
      <c r="B596" s="73"/>
      <c r="C596" s="73">
        <v>6490</v>
      </c>
      <c r="D596" s="73">
        <v>6490</v>
      </c>
      <c r="E596" s="73"/>
      <c r="F596" s="42">
        <v>0</v>
      </c>
      <c r="G596" s="42">
        <f t="shared" si="9"/>
        <v>0</v>
      </c>
      <c r="H596" s="2" t="str">
        <f>VLOOKUP(A596,'TB JUNE'!A:H,8,0)</f>
        <v>Not Applicable</v>
      </c>
    </row>
    <row r="597" spans="1:8" hidden="1">
      <c r="A597" s="62" t="s">
        <v>1322</v>
      </c>
      <c r="B597" s="73"/>
      <c r="C597" s="73"/>
      <c r="D597" s="73"/>
      <c r="E597" s="73"/>
      <c r="F597" s="42">
        <v>0</v>
      </c>
      <c r="G597" s="42">
        <f t="shared" si="9"/>
        <v>0</v>
      </c>
      <c r="H597" s="2" t="str">
        <f>VLOOKUP(A597,'TB JUNE'!A:H,8,0)</f>
        <v>Not Applicable</v>
      </c>
    </row>
    <row r="598" spans="1:8" hidden="1">
      <c r="A598" s="62" t="s">
        <v>1352</v>
      </c>
      <c r="B598" s="73">
        <v>-13405</v>
      </c>
      <c r="C598" s="73">
        <v>55185</v>
      </c>
      <c r="D598" s="73">
        <v>58960</v>
      </c>
      <c r="E598" s="73">
        <v>-17180</v>
      </c>
      <c r="F598" s="42">
        <v>0</v>
      </c>
      <c r="G598" s="42">
        <f t="shared" si="9"/>
        <v>-17180</v>
      </c>
      <c r="H598" s="2" t="str">
        <f>VLOOKUP(A598,'TB JUNE'!A:H,8,0)</f>
        <v>Not Applicable</v>
      </c>
    </row>
    <row r="599" spans="1:8" hidden="1">
      <c r="A599" s="62" t="s">
        <v>1458</v>
      </c>
      <c r="B599" s="73"/>
      <c r="C599" s="73">
        <v>26550</v>
      </c>
      <c r="D599" s="73">
        <v>26550</v>
      </c>
      <c r="E599" s="73"/>
      <c r="F599" s="42">
        <v>0</v>
      </c>
      <c r="G599" s="42">
        <f t="shared" si="9"/>
        <v>0</v>
      </c>
      <c r="H599" s="2" t="str">
        <f>VLOOKUP(A599,'TB JUNE'!A:H,8,0)</f>
        <v>Not Applicable</v>
      </c>
    </row>
    <row r="600" spans="1:8" hidden="1">
      <c r="A600" s="62" t="s">
        <v>408</v>
      </c>
      <c r="B600" s="73">
        <v>-5334</v>
      </c>
      <c r="C600" s="73">
        <v>115360</v>
      </c>
      <c r="D600" s="73">
        <v>110026</v>
      </c>
      <c r="E600" s="73"/>
      <c r="F600" s="42">
        <v>0</v>
      </c>
      <c r="G600" s="42">
        <f t="shared" si="9"/>
        <v>0</v>
      </c>
      <c r="H600" s="2" t="str">
        <f>VLOOKUP(A600,'TB JUNE'!A:H,8,0)</f>
        <v>Not Applicable</v>
      </c>
    </row>
    <row r="601" spans="1:8" hidden="1">
      <c r="A601" s="62" t="s">
        <v>407</v>
      </c>
      <c r="B601" s="73">
        <v>-61931.199999999997</v>
      </c>
      <c r="C601" s="73">
        <v>61931</v>
      </c>
      <c r="D601" s="73">
        <v>31565</v>
      </c>
      <c r="E601" s="73">
        <v>-31565.200000000001</v>
      </c>
      <c r="F601" s="42">
        <v>0</v>
      </c>
      <c r="G601" s="42">
        <f t="shared" si="9"/>
        <v>-31565.200000000001</v>
      </c>
      <c r="H601" s="2" t="str">
        <f>VLOOKUP(A601,'TB JUNE'!A:H,8,0)</f>
        <v>Not Applicable</v>
      </c>
    </row>
    <row r="602" spans="1:8" hidden="1">
      <c r="A602" s="62" t="s">
        <v>1459</v>
      </c>
      <c r="B602" s="73">
        <v>3009</v>
      </c>
      <c r="C602" s="73"/>
      <c r="D602" s="73"/>
      <c r="E602" s="73">
        <v>3009</v>
      </c>
      <c r="F602" s="42">
        <v>0</v>
      </c>
      <c r="G602" s="42">
        <f t="shared" si="9"/>
        <v>3009</v>
      </c>
      <c r="H602" s="2" t="str">
        <f>VLOOKUP(A602,'TB JUNE'!A:H,8,0)</f>
        <v>Not Applicable</v>
      </c>
    </row>
    <row r="603" spans="1:8" hidden="1">
      <c r="A603" s="62" t="s">
        <v>367</v>
      </c>
      <c r="B603" s="73">
        <v>-1204</v>
      </c>
      <c r="C603" s="73"/>
      <c r="D603" s="73"/>
      <c r="E603" s="73">
        <v>-1204</v>
      </c>
      <c r="F603" s="42">
        <v>0</v>
      </c>
      <c r="G603" s="42">
        <f t="shared" si="9"/>
        <v>-1204</v>
      </c>
      <c r="H603" s="2" t="str">
        <f>VLOOKUP(A603,'TB JUNE'!A:H,8,0)</f>
        <v>Not Applicable</v>
      </c>
    </row>
    <row r="604" spans="1:8" hidden="1">
      <c r="A604" s="62" t="s">
        <v>877</v>
      </c>
      <c r="B604" s="73"/>
      <c r="C604" s="73"/>
      <c r="D604" s="73">
        <v>40425</v>
      </c>
      <c r="E604" s="73">
        <v>-40425</v>
      </c>
      <c r="F604" s="42">
        <v>0</v>
      </c>
      <c r="G604" s="42">
        <f t="shared" si="9"/>
        <v>-40425</v>
      </c>
      <c r="H604" s="2" t="str">
        <f>VLOOKUP(A604,'TB JUNE'!A:H,8,0)</f>
        <v>Not Applicable</v>
      </c>
    </row>
    <row r="605" spans="1:8" hidden="1">
      <c r="A605" s="62" t="s">
        <v>1460</v>
      </c>
      <c r="B605" s="73"/>
      <c r="C605" s="73"/>
      <c r="D605" s="73"/>
      <c r="E605" s="73"/>
      <c r="F605" s="42">
        <v>0</v>
      </c>
      <c r="G605" s="42">
        <f t="shared" si="9"/>
        <v>0</v>
      </c>
      <c r="H605" s="2" t="s">
        <v>84</v>
      </c>
    </row>
    <row r="606" spans="1:8" hidden="1">
      <c r="A606" s="62" t="s">
        <v>1605</v>
      </c>
      <c r="B606" s="73"/>
      <c r="C606" s="73">
        <v>521720</v>
      </c>
      <c r="D606" s="73">
        <v>715667</v>
      </c>
      <c r="E606" s="73">
        <v>-193947</v>
      </c>
      <c r="F606" s="42">
        <v>0</v>
      </c>
      <c r="G606" s="42">
        <f t="shared" si="9"/>
        <v>-193947</v>
      </c>
      <c r="H606" s="2" t="s">
        <v>84</v>
      </c>
    </row>
    <row r="607" spans="1:8" hidden="1">
      <c r="A607" s="62" t="s">
        <v>1001</v>
      </c>
      <c r="B607" s="73"/>
      <c r="C607" s="73">
        <v>41040</v>
      </c>
      <c r="D607" s="73">
        <v>49560</v>
      </c>
      <c r="E607" s="73">
        <v>-8520</v>
      </c>
      <c r="F607" s="42">
        <v>0</v>
      </c>
      <c r="G607" s="42">
        <f t="shared" si="9"/>
        <v>-8520</v>
      </c>
      <c r="H607" s="2" t="str">
        <f>VLOOKUP(A607,'TB JUNE'!A:H,8,0)</f>
        <v>Not Applicable</v>
      </c>
    </row>
    <row r="608" spans="1:8" hidden="1">
      <c r="A608" s="62" t="s">
        <v>405</v>
      </c>
      <c r="B608" s="73">
        <v>-25491</v>
      </c>
      <c r="C608" s="73">
        <v>149731</v>
      </c>
      <c r="D608" s="73">
        <v>124240</v>
      </c>
      <c r="E608" s="73"/>
      <c r="F608" s="42">
        <v>0</v>
      </c>
      <c r="G608" s="42">
        <f t="shared" si="9"/>
        <v>0</v>
      </c>
      <c r="H608" s="2" t="str">
        <f>VLOOKUP(A608,'TB JUNE'!A:H,8,0)</f>
        <v>Not Applicable</v>
      </c>
    </row>
    <row r="609" spans="1:8" hidden="1">
      <c r="A609" s="62" t="s">
        <v>406</v>
      </c>
      <c r="B609" s="73"/>
      <c r="C609" s="73"/>
      <c r="D609" s="73"/>
      <c r="E609" s="73"/>
      <c r="F609" s="42">
        <v>0</v>
      </c>
      <c r="G609" s="42">
        <f t="shared" si="9"/>
        <v>0</v>
      </c>
      <c r="H609" s="2" t="str">
        <f>VLOOKUP(A609,'TB JUNE'!A:H,8,0)</f>
        <v>Not Applicable</v>
      </c>
    </row>
    <row r="610" spans="1:8" hidden="1">
      <c r="A610" s="62" t="s">
        <v>1606</v>
      </c>
      <c r="B610" s="73"/>
      <c r="C610" s="73"/>
      <c r="D610" s="73">
        <v>6300</v>
      </c>
      <c r="E610" s="73">
        <v>-6300</v>
      </c>
      <c r="F610" s="42">
        <v>0</v>
      </c>
      <c r="G610" s="42">
        <f t="shared" si="9"/>
        <v>-6300</v>
      </c>
      <c r="H610" s="2" t="s">
        <v>84</v>
      </c>
    </row>
    <row r="611" spans="1:8" hidden="1">
      <c r="A611" s="62" t="s">
        <v>1571</v>
      </c>
      <c r="B611" s="73"/>
      <c r="C611" s="73"/>
      <c r="D611" s="73">
        <v>5515</v>
      </c>
      <c r="E611" s="73">
        <v>-5515</v>
      </c>
      <c r="F611" s="42">
        <v>0</v>
      </c>
      <c r="G611" s="42">
        <f t="shared" si="9"/>
        <v>-5515</v>
      </c>
      <c r="H611" s="2" t="str">
        <f>VLOOKUP(A611,'TB JUNE'!A:H,8,0)</f>
        <v>Not Applicable</v>
      </c>
    </row>
    <row r="612" spans="1:8" hidden="1">
      <c r="A612" s="62" t="s">
        <v>404</v>
      </c>
      <c r="B612" s="73">
        <v>-491128</v>
      </c>
      <c r="C612" s="73">
        <v>748840</v>
      </c>
      <c r="D612" s="73">
        <v>1050920</v>
      </c>
      <c r="E612" s="73">
        <v>-793208</v>
      </c>
      <c r="F612" s="42">
        <v>0</v>
      </c>
      <c r="G612" s="42">
        <f t="shared" si="9"/>
        <v>-793208</v>
      </c>
      <c r="H612" s="2" t="str">
        <f>VLOOKUP(A612,'TB JUNE'!A:H,8,0)</f>
        <v>Not Applicable</v>
      </c>
    </row>
    <row r="613" spans="1:8" hidden="1">
      <c r="A613" s="62" t="s">
        <v>1165</v>
      </c>
      <c r="B613" s="73"/>
      <c r="C613" s="73"/>
      <c r="D613" s="73">
        <v>17110</v>
      </c>
      <c r="E613" s="73">
        <v>-17110</v>
      </c>
      <c r="F613" s="42">
        <v>0</v>
      </c>
      <c r="G613" s="42">
        <f t="shared" si="9"/>
        <v>-17110</v>
      </c>
      <c r="H613" s="2" t="s">
        <v>84</v>
      </c>
    </row>
    <row r="614" spans="1:8" hidden="1">
      <c r="A614" s="62" t="s">
        <v>389</v>
      </c>
      <c r="B614" s="73">
        <v>-10631</v>
      </c>
      <c r="C614" s="73"/>
      <c r="D614" s="73"/>
      <c r="E614" s="73">
        <v>-10631</v>
      </c>
      <c r="F614" s="42">
        <v>0</v>
      </c>
      <c r="G614" s="42">
        <f t="shared" si="9"/>
        <v>-10631</v>
      </c>
      <c r="H614" s="2" t="str">
        <f>VLOOKUP(A614,'TB JUNE'!A:H,8,0)</f>
        <v>Not Applicable</v>
      </c>
    </row>
    <row r="615" spans="1:8" hidden="1">
      <c r="A615" s="62" t="s">
        <v>384</v>
      </c>
      <c r="B615" s="73"/>
      <c r="C615" s="73"/>
      <c r="D615" s="73"/>
      <c r="E615" s="73"/>
      <c r="F615" s="42">
        <v>0</v>
      </c>
      <c r="G615" s="42">
        <f t="shared" si="9"/>
        <v>0</v>
      </c>
      <c r="H615" s="2" t="str">
        <f>VLOOKUP(A615,'TB JUNE'!A:H,8,0)</f>
        <v>Not Applicable</v>
      </c>
    </row>
    <row r="616" spans="1:8" hidden="1">
      <c r="A616" s="62" t="s">
        <v>386</v>
      </c>
      <c r="B616" s="73">
        <v>-2491.02</v>
      </c>
      <c r="C616" s="73">
        <v>37317</v>
      </c>
      <c r="D616" s="73">
        <v>34826</v>
      </c>
      <c r="E616" s="73">
        <v>-0.02</v>
      </c>
      <c r="F616" s="42">
        <v>0</v>
      </c>
      <c r="G616" s="42">
        <f t="shared" si="9"/>
        <v>-0.02</v>
      </c>
      <c r="H616" s="2" t="str">
        <f>VLOOKUP(A616,'TB JUNE'!A:H,8,0)</f>
        <v>Not Applicable</v>
      </c>
    </row>
    <row r="617" spans="1:8" hidden="1">
      <c r="A617" s="62" t="s">
        <v>387</v>
      </c>
      <c r="B617" s="73">
        <v>-33672</v>
      </c>
      <c r="C617" s="73">
        <v>37910</v>
      </c>
      <c r="D617" s="73">
        <v>4238</v>
      </c>
      <c r="E617" s="73"/>
      <c r="F617" s="42">
        <v>0</v>
      </c>
      <c r="G617" s="42">
        <f t="shared" si="9"/>
        <v>0</v>
      </c>
      <c r="H617" s="2" t="str">
        <f>VLOOKUP(A617,'TB JUNE'!A:H,8,0)</f>
        <v>Not Applicable</v>
      </c>
    </row>
    <row r="618" spans="1:8" hidden="1">
      <c r="A618" s="62" t="s">
        <v>1572</v>
      </c>
      <c r="B618" s="73"/>
      <c r="C618" s="73"/>
      <c r="D618" s="73">
        <v>63014</v>
      </c>
      <c r="E618" s="73">
        <v>-63014</v>
      </c>
      <c r="F618" s="42">
        <v>0</v>
      </c>
      <c r="G618" s="42">
        <f t="shared" si="9"/>
        <v>-63014</v>
      </c>
      <c r="H618" s="2" t="str">
        <f>VLOOKUP(A618,'TB JUNE'!A:H,8,0)</f>
        <v>Not Applicable</v>
      </c>
    </row>
    <row r="619" spans="1:8" hidden="1">
      <c r="A619" s="62" t="s">
        <v>1131</v>
      </c>
      <c r="B619" s="73">
        <v>-1829</v>
      </c>
      <c r="C619" s="73">
        <v>1829</v>
      </c>
      <c r="D619" s="73"/>
      <c r="E619" s="73"/>
      <c r="F619" s="42">
        <v>0</v>
      </c>
      <c r="G619" s="42">
        <f t="shared" si="9"/>
        <v>0</v>
      </c>
      <c r="H619" s="2" t="str">
        <f>VLOOKUP(A619,'TB JUNE'!A:H,8,0)</f>
        <v>Not Applicable</v>
      </c>
    </row>
    <row r="620" spans="1:8" hidden="1">
      <c r="A620" s="62" t="s">
        <v>378</v>
      </c>
      <c r="B620" s="73">
        <v>-708</v>
      </c>
      <c r="C620" s="73"/>
      <c r="D620" s="73"/>
      <c r="E620" s="73">
        <v>-708</v>
      </c>
      <c r="F620" s="42">
        <v>0</v>
      </c>
      <c r="G620" s="42">
        <f t="shared" si="9"/>
        <v>-708</v>
      </c>
      <c r="H620" s="2" t="str">
        <f>VLOOKUP(A620,'TB JUNE'!A:H,8,0)</f>
        <v>Not Applicable</v>
      </c>
    </row>
    <row r="621" spans="1:8" hidden="1">
      <c r="A621" s="62" t="s">
        <v>1463</v>
      </c>
      <c r="B621" s="73"/>
      <c r="C621" s="73">
        <v>75579</v>
      </c>
      <c r="D621" s="73">
        <v>137529</v>
      </c>
      <c r="E621" s="73">
        <v>-61950</v>
      </c>
      <c r="F621" s="42">
        <v>0</v>
      </c>
      <c r="G621" s="42">
        <f t="shared" si="9"/>
        <v>-61950</v>
      </c>
      <c r="H621" s="2" t="str">
        <f>VLOOKUP(A621,'TB JUNE'!A:H,8,0)</f>
        <v>Not Applicable</v>
      </c>
    </row>
    <row r="622" spans="1:8" hidden="1">
      <c r="A622" s="62" t="s">
        <v>1031</v>
      </c>
      <c r="B622" s="73"/>
      <c r="C622" s="73">
        <v>15493</v>
      </c>
      <c r="D622" s="73">
        <v>15493</v>
      </c>
      <c r="E622" s="73"/>
      <c r="F622" s="42">
        <v>0</v>
      </c>
      <c r="G622" s="42">
        <f t="shared" si="9"/>
        <v>0</v>
      </c>
      <c r="H622" s="2" t="str">
        <f>VLOOKUP(A622,'TB JUNE'!A:H,8,0)</f>
        <v>Not Applicable</v>
      </c>
    </row>
    <row r="623" spans="1:8" hidden="1">
      <c r="A623" s="62" t="s">
        <v>1464</v>
      </c>
      <c r="B623" s="73">
        <v>-1605</v>
      </c>
      <c r="C623" s="73"/>
      <c r="D623" s="73">
        <v>2983</v>
      </c>
      <c r="E623" s="73">
        <v>-4588</v>
      </c>
      <c r="F623" s="42">
        <v>0</v>
      </c>
      <c r="G623" s="42">
        <f t="shared" si="9"/>
        <v>-4588</v>
      </c>
      <c r="H623" s="2" t="str">
        <f>VLOOKUP(A623,'TB JUNE'!A:H,8,0)</f>
        <v>Not Applicable</v>
      </c>
    </row>
    <row r="624" spans="1:8" hidden="1">
      <c r="A624" s="62" t="s">
        <v>1220</v>
      </c>
      <c r="B624" s="73">
        <v>-284</v>
      </c>
      <c r="C624" s="73">
        <v>284</v>
      </c>
      <c r="D624" s="73">
        <v>51042</v>
      </c>
      <c r="E624" s="73">
        <v>-51042</v>
      </c>
      <c r="F624" s="42">
        <v>0</v>
      </c>
      <c r="G624" s="42">
        <f t="shared" si="9"/>
        <v>-51042</v>
      </c>
      <c r="H624" s="2" t="str">
        <f>VLOOKUP(A624,'TB JUNE'!A:H,8,0)</f>
        <v>Not Applicable</v>
      </c>
    </row>
    <row r="625" spans="1:8" hidden="1">
      <c r="A625" s="62" t="s">
        <v>1114</v>
      </c>
      <c r="B625" s="73">
        <v>-424.8</v>
      </c>
      <c r="C625" s="73"/>
      <c r="D625" s="73"/>
      <c r="E625" s="73">
        <v>-424.8</v>
      </c>
      <c r="F625" s="42">
        <v>0</v>
      </c>
      <c r="G625" s="42">
        <f t="shared" si="9"/>
        <v>-424.8</v>
      </c>
      <c r="H625" s="2" t="str">
        <f>VLOOKUP(A625,'TB JUNE'!A:H,8,0)</f>
        <v>Not Applicable</v>
      </c>
    </row>
    <row r="626" spans="1:8" hidden="1">
      <c r="A626" s="62" t="s">
        <v>959</v>
      </c>
      <c r="B626" s="73">
        <v>-6195</v>
      </c>
      <c r="C626" s="73"/>
      <c r="D626" s="73">
        <v>20060</v>
      </c>
      <c r="E626" s="73">
        <v>-26255</v>
      </c>
      <c r="F626" s="42">
        <v>0</v>
      </c>
      <c r="G626" s="42">
        <f t="shared" si="9"/>
        <v>-26255</v>
      </c>
      <c r="H626" s="2" t="str">
        <f>VLOOKUP(A626,'TB JUNE'!A:H,8,0)</f>
        <v>Not Applicable</v>
      </c>
    </row>
    <row r="627" spans="1:8" hidden="1">
      <c r="A627" s="62" t="s">
        <v>935</v>
      </c>
      <c r="B627" s="73">
        <v>-1144070</v>
      </c>
      <c r="C627" s="73">
        <v>1144070</v>
      </c>
      <c r="D627" s="73">
        <v>740793</v>
      </c>
      <c r="E627" s="73">
        <v>-740793</v>
      </c>
      <c r="F627" s="42">
        <v>0</v>
      </c>
      <c r="G627" s="42">
        <f t="shared" si="9"/>
        <v>-740793</v>
      </c>
      <c r="H627" s="2" t="str">
        <f>VLOOKUP(A627,'TB JUNE'!A:H,8,0)</f>
        <v>Not Applicable</v>
      </c>
    </row>
    <row r="628" spans="1:8" hidden="1">
      <c r="A628" s="62" t="s">
        <v>370</v>
      </c>
      <c r="B628" s="73"/>
      <c r="C628" s="73">
        <v>23867</v>
      </c>
      <c r="D628" s="73">
        <v>47833</v>
      </c>
      <c r="E628" s="73">
        <v>-23966</v>
      </c>
      <c r="F628" s="42">
        <v>0</v>
      </c>
      <c r="G628" s="42">
        <f t="shared" si="9"/>
        <v>-23966</v>
      </c>
      <c r="H628" s="2" t="str">
        <f>VLOOKUP(A628,'TB JUNE'!A:H,8,0)</f>
        <v>Not Applicable</v>
      </c>
    </row>
    <row r="629" spans="1:8" hidden="1">
      <c r="A629" s="62" t="s">
        <v>366</v>
      </c>
      <c r="B629" s="73"/>
      <c r="C629" s="73">
        <v>12995</v>
      </c>
      <c r="D629" s="73">
        <v>30942</v>
      </c>
      <c r="E629" s="73">
        <v>-17947</v>
      </c>
      <c r="F629" s="42">
        <v>0</v>
      </c>
      <c r="G629" s="42">
        <f t="shared" si="9"/>
        <v>-17947</v>
      </c>
      <c r="H629" s="2" t="str">
        <f>VLOOKUP(A629,'TB JUNE'!A:H,8,0)</f>
        <v>Not Applicable</v>
      </c>
    </row>
    <row r="630" spans="1:8" hidden="1">
      <c r="A630" s="62" t="s">
        <v>1295</v>
      </c>
      <c r="B630" s="73">
        <v>-1123</v>
      </c>
      <c r="C630" s="73">
        <v>1123</v>
      </c>
      <c r="D630" s="73"/>
      <c r="E630" s="73"/>
      <c r="F630" s="42">
        <v>0</v>
      </c>
      <c r="G630" s="42">
        <f t="shared" si="9"/>
        <v>0</v>
      </c>
      <c r="H630" s="2" t="str">
        <f>VLOOKUP(A630,'TB JUNE'!A:H,8,0)</f>
        <v>Not Applicable</v>
      </c>
    </row>
    <row r="631" spans="1:8" hidden="1">
      <c r="A631" s="62" t="s">
        <v>738</v>
      </c>
      <c r="B631" s="73">
        <v>-293007</v>
      </c>
      <c r="C631" s="73">
        <v>750488</v>
      </c>
      <c r="D631" s="73">
        <v>200551</v>
      </c>
      <c r="E631" s="73">
        <v>256930</v>
      </c>
      <c r="F631" s="42">
        <v>0</v>
      </c>
      <c r="G631" s="42">
        <f t="shared" si="9"/>
        <v>256930</v>
      </c>
      <c r="H631" s="2" t="str">
        <f>VLOOKUP(A631,'TB JUNE'!A:H,8,0)</f>
        <v>Not Applicable</v>
      </c>
    </row>
    <row r="632" spans="1:8" hidden="1">
      <c r="A632" s="62" t="s">
        <v>1465</v>
      </c>
      <c r="B632" s="73"/>
      <c r="C632" s="73">
        <v>51400</v>
      </c>
      <c r="D632" s="73">
        <v>51400</v>
      </c>
      <c r="E632" s="73"/>
      <c r="F632" s="42">
        <v>0</v>
      </c>
      <c r="G632" s="42">
        <f t="shared" si="9"/>
        <v>0</v>
      </c>
      <c r="H632" s="2" t="str">
        <f>VLOOKUP(A632,'TB JUNE'!A:H,8,0)</f>
        <v>Not Applicable</v>
      </c>
    </row>
    <row r="633" spans="1:8" hidden="1">
      <c r="A633" s="62" t="s">
        <v>1256</v>
      </c>
      <c r="B633" s="73"/>
      <c r="C633" s="73"/>
      <c r="D633" s="73"/>
      <c r="E633" s="73"/>
      <c r="F633" s="42">
        <v>0</v>
      </c>
      <c r="G633" s="42">
        <f t="shared" si="9"/>
        <v>0</v>
      </c>
      <c r="H633" s="2" t="str">
        <f>VLOOKUP(A633,'TB JUNE'!A:H,8,0)</f>
        <v>Not Applicable</v>
      </c>
    </row>
    <row r="634" spans="1:8" hidden="1">
      <c r="A634" s="62" t="s">
        <v>1158</v>
      </c>
      <c r="B634" s="73"/>
      <c r="C634" s="73">
        <v>2202160</v>
      </c>
      <c r="D634" s="73">
        <v>2931952</v>
      </c>
      <c r="E634" s="73">
        <v>-729792</v>
      </c>
      <c r="F634" s="42">
        <v>0</v>
      </c>
      <c r="G634" s="42">
        <f t="shared" si="9"/>
        <v>-729792</v>
      </c>
      <c r="H634" s="2" t="str">
        <f>VLOOKUP(A634,'TB JUNE'!A:H,8,0)</f>
        <v>Not Applicable</v>
      </c>
    </row>
    <row r="635" spans="1:8" hidden="1">
      <c r="A635" s="62" t="s">
        <v>1076</v>
      </c>
      <c r="B635" s="73">
        <v>-0.24</v>
      </c>
      <c r="C635" s="73"/>
      <c r="D635" s="73"/>
      <c r="E635" s="73">
        <v>-0.24</v>
      </c>
      <c r="F635" s="42">
        <v>0</v>
      </c>
      <c r="G635" s="42">
        <f t="shared" si="9"/>
        <v>-0.24</v>
      </c>
      <c r="H635" s="2" t="str">
        <f>VLOOKUP(A635,'TB JUNE'!A:H,8,0)</f>
        <v>Not Applicable</v>
      </c>
    </row>
    <row r="636" spans="1:8" hidden="1">
      <c r="A636" s="62" t="s">
        <v>1573</v>
      </c>
      <c r="B636" s="73"/>
      <c r="C636" s="73">
        <v>29925</v>
      </c>
      <c r="D636" s="73">
        <v>17456</v>
      </c>
      <c r="E636" s="73">
        <v>12469</v>
      </c>
      <c r="F636" s="42">
        <v>0</v>
      </c>
      <c r="G636" s="42">
        <f t="shared" si="9"/>
        <v>12469</v>
      </c>
      <c r="H636" s="2" t="str">
        <f>VLOOKUP(A636,'TB JUNE'!A:H,8,0)</f>
        <v>Not Applicable</v>
      </c>
    </row>
    <row r="637" spans="1:8" hidden="1">
      <c r="A637" s="62" t="s">
        <v>1354</v>
      </c>
      <c r="B637" s="73">
        <v>-9204</v>
      </c>
      <c r="C637" s="73">
        <v>9204</v>
      </c>
      <c r="D637" s="73"/>
      <c r="E637" s="73"/>
      <c r="F637" s="42">
        <v>0</v>
      </c>
      <c r="G637" s="42">
        <f t="shared" si="9"/>
        <v>0</v>
      </c>
      <c r="H637" s="2" t="str">
        <f>VLOOKUP(A637,'TB JUNE'!A:H,8,0)</f>
        <v>Not Applicable</v>
      </c>
    </row>
    <row r="638" spans="1:8" hidden="1">
      <c r="A638" s="62" t="s">
        <v>1309</v>
      </c>
      <c r="B638" s="73"/>
      <c r="C638" s="73"/>
      <c r="D638" s="73"/>
      <c r="E638" s="73"/>
      <c r="F638" s="42">
        <v>0</v>
      </c>
      <c r="G638" s="42">
        <f t="shared" si="9"/>
        <v>0</v>
      </c>
      <c r="H638" s="2" t="str">
        <f>VLOOKUP(A638,'TB JUNE'!A:H,8,0)</f>
        <v>Not Applicable</v>
      </c>
    </row>
    <row r="639" spans="1:8" hidden="1">
      <c r="A639" s="62" t="s">
        <v>728</v>
      </c>
      <c r="B639" s="73">
        <v>-73418.11</v>
      </c>
      <c r="C639" s="73"/>
      <c r="D639" s="73"/>
      <c r="E639" s="73">
        <v>-73418.11</v>
      </c>
      <c r="F639" s="42">
        <v>0</v>
      </c>
      <c r="G639" s="42">
        <f t="shared" si="9"/>
        <v>-73418.11</v>
      </c>
      <c r="H639" s="2" t="str">
        <f>VLOOKUP(A639,'TB JUNE'!A:H,8,0)</f>
        <v>Not Applicable</v>
      </c>
    </row>
    <row r="640" spans="1:8" hidden="1">
      <c r="A640" s="62" t="s">
        <v>1355</v>
      </c>
      <c r="B640" s="73">
        <v>7059.94</v>
      </c>
      <c r="C640" s="73"/>
      <c r="D640" s="73">
        <v>7060</v>
      </c>
      <c r="E640" s="73">
        <v>-0.06</v>
      </c>
      <c r="F640" s="42">
        <v>0</v>
      </c>
      <c r="G640" s="42">
        <f t="shared" si="9"/>
        <v>-0.06</v>
      </c>
      <c r="H640" s="2" t="str">
        <f>VLOOKUP(A640,'TB JUNE'!A:H,8,0)</f>
        <v>Not Applicable</v>
      </c>
    </row>
    <row r="641" spans="1:8" hidden="1">
      <c r="A641" s="62" t="s">
        <v>1006</v>
      </c>
      <c r="B641" s="73">
        <v>-751.7</v>
      </c>
      <c r="C641" s="73">
        <v>9865</v>
      </c>
      <c r="D641" s="73">
        <v>12107</v>
      </c>
      <c r="E641" s="73">
        <v>-2993.7</v>
      </c>
      <c r="F641" s="42">
        <v>0</v>
      </c>
      <c r="G641" s="42">
        <f t="shared" si="9"/>
        <v>-2993.7</v>
      </c>
      <c r="H641" s="2" t="str">
        <f>VLOOKUP(A641,'TB JUNE'!A:H,8,0)</f>
        <v>Not Applicable</v>
      </c>
    </row>
    <row r="642" spans="1:8" hidden="1">
      <c r="A642" s="62" t="s">
        <v>930</v>
      </c>
      <c r="B642" s="73"/>
      <c r="C642" s="73"/>
      <c r="D642" s="73"/>
      <c r="E642" s="73"/>
      <c r="F642" s="42">
        <v>0</v>
      </c>
      <c r="G642" s="42">
        <f t="shared" si="9"/>
        <v>0</v>
      </c>
      <c r="H642" s="2" t="s">
        <v>84</v>
      </c>
    </row>
    <row r="643" spans="1:8" hidden="1">
      <c r="A643" s="62" t="s">
        <v>1235</v>
      </c>
      <c r="B643" s="73">
        <v>-21750</v>
      </c>
      <c r="C643" s="73"/>
      <c r="D643" s="73"/>
      <c r="E643" s="73">
        <v>-21750</v>
      </c>
      <c r="F643" s="42">
        <v>0</v>
      </c>
      <c r="G643" s="42">
        <f t="shared" si="9"/>
        <v>-21750</v>
      </c>
      <c r="H643" s="2" t="str">
        <f>VLOOKUP(A643,'TB JUNE'!A:H,8,0)</f>
        <v>Not Applicable</v>
      </c>
    </row>
    <row r="644" spans="1:8" hidden="1">
      <c r="A644" s="62" t="s">
        <v>716</v>
      </c>
      <c r="B644" s="73">
        <v>-23052.5</v>
      </c>
      <c r="C644" s="73">
        <v>23248</v>
      </c>
      <c r="D644" s="73">
        <v>23069</v>
      </c>
      <c r="E644" s="73">
        <v>-22873.5</v>
      </c>
      <c r="F644" s="42">
        <v>0</v>
      </c>
      <c r="G644" s="42">
        <f t="shared" si="9"/>
        <v>-22873.5</v>
      </c>
      <c r="H644" s="2" t="str">
        <f>VLOOKUP(A644,'TB JUNE'!A:H,8,0)</f>
        <v>Not Applicable</v>
      </c>
    </row>
    <row r="645" spans="1:8" hidden="1">
      <c r="A645" s="62" t="s">
        <v>1104</v>
      </c>
      <c r="B645" s="73">
        <v>-1240561</v>
      </c>
      <c r="C645" s="73">
        <v>56281</v>
      </c>
      <c r="D645" s="73">
        <v>1224871</v>
      </c>
      <c r="E645" s="73">
        <v>-2409151</v>
      </c>
      <c r="F645" s="42">
        <v>0</v>
      </c>
      <c r="G645" s="42">
        <f t="shared" si="9"/>
        <v>-2409151</v>
      </c>
      <c r="H645" s="2" t="str">
        <f>VLOOKUP(A645,'TB JUNE'!A:H,8,0)</f>
        <v>Not Applicable</v>
      </c>
    </row>
    <row r="646" spans="1:8" hidden="1">
      <c r="A646" s="62" t="s">
        <v>1356</v>
      </c>
      <c r="B646" s="73"/>
      <c r="C646" s="73"/>
      <c r="D646" s="73"/>
      <c r="E646" s="73"/>
      <c r="F646" s="42">
        <v>0</v>
      </c>
      <c r="G646" s="42">
        <f t="shared" ref="G646:G709" si="10">+E646+F646</f>
        <v>0</v>
      </c>
      <c r="H646" s="2" t="str">
        <f>VLOOKUP(A646,'TB JUNE'!A:H,8,0)</f>
        <v>Not Applicable</v>
      </c>
    </row>
    <row r="647" spans="1:8" hidden="1">
      <c r="A647" s="62" t="s">
        <v>986</v>
      </c>
      <c r="B647" s="73">
        <v>-363904.66</v>
      </c>
      <c r="C647" s="73">
        <v>1254744</v>
      </c>
      <c r="D647" s="73">
        <v>1537597</v>
      </c>
      <c r="E647" s="73">
        <v>-646757.66</v>
      </c>
      <c r="F647" s="42">
        <v>0</v>
      </c>
      <c r="G647" s="42">
        <f t="shared" si="10"/>
        <v>-646757.66</v>
      </c>
      <c r="H647" s="2" t="str">
        <f>VLOOKUP(A647,'TB JUNE'!A:H,8,0)</f>
        <v>Not Applicable</v>
      </c>
    </row>
    <row r="648" spans="1:8" hidden="1">
      <c r="A648" s="62" t="s">
        <v>709</v>
      </c>
      <c r="B648" s="73">
        <v>-1967533</v>
      </c>
      <c r="C648" s="73">
        <v>6337285</v>
      </c>
      <c r="D648" s="73">
        <v>4036951</v>
      </c>
      <c r="E648" s="73">
        <v>332801</v>
      </c>
      <c r="F648" s="42">
        <v>0</v>
      </c>
      <c r="G648" s="42">
        <f t="shared" si="10"/>
        <v>332801</v>
      </c>
      <c r="H648" s="2" t="str">
        <f>VLOOKUP(A648,'TB JUNE'!A:H,8,0)</f>
        <v>Not Applicable</v>
      </c>
    </row>
    <row r="649" spans="1:8" hidden="1">
      <c r="A649" s="62" t="s">
        <v>681</v>
      </c>
      <c r="B649" s="73">
        <v>-6094</v>
      </c>
      <c r="C649" s="73">
        <v>27497</v>
      </c>
      <c r="D649" s="73">
        <v>40897</v>
      </c>
      <c r="E649" s="73">
        <v>-19494</v>
      </c>
      <c r="F649" s="42">
        <v>0</v>
      </c>
      <c r="G649" s="42">
        <f t="shared" si="10"/>
        <v>-19494</v>
      </c>
      <c r="H649" s="2" t="str">
        <f>VLOOKUP(A649,'TB JUNE'!A:H,8,0)</f>
        <v>Not Applicable</v>
      </c>
    </row>
    <row r="650" spans="1:8" hidden="1">
      <c r="A650" s="62" t="s">
        <v>944</v>
      </c>
      <c r="B650" s="73">
        <v>-628076</v>
      </c>
      <c r="C650" s="73">
        <v>5111790</v>
      </c>
      <c r="D650" s="73">
        <v>4483714</v>
      </c>
      <c r="E650" s="73"/>
      <c r="F650" s="42">
        <v>0</v>
      </c>
      <c r="G650" s="42">
        <f t="shared" si="10"/>
        <v>0</v>
      </c>
      <c r="H650" s="2" t="str">
        <f>VLOOKUP(A650,'TB JUNE'!A:H,8,0)</f>
        <v>Not Applicable</v>
      </c>
    </row>
    <row r="651" spans="1:8" hidden="1">
      <c r="A651" s="62" t="s">
        <v>873</v>
      </c>
      <c r="B651" s="73">
        <v>-85788</v>
      </c>
      <c r="C651" s="73">
        <v>85788</v>
      </c>
      <c r="D651" s="73"/>
      <c r="E651" s="73"/>
      <c r="F651" s="42">
        <v>0</v>
      </c>
      <c r="G651" s="42">
        <f t="shared" si="10"/>
        <v>0</v>
      </c>
      <c r="H651" s="2" t="str">
        <f>VLOOKUP(A651,'TB JUNE'!A:H,8,0)</f>
        <v>Not Applicable</v>
      </c>
    </row>
    <row r="652" spans="1:8" hidden="1">
      <c r="A652" s="62" t="s">
        <v>902</v>
      </c>
      <c r="B652" s="73">
        <v>-2037718</v>
      </c>
      <c r="C652" s="73">
        <v>4928958</v>
      </c>
      <c r="D652" s="73">
        <v>4032470</v>
      </c>
      <c r="E652" s="73">
        <v>-1141230</v>
      </c>
      <c r="F652" s="42">
        <v>0</v>
      </c>
      <c r="G652" s="42">
        <f t="shared" si="10"/>
        <v>-1141230</v>
      </c>
      <c r="H652" s="2" t="str">
        <f>VLOOKUP(A652,'TB JUNE'!A:H,8,0)</f>
        <v>Not Applicable</v>
      </c>
    </row>
    <row r="653" spans="1:8" hidden="1">
      <c r="A653" s="62" t="s">
        <v>985</v>
      </c>
      <c r="B653" s="73">
        <v>-1274</v>
      </c>
      <c r="C653" s="73">
        <v>1274</v>
      </c>
      <c r="D653" s="73"/>
      <c r="E653" s="73"/>
      <c r="F653" s="42">
        <v>0</v>
      </c>
      <c r="G653" s="42">
        <f t="shared" si="10"/>
        <v>0</v>
      </c>
      <c r="H653" s="2" t="str">
        <f>VLOOKUP(A653,'TB JUNE'!A:H,8,0)</f>
        <v>Not Applicable</v>
      </c>
    </row>
    <row r="654" spans="1:8" hidden="1">
      <c r="A654" s="62" t="s">
        <v>1311</v>
      </c>
      <c r="B654" s="73"/>
      <c r="C654" s="73"/>
      <c r="D654" s="73"/>
      <c r="E654" s="73"/>
      <c r="F654" s="42">
        <v>0</v>
      </c>
      <c r="G654" s="42">
        <f t="shared" si="10"/>
        <v>0</v>
      </c>
      <c r="H654" s="2" t="str">
        <f>VLOOKUP(A654,'TB JUNE'!A:H,8,0)</f>
        <v>Not Applicable</v>
      </c>
    </row>
    <row r="655" spans="1:8" hidden="1">
      <c r="A655" s="62" t="s">
        <v>660</v>
      </c>
      <c r="B655" s="73">
        <v>4519</v>
      </c>
      <c r="C655" s="73">
        <v>45454</v>
      </c>
      <c r="D655" s="73"/>
      <c r="E655" s="73">
        <v>49973</v>
      </c>
      <c r="F655" s="42">
        <v>0</v>
      </c>
      <c r="G655" s="42">
        <f t="shared" si="10"/>
        <v>49973</v>
      </c>
      <c r="H655" s="2" t="str">
        <f>VLOOKUP(A655,'TB JUNE'!A:H,8,0)</f>
        <v>Not Applicable</v>
      </c>
    </row>
    <row r="656" spans="1:8" hidden="1">
      <c r="A656" s="62" t="s">
        <v>659</v>
      </c>
      <c r="B656" s="73">
        <v>-221821.8</v>
      </c>
      <c r="C656" s="73">
        <v>107960</v>
      </c>
      <c r="D656" s="73">
        <v>7080</v>
      </c>
      <c r="E656" s="73">
        <v>-120941.8</v>
      </c>
      <c r="F656" s="42">
        <v>0</v>
      </c>
      <c r="G656" s="42">
        <f t="shared" si="10"/>
        <v>-120941.8</v>
      </c>
      <c r="H656" s="2" t="str">
        <f>VLOOKUP(A656,'TB JUNE'!A:H,8,0)</f>
        <v>Not Applicable</v>
      </c>
    </row>
    <row r="657" spans="1:8" hidden="1">
      <c r="A657" s="62" t="s">
        <v>928</v>
      </c>
      <c r="B657" s="73">
        <v>-1105</v>
      </c>
      <c r="C657" s="73"/>
      <c r="D657" s="73"/>
      <c r="E657" s="73">
        <v>-1105</v>
      </c>
      <c r="F657" s="42">
        <v>0</v>
      </c>
      <c r="G657" s="42">
        <f t="shared" si="10"/>
        <v>-1105</v>
      </c>
      <c r="H657" s="2" t="str">
        <f>VLOOKUP(A657,'TB JUNE'!A:H,8,0)</f>
        <v>Not Applicable</v>
      </c>
    </row>
    <row r="658" spans="1:8" hidden="1">
      <c r="A658" s="62" t="s">
        <v>1467</v>
      </c>
      <c r="B658" s="73"/>
      <c r="C658" s="73"/>
      <c r="D658" s="73"/>
      <c r="E658" s="73"/>
      <c r="F658" s="42">
        <v>0</v>
      </c>
      <c r="G658" s="42">
        <f t="shared" si="10"/>
        <v>0</v>
      </c>
      <c r="H658" s="2" t="str">
        <f>VLOOKUP(A658,'TB JUNE'!A:H,8,0)</f>
        <v>Not Applicable</v>
      </c>
    </row>
    <row r="659" spans="1:8" hidden="1">
      <c r="A659" s="62" t="s">
        <v>1468</v>
      </c>
      <c r="B659" s="73"/>
      <c r="C659" s="73">
        <v>35105</v>
      </c>
      <c r="D659" s="73">
        <v>35105</v>
      </c>
      <c r="E659" s="73"/>
      <c r="F659" s="42">
        <v>0</v>
      </c>
      <c r="G659" s="42">
        <f t="shared" si="10"/>
        <v>0</v>
      </c>
      <c r="H659" s="2" t="str">
        <f>VLOOKUP(A659,'TB JUNE'!A:H,8,0)</f>
        <v>Not Applicable</v>
      </c>
    </row>
    <row r="660" spans="1:8" hidden="1">
      <c r="A660" s="62" t="s">
        <v>651</v>
      </c>
      <c r="B660" s="73"/>
      <c r="C660" s="73">
        <v>90000</v>
      </c>
      <c r="D660" s="73">
        <v>90000</v>
      </c>
      <c r="E660" s="73"/>
      <c r="F660" s="42">
        <v>0</v>
      </c>
      <c r="G660" s="42">
        <f t="shared" si="10"/>
        <v>0</v>
      </c>
      <c r="H660" s="2" t="str">
        <f>VLOOKUP(A660,'TB JUNE'!A:H,8,0)</f>
        <v>Not Applicable</v>
      </c>
    </row>
    <row r="661" spans="1:8" hidden="1">
      <c r="A661" s="62" t="s">
        <v>653</v>
      </c>
      <c r="B661" s="73"/>
      <c r="C661" s="73">
        <v>90000</v>
      </c>
      <c r="D661" s="73">
        <v>90000</v>
      </c>
      <c r="E661" s="73"/>
      <c r="F661" s="42">
        <v>0</v>
      </c>
      <c r="G661" s="42">
        <f t="shared" si="10"/>
        <v>0</v>
      </c>
      <c r="H661" s="2" t="str">
        <f>VLOOKUP(A661,'TB JUNE'!A:H,8,0)</f>
        <v>Not Applicable</v>
      </c>
    </row>
    <row r="662" spans="1:8" hidden="1">
      <c r="A662" s="62" t="s">
        <v>1045</v>
      </c>
      <c r="B662" s="73"/>
      <c r="C662" s="73">
        <v>52800</v>
      </c>
      <c r="D662" s="73">
        <v>52800</v>
      </c>
      <c r="E662" s="73"/>
      <c r="F662" s="42">
        <v>0</v>
      </c>
      <c r="G662" s="42">
        <f t="shared" si="10"/>
        <v>0</v>
      </c>
      <c r="H662" s="2" t="str">
        <f>VLOOKUP(A662,'TB JUNE'!A:H,8,0)</f>
        <v>Not Applicable</v>
      </c>
    </row>
    <row r="663" spans="1:8" hidden="1">
      <c r="A663" s="62" t="s">
        <v>646</v>
      </c>
      <c r="B663" s="73">
        <v>-2762</v>
      </c>
      <c r="C663" s="73">
        <v>2164</v>
      </c>
      <c r="D663" s="73">
        <v>3934</v>
      </c>
      <c r="E663" s="73">
        <v>-4532</v>
      </c>
      <c r="F663" s="42">
        <v>0</v>
      </c>
      <c r="G663" s="42">
        <f t="shared" si="10"/>
        <v>-4532</v>
      </c>
      <c r="H663" s="2" t="str">
        <f>VLOOKUP(A663,'TB JUNE'!A:H,8,0)</f>
        <v>Not Applicable</v>
      </c>
    </row>
    <row r="664" spans="1:8" hidden="1">
      <c r="A664" s="62" t="s">
        <v>640</v>
      </c>
      <c r="B664" s="73"/>
      <c r="C664" s="73">
        <v>131640</v>
      </c>
      <c r="D664" s="73">
        <v>131640</v>
      </c>
      <c r="E664" s="73"/>
      <c r="F664" s="42">
        <v>0</v>
      </c>
      <c r="G664" s="42">
        <f t="shared" si="10"/>
        <v>0</v>
      </c>
      <c r="H664" s="2" t="str">
        <f>VLOOKUP(A664,'TB JUNE'!A:H,8,0)</f>
        <v>Not Applicable</v>
      </c>
    </row>
    <row r="665" spans="1:8" hidden="1">
      <c r="A665" s="62" t="s">
        <v>1607</v>
      </c>
      <c r="B665" s="73"/>
      <c r="C665" s="73"/>
      <c r="D665" s="73"/>
      <c r="E665" s="73"/>
      <c r="F665" s="42">
        <v>0</v>
      </c>
      <c r="G665" s="42">
        <f t="shared" si="10"/>
        <v>0</v>
      </c>
      <c r="H665" s="2" t="s">
        <v>84</v>
      </c>
    </row>
    <row r="666" spans="1:8" hidden="1">
      <c r="A666" s="62" t="s">
        <v>1608</v>
      </c>
      <c r="B666" s="73"/>
      <c r="C666" s="73">
        <v>114430</v>
      </c>
      <c r="D666" s="73">
        <v>140212</v>
      </c>
      <c r="E666" s="73">
        <v>-25782</v>
      </c>
      <c r="F666" s="42">
        <v>0</v>
      </c>
      <c r="G666" s="42">
        <f t="shared" si="10"/>
        <v>-25782</v>
      </c>
      <c r="H666" s="2" t="s">
        <v>84</v>
      </c>
    </row>
    <row r="667" spans="1:8" hidden="1">
      <c r="A667" s="62" t="s">
        <v>1070</v>
      </c>
      <c r="B667" s="73"/>
      <c r="C667" s="73">
        <v>16284</v>
      </c>
      <c r="D667" s="73">
        <v>16284</v>
      </c>
      <c r="E667" s="73"/>
      <c r="F667" s="42">
        <v>0</v>
      </c>
      <c r="G667" s="42">
        <f t="shared" si="10"/>
        <v>0</v>
      </c>
      <c r="H667" s="2" t="str">
        <f>VLOOKUP(A667,'TB JUNE'!A:H,8,0)</f>
        <v>Not Applicable</v>
      </c>
    </row>
    <row r="668" spans="1:8" hidden="1">
      <c r="A668" s="62" t="s">
        <v>628</v>
      </c>
      <c r="B668" s="73">
        <v>-47489</v>
      </c>
      <c r="C668" s="73">
        <v>98550</v>
      </c>
      <c r="D668" s="73">
        <v>79856</v>
      </c>
      <c r="E668" s="73">
        <v>-28795</v>
      </c>
      <c r="F668" s="42">
        <v>0</v>
      </c>
      <c r="G668" s="42">
        <f t="shared" si="10"/>
        <v>-28795</v>
      </c>
      <c r="H668" s="2" t="str">
        <f>VLOOKUP(A668,'TB JUNE'!A:H,8,0)</f>
        <v>Not Applicable</v>
      </c>
    </row>
    <row r="669" spans="1:8" hidden="1">
      <c r="A669" s="62" t="s">
        <v>1288</v>
      </c>
      <c r="B669" s="73"/>
      <c r="C669" s="73">
        <v>90000</v>
      </c>
      <c r="D669" s="73">
        <v>90000</v>
      </c>
      <c r="E669" s="73"/>
      <c r="F669" s="42">
        <v>0</v>
      </c>
      <c r="G669" s="42">
        <f t="shared" si="10"/>
        <v>0</v>
      </c>
      <c r="H669" s="2" t="str">
        <f>VLOOKUP(A669,'TB JUNE'!A:H,8,0)</f>
        <v>Not Applicable</v>
      </c>
    </row>
    <row r="670" spans="1:8" hidden="1">
      <c r="A670" s="62" t="s">
        <v>1124</v>
      </c>
      <c r="B670" s="73">
        <v>-327817.96000000002</v>
      </c>
      <c r="C670" s="73">
        <v>630213.01</v>
      </c>
      <c r="D670" s="73">
        <v>302396.01</v>
      </c>
      <c r="E670" s="73">
        <v>-0.96</v>
      </c>
      <c r="F670" s="42">
        <v>0</v>
      </c>
      <c r="G670" s="42">
        <f t="shared" si="10"/>
        <v>-0.96</v>
      </c>
      <c r="H670" s="2" t="str">
        <f>VLOOKUP(A670,'TB JUNE'!A:H,8,0)</f>
        <v>Not Applicable</v>
      </c>
    </row>
    <row r="671" spans="1:8" hidden="1">
      <c r="A671" s="62" t="s">
        <v>1239</v>
      </c>
      <c r="B671" s="73"/>
      <c r="C671" s="73">
        <v>1298</v>
      </c>
      <c r="D671" s="73">
        <v>1298</v>
      </c>
      <c r="E671" s="73"/>
      <c r="F671" s="42">
        <v>0</v>
      </c>
      <c r="G671" s="42">
        <f t="shared" si="10"/>
        <v>0</v>
      </c>
      <c r="H671" s="2" t="str">
        <f>VLOOKUP(A671,'TB JUNE'!A:H,8,0)</f>
        <v>Not Applicable</v>
      </c>
    </row>
    <row r="672" spans="1:8" hidden="1">
      <c r="A672" s="62" t="s">
        <v>612</v>
      </c>
      <c r="B672" s="73">
        <v>-216491026.63</v>
      </c>
      <c r="C672" s="73">
        <v>49197.14</v>
      </c>
      <c r="D672" s="73">
        <v>78143527.239999995</v>
      </c>
      <c r="E672" s="73">
        <v>-294585356.73000002</v>
      </c>
      <c r="F672" s="42">
        <v>0</v>
      </c>
      <c r="G672" s="42">
        <f t="shared" si="10"/>
        <v>-294585356.73000002</v>
      </c>
      <c r="H672" s="2" t="str">
        <f>VLOOKUP(A672,'TB JUNE'!A:H,8,0)</f>
        <v>Not Applicable</v>
      </c>
    </row>
    <row r="673" spans="1:8" hidden="1">
      <c r="A673" s="62" t="s">
        <v>611</v>
      </c>
      <c r="B673" s="73">
        <v>0.8</v>
      </c>
      <c r="C673" s="73">
        <v>41030420.43</v>
      </c>
      <c r="D673" s="73">
        <v>62759221.450000003</v>
      </c>
      <c r="E673" s="73">
        <v>-21728800.219999999</v>
      </c>
      <c r="F673" s="42">
        <v>0</v>
      </c>
      <c r="G673" s="42">
        <f t="shared" si="10"/>
        <v>-21728800.219999999</v>
      </c>
      <c r="H673" s="2" t="str">
        <f>VLOOKUP(A673,'TB JUNE'!A:H,8,0)</f>
        <v>Not Applicable</v>
      </c>
    </row>
    <row r="674" spans="1:8" hidden="1">
      <c r="A674" s="62" t="s">
        <v>1102</v>
      </c>
      <c r="B674" s="73"/>
      <c r="C674" s="73">
        <v>140211</v>
      </c>
      <c r="D674" s="73">
        <v>181565</v>
      </c>
      <c r="E674" s="73">
        <v>-41354</v>
      </c>
      <c r="F674" s="42">
        <v>0</v>
      </c>
      <c r="G674" s="42">
        <f t="shared" si="10"/>
        <v>-41354</v>
      </c>
      <c r="H674" s="2" t="str">
        <f>VLOOKUP(A674,'TB JUNE'!A:H,8,0)</f>
        <v>Not Applicable</v>
      </c>
    </row>
    <row r="675" spans="1:8" hidden="1">
      <c r="A675" s="62" t="s">
        <v>1357</v>
      </c>
      <c r="B675" s="73">
        <v>-1</v>
      </c>
      <c r="C675" s="73"/>
      <c r="D675" s="73"/>
      <c r="E675" s="73">
        <v>-1</v>
      </c>
      <c r="F675" s="42">
        <v>0</v>
      </c>
      <c r="G675" s="42">
        <f t="shared" si="10"/>
        <v>-1</v>
      </c>
      <c r="H675" s="2" t="str">
        <f>VLOOKUP(A675,'TB JUNE'!A:H,8,0)</f>
        <v>Not Applicable</v>
      </c>
    </row>
    <row r="676" spans="1:8" hidden="1">
      <c r="A676" s="62" t="s">
        <v>1042</v>
      </c>
      <c r="B676" s="73"/>
      <c r="C676" s="73">
        <v>52800</v>
      </c>
      <c r="D676" s="73">
        <v>52800</v>
      </c>
      <c r="E676" s="73"/>
      <c r="F676" s="42">
        <v>0</v>
      </c>
      <c r="G676" s="42">
        <f t="shared" si="10"/>
        <v>0</v>
      </c>
      <c r="H676" s="2" t="str">
        <f>VLOOKUP(A676,'TB JUNE'!A:H,8,0)</f>
        <v>Not Applicable</v>
      </c>
    </row>
    <row r="677" spans="1:8" hidden="1">
      <c r="A677" s="62" t="s">
        <v>1574</v>
      </c>
      <c r="B677" s="73"/>
      <c r="C677" s="73">
        <v>889883</v>
      </c>
      <c r="D677" s="73">
        <v>930371</v>
      </c>
      <c r="E677" s="73">
        <v>-40488</v>
      </c>
      <c r="F677" s="42">
        <v>0</v>
      </c>
      <c r="G677" s="42">
        <f t="shared" si="10"/>
        <v>-40488</v>
      </c>
      <c r="H677" s="2" t="str">
        <f>VLOOKUP(A677,'TB JUNE'!A:H,8,0)</f>
        <v>Not Applicable</v>
      </c>
    </row>
    <row r="678" spans="1:8" hidden="1">
      <c r="A678" s="62" t="s">
        <v>596</v>
      </c>
      <c r="B678" s="73">
        <v>68996.899999999994</v>
      </c>
      <c r="C678" s="73">
        <v>7308</v>
      </c>
      <c r="D678" s="73">
        <v>61596</v>
      </c>
      <c r="E678" s="73">
        <v>14708.9</v>
      </c>
      <c r="F678" s="42">
        <v>0</v>
      </c>
      <c r="G678" s="42">
        <f t="shared" si="10"/>
        <v>14708.9</v>
      </c>
      <c r="H678" s="2" t="str">
        <f>VLOOKUP(A678,'TB JUNE'!A:H,8,0)</f>
        <v>Not Applicable</v>
      </c>
    </row>
    <row r="679" spans="1:8" hidden="1">
      <c r="A679" s="62" t="s">
        <v>1144</v>
      </c>
      <c r="B679" s="73">
        <v>-18700</v>
      </c>
      <c r="C679" s="73">
        <v>18700</v>
      </c>
      <c r="D679" s="73"/>
      <c r="E679" s="73"/>
      <c r="F679" s="42">
        <v>0</v>
      </c>
      <c r="G679" s="42">
        <f t="shared" si="10"/>
        <v>0</v>
      </c>
      <c r="H679" s="2" t="str">
        <f>VLOOKUP(A679,'TB JUNE'!A:H,8,0)</f>
        <v>Not Applicable</v>
      </c>
    </row>
    <row r="680" spans="1:8" hidden="1">
      <c r="A680" s="62" t="s">
        <v>599</v>
      </c>
      <c r="B680" s="73">
        <v>-58381</v>
      </c>
      <c r="C680" s="73">
        <v>58381</v>
      </c>
      <c r="D680" s="73"/>
      <c r="E680" s="73"/>
      <c r="F680" s="42">
        <v>0</v>
      </c>
      <c r="G680" s="42">
        <f t="shared" si="10"/>
        <v>0</v>
      </c>
      <c r="H680" s="2" t="str">
        <f>VLOOKUP(A680,'TB JUNE'!A:H,8,0)</f>
        <v>Not Applicable</v>
      </c>
    </row>
    <row r="681" spans="1:8" hidden="1">
      <c r="A681" s="62" t="s">
        <v>1176</v>
      </c>
      <c r="B681" s="73">
        <v>15969.8</v>
      </c>
      <c r="C681" s="73"/>
      <c r="D681" s="73">
        <v>15970</v>
      </c>
      <c r="E681" s="73">
        <v>-0.2</v>
      </c>
      <c r="F681" s="42">
        <v>0</v>
      </c>
      <c r="G681" s="42">
        <f t="shared" si="10"/>
        <v>-0.2</v>
      </c>
      <c r="H681" s="2" t="str">
        <f>VLOOKUP(A681,'TB JUNE'!A:H,8,0)</f>
        <v>Not Applicable</v>
      </c>
    </row>
    <row r="682" spans="1:8" hidden="1">
      <c r="A682" s="62" t="s">
        <v>593</v>
      </c>
      <c r="B682" s="73"/>
      <c r="C682" s="73"/>
      <c r="D682" s="73"/>
      <c r="E682" s="73"/>
      <c r="F682" s="42">
        <v>0</v>
      </c>
      <c r="G682" s="42">
        <f t="shared" si="10"/>
        <v>0</v>
      </c>
      <c r="H682" s="2" t="str">
        <f>VLOOKUP(A682,'TB JUNE'!A:H,8,0)</f>
        <v>Not Applicable</v>
      </c>
    </row>
    <row r="683" spans="1:8" hidden="1">
      <c r="A683" s="62" t="s">
        <v>1028</v>
      </c>
      <c r="B683" s="73">
        <v>2572</v>
      </c>
      <c r="C683" s="73">
        <v>270189</v>
      </c>
      <c r="D683" s="73">
        <v>272761</v>
      </c>
      <c r="E683" s="73"/>
      <c r="F683" s="42">
        <v>0</v>
      </c>
      <c r="G683" s="42">
        <f t="shared" si="10"/>
        <v>0</v>
      </c>
      <c r="H683" s="2" t="str">
        <f>VLOOKUP(A683,'TB JUNE'!A:H,8,0)</f>
        <v>Not Applicable</v>
      </c>
    </row>
    <row r="684" spans="1:8" hidden="1">
      <c r="A684" s="62" t="s">
        <v>1609</v>
      </c>
      <c r="B684" s="73"/>
      <c r="C684" s="73">
        <v>7074.1</v>
      </c>
      <c r="D684" s="73">
        <v>7074</v>
      </c>
      <c r="E684" s="73">
        <v>0.1</v>
      </c>
      <c r="F684" s="42">
        <v>0</v>
      </c>
      <c r="G684" s="42">
        <f t="shared" si="10"/>
        <v>0.1</v>
      </c>
      <c r="H684" s="2" t="s">
        <v>84</v>
      </c>
    </row>
    <row r="685" spans="1:8" hidden="1">
      <c r="A685" s="62" t="s">
        <v>1162</v>
      </c>
      <c r="B685" s="73"/>
      <c r="C685" s="73">
        <v>35000</v>
      </c>
      <c r="D685" s="73">
        <v>35000</v>
      </c>
      <c r="E685" s="73"/>
      <c r="F685" s="42">
        <v>0</v>
      </c>
      <c r="G685" s="42">
        <f t="shared" si="10"/>
        <v>0</v>
      </c>
      <c r="H685" s="2" t="str">
        <f>VLOOKUP(A685,'TB JUNE'!A:H,8,0)</f>
        <v>Not Applicable</v>
      </c>
    </row>
    <row r="686" spans="1:8" hidden="1">
      <c r="A686" s="62" t="s">
        <v>1290</v>
      </c>
      <c r="B686" s="73"/>
      <c r="C686" s="73">
        <v>37940</v>
      </c>
      <c r="D686" s="73">
        <v>37940</v>
      </c>
      <c r="E686" s="73"/>
      <c r="F686" s="42">
        <v>0</v>
      </c>
      <c r="G686" s="42">
        <f t="shared" si="10"/>
        <v>0</v>
      </c>
      <c r="H686" s="2" t="str">
        <f>VLOOKUP(A686,'TB JUNE'!A:H,8,0)</f>
        <v>Not Applicable</v>
      </c>
    </row>
    <row r="687" spans="1:8" hidden="1">
      <c r="A687" s="62" t="s">
        <v>1291</v>
      </c>
      <c r="B687" s="73">
        <v>-12285</v>
      </c>
      <c r="C687" s="73">
        <v>12285</v>
      </c>
      <c r="D687" s="73"/>
      <c r="E687" s="73"/>
      <c r="F687" s="42">
        <v>0</v>
      </c>
      <c r="G687" s="42">
        <f t="shared" si="10"/>
        <v>0</v>
      </c>
      <c r="H687" s="2" t="str">
        <f>VLOOKUP(A687,'TB JUNE'!A:H,8,0)</f>
        <v>Not Applicable</v>
      </c>
    </row>
    <row r="688" spans="1:8" hidden="1">
      <c r="A688" s="62" t="s">
        <v>592</v>
      </c>
      <c r="B688" s="73">
        <v>-86766.26</v>
      </c>
      <c r="C688" s="73"/>
      <c r="D688" s="73"/>
      <c r="E688" s="73">
        <v>-86766.26</v>
      </c>
      <c r="F688" s="42">
        <v>0</v>
      </c>
      <c r="G688" s="42">
        <f t="shared" si="10"/>
        <v>-86766.26</v>
      </c>
      <c r="H688" s="2" t="str">
        <f>VLOOKUP(A688,'TB JUNE'!A:H,8,0)</f>
        <v>Not Applicable</v>
      </c>
    </row>
    <row r="689" spans="1:8" hidden="1">
      <c r="A689" s="62" t="s">
        <v>1177</v>
      </c>
      <c r="B689" s="73">
        <v>-8425</v>
      </c>
      <c r="C689" s="73">
        <v>21004</v>
      </c>
      <c r="D689" s="73">
        <v>12579</v>
      </c>
      <c r="E689" s="73"/>
      <c r="F689" s="42">
        <v>0</v>
      </c>
      <c r="G689" s="42">
        <f t="shared" si="10"/>
        <v>0</v>
      </c>
      <c r="H689" s="2" t="str">
        <f>VLOOKUP(A689,'TB JUNE'!A:H,8,0)</f>
        <v>Not Applicable</v>
      </c>
    </row>
    <row r="690" spans="1:8" hidden="1">
      <c r="A690" s="62" t="s">
        <v>1242</v>
      </c>
      <c r="B690" s="73"/>
      <c r="C690" s="73">
        <v>148000</v>
      </c>
      <c r="D690" s="73">
        <v>148000</v>
      </c>
      <c r="E690" s="73"/>
      <c r="F690" s="42">
        <v>0</v>
      </c>
      <c r="G690" s="42">
        <f t="shared" si="10"/>
        <v>0</v>
      </c>
      <c r="H690" s="2" t="str">
        <f>VLOOKUP(A690,'TB JUNE'!A:H,8,0)</f>
        <v>Not Applicable</v>
      </c>
    </row>
    <row r="691" spans="1:8" hidden="1">
      <c r="A691" s="62" t="s">
        <v>984</v>
      </c>
      <c r="B691" s="73"/>
      <c r="C691" s="73">
        <v>36000</v>
      </c>
      <c r="D691" s="73">
        <v>36000</v>
      </c>
      <c r="E691" s="73"/>
      <c r="F691" s="42">
        <v>0</v>
      </c>
      <c r="G691" s="42">
        <f t="shared" si="10"/>
        <v>0</v>
      </c>
      <c r="H691" s="2" t="str">
        <f>VLOOKUP(A691,'TB JUNE'!A:H,8,0)</f>
        <v>Not Applicable</v>
      </c>
    </row>
    <row r="692" spans="1:8" hidden="1">
      <c r="A692" s="62" t="s">
        <v>1163</v>
      </c>
      <c r="B692" s="73">
        <v>-8911011.1999999993</v>
      </c>
      <c r="C692" s="73"/>
      <c r="D692" s="73"/>
      <c r="E692" s="73">
        <v>-8911011.1999999993</v>
      </c>
      <c r="F692" s="42">
        <v>0</v>
      </c>
      <c r="G692" s="42">
        <f t="shared" si="10"/>
        <v>-8911011.1999999993</v>
      </c>
      <c r="H692" s="2" t="str">
        <f>VLOOKUP(A692,'TB JUNE'!A:H,8,0)</f>
        <v>Not Applicable</v>
      </c>
    </row>
    <row r="693" spans="1:8" hidden="1">
      <c r="A693" s="62" t="s">
        <v>1521</v>
      </c>
      <c r="B693" s="73"/>
      <c r="C693" s="73">
        <v>649000</v>
      </c>
      <c r="D693" s="73">
        <v>649000</v>
      </c>
      <c r="E693" s="73"/>
      <c r="F693" s="42">
        <v>0</v>
      </c>
      <c r="G693" s="42">
        <f t="shared" si="10"/>
        <v>0</v>
      </c>
      <c r="H693" s="2" t="str">
        <f>VLOOKUP(A693,'TB JUNE'!A:H,8,0)</f>
        <v>Not Applicable</v>
      </c>
    </row>
    <row r="694" spans="1:8" hidden="1">
      <c r="A694" s="62" t="s">
        <v>578</v>
      </c>
      <c r="B694" s="73">
        <v>-2751</v>
      </c>
      <c r="C694" s="73">
        <v>50594</v>
      </c>
      <c r="D694" s="73">
        <v>51517</v>
      </c>
      <c r="E694" s="73">
        <v>-3674</v>
      </c>
      <c r="F694" s="42">
        <v>0</v>
      </c>
      <c r="G694" s="42">
        <f t="shared" si="10"/>
        <v>-3674</v>
      </c>
      <c r="H694" s="2" t="str">
        <f>VLOOKUP(A694,'TB JUNE'!A:H,8,0)</f>
        <v>Not Applicable</v>
      </c>
    </row>
    <row r="695" spans="1:8" hidden="1">
      <c r="A695" s="62" t="s">
        <v>580</v>
      </c>
      <c r="B695" s="73">
        <v>-124792.93</v>
      </c>
      <c r="C695" s="73"/>
      <c r="D695" s="73"/>
      <c r="E695" s="73">
        <v>-124792.93</v>
      </c>
      <c r="F695" s="42">
        <v>0</v>
      </c>
      <c r="G695" s="42">
        <f t="shared" si="10"/>
        <v>-124792.93</v>
      </c>
      <c r="H695" s="2" t="str">
        <f>VLOOKUP(A695,'TB JUNE'!A:H,8,0)</f>
        <v>Not Applicable</v>
      </c>
    </row>
    <row r="696" spans="1:8" hidden="1">
      <c r="A696" s="62" t="s">
        <v>577</v>
      </c>
      <c r="B696" s="73">
        <v>-228232853.84999999</v>
      </c>
      <c r="C696" s="73"/>
      <c r="D696" s="73"/>
      <c r="E696" s="73">
        <v>-228232853.84999999</v>
      </c>
      <c r="F696" s="42">
        <v>0</v>
      </c>
      <c r="G696" s="42">
        <f t="shared" si="10"/>
        <v>-228232853.84999999</v>
      </c>
      <c r="H696" s="2" t="str">
        <f>VLOOKUP(A696,'TB JUNE'!A:H,8,0)</f>
        <v>Not Applicable</v>
      </c>
    </row>
    <row r="697" spans="1:8" hidden="1">
      <c r="A697" s="62" t="s">
        <v>1123</v>
      </c>
      <c r="B697" s="73">
        <v>-31984</v>
      </c>
      <c r="C697" s="73">
        <v>31984</v>
      </c>
      <c r="D697" s="73">
        <v>14667.4</v>
      </c>
      <c r="E697" s="73">
        <v>-14667.4</v>
      </c>
      <c r="F697" s="42">
        <v>0</v>
      </c>
      <c r="G697" s="42">
        <f t="shared" si="10"/>
        <v>-14667.4</v>
      </c>
      <c r="H697" s="2" t="str">
        <f>VLOOKUP(A697,'TB JUNE'!A:H,8,0)</f>
        <v>Not Applicable</v>
      </c>
    </row>
    <row r="698" spans="1:8" hidden="1">
      <c r="A698" s="62" t="s">
        <v>1575</v>
      </c>
      <c r="B698" s="73"/>
      <c r="C698" s="73">
        <v>12500</v>
      </c>
      <c r="D698" s="73">
        <v>12500</v>
      </c>
      <c r="E698" s="73"/>
      <c r="F698" s="42">
        <v>0</v>
      </c>
      <c r="G698" s="42">
        <f t="shared" si="10"/>
        <v>0</v>
      </c>
      <c r="H698" s="2" t="str">
        <f>VLOOKUP(A698,'TB JUNE'!A:H,8,0)</f>
        <v>Not Applicable</v>
      </c>
    </row>
    <row r="699" spans="1:8" hidden="1">
      <c r="A699" s="62" t="s">
        <v>1068</v>
      </c>
      <c r="B699" s="73">
        <v>-64639</v>
      </c>
      <c r="C699" s="73">
        <v>192392</v>
      </c>
      <c r="D699" s="73">
        <v>209980</v>
      </c>
      <c r="E699" s="73">
        <v>-82227</v>
      </c>
      <c r="F699" s="42">
        <v>0</v>
      </c>
      <c r="G699" s="42">
        <f t="shared" si="10"/>
        <v>-82227</v>
      </c>
      <c r="H699" s="2" t="str">
        <f>VLOOKUP(A699,'TB JUNE'!A:H,8,0)</f>
        <v>Not Applicable</v>
      </c>
    </row>
    <row r="700" spans="1:8" hidden="1">
      <c r="A700" s="62" t="s">
        <v>1243</v>
      </c>
      <c r="B700" s="73">
        <v>-10974</v>
      </c>
      <c r="C700" s="73">
        <v>10974</v>
      </c>
      <c r="D700" s="73"/>
      <c r="E700" s="73"/>
      <c r="F700" s="42">
        <v>0</v>
      </c>
      <c r="G700" s="42">
        <f t="shared" si="10"/>
        <v>0</v>
      </c>
      <c r="H700" s="2" t="str">
        <f>VLOOKUP(A700,'TB JUNE'!A:H,8,0)</f>
        <v>Not Applicable</v>
      </c>
    </row>
    <row r="701" spans="1:8" hidden="1">
      <c r="A701" s="62" t="s">
        <v>1522</v>
      </c>
      <c r="B701" s="73"/>
      <c r="C701" s="73">
        <v>41000</v>
      </c>
      <c r="D701" s="73">
        <v>41000</v>
      </c>
      <c r="E701" s="73"/>
      <c r="F701" s="42">
        <v>0</v>
      </c>
      <c r="G701" s="42">
        <f t="shared" si="10"/>
        <v>0</v>
      </c>
      <c r="H701" s="2" t="str">
        <f>VLOOKUP(A701,'TB JUNE'!A:H,8,0)</f>
        <v>Not Applicable</v>
      </c>
    </row>
    <row r="702" spans="1:8" hidden="1">
      <c r="A702" s="62" t="s">
        <v>557</v>
      </c>
      <c r="B702" s="73"/>
      <c r="C702" s="73"/>
      <c r="D702" s="73"/>
      <c r="E702" s="73"/>
      <c r="F702" s="42">
        <v>0</v>
      </c>
      <c r="G702" s="42">
        <f t="shared" si="10"/>
        <v>0</v>
      </c>
      <c r="H702" s="2" t="str">
        <f>VLOOKUP(A702,'TB JUNE'!A:H,8,0)</f>
        <v>Not Applicable</v>
      </c>
    </row>
    <row r="703" spans="1:8" hidden="1">
      <c r="A703" s="62" t="s">
        <v>913</v>
      </c>
      <c r="B703" s="73"/>
      <c r="C703" s="73"/>
      <c r="D703" s="73"/>
      <c r="E703" s="73"/>
      <c r="F703" s="42">
        <v>0</v>
      </c>
      <c r="G703" s="42">
        <f t="shared" si="10"/>
        <v>0</v>
      </c>
      <c r="H703" s="2" t="s">
        <v>84</v>
      </c>
    </row>
    <row r="704" spans="1:8" hidden="1">
      <c r="A704" s="62" t="s">
        <v>911</v>
      </c>
      <c r="B704" s="73">
        <v>400</v>
      </c>
      <c r="C704" s="73"/>
      <c r="D704" s="73"/>
      <c r="E704" s="73">
        <v>400</v>
      </c>
      <c r="F704" s="42">
        <v>0</v>
      </c>
      <c r="G704" s="42">
        <f t="shared" si="10"/>
        <v>400</v>
      </c>
      <c r="H704" s="2" t="str">
        <f>VLOOKUP(A704,'TB JUNE'!A:H,8,0)</f>
        <v>Not Applicable</v>
      </c>
    </row>
    <row r="705" spans="1:8" hidden="1">
      <c r="A705" s="62" t="s">
        <v>1245</v>
      </c>
      <c r="B705" s="73">
        <v>-1160334</v>
      </c>
      <c r="C705" s="73">
        <v>4096095</v>
      </c>
      <c r="D705" s="73">
        <v>2833578</v>
      </c>
      <c r="E705" s="73">
        <v>102183</v>
      </c>
      <c r="F705" s="42">
        <v>0</v>
      </c>
      <c r="G705" s="42">
        <f t="shared" si="10"/>
        <v>102183</v>
      </c>
      <c r="H705" s="2" t="str">
        <f>VLOOKUP(A705,'TB JUNE'!A:H,8,0)</f>
        <v>Not Applicable</v>
      </c>
    </row>
    <row r="706" spans="1:8" hidden="1">
      <c r="A706" s="62" t="s">
        <v>552</v>
      </c>
      <c r="B706" s="73"/>
      <c r="C706" s="73"/>
      <c r="D706" s="73"/>
      <c r="E706" s="73"/>
      <c r="F706" s="42">
        <v>0</v>
      </c>
      <c r="G706" s="42">
        <f t="shared" si="10"/>
        <v>0</v>
      </c>
      <c r="H706" s="2" t="str">
        <f>VLOOKUP(A706,'TB JUNE'!A:H,8,0)</f>
        <v>Not Applicable</v>
      </c>
    </row>
    <row r="707" spans="1:8" hidden="1">
      <c r="A707" s="62" t="s">
        <v>1100</v>
      </c>
      <c r="B707" s="73">
        <v>-12870</v>
      </c>
      <c r="C707" s="73">
        <v>40718</v>
      </c>
      <c r="D707" s="73">
        <v>27848</v>
      </c>
      <c r="E707" s="73"/>
      <c r="F707" s="42">
        <v>0</v>
      </c>
      <c r="G707" s="42">
        <f t="shared" si="10"/>
        <v>0</v>
      </c>
      <c r="H707" s="2" t="str">
        <f>VLOOKUP(A707,'TB JUNE'!A:H,8,0)</f>
        <v>Not Applicable</v>
      </c>
    </row>
    <row r="708" spans="1:8" hidden="1">
      <c r="A708" s="62" t="s">
        <v>1215</v>
      </c>
      <c r="B708" s="73">
        <v>-968802</v>
      </c>
      <c r="C708" s="73">
        <v>2862071</v>
      </c>
      <c r="D708" s="73">
        <v>1866350</v>
      </c>
      <c r="E708" s="73">
        <v>26919</v>
      </c>
      <c r="F708" s="42">
        <v>0</v>
      </c>
      <c r="G708" s="42">
        <f t="shared" si="10"/>
        <v>26919</v>
      </c>
      <c r="H708" s="2" t="str">
        <f>VLOOKUP(A708,'TB JUNE'!A:H,8,0)</f>
        <v>Not Applicable</v>
      </c>
    </row>
    <row r="709" spans="1:8" hidden="1">
      <c r="A709" s="62" t="s">
        <v>554</v>
      </c>
      <c r="B709" s="73">
        <v>-1057503</v>
      </c>
      <c r="C709" s="73">
        <v>1301742.1000000001</v>
      </c>
      <c r="D709" s="73">
        <v>1283236.1000000001</v>
      </c>
      <c r="E709" s="73">
        <v>-1038997</v>
      </c>
      <c r="F709" s="42">
        <v>0</v>
      </c>
      <c r="G709" s="42">
        <f t="shared" si="10"/>
        <v>-1038997</v>
      </c>
      <c r="H709" s="2" t="str">
        <f>VLOOKUP(A709,'TB JUNE'!A:H,8,0)</f>
        <v>Not Applicable</v>
      </c>
    </row>
    <row r="710" spans="1:8" hidden="1">
      <c r="A710" s="62" t="s">
        <v>1470</v>
      </c>
      <c r="B710" s="73"/>
      <c r="C710" s="73">
        <v>4564</v>
      </c>
      <c r="D710" s="73">
        <v>4564</v>
      </c>
      <c r="E710" s="73"/>
      <c r="F710" s="42">
        <v>0</v>
      </c>
      <c r="G710" s="42">
        <f t="shared" ref="G710:G773" si="11">+E710+F710</f>
        <v>0</v>
      </c>
      <c r="H710" s="2" t="str">
        <f>VLOOKUP(A710,'TB JUNE'!A:H,8,0)</f>
        <v>Not Applicable</v>
      </c>
    </row>
    <row r="711" spans="1:8" hidden="1">
      <c r="A711" s="62" t="s">
        <v>555</v>
      </c>
      <c r="B711" s="73">
        <v>-1.82</v>
      </c>
      <c r="C711" s="73">
        <v>83956.64</v>
      </c>
      <c r="D711" s="73">
        <v>83579</v>
      </c>
      <c r="E711" s="73">
        <v>375.82</v>
      </c>
      <c r="F711" s="42">
        <v>0</v>
      </c>
      <c r="G711" s="42">
        <f t="shared" si="11"/>
        <v>375.82</v>
      </c>
      <c r="H711" s="2" t="str">
        <f>VLOOKUP(A711,'TB JUNE'!A:H,8,0)</f>
        <v>Not Applicable</v>
      </c>
    </row>
    <row r="712" spans="1:8" hidden="1">
      <c r="A712" s="62" t="s">
        <v>1312</v>
      </c>
      <c r="B712" s="73"/>
      <c r="C712" s="73"/>
      <c r="D712" s="73"/>
      <c r="E712" s="73"/>
      <c r="F712" s="42">
        <v>0</v>
      </c>
      <c r="G712" s="42">
        <f t="shared" si="11"/>
        <v>0</v>
      </c>
      <c r="H712" s="2" t="str">
        <f>VLOOKUP(A712,'TB JUNE'!A:H,8,0)</f>
        <v>Not Applicable</v>
      </c>
    </row>
    <row r="713" spans="1:8" hidden="1">
      <c r="A713" s="62" t="s">
        <v>1246</v>
      </c>
      <c r="B713" s="73">
        <v>-202703</v>
      </c>
      <c r="C713" s="73">
        <v>202703</v>
      </c>
      <c r="D713" s="73"/>
      <c r="E713" s="73"/>
      <c r="F713" s="42">
        <v>0</v>
      </c>
      <c r="G713" s="42">
        <f t="shared" si="11"/>
        <v>0</v>
      </c>
      <c r="H713" s="2" t="str">
        <f>VLOOKUP(A713,'TB JUNE'!A:H,8,0)</f>
        <v>Not Applicable</v>
      </c>
    </row>
    <row r="714" spans="1:8" hidden="1">
      <c r="A714" s="62" t="s">
        <v>1523</v>
      </c>
      <c r="B714" s="73"/>
      <c r="C714" s="73">
        <v>876881.25</v>
      </c>
      <c r="D714" s="73">
        <v>877625</v>
      </c>
      <c r="E714" s="73">
        <v>-743.75</v>
      </c>
      <c r="F714" s="42">
        <v>0</v>
      </c>
      <c r="G714" s="42">
        <f t="shared" si="11"/>
        <v>-743.75</v>
      </c>
      <c r="H714" s="2" t="str">
        <f>VLOOKUP(A714,'TB JUNE'!A:H,8,0)</f>
        <v>Not Applicable</v>
      </c>
    </row>
    <row r="715" spans="1:8" hidden="1">
      <c r="A715" s="62" t="s">
        <v>1101</v>
      </c>
      <c r="B715" s="73"/>
      <c r="C715" s="73"/>
      <c r="D715" s="73"/>
      <c r="E715" s="73"/>
      <c r="F715" s="42">
        <v>0</v>
      </c>
      <c r="G715" s="42">
        <f t="shared" si="11"/>
        <v>0</v>
      </c>
      <c r="H715" s="2" t="str">
        <f>VLOOKUP(A715,'TB JUNE'!A:H,8,0)</f>
        <v>Not Applicable</v>
      </c>
    </row>
    <row r="716" spans="1:8" hidden="1">
      <c r="A716" s="62" t="s">
        <v>549</v>
      </c>
      <c r="B716" s="73">
        <v>-1</v>
      </c>
      <c r="C716" s="73"/>
      <c r="D716" s="73"/>
      <c r="E716" s="73">
        <v>-1</v>
      </c>
      <c r="F716" s="42">
        <v>0</v>
      </c>
      <c r="G716" s="42">
        <f t="shared" si="11"/>
        <v>-1</v>
      </c>
      <c r="H716" s="2" t="str">
        <f>VLOOKUP(A716,'TB JUNE'!A:H,8,0)</f>
        <v>Not Applicable</v>
      </c>
    </row>
    <row r="717" spans="1:8" hidden="1">
      <c r="A717" s="62" t="s">
        <v>1471</v>
      </c>
      <c r="B717" s="73">
        <v>-20886</v>
      </c>
      <c r="C717" s="73">
        <v>20886</v>
      </c>
      <c r="D717" s="73"/>
      <c r="E717" s="73"/>
      <c r="F717" s="42">
        <v>0</v>
      </c>
      <c r="G717" s="42">
        <f t="shared" si="11"/>
        <v>0</v>
      </c>
      <c r="H717" s="2" t="str">
        <f>VLOOKUP(A717,'TB JUNE'!A:H,8,0)</f>
        <v>Not Applicable</v>
      </c>
    </row>
    <row r="718" spans="1:8" hidden="1">
      <c r="A718" s="62" t="s">
        <v>1359</v>
      </c>
      <c r="B718" s="73">
        <v>-13570</v>
      </c>
      <c r="C718" s="73">
        <v>24708</v>
      </c>
      <c r="D718" s="73">
        <v>120950</v>
      </c>
      <c r="E718" s="73">
        <v>-109812</v>
      </c>
      <c r="F718" s="42">
        <v>0</v>
      </c>
      <c r="G718" s="42">
        <f t="shared" si="11"/>
        <v>-109812</v>
      </c>
      <c r="H718" s="2" t="str">
        <f>VLOOKUP(A718,'TB JUNE'!A:H,8,0)</f>
        <v>Not Applicable</v>
      </c>
    </row>
    <row r="719" spans="1:8" hidden="1">
      <c r="A719" s="62" t="s">
        <v>1263</v>
      </c>
      <c r="B719" s="73">
        <v>-5648.3</v>
      </c>
      <c r="C719" s="73">
        <v>565190.5</v>
      </c>
      <c r="D719" s="73">
        <v>565196</v>
      </c>
      <c r="E719" s="73">
        <v>-5653.8</v>
      </c>
      <c r="F719" s="42">
        <v>0</v>
      </c>
      <c r="G719" s="42">
        <f t="shared" si="11"/>
        <v>-5653.8</v>
      </c>
      <c r="H719" s="2" t="str">
        <f>VLOOKUP(A719,'TB JUNE'!A:H,8,0)</f>
        <v>Not Applicable</v>
      </c>
    </row>
    <row r="720" spans="1:8" hidden="1">
      <c r="A720" s="62" t="s">
        <v>869</v>
      </c>
      <c r="B720" s="73">
        <v>-233175</v>
      </c>
      <c r="C720" s="73"/>
      <c r="D720" s="73"/>
      <c r="E720" s="73">
        <v>-233175</v>
      </c>
      <c r="F720" s="42">
        <v>0</v>
      </c>
      <c r="G720" s="42">
        <f t="shared" si="11"/>
        <v>-233175</v>
      </c>
      <c r="H720" s="2" t="str">
        <f>VLOOKUP(A720,'TB JUNE'!A:H,8,0)</f>
        <v>Not Applicable</v>
      </c>
    </row>
    <row r="721" spans="1:8" hidden="1">
      <c r="A721" s="62" t="s">
        <v>541</v>
      </c>
      <c r="B721" s="73">
        <v>-267011.21000000002</v>
      </c>
      <c r="C721" s="73">
        <v>1817200</v>
      </c>
      <c r="D721" s="73">
        <v>1817200</v>
      </c>
      <c r="E721" s="73">
        <v>-267011.21000000002</v>
      </c>
      <c r="F721" s="42">
        <v>0</v>
      </c>
      <c r="G721" s="42">
        <f t="shared" si="11"/>
        <v>-267011.21000000002</v>
      </c>
      <c r="H721" s="2" t="str">
        <f>VLOOKUP(A721,'TB JUNE'!A:H,8,0)</f>
        <v>Not Applicable</v>
      </c>
    </row>
    <row r="722" spans="1:8" hidden="1">
      <c r="A722" s="62" t="s">
        <v>543</v>
      </c>
      <c r="B722" s="73"/>
      <c r="C722" s="73">
        <v>461675</v>
      </c>
      <c r="D722" s="73">
        <v>461675</v>
      </c>
      <c r="E722" s="73"/>
      <c r="F722" s="42">
        <v>0</v>
      </c>
      <c r="G722" s="42">
        <f t="shared" si="11"/>
        <v>0</v>
      </c>
      <c r="H722" s="2" t="str">
        <f>VLOOKUP(A722,'TB JUNE'!A:H,8,0)</f>
        <v>Not Applicable</v>
      </c>
    </row>
    <row r="723" spans="1:8" hidden="1">
      <c r="A723" s="62" t="s">
        <v>1040</v>
      </c>
      <c r="B723" s="73"/>
      <c r="C723" s="73">
        <v>52800</v>
      </c>
      <c r="D723" s="73">
        <v>52800</v>
      </c>
      <c r="E723" s="73"/>
      <c r="F723" s="42">
        <v>0</v>
      </c>
      <c r="G723" s="42">
        <f t="shared" si="11"/>
        <v>0</v>
      </c>
      <c r="H723" s="2" t="str">
        <f>VLOOKUP(A723,'TB JUNE'!A:H,8,0)</f>
        <v>Not Applicable</v>
      </c>
    </row>
    <row r="724" spans="1:8" hidden="1">
      <c r="A724" s="62" t="s">
        <v>1336</v>
      </c>
      <c r="B724" s="73">
        <v>-590000.12</v>
      </c>
      <c r="C724" s="73">
        <v>2841570.98</v>
      </c>
      <c r="D724" s="73">
        <v>2469150</v>
      </c>
      <c r="E724" s="73">
        <v>-217579.14</v>
      </c>
      <c r="F724" s="42">
        <v>0</v>
      </c>
      <c r="G724" s="42">
        <f t="shared" si="11"/>
        <v>-217579.14</v>
      </c>
      <c r="H724" s="2" t="str">
        <f>VLOOKUP(A724,'TB JUNE'!A:H,8,0)</f>
        <v>Not Applicable</v>
      </c>
    </row>
    <row r="725" spans="1:8" hidden="1">
      <c r="A725" s="62" t="s">
        <v>1472</v>
      </c>
      <c r="B725" s="73"/>
      <c r="C725" s="73"/>
      <c r="D725" s="73"/>
      <c r="E725" s="73"/>
      <c r="F725" s="42">
        <v>0</v>
      </c>
      <c r="G725" s="42">
        <f t="shared" si="11"/>
        <v>0</v>
      </c>
      <c r="H725" s="2" t="s">
        <v>84</v>
      </c>
    </row>
    <row r="726" spans="1:8" hidden="1">
      <c r="A726" s="62" t="s">
        <v>1039</v>
      </c>
      <c r="B726" s="73"/>
      <c r="C726" s="73">
        <v>52800</v>
      </c>
      <c r="D726" s="73">
        <v>52800</v>
      </c>
      <c r="E726" s="73"/>
      <c r="F726" s="42">
        <v>0</v>
      </c>
      <c r="G726" s="42">
        <f t="shared" si="11"/>
        <v>0</v>
      </c>
      <c r="H726" s="2" t="str">
        <f>VLOOKUP(A726,'TB JUNE'!A:H,8,0)</f>
        <v>Not Applicable</v>
      </c>
    </row>
    <row r="727" spans="1:8" hidden="1">
      <c r="A727" s="62" t="s">
        <v>980</v>
      </c>
      <c r="B727" s="73">
        <v>590</v>
      </c>
      <c r="C727" s="73"/>
      <c r="D727" s="73"/>
      <c r="E727" s="73">
        <v>590</v>
      </c>
      <c r="F727" s="42">
        <v>0</v>
      </c>
      <c r="G727" s="42">
        <f t="shared" si="11"/>
        <v>590</v>
      </c>
      <c r="H727" s="2" t="str">
        <f>VLOOKUP(A727,'TB JUNE'!A:H,8,0)</f>
        <v>Not Applicable</v>
      </c>
    </row>
    <row r="728" spans="1:8" hidden="1">
      <c r="A728" s="62" t="s">
        <v>531</v>
      </c>
      <c r="B728" s="73"/>
      <c r="C728" s="73">
        <v>9458</v>
      </c>
      <c r="D728" s="73">
        <v>9458</v>
      </c>
      <c r="E728" s="73"/>
      <c r="F728" s="42">
        <v>0</v>
      </c>
      <c r="G728" s="42">
        <f t="shared" si="11"/>
        <v>0</v>
      </c>
      <c r="H728" s="2" t="str">
        <f>VLOOKUP(A728,'TB JUNE'!A:H,8,0)</f>
        <v>Not Applicable</v>
      </c>
    </row>
    <row r="729" spans="1:8" hidden="1">
      <c r="A729" s="62" t="s">
        <v>1473</v>
      </c>
      <c r="B729" s="73"/>
      <c r="C729" s="73">
        <v>22637</v>
      </c>
      <c r="D729" s="73">
        <v>31258</v>
      </c>
      <c r="E729" s="73">
        <v>-8621</v>
      </c>
      <c r="F729" s="42">
        <v>0</v>
      </c>
      <c r="G729" s="42">
        <f t="shared" si="11"/>
        <v>-8621</v>
      </c>
      <c r="H729" s="2" t="str">
        <f>VLOOKUP(A729,'TB JUNE'!A:H,8,0)</f>
        <v>Not Applicable</v>
      </c>
    </row>
    <row r="730" spans="1:8" hidden="1">
      <c r="A730" s="62" t="s">
        <v>1610</v>
      </c>
      <c r="B730" s="73"/>
      <c r="C730" s="73"/>
      <c r="D730" s="73">
        <v>1081045</v>
      </c>
      <c r="E730" s="73">
        <v>-1081045</v>
      </c>
      <c r="F730" s="42">
        <v>0</v>
      </c>
      <c r="G730" s="42">
        <f t="shared" si="11"/>
        <v>-1081045</v>
      </c>
      <c r="H730" s="2" t="s">
        <v>84</v>
      </c>
    </row>
    <row r="731" spans="1:8" hidden="1">
      <c r="A731" s="62" t="s">
        <v>524</v>
      </c>
      <c r="B731" s="73">
        <v>-112</v>
      </c>
      <c r="C731" s="73"/>
      <c r="D731" s="73"/>
      <c r="E731" s="73">
        <v>-112</v>
      </c>
      <c r="F731" s="42">
        <v>0</v>
      </c>
      <c r="G731" s="42">
        <f t="shared" si="11"/>
        <v>-112</v>
      </c>
      <c r="H731" s="2" t="str">
        <f>VLOOKUP(A731,'TB JUNE'!A:H,8,0)</f>
        <v>Not Applicable</v>
      </c>
    </row>
    <row r="732" spans="1:8" hidden="1">
      <c r="A732" s="62" t="s">
        <v>518</v>
      </c>
      <c r="B732" s="73">
        <v>-26359205</v>
      </c>
      <c r="C732" s="73"/>
      <c r="D732" s="73"/>
      <c r="E732" s="73">
        <v>-26359205</v>
      </c>
      <c r="F732" s="42">
        <v>0</v>
      </c>
      <c r="G732" s="42">
        <f t="shared" si="11"/>
        <v>-26359205</v>
      </c>
      <c r="H732" s="2" t="str">
        <f>VLOOKUP(A732,'TB JUNE'!A:H,8,0)</f>
        <v>Not Applicable</v>
      </c>
    </row>
    <row r="733" spans="1:8" hidden="1">
      <c r="A733" s="62" t="s">
        <v>514</v>
      </c>
      <c r="B733" s="73">
        <v>-408514348.66000003</v>
      </c>
      <c r="C733" s="73"/>
      <c r="D733" s="73"/>
      <c r="E733" s="73">
        <v>-408514348.66000003</v>
      </c>
      <c r="F733" s="42">
        <v>0</v>
      </c>
      <c r="G733" s="42">
        <f t="shared" si="11"/>
        <v>-408514348.66000003</v>
      </c>
      <c r="H733" s="2" t="str">
        <f>VLOOKUP(A733,'TB JUNE'!A:H,8,0)</f>
        <v>Not Applicable</v>
      </c>
    </row>
    <row r="734" spans="1:8" hidden="1">
      <c r="A734" s="62" t="s">
        <v>513</v>
      </c>
      <c r="B734" s="73">
        <v>-273011778.32999998</v>
      </c>
      <c r="C734" s="73"/>
      <c r="D734" s="73"/>
      <c r="E734" s="73">
        <v>-273011778.32999998</v>
      </c>
      <c r="F734" s="42">
        <v>0</v>
      </c>
      <c r="G734" s="42">
        <f t="shared" si="11"/>
        <v>-273011778.32999998</v>
      </c>
      <c r="H734" s="2" t="str">
        <f>VLOOKUP(A734,'TB JUNE'!A:H,8,0)</f>
        <v>Not Applicable</v>
      </c>
    </row>
    <row r="735" spans="1:8" hidden="1">
      <c r="A735" s="62" t="s">
        <v>1576</v>
      </c>
      <c r="B735" s="73"/>
      <c r="C735" s="73"/>
      <c r="D735" s="73">
        <v>3540</v>
      </c>
      <c r="E735" s="73">
        <v>-3540</v>
      </c>
      <c r="F735" s="42">
        <v>0</v>
      </c>
      <c r="G735" s="42">
        <f t="shared" si="11"/>
        <v>-3540</v>
      </c>
      <c r="H735" s="2" t="str">
        <f>VLOOKUP(A735,'TB JUNE'!A:H,8,0)</f>
        <v>Not Applicable</v>
      </c>
    </row>
    <row r="736" spans="1:8" hidden="1">
      <c r="A736" s="62" t="s">
        <v>1524</v>
      </c>
      <c r="B736" s="73"/>
      <c r="C736" s="73">
        <v>329051</v>
      </c>
      <c r="D736" s="73">
        <v>544973</v>
      </c>
      <c r="E736" s="73">
        <v>-215922</v>
      </c>
      <c r="F736" s="42">
        <v>0</v>
      </c>
      <c r="G736" s="42">
        <f t="shared" si="11"/>
        <v>-215922</v>
      </c>
      <c r="H736" s="2" t="str">
        <f>VLOOKUP(A736,'TB JUNE'!A:H,8,0)</f>
        <v>Not Applicable</v>
      </c>
    </row>
    <row r="737" spans="1:8" hidden="1">
      <c r="A737" s="62" t="s">
        <v>510</v>
      </c>
      <c r="B737" s="73">
        <v>-3500</v>
      </c>
      <c r="C737" s="73"/>
      <c r="D737" s="73"/>
      <c r="E737" s="73">
        <v>-3500</v>
      </c>
      <c r="F737" s="42">
        <v>0</v>
      </c>
      <c r="G737" s="42">
        <f t="shared" si="11"/>
        <v>-3500</v>
      </c>
      <c r="H737" s="2" t="str">
        <f>VLOOKUP(A737,'TB JUNE'!A:H,8,0)</f>
        <v>Not Applicable</v>
      </c>
    </row>
    <row r="738" spans="1:8" hidden="1">
      <c r="A738" s="62" t="s">
        <v>1360</v>
      </c>
      <c r="B738" s="73">
        <v>-36270</v>
      </c>
      <c r="C738" s="73">
        <v>36270</v>
      </c>
      <c r="D738" s="73"/>
      <c r="E738" s="73"/>
      <c r="F738" s="42">
        <v>0</v>
      </c>
      <c r="G738" s="42">
        <f t="shared" si="11"/>
        <v>0</v>
      </c>
      <c r="H738" s="2" t="str">
        <f>VLOOKUP(A738,'TB JUNE'!A:H,8,0)</f>
        <v>Not Applicable</v>
      </c>
    </row>
    <row r="739" spans="1:8" hidden="1">
      <c r="A739" s="62" t="s">
        <v>909</v>
      </c>
      <c r="B739" s="73"/>
      <c r="C739" s="73"/>
      <c r="D739" s="73"/>
      <c r="E739" s="73"/>
      <c r="F739" s="42">
        <v>0</v>
      </c>
      <c r="G739" s="42">
        <f t="shared" si="11"/>
        <v>0</v>
      </c>
      <c r="H739" s="2" t="str">
        <f>VLOOKUP(A739,'TB JUNE'!A:H,8,0)</f>
        <v>Not Applicable</v>
      </c>
    </row>
    <row r="740" spans="1:8" hidden="1">
      <c r="A740" s="62" t="s">
        <v>506</v>
      </c>
      <c r="B740" s="73">
        <v>-0.12</v>
      </c>
      <c r="C740" s="73"/>
      <c r="D740" s="73"/>
      <c r="E740" s="73">
        <v>-0.12</v>
      </c>
      <c r="F740" s="42">
        <v>0</v>
      </c>
      <c r="G740" s="42">
        <f t="shared" si="11"/>
        <v>-0.12</v>
      </c>
      <c r="H740" s="2" t="str">
        <f>VLOOKUP(A740,'TB JUNE'!A:H,8,0)</f>
        <v>Not Applicable</v>
      </c>
    </row>
    <row r="741" spans="1:8" hidden="1">
      <c r="A741" s="62" t="s">
        <v>507</v>
      </c>
      <c r="B741" s="73">
        <v>-143345.60999999999</v>
      </c>
      <c r="C741" s="73"/>
      <c r="D741" s="73"/>
      <c r="E741" s="73">
        <v>-143345.60999999999</v>
      </c>
      <c r="F741" s="42">
        <v>0</v>
      </c>
      <c r="G741" s="42">
        <f t="shared" si="11"/>
        <v>-143345.60999999999</v>
      </c>
      <c r="H741" s="2" t="str">
        <f>VLOOKUP(A741,'TB JUNE'!A:H,8,0)</f>
        <v>Not Applicable</v>
      </c>
    </row>
    <row r="742" spans="1:8" hidden="1">
      <c r="A742" s="62" t="s">
        <v>505</v>
      </c>
      <c r="B742" s="73"/>
      <c r="C742" s="73"/>
      <c r="D742" s="73"/>
      <c r="E742" s="73"/>
      <c r="F742" s="42">
        <v>0</v>
      </c>
      <c r="G742" s="42">
        <f t="shared" si="11"/>
        <v>0</v>
      </c>
      <c r="H742" s="2" t="str">
        <f>VLOOKUP(A742,'TB JUNE'!A:H,8,0)</f>
        <v>Not Applicable</v>
      </c>
    </row>
    <row r="743" spans="1:8" hidden="1">
      <c r="A743" s="62" t="s">
        <v>504</v>
      </c>
      <c r="B743" s="73">
        <v>-63838054.280000001</v>
      </c>
      <c r="C743" s="73"/>
      <c r="D743" s="73"/>
      <c r="E743" s="73">
        <v>-63838054.280000001</v>
      </c>
      <c r="F743" s="42">
        <v>0</v>
      </c>
      <c r="G743" s="42">
        <f t="shared" si="11"/>
        <v>-63838054.280000001</v>
      </c>
      <c r="H743" s="2" t="str">
        <f>VLOOKUP(A743,'TB JUNE'!A:H,8,0)</f>
        <v>Not Applicable</v>
      </c>
    </row>
    <row r="744" spans="1:8" hidden="1">
      <c r="A744" s="62" t="s">
        <v>502</v>
      </c>
      <c r="B744" s="73">
        <v>-2304483139.4699998</v>
      </c>
      <c r="C744" s="73">
        <v>402839.85</v>
      </c>
      <c r="D744" s="73">
        <v>87736367.989999995</v>
      </c>
      <c r="E744" s="73">
        <v>-2391816667.6100001</v>
      </c>
      <c r="F744" s="42">
        <v>0</v>
      </c>
      <c r="G744" s="42">
        <f t="shared" si="11"/>
        <v>-2391816667.6100001</v>
      </c>
      <c r="H744" s="2" t="str">
        <f>VLOOKUP(A744,'TB JUNE'!A:H,8,0)</f>
        <v>Not Applicable</v>
      </c>
    </row>
    <row r="745" spans="1:8" hidden="1">
      <c r="A745" s="62" t="s">
        <v>501</v>
      </c>
      <c r="B745" s="73">
        <v>9711150</v>
      </c>
      <c r="C745" s="73"/>
      <c r="D745" s="73"/>
      <c r="E745" s="73">
        <v>9711150</v>
      </c>
      <c r="F745" s="42">
        <v>0</v>
      </c>
      <c r="G745" s="42">
        <f t="shared" si="11"/>
        <v>9711150</v>
      </c>
      <c r="H745" s="2" t="str">
        <f>VLOOKUP(A745,'TB JUNE'!A:H,8,0)</f>
        <v>Not Applicable</v>
      </c>
    </row>
    <row r="746" spans="1:8" hidden="1">
      <c r="A746" s="62" t="s">
        <v>499</v>
      </c>
      <c r="B746" s="73">
        <v>142144.26</v>
      </c>
      <c r="C746" s="73"/>
      <c r="D746" s="73"/>
      <c r="E746" s="73">
        <v>142144.26</v>
      </c>
      <c r="F746" s="42">
        <v>0</v>
      </c>
      <c r="G746" s="42">
        <f t="shared" si="11"/>
        <v>142144.26</v>
      </c>
      <c r="H746" s="2" t="str">
        <f>VLOOKUP(A746,'TB JUNE'!A:H,8,0)</f>
        <v>Not Applicable</v>
      </c>
    </row>
    <row r="747" spans="1:8" hidden="1">
      <c r="A747" s="62" t="s">
        <v>500</v>
      </c>
      <c r="B747" s="73">
        <v>-11315312.48</v>
      </c>
      <c r="C747" s="73"/>
      <c r="D747" s="73"/>
      <c r="E747" s="73">
        <v>-11315312.48</v>
      </c>
      <c r="F747" s="42">
        <v>0</v>
      </c>
      <c r="G747" s="42">
        <f t="shared" si="11"/>
        <v>-11315312.48</v>
      </c>
      <c r="H747" s="2" t="str">
        <f>VLOOKUP(A747,'TB JUNE'!A:H,8,0)</f>
        <v>Not Applicable</v>
      </c>
    </row>
    <row r="748" spans="1:8" hidden="1">
      <c r="A748" s="62" t="s">
        <v>498</v>
      </c>
      <c r="B748" s="73">
        <v>-201420265.81999999</v>
      </c>
      <c r="C748" s="73"/>
      <c r="D748" s="73"/>
      <c r="E748" s="73">
        <v>-201420265.81999999</v>
      </c>
      <c r="F748" s="42">
        <v>0</v>
      </c>
      <c r="G748" s="42">
        <f t="shared" si="11"/>
        <v>-201420265.81999999</v>
      </c>
      <c r="H748" s="2" t="str">
        <f>VLOOKUP(A748,'TB JUNE'!A:H,8,0)</f>
        <v>Not Applicable</v>
      </c>
    </row>
    <row r="749" spans="1:8" hidden="1">
      <c r="A749" s="62" t="s">
        <v>497</v>
      </c>
      <c r="B749" s="73">
        <v>-168073662.58000001</v>
      </c>
      <c r="C749" s="73"/>
      <c r="D749" s="73">
        <v>1364534.38</v>
      </c>
      <c r="E749" s="73">
        <v>-169438196.96000001</v>
      </c>
      <c r="F749" s="42">
        <v>0</v>
      </c>
      <c r="G749" s="42">
        <f t="shared" si="11"/>
        <v>-169438196.96000001</v>
      </c>
      <c r="H749" s="2" t="str">
        <f>VLOOKUP(A749,'TB JUNE'!A:H,8,0)</f>
        <v>Not Applicable</v>
      </c>
    </row>
    <row r="750" spans="1:8" hidden="1">
      <c r="A750" s="62" t="s">
        <v>1526</v>
      </c>
      <c r="B750" s="73"/>
      <c r="C750" s="73">
        <v>5496792.5</v>
      </c>
      <c r="D750" s="73">
        <v>5496792.75</v>
      </c>
      <c r="E750" s="73">
        <v>-0.25</v>
      </c>
      <c r="F750" s="42">
        <v>0</v>
      </c>
      <c r="G750" s="42">
        <f t="shared" si="11"/>
        <v>-0.25</v>
      </c>
      <c r="H750" s="2" t="str">
        <f>VLOOKUP(A750,'TB JUNE'!A:H,8,0)</f>
        <v>Not Applicable</v>
      </c>
    </row>
    <row r="751" spans="1:8" hidden="1">
      <c r="A751" s="62" t="s">
        <v>908</v>
      </c>
      <c r="B751" s="73">
        <v>40000</v>
      </c>
      <c r="C751" s="73"/>
      <c r="D751" s="73"/>
      <c r="E751" s="73">
        <v>40000</v>
      </c>
      <c r="F751" s="42">
        <v>0</v>
      </c>
      <c r="G751" s="42">
        <f t="shared" si="11"/>
        <v>40000</v>
      </c>
      <c r="H751" s="2" t="str">
        <f>VLOOKUP(A751,'TB JUNE'!A:H,8,0)</f>
        <v>Not Applicable</v>
      </c>
    </row>
    <row r="752" spans="1:8" hidden="1">
      <c r="A752" s="62" t="s">
        <v>1059</v>
      </c>
      <c r="B752" s="73">
        <v>-301099</v>
      </c>
      <c r="C752" s="73"/>
      <c r="D752" s="73"/>
      <c r="E752" s="73">
        <v>-301099</v>
      </c>
      <c r="F752" s="42">
        <v>0</v>
      </c>
      <c r="G752" s="42">
        <f t="shared" si="11"/>
        <v>-301099</v>
      </c>
      <c r="H752" s="2" t="str">
        <f>VLOOKUP(A752,'TB JUNE'!A:H,8,0)</f>
        <v>Not Applicable</v>
      </c>
    </row>
    <row r="753" spans="1:8" hidden="1">
      <c r="A753" s="62" t="s">
        <v>1361</v>
      </c>
      <c r="B753" s="73">
        <v>30</v>
      </c>
      <c r="C753" s="73"/>
      <c r="D753" s="73"/>
      <c r="E753" s="73">
        <v>30</v>
      </c>
      <c r="F753" s="42">
        <v>0</v>
      </c>
      <c r="G753" s="42">
        <f t="shared" si="11"/>
        <v>30</v>
      </c>
      <c r="H753" s="2" t="str">
        <f>VLOOKUP(A753,'TB JUNE'!A:H,8,0)</f>
        <v>Not Applicable</v>
      </c>
    </row>
    <row r="754" spans="1:8" hidden="1">
      <c r="A754" s="62" t="s">
        <v>1362</v>
      </c>
      <c r="B754" s="73">
        <v>41300</v>
      </c>
      <c r="C754" s="73"/>
      <c r="D754" s="73">
        <v>41300</v>
      </c>
      <c r="E754" s="73"/>
      <c r="F754" s="42">
        <v>0</v>
      </c>
      <c r="G754" s="42">
        <f t="shared" si="11"/>
        <v>0</v>
      </c>
      <c r="H754" s="2" t="str">
        <f>VLOOKUP(A754,'TB JUNE'!A:H,8,0)</f>
        <v>Not Applicable</v>
      </c>
    </row>
    <row r="755" spans="1:8" hidden="1">
      <c r="A755" s="62" t="s">
        <v>480</v>
      </c>
      <c r="B755" s="73"/>
      <c r="C755" s="73">
        <v>463</v>
      </c>
      <c r="D755" s="73">
        <v>463</v>
      </c>
      <c r="E755" s="73"/>
      <c r="F755" s="42">
        <v>0</v>
      </c>
      <c r="G755" s="42">
        <f t="shared" si="11"/>
        <v>0</v>
      </c>
      <c r="H755" s="2" t="str">
        <f>VLOOKUP(A755,'TB JUNE'!A:H,8,0)</f>
        <v>Not Applicable</v>
      </c>
    </row>
    <row r="756" spans="1:8" hidden="1">
      <c r="A756" s="62" t="s">
        <v>474</v>
      </c>
      <c r="B756" s="73"/>
      <c r="C756" s="73">
        <v>4600</v>
      </c>
      <c r="D756" s="73">
        <v>4600</v>
      </c>
      <c r="E756" s="73"/>
      <c r="F756" s="42">
        <v>0</v>
      </c>
      <c r="G756" s="42">
        <f t="shared" si="11"/>
        <v>0</v>
      </c>
      <c r="H756" s="2" t="str">
        <f>VLOOKUP(A756,'TB JUNE'!A:H,8,0)</f>
        <v>Not Applicable</v>
      </c>
    </row>
    <row r="757" spans="1:8" hidden="1">
      <c r="A757" s="62" t="s">
        <v>898</v>
      </c>
      <c r="B757" s="73">
        <v>200</v>
      </c>
      <c r="C757" s="73"/>
      <c r="D757" s="73"/>
      <c r="E757" s="73">
        <v>200</v>
      </c>
      <c r="F757" s="42">
        <v>0</v>
      </c>
      <c r="G757" s="42">
        <f t="shared" si="11"/>
        <v>200</v>
      </c>
      <c r="H757" s="2" t="str">
        <f>VLOOKUP(A757,'TB JUNE'!A:H,8,0)</f>
        <v>Not Applicable</v>
      </c>
    </row>
    <row r="758" spans="1:8" hidden="1">
      <c r="A758" s="62" t="s">
        <v>476</v>
      </c>
      <c r="B758" s="73"/>
      <c r="C758" s="73">
        <v>7080</v>
      </c>
      <c r="D758" s="73">
        <v>7080</v>
      </c>
      <c r="E758" s="73"/>
      <c r="F758" s="42">
        <v>0</v>
      </c>
      <c r="G758" s="42">
        <f t="shared" si="11"/>
        <v>0</v>
      </c>
      <c r="H758" s="2" t="str">
        <f>VLOOKUP(A758,'TB JUNE'!A:H,8,0)</f>
        <v>Not Applicable</v>
      </c>
    </row>
    <row r="759" spans="1:8" hidden="1">
      <c r="A759" s="62" t="s">
        <v>479</v>
      </c>
      <c r="B759" s="73"/>
      <c r="C759" s="73"/>
      <c r="D759" s="73"/>
      <c r="E759" s="73"/>
      <c r="F759" s="42">
        <v>0</v>
      </c>
      <c r="G759" s="42">
        <f t="shared" si="11"/>
        <v>0</v>
      </c>
      <c r="H759" s="2" t="str">
        <f>VLOOKUP(A759,'TB JUNE'!A:H,8,0)</f>
        <v>Not Applicable</v>
      </c>
    </row>
    <row r="760" spans="1:8" hidden="1">
      <c r="A760" s="62" t="s">
        <v>1577</v>
      </c>
      <c r="B760" s="73"/>
      <c r="C760" s="73">
        <v>3658</v>
      </c>
      <c r="D760" s="73">
        <v>3658</v>
      </c>
      <c r="E760" s="73"/>
      <c r="F760" s="42">
        <v>0</v>
      </c>
      <c r="G760" s="42">
        <f t="shared" si="11"/>
        <v>0</v>
      </c>
      <c r="H760" s="2" t="str">
        <f>VLOOKUP(A760,'TB JUNE'!A:H,8,0)</f>
        <v>Not Applicable</v>
      </c>
    </row>
    <row r="761" spans="1:8" hidden="1">
      <c r="A761" s="62" t="s">
        <v>1065</v>
      </c>
      <c r="B761" s="73"/>
      <c r="C761" s="73">
        <v>21240</v>
      </c>
      <c r="D761" s="73"/>
      <c r="E761" s="73">
        <v>21240</v>
      </c>
      <c r="F761" s="42">
        <v>0</v>
      </c>
      <c r="G761" s="42">
        <f t="shared" si="11"/>
        <v>21240</v>
      </c>
      <c r="H761" s="2" t="str">
        <f>VLOOKUP(A761,'TB JUNE'!A:H,8,0)</f>
        <v>Not Applicable</v>
      </c>
    </row>
    <row r="762" spans="1:8" hidden="1">
      <c r="A762" s="62" t="s">
        <v>1313</v>
      </c>
      <c r="B762" s="73"/>
      <c r="C762" s="73"/>
      <c r="D762" s="73"/>
      <c r="E762" s="73"/>
      <c r="F762" s="42">
        <v>0</v>
      </c>
      <c r="G762" s="42">
        <f t="shared" si="11"/>
        <v>0</v>
      </c>
      <c r="H762" s="2" t="s">
        <v>84</v>
      </c>
    </row>
    <row r="763" spans="1:8" hidden="1">
      <c r="A763" s="62" t="s">
        <v>468</v>
      </c>
      <c r="B763" s="73">
        <v>-15139</v>
      </c>
      <c r="C763" s="73"/>
      <c r="D763" s="73"/>
      <c r="E763" s="73">
        <v>-15139</v>
      </c>
      <c r="F763" s="42">
        <v>0</v>
      </c>
      <c r="G763" s="42">
        <f t="shared" si="11"/>
        <v>-15139</v>
      </c>
      <c r="H763" s="2" t="str">
        <f>VLOOKUP(A763,'TB JUNE'!A:H,8,0)</f>
        <v>Not Applicable</v>
      </c>
    </row>
    <row r="764" spans="1:8" hidden="1">
      <c r="A764" s="62" t="s">
        <v>1064</v>
      </c>
      <c r="B764" s="73">
        <v>-0.89</v>
      </c>
      <c r="C764" s="73">
        <v>20945</v>
      </c>
      <c r="D764" s="73">
        <v>11859</v>
      </c>
      <c r="E764" s="73">
        <v>9085.11</v>
      </c>
      <c r="F764" s="42">
        <v>0</v>
      </c>
      <c r="G764" s="42">
        <f t="shared" si="11"/>
        <v>9085.11</v>
      </c>
      <c r="H764" s="2" t="str">
        <f>VLOOKUP(A764,'TB JUNE'!A:H,8,0)</f>
        <v>Not Applicable</v>
      </c>
    </row>
    <row r="765" spans="1:8" hidden="1">
      <c r="A765" s="62" t="s">
        <v>1364</v>
      </c>
      <c r="B765" s="73">
        <v>40000</v>
      </c>
      <c r="C765" s="73"/>
      <c r="D765" s="73"/>
      <c r="E765" s="73">
        <v>40000</v>
      </c>
      <c r="F765" s="42">
        <v>0</v>
      </c>
      <c r="G765" s="42">
        <f t="shared" si="11"/>
        <v>40000</v>
      </c>
      <c r="H765" s="2" t="str">
        <f>VLOOKUP(A765,'TB JUNE'!A:H,8,0)</f>
        <v>Not Applicable</v>
      </c>
    </row>
    <row r="766" spans="1:8" hidden="1">
      <c r="A766" s="62" t="s">
        <v>1098</v>
      </c>
      <c r="B766" s="73">
        <v>-1890</v>
      </c>
      <c r="C766" s="73"/>
      <c r="D766" s="73"/>
      <c r="E766" s="73">
        <v>-1890</v>
      </c>
      <c r="F766" s="42">
        <v>0</v>
      </c>
      <c r="G766" s="42">
        <f t="shared" si="11"/>
        <v>-1890</v>
      </c>
      <c r="H766" s="2" t="str">
        <f>VLOOKUP(A766,'TB JUNE'!A:H,8,0)</f>
        <v>Not Applicable</v>
      </c>
    </row>
    <row r="767" spans="1:8" hidden="1">
      <c r="A767" s="62" t="s">
        <v>1527</v>
      </c>
      <c r="B767" s="73"/>
      <c r="C767" s="73">
        <v>2124</v>
      </c>
      <c r="D767" s="73">
        <v>2124</v>
      </c>
      <c r="E767" s="73"/>
      <c r="F767" s="42">
        <v>0</v>
      </c>
      <c r="G767" s="42">
        <f t="shared" si="11"/>
        <v>0</v>
      </c>
      <c r="H767" s="2" t="str">
        <f>VLOOKUP(A767,'TB JUNE'!A:H,8,0)</f>
        <v>Not Applicable</v>
      </c>
    </row>
    <row r="768" spans="1:8" hidden="1">
      <c r="A768" s="62" t="s">
        <v>1338</v>
      </c>
      <c r="B768" s="73"/>
      <c r="C768" s="73">
        <v>17000</v>
      </c>
      <c r="D768" s="73">
        <v>17000</v>
      </c>
      <c r="E768" s="73"/>
      <c r="F768" s="42">
        <v>0</v>
      </c>
      <c r="G768" s="42">
        <f t="shared" si="11"/>
        <v>0</v>
      </c>
      <c r="H768" s="2" t="str">
        <f>VLOOKUP(A768,'TB JUNE'!A:H,8,0)</f>
        <v>Not Applicable</v>
      </c>
    </row>
    <row r="769" spans="1:8" hidden="1">
      <c r="A769" s="62" t="s">
        <v>1528</v>
      </c>
      <c r="B769" s="73"/>
      <c r="C769" s="73">
        <v>14750</v>
      </c>
      <c r="D769" s="73">
        <v>14750</v>
      </c>
      <c r="E769" s="73"/>
      <c r="F769" s="42">
        <v>0</v>
      </c>
      <c r="G769" s="42">
        <f t="shared" si="11"/>
        <v>0</v>
      </c>
      <c r="H769" s="2" t="str">
        <f>VLOOKUP(A769,'TB JUNE'!A:H,8,0)</f>
        <v>Not Applicable</v>
      </c>
    </row>
    <row r="770" spans="1:8" hidden="1">
      <c r="A770" s="62" t="s">
        <v>448</v>
      </c>
      <c r="B770" s="73">
        <v>-49798</v>
      </c>
      <c r="C770" s="73">
        <v>273957</v>
      </c>
      <c r="D770" s="73">
        <v>224159</v>
      </c>
      <c r="E770" s="73"/>
      <c r="F770" s="42">
        <v>0</v>
      </c>
      <c r="G770" s="42">
        <f t="shared" si="11"/>
        <v>0</v>
      </c>
      <c r="H770" s="2" t="str">
        <f>VLOOKUP(A770,'TB JUNE'!A:H,8,0)</f>
        <v>Not Applicable</v>
      </c>
    </row>
    <row r="771" spans="1:8" hidden="1">
      <c r="A771" s="62" t="s">
        <v>410</v>
      </c>
      <c r="B771" s="73">
        <v>-64676.56</v>
      </c>
      <c r="C771" s="73">
        <v>52700</v>
      </c>
      <c r="D771" s="73">
        <v>36344</v>
      </c>
      <c r="E771" s="73">
        <v>-48320.56</v>
      </c>
      <c r="F771" s="42">
        <v>0</v>
      </c>
      <c r="G771" s="42">
        <f t="shared" si="11"/>
        <v>-48320.56</v>
      </c>
      <c r="H771" s="2" t="str">
        <f>VLOOKUP(A771,'TB JUNE'!A:H,8,0)</f>
        <v>Not Applicable</v>
      </c>
    </row>
    <row r="772" spans="1:8" hidden="1">
      <c r="A772" s="62" t="s">
        <v>1293</v>
      </c>
      <c r="B772" s="73">
        <v>-42120</v>
      </c>
      <c r="C772" s="73"/>
      <c r="D772" s="73"/>
      <c r="E772" s="73">
        <v>-42120</v>
      </c>
      <c r="F772" s="42">
        <v>0</v>
      </c>
      <c r="G772" s="42">
        <f t="shared" si="11"/>
        <v>-42120</v>
      </c>
      <c r="H772" s="2" t="str">
        <f>VLOOKUP(A772,'TB JUNE'!A:H,8,0)</f>
        <v>Not Applicable</v>
      </c>
    </row>
    <row r="773" spans="1:8" hidden="1">
      <c r="A773" s="62" t="s">
        <v>1340</v>
      </c>
      <c r="B773" s="73">
        <v>-60416</v>
      </c>
      <c r="C773" s="73">
        <v>60416</v>
      </c>
      <c r="D773" s="73"/>
      <c r="E773" s="73"/>
      <c r="F773" s="42">
        <v>0</v>
      </c>
      <c r="G773" s="42">
        <f t="shared" si="11"/>
        <v>0</v>
      </c>
      <c r="H773" s="2" t="str">
        <f>VLOOKUP(A773,'TB JUNE'!A:H,8,0)</f>
        <v>Not Applicable</v>
      </c>
    </row>
    <row r="774" spans="1:8" hidden="1">
      <c r="A774" s="62" t="s">
        <v>1266</v>
      </c>
      <c r="B774" s="73">
        <v>-44080</v>
      </c>
      <c r="C774" s="73">
        <v>336260</v>
      </c>
      <c r="D774" s="73">
        <v>312700</v>
      </c>
      <c r="E774" s="73">
        <v>-20520</v>
      </c>
      <c r="F774" s="42">
        <v>0</v>
      </c>
      <c r="G774" s="42">
        <f t="shared" ref="G774:G837" si="12">+E774+F774</f>
        <v>-20520</v>
      </c>
      <c r="H774" s="2" t="str">
        <f>VLOOKUP(A774,'TB JUNE'!A:H,8,0)</f>
        <v>Not Applicable</v>
      </c>
    </row>
    <row r="775" spans="1:8" hidden="1">
      <c r="A775" s="62" t="s">
        <v>430</v>
      </c>
      <c r="B775" s="73">
        <v>-8366</v>
      </c>
      <c r="C775" s="73">
        <v>25098</v>
      </c>
      <c r="D775" s="73">
        <v>33022</v>
      </c>
      <c r="E775" s="73">
        <v>-16290</v>
      </c>
      <c r="F775" s="42">
        <v>0</v>
      </c>
      <c r="G775" s="42">
        <f t="shared" si="12"/>
        <v>-16290</v>
      </c>
      <c r="H775" s="2" t="str">
        <f>VLOOKUP(A775,'TB JUNE'!A:H,8,0)</f>
        <v>Not Applicable</v>
      </c>
    </row>
    <row r="776" spans="1:8" hidden="1">
      <c r="A776" s="62" t="s">
        <v>413</v>
      </c>
      <c r="B776" s="73">
        <v>-3926</v>
      </c>
      <c r="C776" s="73"/>
      <c r="D776" s="73"/>
      <c r="E776" s="73">
        <v>-3926</v>
      </c>
      <c r="F776" s="42">
        <v>0</v>
      </c>
      <c r="G776" s="42">
        <f t="shared" si="12"/>
        <v>-3926</v>
      </c>
      <c r="H776" s="2" t="str">
        <f>VLOOKUP(A776,'TB JUNE'!A:H,8,0)</f>
        <v>Not Applicable</v>
      </c>
    </row>
    <row r="777" spans="1:8" hidden="1">
      <c r="A777" s="62" t="s">
        <v>1325</v>
      </c>
      <c r="B777" s="73"/>
      <c r="C777" s="73"/>
      <c r="D777" s="73"/>
      <c r="E777" s="73"/>
      <c r="F777" s="42">
        <v>0</v>
      </c>
      <c r="G777" s="42">
        <f t="shared" si="12"/>
        <v>0</v>
      </c>
      <c r="H777" s="2" t="str">
        <f>VLOOKUP(A777,'TB JUNE'!A:H,8,0)</f>
        <v>Not Applicable</v>
      </c>
    </row>
    <row r="778" spans="1:8" hidden="1">
      <c r="A778" s="62" t="s">
        <v>414</v>
      </c>
      <c r="B778" s="73">
        <v>-10234</v>
      </c>
      <c r="C778" s="73">
        <v>25585</v>
      </c>
      <c r="D778" s="73">
        <v>27104</v>
      </c>
      <c r="E778" s="73">
        <v>-11753</v>
      </c>
      <c r="F778" s="42">
        <v>0</v>
      </c>
      <c r="G778" s="42">
        <f t="shared" si="12"/>
        <v>-11753</v>
      </c>
      <c r="H778" s="2" t="str">
        <f>VLOOKUP(A778,'TB JUNE'!A:H,8,0)</f>
        <v>Not Applicable</v>
      </c>
    </row>
    <row r="779" spans="1:8" hidden="1">
      <c r="A779" s="62" t="s">
        <v>1185</v>
      </c>
      <c r="B779" s="73">
        <v>-388959</v>
      </c>
      <c r="C779" s="73">
        <v>3804534</v>
      </c>
      <c r="D779" s="73">
        <v>3409862</v>
      </c>
      <c r="E779" s="73">
        <v>5713</v>
      </c>
      <c r="F779" s="42">
        <v>0</v>
      </c>
      <c r="G779" s="42">
        <f t="shared" si="12"/>
        <v>5713</v>
      </c>
      <c r="H779" s="2" t="str">
        <f>VLOOKUP(A779,'TB JUNE'!A:H,8,0)</f>
        <v>Not Applicable</v>
      </c>
    </row>
    <row r="780" spans="1:8" hidden="1">
      <c r="A780" s="62" t="s">
        <v>1365</v>
      </c>
      <c r="B780" s="73">
        <v>-1687</v>
      </c>
      <c r="C780" s="73">
        <v>1687</v>
      </c>
      <c r="D780" s="73"/>
      <c r="E780" s="73"/>
      <c r="F780" s="42">
        <v>0</v>
      </c>
      <c r="G780" s="42">
        <f t="shared" si="12"/>
        <v>0</v>
      </c>
      <c r="H780" s="2" t="str">
        <f>VLOOKUP(A780,'TB JUNE'!A:H,8,0)</f>
        <v>Not Applicable</v>
      </c>
    </row>
    <row r="781" spans="1:8" hidden="1">
      <c r="A781" s="62" t="s">
        <v>1186</v>
      </c>
      <c r="B781" s="73"/>
      <c r="C781" s="73">
        <v>8850</v>
      </c>
      <c r="D781" s="73">
        <v>8850</v>
      </c>
      <c r="E781" s="73"/>
      <c r="F781" s="42">
        <v>0</v>
      </c>
      <c r="G781" s="42">
        <f t="shared" si="12"/>
        <v>0</v>
      </c>
      <c r="H781" s="2" t="str">
        <f>VLOOKUP(A781,'TB JUNE'!A:H,8,0)</f>
        <v>Not Applicable</v>
      </c>
    </row>
    <row r="782" spans="1:8" hidden="1">
      <c r="A782" s="62" t="s">
        <v>1474</v>
      </c>
      <c r="B782" s="73"/>
      <c r="C782" s="73">
        <v>35717.129999999997</v>
      </c>
      <c r="D782" s="73">
        <v>35717.129999999997</v>
      </c>
      <c r="E782" s="73"/>
      <c r="F782" s="42">
        <v>0</v>
      </c>
      <c r="G782" s="42">
        <f t="shared" si="12"/>
        <v>0</v>
      </c>
      <c r="H782" s="2" t="str">
        <f>VLOOKUP(A782,'TB JUNE'!A:H,8,0)</f>
        <v>Not Applicable</v>
      </c>
    </row>
    <row r="783" spans="1:8" hidden="1">
      <c r="A783" s="62" t="s">
        <v>1611</v>
      </c>
      <c r="B783" s="73"/>
      <c r="C783" s="73"/>
      <c r="D783" s="73">
        <v>2228310</v>
      </c>
      <c r="E783" s="73">
        <v>-2228310</v>
      </c>
      <c r="F783" s="42">
        <v>0</v>
      </c>
      <c r="G783" s="42">
        <f t="shared" si="12"/>
        <v>-2228310</v>
      </c>
      <c r="H783" s="2" t="s">
        <v>84</v>
      </c>
    </row>
    <row r="784" spans="1:8" hidden="1">
      <c r="A784" s="62" t="s">
        <v>961</v>
      </c>
      <c r="B784" s="73">
        <v>-5940</v>
      </c>
      <c r="C784" s="73">
        <v>33000</v>
      </c>
      <c r="D784" s="73">
        <v>33000</v>
      </c>
      <c r="E784" s="73">
        <v>-5940</v>
      </c>
      <c r="F784" s="42">
        <v>0</v>
      </c>
      <c r="G784" s="42">
        <f t="shared" si="12"/>
        <v>-5940</v>
      </c>
      <c r="H784" s="2" t="str">
        <f>VLOOKUP(A784,'TB JUNE'!A:H,8,0)</f>
        <v>Not Applicable</v>
      </c>
    </row>
    <row r="785" spans="1:8" hidden="1">
      <c r="A785" s="62" t="s">
        <v>1366</v>
      </c>
      <c r="B785" s="73">
        <v>-56186</v>
      </c>
      <c r="C785" s="73">
        <v>56186</v>
      </c>
      <c r="D785" s="73"/>
      <c r="E785" s="73"/>
      <c r="F785" s="42">
        <v>0</v>
      </c>
      <c r="G785" s="42">
        <f t="shared" si="12"/>
        <v>0</v>
      </c>
      <c r="H785" s="2" t="str">
        <f>VLOOKUP(A785,'TB JUNE'!A:H,8,0)</f>
        <v>Not Applicable</v>
      </c>
    </row>
    <row r="786" spans="1:8" hidden="1">
      <c r="A786" s="62" t="s">
        <v>865</v>
      </c>
      <c r="B786" s="73"/>
      <c r="C786" s="73">
        <v>20813</v>
      </c>
      <c r="D786" s="73">
        <v>20813</v>
      </c>
      <c r="E786" s="73"/>
      <c r="F786" s="42">
        <v>0</v>
      </c>
      <c r="G786" s="42">
        <f t="shared" si="12"/>
        <v>0</v>
      </c>
      <c r="H786" s="2" t="str">
        <f>VLOOKUP(A786,'TB JUNE'!A:H,8,0)</f>
        <v>Not Applicable</v>
      </c>
    </row>
    <row r="787" spans="1:8" hidden="1">
      <c r="A787" s="62" t="s">
        <v>1367</v>
      </c>
      <c r="B787" s="73">
        <v>-6825</v>
      </c>
      <c r="C787" s="73">
        <v>7437</v>
      </c>
      <c r="D787" s="73">
        <v>3372</v>
      </c>
      <c r="E787" s="73">
        <v>-2760</v>
      </c>
      <c r="F787" s="42">
        <v>0</v>
      </c>
      <c r="G787" s="42">
        <f t="shared" si="12"/>
        <v>-2760</v>
      </c>
      <c r="H787" s="2" t="str">
        <f>VLOOKUP(A787,'TB JUNE'!A:H,8,0)</f>
        <v>Not Applicable</v>
      </c>
    </row>
    <row r="788" spans="1:8" hidden="1">
      <c r="A788" s="62" t="s">
        <v>1294</v>
      </c>
      <c r="B788" s="73">
        <v>-1006540</v>
      </c>
      <c r="C788" s="73">
        <v>1348917</v>
      </c>
      <c r="D788" s="73">
        <v>704801.88</v>
      </c>
      <c r="E788" s="73">
        <v>-362424.88</v>
      </c>
      <c r="F788" s="42">
        <v>0</v>
      </c>
      <c r="G788" s="42">
        <f t="shared" si="12"/>
        <v>-362424.88</v>
      </c>
      <c r="H788" s="2" t="str">
        <f>VLOOKUP(A788,'TB JUNE'!A:H,8,0)</f>
        <v>Not Applicable</v>
      </c>
    </row>
    <row r="789" spans="1:8" hidden="1">
      <c r="A789" s="62" t="s">
        <v>1529</v>
      </c>
      <c r="B789" s="73"/>
      <c r="C789" s="73">
        <v>9912</v>
      </c>
      <c r="D789" s="73">
        <v>9912</v>
      </c>
      <c r="E789" s="73"/>
      <c r="F789" s="42">
        <v>0</v>
      </c>
      <c r="G789" s="42">
        <f t="shared" si="12"/>
        <v>0</v>
      </c>
      <c r="H789" s="2" t="str">
        <f>VLOOKUP(A789,'TB JUNE'!A:H,8,0)</f>
        <v>Not Applicable</v>
      </c>
    </row>
    <row r="790" spans="1:8" hidden="1">
      <c r="A790" s="62" t="s">
        <v>936</v>
      </c>
      <c r="B790" s="73">
        <v>-1401981.1</v>
      </c>
      <c r="C790" s="73">
        <v>1813011</v>
      </c>
      <c r="D790" s="73">
        <v>411031</v>
      </c>
      <c r="E790" s="73">
        <v>-1.1000000000000001</v>
      </c>
      <c r="F790" s="42">
        <v>0</v>
      </c>
      <c r="G790" s="42">
        <f t="shared" si="12"/>
        <v>-1.1000000000000001</v>
      </c>
      <c r="H790" s="2" t="str">
        <f>VLOOKUP(A790,'TB JUNE'!A:H,8,0)</f>
        <v>Not Applicable</v>
      </c>
    </row>
    <row r="791" spans="1:8" hidden="1">
      <c r="A791" s="62" t="s">
        <v>1530</v>
      </c>
      <c r="B791" s="73"/>
      <c r="C791" s="73">
        <v>481288</v>
      </c>
      <c r="D791" s="73">
        <v>712850</v>
      </c>
      <c r="E791" s="73">
        <v>-231562</v>
      </c>
      <c r="F791" s="42">
        <v>0</v>
      </c>
      <c r="G791" s="42">
        <f t="shared" si="12"/>
        <v>-231562</v>
      </c>
      <c r="H791" s="2" t="str">
        <f>VLOOKUP(A791,'TB JUNE'!A:H,8,0)</f>
        <v>Not Applicable</v>
      </c>
    </row>
    <row r="792" spans="1:8" hidden="1">
      <c r="A792" s="62" t="s">
        <v>391</v>
      </c>
      <c r="B792" s="73">
        <v>-3599</v>
      </c>
      <c r="C792" s="73"/>
      <c r="D792" s="73"/>
      <c r="E792" s="73">
        <v>-3599</v>
      </c>
      <c r="F792" s="42">
        <v>0</v>
      </c>
      <c r="G792" s="42">
        <f t="shared" si="12"/>
        <v>-3599</v>
      </c>
      <c r="H792" s="2" t="str">
        <f>VLOOKUP(A792,'TB JUNE'!A:H,8,0)</f>
        <v>Not Applicable</v>
      </c>
    </row>
    <row r="793" spans="1:8" hidden="1">
      <c r="A793" s="62" t="s">
        <v>392</v>
      </c>
      <c r="B793" s="73"/>
      <c r="C793" s="73">
        <v>20202</v>
      </c>
      <c r="D793" s="73">
        <v>20202</v>
      </c>
      <c r="E793" s="73"/>
      <c r="F793" s="42">
        <v>0</v>
      </c>
      <c r="G793" s="42">
        <f t="shared" si="12"/>
        <v>0</v>
      </c>
      <c r="H793" s="2" t="str">
        <f>VLOOKUP(A793,'TB JUNE'!A:H,8,0)</f>
        <v>Not Applicable</v>
      </c>
    </row>
    <row r="794" spans="1:8" hidden="1">
      <c r="A794" s="62" t="s">
        <v>383</v>
      </c>
      <c r="B794" s="73">
        <v>-23364</v>
      </c>
      <c r="C794" s="73">
        <v>70092</v>
      </c>
      <c r="D794" s="73">
        <v>93456</v>
      </c>
      <c r="E794" s="73">
        <v>-46728</v>
      </c>
      <c r="F794" s="42">
        <v>0</v>
      </c>
      <c r="G794" s="42">
        <f t="shared" si="12"/>
        <v>-46728</v>
      </c>
      <c r="H794" s="2" t="str">
        <f>VLOOKUP(A794,'TB JUNE'!A:H,8,0)</f>
        <v>Not Applicable</v>
      </c>
    </row>
    <row r="795" spans="1:8" hidden="1">
      <c r="A795" s="62" t="s">
        <v>1033</v>
      </c>
      <c r="B795" s="73">
        <v>-3837501.48</v>
      </c>
      <c r="C795" s="73"/>
      <c r="D795" s="73"/>
      <c r="E795" s="73">
        <v>-3837501.48</v>
      </c>
      <c r="F795" s="42">
        <v>0</v>
      </c>
      <c r="G795" s="42">
        <f t="shared" si="12"/>
        <v>-3837501.48</v>
      </c>
      <c r="H795" s="2" t="str">
        <f>VLOOKUP(A795,'TB JUNE'!A:H,8,0)</f>
        <v>Not Applicable</v>
      </c>
    </row>
    <row r="796" spans="1:8" hidden="1">
      <c r="A796" s="62" t="s">
        <v>1476</v>
      </c>
      <c r="B796" s="73"/>
      <c r="C796" s="73">
        <v>754138</v>
      </c>
      <c r="D796" s="73">
        <v>754138</v>
      </c>
      <c r="E796" s="73"/>
      <c r="F796" s="42">
        <v>0</v>
      </c>
      <c r="G796" s="42">
        <f t="shared" si="12"/>
        <v>0</v>
      </c>
      <c r="H796" s="2" t="str">
        <f>VLOOKUP(A796,'TB JUNE'!A:H,8,0)</f>
        <v>Not Applicable</v>
      </c>
    </row>
    <row r="797" spans="1:8" hidden="1">
      <c r="A797" s="62" t="s">
        <v>1133</v>
      </c>
      <c r="B797" s="73"/>
      <c r="C797" s="73">
        <v>162840</v>
      </c>
      <c r="D797" s="73">
        <v>162840</v>
      </c>
      <c r="E797" s="73"/>
      <c r="F797" s="42">
        <v>0</v>
      </c>
      <c r="G797" s="42">
        <f t="shared" si="12"/>
        <v>0</v>
      </c>
      <c r="H797" s="2" t="str">
        <f>VLOOKUP(A797,'TB JUNE'!A:H,8,0)</f>
        <v>Not Applicable</v>
      </c>
    </row>
    <row r="798" spans="1:8" hidden="1">
      <c r="A798" s="62" t="s">
        <v>1060</v>
      </c>
      <c r="B798" s="73"/>
      <c r="C798" s="73">
        <v>141600</v>
      </c>
      <c r="D798" s="73">
        <v>141600</v>
      </c>
      <c r="E798" s="73"/>
      <c r="F798" s="42">
        <v>0</v>
      </c>
      <c r="G798" s="42">
        <f t="shared" si="12"/>
        <v>0</v>
      </c>
      <c r="H798" s="2" t="str">
        <f>VLOOKUP(A798,'TB JUNE'!A:H,8,0)</f>
        <v>Not Applicable</v>
      </c>
    </row>
    <row r="799" spans="1:8" hidden="1">
      <c r="A799" s="62" t="s">
        <v>895</v>
      </c>
      <c r="B799" s="73">
        <v>1605</v>
      </c>
      <c r="C799" s="73">
        <v>2983</v>
      </c>
      <c r="D799" s="73"/>
      <c r="E799" s="73">
        <v>4588</v>
      </c>
      <c r="F799" s="42">
        <v>0</v>
      </c>
      <c r="G799" s="42">
        <f t="shared" si="12"/>
        <v>4588</v>
      </c>
      <c r="H799" s="2" t="str">
        <f>VLOOKUP(A799,'TB JUNE'!A:H,8,0)</f>
        <v>Not Applicable</v>
      </c>
    </row>
    <row r="800" spans="1:8" hidden="1">
      <c r="A800" s="62" t="s">
        <v>1612</v>
      </c>
      <c r="B800" s="73"/>
      <c r="C800" s="73">
        <v>38377</v>
      </c>
      <c r="D800" s="73">
        <v>38377</v>
      </c>
      <c r="E800" s="73"/>
      <c r="F800" s="42">
        <v>0</v>
      </c>
      <c r="G800" s="42">
        <f t="shared" si="12"/>
        <v>0</v>
      </c>
      <c r="H800" s="2" t="s">
        <v>84</v>
      </c>
    </row>
    <row r="801" spans="1:8" hidden="1">
      <c r="A801" s="62" t="s">
        <v>371</v>
      </c>
      <c r="B801" s="73">
        <v>-442725</v>
      </c>
      <c r="C801" s="73">
        <v>1332810</v>
      </c>
      <c r="D801" s="73">
        <v>1332810</v>
      </c>
      <c r="E801" s="73">
        <v>-442725</v>
      </c>
      <c r="F801" s="42">
        <v>0</v>
      </c>
      <c r="G801" s="42">
        <f t="shared" si="12"/>
        <v>-442725</v>
      </c>
      <c r="H801" s="2" t="str">
        <f>VLOOKUP(A801,'TB JUNE'!A:H,8,0)</f>
        <v>Not Applicable</v>
      </c>
    </row>
    <row r="802" spans="1:8" hidden="1">
      <c r="A802" s="62" t="s">
        <v>1477</v>
      </c>
      <c r="B802" s="73">
        <v>-52305</v>
      </c>
      <c r="C802" s="73">
        <v>52305</v>
      </c>
      <c r="D802" s="73"/>
      <c r="E802" s="73"/>
      <c r="F802" s="42">
        <v>0</v>
      </c>
      <c r="G802" s="42">
        <f t="shared" si="12"/>
        <v>0</v>
      </c>
      <c r="H802" s="2" t="str">
        <f>VLOOKUP(A802,'TB JUNE'!A:H,8,0)</f>
        <v>Not Applicable</v>
      </c>
    </row>
    <row r="803" spans="1:8" hidden="1">
      <c r="A803" s="62" t="s">
        <v>1343</v>
      </c>
      <c r="B803" s="73"/>
      <c r="C803" s="73">
        <v>32568</v>
      </c>
      <c r="D803" s="73">
        <v>32568</v>
      </c>
      <c r="E803" s="73"/>
      <c r="F803" s="42">
        <v>0</v>
      </c>
      <c r="G803" s="42">
        <f t="shared" si="12"/>
        <v>0</v>
      </c>
      <c r="H803" s="2" t="str">
        <f>VLOOKUP(A803,'TB JUNE'!A:H,8,0)</f>
        <v>Not Applicable</v>
      </c>
    </row>
    <row r="804" spans="1:8" hidden="1">
      <c r="A804" s="62" t="s">
        <v>1022</v>
      </c>
      <c r="B804" s="73">
        <v>-2774</v>
      </c>
      <c r="C804" s="73">
        <v>2774</v>
      </c>
      <c r="D804" s="73"/>
      <c r="E804" s="73"/>
      <c r="F804" s="42">
        <v>0</v>
      </c>
      <c r="G804" s="42">
        <f t="shared" si="12"/>
        <v>0</v>
      </c>
      <c r="H804" s="2" t="str">
        <f>VLOOKUP(A804,'TB JUNE'!A:H,8,0)</f>
        <v>Not Applicable</v>
      </c>
    </row>
    <row r="805" spans="1:8" hidden="1">
      <c r="A805" s="62" t="s">
        <v>1578</v>
      </c>
      <c r="B805" s="73"/>
      <c r="C805" s="73">
        <v>33369</v>
      </c>
      <c r="D805" s="73">
        <v>33369</v>
      </c>
      <c r="E805" s="73"/>
      <c r="F805" s="42">
        <v>0</v>
      </c>
      <c r="G805" s="42">
        <f t="shared" si="12"/>
        <v>0</v>
      </c>
      <c r="H805" s="2" t="str">
        <f>VLOOKUP(A805,'TB JUNE'!A:H,8,0)</f>
        <v>Not Applicable</v>
      </c>
    </row>
    <row r="806" spans="1:8" hidden="1">
      <c r="A806" s="62" t="s">
        <v>1532</v>
      </c>
      <c r="B806" s="73"/>
      <c r="C806" s="73">
        <v>399901</v>
      </c>
      <c r="D806" s="73">
        <v>399901.14</v>
      </c>
      <c r="E806" s="73">
        <v>-0.14000000000000001</v>
      </c>
      <c r="F806" s="42">
        <v>0</v>
      </c>
      <c r="G806" s="42">
        <f t="shared" si="12"/>
        <v>-0.14000000000000001</v>
      </c>
      <c r="H806" s="2" t="str">
        <f>VLOOKUP(A806,'TB JUNE'!A:H,8,0)</f>
        <v>Not Applicable</v>
      </c>
    </row>
    <row r="807" spans="1:8" hidden="1">
      <c r="A807" s="62" t="s">
        <v>1613</v>
      </c>
      <c r="B807" s="73"/>
      <c r="C807" s="73">
        <v>2182</v>
      </c>
      <c r="D807" s="73">
        <v>128658</v>
      </c>
      <c r="E807" s="73">
        <v>-126476</v>
      </c>
      <c r="F807" s="42">
        <v>0</v>
      </c>
      <c r="G807" s="42">
        <f t="shared" si="12"/>
        <v>-126476</v>
      </c>
      <c r="H807" s="2" t="s">
        <v>84</v>
      </c>
    </row>
    <row r="808" spans="1:8" hidden="1">
      <c r="A808" s="62" t="s">
        <v>733</v>
      </c>
      <c r="B808" s="73"/>
      <c r="C808" s="73"/>
      <c r="D808" s="73"/>
      <c r="E808" s="73"/>
      <c r="F808" s="42">
        <v>0</v>
      </c>
      <c r="G808" s="42">
        <f t="shared" si="12"/>
        <v>0</v>
      </c>
      <c r="H808" s="2" t="str">
        <f>VLOOKUP(A808,'TB JUNE'!A:H,8,0)</f>
        <v>Not Applicable</v>
      </c>
    </row>
    <row r="809" spans="1:8" hidden="1">
      <c r="A809" s="62" t="s">
        <v>734</v>
      </c>
      <c r="B809" s="73">
        <v>12783.2</v>
      </c>
      <c r="C809" s="73"/>
      <c r="D809" s="73"/>
      <c r="E809" s="73">
        <v>12783.2</v>
      </c>
      <c r="F809" s="42">
        <v>0</v>
      </c>
      <c r="G809" s="42">
        <f t="shared" si="12"/>
        <v>12783.2</v>
      </c>
      <c r="H809" s="2" t="str">
        <f>VLOOKUP(A809,'TB JUNE'!A:H,8,0)</f>
        <v>Not Applicable</v>
      </c>
    </row>
    <row r="810" spans="1:8" hidden="1">
      <c r="A810" s="62" t="s">
        <v>736</v>
      </c>
      <c r="B810" s="73">
        <v>-266476</v>
      </c>
      <c r="C810" s="73">
        <v>1211</v>
      </c>
      <c r="D810" s="73">
        <v>71449</v>
      </c>
      <c r="E810" s="73">
        <v>-336714</v>
      </c>
      <c r="F810" s="42">
        <v>0</v>
      </c>
      <c r="G810" s="42">
        <f t="shared" si="12"/>
        <v>-336714</v>
      </c>
      <c r="H810" s="2" t="str">
        <f>VLOOKUP(A810,'TB JUNE'!A:H,8,0)</f>
        <v>Not Applicable</v>
      </c>
    </row>
    <row r="811" spans="1:8" hidden="1">
      <c r="A811" s="62" t="s">
        <v>1614</v>
      </c>
      <c r="B811" s="73"/>
      <c r="C811" s="73">
        <v>367785</v>
      </c>
      <c r="D811" s="73">
        <v>367785</v>
      </c>
      <c r="E811" s="73"/>
      <c r="F811" s="42">
        <v>0</v>
      </c>
      <c r="G811" s="42">
        <f t="shared" si="12"/>
        <v>0</v>
      </c>
      <c r="H811" s="2" t="s">
        <v>84</v>
      </c>
    </row>
    <row r="812" spans="1:8" hidden="1">
      <c r="A812" s="62" t="s">
        <v>1368</v>
      </c>
      <c r="B812" s="73">
        <v>-28000</v>
      </c>
      <c r="C812" s="73">
        <v>129220</v>
      </c>
      <c r="D812" s="73">
        <v>101220</v>
      </c>
      <c r="E812" s="73"/>
      <c r="F812" s="42">
        <v>0</v>
      </c>
      <c r="G812" s="42">
        <f t="shared" si="12"/>
        <v>0</v>
      </c>
      <c r="H812" s="2" t="str">
        <f>VLOOKUP(A812,'TB JUNE'!A:H,8,0)</f>
        <v>Not Applicable</v>
      </c>
    </row>
    <row r="813" spans="1:8" hidden="1">
      <c r="A813" s="62" t="s">
        <v>711</v>
      </c>
      <c r="B813" s="73"/>
      <c r="C813" s="73">
        <v>30500</v>
      </c>
      <c r="D813" s="73">
        <v>30500</v>
      </c>
      <c r="E813" s="73"/>
      <c r="F813" s="42">
        <v>0</v>
      </c>
      <c r="G813" s="42">
        <f t="shared" si="12"/>
        <v>0</v>
      </c>
      <c r="H813" s="2" t="str">
        <f>VLOOKUP(A813,'TB JUNE'!A:H,8,0)</f>
        <v>Not Applicable</v>
      </c>
    </row>
    <row r="814" spans="1:8" hidden="1">
      <c r="A814" s="62" t="s">
        <v>698</v>
      </c>
      <c r="B814" s="73">
        <v>-65680</v>
      </c>
      <c r="C814" s="73">
        <v>118658</v>
      </c>
      <c r="D814" s="73">
        <v>52978</v>
      </c>
      <c r="E814" s="73"/>
      <c r="F814" s="42">
        <v>0</v>
      </c>
      <c r="G814" s="42">
        <f t="shared" si="12"/>
        <v>0</v>
      </c>
      <c r="H814" s="2" t="str">
        <f>VLOOKUP(A814,'TB JUNE'!A:H,8,0)</f>
        <v>Not Applicable</v>
      </c>
    </row>
    <row r="815" spans="1:8" hidden="1">
      <c r="A815" s="62" t="s">
        <v>1369</v>
      </c>
      <c r="B815" s="73">
        <v>-246635</v>
      </c>
      <c r="C815" s="73">
        <v>543398</v>
      </c>
      <c r="D815" s="73">
        <v>296763</v>
      </c>
      <c r="E815" s="73"/>
      <c r="F815" s="42">
        <v>0</v>
      </c>
      <c r="G815" s="42">
        <f t="shared" si="12"/>
        <v>0</v>
      </c>
      <c r="H815" s="2" t="str">
        <f>VLOOKUP(A815,'TB JUNE'!A:H,8,0)</f>
        <v>Not Applicable</v>
      </c>
    </row>
    <row r="816" spans="1:8" hidden="1">
      <c r="A816" s="62" t="s">
        <v>687</v>
      </c>
      <c r="B816" s="73">
        <v>523</v>
      </c>
      <c r="C816" s="73">
        <v>349015</v>
      </c>
      <c r="D816" s="73">
        <v>349538</v>
      </c>
      <c r="E816" s="73"/>
      <c r="F816" s="42">
        <v>0</v>
      </c>
      <c r="G816" s="42">
        <f t="shared" si="12"/>
        <v>0</v>
      </c>
      <c r="H816" s="2" t="str">
        <f>VLOOKUP(A816,'TB JUNE'!A:H,8,0)</f>
        <v>Not Applicable</v>
      </c>
    </row>
    <row r="817" spans="1:8" hidden="1">
      <c r="A817" s="62" t="s">
        <v>1533</v>
      </c>
      <c r="B817" s="73"/>
      <c r="C817" s="73">
        <v>2477668</v>
      </c>
      <c r="D817" s="73">
        <v>2477068</v>
      </c>
      <c r="E817" s="73">
        <v>600</v>
      </c>
      <c r="F817" s="42">
        <v>0</v>
      </c>
      <c r="G817" s="42">
        <f t="shared" si="12"/>
        <v>600</v>
      </c>
      <c r="H817" s="2" t="str">
        <f>VLOOKUP(A817,'TB JUNE'!A:H,8,0)</f>
        <v>Not Applicable</v>
      </c>
    </row>
    <row r="818" spans="1:8" hidden="1">
      <c r="A818" s="62" t="s">
        <v>666</v>
      </c>
      <c r="B818" s="73">
        <v>-25661</v>
      </c>
      <c r="C818" s="73">
        <v>19903</v>
      </c>
      <c r="D818" s="73"/>
      <c r="E818" s="73">
        <v>-5758</v>
      </c>
      <c r="F818" s="42">
        <v>0</v>
      </c>
      <c r="G818" s="42">
        <f t="shared" si="12"/>
        <v>-5758</v>
      </c>
      <c r="H818" s="2" t="str">
        <f>VLOOKUP(A818,'TB JUNE'!A:H,8,0)</f>
        <v>Not Applicable</v>
      </c>
    </row>
    <row r="819" spans="1:8" hidden="1">
      <c r="A819" s="62" t="s">
        <v>1579</v>
      </c>
      <c r="B819" s="73"/>
      <c r="C819" s="73">
        <v>9000</v>
      </c>
      <c r="D819" s="73">
        <v>9000</v>
      </c>
      <c r="E819" s="73"/>
      <c r="F819" s="42">
        <v>0</v>
      </c>
      <c r="G819" s="42">
        <f t="shared" si="12"/>
        <v>0</v>
      </c>
      <c r="H819" s="2" t="str">
        <f>VLOOKUP(A819,'TB JUNE'!A:H,8,0)</f>
        <v>Not Applicable</v>
      </c>
    </row>
    <row r="820" spans="1:8" hidden="1">
      <c r="A820" s="62" t="s">
        <v>661</v>
      </c>
      <c r="B820" s="73">
        <v>-49080</v>
      </c>
      <c r="C820" s="73"/>
      <c r="D820" s="73"/>
      <c r="E820" s="73">
        <v>-49080</v>
      </c>
      <c r="F820" s="42">
        <v>0</v>
      </c>
      <c r="G820" s="42">
        <f t="shared" si="12"/>
        <v>-49080</v>
      </c>
      <c r="H820" s="2" t="str">
        <f>VLOOKUP(A820,'TB JUNE'!A:H,8,0)</f>
        <v>Not Applicable</v>
      </c>
    </row>
    <row r="821" spans="1:8" hidden="1">
      <c r="A821" s="62" t="s">
        <v>658</v>
      </c>
      <c r="B821" s="73">
        <v>13470</v>
      </c>
      <c r="C821" s="73"/>
      <c r="D821" s="73"/>
      <c r="E821" s="73">
        <v>13470</v>
      </c>
      <c r="F821" s="42">
        <v>0</v>
      </c>
      <c r="G821" s="42">
        <f t="shared" si="12"/>
        <v>13470</v>
      </c>
      <c r="H821" s="2" t="str">
        <f>VLOOKUP(A821,'TB JUNE'!A:H,8,0)</f>
        <v>Not Applicable</v>
      </c>
    </row>
    <row r="822" spans="1:8" hidden="1">
      <c r="A822" s="62" t="s">
        <v>650</v>
      </c>
      <c r="B822" s="73">
        <v>-94099</v>
      </c>
      <c r="C822" s="73"/>
      <c r="D822" s="73"/>
      <c r="E822" s="73">
        <v>-94099</v>
      </c>
      <c r="F822" s="42">
        <v>0</v>
      </c>
      <c r="G822" s="42">
        <f t="shared" si="12"/>
        <v>-94099</v>
      </c>
      <c r="H822" s="2" t="str">
        <f>VLOOKUP(A822,'TB JUNE'!A:H,8,0)</f>
        <v>Not Applicable</v>
      </c>
    </row>
    <row r="823" spans="1:8" hidden="1">
      <c r="A823" s="62" t="s">
        <v>655</v>
      </c>
      <c r="B823" s="73">
        <v>38013</v>
      </c>
      <c r="C823" s="73">
        <v>36014</v>
      </c>
      <c r="D823" s="73">
        <v>36014</v>
      </c>
      <c r="E823" s="73">
        <v>38013</v>
      </c>
      <c r="F823" s="42">
        <v>0</v>
      </c>
      <c r="G823" s="42">
        <f t="shared" si="12"/>
        <v>38013</v>
      </c>
      <c r="H823" s="2" t="str">
        <f>VLOOKUP(A823,'TB JUNE'!A:H,8,0)</f>
        <v>Not Applicable</v>
      </c>
    </row>
    <row r="824" spans="1:8" hidden="1">
      <c r="A824" s="62" t="s">
        <v>1615</v>
      </c>
      <c r="B824" s="73"/>
      <c r="C824" s="73">
        <v>29000</v>
      </c>
      <c r="D824" s="73">
        <v>29000</v>
      </c>
      <c r="E824" s="73"/>
      <c r="F824" s="42">
        <v>0</v>
      </c>
      <c r="G824" s="42">
        <f t="shared" si="12"/>
        <v>0</v>
      </c>
      <c r="H824" s="2" t="s">
        <v>84</v>
      </c>
    </row>
    <row r="825" spans="1:8" hidden="1">
      <c r="A825" s="62" t="s">
        <v>643</v>
      </c>
      <c r="B825" s="73">
        <v>-3363</v>
      </c>
      <c r="C825" s="73">
        <v>357186</v>
      </c>
      <c r="D825" s="73">
        <v>464881</v>
      </c>
      <c r="E825" s="73">
        <v>-111058</v>
      </c>
      <c r="F825" s="42">
        <v>0</v>
      </c>
      <c r="G825" s="42">
        <f t="shared" si="12"/>
        <v>-111058</v>
      </c>
      <c r="H825" s="2" t="str">
        <f>VLOOKUP(A825,'TB JUNE'!A:H,8,0)</f>
        <v>Not Applicable</v>
      </c>
    </row>
    <row r="826" spans="1:8" hidden="1">
      <c r="A826" s="62" t="s">
        <v>1370</v>
      </c>
      <c r="B826" s="73"/>
      <c r="C826" s="73">
        <v>26000</v>
      </c>
      <c r="D826" s="73">
        <v>26000</v>
      </c>
      <c r="E826" s="73"/>
      <c r="F826" s="42">
        <v>0</v>
      </c>
      <c r="G826" s="42">
        <f t="shared" si="12"/>
        <v>0</v>
      </c>
      <c r="H826" s="2" t="s">
        <v>84</v>
      </c>
    </row>
    <row r="827" spans="1:8" hidden="1">
      <c r="A827" s="62" t="s">
        <v>634</v>
      </c>
      <c r="B827" s="73"/>
      <c r="C827" s="73"/>
      <c r="D827" s="73"/>
      <c r="E827" s="73"/>
      <c r="F827" s="42">
        <v>0</v>
      </c>
      <c r="G827" s="42">
        <f t="shared" si="12"/>
        <v>0</v>
      </c>
      <c r="H827" s="2" t="str">
        <f>VLOOKUP(A827,'TB JUNE'!A:H,8,0)</f>
        <v>Not Applicable</v>
      </c>
    </row>
    <row r="828" spans="1:8" hidden="1">
      <c r="A828" s="62" t="s">
        <v>1479</v>
      </c>
      <c r="B828" s="73"/>
      <c r="C828" s="73"/>
      <c r="D828" s="73"/>
      <c r="E828" s="73"/>
      <c r="F828" s="42">
        <v>0</v>
      </c>
      <c r="G828" s="42">
        <f t="shared" si="12"/>
        <v>0</v>
      </c>
      <c r="H828" s="2" t="s">
        <v>84</v>
      </c>
    </row>
    <row r="829" spans="1:8" hidden="1">
      <c r="A829" s="62" t="s">
        <v>633</v>
      </c>
      <c r="B829" s="73">
        <v>111474</v>
      </c>
      <c r="C829" s="73"/>
      <c r="D829" s="73"/>
      <c r="E829" s="73">
        <v>111474</v>
      </c>
      <c r="F829" s="42">
        <v>0</v>
      </c>
      <c r="G829" s="42">
        <f t="shared" si="12"/>
        <v>111474</v>
      </c>
      <c r="H829" s="2" t="str">
        <f>VLOOKUP(A829,'TB JUNE'!A:H,8,0)</f>
        <v>Not Applicable</v>
      </c>
    </row>
    <row r="830" spans="1:8" hidden="1">
      <c r="A830" s="62" t="s">
        <v>630</v>
      </c>
      <c r="B830" s="73">
        <v>-221195</v>
      </c>
      <c r="C830" s="73">
        <v>221195</v>
      </c>
      <c r="D830" s="73"/>
      <c r="E830" s="73"/>
      <c r="F830" s="42">
        <v>0</v>
      </c>
      <c r="G830" s="42">
        <f t="shared" si="12"/>
        <v>0</v>
      </c>
      <c r="H830" s="2" t="str">
        <f>VLOOKUP(A830,'TB JUNE'!A:H,8,0)</f>
        <v>Not Applicable</v>
      </c>
    </row>
    <row r="831" spans="1:8" hidden="1">
      <c r="A831" s="62" t="s">
        <v>621</v>
      </c>
      <c r="B831" s="73">
        <v>-538861</v>
      </c>
      <c r="C831" s="73">
        <v>547254</v>
      </c>
      <c r="D831" s="73">
        <v>444805</v>
      </c>
      <c r="E831" s="73">
        <v>-436412</v>
      </c>
      <c r="F831" s="42">
        <v>0</v>
      </c>
      <c r="G831" s="42">
        <f t="shared" si="12"/>
        <v>-436412</v>
      </c>
      <c r="H831" s="2" t="str">
        <f>VLOOKUP(A831,'TB JUNE'!A:H,8,0)</f>
        <v>Not Applicable</v>
      </c>
    </row>
    <row r="832" spans="1:8" hidden="1">
      <c r="A832" s="62" t="s">
        <v>617</v>
      </c>
      <c r="B832" s="73">
        <v>-0.2</v>
      </c>
      <c r="C832" s="73">
        <v>17582</v>
      </c>
      <c r="D832" s="73">
        <v>17582</v>
      </c>
      <c r="E832" s="73">
        <v>-0.2</v>
      </c>
      <c r="F832" s="42">
        <v>0</v>
      </c>
      <c r="G832" s="42">
        <f t="shared" si="12"/>
        <v>-0.2</v>
      </c>
      <c r="H832" s="2" t="str">
        <f>VLOOKUP(A832,'TB JUNE'!A:H,8,0)</f>
        <v>Not Applicable</v>
      </c>
    </row>
    <row r="833" spans="1:8" hidden="1">
      <c r="A833" s="62" t="s">
        <v>585</v>
      </c>
      <c r="B833" s="73"/>
      <c r="C833" s="73">
        <v>6000</v>
      </c>
      <c r="D833" s="73">
        <v>6000</v>
      </c>
      <c r="E833" s="73"/>
      <c r="F833" s="42">
        <v>0</v>
      </c>
      <c r="G833" s="42">
        <f t="shared" si="12"/>
        <v>0</v>
      </c>
      <c r="H833" s="2" t="str">
        <f>VLOOKUP(A833,'TB JUNE'!A:H,8,0)</f>
        <v>Not Applicable</v>
      </c>
    </row>
    <row r="834" spans="1:8" hidden="1">
      <c r="A834" s="62" t="s">
        <v>990</v>
      </c>
      <c r="B834" s="73">
        <v>13650</v>
      </c>
      <c r="C834" s="73"/>
      <c r="D834" s="73"/>
      <c r="E834" s="73">
        <v>13650</v>
      </c>
      <c r="F834" s="42">
        <v>0</v>
      </c>
      <c r="G834" s="42">
        <f t="shared" si="12"/>
        <v>13650</v>
      </c>
      <c r="H834" s="2" t="str">
        <f>VLOOKUP(A834,'TB JUNE'!A:H,8,0)</f>
        <v>Not Applicable</v>
      </c>
    </row>
    <row r="835" spans="1:8" hidden="1">
      <c r="A835" s="62" t="s">
        <v>1481</v>
      </c>
      <c r="B835" s="73"/>
      <c r="C835" s="73"/>
      <c r="D835" s="73"/>
      <c r="E835" s="73"/>
      <c r="F835" s="42">
        <v>0</v>
      </c>
      <c r="G835" s="42">
        <f t="shared" si="12"/>
        <v>0</v>
      </c>
      <c r="H835" s="2" t="str">
        <f>VLOOKUP(A835,'TB JUNE'!A:H,8,0)</f>
        <v>Not Applicable</v>
      </c>
    </row>
    <row r="836" spans="1:8" hidden="1">
      <c r="A836" s="62" t="s">
        <v>537</v>
      </c>
      <c r="B836" s="73">
        <v>4484</v>
      </c>
      <c r="C836" s="73">
        <v>815358</v>
      </c>
      <c r="D836" s="73">
        <v>815358</v>
      </c>
      <c r="E836" s="73">
        <v>4484</v>
      </c>
      <c r="F836" s="42">
        <v>0</v>
      </c>
      <c r="G836" s="42">
        <f t="shared" si="12"/>
        <v>4484</v>
      </c>
      <c r="H836" s="2" t="str">
        <f>VLOOKUP(A836,'TB JUNE'!A:H,8,0)</f>
        <v>Not Applicable</v>
      </c>
    </row>
    <row r="837" spans="1:8" hidden="1">
      <c r="A837" s="62" t="s">
        <v>910</v>
      </c>
      <c r="B837" s="73">
        <v>13131.72</v>
      </c>
      <c r="C837" s="73"/>
      <c r="D837" s="73"/>
      <c r="E837" s="73">
        <v>13131.72</v>
      </c>
      <c r="F837" s="42">
        <v>0</v>
      </c>
      <c r="G837" s="42">
        <f t="shared" si="12"/>
        <v>13131.72</v>
      </c>
      <c r="H837" s="2" t="str">
        <f>VLOOKUP(A837,'TB JUNE'!A:H,8,0)</f>
        <v>Not Applicable</v>
      </c>
    </row>
    <row r="838" spans="1:8" hidden="1">
      <c r="A838" s="62" t="s">
        <v>1616</v>
      </c>
      <c r="B838" s="73"/>
      <c r="C838" s="73">
        <v>830</v>
      </c>
      <c r="D838" s="73">
        <v>48970</v>
      </c>
      <c r="E838" s="73">
        <v>-48140</v>
      </c>
      <c r="F838" s="42">
        <v>0</v>
      </c>
      <c r="G838" s="42">
        <f t="shared" ref="G838:G901" si="13">+E838+F838</f>
        <v>-48140</v>
      </c>
      <c r="H838" s="2" t="s">
        <v>84</v>
      </c>
    </row>
    <row r="839" spans="1:8" hidden="1">
      <c r="A839" s="62" t="s">
        <v>1138</v>
      </c>
      <c r="B839" s="73"/>
      <c r="C839" s="73">
        <v>830</v>
      </c>
      <c r="D839" s="73">
        <v>48970</v>
      </c>
      <c r="E839" s="73">
        <v>-48140</v>
      </c>
      <c r="F839" s="42">
        <v>0</v>
      </c>
      <c r="G839" s="42">
        <f t="shared" si="13"/>
        <v>-48140</v>
      </c>
      <c r="H839" s="2" t="s">
        <v>84</v>
      </c>
    </row>
    <row r="840" spans="1:8" hidden="1">
      <c r="A840" s="62" t="s">
        <v>1580</v>
      </c>
      <c r="B840" s="73"/>
      <c r="C840" s="73">
        <v>475872</v>
      </c>
      <c r="D840" s="73">
        <v>616437</v>
      </c>
      <c r="E840" s="73">
        <v>-140565</v>
      </c>
      <c r="F840" s="42">
        <v>0</v>
      </c>
      <c r="G840" s="42">
        <f t="shared" si="13"/>
        <v>-140565</v>
      </c>
      <c r="H840" s="2" t="str">
        <f>VLOOKUP(A840,'TB JUNE'!A:H,8,0)</f>
        <v>Not Applicable</v>
      </c>
    </row>
    <row r="841" spans="1:8" hidden="1">
      <c r="A841" s="62" t="s">
        <v>508</v>
      </c>
      <c r="B841" s="73"/>
      <c r="C841" s="73">
        <v>11000</v>
      </c>
      <c r="D841" s="73">
        <v>11000</v>
      </c>
      <c r="E841" s="73"/>
      <c r="F841" s="42">
        <v>0</v>
      </c>
      <c r="G841" s="42">
        <f t="shared" si="13"/>
        <v>0</v>
      </c>
      <c r="H841" s="2" t="s">
        <v>84</v>
      </c>
    </row>
    <row r="842" spans="1:8" hidden="1">
      <c r="A842" s="62" t="s">
        <v>473</v>
      </c>
      <c r="B842" s="73">
        <v>276434.77</v>
      </c>
      <c r="C842" s="73">
        <v>103091.5</v>
      </c>
      <c r="D842" s="73">
        <v>51542.2</v>
      </c>
      <c r="E842" s="73">
        <v>327984.07</v>
      </c>
      <c r="F842" s="42">
        <v>0</v>
      </c>
      <c r="G842" s="42">
        <f t="shared" si="13"/>
        <v>327984.07</v>
      </c>
      <c r="H842" s="2" t="str">
        <f>VLOOKUP(A842,'TB JUNE'!A:H,8,0)</f>
        <v>Not Applicable</v>
      </c>
    </row>
    <row r="843" spans="1:8" hidden="1">
      <c r="A843" s="62" t="s">
        <v>1371</v>
      </c>
      <c r="B843" s="73"/>
      <c r="C843" s="73">
        <v>38000</v>
      </c>
      <c r="D843" s="73">
        <v>38000</v>
      </c>
      <c r="E843" s="73"/>
      <c r="F843" s="42">
        <v>0</v>
      </c>
      <c r="G843" s="42">
        <f t="shared" si="13"/>
        <v>0</v>
      </c>
      <c r="H843" s="2" t="str">
        <f>VLOOKUP(A843,'TB JUNE'!A:H,8,0)</f>
        <v>Not Applicable</v>
      </c>
    </row>
    <row r="844" spans="1:8" hidden="1">
      <c r="A844" s="62" t="s">
        <v>1482</v>
      </c>
      <c r="B844" s="73"/>
      <c r="C844" s="73"/>
      <c r="D844" s="73"/>
      <c r="E844" s="73"/>
      <c r="F844" s="42">
        <v>0</v>
      </c>
      <c r="G844" s="42">
        <f t="shared" si="13"/>
        <v>0</v>
      </c>
      <c r="H844" s="2" t="s">
        <v>84</v>
      </c>
    </row>
    <row r="845" spans="1:8" hidden="1">
      <c r="A845" s="62" t="s">
        <v>441</v>
      </c>
      <c r="B845" s="73">
        <v>-10033.879999999999</v>
      </c>
      <c r="C845" s="73">
        <v>225</v>
      </c>
      <c r="D845" s="73">
        <v>18560</v>
      </c>
      <c r="E845" s="73">
        <v>-28368.880000000001</v>
      </c>
      <c r="F845" s="42">
        <v>0</v>
      </c>
      <c r="G845" s="42">
        <f t="shared" si="13"/>
        <v>-28368.880000000001</v>
      </c>
      <c r="H845" s="2" t="str">
        <f>VLOOKUP(A845,'TB JUNE'!A:H,8,0)</f>
        <v>Not Applicable</v>
      </c>
    </row>
    <row r="846" spans="1:8" hidden="1">
      <c r="A846" s="62" t="s">
        <v>438</v>
      </c>
      <c r="B846" s="73">
        <v>-14478</v>
      </c>
      <c r="C846" s="73">
        <v>30028</v>
      </c>
      <c r="D846" s="73">
        <v>15550</v>
      </c>
      <c r="E846" s="73"/>
      <c r="F846" s="42">
        <v>0</v>
      </c>
      <c r="G846" s="42">
        <f t="shared" si="13"/>
        <v>0</v>
      </c>
      <c r="H846" s="2" t="str">
        <f>VLOOKUP(A846,'TB JUNE'!A:H,8,0)</f>
        <v>Not Applicable</v>
      </c>
    </row>
    <row r="847" spans="1:8" hidden="1">
      <c r="A847" s="62" t="s">
        <v>1093</v>
      </c>
      <c r="B847" s="73">
        <v>-40590</v>
      </c>
      <c r="C847" s="73">
        <v>184590</v>
      </c>
      <c r="D847" s="73">
        <v>144000</v>
      </c>
      <c r="E847" s="73"/>
      <c r="F847" s="42">
        <v>0</v>
      </c>
      <c r="G847" s="42">
        <f t="shared" si="13"/>
        <v>0</v>
      </c>
      <c r="H847" s="2" t="str">
        <f>VLOOKUP(A847,'TB JUNE'!A:H,8,0)</f>
        <v>Not Applicable</v>
      </c>
    </row>
    <row r="848" spans="1:8" hidden="1">
      <c r="A848" s="62" t="s">
        <v>421</v>
      </c>
      <c r="B848" s="73">
        <v>-1060</v>
      </c>
      <c r="C848" s="73">
        <v>576900</v>
      </c>
      <c r="D848" s="73">
        <v>576900</v>
      </c>
      <c r="E848" s="73">
        <v>-1060</v>
      </c>
      <c r="F848" s="42">
        <v>0</v>
      </c>
      <c r="G848" s="42">
        <f t="shared" si="13"/>
        <v>-1060</v>
      </c>
      <c r="H848" s="2" t="str">
        <f>VLOOKUP(A848,'TB JUNE'!A:H,8,0)</f>
        <v>Not Applicable</v>
      </c>
    </row>
    <row r="849" spans="1:8" hidden="1">
      <c r="A849" s="62" t="s">
        <v>1222</v>
      </c>
      <c r="B849" s="73"/>
      <c r="C849" s="73">
        <v>12500</v>
      </c>
      <c r="D849" s="73">
        <v>12500</v>
      </c>
      <c r="E849" s="73"/>
      <c r="F849" s="42">
        <v>0</v>
      </c>
      <c r="G849" s="42">
        <f t="shared" si="13"/>
        <v>0</v>
      </c>
      <c r="H849" s="2" t="s">
        <v>84</v>
      </c>
    </row>
    <row r="850" spans="1:8" hidden="1">
      <c r="A850" s="62" t="s">
        <v>876</v>
      </c>
      <c r="B850" s="73">
        <v>-546093</v>
      </c>
      <c r="C850" s="73">
        <v>1309638</v>
      </c>
      <c r="D850" s="73">
        <v>324173</v>
      </c>
      <c r="E850" s="73">
        <v>439372</v>
      </c>
      <c r="F850" s="42">
        <v>0</v>
      </c>
      <c r="G850" s="42">
        <f t="shared" si="13"/>
        <v>439372</v>
      </c>
      <c r="H850" s="2" t="str">
        <f>VLOOKUP(A850,'TB JUNE'!A:H,8,0)</f>
        <v>Not Applicable</v>
      </c>
    </row>
    <row r="851" spans="1:8" hidden="1">
      <c r="A851" s="62" t="s">
        <v>1314</v>
      </c>
      <c r="B851" s="73"/>
      <c r="C851" s="73"/>
      <c r="D851" s="73"/>
      <c r="E851" s="73"/>
      <c r="F851" s="42">
        <v>0</v>
      </c>
      <c r="G851" s="42">
        <f t="shared" si="13"/>
        <v>0</v>
      </c>
      <c r="H851" s="2" t="str">
        <f>VLOOKUP(A851,'TB JUNE'!A:H,8,0)</f>
        <v>Not Applicable</v>
      </c>
    </row>
    <row r="852" spans="1:8" hidden="1">
      <c r="A852" s="62" t="s">
        <v>1088</v>
      </c>
      <c r="B852" s="73">
        <v>6.48</v>
      </c>
      <c r="C852" s="73"/>
      <c r="D852" s="73"/>
      <c r="E852" s="73">
        <v>6.48</v>
      </c>
      <c r="F852" s="42">
        <v>0</v>
      </c>
      <c r="G852" s="42">
        <f t="shared" si="13"/>
        <v>6.48</v>
      </c>
      <c r="H852" s="2" t="str">
        <f>VLOOKUP(A852,'TB JUNE'!A:H,8,0)</f>
        <v>Not Applicable</v>
      </c>
    </row>
    <row r="853" spans="1:8" hidden="1">
      <c r="A853" s="62" t="s">
        <v>923</v>
      </c>
      <c r="B853" s="73">
        <v>3.51</v>
      </c>
      <c r="C853" s="73">
        <v>3853</v>
      </c>
      <c r="D853" s="73">
        <v>4139.1099999999997</v>
      </c>
      <c r="E853" s="73">
        <v>-282.60000000000002</v>
      </c>
      <c r="F853" s="42">
        <v>0</v>
      </c>
      <c r="G853" s="42">
        <f t="shared" si="13"/>
        <v>-282.60000000000002</v>
      </c>
      <c r="H853" s="2" t="str">
        <f>VLOOKUP(A853,'TB JUNE'!A:H,8,0)</f>
        <v>Not Applicable</v>
      </c>
    </row>
    <row r="854" spans="1:8" hidden="1">
      <c r="A854" s="62" t="s">
        <v>1032</v>
      </c>
      <c r="B854" s="73">
        <v>-1.94</v>
      </c>
      <c r="C854" s="73">
        <v>714</v>
      </c>
      <c r="D854" s="73">
        <v>715.18</v>
      </c>
      <c r="E854" s="73">
        <v>-3.12</v>
      </c>
      <c r="F854" s="42">
        <v>0</v>
      </c>
      <c r="G854" s="42">
        <f t="shared" si="13"/>
        <v>-3.12</v>
      </c>
      <c r="H854" s="2" t="str">
        <f>VLOOKUP(A854,'TB JUNE'!A:H,8,0)</f>
        <v>Not Applicable</v>
      </c>
    </row>
    <row r="855" spans="1:8" hidden="1">
      <c r="A855" s="62" t="s">
        <v>948</v>
      </c>
      <c r="B855" s="73">
        <v>0.56000000000000005</v>
      </c>
      <c r="C855" s="73"/>
      <c r="D855" s="73"/>
      <c r="E855" s="73">
        <v>0.56000000000000005</v>
      </c>
      <c r="F855" s="42">
        <v>0</v>
      </c>
      <c r="G855" s="42">
        <f t="shared" si="13"/>
        <v>0.56000000000000005</v>
      </c>
      <c r="H855" s="2" t="str">
        <f>VLOOKUP(A855,'TB JUNE'!A:H,8,0)</f>
        <v>Not Applicable</v>
      </c>
    </row>
    <row r="856" spans="1:8" hidden="1">
      <c r="A856" s="62" t="s">
        <v>1617</v>
      </c>
      <c r="B856" s="73"/>
      <c r="C856" s="73">
        <v>93826</v>
      </c>
      <c r="D856" s="73">
        <v>93826</v>
      </c>
      <c r="E856" s="73"/>
      <c r="F856" s="42">
        <v>0</v>
      </c>
      <c r="G856" s="42">
        <f t="shared" si="13"/>
        <v>0</v>
      </c>
      <c r="H856" s="2" t="s">
        <v>84</v>
      </c>
    </row>
    <row r="857" spans="1:8" hidden="1">
      <c r="A857" s="62" t="s">
        <v>1618</v>
      </c>
      <c r="B857" s="73"/>
      <c r="C857" s="73">
        <v>103297.13</v>
      </c>
      <c r="D857" s="73">
        <v>103297.13</v>
      </c>
      <c r="E857" s="73"/>
      <c r="F857" s="42">
        <v>0</v>
      </c>
      <c r="G857" s="42">
        <f t="shared" si="13"/>
        <v>0</v>
      </c>
      <c r="H857" s="2" t="s">
        <v>84</v>
      </c>
    </row>
    <row r="858" spans="1:8" hidden="1">
      <c r="A858" s="62" t="s">
        <v>1046</v>
      </c>
      <c r="B858" s="73"/>
      <c r="C858" s="73">
        <v>10968.23</v>
      </c>
      <c r="D858" s="73">
        <v>10968.23</v>
      </c>
      <c r="E858" s="73"/>
      <c r="F858" s="42">
        <v>0</v>
      </c>
      <c r="G858" s="42">
        <f t="shared" si="13"/>
        <v>0</v>
      </c>
      <c r="H858" s="2" t="str">
        <f>VLOOKUP(A858,'TB JUNE'!A:H,8,0)</f>
        <v>Not Applicable</v>
      </c>
    </row>
    <row r="859" spans="1:8" hidden="1">
      <c r="A859" s="62" t="s">
        <v>1047</v>
      </c>
      <c r="B859" s="73"/>
      <c r="C859" s="73">
        <v>31823.46</v>
      </c>
      <c r="D859" s="73">
        <v>31823.46</v>
      </c>
      <c r="E859" s="73"/>
      <c r="F859" s="42">
        <v>0</v>
      </c>
      <c r="G859" s="42">
        <f t="shared" si="13"/>
        <v>0</v>
      </c>
      <c r="H859" s="2" t="str">
        <f>VLOOKUP(A859,'TB JUNE'!A:H,8,0)</f>
        <v>Not Applicable</v>
      </c>
    </row>
    <row r="860" spans="1:8" hidden="1">
      <c r="A860" s="62" t="s">
        <v>880</v>
      </c>
      <c r="B860" s="73"/>
      <c r="C860" s="73"/>
      <c r="D860" s="73"/>
      <c r="E860" s="73"/>
      <c r="F860" s="42">
        <v>0</v>
      </c>
      <c r="G860" s="42">
        <f t="shared" si="13"/>
        <v>0</v>
      </c>
      <c r="H860" s="2" t="str">
        <f>VLOOKUP(A860,'TB JUNE'!A:H,8,0)</f>
        <v>Not Applicable</v>
      </c>
    </row>
    <row r="861" spans="1:8" hidden="1">
      <c r="A861" s="62" t="s">
        <v>901</v>
      </c>
      <c r="B861" s="73">
        <v>33416</v>
      </c>
      <c r="C861" s="73"/>
      <c r="D861" s="73"/>
      <c r="E861" s="73">
        <v>33416</v>
      </c>
      <c r="F861" s="42">
        <v>0</v>
      </c>
      <c r="G861" s="42">
        <f t="shared" si="13"/>
        <v>33416</v>
      </c>
      <c r="H861" s="2" t="str">
        <f>VLOOKUP(A861,'TB JUNE'!A:H,8,0)</f>
        <v>Not Applicable</v>
      </c>
    </row>
    <row r="862" spans="1:8" hidden="1">
      <c r="A862" s="62" t="s">
        <v>667</v>
      </c>
      <c r="B862" s="73"/>
      <c r="C862" s="73"/>
      <c r="D862" s="73"/>
      <c r="E862" s="73"/>
      <c r="F862" s="42">
        <v>0</v>
      </c>
      <c r="G862" s="42">
        <f t="shared" si="13"/>
        <v>0</v>
      </c>
      <c r="H862" s="2" t="str">
        <f>VLOOKUP(A862,'TB JUNE'!A:H,8,0)</f>
        <v>Not Applicable</v>
      </c>
    </row>
    <row r="863" spans="1:8" hidden="1">
      <c r="A863" s="62" t="s">
        <v>668</v>
      </c>
      <c r="B863" s="73"/>
      <c r="C863" s="73"/>
      <c r="D863" s="73"/>
      <c r="E863" s="73"/>
      <c r="F863" s="42">
        <v>0</v>
      </c>
      <c r="G863" s="42">
        <f t="shared" si="13"/>
        <v>0</v>
      </c>
      <c r="H863" s="2" t="str">
        <f>VLOOKUP(A863,'TB JUNE'!A:H,8,0)</f>
        <v>Not Applicable</v>
      </c>
    </row>
    <row r="864" spans="1:8" hidden="1">
      <c r="A864" s="62" t="s">
        <v>669</v>
      </c>
      <c r="B864" s="73">
        <v>0.01</v>
      </c>
      <c r="C864" s="73"/>
      <c r="D864" s="73"/>
      <c r="E864" s="73">
        <v>0.01</v>
      </c>
      <c r="F864" s="42">
        <v>0</v>
      </c>
      <c r="G864" s="42">
        <f t="shared" si="13"/>
        <v>0.01</v>
      </c>
      <c r="H864" s="2" t="str">
        <f>VLOOKUP(A864,'TB JUNE'!A:H,8,0)</f>
        <v>Not Applicable</v>
      </c>
    </row>
    <row r="865" spans="1:8" hidden="1">
      <c r="A865" s="62" t="s">
        <v>929</v>
      </c>
      <c r="B865" s="73"/>
      <c r="C865" s="73"/>
      <c r="D865" s="73"/>
      <c r="E865" s="73"/>
      <c r="F865" s="42">
        <v>0</v>
      </c>
      <c r="G865" s="42">
        <f t="shared" si="13"/>
        <v>0</v>
      </c>
      <c r="H865" s="2" t="str">
        <f>VLOOKUP(A865,'TB JUNE'!A:H,8,0)</f>
        <v>Not Applicable</v>
      </c>
    </row>
    <row r="866" spans="1:8" hidden="1">
      <c r="A866" s="62" t="s">
        <v>1619</v>
      </c>
      <c r="B866" s="73"/>
      <c r="C866" s="73">
        <v>74049.440000000002</v>
      </c>
      <c r="D866" s="73">
        <v>74049.440000000002</v>
      </c>
      <c r="E866" s="73"/>
      <c r="F866" s="42">
        <v>0</v>
      </c>
      <c r="G866" s="42">
        <f t="shared" si="13"/>
        <v>0</v>
      </c>
      <c r="H866" s="2" t="s">
        <v>84</v>
      </c>
    </row>
    <row r="867" spans="1:8" hidden="1">
      <c r="A867" s="62" t="s">
        <v>1372</v>
      </c>
      <c r="B867" s="73">
        <v>-740000</v>
      </c>
      <c r="C867" s="73">
        <v>747422.2</v>
      </c>
      <c r="D867" s="73">
        <v>7422.2</v>
      </c>
      <c r="E867" s="73"/>
      <c r="F867" s="42">
        <v>0</v>
      </c>
      <c r="G867" s="42">
        <f t="shared" si="13"/>
        <v>0</v>
      </c>
      <c r="H867" s="2" t="str">
        <f>VLOOKUP(A867,'TB JUNE'!A:H,8,0)</f>
        <v>Not Applicable</v>
      </c>
    </row>
    <row r="868" spans="1:8" hidden="1">
      <c r="A868" s="62" t="s">
        <v>1373</v>
      </c>
      <c r="B868" s="73">
        <v>-2494774.1</v>
      </c>
      <c r="C868" s="73">
        <v>2494774.1</v>
      </c>
      <c r="D868" s="73"/>
      <c r="E868" s="73"/>
      <c r="F868" s="42">
        <v>0</v>
      </c>
      <c r="G868" s="42">
        <f t="shared" si="13"/>
        <v>0</v>
      </c>
      <c r="H868" s="2" t="str">
        <f>VLOOKUP(A868,'TB JUNE'!A:H,8,0)</f>
        <v>Not Applicable</v>
      </c>
    </row>
    <row r="869" spans="1:8" hidden="1">
      <c r="A869" s="62" t="s">
        <v>1620</v>
      </c>
      <c r="B869" s="73"/>
      <c r="C869" s="73"/>
      <c r="D869" s="73">
        <v>2344118</v>
      </c>
      <c r="E869" s="73">
        <v>-2344118</v>
      </c>
      <c r="F869" s="42">
        <v>0</v>
      </c>
      <c r="G869" s="42">
        <f t="shared" si="13"/>
        <v>-2344118</v>
      </c>
      <c r="H869" s="2" t="s">
        <v>84</v>
      </c>
    </row>
    <row r="870" spans="1:8" hidden="1">
      <c r="A870" s="62" t="s">
        <v>1621</v>
      </c>
      <c r="B870" s="73"/>
      <c r="C870" s="73">
        <v>68363</v>
      </c>
      <c r="D870" s="73">
        <v>68363</v>
      </c>
      <c r="E870" s="73"/>
      <c r="F870" s="42">
        <v>0</v>
      </c>
      <c r="G870" s="42">
        <f t="shared" si="13"/>
        <v>0</v>
      </c>
      <c r="H870" s="2" t="s">
        <v>84</v>
      </c>
    </row>
    <row r="871" spans="1:8" hidden="1">
      <c r="A871" s="62" t="s">
        <v>1004</v>
      </c>
      <c r="B871" s="73">
        <v>-3515.4</v>
      </c>
      <c r="C871" s="73"/>
      <c r="D871" s="73"/>
      <c r="E871" s="73">
        <v>-3515.4</v>
      </c>
      <c r="F871" s="42">
        <v>0</v>
      </c>
      <c r="G871" s="42">
        <f t="shared" si="13"/>
        <v>-3515.4</v>
      </c>
      <c r="H871" s="2" t="str">
        <f>VLOOKUP(A871,'TB JUNE'!A:H,8,0)</f>
        <v>Not Applicable</v>
      </c>
    </row>
    <row r="872" spans="1:8" hidden="1">
      <c r="A872" s="62" t="s">
        <v>1374</v>
      </c>
      <c r="B872" s="73">
        <v>-161506.79999999999</v>
      </c>
      <c r="C872" s="73"/>
      <c r="D872" s="73"/>
      <c r="E872" s="73">
        <v>-161506.79999999999</v>
      </c>
      <c r="F872" s="42">
        <v>0</v>
      </c>
      <c r="G872" s="42">
        <f t="shared" si="13"/>
        <v>-161506.79999999999</v>
      </c>
      <c r="H872" s="2" t="str">
        <f>VLOOKUP(A872,'TB JUNE'!A:H,8,0)</f>
        <v>Not Applicable</v>
      </c>
    </row>
    <row r="873" spans="1:8" hidden="1">
      <c r="A873" s="62" t="s">
        <v>515</v>
      </c>
      <c r="B873" s="73">
        <v>74938.759999999995</v>
      </c>
      <c r="C873" s="73"/>
      <c r="D873" s="73"/>
      <c r="E873" s="73">
        <v>74938.759999999995</v>
      </c>
      <c r="F873" s="42">
        <v>0</v>
      </c>
      <c r="G873" s="42">
        <f t="shared" si="13"/>
        <v>74938.759999999995</v>
      </c>
      <c r="H873" s="2" t="str">
        <f>VLOOKUP(A873,'TB JUNE'!A:H,8,0)</f>
        <v>Not Applicable</v>
      </c>
    </row>
    <row r="874" spans="1:8" hidden="1">
      <c r="A874" s="62" t="s">
        <v>437</v>
      </c>
      <c r="B874" s="73"/>
      <c r="C874" s="73"/>
      <c r="D874" s="73"/>
      <c r="E874" s="73"/>
      <c r="F874" s="42">
        <v>0</v>
      </c>
      <c r="G874" s="42">
        <f t="shared" si="13"/>
        <v>0</v>
      </c>
      <c r="H874" s="2" t="str">
        <f>VLOOKUP(A874,'TB JUNE'!A:H,8,0)</f>
        <v>Not Applicable</v>
      </c>
    </row>
    <row r="875" spans="1:8" hidden="1">
      <c r="A875" s="62" t="s">
        <v>1315</v>
      </c>
      <c r="B875" s="73"/>
      <c r="C875" s="73"/>
      <c r="D875" s="73"/>
      <c r="E875" s="73"/>
      <c r="F875" s="42">
        <v>0</v>
      </c>
      <c r="G875" s="42">
        <f t="shared" si="13"/>
        <v>0</v>
      </c>
      <c r="H875" s="2" t="str">
        <f>VLOOKUP(A875,'TB JUNE'!A:H,8,0)</f>
        <v>Not Applicable</v>
      </c>
    </row>
    <row r="876" spans="1:8" hidden="1">
      <c r="A876" s="62" t="s">
        <v>696</v>
      </c>
      <c r="B876" s="73">
        <v>-8382528</v>
      </c>
      <c r="C876" s="73"/>
      <c r="D876" s="73"/>
      <c r="E876" s="73">
        <v>-8382528</v>
      </c>
      <c r="F876" s="42">
        <v>0</v>
      </c>
      <c r="G876" s="42">
        <f t="shared" si="13"/>
        <v>-8382528</v>
      </c>
      <c r="H876" s="2" t="str">
        <f>VLOOKUP(A876,'TB JUNE'!A:H,8,0)</f>
        <v>Not Applicable</v>
      </c>
    </row>
    <row r="877" spans="1:8" hidden="1">
      <c r="A877" s="62" t="s">
        <v>674</v>
      </c>
      <c r="B877" s="73">
        <v>-2992.51</v>
      </c>
      <c r="C877" s="73">
        <v>2992.51</v>
      </c>
      <c r="D877" s="73"/>
      <c r="E877" s="73"/>
      <c r="F877" s="42">
        <v>0</v>
      </c>
      <c r="G877" s="42">
        <f t="shared" si="13"/>
        <v>0</v>
      </c>
      <c r="H877" s="2" t="str">
        <f>VLOOKUP(A877,'TB JUNE'!A:H,8,0)</f>
        <v>Not Applicable</v>
      </c>
    </row>
    <row r="878" spans="1:8" hidden="1">
      <c r="A878" s="62" t="s">
        <v>872</v>
      </c>
      <c r="B878" s="73"/>
      <c r="C878" s="73">
        <v>349280</v>
      </c>
      <c r="D878" s="73">
        <v>628940</v>
      </c>
      <c r="E878" s="73">
        <v>-279660</v>
      </c>
      <c r="F878" s="42">
        <v>0</v>
      </c>
      <c r="G878" s="42">
        <f t="shared" si="13"/>
        <v>-279660</v>
      </c>
      <c r="H878" s="2" t="str">
        <f>VLOOKUP(A878,'TB JUNE'!A:H,8,0)</f>
        <v>Not Applicable</v>
      </c>
    </row>
    <row r="879" spans="1:8" hidden="1">
      <c r="A879" s="62" t="s">
        <v>635</v>
      </c>
      <c r="B879" s="73">
        <v>-315368</v>
      </c>
      <c r="C879" s="73">
        <v>315368</v>
      </c>
      <c r="D879" s="73"/>
      <c r="E879" s="73"/>
      <c r="F879" s="42">
        <v>0</v>
      </c>
      <c r="G879" s="42">
        <f t="shared" si="13"/>
        <v>0</v>
      </c>
      <c r="H879" s="2" t="str">
        <f>VLOOKUP(A879,'TB JUNE'!A:H,8,0)</f>
        <v>Not Applicable</v>
      </c>
    </row>
    <row r="880" spans="1:8" hidden="1">
      <c r="A880" s="62" t="s">
        <v>1483</v>
      </c>
      <c r="B880" s="73"/>
      <c r="C880" s="73"/>
      <c r="D880" s="73"/>
      <c r="E880" s="73"/>
      <c r="F880" s="42">
        <v>0</v>
      </c>
      <c r="G880" s="42">
        <f t="shared" si="13"/>
        <v>0</v>
      </c>
      <c r="H880" s="2" t="str">
        <f>VLOOKUP(A880,'TB JUNE'!A:H,8,0)</f>
        <v>Not Applicable</v>
      </c>
    </row>
    <row r="881" spans="1:8" hidden="1">
      <c r="A881" s="62" t="s">
        <v>1193</v>
      </c>
      <c r="B881" s="73">
        <v>-12980</v>
      </c>
      <c r="C881" s="73"/>
      <c r="D881" s="73"/>
      <c r="E881" s="73">
        <v>-12980</v>
      </c>
      <c r="F881" s="42">
        <v>0</v>
      </c>
      <c r="G881" s="42">
        <f t="shared" si="13"/>
        <v>-12980</v>
      </c>
      <c r="H881" s="2" t="str">
        <f>VLOOKUP(A881,'TB JUNE'!A:H,8,0)</f>
        <v>Not Applicable</v>
      </c>
    </row>
    <row r="882" spans="1:8" hidden="1">
      <c r="A882" s="62" t="s">
        <v>1316</v>
      </c>
      <c r="B882" s="73"/>
      <c r="C882" s="73"/>
      <c r="D882" s="73"/>
      <c r="E882" s="73"/>
      <c r="F882" s="42">
        <v>0</v>
      </c>
      <c r="G882" s="42">
        <f t="shared" si="13"/>
        <v>0</v>
      </c>
      <c r="H882" s="2" t="str">
        <f>VLOOKUP(A882,'TB JUNE'!A:H,8,0)</f>
        <v>Not Applicable</v>
      </c>
    </row>
    <row r="883" spans="1:8" hidden="1">
      <c r="A883" s="62" t="s">
        <v>1534</v>
      </c>
      <c r="B883" s="73"/>
      <c r="C883" s="73">
        <v>5808721</v>
      </c>
      <c r="D883" s="73">
        <v>5808721</v>
      </c>
      <c r="E883" s="73"/>
      <c r="F883" s="42">
        <v>0</v>
      </c>
      <c r="G883" s="42">
        <f t="shared" si="13"/>
        <v>0</v>
      </c>
      <c r="H883" s="2" t="str">
        <f>VLOOKUP(A883,'TB JUNE'!A:H,8,0)</f>
        <v>Not Applicable</v>
      </c>
    </row>
    <row r="884" spans="1:8" hidden="1">
      <c r="A884" s="62" t="s">
        <v>610</v>
      </c>
      <c r="B884" s="73">
        <v>-337874.88</v>
      </c>
      <c r="C884" s="73"/>
      <c r="D884" s="73"/>
      <c r="E884" s="73">
        <v>-337874.88</v>
      </c>
      <c r="F884" s="42">
        <v>0</v>
      </c>
      <c r="G884" s="42">
        <f t="shared" si="13"/>
        <v>-337874.88</v>
      </c>
      <c r="H884" s="2" t="str">
        <f>VLOOKUP(A884,'TB JUNE'!A:H,8,0)</f>
        <v>Not Applicable</v>
      </c>
    </row>
    <row r="885" spans="1:8" hidden="1">
      <c r="A885" s="62" t="s">
        <v>1145</v>
      </c>
      <c r="B885" s="73">
        <v>-8041519.5300000003</v>
      </c>
      <c r="C885" s="73">
        <v>9989391.1999999993</v>
      </c>
      <c r="D885" s="73">
        <v>1947871.86</v>
      </c>
      <c r="E885" s="73">
        <v>-0.19</v>
      </c>
      <c r="F885" s="42">
        <v>0</v>
      </c>
      <c r="G885" s="42">
        <f t="shared" si="13"/>
        <v>-0.19</v>
      </c>
      <c r="H885" s="2" t="str">
        <f>VLOOKUP(A885,'TB JUNE'!A:H,8,0)</f>
        <v>Not Applicable</v>
      </c>
    </row>
    <row r="886" spans="1:8" hidden="1">
      <c r="A886" s="62" t="s">
        <v>1622</v>
      </c>
      <c r="B886" s="73"/>
      <c r="C886" s="73">
        <v>15211771.59</v>
      </c>
      <c r="D886" s="73">
        <v>30616.03</v>
      </c>
      <c r="E886" s="73">
        <v>15181155.560000001</v>
      </c>
      <c r="F886" s="42">
        <v>0</v>
      </c>
      <c r="G886" s="42">
        <f t="shared" si="13"/>
        <v>15181155.560000001</v>
      </c>
      <c r="H886" s="2" t="s">
        <v>84</v>
      </c>
    </row>
    <row r="887" spans="1:8" hidden="1">
      <c r="A887" s="62" t="s">
        <v>1484</v>
      </c>
      <c r="B887" s="73"/>
      <c r="C887" s="73"/>
      <c r="D887" s="73"/>
      <c r="E887" s="73"/>
      <c r="F887" s="42">
        <v>0</v>
      </c>
      <c r="G887" s="42">
        <f t="shared" si="13"/>
        <v>0</v>
      </c>
      <c r="H887" s="2" t="str">
        <f>VLOOKUP(A887,'TB JUNE'!A:H,8,0)</f>
        <v>Not Applicable</v>
      </c>
    </row>
    <row r="888" spans="1:8" hidden="1">
      <c r="A888" s="62" t="s">
        <v>603</v>
      </c>
      <c r="B888" s="73"/>
      <c r="C888" s="73"/>
      <c r="D888" s="73"/>
      <c r="E888" s="73"/>
      <c r="F888" s="42">
        <v>0</v>
      </c>
      <c r="G888" s="42">
        <f t="shared" si="13"/>
        <v>0</v>
      </c>
      <c r="H888" s="2" t="str">
        <f>VLOOKUP(A888,'TB JUNE'!A:H,8,0)</f>
        <v>Not Applicable</v>
      </c>
    </row>
    <row r="889" spans="1:8" hidden="1">
      <c r="A889" s="62" t="s">
        <v>601</v>
      </c>
      <c r="B889" s="73"/>
      <c r="C889" s="73"/>
      <c r="D889" s="73"/>
      <c r="E889" s="73"/>
      <c r="F889" s="42">
        <v>0</v>
      </c>
      <c r="G889" s="42">
        <f t="shared" si="13"/>
        <v>0</v>
      </c>
      <c r="H889" s="2" t="str">
        <f>VLOOKUP(A889,'TB JUNE'!A:H,8,0)</f>
        <v>Not Applicable</v>
      </c>
    </row>
    <row r="890" spans="1:8" hidden="1">
      <c r="A890" s="62" t="s">
        <v>597</v>
      </c>
      <c r="B890" s="73"/>
      <c r="C890" s="73"/>
      <c r="D890" s="73"/>
      <c r="E890" s="73"/>
      <c r="F890" s="42">
        <v>0</v>
      </c>
      <c r="G890" s="42">
        <f t="shared" si="13"/>
        <v>0</v>
      </c>
      <c r="H890" s="2" t="s">
        <v>84</v>
      </c>
    </row>
    <row r="891" spans="1:8" hidden="1">
      <c r="A891" s="62" t="s">
        <v>598</v>
      </c>
      <c r="B891" s="73">
        <v>-3203037.26</v>
      </c>
      <c r="C891" s="73">
        <v>1605326.4</v>
      </c>
      <c r="D891" s="73">
        <v>1605326.4</v>
      </c>
      <c r="E891" s="73">
        <v>-3203037.26</v>
      </c>
      <c r="F891" s="42">
        <v>0</v>
      </c>
      <c r="G891" s="42">
        <f t="shared" si="13"/>
        <v>-3203037.26</v>
      </c>
      <c r="H891" s="2" t="str">
        <f>VLOOKUP(A891,'TB JUNE'!A:H,8,0)</f>
        <v>Not Applicable</v>
      </c>
    </row>
    <row r="892" spans="1:8" hidden="1">
      <c r="A892" s="62" t="s">
        <v>587</v>
      </c>
      <c r="B892" s="73"/>
      <c r="C892" s="73"/>
      <c r="D892" s="73"/>
      <c r="E892" s="73"/>
      <c r="F892" s="42">
        <v>0</v>
      </c>
      <c r="G892" s="42">
        <f t="shared" si="13"/>
        <v>0</v>
      </c>
      <c r="H892" s="2" t="s">
        <v>84</v>
      </c>
    </row>
    <row r="893" spans="1:8" hidden="1">
      <c r="A893" s="62" t="s">
        <v>576</v>
      </c>
      <c r="B893" s="73">
        <v>-1727691445.1800001</v>
      </c>
      <c r="C893" s="73">
        <v>15112.31</v>
      </c>
      <c r="D893" s="73">
        <v>106259881.62</v>
      </c>
      <c r="E893" s="73">
        <v>-1833936214.49</v>
      </c>
      <c r="F893" s="42">
        <v>0</v>
      </c>
      <c r="G893" s="42">
        <f t="shared" si="13"/>
        <v>-1833936214.49</v>
      </c>
      <c r="H893" s="2" t="str">
        <f>VLOOKUP(A893,'TB JUNE'!A:H,8,0)</f>
        <v>Not Applicable</v>
      </c>
    </row>
    <row r="894" spans="1:8" hidden="1">
      <c r="A894" s="62" t="s">
        <v>1535</v>
      </c>
      <c r="B894" s="73"/>
      <c r="C894" s="73">
        <v>2604694.48</v>
      </c>
      <c r="D894" s="73">
        <v>2606903</v>
      </c>
      <c r="E894" s="73">
        <v>-2208.52</v>
      </c>
      <c r="F894" s="42">
        <v>0</v>
      </c>
      <c r="G894" s="42">
        <f t="shared" si="13"/>
        <v>-2208.52</v>
      </c>
      <c r="H894" s="2" t="str">
        <f>VLOOKUP(A894,'TB JUNE'!A:H,8,0)</f>
        <v>Not Applicable</v>
      </c>
    </row>
    <row r="895" spans="1:8" hidden="1">
      <c r="A895" s="62" t="s">
        <v>560</v>
      </c>
      <c r="B895" s="73">
        <v>307113.17</v>
      </c>
      <c r="C895" s="73"/>
      <c r="D895" s="73"/>
      <c r="E895" s="73">
        <v>307113.17</v>
      </c>
      <c r="F895" s="42">
        <v>0</v>
      </c>
      <c r="G895" s="42">
        <f t="shared" si="13"/>
        <v>307113.17</v>
      </c>
      <c r="H895" s="2" t="str">
        <f>VLOOKUP(A895,'TB JUNE'!A:H,8,0)</f>
        <v>Not Applicable</v>
      </c>
    </row>
    <row r="896" spans="1:8" hidden="1">
      <c r="A896" s="63" t="s">
        <v>1631</v>
      </c>
      <c r="B896" s="73"/>
      <c r="C896" s="73"/>
      <c r="D896" s="73"/>
      <c r="E896" s="73"/>
      <c r="F896" s="42">
        <v>0</v>
      </c>
      <c r="G896" s="42">
        <f t="shared" si="13"/>
        <v>0</v>
      </c>
      <c r="H896" s="2" t="s">
        <v>84</v>
      </c>
    </row>
    <row r="897" spans="1:8" hidden="1">
      <c r="A897" s="62" t="s">
        <v>989</v>
      </c>
      <c r="B897" s="73">
        <v>-18071983</v>
      </c>
      <c r="C897" s="73">
        <v>28877705</v>
      </c>
      <c r="D897" s="73">
        <v>11025008</v>
      </c>
      <c r="E897" s="73">
        <v>-219286</v>
      </c>
      <c r="F897" s="42">
        <v>0</v>
      </c>
      <c r="G897" s="42">
        <f t="shared" si="13"/>
        <v>-219286</v>
      </c>
      <c r="H897" s="2" t="str">
        <f>VLOOKUP(A897,'TB JUNE'!A:H,8,0)</f>
        <v>Not Applicable</v>
      </c>
    </row>
    <row r="898" spans="1:8" hidden="1">
      <c r="A898" s="62" t="s">
        <v>545</v>
      </c>
      <c r="B898" s="73"/>
      <c r="C898" s="73"/>
      <c r="D898" s="73"/>
      <c r="E898" s="73"/>
      <c r="F898" s="42">
        <v>0</v>
      </c>
      <c r="G898" s="42">
        <f t="shared" si="13"/>
        <v>0</v>
      </c>
      <c r="H898" s="2" t="s">
        <v>84</v>
      </c>
    </row>
    <row r="899" spans="1:8" hidden="1">
      <c r="A899" s="62" t="s">
        <v>1251</v>
      </c>
      <c r="B899" s="73"/>
      <c r="C899" s="73">
        <v>904441</v>
      </c>
      <c r="D899" s="73">
        <v>904824</v>
      </c>
      <c r="E899" s="73">
        <v>-383</v>
      </c>
      <c r="F899" s="42">
        <v>0</v>
      </c>
      <c r="G899" s="42">
        <f t="shared" si="13"/>
        <v>-383</v>
      </c>
      <c r="H899" s="2" t="str">
        <f>VLOOKUP(A899,'TB JUNE'!A:H,8,0)</f>
        <v>Not Applicable</v>
      </c>
    </row>
    <row r="900" spans="1:8" hidden="1">
      <c r="A900" s="62" t="s">
        <v>527</v>
      </c>
      <c r="B900" s="73">
        <v>254743.26</v>
      </c>
      <c r="C900" s="73"/>
      <c r="D900" s="73"/>
      <c r="E900" s="73">
        <v>254743.26</v>
      </c>
      <c r="F900" s="42">
        <v>0</v>
      </c>
      <c r="G900" s="42">
        <f t="shared" si="13"/>
        <v>254743.26</v>
      </c>
      <c r="H900" s="2" t="str">
        <f>VLOOKUP(A900,'TB JUNE'!A:H,8,0)</f>
        <v>Not Applicable</v>
      </c>
    </row>
    <row r="901" spans="1:8" hidden="1">
      <c r="A901" s="62" t="s">
        <v>516</v>
      </c>
      <c r="B901" s="73">
        <v>-402161.93</v>
      </c>
      <c r="C901" s="73"/>
      <c r="D901" s="73"/>
      <c r="E901" s="73">
        <v>-402161.93</v>
      </c>
      <c r="F901" s="42">
        <v>0</v>
      </c>
      <c r="G901" s="42">
        <f t="shared" si="13"/>
        <v>-402161.93</v>
      </c>
      <c r="H901" s="2" t="str">
        <f>VLOOKUP(A901,'TB JUNE'!A:H,8,0)</f>
        <v>Not Applicable</v>
      </c>
    </row>
    <row r="902" spans="1:8" hidden="1">
      <c r="A902" s="62" t="s">
        <v>1487</v>
      </c>
      <c r="B902" s="73">
        <v>-319.79000000000002</v>
      </c>
      <c r="C902" s="73"/>
      <c r="D902" s="73"/>
      <c r="E902" s="73">
        <v>-319.79000000000002</v>
      </c>
      <c r="F902" s="42">
        <v>0</v>
      </c>
      <c r="G902" s="42">
        <f t="shared" ref="G902:G965" si="14">+E902+F902</f>
        <v>-319.79000000000002</v>
      </c>
      <c r="H902" s="2" t="str">
        <f>VLOOKUP(A902,'TB JUNE'!A:H,8,0)</f>
        <v>Not Applicable</v>
      </c>
    </row>
    <row r="903" spans="1:8" hidden="1">
      <c r="A903" s="62" t="s">
        <v>517</v>
      </c>
      <c r="B903" s="73"/>
      <c r="C903" s="73"/>
      <c r="D903" s="73"/>
      <c r="E903" s="73"/>
      <c r="F903" s="42">
        <v>0</v>
      </c>
      <c r="G903" s="42">
        <f t="shared" si="14"/>
        <v>0</v>
      </c>
      <c r="H903" s="2" t="str">
        <f>VLOOKUP(A903,'TB JUNE'!A:H,8,0)</f>
        <v>Not Applicable</v>
      </c>
    </row>
    <row r="904" spans="1:8" hidden="1">
      <c r="A904" s="62" t="s">
        <v>1488</v>
      </c>
      <c r="B904" s="73">
        <v>-13781293.02</v>
      </c>
      <c r="C904" s="73"/>
      <c r="D904" s="73">
        <v>17147676</v>
      </c>
      <c r="E904" s="73">
        <v>-30928969.02</v>
      </c>
      <c r="F904" s="42">
        <v>0</v>
      </c>
      <c r="G904" s="42">
        <f t="shared" si="14"/>
        <v>-30928969.02</v>
      </c>
      <c r="H904" s="2" t="str">
        <f>VLOOKUP(A904,'TB JUNE'!A:H,8,0)</f>
        <v>Not Applicable</v>
      </c>
    </row>
    <row r="905" spans="1:8" hidden="1">
      <c r="A905" s="62" t="s">
        <v>1489</v>
      </c>
      <c r="B905" s="73">
        <v>-34477367.549999997</v>
      </c>
      <c r="C905" s="73"/>
      <c r="D905" s="73"/>
      <c r="E905" s="73">
        <v>-34477367.549999997</v>
      </c>
      <c r="F905" s="42">
        <v>0</v>
      </c>
      <c r="G905" s="42">
        <f t="shared" si="14"/>
        <v>-34477367.549999997</v>
      </c>
      <c r="H905" s="2" t="str">
        <f>VLOOKUP(A905,'TB JUNE'!A:H,8,0)</f>
        <v>Not Applicable</v>
      </c>
    </row>
    <row r="906" spans="1:8" hidden="1">
      <c r="A906" s="62" t="s">
        <v>1067</v>
      </c>
      <c r="B906" s="73">
        <v>-1416</v>
      </c>
      <c r="C906" s="73"/>
      <c r="D906" s="73"/>
      <c r="E906" s="73">
        <v>-1416</v>
      </c>
      <c r="F906" s="42">
        <v>0</v>
      </c>
      <c r="G906" s="42">
        <f t="shared" si="14"/>
        <v>-1416</v>
      </c>
      <c r="H906" s="2" t="str">
        <f>VLOOKUP(A906,'TB JUNE'!A:H,8,0)</f>
        <v>Not Applicable</v>
      </c>
    </row>
    <row r="907" spans="1:8" hidden="1">
      <c r="A907" s="62" t="s">
        <v>511</v>
      </c>
      <c r="B907" s="73"/>
      <c r="C907" s="73">
        <v>1097171.7</v>
      </c>
      <c r="D907" s="73">
        <v>1097171.7</v>
      </c>
      <c r="E907" s="73"/>
      <c r="F907" s="42">
        <v>0</v>
      </c>
      <c r="G907" s="42">
        <f t="shared" si="14"/>
        <v>0</v>
      </c>
      <c r="H907" s="2" t="str">
        <f>VLOOKUP(A907,'TB JUNE'!A:H,8,0)</f>
        <v>Not Applicable</v>
      </c>
    </row>
    <row r="908" spans="1:8" hidden="1">
      <c r="A908" s="62" t="s">
        <v>1537</v>
      </c>
      <c r="B908" s="73"/>
      <c r="C908" s="73">
        <v>7691502</v>
      </c>
      <c r="D908" s="73">
        <v>7691501.25</v>
      </c>
      <c r="E908" s="73">
        <v>0.75</v>
      </c>
      <c r="F908" s="42">
        <v>0</v>
      </c>
      <c r="G908" s="42">
        <f t="shared" si="14"/>
        <v>0.75</v>
      </c>
      <c r="H908" s="2" t="str">
        <f>VLOOKUP(A908,'TB JUNE'!A:H,8,0)</f>
        <v>Not Applicable</v>
      </c>
    </row>
    <row r="909" spans="1:8" hidden="1">
      <c r="A909" s="62" t="s">
        <v>461</v>
      </c>
      <c r="B909" s="73"/>
      <c r="C909" s="73"/>
      <c r="D909" s="73"/>
      <c r="E909" s="73"/>
      <c r="F909" s="42">
        <v>0</v>
      </c>
      <c r="G909" s="42">
        <f t="shared" si="14"/>
        <v>0</v>
      </c>
      <c r="H909" s="2" t="str">
        <f>VLOOKUP(A909,'TB JUNE'!A:H,8,0)</f>
        <v>Not Applicable</v>
      </c>
    </row>
    <row r="910" spans="1:8" hidden="1">
      <c r="A910" s="62" t="s">
        <v>462</v>
      </c>
      <c r="B910" s="73">
        <v>-6019955.2800000003</v>
      </c>
      <c r="C910" s="73">
        <v>12723875.119999999</v>
      </c>
      <c r="D910" s="73">
        <v>13058825.470000001</v>
      </c>
      <c r="E910" s="73">
        <v>-6354905.6299999999</v>
      </c>
      <c r="F910" s="42">
        <v>0</v>
      </c>
      <c r="G910" s="42">
        <f t="shared" si="14"/>
        <v>-6354905.6299999999</v>
      </c>
      <c r="H910" s="2" t="str">
        <f>VLOOKUP(A910,'TB JUNE'!A:H,8,0)</f>
        <v>Not Applicable</v>
      </c>
    </row>
    <row r="911" spans="1:8" hidden="1">
      <c r="A911" s="62" t="s">
        <v>463</v>
      </c>
      <c r="B911" s="73">
        <v>-7275146.4500000002</v>
      </c>
      <c r="C911" s="73">
        <v>13586326.59</v>
      </c>
      <c r="D911" s="73">
        <v>8948086.6600000001</v>
      </c>
      <c r="E911" s="73">
        <v>-2636906.52</v>
      </c>
      <c r="F911" s="42">
        <v>0</v>
      </c>
      <c r="G911" s="42">
        <f t="shared" si="14"/>
        <v>-2636906.52</v>
      </c>
      <c r="H911" s="2" t="str">
        <f>VLOOKUP(A911,'TB JUNE'!A:H,8,0)</f>
        <v>Not Applicable</v>
      </c>
    </row>
    <row r="912" spans="1:8" hidden="1">
      <c r="A912" s="62" t="s">
        <v>457</v>
      </c>
      <c r="B912" s="73"/>
      <c r="C912" s="73"/>
      <c r="D912" s="73"/>
      <c r="E912" s="73"/>
      <c r="F912" s="42">
        <v>0</v>
      </c>
      <c r="G912" s="42">
        <f t="shared" si="14"/>
        <v>0</v>
      </c>
      <c r="H912" s="2" t="str">
        <f>VLOOKUP(A912,'TB JUNE'!A:H,8,0)</f>
        <v>Not Applicable</v>
      </c>
    </row>
    <row r="913" spans="1:8" hidden="1">
      <c r="A913" s="62" t="s">
        <v>1490</v>
      </c>
      <c r="B913" s="73"/>
      <c r="C913" s="73"/>
      <c r="D913" s="73"/>
      <c r="E913" s="73"/>
      <c r="F913" s="42">
        <v>0</v>
      </c>
      <c r="G913" s="42">
        <f t="shared" si="14"/>
        <v>0</v>
      </c>
      <c r="H913" s="2" t="str">
        <f>VLOOKUP(A913,'TB JUNE'!A:H,8,0)</f>
        <v>Not Applicable</v>
      </c>
    </row>
    <row r="914" spans="1:8" hidden="1">
      <c r="A914" s="62" t="s">
        <v>419</v>
      </c>
      <c r="B914" s="73">
        <v>4951811.6100000003</v>
      </c>
      <c r="C914" s="73">
        <v>5527758.5099999998</v>
      </c>
      <c r="D914" s="73">
        <v>1602449.64</v>
      </c>
      <c r="E914" s="73">
        <v>8877120.4800000004</v>
      </c>
      <c r="F914" s="42">
        <v>0</v>
      </c>
      <c r="G914" s="42">
        <f t="shared" si="14"/>
        <v>8877120.4800000004</v>
      </c>
      <c r="H914" s="2" t="str">
        <f>VLOOKUP(A914,'TB JUNE'!A:H,8,0)</f>
        <v>Not Applicable</v>
      </c>
    </row>
    <row r="915" spans="1:8" hidden="1">
      <c r="A915" s="62" t="s">
        <v>1195</v>
      </c>
      <c r="B915" s="73">
        <v>-1176259</v>
      </c>
      <c r="C915" s="73">
        <v>1176259</v>
      </c>
      <c r="D915" s="73"/>
      <c r="E915" s="73"/>
      <c r="F915" s="42">
        <v>0</v>
      </c>
      <c r="G915" s="42">
        <f t="shared" si="14"/>
        <v>0</v>
      </c>
      <c r="H915" s="2" t="str">
        <f>VLOOKUP(A915,'TB JUNE'!A:H,8,0)</f>
        <v>Not Applicable</v>
      </c>
    </row>
    <row r="916" spans="1:8" hidden="1">
      <c r="A916" s="62" t="s">
        <v>1492</v>
      </c>
      <c r="B916" s="73"/>
      <c r="C916" s="73"/>
      <c r="D916" s="73"/>
      <c r="E916" s="73"/>
      <c r="F916" s="42">
        <v>0</v>
      </c>
      <c r="G916" s="42">
        <f t="shared" si="14"/>
        <v>0</v>
      </c>
      <c r="H916" s="2" t="str">
        <f>VLOOKUP(A916,'TB JUNE'!A:H,8,0)</f>
        <v>Not Applicable</v>
      </c>
    </row>
    <row r="917" spans="1:8" hidden="1">
      <c r="A917" s="62" t="s">
        <v>411</v>
      </c>
      <c r="B917" s="73">
        <v>-84959.8</v>
      </c>
      <c r="C917" s="73">
        <v>4897466</v>
      </c>
      <c r="D917" s="73">
        <v>4751493.2</v>
      </c>
      <c r="E917" s="73">
        <v>61013</v>
      </c>
      <c r="F917" s="42">
        <v>0</v>
      </c>
      <c r="G917" s="42">
        <f t="shared" si="14"/>
        <v>61013</v>
      </c>
      <c r="H917" s="2" t="str">
        <f>VLOOKUP(A917,'TB JUNE'!A:H,8,0)</f>
        <v>Not Applicable</v>
      </c>
    </row>
    <row r="918" spans="1:8" hidden="1">
      <c r="A918" s="62" t="s">
        <v>1090</v>
      </c>
      <c r="B918" s="73">
        <v>-9169591.1999999993</v>
      </c>
      <c r="C918" s="73"/>
      <c r="D918" s="73"/>
      <c r="E918" s="73">
        <v>-9169591.1999999993</v>
      </c>
      <c r="F918" s="42">
        <v>0</v>
      </c>
      <c r="G918" s="42">
        <f t="shared" si="14"/>
        <v>-9169591.1999999993</v>
      </c>
      <c r="H918" s="2" t="str">
        <f>VLOOKUP(A918,'TB JUNE'!A:H,8,0)</f>
        <v>Not Applicable</v>
      </c>
    </row>
    <row r="919" spans="1:8" hidden="1">
      <c r="A919" s="62" t="s">
        <v>394</v>
      </c>
      <c r="B919" s="73">
        <v>-613943.67000000004</v>
      </c>
      <c r="C919" s="73"/>
      <c r="D919" s="73">
        <v>10959500</v>
      </c>
      <c r="E919" s="73">
        <v>-11573443.67</v>
      </c>
      <c r="F919" s="42">
        <v>0</v>
      </c>
      <c r="G919" s="42">
        <f t="shared" si="14"/>
        <v>-11573443.67</v>
      </c>
      <c r="H919" s="2" t="str">
        <f>VLOOKUP(A919,'TB JUNE'!A:H,8,0)</f>
        <v>Not Applicable</v>
      </c>
    </row>
    <row r="920" spans="1:8" hidden="1">
      <c r="A920" s="62" t="s">
        <v>1000</v>
      </c>
      <c r="B920" s="73">
        <v>-2069133.4</v>
      </c>
      <c r="C920" s="73"/>
      <c r="D920" s="73"/>
      <c r="E920" s="73">
        <v>-2069133.4</v>
      </c>
      <c r="F920" s="42">
        <v>0</v>
      </c>
      <c r="G920" s="42">
        <f t="shared" si="14"/>
        <v>-2069133.4</v>
      </c>
      <c r="H920" s="2" t="str">
        <f>VLOOKUP(A920,'TB JUNE'!A:H,8,0)</f>
        <v>Not Applicable</v>
      </c>
    </row>
    <row r="921" spans="1:8" hidden="1">
      <c r="A921" s="62" t="s">
        <v>1298</v>
      </c>
      <c r="B921" s="73">
        <v>-2298522</v>
      </c>
      <c r="C921" s="73">
        <v>6190422.5</v>
      </c>
      <c r="D921" s="73">
        <v>4387552.5</v>
      </c>
      <c r="E921" s="73">
        <v>-495652</v>
      </c>
      <c r="F921" s="42">
        <v>0</v>
      </c>
      <c r="G921" s="42">
        <f t="shared" si="14"/>
        <v>-495652</v>
      </c>
      <c r="H921" s="2" t="str">
        <f>VLOOKUP(A921,'TB JUNE'!A:H,8,0)</f>
        <v>Not Applicable</v>
      </c>
    </row>
    <row r="922" spans="1:8" hidden="1">
      <c r="A922" s="62" t="s">
        <v>860</v>
      </c>
      <c r="B922" s="73"/>
      <c r="C922" s="73"/>
      <c r="D922" s="73"/>
      <c r="E922" s="73"/>
      <c r="F922" s="42">
        <v>0</v>
      </c>
      <c r="G922" s="42">
        <f t="shared" si="14"/>
        <v>0</v>
      </c>
      <c r="H922" s="2" t="str">
        <f>VLOOKUP(A922,'TB JUNE'!A:H,8,0)</f>
        <v>Not Applicable</v>
      </c>
    </row>
    <row r="923" spans="1:8" hidden="1">
      <c r="A923" s="62" t="s">
        <v>390</v>
      </c>
      <c r="B923" s="73">
        <v>640875.06000000006</v>
      </c>
      <c r="C923" s="73"/>
      <c r="D923" s="73"/>
      <c r="E923" s="73">
        <v>640875.06000000006</v>
      </c>
      <c r="F923" s="42">
        <v>0</v>
      </c>
      <c r="G923" s="42">
        <f t="shared" si="14"/>
        <v>640875.06000000006</v>
      </c>
      <c r="H923" s="2" t="str">
        <f>VLOOKUP(A923,'TB JUNE'!A:H,8,0)</f>
        <v>Not Applicable</v>
      </c>
    </row>
    <row r="924" spans="1:8" hidden="1">
      <c r="A924" s="62" t="s">
        <v>385</v>
      </c>
      <c r="B924" s="73"/>
      <c r="C924" s="73"/>
      <c r="D924" s="73"/>
      <c r="E924" s="73"/>
      <c r="F924" s="42">
        <v>0</v>
      </c>
      <c r="G924" s="42">
        <f t="shared" si="14"/>
        <v>0</v>
      </c>
      <c r="H924" s="2" t="str">
        <f>VLOOKUP(A924,'TB JUNE'!A:H,8,0)</f>
        <v>Not Applicable</v>
      </c>
    </row>
    <row r="925" spans="1:8" hidden="1">
      <c r="A925" s="62" t="s">
        <v>380</v>
      </c>
      <c r="B925" s="73">
        <v>2691.2</v>
      </c>
      <c r="C925" s="73"/>
      <c r="D925" s="73"/>
      <c r="E925" s="73">
        <v>2691.2</v>
      </c>
      <c r="F925" s="42">
        <v>0</v>
      </c>
      <c r="G925" s="42">
        <f t="shared" si="14"/>
        <v>2691.2</v>
      </c>
      <c r="H925" s="2" t="str">
        <f>VLOOKUP(A925,'TB JUNE'!A:H,8,0)</f>
        <v>Not Applicable</v>
      </c>
    </row>
    <row r="926" spans="1:8" hidden="1">
      <c r="A926" s="62" t="s">
        <v>381</v>
      </c>
      <c r="B926" s="73"/>
      <c r="C926" s="73"/>
      <c r="D926" s="73"/>
      <c r="E926" s="73"/>
      <c r="F926" s="42">
        <v>0</v>
      </c>
      <c r="G926" s="42">
        <f t="shared" si="14"/>
        <v>0</v>
      </c>
      <c r="H926" s="2" t="str">
        <f>VLOOKUP(A926,'TB JUNE'!A:H,8,0)</f>
        <v>Not Applicable</v>
      </c>
    </row>
    <row r="927" spans="1:8" hidden="1">
      <c r="A927" s="62" t="s">
        <v>1538</v>
      </c>
      <c r="B927" s="73"/>
      <c r="C927" s="73">
        <v>1770</v>
      </c>
      <c r="D927" s="73">
        <v>1770</v>
      </c>
      <c r="E927" s="73"/>
      <c r="F927" s="42">
        <v>0</v>
      </c>
      <c r="G927" s="42">
        <f t="shared" si="14"/>
        <v>0</v>
      </c>
      <c r="H927" s="2" t="str">
        <f>VLOOKUP(A927,'TB JUNE'!A:H,8,0)</f>
        <v>Not Applicable</v>
      </c>
    </row>
    <row r="928" spans="1:8" hidden="1">
      <c r="A928" s="62" t="s">
        <v>368</v>
      </c>
      <c r="B928" s="73"/>
      <c r="C928" s="73"/>
      <c r="D928" s="73"/>
      <c r="E928" s="73"/>
      <c r="F928" s="42">
        <v>0</v>
      </c>
      <c r="G928" s="42">
        <f t="shared" si="14"/>
        <v>0</v>
      </c>
      <c r="H928" s="2" t="str">
        <f>VLOOKUP(A928,'TB JUNE'!A:H,8,0)</f>
        <v>Not Applicable</v>
      </c>
    </row>
    <row r="929" spans="1:8" hidden="1">
      <c r="A929" s="62" t="s">
        <v>958</v>
      </c>
      <c r="B929" s="73">
        <v>-49605.599999999999</v>
      </c>
      <c r="C929" s="73"/>
      <c r="D929" s="73"/>
      <c r="E929" s="73">
        <v>-49605.599999999999</v>
      </c>
      <c r="F929" s="42">
        <v>0</v>
      </c>
      <c r="G929" s="42">
        <f t="shared" si="14"/>
        <v>-49605.599999999999</v>
      </c>
      <c r="H929" s="2" t="str">
        <f>VLOOKUP(A929,'TB JUNE'!A:H,8,0)</f>
        <v>Not Applicable</v>
      </c>
    </row>
    <row r="930" spans="1:8" hidden="1">
      <c r="A930" s="62" t="s">
        <v>1196</v>
      </c>
      <c r="B930" s="73">
        <v>-2328998.4</v>
      </c>
      <c r="C930" s="73"/>
      <c r="D930" s="73"/>
      <c r="E930" s="73">
        <v>-2328998.4</v>
      </c>
      <c r="F930" s="42">
        <v>0</v>
      </c>
      <c r="G930" s="42">
        <f t="shared" si="14"/>
        <v>-2328998.4</v>
      </c>
      <c r="H930" s="2" t="str">
        <f>VLOOKUP(A930,'TB JUNE'!A:H,8,0)</f>
        <v>Not Applicable</v>
      </c>
    </row>
    <row r="931" spans="1:8" hidden="1">
      <c r="A931" s="62" t="s">
        <v>1376</v>
      </c>
      <c r="B931" s="73"/>
      <c r="C931" s="73"/>
      <c r="D931" s="73"/>
      <c r="E931" s="73"/>
      <c r="F931" s="42">
        <v>0</v>
      </c>
      <c r="G931" s="42">
        <f t="shared" si="14"/>
        <v>0</v>
      </c>
      <c r="H931" s="2" t="str">
        <f>VLOOKUP(A931,'TB JUNE'!A:H,8,0)</f>
        <v>Not Applicable</v>
      </c>
    </row>
    <row r="932" spans="1:8" hidden="1">
      <c r="A932" s="62" t="s">
        <v>739</v>
      </c>
      <c r="B932" s="73"/>
      <c r="C932" s="73"/>
      <c r="D932" s="73"/>
      <c r="E932" s="73"/>
      <c r="F932" s="42">
        <v>0</v>
      </c>
      <c r="G932" s="42">
        <f t="shared" si="14"/>
        <v>0</v>
      </c>
      <c r="H932" s="2" t="str">
        <f>VLOOKUP(A932,'TB JUNE'!A:H,8,0)</f>
        <v>Not Applicable</v>
      </c>
    </row>
    <row r="933" spans="1:8" hidden="1">
      <c r="A933" s="62" t="s">
        <v>931</v>
      </c>
      <c r="B933" s="73"/>
      <c r="C933" s="73">
        <v>34100</v>
      </c>
      <c r="D933" s="73">
        <v>34100</v>
      </c>
      <c r="E933" s="73"/>
      <c r="F933" s="42">
        <v>0</v>
      </c>
      <c r="G933" s="42">
        <f t="shared" si="14"/>
        <v>0</v>
      </c>
      <c r="H933" s="2" t="str">
        <f>VLOOKUP(A933,'TB JUNE'!A:H,8,0)</f>
        <v>Not Applicable</v>
      </c>
    </row>
    <row r="934" spans="1:8" hidden="1">
      <c r="A934" s="62" t="s">
        <v>735</v>
      </c>
      <c r="B934" s="73">
        <v>39444.199999999997</v>
      </c>
      <c r="C934" s="73"/>
      <c r="D934" s="73"/>
      <c r="E934" s="73">
        <v>39444.199999999997</v>
      </c>
      <c r="F934" s="42">
        <v>0</v>
      </c>
      <c r="G934" s="42">
        <f t="shared" si="14"/>
        <v>39444.199999999997</v>
      </c>
      <c r="H934" s="2" t="str">
        <f>VLOOKUP(A934,'TB JUNE'!A:H,8,0)</f>
        <v>Not Applicable</v>
      </c>
    </row>
    <row r="935" spans="1:8" hidden="1">
      <c r="A935" s="62" t="s">
        <v>732</v>
      </c>
      <c r="B935" s="73"/>
      <c r="C935" s="73"/>
      <c r="D935" s="73"/>
      <c r="E935" s="73"/>
      <c r="F935" s="42">
        <v>0</v>
      </c>
      <c r="G935" s="42">
        <f t="shared" si="14"/>
        <v>0</v>
      </c>
      <c r="H935" s="2" t="str">
        <f>VLOOKUP(A935,'TB JUNE'!A:H,8,0)</f>
        <v>Not Applicable</v>
      </c>
    </row>
    <row r="936" spans="1:8" hidden="1">
      <c r="A936" s="62" t="s">
        <v>861</v>
      </c>
      <c r="B936" s="73"/>
      <c r="C936" s="73"/>
      <c r="D936" s="73"/>
      <c r="E936" s="73"/>
      <c r="F936" s="42">
        <v>0</v>
      </c>
      <c r="G936" s="42">
        <f t="shared" si="14"/>
        <v>0</v>
      </c>
      <c r="H936" s="2" t="str">
        <f>VLOOKUP(A936,'TB JUNE'!A:H,8,0)</f>
        <v>Not Applicable</v>
      </c>
    </row>
    <row r="937" spans="1:8" hidden="1">
      <c r="A937" s="62" t="s">
        <v>858</v>
      </c>
      <c r="B937" s="73"/>
      <c r="C937" s="73"/>
      <c r="D937" s="73"/>
      <c r="E937" s="73"/>
      <c r="F937" s="42">
        <v>0</v>
      </c>
      <c r="G937" s="42">
        <f t="shared" si="14"/>
        <v>0</v>
      </c>
      <c r="H937" s="2" t="s">
        <v>84</v>
      </c>
    </row>
    <row r="938" spans="1:8" hidden="1">
      <c r="A938" s="62" t="s">
        <v>882</v>
      </c>
      <c r="B938" s="73"/>
      <c r="C938" s="73">
        <v>65835</v>
      </c>
      <c r="D938" s="73">
        <v>65835</v>
      </c>
      <c r="E938" s="73"/>
      <c r="F938" s="42">
        <v>0</v>
      </c>
      <c r="G938" s="42">
        <f t="shared" si="14"/>
        <v>0</v>
      </c>
      <c r="H938" s="2" t="str">
        <f>VLOOKUP(A938,'TB JUNE'!A:H,8,0)</f>
        <v>Not Applicable</v>
      </c>
    </row>
    <row r="939" spans="1:8" hidden="1">
      <c r="A939" s="62" t="s">
        <v>718</v>
      </c>
      <c r="B939" s="73">
        <v>-288118</v>
      </c>
      <c r="C939" s="73">
        <v>856229</v>
      </c>
      <c r="D939" s="73">
        <v>626677</v>
      </c>
      <c r="E939" s="73">
        <v>-58566</v>
      </c>
      <c r="F939" s="42">
        <v>0</v>
      </c>
      <c r="G939" s="42">
        <f t="shared" si="14"/>
        <v>-58566</v>
      </c>
      <c r="H939" s="2" t="str">
        <f>VLOOKUP(A939,'TB JUNE'!A:H,8,0)</f>
        <v>Not Applicable</v>
      </c>
    </row>
    <row r="940" spans="1:8" hidden="1">
      <c r="A940" s="62" t="s">
        <v>721</v>
      </c>
      <c r="B940" s="73">
        <v>-4138</v>
      </c>
      <c r="C940" s="73"/>
      <c r="D940" s="73"/>
      <c r="E940" s="73">
        <v>-4138</v>
      </c>
      <c r="F940" s="42">
        <v>0</v>
      </c>
      <c r="G940" s="42">
        <f t="shared" si="14"/>
        <v>-4138</v>
      </c>
      <c r="H940" s="2" t="str">
        <f>VLOOKUP(A940,'TB JUNE'!A:H,8,0)</f>
        <v>Not Applicable</v>
      </c>
    </row>
    <row r="941" spans="1:8" hidden="1">
      <c r="A941" s="62" t="s">
        <v>1105</v>
      </c>
      <c r="B941" s="73">
        <v>-60</v>
      </c>
      <c r="C941" s="73"/>
      <c r="D941" s="73"/>
      <c r="E941" s="73">
        <v>-60</v>
      </c>
      <c r="F941" s="42">
        <v>0</v>
      </c>
      <c r="G941" s="42">
        <f t="shared" si="14"/>
        <v>-60</v>
      </c>
      <c r="H941" s="2" t="str">
        <f>VLOOKUP(A941,'TB JUNE'!A:H,8,0)</f>
        <v>Not Applicable</v>
      </c>
    </row>
    <row r="942" spans="1:8" hidden="1">
      <c r="A942" s="62" t="s">
        <v>1623</v>
      </c>
      <c r="B942" s="73"/>
      <c r="C942" s="73"/>
      <c r="D942" s="73">
        <v>2602819.35</v>
      </c>
      <c r="E942" s="73">
        <v>-2602819.35</v>
      </c>
      <c r="F942" s="42">
        <v>0</v>
      </c>
      <c r="G942" s="42">
        <f t="shared" si="14"/>
        <v>-2602819.35</v>
      </c>
      <c r="H942" s="2" t="s">
        <v>84</v>
      </c>
    </row>
    <row r="943" spans="1:8" hidden="1">
      <c r="A943" s="62" t="s">
        <v>705</v>
      </c>
      <c r="B943" s="73">
        <v>-1501466</v>
      </c>
      <c r="C943" s="73">
        <v>3319126</v>
      </c>
      <c r="D943" s="73">
        <v>1805432</v>
      </c>
      <c r="E943" s="73">
        <v>12228</v>
      </c>
      <c r="F943" s="42">
        <v>0</v>
      </c>
      <c r="G943" s="42">
        <f t="shared" si="14"/>
        <v>12228</v>
      </c>
      <c r="H943" s="2" t="str">
        <f>VLOOKUP(A943,'TB JUNE'!A:H,8,0)</f>
        <v>Not Applicable</v>
      </c>
    </row>
    <row r="944" spans="1:8" hidden="1">
      <c r="A944" s="62" t="s">
        <v>1103</v>
      </c>
      <c r="B944" s="73">
        <v>6</v>
      </c>
      <c r="C944" s="73"/>
      <c r="D944" s="73"/>
      <c r="E944" s="73">
        <v>6</v>
      </c>
      <c r="F944" s="42">
        <v>0</v>
      </c>
      <c r="G944" s="42">
        <f t="shared" si="14"/>
        <v>6</v>
      </c>
      <c r="H944" s="2" t="str">
        <f>VLOOKUP(A944,'TB JUNE'!A:H,8,0)</f>
        <v>Not Applicable</v>
      </c>
    </row>
    <row r="945" spans="1:8" hidden="1">
      <c r="A945" s="62" t="s">
        <v>903</v>
      </c>
      <c r="B945" s="73"/>
      <c r="C945" s="73">
        <v>36000</v>
      </c>
      <c r="D945" s="73">
        <v>36000</v>
      </c>
      <c r="E945" s="73"/>
      <c r="F945" s="42">
        <v>0</v>
      </c>
      <c r="G945" s="42">
        <f t="shared" si="14"/>
        <v>0</v>
      </c>
      <c r="H945" s="2" t="str">
        <f>VLOOKUP(A945,'TB JUNE'!A:H,8,0)</f>
        <v>Not Applicable</v>
      </c>
    </row>
    <row r="946" spans="1:8" hidden="1">
      <c r="A946" s="62" t="s">
        <v>1299</v>
      </c>
      <c r="B946" s="73">
        <v>-109594</v>
      </c>
      <c r="C946" s="73">
        <v>384376</v>
      </c>
      <c r="D946" s="73">
        <v>234782</v>
      </c>
      <c r="E946" s="73">
        <v>40000</v>
      </c>
      <c r="F946" s="42">
        <v>0</v>
      </c>
      <c r="G946" s="42">
        <f t="shared" si="14"/>
        <v>40000</v>
      </c>
      <c r="H946" s="2" t="str">
        <f>VLOOKUP(A946,'TB JUNE'!A:H,8,0)</f>
        <v>Not Applicable</v>
      </c>
    </row>
    <row r="947" spans="1:8" hidden="1">
      <c r="A947" s="62" t="s">
        <v>683</v>
      </c>
      <c r="B947" s="73">
        <v>99999.5</v>
      </c>
      <c r="C947" s="73"/>
      <c r="D947" s="73"/>
      <c r="E947" s="73">
        <v>99999.5</v>
      </c>
      <c r="F947" s="42">
        <v>0</v>
      </c>
      <c r="G947" s="42">
        <f t="shared" si="14"/>
        <v>99999.5</v>
      </c>
      <c r="H947" s="2" t="str">
        <f>VLOOKUP(A947,'TB JUNE'!A:H,8,0)</f>
        <v>Not Applicable</v>
      </c>
    </row>
    <row r="948" spans="1:8" hidden="1">
      <c r="A948" s="62" t="s">
        <v>688</v>
      </c>
      <c r="B948" s="73">
        <v>112</v>
      </c>
      <c r="C948" s="73"/>
      <c r="D948" s="73"/>
      <c r="E948" s="73">
        <v>112</v>
      </c>
      <c r="F948" s="42">
        <v>0</v>
      </c>
      <c r="G948" s="42">
        <f t="shared" si="14"/>
        <v>112</v>
      </c>
      <c r="H948" s="2" t="str">
        <f>VLOOKUP(A948,'TB JUNE'!A:H,8,0)</f>
        <v>Not Applicable</v>
      </c>
    </row>
    <row r="949" spans="1:8" hidden="1">
      <c r="A949" s="62" t="s">
        <v>1377</v>
      </c>
      <c r="B949" s="73">
        <v>13000</v>
      </c>
      <c r="C949" s="73"/>
      <c r="D949" s="73"/>
      <c r="E949" s="73">
        <v>13000</v>
      </c>
      <c r="F949" s="42">
        <v>0</v>
      </c>
      <c r="G949" s="42">
        <f t="shared" si="14"/>
        <v>13000</v>
      </c>
      <c r="H949" s="2" t="str">
        <f>VLOOKUP(A949,'TB JUNE'!A:H,8,0)</f>
        <v>Not Applicable</v>
      </c>
    </row>
    <row r="950" spans="1:8" hidden="1">
      <c r="A950" s="62" t="s">
        <v>1583</v>
      </c>
      <c r="B950" s="73"/>
      <c r="C950" s="73">
        <v>1627816.14</v>
      </c>
      <c r="D950" s="73">
        <v>1627816.14</v>
      </c>
      <c r="E950" s="73"/>
      <c r="F950" s="42">
        <v>0</v>
      </c>
      <c r="G950" s="42">
        <f t="shared" si="14"/>
        <v>0</v>
      </c>
      <c r="H950" s="2" t="str">
        <f>VLOOKUP(A950,'TB JUNE'!A:H,8,0)</f>
        <v>Not Applicable</v>
      </c>
    </row>
    <row r="951" spans="1:8" hidden="1">
      <c r="A951" s="62" t="s">
        <v>1493</v>
      </c>
      <c r="B951" s="73"/>
      <c r="C951" s="73"/>
      <c r="D951" s="73"/>
      <c r="E951" s="73"/>
      <c r="F951" s="42">
        <v>0</v>
      </c>
      <c r="G951" s="42">
        <f t="shared" si="14"/>
        <v>0</v>
      </c>
      <c r="H951" s="2" t="str">
        <f>VLOOKUP(A951,'TB JUNE'!A:H,8,0)</f>
        <v>Not Applicable</v>
      </c>
    </row>
    <row r="952" spans="1:8" hidden="1">
      <c r="A952" s="62" t="s">
        <v>965</v>
      </c>
      <c r="B952" s="73"/>
      <c r="C952" s="73">
        <v>2358485</v>
      </c>
      <c r="D952" s="73">
        <v>2358485</v>
      </c>
      <c r="E952" s="73"/>
      <c r="F952" s="42">
        <v>0</v>
      </c>
      <c r="G952" s="42">
        <f t="shared" si="14"/>
        <v>0</v>
      </c>
      <c r="H952" s="2" t="str">
        <f>VLOOKUP(A952,'TB JUNE'!A:H,8,0)</f>
        <v>Not Applicable</v>
      </c>
    </row>
    <row r="953" spans="1:8" hidden="1">
      <c r="A953" s="62" t="s">
        <v>665</v>
      </c>
      <c r="B953" s="73">
        <v>-3048</v>
      </c>
      <c r="C953" s="73">
        <v>3000</v>
      </c>
      <c r="D953" s="73">
        <v>5900</v>
      </c>
      <c r="E953" s="73">
        <v>-5948</v>
      </c>
      <c r="F953" s="42">
        <v>0</v>
      </c>
      <c r="G953" s="42">
        <f t="shared" si="14"/>
        <v>-5948</v>
      </c>
      <c r="H953" s="2" t="str">
        <f>VLOOKUP(A953,'TB JUNE'!A:H,8,0)</f>
        <v>Not Applicable</v>
      </c>
    </row>
    <row r="954" spans="1:8" hidden="1">
      <c r="A954" s="62" t="s">
        <v>663</v>
      </c>
      <c r="B954" s="73">
        <v>-601783.02</v>
      </c>
      <c r="C954" s="73">
        <v>1798812</v>
      </c>
      <c r="D954" s="73">
        <v>1350926</v>
      </c>
      <c r="E954" s="73">
        <v>-153897.01999999999</v>
      </c>
      <c r="F954" s="42">
        <v>0</v>
      </c>
      <c r="G954" s="42">
        <f t="shared" si="14"/>
        <v>-153897.01999999999</v>
      </c>
      <c r="H954" s="2" t="str">
        <f>VLOOKUP(A954,'TB JUNE'!A:H,8,0)</f>
        <v>Not Applicable</v>
      </c>
    </row>
    <row r="955" spans="1:8" hidden="1">
      <c r="A955" s="62" t="s">
        <v>649</v>
      </c>
      <c r="B955" s="73"/>
      <c r="C955" s="73"/>
      <c r="D955" s="73"/>
      <c r="E955" s="73"/>
      <c r="F955" s="42">
        <v>0</v>
      </c>
      <c r="G955" s="42">
        <f t="shared" si="14"/>
        <v>0</v>
      </c>
      <c r="H955" s="2" t="str">
        <f>VLOOKUP(A955,'TB JUNE'!A:H,8,0)</f>
        <v>Not Applicable</v>
      </c>
    </row>
    <row r="956" spans="1:8" hidden="1">
      <c r="A956" s="62" t="s">
        <v>879</v>
      </c>
      <c r="B956" s="73"/>
      <c r="C956" s="73">
        <v>40000</v>
      </c>
      <c r="D956" s="73">
        <v>40000</v>
      </c>
      <c r="E956" s="73"/>
      <c r="F956" s="42">
        <v>0</v>
      </c>
      <c r="G956" s="42">
        <f t="shared" si="14"/>
        <v>0</v>
      </c>
      <c r="H956" s="2" t="str">
        <f>VLOOKUP(A956,'TB JUNE'!A:H,8,0)</f>
        <v>Not Applicable</v>
      </c>
    </row>
    <row r="957" spans="1:8" hidden="1">
      <c r="A957" s="62" t="s">
        <v>654</v>
      </c>
      <c r="B957" s="73">
        <v>-15911</v>
      </c>
      <c r="C957" s="73">
        <v>15959</v>
      </c>
      <c r="D957" s="73">
        <v>5664</v>
      </c>
      <c r="E957" s="73">
        <v>-5616</v>
      </c>
      <c r="F957" s="42">
        <v>0</v>
      </c>
      <c r="G957" s="42">
        <f t="shared" si="14"/>
        <v>-5616</v>
      </c>
      <c r="H957" s="2" t="str">
        <f>VLOOKUP(A957,'TB JUNE'!A:H,8,0)</f>
        <v>Not Applicable</v>
      </c>
    </row>
    <row r="958" spans="1:8" hidden="1">
      <c r="A958" s="62" t="s">
        <v>1378</v>
      </c>
      <c r="B958" s="73"/>
      <c r="C958" s="73">
        <v>152591</v>
      </c>
      <c r="D958" s="73">
        <v>290127</v>
      </c>
      <c r="E958" s="73">
        <v>-137536</v>
      </c>
      <c r="F958" s="42">
        <v>0</v>
      </c>
      <c r="G958" s="42">
        <f t="shared" si="14"/>
        <v>-137536</v>
      </c>
      <c r="H958" s="2" t="str">
        <f>VLOOKUP(A958,'TB JUNE'!A:H,8,0)</f>
        <v>Not Applicable</v>
      </c>
    </row>
    <row r="959" spans="1:8" hidden="1">
      <c r="A959" s="62" t="s">
        <v>991</v>
      </c>
      <c r="B959" s="73"/>
      <c r="C959" s="73">
        <v>923933</v>
      </c>
      <c r="D959" s="73">
        <v>923933</v>
      </c>
      <c r="E959" s="73"/>
      <c r="F959" s="42">
        <v>0</v>
      </c>
      <c r="G959" s="42">
        <f t="shared" si="14"/>
        <v>0</v>
      </c>
      <c r="H959" s="2" t="str">
        <f>VLOOKUP(A959,'TB JUNE'!A:H,8,0)</f>
        <v>Not Applicable</v>
      </c>
    </row>
    <row r="960" spans="1:8" hidden="1">
      <c r="A960" s="62" t="s">
        <v>1344</v>
      </c>
      <c r="B960" s="73"/>
      <c r="C960" s="73">
        <v>3496672</v>
      </c>
      <c r="D960" s="73">
        <v>3496673</v>
      </c>
      <c r="E960" s="73">
        <v>-1</v>
      </c>
      <c r="F960" s="42">
        <v>0</v>
      </c>
      <c r="G960" s="42">
        <f t="shared" si="14"/>
        <v>-1</v>
      </c>
      <c r="H960" s="2" t="str">
        <f>VLOOKUP(A960,'TB JUNE'!A:H,8,0)</f>
        <v>Not Applicable</v>
      </c>
    </row>
    <row r="961" spans="1:8" hidden="1">
      <c r="A961" s="62" t="s">
        <v>1624</v>
      </c>
      <c r="B961" s="73"/>
      <c r="C961" s="73">
        <v>4248</v>
      </c>
      <c r="D961" s="73">
        <v>4248</v>
      </c>
      <c r="E961" s="73"/>
      <c r="F961" s="42">
        <v>0</v>
      </c>
      <c r="G961" s="42">
        <f t="shared" si="14"/>
        <v>0</v>
      </c>
      <c r="H961" s="2" t="s">
        <v>84</v>
      </c>
    </row>
    <row r="962" spans="1:8" hidden="1">
      <c r="A962" s="62" t="s">
        <v>631</v>
      </c>
      <c r="B962" s="73">
        <v>-34749</v>
      </c>
      <c r="C962" s="73">
        <v>118167</v>
      </c>
      <c r="D962" s="73">
        <v>105000</v>
      </c>
      <c r="E962" s="73">
        <v>-21582</v>
      </c>
      <c r="F962" s="42">
        <v>0</v>
      </c>
      <c r="G962" s="42">
        <f t="shared" si="14"/>
        <v>-21582</v>
      </c>
      <c r="H962" s="2" t="str">
        <f>VLOOKUP(A962,'TB JUNE'!A:H,8,0)</f>
        <v>Not Applicable</v>
      </c>
    </row>
    <row r="963" spans="1:8" hidden="1">
      <c r="A963" s="62" t="s">
        <v>1379</v>
      </c>
      <c r="B963" s="73">
        <v>415</v>
      </c>
      <c r="C963" s="73">
        <v>24054</v>
      </c>
      <c r="D963" s="73">
        <v>24469</v>
      </c>
      <c r="E963" s="73"/>
      <c r="F963" s="42">
        <v>0</v>
      </c>
      <c r="G963" s="42">
        <f t="shared" si="14"/>
        <v>0</v>
      </c>
      <c r="H963" s="2" t="str">
        <f>VLOOKUP(A963,'TB JUNE'!A:H,8,0)</f>
        <v>Not Applicable</v>
      </c>
    </row>
    <row r="964" spans="1:8" hidden="1">
      <c r="A964" s="62" t="s">
        <v>964</v>
      </c>
      <c r="B964" s="73">
        <v>-53820</v>
      </c>
      <c r="C964" s="73">
        <v>108560</v>
      </c>
      <c r="D964" s="73">
        <v>108560</v>
      </c>
      <c r="E964" s="73">
        <v>-53820</v>
      </c>
      <c r="F964" s="42">
        <v>0</v>
      </c>
      <c r="G964" s="42">
        <f t="shared" si="14"/>
        <v>-53820</v>
      </c>
      <c r="H964" s="2" t="str">
        <f>VLOOKUP(A964,'TB JUNE'!A:H,8,0)</f>
        <v>Not Applicable</v>
      </c>
    </row>
    <row r="965" spans="1:8" hidden="1">
      <c r="A965" s="62" t="s">
        <v>622</v>
      </c>
      <c r="B965" s="73"/>
      <c r="C965" s="73">
        <v>31823.46</v>
      </c>
      <c r="D965" s="73">
        <v>31823.46</v>
      </c>
      <c r="E965" s="73"/>
      <c r="F965" s="42">
        <v>0</v>
      </c>
      <c r="G965" s="42">
        <f t="shared" si="14"/>
        <v>0</v>
      </c>
      <c r="H965" s="2" t="str">
        <f>VLOOKUP(A965,'TB JUNE'!A:H,8,0)</f>
        <v>Not Applicable</v>
      </c>
    </row>
    <row r="966" spans="1:8" hidden="1">
      <c r="A966" s="62" t="s">
        <v>618</v>
      </c>
      <c r="B966" s="73">
        <v>-5547</v>
      </c>
      <c r="C966" s="73"/>
      <c r="D966" s="73"/>
      <c r="E966" s="73">
        <v>-5547</v>
      </c>
      <c r="F966" s="42">
        <v>0</v>
      </c>
      <c r="G966" s="42">
        <f t="shared" ref="G966:G1029" si="15">+E966+F966</f>
        <v>-5547</v>
      </c>
      <c r="H966" s="2" t="str">
        <f>VLOOKUP(A966,'TB JUNE'!A:H,8,0)</f>
        <v>Not Applicable</v>
      </c>
    </row>
    <row r="967" spans="1:8" hidden="1">
      <c r="A967" s="62" t="s">
        <v>1019</v>
      </c>
      <c r="B967" s="73">
        <v>19470</v>
      </c>
      <c r="C967" s="73"/>
      <c r="D967" s="73"/>
      <c r="E967" s="73">
        <v>19470</v>
      </c>
      <c r="F967" s="42">
        <v>0</v>
      </c>
      <c r="G967" s="42">
        <f t="shared" si="15"/>
        <v>19470</v>
      </c>
      <c r="H967" s="2" t="str">
        <f>VLOOKUP(A967,'TB JUNE'!A:H,8,0)</f>
        <v>Not Applicable</v>
      </c>
    </row>
    <row r="968" spans="1:8" hidden="1">
      <c r="A968" s="62" t="s">
        <v>614</v>
      </c>
      <c r="B968" s="73"/>
      <c r="C968" s="73"/>
      <c r="D968" s="73"/>
      <c r="E968" s="73"/>
      <c r="F968" s="42">
        <v>0</v>
      </c>
      <c r="G968" s="42">
        <f t="shared" si="15"/>
        <v>0</v>
      </c>
      <c r="H968" s="2" t="s">
        <v>84</v>
      </c>
    </row>
    <row r="969" spans="1:8" hidden="1">
      <c r="A969" s="62" t="s">
        <v>615</v>
      </c>
      <c r="B969" s="73"/>
      <c r="C969" s="73">
        <v>14000</v>
      </c>
      <c r="D969" s="73">
        <v>14000</v>
      </c>
      <c r="E969" s="73"/>
      <c r="F969" s="42">
        <v>0</v>
      </c>
      <c r="G969" s="42">
        <f t="shared" si="15"/>
        <v>0</v>
      </c>
      <c r="H969" s="2" t="str">
        <f>VLOOKUP(A969,'TB JUNE'!A:H,8,0)</f>
        <v>Not Applicable</v>
      </c>
    </row>
    <row r="970" spans="1:8" hidden="1">
      <c r="A970" s="62" t="s">
        <v>941</v>
      </c>
      <c r="B970" s="73">
        <v>0.01</v>
      </c>
      <c r="C970" s="73"/>
      <c r="D970" s="73"/>
      <c r="E970" s="73">
        <v>0.01</v>
      </c>
      <c r="F970" s="42">
        <v>0</v>
      </c>
      <c r="G970" s="42">
        <f t="shared" si="15"/>
        <v>0.01</v>
      </c>
      <c r="H970" s="2" t="str">
        <f>VLOOKUP(A970,'TB JUNE'!A:H,8,0)</f>
        <v>Not Applicable</v>
      </c>
    </row>
    <row r="971" spans="1:8" hidden="1">
      <c r="A971" s="62" t="s">
        <v>926</v>
      </c>
      <c r="B971" s="73">
        <v>30922.3</v>
      </c>
      <c r="C971" s="73"/>
      <c r="D971" s="73"/>
      <c r="E971" s="73">
        <v>30922.3</v>
      </c>
      <c r="F971" s="42">
        <v>0</v>
      </c>
      <c r="G971" s="42">
        <f t="shared" si="15"/>
        <v>30922.3</v>
      </c>
      <c r="H971" s="2" t="str">
        <f>VLOOKUP(A971,'TB JUNE'!A:H,8,0)</f>
        <v>Not Applicable</v>
      </c>
    </row>
    <row r="972" spans="1:8" hidden="1">
      <c r="A972" s="62" t="s">
        <v>1345</v>
      </c>
      <c r="B972" s="73">
        <v>-9360</v>
      </c>
      <c r="C972" s="73">
        <v>25408</v>
      </c>
      <c r="D972" s="73">
        <v>16048</v>
      </c>
      <c r="E972" s="73"/>
      <c r="F972" s="42">
        <v>0</v>
      </c>
      <c r="G972" s="42">
        <f t="shared" si="15"/>
        <v>0</v>
      </c>
      <c r="H972" s="2" t="str">
        <f>VLOOKUP(A972,'TB JUNE'!A:H,8,0)</f>
        <v>Not Applicable</v>
      </c>
    </row>
    <row r="973" spans="1:8" hidden="1">
      <c r="A973" s="62" t="s">
        <v>1271</v>
      </c>
      <c r="B973" s="73"/>
      <c r="C973" s="73">
        <v>4640</v>
      </c>
      <c r="D973" s="73">
        <v>4720</v>
      </c>
      <c r="E973" s="73">
        <v>-80</v>
      </c>
      <c r="F973" s="42">
        <v>0</v>
      </c>
      <c r="G973" s="42">
        <f t="shared" si="15"/>
        <v>-80</v>
      </c>
      <c r="H973" s="2" t="str">
        <f>VLOOKUP(A973,'TB JUNE'!A:H,8,0)</f>
        <v>Not Applicable</v>
      </c>
    </row>
    <row r="974" spans="1:8" hidden="1">
      <c r="A974" s="62" t="s">
        <v>588</v>
      </c>
      <c r="B974" s="73"/>
      <c r="C974" s="73"/>
      <c r="D974" s="73"/>
      <c r="E974" s="73"/>
      <c r="F974" s="42">
        <v>0</v>
      </c>
      <c r="G974" s="42">
        <f t="shared" si="15"/>
        <v>0</v>
      </c>
      <c r="H974" s="2" t="str">
        <f>VLOOKUP(A974,'TB JUNE'!A:H,8,0)</f>
        <v>Not Applicable</v>
      </c>
    </row>
    <row r="975" spans="1:8" hidden="1">
      <c r="A975" s="62" t="s">
        <v>915</v>
      </c>
      <c r="B975" s="73"/>
      <c r="C975" s="73"/>
      <c r="D975" s="73"/>
      <c r="E975" s="73"/>
      <c r="F975" s="42">
        <v>0</v>
      </c>
      <c r="G975" s="42">
        <f t="shared" si="15"/>
        <v>0</v>
      </c>
      <c r="H975" s="2" t="str">
        <f>VLOOKUP(A975,'TB JUNE'!A:H,8,0)</f>
        <v>Not Applicable</v>
      </c>
    </row>
    <row r="976" spans="1:8" hidden="1">
      <c r="A976" s="62" t="s">
        <v>589</v>
      </c>
      <c r="B976" s="73"/>
      <c r="C976" s="73"/>
      <c r="D976" s="73"/>
      <c r="E976" s="73"/>
      <c r="F976" s="42">
        <v>0</v>
      </c>
      <c r="G976" s="42">
        <f t="shared" si="15"/>
        <v>0</v>
      </c>
      <c r="H976" s="2" t="str">
        <f>VLOOKUP(A976,'TB JUNE'!A:H,8,0)</f>
        <v>Not Applicable</v>
      </c>
    </row>
    <row r="977" spans="1:8" hidden="1">
      <c r="A977" s="62" t="s">
        <v>590</v>
      </c>
      <c r="B977" s="73"/>
      <c r="C977" s="73">
        <v>283200</v>
      </c>
      <c r="D977" s="73">
        <v>318600</v>
      </c>
      <c r="E977" s="73">
        <v>-35400</v>
      </c>
      <c r="F977" s="42">
        <v>0</v>
      </c>
      <c r="G977" s="42">
        <f t="shared" si="15"/>
        <v>-35400</v>
      </c>
      <c r="H977" s="2" t="str">
        <f>VLOOKUP(A977,'TB JUNE'!A:H,8,0)</f>
        <v>Not Applicable</v>
      </c>
    </row>
    <row r="978" spans="1:8" hidden="1">
      <c r="A978" s="62" t="s">
        <v>1018</v>
      </c>
      <c r="B978" s="73">
        <v>-30000</v>
      </c>
      <c r="C978" s="73"/>
      <c r="D978" s="73"/>
      <c r="E978" s="73">
        <v>-30000</v>
      </c>
      <c r="F978" s="42">
        <v>0</v>
      </c>
      <c r="G978" s="42">
        <f t="shared" si="15"/>
        <v>-30000</v>
      </c>
      <c r="H978" s="2" t="str">
        <f>VLOOKUP(A978,'TB JUNE'!A:H,8,0)</f>
        <v>Not Applicable</v>
      </c>
    </row>
    <row r="979" spans="1:8" hidden="1">
      <c r="A979" s="62" t="s">
        <v>583</v>
      </c>
      <c r="B979" s="73">
        <v>40000</v>
      </c>
      <c r="C979" s="73"/>
      <c r="D979" s="73"/>
      <c r="E979" s="73">
        <v>40000</v>
      </c>
      <c r="F979" s="42">
        <v>0</v>
      </c>
      <c r="G979" s="42">
        <f t="shared" si="15"/>
        <v>40000</v>
      </c>
      <c r="H979" s="2" t="str">
        <f>VLOOKUP(A979,'TB JUNE'!A:H,8,0)</f>
        <v>Not Applicable</v>
      </c>
    </row>
    <row r="980" spans="1:8" hidden="1">
      <c r="A980" s="62" t="s">
        <v>962</v>
      </c>
      <c r="B980" s="73"/>
      <c r="C980" s="73">
        <v>7080</v>
      </c>
      <c r="D980" s="73">
        <v>7080</v>
      </c>
      <c r="E980" s="73"/>
      <c r="F980" s="42">
        <v>0</v>
      </c>
      <c r="G980" s="42">
        <f t="shared" si="15"/>
        <v>0</v>
      </c>
      <c r="H980" s="2" t="str">
        <f>VLOOKUP(A980,'TB JUNE'!A:H,8,0)</f>
        <v>Not Applicable</v>
      </c>
    </row>
    <row r="981" spans="1:8" hidden="1">
      <c r="A981" s="62" t="s">
        <v>582</v>
      </c>
      <c r="B981" s="73"/>
      <c r="C981" s="73">
        <v>484000</v>
      </c>
      <c r="D981" s="73">
        <v>484000</v>
      </c>
      <c r="E981" s="73"/>
      <c r="F981" s="42">
        <v>0</v>
      </c>
      <c r="G981" s="42">
        <f t="shared" si="15"/>
        <v>0</v>
      </c>
      <c r="H981" s="2" t="str">
        <f>VLOOKUP(A981,'TB JUNE'!A:H,8,0)</f>
        <v>Not Applicable</v>
      </c>
    </row>
    <row r="982" spans="1:8" hidden="1">
      <c r="A982" s="62" t="s">
        <v>571</v>
      </c>
      <c r="B982" s="73">
        <v>-739687.61</v>
      </c>
      <c r="C982" s="73">
        <v>1458123.23</v>
      </c>
      <c r="D982" s="73">
        <v>790059</v>
      </c>
      <c r="E982" s="73">
        <v>-71623.38</v>
      </c>
      <c r="F982" s="42">
        <v>0</v>
      </c>
      <c r="G982" s="42">
        <f t="shared" si="15"/>
        <v>-71623.38</v>
      </c>
      <c r="H982" s="2" t="str">
        <f>VLOOKUP(A982,'TB JUNE'!A:H,8,0)</f>
        <v>Not Applicable</v>
      </c>
    </row>
    <row r="983" spans="1:8" hidden="1">
      <c r="A983" s="62" t="s">
        <v>573</v>
      </c>
      <c r="B983" s="73">
        <v>-528463</v>
      </c>
      <c r="C983" s="73">
        <v>1678682</v>
      </c>
      <c r="D983" s="73">
        <v>1100821</v>
      </c>
      <c r="E983" s="73">
        <v>49398</v>
      </c>
      <c r="F983" s="42">
        <v>0</v>
      </c>
      <c r="G983" s="42">
        <f t="shared" si="15"/>
        <v>49398</v>
      </c>
      <c r="H983" s="2" t="str">
        <f>VLOOKUP(A983,'TB JUNE'!A:H,8,0)</f>
        <v>Not Applicable</v>
      </c>
    </row>
    <row r="984" spans="1:8" hidden="1">
      <c r="A984" s="62" t="s">
        <v>871</v>
      </c>
      <c r="B984" s="73"/>
      <c r="C984" s="73">
        <v>130500</v>
      </c>
      <c r="D984" s="73">
        <v>130500</v>
      </c>
      <c r="E984" s="73"/>
      <c r="F984" s="42">
        <v>0</v>
      </c>
      <c r="G984" s="42">
        <f t="shared" si="15"/>
        <v>0</v>
      </c>
      <c r="H984" s="2" t="str">
        <f>VLOOKUP(A984,'TB JUNE'!A:H,8,0)</f>
        <v>Not Applicable</v>
      </c>
    </row>
    <row r="985" spans="1:8" hidden="1">
      <c r="A985" s="62" t="s">
        <v>551</v>
      </c>
      <c r="B985" s="73">
        <v>-14160</v>
      </c>
      <c r="C985" s="73">
        <v>35400</v>
      </c>
      <c r="D985" s="73">
        <v>28320</v>
      </c>
      <c r="E985" s="73">
        <v>-7080</v>
      </c>
      <c r="F985" s="42">
        <v>0</v>
      </c>
      <c r="G985" s="42">
        <f t="shared" si="15"/>
        <v>-7080</v>
      </c>
      <c r="H985" s="2" t="str">
        <f>VLOOKUP(A985,'TB JUNE'!A:H,8,0)</f>
        <v>Not Applicable</v>
      </c>
    </row>
    <row r="986" spans="1:8" hidden="1">
      <c r="A986" s="62" t="s">
        <v>1122</v>
      </c>
      <c r="B986" s="73"/>
      <c r="C986" s="73">
        <v>495600</v>
      </c>
      <c r="D986" s="73">
        <v>495600</v>
      </c>
      <c r="E986" s="73"/>
      <c r="F986" s="42">
        <v>0</v>
      </c>
      <c r="G986" s="42">
        <f t="shared" si="15"/>
        <v>0</v>
      </c>
      <c r="H986" s="2" t="s">
        <v>84</v>
      </c>
    </row>
    <row r="987" spans="1:8" hidden="1">
      <c r="A987" s="62" t="s">
        <v>1272</v>
      </c>
      <c r="B987" s="73"/>
      <c r="C987" s="73">
        <v>448800</v>
      </c>
      <c r="D987" s="73">
        <v>448800</v>
      </c>
      <c r="E987" s="73"/>
      <c r="F987" s="42">
        <v>0</v>
      </c>
      <c r="G987" s="42">
        <f t="shared" si="15"/>
        <v>0</v>
      </c>
      <c r="H987" s="2" t="str">
        <f>VLOOKUP(A987,'TB JUNE'!A:H,8,0)</f>
        <v>Not Applicable</v>
      </c>
    </row>
    <row r="988" spans="1:8" hidden="1">
      <c r="A988" s="62" t="s">
        <v>981</v>
      </c>
      <c r="B988" s="73"/>
      <c r="C988" s="73">
        <v>150857</v>
      </c>
      <c r="D988" s="73">
        <v>150857</v>
      </c>
      <c r="E988" s="73"/>
      <c r="F988" s="42">
        <v>0</v>
      </c>
      <c r="G988" s="42">
        <f t="shared" si="15"/>
        <v>0</v>
      </c>
      <c r="H988" s="2" t="str">
        <f>VLOOKUP(A988,'TB JUNE'!A:H,8,0)</f>
        <v>Not Applicable</v>
      </c>
    </row>
    <row r="989" spans="1:8" hidden="1">
      <c r="A989" s="62" t="s">
        <v>556</v>
      </c>
      <c r="B989" s="73"/>
      <c r="C989" s="73"/>
      <c r="D989" s="73"/>
      <c r="E989" s="73"/>
      <c r="F989" s="42">
        <v>0</v>
      </c>
      <c r="G989" s="42">
        <f t="shared" si="15"/>
        <v>0</v>
      </c>
      <c r="H989" s="2" t="str">
        <f>VLOOKUP(A989,'TB JUNE'!A:H,8,0)</f>
        <v>Not Applicable</v>
      </c>
    </row>
    <row r="990" spans="1:8" hidden="1">
      <c r="A990" s="62" t="s">
        <v>1201</v>
      </c>
      <c r="B990" s="73">
        <v>-213150</v>
      </c>
      <c r="C990" s="73">
        <v>596085</v>
      </c>
      <c r="D990" s="73">
        <v>675255</v>
      </c>
      <c r="E990" s="73">
        <v>-292320</v>
      </c>
      <c r="F990" s="42">
        <v>0</v>
      </c>
      <c r="G990" s="42">
        <f t="shared" si="15"/>
        <v>-292320</v>
      </c>
      <c r="H990" s="2" t="str">
        <f>VLOOKUP(A990,'TB JUNE'!A:H,8,0)</f>
        <v>Not Applicable</v>
      </c>
    </row>
    <row r="991" spans="1:8" hidden="1">
      <c r="A991" s="62" t="s">
        <v>1026</v>
      </c>
      <c r="B991" s="73">
        <v>-291160</v>
      </c>
      <c r="C991" s="73">
        <v>4140</v>
      </c>
      <c r="D991" s="73">
        <v>244260</v>
      </c>
      <c r="E991" s="73">
        <v>-531280</v>
      </c>
      <c r="F991" s="42">
        <v>0</v>
      </c>
      <c r="G991" s="42">
        <f t="shared" si="15"/>
        <v>-531280</v>
      </c>
      <c r="H991" s="2" t="str">
        <f>VLOOKUP(A991,'TB JUNE'!A:H,8,0)</f>
        <v>Not Applicable</v>
      </c>
    </row>
    <row r="992" spans="1:8" hidden="1">
      <c r="A992" s="62" t="s">
        <v>547</v>
      </c>
      <c r="B992" s="73"/>
      <c r="C992" s="73"/>
      <c r="D992" s="73"/>
      <c r="E992" s="73"/>
      <c r="F992" s="42">
        <v>0</v>
      </c>
      <c r="G992" s="42">
        <f t="shared" si="15"/>
        <v>0</v>
      </c>
      <c r="H992" s="2" t="str">
        <f>VLOOKUP(A992,'TB JUNE'!A:H,8,0)</f>
        <v>Not Applicable</v>
      </c>
    </row>
    <row r="993" spans="1:8" hidden="1">
      <c r="A993" s="62" t="s">
        <v>544</v>
      </c>
      <c r="B993" s="73">
        <v>-1598622.79</v>
      </c>
      <c r="C993" s="73">
        <v>7590652</v>
      </c>
      <c r="D993" s="73">
        <v>4987516</v>
      </c>
      <c r="E993" s="73">
        <v>1004513.21</v>
      </c>
      <c r="F993" s="42">
        <v>0</v>
      </c>
      <c r="G993" s="42">
        <f t="shared" si="15"/>
        <v>1004513.21</v>
      </c>
      <c r="H993" s="2" t="str">
        <f>VLOOKUP(A993,'TB JUNE'!A:H,8,0)</f>
        <v>Not Applicable</v>
      </c>
    </row>
    <row r="994" spans="1:8" hidden="1">
      <c r="A994" s="62" t="s">
        <v>540</v>
      </c>
      <c r="B994" s="73"/>
      <c r="C994" s="73"/>
      <c r="D994" s="73"/>
      <c r="E994" s="73"/>
      <c r="F994" s="42">
        <v>0</v>
      </c>
      <c r="G994" s="42">
        <f t="shared" si="15"/>
        <v>0</v>
      </c>
      <c r="H994" s="2" t="str">
        <f>VLOOKUP(A994,'TB JUNE'!A:H,8,0)</f>
        <v>Not Applicable</v>
      </c>
    </row>
    <row r="995" spans="1:8" hidden="1">
      <c r="A995" s="62" t="s">
        <v>538</v>
      </c>
      <c r="B995" s="73"/>
      <c r="C995" s="73"/>
      <c r="D995" s="73"/>
      <c r="E995" s="73"/>
      <c r="F995" s="42">
        <v>0</v>
      </c>
      <c r="G995" s="42">
        <f t="shared" si="15"/>
        <v>0</v>
      </c>
      <c r="H995" s="2" t="str">
        <f>VLOOKUP(A995,'TB JUNE'!A:H,8,0)</f>
        <v>Not Applicable</v>
      </c>
    </row>
    <row r="996" spans="1:8" hidden="1">
      <c r="A996" s="62" t="s">
        <v>533</v>
      </c>
      <c r="B996" s="73">
        <v>-5775</v>
      </c>
      <c r="C996" s="73">
        <v>152400</v>
      </c>
      <c r="D996" s="73">
        <v>152400</v>
      </c>
      <c r="E996" s="73">
        <v>-5775</v>
      </c>
      <c r="F996" s="42">
        <v>0</v>
      </c>
      <c r="G996" s="42">
        <f t="shared" si="15"/>
        <v>-5775</v>
      </c>
      <c r="H996" s="2" t="str">
        <f>VLOOKUP(A996,'TB JUNE'!A:H,8,0)</f>
        <v>Not Applicable</v>
      </c>
    </row>
    <row r="997" spans="1:8" hidden="1">
      <c r="A997" s="62" t="s">
        <v>534</v>
      </c>
      <c r="B997" s="73">
        <v>-15</v>
      </c>
      <c r="C997" s="73"/>
      <c r="D997" s="73"/>
      <c r="E997" s="73">
        <v>-15</v>
      </c>
      <c r="F997" s="42">
        <v>0</v>
      </c>
      <c r="G997" s="42">
        <f t="shared" si="15"/>
        <v>-15</v>
      </c>
      <c r="H997" s="2" t="str">
        <f>VLOOKUP(A997,'TB JUNE'!A:H,8,0)</f>
        <v>Not Applicable</v>
      </c>
    </row>
    <row r="998" spans="1:8" hidden="1">
      <c r="A998" s="62" t="s">
        <v>535</v>
      </c>
      <c r="B998" s="73">
        <v>-19958</v>
      </c>
      <c r="C998" s="73"/>
      <c r="D998" s="73"/>
      <c r="E998" s="73">
        <v>-19958</v>
      </c>
      <c r="F998" s="42">
        <v>0</v>
      </c>
      <c r="G998" s="42">
        <f t="shared" si="15"/>
        <v>-19958</v>
      </c>
      <c r="H998" s="2" t="str">
        <f>VLOOKUP(A998,'TB JUNE'!A:H,8,0)</f>
        <v>Not Applicable</v>
      </c>
    </row>
    <row r="999" spans="1:8" hidden="1">
      <c r="A999" s="62" t="s">
        <v>1171</v>
      </c>
      <c r="B999" s="73"/>
      <c r="C999" s="73">
        <v>112441</v>
      </c>
      <c r="D999" s="73">
        <v>112441</v>
      </c>
      <c r="E999" s="73"/>
      <c r="F999" s="42">
        <v>0</v>
      </c>
      <c r="G999" s="42">
        <f t="shared" si="15"/>
        <v>0</v>
      </c>
      <c r="H999" s="2" t="str">
        <f>VLOOKUP(A999,'TB JUNE'!A:H,8,0)</f>
        <v>Not Applicable</v>
      </c>
    </row>
    <row r="1000" spans="1:8" hidden="1">
      <c r="A1000" s="62" t="s">
        <v>525</v>
      </c>
      <c r="B1000" s="73">
        <v>-110312</v>
      </c>
      <c r="C1000" s="73">
        <v>101312</v>
      </c>
      <c r="D1000" s="73"/>
      <c r="E1000" s="73">
        <v>-9000</v>
      </c>
      <c r="F1000" s="42">
        <v>0</v>
      </c>
      <c r="G1000" s="42">
        <f t="shared" si="15"/>
        <v>-9000</v>
      </c>
      <c r="H1000" s="2" t="str">
        <f>VLOOKUP(A1000,'TB JUNE'!A:H,8,0)</f>
        <v>Not Applicable</v>
      </c>
    </row>
    <row r="1001" spans="1:8" hidden="1">
      <c r="A1001" s="62" t="s">
        <v>1625</v>
      </c>
      <c r="B1001" s="73"/>
      <c r="C1001" s="73">
        <v>880</v>
      </c>
      <c r="D1001" s="73">
        <v>51920</v>
      </c>
      <c r="E1001" s="73">
        <v>-51040</v>
      </c>
      <c r="F1001" s="42">
        <v>0</v>
      </c>
      <c r="G1001" s="42">
        <f t="shared" si="15"/>
        <v>-51040</v>
      </c>
      <c r="H1001" s="2" t="s">
        <v>84</v>
      </c>
    </row>
    <row r="1002" spans="1:8" hidden="1">
      <c r="A1002" s="62" t="s">
        <v>1203</v>
      </c>
      <c r="B1002" s="73">
        <v>1</v>
      </c>
      <c r="C1002" s="73"/>
      <c r="D1002" s="73"/>
      <c r="E1002" s="73">
        <v>1</v>
      </c>
      <c r="F1002" s="42">
        <v>0</v>
      </c>
      <c r="G1002" s="42">
        <f t="shared" si="15"/>
        <v>1</v>
      </c>
      <c r="H1002" s="2" t="str">
        <f>VLOOKUP(A1002,'TB JUNE'!A:H,8,0)</f>
        <v>Not Applicable</v>
      </c>
    </row>
    <row r="1003" spans="1:8" hidden="1">
      <c r="A1003" s="62" t="s">
        <v>1015</v>
      </c>
      <c r="B1003" s="73"/>
      <c r="C1003" s="73">
        <v>3540</v>
      </c>
      <c r="D1003" s="73">
        <v>3540</v>
      </c>
      <c r="E1003" s="73"/>
      <c r="F1003" s="42">
        <v>0</v>
      </c>
      <c r="G1003" s="42">
        <f t="shared" si="15"/>
        <v>0</v>
      </c>
      <c r="H1003" s="2" t="str">
        <f>VLOOKUP(A1003,'TB JUNE'!A:H,8,0)</f>
        <v>Not Applicable</v>
      </c>
    </row>
    <row r="1004" spans="1:8" hidden="1">
      <c r="A1004" s="62" t="s">
        <v>509</v>
      </c>
      <c r="B1004" s="73">
        <v>0.5</v>
      </c>
      <c r="C1004" s="73"/>
      <c r="D1004" s="73"/>
      <c r="E1004" s="73">
        <v>0.5</v>
      </c>
      <c r="F1004" s="42">
        <v>0</v>
      </c>
      <c r="G1004" s="42">
        <f t="shared" si="15"/>
        <v>0.5</v>
      </c>
      <c r="H1004" s="2" t="str">
        <f>VLOOKUP(A1004,'TB JUNE'!A:H,8,0)</f>
        <v>Not Applicable</v>
      </c>
    </row>
    <row r="1005" spans="1:8" hidden="1">
      <c r="A1005" s="62" t="s">
        <v>1137</v>
      </c>
      <c r="B1005" s="73">
        <v>-143516</v>
      </c>
      <c r="C1005" s="73">
        <v>383851</v>
      </c>
      <c r="D1005" s="73">
        <v>240335</v>
      </c>
      <c r="E1005" s="73"/>
      <c r="F1005" s="42">
        <v>0</v>
      </c>
      <c r="G1005" s="42">
        <f t="shared" si="15"/>
        <v>0</v>
      </c>
      <c r="H1005" s="2" t="str">
        <f>VLOOKUP(A1005,'TB JUNE'!A:H,8,0)</f>
        <v>Not Applicable</v>
      </c>
    </row>
    <row r="1006" spans="1:8" hidden="1">
      <c r="A1006" s="62" t="s">
        <v>1346</v>
      </c>
      <c r="B1006" s="73"/>
      <c r="C1006" s="73">
        <v>152800</v>
      </c>
      <c r="D1006" s="73">
        <v>152800</v>
      </c>
      <c r="E1006" s="73"/>
      <c r="F1006" s="42">
        <v>0</v>
      </c>
      <c r="G1006" s="42">
        <f t="shared" si="15"/>
        <v>0</v>
      </c>
      <c r="H1006" s="2" t="str">
        <f>VLOOKUP(A1006,'TB JUNE'!A:H,8,0)</f>
        <v>Not Applicable</v>
      </c>
    </row>
    <row r="1007" spans="1:8" hidden="1">
      <c r="A1007" s="62" t="s">
        <v>1204</v>
      </c>
      <c r="B1007" s="73"/>
      <c r="C1007" s="73">
        <v>129600</v>
      </c>
      <c r="D1007" s="73">
        <v>129600</v>
      </c>
      <c r="E1007" s="73"/>
      <c r="F1007" s="42">
        <v>0</v>
      </c>
      <c r="G1007" s="42">
        <f t="shared" si="15"/>
        <v>0</v>
      </c>
      <c r="H1007" s="2" t="str">
        <f>VLOOKUP(A1007,'TB JUNE'!A:H,8,0)</f>
        <v>Not Applicable</v>
      </c>
    </row>
    <row r="1008" spans="1:8" hidden="1">
      <c r="A1008" s="62" t="s">
        <v>1025</v>
      </c>
      <c r="B1008" s="73">
        <v>-61234</v>
      </c>
      <c r="C1008" s="73">
        <v>159164</v>
      </c>
      <c r="D1008" s="73">
        <v>97930</v>
      </c>
      <c r="E1008" s="73"/>
      <c r="F1008" s="42">
        <v>0</v>
      </c>
      <c r="G1008" s="42">
        <f t="shared" si="15"/>
        <v>0</v>
      </c>
      <c r="H1008" s="2" t="str">
        <f>VLOOKUP(A1008,'TB JUNE'!A:H,8,0)</f>
        <v>Not Applicable</v>
      </c>
    </row>
    <row r="1009" spans="1:8" hidden="1">
      <c r="A1009" s="62" t="s">
        <v>1539</v>
      </c>
      <c r="B1009" s="73"/>
      <c r="C1009" s="73">
        <v>711100</v>
      </c>
      <c r="D1009" s="73">
        <v>711100.2</v>
      </c>
      <c r="E1009" s="73">
        <v>-0.2</v>
      </c>
      <c r="F1009" s="42">
        <v>0</v>
      </c>
      <c r="G1009" s="42">
        <f t="shared" si="15"/>
        <v>-0.2</v>
      </c>
      <c r="H1009" s="2" t="str">
        <f>VLOOKUP(A1009,'TB JUNE'!A:H,8,0)</f>
        <v>Not Applicable</v>
      </c>
    </row>
    <row r="1010" spans="1:8" hidden="1">
      <c r="A1010" s="62" t="s">
        <v>477</v>
      </c>
      <c r="B1010" s="73"/>
      <c r="C1010" s="73">
        <v>90000</v>
      </c>
      <c r="D1010" s="73">
        <v>90000</v>
      </c>
      <c r="E1010" s="73"/>
      <c r="F1010" s="42">
        <v>0</v>
      </c>
      <c r="G1010" s="42">
        <f t="shared" si="15"/>
        <v>0</v>
      </c>
      <c r="H1010" s="2" t="str">
        <f>VLOOKUP(A1010,'TB JUNE'!A:H,8,0)</f>
        <v>Not Applicable</v>
      </c>
    </row>
    <row r="1011" spans="1:8" hidden="1">
      <c r="A1011" s="62" t="s">
        <v>465</v>
      </c>
      <c r="B1011" s="73">
        <v>90000</v>
      </c>
      <c r="C1011" s="73"/>
      <c r="D1011" s="73"/>
      <c r="E1011" s="73">
        <v>90000</v>
      </c>
      <c r="F1011" s="42">
        <v>0</v>
      </c>
      <c r="G1011" s="42">
        <f t="shared" si="15"/>
        <v>90000</v>
      </c>
      <c r="H1011" s="2" t="str">
        <f>VLOOKUP(A1011,'TB JUNE'!A:H,8,0)</f>
        <v>Not Applicable</v>
      </c>
    </row>
    <row r="1012" spans="1:8" hidden="1">
      <c r="A1012" s="62" t="s">
        <v>1584</v>
      </c>
      <c r="B1012" s="73"/>
      <c r="C1012" s="73"/>
      <c r="D1012" s="73"/>
      <c r="E1012" s="73"/>
      <c r="F1012" s="42">
        <v>0</v>
      </c>
      <c r="G1012" s="42">
        <f t="shared" si="15"/>
        <v>0</v>
      </c>
      <c r="H1012" s="2" t="str">
        <f>VLOOKUP(A1012,'TB JUNE'!A:H,8,0)</f>
        <v>Not Applicable</v>
      </c>
    </row>
    <row r="1013" spans="1:8" hidden="1">
      <c r="A1013" s="62" t="s">
        <v>469</v>
      </c>
      <c r="B1013" s="73">
        <v>-19750</v>
      </c>
      <c r="C1013" s="73"/>
      <c r="D1013" s="73"/>
      <c r="E1013" s="73">
        <v>-19750</v>
      </c>
      <c r="F1013" s="42">
        <v>0</v>
      </c>
      <c r="G1013" s="42">
        <f t="shared" si="15"/>
        <v>-19750</v>
      </c>
      <c r="H1013" s="2" t="str">
        <f>VLOOKUP(A1013,'TB JUNE'!A:H,8,0)</f>
        <v>Not Applicable</v>
      </c>
    </row>
    <row r="1014" spans="1:8" hidden="1">
      <c r="A1014" s="62" t="s">
        <v>471</v>
      </c>
      <c r="B1014" s="73">
        <v>-32040.76</v>
      </c>
      <c r="C1014" s="73"/>
      <c r="D1014" s="73"/>
      <c r="E1014" s="73">
        <v>-32040.76</v>
      </c>
      <c r="F1014" s="42">
        <v>0</v>
      </c>
      <c r="G1014" s="42">
        <f t="shared" si="15"/>
        <v>-32040.76</v>
      </c>
      <c r="H1014" s="2" t="str">
        <f>VLOOKUP(A1014,'TB JUNE'!A:H,8,0)</f>
        <v>Not Applicable</v>
      </c>
    </row>
    <row r="1015" spans="1:8" hidden="1">
      <c r="A1015" s="62" t="s">
        <v>472</v>
      </c>
      <c r="B1015" s="73">
        <v>-31962</v>
      </c>
      <c r="C1015" s="73">
        <v>137126</v>
      </c>
      <c r="D1015" s="73">
        <v>105164</v>
      </c>
      <c r="E1015" s="73"/>
      <c r="F1015" s="42">
        <v>0</v>
      </c>
      <c r="G1015" s="42">
        <f t="shared" si="15"/>
        <v>0</v>
      </c>
      <c r="H1015" s="2" t="str">
        <f>VLOOKUP(A1015,'TB JUNE'!A:H,8,0)</f>
        <v>Not Applicable</v>
      </c>
    </row>
    <row r="1016" spans="1:8" hidden="1">
      <c r="A1016" s="62" t="s">
        <v>464</v>
      </c>
      <c r="B1016" s="73">
        <v>-0.24</v>
      </c>
      <c r="C1016" s="73"/>
      <c r="D1016" s="73"/>
      <c r="E1016" s="73">
        <v>-0.24</v>
      </c>
      <c r="F1016" s="42">
        <v>0</v>
      </c>
      <c r="G1016" s="42">
        <f t="shared" si="15"/>
        <v>-0.24</v>
      </c>
      <c r="H1016" s="2" t="str">
        <f>VLOOKUP(A1016,'TB JUNE'!A:H,8,0)</f>
        <v>Not Applicable</v>
      </c>
    </row>
    <row r="1017" spans="1:8" hidden="1">
      <c r="A1017" s="62" t="s">
        <v>1206</v>
      </c>
      <c r="B1017" s="73">
        <v>-0.38</v>
      </c>
      <c r="C1017" s="73"/>
      <c r="D1017" s="73"/>
      <c r="E1017" s="73">
        <v>-0.38</v>
      </c>
      <c r="F1017" s="42">
        <v>0</v>
      </c>
      <c r="G1017" s="42">
        <f t="shared" si="15"/>
        <v>-0.38</v>
      </c>
      <c r="H1017" s="2" t="str">
        <f>VLOOKUP(A1017,'TB JUNE'!A:H,8,0)</f>
        <v>Not Applicable</v>
      </c>
    </row>
    <row r="1018" spans="1:8" hidden="1">
      <c r="A1018" s="62" t="s">
        <v>1172</v>
      </c>
      <c r="B1018" s="73">
        <v>-9769</v>
      </c>
      <c r="C1018" s="73">
        <v>39412</v>
      </c>
      <c r="D1018" s="73">
        <v>39412</v>
      </c>
      <c r="E1018" s="73">
        <v>-9769</v>
      </c>
      <c r="F1018" s="42">
        <v>0</v>
      </c>
      <c r="G1018" s="42">
        <f t="shared" si="15"/>
        <v>-9769</v>
      </c>
      <c r="H1018" s="2" t="str">
        <f>VLOOKUP(A1018,'TB JUNE'!A:H,8,0)</f>
        <v>Not Applicable</v>
      </c>
    </row>
    <row r="1019" spans="1:8" hidden="1">
      <c r="A1019" s="62" t="s">
        <v>456</v>
      </c>
      <c r="B1019" s="73"/>
      <c r="C1019" s="73">
        <v>228400</v>
      </c>
      <c r="D1019" s="73">
        <v>228400</v>
      </c>
      <c r="E1019" s="73"/>
      <c r="F1019" s="42">
        <v>0</v>
      </c>
      <c r="G1019" s="42">
        <f t="shared" si="15"/>
        <v>0</v>
      </c>
      <c r="H1019" s="2" t="str">
        <f>VLOOKUP(A1019,'TB JUNE'!A:H,8,0)</f>
        <v>Not Applicable</v>
      </c>
    </row>
    <row r="1020" spans="1:8" hidden="1">
      <c r="A1020" s="62" t="s">
        <v>447</v>
      </c>
      <c r="B1020" s="73">
        <v>-573637.34</v>
      </c>
      <c r="C1020" s="73">
        <v>1538864</v>
      </c>
      <c r="D1020" s="73">
        <v>1013131</v>
      </c>
      <c r="E1020" s="73">
        <v>-47904.34</v>
      </c>
      <c r="F1020" s="42">
        <v>0</v>
      </c>
      <c r="G1020" s="42">
        <f t="shared" si="15"/>
        <v>-47904.34</v>
      </c>
      <c r="H1020" s="2" t="str">
        <f>VLOOKUP(A1020,'TB JUNE'!A:H,8,0)</f>
        <v>Not Applicable</v>
      </c>
    </row>
    <row r="1021" spans="1:8" hidden="1">
      <c r="A1021" s="62" t="s">
        <v>436</v>
      </c>
      <c r="B1021" s="73">
        <v>-218</v>
      </c>
      <c r="C1021" s="73"/>
      <c r="D1021" s="73"/>
      <c r="E1021" s="73">
        <v>-218</v>
      </c>
      <c r="F1021" s="42">
        <v>0</v>
      </c>
      <c r="G1021" s="42">
        <f t="shared" si="15"/>
        <v>-218</v>
      </c>
      <c r="H1021" s="2" t="str">
        <f>VLOOKUP(A1021,'TB JUNE'!A:H,8,0)</f>
        <v>Not Applicable</v>
      </c>
    </row>
    <row r="1022" spans="1:8" hidden="1">
      <c r="A1022" s="62" t="s">
        <v>1207</v>
      </c>
      <c r="B1022" s="73">
        <v>68</v>
      </c>
      <c r="C1022" s="73"/>
      <c r="D1022" s="73"/>
      <c r="E1022" s="73">
        <v>68</v>
      </c>
      <c r="F1022" s="42">
        <v>0</v>
      </c>
      <c r="G1022" s="42">
        <f t="shared" si="15"/>
        <v>68</v>
      </c>
      <c r="H1022" s="2" t="str">
        <f>VLOOKUP(A1022,'TB JUNE'!A:H,8,0)</f>
        <v>Not Applicable</v>
      </c>
    </row>
    <row r="1023" spans="1:8" hidden="1">
      <c r="A1023" s="62" t="s">
        <v>1274</v>
      </c>
      <c r="B1023" s="73">
        <v>-499</v>
      </c>
      <c r="C1023" s="73">
        <v>60461</v>
      </c>
      <c r="D1023" s="73">
        <v>60950</v>
      </c>
      <c r="E1023" s="73">
        <v>-988</v>
      </c>
      <c r="F1023" s="42">
        <v>0</v>
      </c>
      <c r="G1023" s="42">
        <f t="shared" si="15"/>
        <v>-988</v>
      </c>
      <c r="H1023" s="2" t="str">
        <f>VLOOKUP(A1023,'TB JUNE'!A:H,8,0)</f>
        <v>Not Applicable</v>
      </c>
    </row>
    <row r="1024" spans="1:8" hidden="1">
      <c r="A1024" s="62" t="s">
        <v>426</v>
      </c>
      <c r="B1024" s="73">
        <v>-31669</v>
      </c>
      <c r="C1024" s="73">
        <v>11817</v>
      </c>
      <c r="D1024" s="73"/>
      <c r="E1024" s="73">
        <v>-19852</v>
      </c>
      <c r="F1024" s="42">
        <v>0</v>
      </c>
      <c r="G1024" s="42">
        <f t="shared" si="15"/>
        <v>-19852</v>
      </c>
      <c r="H1024" s="2" t="str">
        <f>VLOOKUP(A1024,'TB JUNE'!A:H,8,0)</f>
        <v>Not Applicable</v>
      </c>
    </row>
    <row r="1025" spans="1:8" hidden="1">
      <c r="A1025" s="62" t="s">
        <v>428</v>
      </c>
      <c r="B1025" s="73"/>
      <c r="C1025" s="73">
        <v>38500</v>
      </c>
      <c r="D1025" s="73">
        <v>38500</v>
      </c>
      <c r="E1025" s="73"/>
      <c r="F1025" s="42">
        <v>0</v>
      </c>
      <c r="G1025" s="42">
        <f t="shared" si="15"/>
        <v>0</v>
      </c>
      <c r="H1025" s="2" t="str">
        <f>VLOOKUP(A1025,'TB JUNE'!A:H,8,0)</f>
        <v>Not Applicable</v>
      </c>
    </row>
    <row r="1026" spans="1:8" hidden="1">
      <c r="A1026" s="62" t="s">
        <v>924</v>
      </c>
      <c r="B1026" s="73">
        <v>-2000</v>
      </c>
      <c r="C1026" s="73">
        <v>109120</v>
      </c>
      <c r="D1026" s="73">
        <v>109120</v>
      </c>
      <c r="E1026" s="73">
        <v>-2000</v>
      </c>
      <c r="F1026" s="42">
        <v>0</v>
      </c>
      <c r="G1026" s="42">
        <f t="shared" si="15"/>
        <v>-2000</v>
      </c>
      <c r="H1026" s="2" t="str">
        <f>VLOOKUP(A1026,'TB JUNE'!A:H,8,0)</f>
        <v>Not Applicable</v>
      </c>
    </row>
    <row r="1027" spans="1:8" hidden="1">
      <c r="A1027" s="62" t="s">
        <v>1381</v>
      </c>
      <c r="B1027" s="73"/>
      <c r="C1027" s="73"/>
      <c r="D1027" s="73"/>
      <c r="E1027" s="73"/>
      <c r="F1027" s="42">
        <v>0</v>
      </c>
      <c r="G1027" s="42">
        <f t="shared" si="15"/>
        <v>0</v>
      </c>
      <c r="H1027" s="2" t="str">
        <f>VLOOKUP(A1027,'TB JUNE'!A:H,8,0)</f>
        <v>Not Applicable</v>
      </c>
    </row>
    <row r="1028" spans="1:8" hidden="1">
      <c r="A1028" s="62" t="s">
        <v>425</v>
      </c>
      <c r="B1028" s="73">
        <v>-242915</v>
      </c>
      <c r="C1028" s="73">
        <v>2246478</v>
      </c>
      <c r="D1028" s="73">
        <v>2012451</v>
      </c>
      <c r="E1028" s="73">
        <v>-8888</v>
      </c>
      <c r="F1028" s="42">
        <v>0</v>
      </c>
      <c r="G1028" s="42">
        <f t="shared" si="15"/>
        <v>-8888</v>
      </c>
      <c r="H1028" s="2" t="str">
        <f>VLOOKUP(A1028,'TB JUNE'!A:H,8,0)</f>
        <v>Not Applicable</v>
      </c>
    </row>
    <row r="1029" spans="1:8" hidden="1">
      <c r="A1029" s="62" t="s">
        <v>417</v>
      </c>
      <c r="B1029" s="73">
        <v>-204507</v>
      </c>
      <c r="C1029" s="73">
        <v>204507</v>
      </c>
      <c r="D1029" s="73"/>
      <c r="E1029" s="73"/>
      <c r="F1029" s="42">
        <v>0</v>
      </c>
      <c r="G1029" s="42">
        <f t="shared" si="15"/>
        <v>0</v>
      </c>
      <c r="H1029" s="2" t="str">
        <f>VLOOKUP(A1029,'TB JUNE'!A:H,8,0)</f>
        <v>Not Applicable</v>
      </c>
    </row>
    <row r="1030" spans="1:8" hidden="1">
      <c r="A1030" s="62" t="s">
        <v>885</v>
      </c>
      <c r="B1030" s="73"/>
      <c r="C1030" s="73">
        <v>519739</v>
      </c>
      <c r="D1030" s="73">
        <v>754253</v>
      </c>
      <c r="E1030" s="73">
        <v>-234514</v>
      </c>
      <c r="F1030" s="42">
        <v>0</v>
      </c>
      <c r="G1030" s="42">
        <f t="shared" ref="G1030:G1093" si="16">+E1030+F1030</f>
        <v>-234514</v>
      </c>
      <c r="H1030" s="2" t="str">
        <f>VLOOKUP(A1030,'TB JUNE'!A:H,8,0)</f>
        <v>Not Applicable</v>
      </c>
    </row>
    <row r="1031" spans="1:8" hidden="1">
      <c r="A1031" s="62" t="s">
        <v>1229</v>
      </c>
      <c r="B1031" s="73"/>
      <c r="C1031" s="73">
        <v>116923</v>
      </c>
      <c r="D1031" s="73">
        <v>116923</v>
      </c>
      <c r="E1031" s="73"/>
      <c r="F1031" s="42">
        <v>0</v>
      </c>
      <c r="G1031" s="42">
        <f t="shared" si="16"/>
        <v>0</v>
      </c>
      <c r="H1031" s="2" t="str">
        <f>VLOOKUP(A1031,'TB JUNE'!A:H,8,0)</f>
        <v>Not Applicable</v>
      </c>
    </row>
    <row r="1032" spans="1:8" hidden="1">
      <c r="A1032" s="62" t="s">
        <v>1012</v>
      </c>
      <c r="B1032" s="73">
        <v>-0.93</v>
      </c>
      <c r="C1032" s="73">
        <v>257279</v>
      </c>
      <c r="D1032" s="73">
        <v>332043</v>
      </c>
      <c r="E1032" s="73">
        <v>-74764.929999999993</v>
      </c>
      <c r="F1032" s="42">
        <v>0</v>
      </c>
      <c r="G1032" s="42">
        <f t="shared" si="16"/>
        <v>-74764.929999999993</v>
      </c>
      <c r="H1032" s="2" t="str">
        <f>VLOOKUP(A1032,'TB JUNE'!A:H,8,0)</f>
        <v>Not Applicable</v>
      </c>
    </row>
    <row r="1033" spans="1:8" hidden="1">
      <c r="A1033" s="62" t="s">
        <v>403</v>
      </c>
      <c r="B1033" s="73">
        <v>-19994</v>
      </c>
      <c r="C1033" s="73"/>
      <c r="D1033" s="73"/>
      <c r="E1033" s="73">
        <v>-19994</v>
      </c>
      <c r="F1033" s="42">
        <v>0</v>
      </c>
      <c r="G1033" s="42">
        <f t="shared" si="16"/>
        <v>-19994</v>
      </c>
      <c r="H1033" s="2" t="str">
        <f>VLOOKUP(A1033,'TB JUNE'!A:H,8,0)</f>
        <v>Not Applicable</v>
      </c>
    </row>
    <row r="1034" spans="1:8" hidden="1">
      <c r="A1034" s="62" t="s">
        <v>393</v>
      </c>
      <c r="B1034" s="73">
        <v>-2631534.48</v>
      </c>
      <c r="C1034" s="73">
        <v>8283449</v>
      </c>
      <c r="D1034" s="73">
        <v>5459905</v>
      </c>
      <c r="E1034" s="73">
        <v>192009.52</v>
      </c>
      <c r="F1034" s="42">
        <v>0</v>
      </c>
      <c r="G1034" s="42">
        <f t="shared" si="16"/>
        <v>192009.52</v>
      </c>
      <c r="H1034" s="2" t="str">
        <f>VLOOKUP(A1034,'TB JUNE'!A:H,8,0)</f>
        <v>Not Applicable</v>
      </c>
    </row>
    <row r="1035" spans="1:8" hidden="1">
      <c r="A1035" s="62" t="s">
        <v>1208</v>
      </c>
      <c r="B1035" s="73">
        <v>-435305</v>
      </c>
      <c r="C1035" s="73">
        <v>895298</v>
      </c>
      <c r="D1035" s="73">
        <v>476062</v>
      </c>
      <c r="E1035" s="73">
        <v>-16069</v>
      </c>
      <c r="F1035" s="42">
        <v>0</v>
      </c>
      <c r="G1035" s="42">
        <f t="shared" si="16"/>
        <v>-16069</v>
      </c>
      <c r="H1035" s="2" t="str">
        <f>VLOOKUP(A1035,'TB JUNE'!A:H,8,0)</f>
        <v>Not Applicable</v>
      </c>
    </row>
    <row r="1036" spans="1:8" hidden="1">
      <c r="A1036" s="62" t="s">
        <v>1209</v>
      </c>
      <c r="B1036" s="73">
        <v>128</v>
      </c>
      <c r="C1036" s="73">
        <v>29155</v>
      </c>
      <c r="D1036" s="73">
        <v>28910</v>
      </c>
      <c r="E1036" s="73">
        <v>373</v>
      </c>
      <c r="F1036" s="42">
        <v>0</v>
      </c>
      <c r="G1036" s="42">
        <f t="shared" si="16"/>
        <v>373</v>
      </c>
      <c r="H1036" s="2" t="str">
        <f>VLOOKUP(A1036,'TB JUNE'!A:H,8,0)</f>
        <v>Not Applicable</v>
      </c>
    </row>
    <row r="1037" spans="1:8" hidden="1">
      <c r="A1037" s="62" t="s">
        <v>376</v>
      </c>
      <c r="B1037" s="73">
        <v>254386.12</v>
      </c>
      <c r="C1037" s="73">
        <v>10195424.310000001</v>
      </c>
      <c r="D1037" s="73">
        <v>10195426</v>
      </c>
      <c r="E1037" s="73">
        <v>254384.43</v>
      </c>
      <c r="F1037" s="42">
        <v>0</v>
      </c>
      <c r="G1037" s="42">
        <f t="shared" si="16"/>
        <v>254384.43</v>
      </c>
      <c r="H1037" s="2" t="str">
        <f>VLOOKUP(A1037,'TB JUNE'!A:H,8,0)</f>
        <v>Not Applicable</v>
      </c>
    </row>
    <row r="1038" spans="1:8" hidden="1">
      <c r="A1038" s="62" t="s">
        <v>906</v>
      </c>
      <c r="B1038" s="73">
        <v>-1.66</v>
      </c>
      <c r="C1038" s="73">
        <v>4861</v>
      </c>
      <c r="D1038" s="73">
        <v>4861.1099999999997</v>
      </c>
      <c r="E1038" s="73">
        <v>-1.77</v>
      </c>
      <c r="F1038" s="42">
        <v>0</v>
      </c>
      <c r="G1038" s="42">
        <f t="shared" si="16"/>
        <v>-1.77</v>
      </c>
      <c r="H1038" s="2" t="str">
        <f>VLOOKUP(A1038,'TB JUNE'!A:H,8,0)</f>
        <v>Not Applicable</v>
      </c>
    </row>
    <row r="1039" spans="1:8" hidden="1">
      <c r="A1039" s="62" t="s">
        <v>1347</v>
      </c>
      <c r="B1039" s="73"/>
      <c r="C1039" s="73">
        <v>71600</v>
      </c>
      <c r="D1039" s="73">
        <v>71600</v>
      </c>
      <c r="E1039" s="73"/>
      <c r="F1039" s="42">
        <v>0</v>
      </c>
      <c r="G1039" s="42">
        <f t="shared" si="16"/>
        <v>0</v>
      </c>
      <c r="H1039" s="2" t="str">
        <f>VLOOKUP(A1039,'TB JUNE'!A:H,8,0)</f>
        <v>Not Applicable</v>
      </c>
    </row>
    <row r="1040" spans="1:8" hidden="1">
      <c r="A1040" s="62" t="s">
        <v>379</v>
      </c>
      <c r="B1040" s="73">
        <v>288419</v>
      </c>
      <c r="C1040" s="73"/>
      <c r="D1040" s="73"/>
      <c r="E1040" s="73">
        <v>288419</v>
      </c>
      <c r="F1040" s="42">
        <v>0</v>
      </c>
      <c r="G1040" s="42">
        <f t="shared" si="16"/>
        <v>288419</v>
      </c>
      <c r="H1040" s="2" t="str">
        <f>VLOOKUP(A1040,'TB JUNE'!A:H,8,0)</f>
        <v>Not Applicable</v>
      </c>
    </row>
    <row r="1041" spans="1:8" hidden="1">
      <c r="A1041" s="62" t="s">
        <v>1023</v>
      </c>
      <c r="B1041" s="73"/>
      <c r="C1041" s="73">
        <v>12386</v>
      </c>
      <c r="D1041" s="73">
        <v>12386</v>
      </c>
      <c r="E1041" s="73"/>
      <c r="F1041" s="42">
        <v>0</v>
      </c>
      <c r="G1041" s="42">
        <f t="shared" si="16"/>
        <v>0</v>
      </c>
      <c r="H1041" s="2" t="str">
        <f>VLOOKUP(A1041,'TB JUNE'!A:H,8,0)</f>
        <v>Not Applicable</v>
      </c>
    </row>
    <row r="1042" spans="1:8" hidden="1">
      <c r="A1042" s="62" t="s">
        <v>1494</v>
      </c>
      <c r="B1042" s="73"/>
      <c r="C1042" s="73">
        <v>38000</v>
      </c>
      <c r="D1042" s="73">
        <v>38000</v>
      </c>
      <c r="E1042" s="73"/>
      <c r="F1042" s="42">
        <v>0</v>
      </c>
      <c r="G1042" s="42">
        <f t="shared" si="16"/>
        <v>0</v>
      </c>
      <c r="H1042" s="2" t="str">
        <f>VLOOKUP(A1042,'TB JUNE'!A:H,8,0)</f>
        <v>Not Applicable</v>
      </c>
    </row>
    <row r="1043" spans="1:8" hidden="1">
      <c r="A1043" s="62" t="s">
        <v>1626</v>
      </c>
      <c r="B1043" s="73"/>
      <c r="C1043" s="73">
        <v>50000</v>
      </c>
      <c r="D1043" s="73"/>
      <c r="E1043" s="73">
        <v>50000</v>
      </c>
      <c r="F1043" s="42">
        <v>0</v>
      </c>
      <c r="G1043" s="42">
        <f t="shared" si="16"/>
        <v>50000</v>
      </c>
      <c r="H1043" s="2" t="s">
        <v>84</v>
      </c>
    </row>
    <row r="1044" spans="1:8" hidden="1">
      <c r="A1044" s="62" t="s">
        <v>1276</v>
      </c>
      <c r="B1044" s="73"/>
      <c r="C1044" s="73">
        <v>363500</v>
      </c>
      <c r="D1044" s="73">
        <v>363500</v>
      </c>
      <c r="E1044" s="73"/>
      <c r="F1044" s="42">
        <v>0</v>
      </c>
      <c r="G1044" s="42">
        <f t="shared" si="16"/>
        <v>0</v>
      </c>
      <c r="H1044" s="2" t="str">
        <f>VLOOKUP(A1044,'TB JUNE'!A:H,8,0)</f>
        <v>Not Applicable</v>
      </c>
    </row>
    <row r="1045" spans="1:8" hidden="1">
      <c r="A1045" s="62" t="s">
        <v>373</v>
      </c>
      <c r="B1045" s="73">
        <v>-514654.86</v>
      </c>
      <c r="C1045" s="73">
        <v>2524145</v>
      </c>
      <c r="D1045" s="73">
        <v>1883235</v>
      </c>
      <c r="E1045" s="73">
        <v>126255.14</v>
      </c>
      <c r="F1045" s="42">
        <v>0</v>
      </c>
      <c r="G1045" s="42">
        <f t="shared" si="16"/>
        <v>126255.14</v>
      </c>
      <c r="H1045" s="2" t="str">
        <f>VLOOKUP(A1045,'TB JUNE'!A:H,8,0)</f>
        <v>Not Applicable</v>
      </c>
    </row>
    <row r="1046" spans="1:8" hidden="1">
      <c r="A1046" s="62" t="s">
        <v>374</v>
      </c>
      <c r="B1046" s="73"/>
      <c r="C1046" s="73">
        <v>46631</v>
      </c>
      <c r="D1046" s="73">
        <v>46631</v>
      </c>
      <c r="E1046" s="73"/>
      <c r="F1046" s="42">
        <v>0</v>
      </c>
      <c r="G1046" s="42">
        <f t="shared" si="16"/>
        <v>0</v>
      </c>
      <c r="H1046" s="2" t="str">
        <f>VLOOKUP(A1046,'TB JUNE'!A:H,8,0)</f>
        <v>Not Applicable</v>
      </c>
    </row>
    <row r="1047" spans="1:8" hidden="1">
      <c r="A1047" s="62" t="s">
        <v>375</v>
      </c>
      <c r="B1047" s="73">
        <v>0.37</v>
      </c>
      <c r="C1047" s="73"/>
      <c r="D1047" s="73"/>
      <c r="E1047" s="73">
        <v>0.37</v>
      </c>
      <c r="F1047" s="42">
        <v>0</v>
      </c>
      <c r="G1047" s="42">
        <f t="shared" si="16"/>
        <v>0.37</v>
      </c>
      <c r="H1047" s="2" t="str">
        <f>VLOOKUP(A1047,'TB JUNE'!A:H,8,0)</f>
        <v>Not Applicable</v>
      </c>
    </row>
    <row r="1048" spans="1:8" hidden="1">
      <c r="A1048" s="62" t="s">
        <v>369</v>
      </c>
      <c r="B1048" s="73"/>
      <c r="C1048" s="73"/>
      <c r="D1048" s="73"/>
      <c r="E1048" s="73"/>
      <c r="F1048" s="42">
        <v>0</v>
      </c>
      <c r="G1048" s="42">
        <f t="shared" si="16"/>
        <v>0</v>
      </c>
      <c r="H1048" s="2" t="str">
        <f>VLOOKUP(A1048,'TB JUNE'!A:H,8,0)</f>
        <v>Not Applicable</v>
      </c>
    </row>
    <row r="1049" spans="1:8" hidden="1">
      <c r="A1049" s="62" t="s">
        <v>1627</v>
      </c>
      <c r="B1049" s="73"/>
      <c r="C1049" s="73">
        <v>18000</v>
      </c>
      <c r="D1049" s="73">
        <v>18000</v>
      </c>
      <c r="E1049" s="73"/>
      <c r="F1049" s="42">
        <v>0</v>
      </c>
      <c r="G1049" s="42">
        <f t="shared" si="16"/>
        <v>0</v>
      </c>
      <c r="H1049" s="2" t="s">
        <v>84</v>
      </c>
    </row>
    <row r="1050" spans="1:8" hidden="1">
      <c r="A1050" s="62" t="s">
        <v>1628</v>
      </c>
      <c r="B1050" s="73"/>
      <c r="C1050" s="73">
        <v>12921464.220000001</v>
      </c>
      <c r="D1050" s="73">
        <v>12921464.220000001</v>
      </c>
      <c r="E1050" s="73"/>
      <c r="F1050" s="42">
        <v>0</v>
      </c>
      <c r="G1050" s="42">
        <f t="shared" si="16"/>
        <v>0</v>
      </c>
      <c r="H1050" s="2" t="s">
        <v>84</v>
      </c>
    </row>
    <row r="1051" spans="1:8" hidden="1">
      <c r="A1051" s="62" t="s">
        <v>702</v>
      </c>
      <c r="B1051" s="73">
        <v>48858560.479999997</v>
      </c>
      <c r="C1051" s="73"/>
      <c r="D1051" s="73"/>
      <c r="E1051" s="73">
        <v>48858560.479999997</v>
      </c>
      <c r="F1051" s="42">
        <v>0</v>
      </c>
      <c r="G1051" s="42">
        <f t="shared" si="16"/>
        <v>48858560.479999997</v>
      </c>
      <c r="H1051" s="2" t="str">
        <f>VLOOKUP(A1051,'TB JUNE'!A:H,8,0)</f>
        <v>Not Applicable</v>
      </c>
    </row>
    <row r="1052" spans="1:8" hidden="1">
      <c r="A1052" s="62" t="s">
        <v>1210</v>
      </c>
      <c r="B1052" s="73">
        <v>-593752</v>
      </c>
      <c r="C1052" s="73"/>
      <c r="D1052" s="73">
        <v>296876</v>
      </c>
      <c r="E1052" s="73">
        <v>-890628</v>
      </c>
      <c r="F1052" s="42">
        <v>0</v>
      </c>
      <c r="G1052" s="42">
        <f t="shared" si="16"/>
        <v>-890628</v>
      </c>
      <c r="H1052" s="2" t="str">
        <f>VLOOKUP(A1052,'TB JUNE'!A:H,8,0)</f>
        <v>Not Applicable</v>
      </c>
    </row>
    <row r="1053" spans="1:8" hidden="1">
      <c r="A1053" s="62" t="s">
        <v>703</v>
      </c>
      <c r="B1053" s="73">
        <v>3176949</v>
      </c>
      <c r="C1053" s="73"/>
      <c r="D1053" s="73"/>
      <c r="E1053" s="73">
        <v>3176949</v>
      </c>
      <c r="F1053" s="42">
        <v>0</v>
      </c>
      <c r="G1053" s="42">
        <f t="shared" si="16"/>
        <v>3176949</v>
      </c>
      <c r="H1053" s="2" t="str">
        <f>VLOOKUP(A1053,'TB JUNE'!A:H,8,0)</f>
        <v>Not Applicable</v>
      </c>
    </row>
    <row r="1054" spans="1:8" hidden="1">
      <c r="A1054" s="62" t="s">
        <v>704</v>
      </c>
      <c r="B1054" s="73">
        <v>-279498594.20999998</v>
      </c>
      <c r="C1054" s="73">
        <v>178520074.13999999</v>
      </c>
      <c r="D1054" s="73">
        <v>59666200.380000003</v>
      </c>
      <c r="E1054" s="73">
        <v>-160644720.44999999</v>
      </c>
      <c r="F1054" s="42">
        <v>0</v>
      </c>
      <c r="G1054" s="42">
        <f t="shared" si="16"/>
        <v>-160644720.44999999</v>
      </c>
      <c r="H1054" s="2" t="str">
        <f>VLOOKUP(A1054,'TB JUNE'!A:H,8,0)</f>
        <v>Not Applicable</v>
      </c>
    </row>
    <row r="1055" spans="1:8" hidden="1">
      <c r="A1055" s="62" t="s">
        <v>695</v>
      </c>
      <c r="B1055" s="73">
        <v>95441710.870000005</v>
      </c>
      <c r="C1055" s="73"/>
      <c r="D1055" s="73"/>
      <c r="E1055" s="73">
        <v>95441710.870000005</v>
      </c>
      <c r="F1055" s="42">
        <v>0</v>
      </c>
      <c r="G1055" s="42">
        <f t="shared" si="16"/>
        <v>95441710.870000005</v>
      </c>
      <c r="H1055" s="2" t="str">
        <f>VLOOKUP(A1055,'TB JUNE'!A:H,8,0)</f>
        <v>Not Applicable</v>
      </c>
    </row>
    <row r="1056" spans="1:8" hidden="1">
      <c r="A1056" s="62" t="s">
        <v>689</v>
      </c>
      <c r="B1056" s="73">
        <v>1052208056.48</v>
      </c>
      <c r="C1056" s="73">
        <v>262667030</v>
      </c>
      <c r="D1056" s="73"/>
      <c r="E1056" s="73">
        <v>1314875086.48</v>
      </c>
      <c r="F1056" s="42">
        <v>0</v>
      </c>
      <c r="G1056" s="42">
        <f t="shared" si="16"/>
        <v>1314875086.48</v>
      </c>
      <c r="H1056" s="2" t="str">
        <f>VLOOKUP(A1056,'TB JUNE'!A:H,8,0)</f>
        <v>Not Applicable</v>
      </c>
    </row>
    <row r="1057" spans="1:8" hidden="1">
      <c r="A1057" s="62" t="s">
        <v>690</v>
      </c>
      <c r="B1057" s="73">
        <v>805380592</v>
      </c>
      <c r="C1057" s="73"/>
      <c r="D1057" s="73"/>
      <c r="E1057" s="73">
        <v>805380592</v>
      </c>
      <c r="F1057" s="42">
        <v>0</v>
      </c>
      <c r="G1057" s="42">
        <f t="shared" si="16"/>
        <v>805380592</v>
      </c>
      <c r="H1057" s="2" t="str">
        <f>VLOOKUP(A1057,'TB JUNE'!A:H,8,0)</f>
        <v>Not Applicable</v>
      </c>
    </row>
    <row r="1058" spans="1:8" hidden="1">
      <c r="A1058" s="62" t="s">
        <v>691</v>
      </c>
      <c r="B1058" s="73">
        <v>371618907.70999998</v>
      </c>
      <c r="C1058" s="73"/>
      <c r="D1058" s="73"/>
      <c r="E1058" s="73">
        <v>371618907.70999998</v>
      </c>
      <c r="F1058" s="42">
        <v>0</v>
      </c>
      <c r="G1058" s="42">
        <f t="shared" si="16"/>
        <v>371618907.70999998</v>
      </c>
      <c r="H1058" s="2" t="str">
        <f>VLOOKUP(A1058,'TB JUNE'!A:H,8,0)</f>
        <v>Not Applicable</v>
      </c>
    </row>
    <row r="1059" spans="1:8" hidden="1">
      <c r="A1059" s="62" t="s">
        <v>692</v>
      </c>
      <c r="B1059" s="73">
        <v>180922430</v>
      </c>
      <c r="C1059" s="73"/>
      <c r="D1059" s="73"/>
      <c r="E1059" s="73">
        <v>180922430</v>
      </c>
      <c r="F1059" s="42">
        <v>0</v>
      </c>
      <c r="G1059" s="42">
        <f t="shared" si="16"/>
        <v>180922430</v>
      </c>
      <c r="H1059" s="2" t="str">
        <f>VLOOKUP(A1059,'TB JUNE'!A:H,8,0)</f>
        <v>Not Applicable</v>
      </c>
    </row>
    <row r="1060" spans="1:8" hidden="1">
      <c r="A1060" s="62" t="s">
        <v>1073</v>
      </c>
      <c r="B1060" s="73">
        <v>-4259112</v>
      </c>
      <c r="C1060" s="73">
        <v>187300</v>
      </c>
      <c r="D1060" s="73"/>
      <c r="E1060" s="73">
        <v>-4071812</v>
      </c>
      <c r="F1060" s="42">
        <v>0</v>
      </c>
      <c r="G1060" s="42">
        <f t="shared" si="16"/>
        <v>-4071812</v>
      </c>
      <c r="H1060" s="2" t="str">
        <f>VLOOKUP(A1060,'TB JUNE'!A:H,8,0)</f>
        <v>Not Applicable</v>
      </c>
    </row>
    <row r="1061" spans="1:8" hidden="1">
      <c r="A1061" s="62" t="s">
        <v>605</v>
      </c>
      <c r="B1061" s="73"/>
      <c r="C1061" s="73"/>
      <c r="D1061" s="73"/>
      <c r="E1061" s="73"/>
      <c r="F1061" s="42">
        <v>0</v>
      </c>
      <c r="G1061" s="42">
        <f t="shared" si="16"/>
        <v>0</v>
      </c>
      <c r="H1061" s="2" t="str">
        <f>VLOOKUP(A1061,'TB JUNE'!A:H,8,0)</f>
        <v>Not Applicable</v>
      </c>
    </row>
    <row r="1062" spans="1:8" hidden="1">
      <c r="A1062" s="62" t="s">
        <v>606</v>
      </c>
      <c r="B1062" s="73"/>
      <c r="C1062" s="73"/>
      <c r="D1062" s="73"/>
      <c r="E1062" s="73"/>
      <c r="F1062" s="42">
        <v>0</v>
      </c>
      <c r="G1062" s="42">
        <f t="shared" si="16"/>
        <v>0</v>
      </c>
      <c r="H1062" s="2" t="str">
        <f>VLOOKUP(A1062,'TB JUNE'!A:H,8,0)</f>
        <v>Not Applicable</v>
      </c>
    </row>
    <row r="1063" spans="1:8" hidden="1">
      <c r="A1063" s="62" t="s">
        <v>607</v>
      </c>
      <c r="B1063" s="73">
        <v>-61818.42</v>
      </c>
      <c r="C1063" s="73">
        <v>61818.42</v>
      </c>
      <c r="D1063" s="73"/>
      <c r="E1063" s="73"/>
      <c r="F1063" s="42">
        <v>0</v>
      </c>
      <c r="G1063" s="42">
        <f t="shared" si="16"/>
        <v>0</v>
      </c>
      <c r="H1063" s="2" t="str">
        <f>VLOOKUP(A1063,'TB JUNE'!A:H,8,0)</f>
        <v>Not Applicable</v>
      </c>
    </row>
    <row r="1064" spans="1:8" hidden="1">
      <c r="A1064" s="62" t="s">
        <v>608</v>
      </c>
      <c r="B1064" s="73"/>
      <c r="C1064" s="73"/>
      <c r="D1064" s="73"/>
      <c r="E1064" s="73"/>
      <c r="F1064" s="42">
        <v>0</v>
      </c>
      <c r="G1064" s="42">
        <f t="shared" si="16"/>
        <v>0</v>
      </c>
      <c r="H1064" s="2" t="str">
        <f>VLOOKUP(A1064,'TB JUNE'!A:H,8,0)</f>
        <v>Not Applicable</v>
      </c>
    </row>
    <row r="1065" spans="1:8" hidden="1">
      <c r="A1065" s="62" t="s">
        <v>1074</v>
      </c>
      <c r="B1065" s="73">
        <v>185980265.36000001</v>
      </c>
      <c r="C1065" s="73"/>
      <c r="D1065" s="73"/>
      <c r="E1065" s="73">
        <v>185980265.36000001</v>
      </c>
      <c r="F1065" s="42">
        <v>0</v>
      </c>
      <c r="G1065" s="42">
        <f t="shared" si="16"/>
        <v>185980265.36000001</v>
      </c>
      <c r="H1065" s="2" t="str">
        <f>VLOOKUP(A1065,'TB JUNE'!A:H,8,0)</f>
        <v>Not Applicable</v>
      </c>
    </row>
    <row r="1066" spans="1:8" hidden="1">
      <c r="A1066" s="62" t="s">
        <v>993</v>
      </c>
      <c r="B1066" s="73">
        <v>895564656.16999996</v>
      </c>
      <c r="C1066" s="73"/>
      <c r="D1066" s="73"/>
      <c r="E1066" s="73">
        <v>895564656.16999996</v>
      </c>
      <c r="F1066" s="42">
        <v>0</v>
      </c>
      <c r="G1066" s="42">
        <f t="shared" si="16"/>
        <v>895564656.16999996</v>
      </c>
      <c r="H1066" s="2" t="str">
        <f>VLOOKUP(A1066,'TB JUNE'!A:H,8,0)</f>
        <v>Not Applicable</v>
      </c>
    </row>
    <row r="1067" spans="1:8" hidden="1">
      <c r="A1067" s="62" t="s">
        <v>693</v>
      </c>
      <c r="B1067" s="73">
        <v>5323173.38</v>
      </c>
      <c r="C1067" s="73"/>
      <c r="D1067" s="73"/>
      <c r="E1067" s="73">
        <v>5323173.38</v>
      </c>
      <c r="F1067" s="42">
        <v>0</v>
      </c>
      <c r="G1067" s="42">
        <f t="shared" si="16"/>
        <v>5323173.38</v>
      </c>
      <c r="H1067" s="2" t="str">
        <f>VLOOKUP(A1067,'TB JUNE'!A:H,8,0)</f>
        <v>Not Applicable</v>
      </c>
    </row>
    <row r="1068" spans="1:8" hidden="1">
      <c r="A1068" s="62" t="s">
        <v>694</v>
      </c>
      <c r="B1068" s="73">
        <v>30832921.030000001</v>
      </c>
      <c r="C1068" s="73"/>
      <c r="D1068" s="73"/>
      <c r="E1068" s="73">
        <v>30832921.030000001</v>
      </c>
      <c r="F1068" s="42">
        <v>0</v>
      </c>
      <c r="G1068" s="42">
        <f t="shared" si="16"/>
        <v>30832921.030000001</v>
      </c>
      <c r="H1068" s="2" t="str">
        <f>VLOOKUP(A1068,'TB JUNE'!A:H,8,0)</f>
        <v>Not Applicable</v>
      </c>
    </row>
    <row r="1069" spans="1:8" hidden="1">
      <c r="A1069" s="62" t="s">
        <v>684</v>
      </c>
      <c r="B1069" s="73">
        <v>-47620869.340000004</v>
      </c>
      <c r="C1069" s="73">
        <v>22691990.170000002</v>
      </c>
      <c r="D1069" s="73">
        <v>20799471</v>
      </c>
      <c r="E1069" s="73">
        <v>-45728350.170000002</v>
      </c>
      <c r="F1069" s="42">
        <v>0</v>
      </c>
      <c r="G1069" s="42">
        <f t="shared" si="16"/>
        <v>-45728350.170000002</v>
      </c>
      <c r="H1069" s="2" t="str">
        <f>VLOOKUP(A1069,'TB JUNE'!A:H,8,0)</f>
        <v>Not Applicable</v>
      </c>
    </row>
    <row r="1070" spans="1:8" hidden="1">
      <c r="A1070" s="62" t="s">
        <v>685</v>
      </c>
      <c r="B1070" s="73"/>
      <c r="C1070" s="73"/>
      <c r="D1070" s="73"/>
      <c r="E1070" s="73"/>
      <c r="F1070" s="42">
        <v>0</v>
      </c>
      <c r="G1070" s="42">
        <f t="shared" si="16"/>
        <v>0</v>
      </c>
      <c r="H1070" s="2" t="str">
        <f>VLOOKUP(A1070,'TB JUNE'!A:H,8,0)</f>
        <v>Not Applicable</v>
      </c>
    </row>
    <row r="1071" spans="1:8" hidden="1">
      <c r="A1071" s="62" t="s">
        <v>686</v>
      </c>
      <c r="B1071" s="73"/>
      <c r="C1071" s="73"/>
      <c r="D1071" s="73"/>
      <c r="E1071" s="73"/>
      <c r="F1071" s="42">
        <v>0</v>
      </c>
      <c r="G1071" s="42">
        <f t="shared" si="16"/>
        <v>0</v>
      </c>
      <c r="H1071" s="2" t="str">
        <f>VLOOKUP(A1071,'TB JUNE'!A:H,8,0)</f>
        <v>Not Applicable</v>
      </c>
    </row>
    <row r="1072" spans="1:8" hidden="1">
      <c r="A1072" s="62" t="s">
        <v>443</v>
      </c>
      <c r="B1072" s="73"/>
      <c r="C1072" s="73">
        <v>6497557.04</v>
      </c>
      <c r="D1072" s="73">
        <v>11703392.689999999</v>
      </c>
      <c r="E1072" s="73">
        <v>-5205835.6500000004</v>
      </c>
      <c r="F1072" s="42">
        <v>0</v>
      </c>
      <c r="G1072" s="42">
        <f t="shared" si="16"/>
        <v>-5205835.6500000004</v>
      </c>
      <c r="H1072" s="2" t="str">
        <f>VLOOKUP(A1072,'TB JUNE'!A:H,8,0)</f>
        <v>Not Applicable</v>
      </c>
    </row>
    <row r="1073" spans="1:8" hidden="1">
      <c r="A1073" s="62" t="s">
        <v>444</v>
      </c>
      <c r="B1073" s="73"/>
      <c r="C1073" s="73">
        <v>3972056.67</v>
      </c>
      <c r="D1073" s="73">
        <v>16199967.970000001</v>
      </c>
      <c r="E1073" s="73">
        <v>-12227911.300000001</v>
      </c>
      <c r="F1073" s="42">
        <v>0</v>
      </c>
      <c r="G1073" s="42">
        <f t="shared" si="16"/>
        <v>-12227911.300000001</v>
      </c>
      <c r="H1073" s="2" t="str">
        <f>VLOOKUP(A1073,'TB JUNE'!A:H,8,0)</f>
        <v>Not Applicable</v>
      </c>
    </row>
    <row r="1074" spans="1:8" hidden="1">
      <c r="A1074" s="62" t="s">
        <v>1014</v>
      </c>
      <c r="B1074" s="73">
        <v>-10682927.6</v>
      </c>
      <c r="C1074" s="73">
        <v>24111758.260000002</v>
      </c>
      <c r="D1074" s="73">
        <v>16384705.34</v>
      </c>
      <c r="E1074" s="73">
        <v>-2955874.68</v>
      </c>
      <c r="F1074" s="42">
        <v>0</v>
      </c>
      <c r="G1074" s="42">
        <f t="shared" si="16"/>
        <v>-2955874.68</v>
      </c>
      <c r="H1074" s="2" t="str">
        <f>VLOOKUP(A1074,'TB JUNE'!A:H,8,0)</f>
        <v>Not Applicable</v>
      </c>
    </row>
    <row r="1075" spans="1:8" hidden="1">
      <c r="A1075" s="62" t="s">
        <v>445</v>
      </c>
      <c r="B1075" s="73">
        <v>-3270891.23</v>
      </c>
      <c r="C1075" s="73"/>
      <c r="D1075" s="73"/>
      <c r="E1075" s="73">
        <v>-3270891.23</v>
      </c>
      <c r="F1075" s="42">
        <v>0</v>
      </c>
      <c r="G1075" s="42">
        <f t="shared" si="16"/>
        <v>-3270891.23</v>
      </c>
      <c r="H1075" s="2" t="str">
        <f>VLOOKUP(A1075,'TB JUNE'!A:H,8,0)</f>
        <v>Not Applicable</v>
      </c>
    </row>
    <row r="1076" spans="1:8" hidden="1">
      <c r="A1076" s="62" t="s">
        <v>446</v>
      </c>
      <c r="B1076" s="73">
        <v>12143287.42</v>
      </c>
      <c r="C1076" s="73"/>
      <c r="D1076" s="73"/>
      <c r="E1076" s="73">
        <v>12143287.42</v>
      </c>
      <c r="F1076" s="42">
        <v>0</v>
      </c>
      <c r="G1076" s="42">
        <f t="shared" si="16"/>
        <v>12143287.42</v>
      </c>
      <c r="H1076" s="2" t="str">
        <f>VLOOKUP(A1076,'TB JUNE'!A:H,8,0)</f>
        <v>Not Applicable</v>
      </c>
    </row>
    <row r="1077" spans="1:8" hidden="1">
      <c r="A1077" s="62" t="s">
        <v>1540</v>
      </c>
      <c r="B1077" s="73"/>
      <c r="C1077" s="73"/>
      <c r="D1077" s="73"/>
      <c r="E1077" s="73"/>
      <c r="F1077" s="42">
        <v>0</v>
      </c>
      <c r="G1077" s="42">
        <f t="shared" si="16"/>
        <v>0</v>
      </c>
      <c r="H1077" s="2" t="str">
        <f>VLOOKUP(A1077,'TB JUNE'!A:H,8,0)</f>
        <v>Not Applicable</v>
      </c>
    </row>
    <row r="1078" spans="1:8" hidden="1">
      <c r="A1078" s="62" t="s">
        <v>1024</v>
      </c>
      <c r="B1078" s="73">
        <v>-40751393.149999999</v>
      </c>
      <c r="C1078" s="73">
        <v>64143503.950000003</v>
      </c>
      <c r="D1078" s="73">
        <v>70002393.170000002</v>
      </c>
      <c r="E1078" s="73">
        <v>-46610282.369999997</v>
      </c>
      <c r="F1078" s="42">
        <v>0</v>
      </c>
      <c r="G1078" s="42">
        <f t="shared" si="16"/>
        <v>-46610282.369999997</v>
      </c>
      <c r="H1078" s="2" t="str">
        <f>VLOOKUP(A1078,'TB JUNE'!A:H,8,0)</f>
        <v>Not Applicable</v>
      </c>
    </row>
    <row r="1079" spans="1:8" hidden="1">
      <c r="A1079" s="62" t="s">
        <v>503</v>
      </c>
      <c r="B1079" s="73">
        <v>64703271.210000001</v>
      </c>
      <c r="C1079" s="73"/>
      <c r="D1079" s="73"/>
      <c r="E1079" s="73">
        <v>64703271.210000001</v>
      </c>
      <c r="F1079" s="42">
        <v>0</v>
      </c>
      <c r="G1079" s="42">
        <f t="shared" si="16"/>
        <v>64703271.210000001</v>
      </c>
      <c r="H1079" s="2" t="str">
        <f>VLOOKUP(A1079,'TB JUNE'!A:H,8,0)</f>
        <v>Not Applicable</v>
      </c>
    </row>
    <row r="1080" spans="1:8" hidden="1">
      <c r="A1080" s="62" t="s">
        <v>496</v>
      </c>
      <c r="B1080" s="73">
        <v>-6438533</v>
      </c>
      <c r="C1080" s="73"/>
      <c r="D1080" s="73"/>
      <c r="E1080" s="73">
        <v>-6438533</v>
      </c>
      <c r="F1080" s="42">
        <v>0</v>
      </c>
      <c r="G1080" s="42">
        <f t="shared" si="16"/>
        <v>-6438533</v>
      </c>
      <c r="H1080" s="2" t="str">
        <f>VLOOKUP(A1080,'TB JUNE'!A:H,8,0)</f>
        <v>Not Applicable</v>
      </c>
    </row>
    <row r="1081" spans="1:8" hidden="1">
      <c r="A1081" s="62" t="s">
        <v>488</v>
      </c>
      <c r="B1081" s="73">
        <v>-173498418.13</v>
      </c>
      <c r="C1081" s="73"/>
      <c r="D1081" s="73"/>
      <c r="E1081" s="73">
        <v>-173498418.13</v>
      </c>
      <c r="F1081" s="42">
        <v>0</v>
      </c>
      <c r="G1081" s="42">
        <f t="shared" si="16"/>
        <v>-173498418.13</v>
      </c>
      <c r="H1081" s="2" t="str">
        <f>VLOOKUP(A1081,'TB JUNE'!A:H,8,0)</f>
        <v>Not Applicable</v>
      </c>
    </row>
    <row r="1082" spans="1:8" hidden="1">
      <c r="A1082" s="62" t="s">
        <v>489</v>
      </c>
      <c r="B1082" s="73">
        <v>-683479.05</v>
      </c>
      <c r="C1082" s="73">
        <v>651344.05000000005</v>
      </c>
      <c r="D1082" s="73"/>
      <c r="E1082" s="73">
        <v>-32135</v>
      </c>
      <c r="F1082" s="42">
        <v>0</v>
      </c>
      <c r="G1082" s="42">
        <f t="shared" si="16"/>
        <v>-32135</v>
      </c>
      <c r="H1082" s="2" t="str">
        <f>VLOOKUP(A1082,'TB JUNE'!A:H,8,0)</f>
        <v>Not Applicable</v>
      </c>
    </row>
    <row r="1083" spans="1:8" hidden="1">
      <c r="A1083" s="62" t="s">
        <v>490</v>
      </c>
      <c r="B1083" s="73">
        <v>162669</v>
      </c>
      <c r="C1083" s="73"/>
      <c r="D1083" s="73"/>
      <c r="E1083" s="73">
        <v>162669</v>
      </c>
      <c r="F1083" s="42">
        <v>0</v>
      </c>
      <c r="G1083" s="42">
        <f t="shared" si="16"/>
        <v>162669</v>
      </c>
      <c r="H1083" s="2" t="str">
        <f>VLOOKUP(A1083,'TB JUNE'!A:H,8,0)</f>
        <v>Not Applicable</v>
      </c>
    </row>
    <row r="1084" spans="1:8" hidden="1">
      <c r="A1084" s="62" t="s">
        <v>491</v>
      </c>
      <c r="B1084" s="73">
        <v>-10188.9</v>
      </c>
      <c r="C1084" s="73"/>
      <c r="D1084" s="73"/>
      <c r="E1084" s="73">
        <v>-10188.9</v>
      </c>
      <c r="F1084" s="42">
        <v>0</v>
      </c>
      <c r="G1084" s="42">
        <f t="shared" si="16"/>
        <v>-10188.9</v>
      </c>
      <c r="H1084" s="2" t="str">
        <f>VLOOKUP(A1084,'TB JUNE'!A:H,8,0)</f>
        <v>Not Applicable</v>
      </c>
    </row>
    <row r="1085" spans="1:8" hidden="1">
      <c r="A1085" s="62" t="s">
        <v>492</v>
      </c>
      <c r="B1085" s="73">
        <v>-1425427</v>
      </c>
      <c r="C1085" s="73"/>
      <c r="D1085" s="73"/>
      <c r="E1085" s="73">
        <v>-1425427</v>
      </c>
      <c r="F1085" s="42">
        <v>0</v>
      </c>
      <c r="G1085" s="42">
        <f t="shared" si="16"/>
        <v>-1425427</v>
      </c>
      <c r="H1085" s="2" t="str">
        <f>VLOOKUP(A1085,'TB JUNE'!A:H,8,0)</f>
        <v>Not Applicable</v>
      </c>
    </row>
    <row r="1086" spans="1:8" hidden="1">
      <c r="A1086" s="62" t="s">
        <v>751</v>
      </c>
      <c r="B1086" s="73"/>
      <c r="C1086" s="73"/>
      <c r="D1086" s="73">
        <v>35627373.609999999</v>
      </c>
      <c r="E1086" s="73">
        <v>-35627373.609999999</v>
      </c>
      <c r="F1086" s="42">
        <v>0</v>
      </c>
      <c r="G1086" s="42">
        <f t="shared" si="16"/>
        <v>-35627373.609999999</v>
      </c>
      <c r="H1086" s="2" t="str">
        <f>VLOOKUP(A1086,'TB JUNE'!A:H,8,0)</f>
        <v>Sale of Finished Goods</v>
      </c>
    </row>
    <row r="1087" spans="1:8" hidden="1">
      <c r="A1087" s="62" t="s">
        <v>749</v>
      </c>
      <c r="B1087" s="73"/>
      <c r="C1087" s="73"/>
      <c r="D1087" s="73">
        <v>3970108</v>
      </c>
      <c r="E1087" s="73">
        <v>-3970108</v>
      </c>
      <c r="F1087" s="42">
        <v>0</v>
      </c>
      <c r="G1087" s="42">
        <f t="shared" si="16"/>
        <v>-3970108</v>
      </c>
      <c r="H1087" s="2" t="str">
        <f>VLOOKUP(A1087,'TB JUNE'!A:H,8,0)</f>
        <v>Sale of Finished Goods</v>
      </c>
    </row>
    <row r="1088" spans="1:8" hidden="1">
      <c r="A1088" s="62" t="s">
        <v>752</v>
      </c>
      <c r="B1088" s="73"/>
      <c r="C1088" s="73">
        <v>176400</v>
      </c>
      <c r="D1088" s="73">
        <v>215293858.30000001</v>
      </c>
      <c r="E1088" s="73">
        <v>-215117458.30000001</v>
      </c>
      <c r="F1088" s="42">
        <v>0</v>
      </c>
      <c r="G1088" s="42">
        <f t="shared" si="16"/>
        <v>-215117458.30000001</v>
      </c>
      <c r="H1088" s="2" t="str">
        <f>VLOOKUP(A1088,'TB JUNE'!A:H,8,0)</f>
        <v>Sale of Finished Goods</v>
      </c>
    </row>
    <row r="1089" spans="1:8" hidden="1">
      <c r="A1089" s="62" t="s">
        <v>747</v>
      </c>
      <c r="B1089" s="73"/>
      <c r="C1089" s="73"/>
      <c r="D1089" s="73">
        <v>152599998.31999999</v>
      </c>
      <c r="E1089" s="73">
        <v>-152599998.31999999</v>
      </c>
      <c r="F1089" s="42">
        <v>0</v>
      </c>
      <c r="G1089" s="42">
        <f t="shared" si="16"/>
        <v>-152599998.31999999</v>
      </c>
      <c r="H1089" s="2" t="str">
        <f>VLOOKUP(A1089,'TB JUNE'!A:H,8,0)</f>
        <v>Sale of Finished Goods</v>
      </c>
    </row>
    <row r="1090" spans="1:8" hidden="1">
      <c r="A1090" s="62" t="s">
        <v>945</v>
      </c>
      <c r="B1090" s="73"/>
      <c r="C1090" s="73">
        <v>4552024.13</v>
      </c>
      <c r="D1090" s="73">
        <v>40480901.770000003</v>
      </c>
      <c r="E1090" s="73">
        <v>-35928877.640000001</v>
      </c>
      <c r="F1090" s="42">
        <v>0</v>
      </c>
      <c r="G1090" s="42">
        <f t="shared" si="16"/>
        <v>-35928877.640000001</v>
      </c>
      <c r="H1090" s="2" t="str">
        <f>VLOOKUP(A1090,'TB JUNE'!A:H,8,0)</f>
        <v>Sale of finished goods</v>
      </c>
    </row>
    <row r="1091" spans="1:8" hidden="1">
      <c r="A1091" s="62" t="s">
        <v>746</v>
      </c>
      <c r="B1091" s="73"/>
      <c r="C1091" s="73"/>
      <c r="D1091" s="73">
        <v>36076449.090000004</v>
      </c>
      <c r="E1091" s="73">
        <v>-36076449.090000004</v>
      </c>
      <c r="F1091" s="42">
        <v>0</v>
      </c>
      <c r="G1091" s="42">
        <f t="shared" si="16"/>
        <v>-36076449.090000004</v>
      </c>
      <c r="H1091" s="2" t="str">
        <f>VLOOKUP(A1091,'TB JUNE'!A:H,8,0)</f>
        <v>Income from Jobwork charges</v>
      </c>
    </row>
    <row r="1092" spans="1:8" hidden="1">
      <c r="A1092" s="62" t="s">
        <v>743</v>
      </c>
      <c r="B1092" s="73"/>
      <c r="C1092" s="73"/>
      <c r="D1092" s="73">
        <v>41455214</v>
      </c>
      <c r="E1092" s="73">
        <v>-41455214</v>
      </c>
      <c r="F1092" s="42">
        <v>0</v>
      </c>
      <c r="G1092" s="42">
        <f t="shared" si="16"/>
        <v>-41455214</v>
      </c>
      <c r="H1092" s="2" t="str">
        <f>VLOOKUP(A1092,'TB JUNE'!A:H,8,0)</f>
        <v>Sale of Finished Goods</v>
      </c>
    </row>
    <row r="1093" spans="1:8" hidden="1">
      <c r="A1093" s="62" t="s">
        <v>932</v>
      </c>
      <c r="B1093" s="73"/>
      <c r="C1093" s="73"/>
      <c r="D1093" s="73">
        <v>5747485.0599999996</v>
      </c>
      <c r="E1093" s="73">
        <v>-5747485.0599999996</v>
      </c>
      <c r="F1093" s="42">
        <v>0</v>
      </c>
      <c r="G1093" s="42">
        <f t="shared" si="16"/>
        <v>-5747485.0599999996</v>
      </c>
      <c r="H1093" s="2" t="str">
        <f>VLOOKUP(A1093,'TB JUNE'!A:H,8,0)</f>
        <v>Sale of traded goods</v>
      </c>
    </row>
    <row r="1094" spans="1:8" hidden="1">
      <c r="A1094" s="62" t="s">
        <v>1108</v>
      </c>
      <c r="B1094" s="73"/>
      <c r="C1094" s="73"/>
      <c r="D1094" s="73">
        <v>1861070.15</v>
      </c>
      <c r="E1094" s="73">
        <v>-1861070.15</v>
      </c>
      <c r="F1094" s="42">
        <v>0</v>
      </c>
      <c r="G1094" s="42">
        <f t="shared" ref="G1094:G1157" si="17">+E1094+F1094</f>
        <v>-1861070.15</v>
      </c>
      <c r="H1094" s="2" t="str">
        <f>VLOOKUP(A1094,'TB JUNE'!A:H,8,0)</f>
        <v>Sale of traded goods</v>
      </c>
    </row>
    <row r="1095" spans="1:8" hidden="1">
      <c r="A1095" s="62" t="s">
        <v>1107</v>
      </c>
      <c r="B1095" s="73"/>
      <c r="C1095" s="73"/>
      <c r="D1095" s="73">
        <v>2370670.6</v>
      </c>
      <c r="E1095" s="73">
        <v>-2370670.6</v>
      </c>
      <c r="F1095" s="42">
        <v>0</v>
      </c>
      <c r="G1095" s="42">
        <f t="shared" si="17"/>
        <v>-2370670.6</v>
      </c>
      <c r="H1095" s="2" t="str">
        <f>VLOOKUP(A1095,'TB JUNE'!A:H,8,0)</f>
        <v>Sale of traded goods</v>
      </c>
    </row>
    <row r="1096" spans="1:8" hidden="1">
      <c r="A1096" s="62" t="s">
        <v>753</v>
      </c>
      <c r="B1096" s="73"/>
      <c r="C1096" s="73"/>
      <c r="D1096" s="73">
        <v>34770781.049999997</v>
      </c>
      <c r="E1096" s="73">
        <v>-34770781.049999997</v>
      </c>
      <c r="F1096" s="42">
        <v>0</v>
      </c>
      <c r="G1096" s="42">
        <f t="shared" si="17"/>
        <v>-34770781.049999997</v>
      </c>
      <c r="H1096" s="2" t="str">
        <f>VLOOKUP(A1096,'TB JUNE'!A:H,8,0)</f>
        <v>Sale of traded goods</v>
      </c>
    </row>
    <row r="1097" spans="1:8" hidden="1">
      <c r="A1097" s="62" t="s">
        <v>20</v>
      </c>
      <c r="B1097" s="73"/>
      <c r="C1097" s="73"/>
      <c r="D1097" s="73">
        <v>437060</v>
      </c>
      <c r="E1097" s="73">
        <v>-437060</v>
      </c>
      <c r="F1097" s="42">
        <v>0</v>
      </c>
      <c r="G1097" s="42">
        <f t="shared" si="17"/>
        <v>-437060</v>
      </c>
      <c r="H1097" s="2" t="str">
        <f>VLOOKUP(A1097,'TB JUNE'!A:H,8,0)</f>
        <v>Sales - Waste &amp; Scrape</v>
      </c>
    </row>
    <row r="1098" spans="1:8" hidden="1">
      <c r="A1098" s="62" t="s">
        <v>745</v>
      </c>
      <c r="B1098" s="73"/>
      <c r="C1098" s="73"/>
      <c r="D1098" s="73">
        <v>5235267</v>
      </c>
      <c r="E1098" s="73">
        <v>-5235267</v>
      </c>
      <c r="F1098" s="42">
        <v>0</v>
      </c>
      <c r="G1098" s="42">
        <f t="shared" si="17"/>
        <v>-5235267</v>
      </c>
      <c r="H1098" s="2" t="str">
        <f>VLOOKUP(A1098,'TB JUNE'!A:H,8,0)</f>
        <v>Wind mill income</v>
      </c>
    </row>
    <row r="1099" spans="1:8" hidden="1">
      <c r="A1099" s="62" t="s">
        <v>1587</v>
      </c>
      <c r="B1099" s="73"/>
      <c r="C1099" s="73">
        <v>850830</v>
      </c>
      <c r="D1099" s="73"/>
      <c r="E1099" s="73">
        <v>850830</v>
      </c>
      <c r="F1099" s="42">
        <v>0</v>
      </c>
      <c r="G1099" s="42">
        <f t="shared" si="17"/>
        <v>850830</v>
      </c>
      <c r="H1099" s="2" t="str">
        <f>VLOOKUP(A1099,'TB JUNE'!A:H,8,0)</f>
        <v>Not Applicable</v>
      </c>
    </row>
    <row r="1100" spans="1:8" hidden="1">
      <c r="A1100" s="62" t="s">
        <v>742</v>
      </c>
      <c r="B1100" s="73"/>
      <c r="C1100" s="73"/>
      <c r="D1100" s="73">
        <v>318909.95</v>
      </c>
      <c r="E1100" s="73">
        <v>-318909.95</v>
      </c>
      <c r="F1100" s="42">
        <v>0</v>
      </c>
      <c r="G1100" s="42">
        <f t="shared" si="17"/>
        <v>-318909.95</v>
      </c>
      <c r="H1100" s="2" t="s">
        <v>84</v>
      </c>
    </row>
    <row r="1101" spans="1:8" hidden="1">
      <c r="A1101" s="62" t="s">
        <v>828</v>
      </c>
      <c r="B1101" s="73"/>
      <c r="C1101" s="73">
        <v>165397.1</v>
      </c>
      <c r="D1101" s="73">
        <v>5687950.5099999998</v>
      </c>
      <c r="E1101" s="73">
        <v>-5522553.4100000001</v>
      </c>
      <c r="F1101" s="42">
        <v>0</v>
      </c>
      <c r="G1101" s="42">
        <f t="shared" si="17"/>
        <v>-5522553.4100000001</v>
      </c>
      <c r="H1101" s="2" t="str">
        <f>VLOOKUP(A1101,'TB JUNE'!A:H,8,0)</f>
        <v>Add: Purchase expenses</v>
      </c>
    </row>
    <row r="1102" spans="1:8" hidden="1">
      <c r="A1102" s="62" t="s">
        <v>780</v>
      </c>
      <c r="B1102" s="73"/>
      <c r="C1102" s="73">
        <v>694</v>
      </c>
      <c r="D1102" s="73"/>
      <c r="E1102" s="73">
        <v>694</v>
      </c>
      <c r="F1102" s="42">
        <v>0</v>
      </c>
      <c r="G1102" s="42">
        <f t="shared" si="17"/>
        <v>694</v>
      </c>
      <c r="H1102" s="2" t="str">
        <f>VLOOKUP(A1102,'TB JUNE'!A:H,8,0)</f>
        <v>Add: Purchase expenses</v>
      </c>
    </row>
    <row r="1103" spans="1:8" hidden="1">
      <c r="A1103" s="62" t="s">
        <v>764</v>
      </c>
      <c r="B1103" s="73"/>
      <c r="C1103" s="73">
        <v>406.2</v>
      </c>
      <c r="D1103" s="73">
        <v>65.55</v>
      </c>
      <c r="E1103" s="73">
        <v>340.65</v>
      </c>
      <c r="F1103" s="42">
        <v>0</v>
      </c>
      <c r="G1103" s="42">
        <f t="shared" si="17"/>
        <v>340.65</v>
      </c>
      <c r="H1103" s="2" t="str">
        <f>VLOOKUP(A1103,'TB JUNE'!A:H,8,0)</f>
        <v>Add: Purchase expenses</v>
      </c>
    </row>
    <row r="1104" spans="1:8" hidden="1">
      <c r="A1104" s="62" t="s">
        <v>823</v>
      </c>
      <c r="B1104" s="73"/>
      <c r="C1104" s="73">
        <v>66534.399999999994</v>
      </c>
      <c r="D1104" s="73">
        <v>36014</v>
      </c>
      <c r="E1104" s="73">
        <v>30520.400000000001</v>
      </c>
      <c r="F1104" s="42">
        <v>0</v>
      </c>
      <c r="G1104" s="42">
        <f t="shared" si="17"/>
        <v>30520.400000000001</v>
      </c>
      <c r="H1104" s="21" t="s">
        <v>13</v>
      </c>
    </row>
    <row r="1105" spans="1:8" hidden="1">
      <c r="A1105" s="62" t="s">
        <v>808</v>
      </c>
      <c r="B1105" s="73"/>
      <c r="C1105" s="73">
        <v>447862</v>
      </c>
      <c r="D1105" s="73"/>
      <c r="E1105" s="73">
        <v>447862</v>
      </c>
      <c r="F1105" s="42">
        <v>0</v>
      </c>
      <c r="G1105" s="42">
        <f t="shared" si="17"/>
        <v>447862</v>
      </c>
      <c r="H1105" s="2" t="str">
        <f>VLOOKUP(A1105,'TB JUNE'!A:H,8,0)</f>
        <v>Add: Purchase expenses</v>
      </c>
    </row>
    <row r="1106" spans="1:8" hidden="1">
      <c r="A1106" s="62" t="s">
        <v>809</v>
      </c>
      <c r="B1106" s="73"/>
      <c r="C1106" s="73">
        <v>164406.84</v>
      </c>
      <c r="D1106" s="73">
        <v>16500</v>
      </c>
      <c r="E1106" s="73">
        <v>147906.84</v>
      </c>
      <c r="F1106" s="42">
        <v>0</v>
      </c>
      <c r="G1106" s="42">
        <f t="shared" si="17"/>
        <v>147906.84</v>
      </c>
      <c r="H1106" s="2" t="str">
        <f>VLOOKUP(A1106,'TB JUNE'!A:H,8,0)</f>
        <v>Add: Purchase expenses</v>
      </c>
    </row>
    <row r="1107" spans="1:8" hidden="1">
      <c r="A1107" s="62" t="s">
        <v>1303</v>
      </c>
      <c r="B1107" s="73"/>
      <c r="C1107" s="73"/>
      <c r="D1107" s="73">
        <v>277930</v>
      </c>
      <c r="E1107" s="73">
        <v>-277930</v>
      </c>
      <c r="F1107" s="42">
        <v>0</v>
      </c>
      <c r="G1107" s="42">
        <f t="shared" si="17"/>
        <v>-277930</v>
      </c>
      <c r="H1107" s="2" t="str">
        <f>VLOOKUP(A1107,'TB JUNE'!A:H,8,0)</f>
        <v>Add: Purchase expenses</v>
      </c>
    </row>
    <row r="1108" spans="1:8" hidden="1">
      <c r="A1108" s="62" t="s">
        <v>825</v>
      </c>
      <c r="B1108" s="73"/>
      <c r="C1108" s="73">
        <v>349892.51</v>
      </c>
      <c r="D1108" s="73"/>
      <c r="E1108" s="73">
        <v>349892.51</v>
      </c>
      <c r="F1108" s="42">
        <v>0</v>
      </c>
      <c r="G1108" s="42">
        <f t="shared" si="17"/>
        <v>349892.51</v>
      </c>
      <c r="H1108" s="2" t="str">
        <f>VLOOKUP(A1108,'TB JUNE'!A:H,8,0)</f>
        <v>Add: Purchase of Stores, Spares &amp; Consumables</v>
      </c>
    </row>
    <row r="1109" spans="1:8" hidden="1">
      <c r="A1109" s="62" t="s">
        <v>833</v>
      </c>
      <c r="B1109" s="73"/>
      <c r="C1109" s="73">
        <v>245113</v>
      </c>
      <c r="D1109" s="73"/>
      <c r="E1109" s="73">
        <v>245113</v>
      </c>
      <c r="F1109" s="42">
        <v>0</v>
      </c>
      <c r="G1109" s="42">
        <f t="shared" si="17"/>
        <v>245113</v>
      </c>
      <c r="H1109" s="2" t="str">
        <f>VLOOKUP(A1109,'TB JUNE'!A:H,8,0)</f>
        <v>Other Administrative Expenses</v>
      </c>
    </row>
    <row r="1110" spans="1:8" hidden="1">
      <c r="A1110" s="62" t="s">
        <v>806</v>
      </c>
      <c r="B1110" s="73"/>
      <c r="C1110" s="73">
        <v>37872</v>
      </c>
      <c r="D1110" s="73"/>
      <c r="E1110" s="73">
        <v>37872</v>
      </c>
      <c r="F1110" s="42">
        <v>0</v>
      </c>
      <c r="G1110" s="42">
        <f t="shared" si="17"/>
        <v>37872</v>
      </c>
      <c r="H1110" s="2" t="str">
        <f>VLOOKUP(A1110,'TB JUNE'!A:H,8,0)</f>
        <v>Other Administrative Expenses</v>
      </c>
    </row>
    <row r="1111" spans="1:8">
      <c r="A1111" s="62" t="s">
        <v>800</v>
      </c>
      <c r="B1111" s="73"/>
      <c r="C1111" s="73">
        <v>23579133</v>
      </c>
      <c r="D1111" s="73"/>
      <c r="E1111" s="73">
        <v>23579133</v>
      </c>
      <c r="F1111" s="42">
        <v>11297259</v>
      </c>
      <c r="G1111" s="42">
        <f t="shared" si="17"/>
        <v>34876392</v>
      </c>
      <c r="H1111" s="2" t="str">
        <f>VLOOKUP(A1111,'TB JUNE'!A:H,8,0)</f>
        <v>Labour charges</v>
      </c>
    </row>
    <row r="1112" spans="1:8" hidden="1">
      <c r="A1112" s="62" t="s">
        <v>785</v>
      </c>
      <c r="B1112" s="73"/>
      <c r="C1112" s="73">
        <v>15324713</v>
      </c>
      <c r="D1112" s="73"/>
      <c r="E1112" s="73">
        <v>15324713</v>
      </c>
      <c r="F1112" s="42">
        <v>0</v>
      </c>
      <c r="G1112" s="42">
        <f t="shared" si="17"/>
        <v>15324713</v>
      </c>
      <c r="H1112" s="2" t="str">
        <f>VLOOKUP(A1112,'TB JUNE'!A:H,8,0)</f>
        <v>Power and fuel</v>
      </c>
    </row>
    <row r="1113" spans="1:8" hidden="1">
      <c r="A1113" s="62" t="s">
        <v>762</v>
      </c>
      <c r="B1113" s="73"/>
      <c r="C1113" s="73">
        <v>1488400</v>
      </c>
      <c r="D1113" s="73"/>
      <c r="E1113" s="73">
        <v>1488400</v>
      </c>
      <c r="F1113" s="42">
        <v>0</v>
      </c>
      <c r="G1113" s="42">
        <f t="shared" si="17"/>
        <v>1488400</v>
      </c>
      <c r="H1113" s="2" t="str">
        <f>VLOOKUP(A1113,'TB JUNE'!A:H,8,0)</f>
        <v>Other Administrative Expenses</v>
      </c>
    </row>
    <row r="1114" spans="1:8" hidden="1">
      <c r="A1114" s="62" t="s">
        <v>1049</v>
      </c>
      <c r="B1114" s="73"/>
      <c r="C1114" s="73">
        <v>660000</v>
      </c>
      <c r="D1114" s="73"/>
      <c r="E1114" s="73">
        <v>660000</v>
      </c>
      <c r="F1114" s="42">
        <v>0</v>
      </c>
      <c r="G1114" s="42">
        <f t="shared" si="17"/>
        <v>660000</v>
      </c>
      <c r="H1114" s="2" t="str">
        <f>VLOOKUP(A1114,'TB JUNE'!A:H,8,0)</f>
        <v>Other Administrative Expenses</v>
      </c>
    </row>
    <row r="1115" spans="1:8" hidden="1">
      <c r="A1115" s="62" t="s">
        <v>1629</v>
      </c>
      <c r="B1115" s="73"/>
      <c r="C1115" s="73">
        <v>4800</v>
      </c>
      <c r="D1115" s="73"/>
      <c r="E1115" s="73">
        <v>4800</v>
      </c>
      <c r="F1115" s="42">
        <v>0</v>
      </c>
      <c r="G1115" s="42">
        <f t="shared" si="17"/>
        <v>4800</v>
      </c>
      <c r="H1115" s="8" t="s">
        <v>68</v>
      </c>
    </row>
    <row r="1116" spans="1:8" hidden="1">
      <c r="A1116" s="62" t="s">
        <v>799</v>
      </c>
      <c r="B1116" s="73"/>
      <c r="C1116" s="73">
        <v>11805608.720000001</v>
      </c>
      <c r="D1116" s="73"/>
      <c r="E1116" s="73">
        <v>11805608.720000001</v>
      </c>
      <c r="F1116" s="42">
        <v>0</v>
      </c>
      <c r="G1116" s="42">
        <f t="shared" si="17"/>
        <v>11805608.720000001</v>
      </c>
      <c r="H1116" s="2" t="str">
        <f>VLOOKUP(A1116,'TB JUNE'!A:H,8,0)</f>
        <v xml:space="preserve">Jobwork charges </v>
      </c>
    </row>
    <row r="1117" spans="1:8">
      <c r="A1117" s="62" t="s">
        <v>803</v>
      </c>
      <c r="B1117" s="73"/>
      <c r="C1117" s="73">
        <v>241901</v>
      </c>
      <c r="D1117" s="73"/>
      <c r="E1117" s="73">
        <v>241901</v>
      </c>
      <c r="F1117" s="42">
        <v>90972</v>
      </c>
      <c r="G1117" s="42">
        <f t="shared" si="17"/>
        <v>332873</v>
      </c>
      <c r="H1117" s="2" t="str">
        <f>VLOOKUP(A1117,'TB JUNE'!A:H,8,0)</f>
        <v>Freight Outward and C &amp; F Charges</v>
      </c>
    </row>
    <row r="1118" spans="1:8" hidden="1">
      <c r="A1118" s="62" t="s">
        <v>789</v>
      </c>
      <c r="B1118" s="73"/>
      <c r="C1118" s="73">
        <v>55200</v>
      </c>
      <c r="D1118" s="73"/>
      <c r="E1118" s="73">
        <v>55200</v>
      </c>
      <c r="F1118" s="42">
        <v>0</v>
      </c>
      <c r="G1118" s="42">
        <f t="shared" si="17"/>
        <v>55200</v>
      </c>
      <c r="H1118" s="2" t="str">
        <f>VLOOKUP(A1118,'TB JUNE'!A:H,8,0)</f>
        <v>Other Manufacturing Expenses</v>
      </c>
    </row>
    <row r="1119" spans="1:8" hidden="1">
      <c r="A1119" s="62" t="s">
        <v>791</v>
      </c>
      <c r="B1119" s="73"/>
      <c r="C1119" s="73">
        <v>260840</v>
      </c>
      <c r="D1119" s="73"/>
      <c r="E1119" s="73">
        <v>260840</v>
      </c>
      <c r="F1119" s="42">
        <v>0</v>
      </c>
      <c r="G1119" s="42">
        <f t="shared" si="17"/>
        <v>260840</v>
      </c>
      <c r="H1119" s="2" t="str">
        <f>VLOOKUP(A1119,'TB JUNE'!A:H,8,0)</f>
        <v>Other Administrative Expenses</v>
      </c>
    </row>
    <row r="1120" spans="1:8" hidden="1">
      <c r="A1120" s="62" t="s">
        <v>792</v>
      </c>
      <c r="B1120" s="73"/>
      <c r="C1120" s="73">
        <v>109120</v>
      </c>
      <c r="D1120" s="73"/>
      <c r="E1120" s="73">
        <v>109120</v>
      </c>
      <c r="F1120" s="42">
        <v>0</v>
      </c>
      <c r="G1120" s="42">
        <f t="shared" si="17"/>
        <v>109120</v>
      </c>
      <c r="H1120" s="2" t="str">
        <f>VLOOKUP(A1120,'TB JUNE'!A:H,8,0)</f>
        <v>Other Manufacturing Expenses</v>
      </c>
    </row>
    <row r="1121" spans="1:8" hidden="1">
      <c r="A1121" s="62" t="s">
        <v>761</v>
      </c>
      <c r="B1121" s="73"/>
      <c r="C1121" s="73">
        <v>969673.1</v>
      </c>
      <c r="D1121" s="73"/>
      <c r="E1121" s="73">
        <v>969673.1</v>
      </c>
      <c r="F1121" s="42">
        <v>0</v>
      </c>
      <c r="G1121" s="42">
        <f t="shared" si="17"/>
        <v>969673.1</v>
      </c>
      <c r="H1121" s="2" t="str">
        <f>VLOOKUP(A1121,'TB JUNE'!A:H,8,0)</f>
        <v>Other Manufacturing Expenses</v>
      </c>
    </row>
    <row r="1122" spans="1:8" hidden="1">
      <c r="A1122" s="62" t="s">
        <v>819</v>
      </c>
      <c r="B1122" s="73"/>
      <c r="C1122" s="73">
        <v>36576</v>
      </c>
      <c r="D1122" s="73"/>
      <c r="E1122" s="73">
        <v>36576</v>
      </c>
      <c r="F1122" s="42">
        <v>0</v>
      </c>
      <c r="G1122" s="42">
        <f t="shared" si="17"/>
        <v>36576</v>
      </c>
      <c r="H1122" s="2" t="str">
        <f>VLOOKUP(A1122,'TB JUNE'!A:H,8,0)</f>
        <v>Add: Purchase of packing materials</v>
      </c>
    </row>
    <row r="1123" spans="1:8" hidden="1">
      <c r="A1123" s="62" t="s">
        <v>820</v>
      </c>
      <c r="B1123" s="73"/>
      <c r="C1123" s="73">
        <v>86023816.75</v>
      </c>
      <c r="D1123" s="73"/>
      <c r="E1123" s="73">
        <v>86023816.75</v>
      </c>
      <c r="F1123" s="42">
        <v>0</v>
      </c>
      <c r="G1123" s="42">
        <f t="shared" si="17"/>
        <v>86023816.75</v>
      </c>
      <c r="H1123" s="2" t="str">
        <f>VLOOKUP(A1123,'TB JUNE'!A:H,8,0)</f>
        <v>Add: Purchase of raw materials</v>
      </c>
    </row>
    <row r="1124" spans="1:8" hidden="1">
      <c r="A1124" s="62" t="s">
        <v>821</v>
      </c>
      <c r="B1124" s="73"/>
      <c r="C1124" s="73">
        <v>38052.32</v>
      </c>
      <c r="D1124" s="73"/>
      <c r="E1124" s="73">
        <v>38052.32</v>
      </c>
      <c r="F1124" s="42">
        <v>0</v>
      </c>
      <c r="G1124" s="42">
        <f t="shared" si="17"/>
        <v>38052.32</v>
      </c>
      <c r="H1124" s="2" t="str">
        <f>VLOOKUP(A1124,'TB JUNE'!A:H,8,0)</f>
        <v>Add: Purchase of Stores, Spares &amp; Consumables</v>
      </c>
    </row>
    <row r="1125" spans="1:8" hidden="1">
      <c r="A1125" s="62" t="s">
        <v>966</v>
      </c>
      <c r="B1125" s="73"/>
      <c r="C1125" s="73">
        <v>32596</v>
      </c>
      <c r="D1125" s="73"/>
      <c r="E1125" s="73">
        <v>32596</v>
      </c>
      <c r="F1125" s="42">
        <v>0</v>
      </c>
      <c r="G1125" s="42">
        <f t="shared" si="17"/>
        <v>32596</v>
      </c>
      <c r="H1125" s="2" t="str">
        <f>VLOOKUP(A1125,'TB JUNE'!A:H,8,0)</f>
        <v>Add: Purchase of Stores, Spares &amp; Consumables</v>
      </c>
    </row>
    <row r="1126" spans="1:8" hidden="1">
      <c r="A1126" s="62" t="s">
        <v>769</v>
      </c>
      <c r="B1126" s="73"/>
      <c r="C1126" s="73">
        <v>10959500</v>
      </c>
      <c r="D1126" s="73"/>
      <c r="E1126" s="73">
        <v>10959500</v>
      </c>
      <c r="F1126" s="42">
        <v>0</v>
      </c>
      <c r="G1126" s="42">
        <f t="shared" si="17"/>
        <v>10959500</v>
      </c>
      <c r="H1126" s="21" t="s">
        <v>9</v>
      </c>
    </row>
    <row r="1127" spans="1:8" hidden="1">
      <c r="A1127" s="62" t="s">
        <v>767</v>
      </c>
      <c r="B1127" s="73"/>
      <c r="C1127" s="73">
        <v>1500</v>
      </c>
      <c r="D1127" s="73"/>
      <c r="E1127" s="73">
        <v>1500</v>
      </c>
      <c r="F1127" s="42">
        <v>0</v>
      </c>
      <c r="G1127" s="42">
        <f t="shared" si="17"/>
        <v>1500</v>
      </c>
      <c r="H1127" s="2" t="str">
        <f>VLOOKUP(A1127,'TB JUNE'!A:H,8,0)</f>
        <v>Add: Purchase of packing materials</v>
      </c>
    </row>
    <row r="1128" spans="1:8" hidden="1">
      <c r="A1128" s="62" t="s">
        <v>772</v>
      </c>
      <c r="B1128" s="73"/>
      <c r="C1128" s="73">
        <v>3265520.49</v>
      </c>
      <c r="D1128" s="73"/>
      <c r="E1128" s="73">
        <v>3265520.49</v>
      </c>
      <c r="F1128" s="42">
        <v>0</v>
      </c>
      <c r="G1128" s="42">
        <f t="shared" si="17"/>
        <v>3265520.49</v>
      </c>
      <c r="H1128" s="2" t="str">
        <f>VLOOKUP(A1128,'TB JUNE'!A:H,8,0)</f>
        <v>Add: Purchase of packing materials</v>
      </c>
    </row>
    <row r="1129" spans="1:8" hidden="1">
      <c r="A1129" s="62" t="s">
        <v>766</v>
      </c>
      <c r="B1129" s="73"/>
      <c r="C1129" s="73">
        <v>17352293.399999999</v>
      </c>
      <c r="D1129" s="73"/>
      <c r="E1129" s="73">
        <v>17352293.399999999</v>
      </c>
      <c r="F1129" s="42">
        <v>0</v>
      </c>
      <c r="G1129" s="42">
        <f t="shared" si="17"/>
        <v>17352293.399999999</v>
      </c>
      <c r="H1129" s="2" t="str">
        <f>VLOOKUP(A1129,'TB JUNE'!A:H,8,0)</f>
        <v>Add: Purchase of raw materials</v>
      </c>
    </row>
    <row r="1130" spans="1:8" hidden="1">
      <c r="A1130" s="62" t="s">
        <v>771</v>
      </c>
      <c r="B1130" s="73"/>
      <c r="C1130" s="73">
        <v>258140599</v>
      </c>
      <c r="D1130" s="73">
        <v>41692.5</v>
      </c>
      <c r="E1130" s="73">
        <v>258098906.5</v>
      </c>
      <c r="F1130" s="42">
        <v>0</v>
      </c>
      <c r="G1130" s="42">
        <f t="shared" si="17"/>
        <v>258098906.5</v>
      </c>
      <c r="H1130" s="2" t="str">
        <f>VLOOKUP(A1130,'TB JUNE'!A:H,8,0)</f>
        <v>Add: Purchase of raw materials</v>
      </c>
    </row>
    <row r="1131" spans="1:8" hidden="1">
      <c r="A1131" s="62" t="s">
        <v>765</v>
      </c>
      <c r="B1131" s="73"/>
      <c r="C1131" s="73">
        <v>18710</v>
      </c>
      <c r="D1131" s="73"/>
      <c r="E1131" s="73">
        <v>18710</v>
      </c>
      <c r="F1131" s="42">
        <v>0</v>
      </c>
      <c r="G1131" s="42">
        <f t="shared" si="17"/>
        <v>18710</v>
      </c>
      <c r="H1131" s="2" t="str">
        <f>VLOOKUP(A1131,'TB JUNE'!A:H,8,0)</f>
        <v>Add: Purchase of Stores, Spares &amp; Consumables</v>
      </c>
    </row>
    <row r="1132" spans="1:8" hidden="1">
      <c r="A1132" s="62" t="s">
        <v>768</v>
      </c>
      <c r="B1132" s="73"/>
      <c r="C1132" s="73">
        <v>913441.53</v>
      </c>
      <c r="D1132" s="73"/>
      <c r="E1132" s="73">
        <v>913441.53</v>
      </c>
      <c r="F1132" s="42">
        <v>0</v>
      </c>
      <c r="G1132" s="42">
        <f t="shared" si="17"/>
        <v>913441.53</v>
      </c>
      <c r="H1132" s="2" t="str">
        <f>VLOOKUP(A1132,'TB JUNE'!A:H,8,0)</f>
        <v>Add: Purchase of Stores, Spares &amp; Consumables</v>
      </c>
    </row>
    <row r="1133" spans="1:8" hidden="1">
      <c r="A1133" s="62" t="s">
        <v>773</v>
      </c>
      <c r="B1133" s="73"/>
      <c r="C1133" s="73">
        <v>8332910.9800000004</v>
      </c>
      <c r="D1133" s="73">
        <v>18984</v>
      </c>
      <c r="E1133" s="73">
        <v>8313926.9800000004</v>
      </c>
      <c r="F1133" s="42">
        <v>0</v>
      </c>
      <c r="G1133" s="42">
        <f t="shared" si="17"/>
        <v>8313926.9800000004</v>
      </c>
      <c r="H1133" s="2" t="str">
        <f>VLOOKUP(A1133,'TB JUNE'!A:H,8,0)</f>
        <v>Add: Purchase of Stores, Spares &amp; Consumables</v>
      </c>
    </row>
    <row r="1134" spans="1:8" hidden="1">
      <c r="A1134" s="62" t="s">
        <v>770</v>
      </c>
      <c r="B1134" s="73"/>
      <c r="C1134" s="73">
        <v>27776650</v>
      </c>
      <c r="D1134" s="73"/>
      <c r="E1134" s="73">
        <v>27776650</v>
      </c>
      <c r="F1134" s="42">
        <v>0</v>
      </c>
      <c r="G1134" s="42">
        <f t="shared" si="17"/>
        <v>27776650</v>
      </c>
      <c r="H1134" s="2" t="str">
        <f>VLOOKUP(A1134,'TB JUNE'!A:H,8,0)</f>
        <v>Add: Purchase of raw materials</v>
      </c>
    </row>
    <row r="1135" spans="1:8" hidden="1">
      <c r="A1135" s="62" t="s">
        <v>827</v>
      </c>
      <c r="B1135" s="73"/>
      <c r="C1135" s="73">
        <v>263562</v>
      </c>
      <c r="D1135" s="73"/>
      <c r="E1135" s="73">
        <v>263562</v>
      </c>
      <c r="F1135" s="42">
        <v>0</v>
      </c>
      <c r="G1135" s="42">
        <f t="shared" si="17"/>
        <v>263562</v>
      </c>
      <c r="H1135" s="2" t="str">
        <f>VLOOKUP(A1135,'TB JUNE'!A:H,8,0)</f>
        <v>Conveyance, vehicle running and traveling expenses</v>
      </c>
    </row>
    <row r="1136" spans="1:8" hidden="1">
      <c r="A1136" s="62" t="s">
        <v>1305</v>
      </c>
      <c r="B1136" s="73"/>
      <c r="C1136" s="73">
        <v>348735</v>
      </c>
      <c r="D1136" s="73"/>
      <c r="E1136" s="73">
        <v>348735</v>
      </c>
      <c r="F1136" s="42">
        <v>0</v>
      </c>
      <c r="G1136" s="42">
        <f t="shared" si="17"/>
        <v>348735</v>
      </c>
      <c r="H1136" s="2" t="str">
        <f>VLOOKUP(A1136,'TB JUNE'!A:H,8,0)</f>
        <v>Other Administrative Expenses</v>
      </c>
    </row>
    <row r="1137" spans="1:8" hidden="1">
      <c r="A1137" s="62" t="s">
        <v>1630</v>
      </c>
      <c r="B1137" s="73"/>
      <c r="C1137" s="73">
        <v>242600</v>
      </c>
      <c r="D1137" s="73"/>
      <c r="E1137" s="73">
        <v>242600</v>
      </c>
      <c r="F1137" s="42">
        <v>0</v>
      </c>
      <c r="G1137" s="42">
        <f t="shared" si="17"/>
        <v>242600</v>
      </c>
      <c r="H1137" s="8" t="s">
        <v>72</v>
      </c>
    </row>
    <row r="1138" spans="1:8" hidden="1">
      <c r="A1138" s="62" t="s">
        <v>832</v>
      </c>
      <c r="B1138" s="73"/>
      <c r="C1138" s="73">
        <v>3701770</v>
      </c>
      <c r="D1138" s="73"/>
      <c r="E1138" s="73">
        <v>3701770</v>
      </c>
      <c r="F1138" s="42">
        <v>0</v>
      </c>
      <c r="G1138" s="42">
        <f t="shared" si="17"/>
        <v>3701770</v>
      </c>
      <c r="H1138" s="2" t="str">
        <f>VLOOKUP(A1138,'TB JUNE'!A:H,8,0)</f>
        <v>Other Administrative Expenses</v>
      </c>
    </row>
    <row r="1139" spans="1:8">
      <c r="A1139" s="62" t="s">
        <v>816</v>
      </c>
      <c r="B1139" s="73"/>
      <c r="C1139" s="73">
        <v>1632315.3</v>
      </c>
      <c r="D1139" s="73"/>
      <c r="E1139" s="73">
        <v>1632315.3</v>
      </c>
      <c r="F1139" s="42">
        <v>310000</v>
      </c>
      <c r="G1139" s="42">
        <f t="shared" si="17"/>
        <v>1942315.3</v>
      </c>
      <c r="H1139" s="2" t="str">
        <f>VLOOKUP(A1139,'TB JUNE'!A:H,8,0)</f>
        <v>Other Manufacturing Expenses</v>
      </c>
    </row>
    <row r="1140" spans="1:8" hidden="1">
      <c r="A1140" s="62" t="s">
        <v>793</v>
      </c>
      <c r="B1140" s="73"/>
      <c r="C1140" s="73">
        <v>26969.040000000001</v>
      </c>
      <c r="D1140" s="73"/>
      <c r="E1140" s="73">
        <v>26969.040000000001</v>
      </c>
      <c r="F1140" s="42">
        <v>0</v>
      </c>
      <c r="G1140" s="42">
        <f t="shared" si="17"/>
        <v>26969.040000000001</v>
      </c>
      <c r="H1140" s="2" t="str">
        <f>VLOOKUP(A1140,'TB JUNE'!A:H,8,0)</f>
        <v>Insurance</v>
      </c>
    </row>
    <row r="1141" spans="1:8" hidden="1">
      <c r="A1141" s="62" t="s">
        <v>1306</v>
      </c>
      <c r="B1141" s="73"/>
      <c r="C1141" s="73">
        <v>4000</v>
      </c>
      <c r="D1141" s="73"/>
      <c r="E1141" s="73">
        <v>4000</v>
      </c>
      <c r="F1141" s="42">
        <v>0</v>
      </c>
      <c r="G1141" s="42">
        <f t="shared" si="17"/>
        <v>4000</v>
      </c>
      <c r="H1141" s="2" t="str">
        <f>VLOOKUP(A1141,'TB JUNE'!A:H,8,0)</f>
        <v>Other Administrative Expenses</v>
      </c>
    </row>
    <row r="1142" spans="1:8" hidden="1">
      <c r="A1142" s="62" t="s">
        <v>805</v>
      </c>
      <c r="B1142" s="73"/>
      <c r="C1142" s="73">
        <v>358380.57</v>
      </c>
      <c r="D1142" s="73"/>
      <c r="E1142" s="73">
        <v>358380.57</v>
      </c>
      <c r="F1142" s="42">
        <v>0</v>
      </c>
      <c r="G1142" s="42">
        <f t="shared" si="17"/>
        <v>358380.57</v>
      </c>
      <c r="H1142" s="2" t="str">
        <f>VLOOKUP(A1142,'TB JUNE'!A:H,8,0)</f>
        <v>Other Administrative Expenses</v>
      </c>
    </row>
    <row r="1143" spans="1:8" hidden="1">
      <c r="A1143" s="62" t="s">
        <v>776</v>
      </c>
      <c r="B1143" s="73"/>
      <c r="C1143" s="73">
        <v>16369.54</v>
      </c>
      <c r="D1143" s="73"/>
      <c r="E1143" s="73">
        <v>16369.54</v>
      </c>
      <c r="F1143" s="42">
        <v>0</v>
      </c>
      <c r="G1143" s="42">
        <f t="shared" si="17"/>
        <v>16369.54</v>
      </c>
      <c r="H1143" s="2" t="str">
        <f>VLOOKUP(A1143,'TB JUNE'!A:H,8,0)</f>
        <v>Other Administrative Expenses</v>
      </c>
    </row>
    <row r="1144" spans="1:8" hidden="1">
      <c r="A1144" s="62" t="s">
        <v>783</v>
      </c>
      <c r="B1144" s="73"/>
      <c r="C1144" s="73">
        <v>11235</v>
      </c>
      <c r="D1144" s="73"/>
      <c r="E1144" s="73">
        <v>11235</v>
      </c>
      <c r="F1144" s="42">
        <v>0</v>
      </c>
      <c r="G1144" s="42">
        <f t="shared" si="17"/>
        <v>11235</v>
      </c>
      <c r="H1144" s="2" t="str">
        <f>VLOOKUP(A1144,'TB JUNE'!A:H,8,0)</f>
        <v>Conveyance, vehicle running and traveling expenses</v>
      </c>
    </row>
    <row r="1145" spans="1:8" hidden="1">
      <c r="A1145" s="62" t="s">
        <v>784</v>
      </c>
      <c r="B1145" s="73"/>
      <c r="C1145" s="73">
        <v>17170.400000000001</v>
      </c>
      <c r="D1145" s="73"/>
      <c r="E1145" s="73">
        <v>17170.400000000001</v>
      </c>
      <c r="F1145" s="42">
        <v>0</v>
      </c>
      <c r="G1145" s="42">
        <f t="shared" si="17"/>
        <v>17170.400000000001</v>
      </c>
      <c r="H1145" s="2" t="str">
        <f>VLOOKUP(A1145,'TB JUNE'!A:H,8,0)</f>
        <v>Other Administrative Expenses</v>
      </c>
    </row>
    <row r="1146" spans="1:8" hidden="1">
      <c r="A1146" s="62" t="s">
        <v>786</v>
      </c>
      <c r="B1146" s="73"/>
      <c r="C1146" s="73">
        <v>233296.34</v>
      </c>
      <c r="D1146" s="73"/>
      <c r="E1146" s="73">
        <v>233296.34</v>
      </c>
      <c r="F1146" s="42">
        <v>0</v>
      </c>
      <c r="G1146" s="42">
        <f t="shared" si="17"/>
        <v>233296.34</v>
      </c>
      <c r="H1146" s="2" t="str">
        <f>VLOOKUP(A1146,'TB JUNE'!A:H,8,0)</f>
        <v>Other Administrative Expenses</v>
      </c>
    </row>
    <row r="1147" spans="1:8" hidden="1">
      <c r="A1147" s="62" t="s">
        <v>763</v>
      </c>
      <c r="B1147" s="73"/>
      <c r="C1147" s="73">
        <v>15.2</v>
      </c>
      <c r="D1147" s="73">
        <v>10.92</v>
      </c>
      <c r="E1147" s="73">
        <v>4.28</v>
      </c>
      <c r="F1147" s="42">
        <v>0</v>
      </c>
      <c r="G1147" s="42">
        <f t="shared" si="17"/>
        <v>4.28</v>
      </c>
      <c r="H1147" s="2" t="str">
        <f>VLOOKUP(A1147,'TB JUNE'!A:H,8,0)</f>
        <v>Not Applicable</v>
      </c>
    </row>
    <row r="1148" spans="1:8">
      <c r="A1148" s="62" t="s">
        <v>755</v>
      </c>
      <c r="B1148" s="73"/>
      <c r="C1148" s="73">
        <v>626677</v>
      </c>
      <c r="D1148" s="73"/>
      <c r="E1148" s="73">
        <v>626677</v>
      </c>
      <c r="F1148" s="42">
        <v>229451</v>
      </c>
      <c r="G1148" s="42">
        <f t="shared" si="17"/>
        <v>856128</v>
      </c>
      <c r="H1148" s="2" t="str">
        <f>VLOOKUP(A1148,'TB JUNE'!A:H,8,0)</f>
        <v>Other Administrative Expenses</v>
      </c>
    </row>
    <row r="1149" spans="1:8" hidden="1">
      <c r="A1149" s="62" t="s">
        <v>1007</v>
      </c>
      <c r="B1149" s="73"/>
      <c r="C1149" s="73">
        <v>750</v>
      </c>
      <c r="D1149" s="73"/>
      <c r="E1149" s="73">
        <v>750</v>
      </c>
      <c r="F1149" s="42">
        <v>0</v>
      </c>
      <c r="G1149" s="42">
        <f t="shared" si="17"/>
        <v>750</v>
      </c>
      <c r="H1149" s="2" t="str">
        <f>VLOOKUP(A1149,'TB JUNE'!A:H,8,0)</f>
        <v>Other Administrative Expenses</v>
      </c>
    </row>
    <row r="1150" spans="1:8" hidden="1">
      <c r="A1150" s="62" t="s">
        <v>756</v>
      </c>
      <c r="B1150" s="73"/>
      <c r="C1150" s="73">
        <v>387711.02</v>
      </c>
      <c r="D1150" s="73"/>
      <c r="E1150" s="73">
        <v>387711.02</v>
      </c>
      <c r="F1150" s="42">
        <v>0</v>
      </c>
      <c r="G1150" s="42">
        <f t="shared" si="17"/>
        <v>387711.02</v>
      </c>
      <c r="H1150" s="2" t="str">
        <f>VLOOKUP(A1150,'TB JUNE'!A:H,8,0)</f>
        <v>Other Administrative Expenses</v>
      </c>
    </row>
    <row r="1151" spans="1:8" hidden="1">
      <c r="A1151" s="62" t="s">
        <v>757</v>
      </c>
      <c r="B1151" s="73"/>
      <c r="C1151" s="73">
        <v>48360.2</v>
      </c>
      <c r="D1151" s="73"/>
      <c r="E1151" s="73">
        <v>48360.2</v>
      </c>
      <c r="F1151" s="42">
        <v>0</v>
      </c>
      <c r="G1151" s="42">
        <f t="shared" si="17"/>
        <v>48360.2</v>
      </c>
      <c r="H1151" s="2" t="str">
        <f>VLOOKUP(A1151,'TB JUNE'!A:H,8,0)</f>
        <v>Other Administrative Expenses</v>
      </c>
    </row>
    <row r="1152" spans="1:8" hidden="1">
      <c r="A1152" s="62" t="s">
        <v>758</v>
      </c>
      <c r="B1152" s="73"/>
      <c r="C1152" s="73">
        <v>48374</v>
      </c>
      <c r="D1152" s="73"/>
      <c r="E1152" s="73">
        <v>48374</v>
      </c>
      <c r="F1152" s="42">
        <v>0</v>
      </c>
      <c r="G1152" s="42">
        <f t="shared" si="17"/>
        <v>48374</v>
      </c>
      <c r="H1152" s="2" t="str">
        <f>VLOOKUP(A1152,'TB JUNE'!A:H,8,0)</f>
        <v>Other Administrative Expenses</v>
      </c>
    </row>
    <row r="1153" spans="1:8" hidden="1">
      <c r="A1153" s="62" t="s">
        <v>759</v>
      </c>
      <c r="B1153" s="73"/>
      <c r="C1153" s="73">
        <v>23171.84</v>
      </c>
      <c r="D1153" s="73"/>
      <c r="E1153" s="73">
        <v>23171.84</v>
      </c>
      <c r="F1153" s="42">
        <v>0</v>
      </c>
      <c r="G1153" s="42">
        <f t="shared" si="17"/>
        <v>23171.84</v>
      </c>
      <c r="H1153" s="2" t="str">
        <f>VLOOKUP(A1153,'TB JUNE'!A:H,8,0)</f>
        <v>Conveyance, vehicle running and traveling expenses</v>
      </c>
    </row>
    <row r="1154" spans="1:8" hidden="1">
      <c r="A1154" s="62" t="s">
        <v>760</v>
      </c>
      <c r="B1154" s="73"/>
      <c r="C1154" s="73">
        <v>143745.79999999999</v>
      </c>
      <c r="D1154" s="73"/>
      <c r="E1154" s="73">
        <v>143745.79999999999</v>
      </c>
      <c r="F1154" s="42">
        <v>0</v>
      </c>
      <c r="G1154" s="42">
        <f t="shared" si="17"/>
        <v>143745.79999999999</v>
      </c>
      <c r="H1154" s="2" t="str">
        <f>VLOOKUP(A1154,'TB JUNE'!A:H,8,0)</f>
        <v>Other Administrative Expenses</v>
      </c>
    </row>
    <row r="1155" spans="1:8" hidden="1">
      <c r="A1155" s="62" t="s">
        <v>790</v>
      </c>
      <c r="B1155" s="73"/>
      <c r="C1155" s="73">
        <v>672000</v>
      </c>
      <c r="D1155" s="73"/>
      <c r="E1155" s="73">
        <v>672000</v>
      </c>
      <c r="F1155" s="42">
        <v>0</v>
      </c>
      <c r="G1155" s="42">
        <f t="shared" si="17"/>
        <v>672000</v>
      </c>
      <c r="H1155" s="2" t="str">
        <f>VLOOKUP(A1155,'TB JUNE'!A:H,8,0)</f>
        <v>Conveyance, vehicle running and traveling expenses</v>
      </c>
    </row>
    <row r="1156" spans="1:8" hidden="1">
      <c r="A1156" s="62" t="s">
        <v>874</v>
      </c>
      <c r="B1156" s="73"/>
      <c r="C1156" s="73">
        <v>1129500</v>
      </c>
      <c r="D1156" s="73"/>
      <c r="E1156" s="73">
        <v>1129500</v>
      </c>
      <c r="F1156" s="42">
        <v>0</v>
      </c>
      <c r="G1156" s="42">
        <f t="shared" si="17"/>
        <v>1129500</v>
      </c>
      <c r="H1156" s="2" t="str">
        <f>VLOOKUP(A1156,'TB JUNE'!A:H,8,0)</f>
        <v>Conveyance, vehicle running and traveling expenses</v>
      </c>
    </row>
    <row r="1157" spans="1:8" hidden="1">
      <c r="A1157" s="62" t="s">
        <v>781</v>
      </c>
      <c r="B1157" s="73"/>
      <c r="C1157" s="73">
        <v>47325</v>
      </c>
      <c r="D1157" s="73"/>
      <c r="E1157" s="73">
        <v>47325</v>
      </c>
      <c r="F1157" s="42">
        <v>0</v>
      </c>
      <c r="G1157" s="42">
        <f t="shared" si="17"/>
        <v>47325</v>
      </c>
      <c r="H1157" s="2" t="str">
        <f>VLOOKUP(A1157,'TB JUNE'!A:H,8,0)</f>
        <v>Contribution to provident and other funds</v>
      </c>
    </row>
    <row r="1158" spans="1:8" hidden="1">
      <c r="A1158" s="62" t="s">
        <v>782</v>
      </c>
      <c r="B1158" s="73"/>
      <c r="C1158" s="73">
        <v>1183147</v>
      </c>
      <c r="D1158" s="73"/>
      <c r="E1158" s="73">
        <v>1183147</v>
      </c>
      <c r="F1158" s="42">
        <v>0</v>
      </c>
      <c r="G1158" s="42">
        <f t="shared" ref="G1158:G1205" si="18">+E1158+F1158</f>
        <v>1183147</v>
      </c>
      <c r="H1158" s="2" t="str">
        <f>VLOOKUP(A1158,'TB JUNE'!A:H,8,0)</f>
        <v>Contribution to provident and other funds</v>
      </c>
    </row>
    <row r="1159" spans="1:8" hidden="1">
      <c r="A1159" s="62" t="s">
        <v>842</v>
      </c>
      <c r="B1159" s="73"/>
      <c r="C1159" s="73">
        <v>133012</v>
      </c>
      <c r="D1159" s="73"/>
      <c r="E1159" s="73">
        <v>133012</v>
      </c>
      <c r="F1159" s="42">
        <v>0</v>
      </c>
      <c r="G1159" s="42">
        <f t="shared" si="18"/>
        <v>133012</v>
      </c>
      <c r="H1159" s="2" t="str">
        <f>VLOOKUP(A1159,'TB JUNE'!A:H,8,0)</f>
        <v xml:space="preserve">Salaries, wages and  bonus </v>
      </c>
    </row>
    <row r="1160" spans="1:8" hidden="1">
      <c r="A1160" s="62" t="s">
        <v>843</v>
      </c>
      <c r="B1160" s="73"/>
      <c r="C1160" s="73">
        <v>3341731</v>
      </c>
      <c r="D1160" s="73"/>
      <c r="E1160" s="73">
        <v>3341731</v>
      </c>
      <c r="F1160" s="42">
        <v>0</v>
      </c>
      <c r="G1160" s="42">
        <f t="shared" si="18"/>
        <v>3341731</v>
      </c>
      <c r="H1160" s="2" t="str">
        <f>VLOOKUP(A1160,'TB JUNE'!A:H,8,0)</f>
        <v xml:space="preserve">Salaries, wages and  bonus </v>
      </c>
    </row>
    <row r="1161" spans="1:8" hidden="1">
      <c r="A1161" s="62" t="s">
        <v>844</v>
      </c>
      <c r="B1161" s="73"/>
      <c r="C1161" s="73">
        <v>150434</v>
      </c>
      <c r="D1161" s="73"/>
      <c r="E1161" s="73">
        <v>150434</v>
      </c>
      <c r="F1161" s="42">
        <v>0</v>
      </c>
      <c r="G1161" s="42">
        <f t="shared" si="18"/>
        <v>150434</v>
      </c>
      <c r="H1161" s="2" t="str">
        <f>VLOOKUP(A1161,'TB JUNE'!A:H,8,0)</f>
        <v xml:space="preserve">Salaries, wages and  bonus </v>
      </c>
    </row>
    <row r="1162" spans="1:8" hidden="1">
      <c r="A1162" s="62" t="s">
        <v>845</v>
      </c>
      <c r="B1162" s="73"/>
      <c r="C1162" s="73">
        <v>45000</v>
      </c>
      <c r="D1162" s="73"/>
      <c r="E1162" s="73">
        <v>45000</v>
      </c>
      <c r="F1162" s="42">
        <v>0</v>
      </c>
      <c r="G1162" s="42">
        <f t="shared" si="18"/>
        <v>45000</v>
      </c>
      <c r="H1162" s="2" t="str">
        <f>VLOOKUP(A1162,'TB JUNE'!A:H,8,0)</f>
        <v xml:space="preserve">Salaries, wages and  bonus </v>
      </c>
    </row>
    <row r="1163" spans="1:8" hidden="1">
      <c r="A1163" s="62" t="s">
        <v>846</v>
      </c>
      <c r="B1163" s="73"/>
      <c r="C1163" s="73">
        <v>6465294</v>
      </c>
      <c r="D1163" s="73"/>
      <c r="E1163" s="73">
        <v>6465294</v>
      </c>
      <c r="F1163" s="42">
        <v>0</v>
      </c>
      <c r="G1163" s="42">
        <f t="shared" si="18"/>
        <v>6465294</v>
      </c>
      <c r="H1163" s="2" t="str">
        <f>VLOOKUP(A1163,'TB JUNE'!A:H,8,0)</f>
        <v xml:space="preserve">Salaries, wages and  bonus </v>
      </c>
    </row>
    <row r="1164" spans="1:8" hidden="1">
      <c r="A1164" s="62" t="s">
        <v>847</v>
      </c>
      <c r="B1164" s="73"/>
      <c r="C1164" s="73">
        <v>390241</v>
      </c>
      <c r="D1164" s="73"/>
      <c r="E1164" s="73">
        <v>390241</v>
      </c>
      <c r="F1164" s="42">
        <v>0</v>
      </c>
      <c r="G1164" s="42">
        <f t="shared" si="18"/>
        <v>390241</v>
      </c>
      <c r="H1164" s="2" t="str">
        <f>VLOOKUP(A1164,'TB JUNE'!A:H,8,0)</f>
        <v xml:space="preserve">Salaries, wages and  bonus </v>
      </c>
    </row>
    <row r="1165" spans="1:8" hidden="1">
      <c r="A1165" s="62" t="s">
        <v>848</v>
      </c>
      <c r="B1165" s="73"/>
      <c r="C1165" s="73">
        <v>94914</v>
      </c>
      <c r="D1165" s="73"/>
      <c r="E1165" s="73">
        <v>94914</v>
      </c>
      <c r="F1165" s="42">
        <v>0</v>
      </c>
      <c r="G1165" s="42">
        <f t="shared" si="18"/>
        <v>94914</v>
      </c>
      <c r="H1165" s="2" t="str">
        <f>VLOOKUP(A1165,'TB JUNE'!A:H,8,0)</f>
        <v xml:space="preserve">Salaries, wages and  bonus </v>
      </c>
    </row>
    <row r="1166" spans="1:8" hidden="1">
      <c r="A1166" s="62" t="s">
        <v>849</v>
      </c>
      <c r="B1166" s="73"/>
      <c r="C1166" s="73">
        <v>284475</v>
      </c>
      <c r="D1166" s="73"/>
      <c r="E1166" s="73">
        <v>284475</v>
      </c>
      <c r="F1166" s="42">
        <v>0</v>
      </c>
      <c r="G1166" s="42">
        <f t="shared" si="18"/>
        <v>284475</v>
      </c>
      <c r="H1166" s="2" t="str">
        <f>VLOOKUP(A1166,'TB JUNE'!A:H,8,0)</f>
        <v xml:space="preserve">Salaries, wages and  bonus </v>
      </c>
    </row>
    <row r="1167" spans="1:8" hidden="1">
      <c r="A1167" s="62" t="s">
        <v>850</v>
      </c>
      <c r="B1167" s="73"/>
      <c r="C1167" s="73">
        <v>1237185</v>
      </c>
      <c r="D1167" s="73"/>
      <c r="E1167" s="73">
        <v>1237185</v>
      </c>
      <c r="F1167" s="42">
        <v>0</v>
      </c>
      <c r="G1167" s="42">
        <f t="shared" si="18"/>
        <v>1237185</v>
      </c>
      <c r="H1167" s="2" t="str">
        <f>VLOOKUP(A1167,'TB JUNE'!A:H,8,0)</f>
        <v xml:space="preserve">Salaries, wages and  bonus </v>
      </c>
    </row>
    <row r="1168" spans="1:8" hidden="1">
      <c r="A1168" s="62" t="s">
        <v>851</v>
      </c>
      <c r="B1168" s="73"/>
      <c r="C1168" s="73">
        <v>232160</v>
      </c>
      <c r="D1168" s="73"/>
      <c r="E1168" s="73">
        <v>232160</v>
      </c>
      <c r="F1168" s="42">
        <v>0</v>
      </c>
      <c r="G1168" s="42">
        <f t="shared" si="18"/>
        <v>232160</v>
      </c>
      <c r="H1168" s="2" t="str">
        <f>VLOOKUP(A1168,'TB JUNE'!A:H,8,0)</f>
        <v xml:space="preserve">Salaries, wages and  bonus </v>
      </c>
    </row>
    <row r="1169" spans="1:8" hidden="1">
      <c r="A1169" s="62" t="s">
        <v>852</v>
      </c>
      <c r="B1169" s="73"/>
      <c r="C1169" s="73">
        <v>224901</v>
      </c>
      <c r="D1169" s="73"/>
      <c r="E1169" s="73">
        <v>224901</v>
      </c>
      <c r="F1169" s="42">
        <v>0</v>
      </c>
      <c r="G1169" s="42">
        <f t="shared" si="18"/>
        <v>224901</v>
      </c>
      <c r="H1169" s="2" t="str">
        <f>VLOOKUP(A1169,'TB JUNE'!A:H,8,0)</f>
        <v xml:space="preserve">Salaries, wages and  bonus </v>
      </c>
    </row>
    <row r="1170" spans="1:8" hidden="1">
      <c r="A1170" s="62" t="s">
        <v>853</v>
      </c>
      <c r="B1170" s="73"/>
      <c r="C1170" s="73">
        <v>2233638</v>
      </c>
      <c r="D1170" s="73"/>
      <c r="E1170" s="73">
        <v>2233638</v>
      </c>
      <c r="F1170" s="42">
        <v>0</v>
      </c>
      <c r="G1170" s="42">
        <f t="shared" si="18"/>
        <v>2233638</v>
      </c>
      <c r="H1170" s="2" t="str">
        <f>VLOOKUP(A1170,'TB JUNE'!A:H,8,0)</f>
        <v xml:space="preserve">Salaries, wages and  bonus </v>
      </c>
    </row>
    <row r="1171" spans="1:8" hidden="1">
      <c r="A1171" s="62" t="s">
        <v>839</v>
      </c>
      <c r="B1171" s="73"/>
      <c r="C1171" s="73">
        <v>206600</v>
      </c>
      <c r="D1171" s="73"/>
      <c r="E1171" s="73">
        <v>206600</v>
      </c>
      <c r="F1171" s="42">
        <v>0</v>
      </c>
      <c r="G1171" s="42">
        <f t="shared" si="18"/>
        <v>206600</v>
      </c>
      <c r="H1171" s="2" t="str">
        <f>VLOOKUP(A1171,'TB JUNE'!A:H,8,0)</f>
        <v xml:space="preserve">Salaries, wages and  bonus </v>
      </c>
    </row>
    <row r="1172" spans="1:8" hidden="1">
      <c r="A1172" s="62" t="s">
        <v>840</v>
      </c>
      <c r="B1172" s="73"/>
      <c r="C1172" s="73">
        <v>32445</v>
      </c>
      <c r="D1172" s="73"/>
      <c r="E1172" s="73">
        <v>32445</v>
      </c>
      <c r="F1172" s="42">
        <v>0</v>
      </c>
      <c r="G1172" s="42">
        <f t="shared" si="18"/>
        <v>32445</v>
      </c>
      <c r="H1172" s="2" t="str">
        <f>VLOOKUP(A1172,'TB JUNE'!A:H,8,0)</f>
        <v xml:space="preserve">Salaries, wages and  bonus </v>
      </c>
    </row>
    <row r="1173" spans="1:8" hidden="1">
      <c r="A1173" s="62" t="s">
        <v>817</v>
      </c>
      <c r="B1173" s="73"/>
      <c r="C1173" s="73">
        <v>3287125</v>
      </c>
      <c r="D1173" s="73"/>
      <c r="E1173" s="73">
        <v>3287125</v>
      </c>
      <c r="F1173" s="42">
        <v>0</v>
      </c>
      <c r="G1173" s="42">
        <f t="shared" si="18"/>
        <v>3287125</v>
      </c>
      <c r="H1173" s="2" t="str">
        <f>VLOOKUP(A1173,'TB JUNE'!A:H,8,0)</f>
        <v xml:space="preserve">Salaries, wages and  bonus </v>
      </c>
    </row>
    <row r="1174" spans="1:8" hidden="1">
      <c r="A1174" s="62" t="s">
        <v>801</v>
      </c>
      <c r="B1174" s="73"/>
      <c r="C1174" s="73">
        <v>47020</v>
      </c>
      <c r="D1174" s="73"/>
      <c r="E1174" s="73">
        <v>47020</v>
      </c>
      <c r="F1174" s="42">
        <v>0</v>
      </c>
      <c r="G1174" s="42">
        <f t="shared" si="18"/>
        <v>47020</v>
      </c>
      <c r="H1174" s="2" t="str">
        <f>VLOOKUP(A1174,'TB JUNE'!A:H,8,0)</f>
        <v xml:space="preserve">Salaries, wages and  bonus </v>
      </c>
    </row>
    <row r="1175" spans="1:8" hidden="1">
      <c r="A1175" s="62" t="s">
        <v>779</v>
      </c>
      <c r="B1175" s="73"/>
      <c r="C1175" s="73"/>
      <c r="D1175" s="73">
        <v>289630</v>
      </c>
      <c r="E1175" s="73">
        <v>-289630</v>
      </c>
      <c r="F1175" s="42">
        <v>0</v>
      </c>
      <c r="G1175" s="42">
        <f t="shared" si="18"/>
        <v>-289630</v>
      </c>
      <c r="H1175" s="2" t="str">
        <f>VLOOKUP(A1175,'TB JUNE'!A:H,8,0)</f>
        <v xml:space="preserve">Salaries, wages and  bonus </v>
      </c>
    </row>
    <row r="1176" spans="1:8">
      <c r="A1176" s="62" t="s">
        <v>754</v>
      </c>
      <c r="B1176" s="73"/>
      <c r="C1176" s="73">
        <v>9076630</v>
      </c>
      <c r="D1176" s="73"/>
      <c r="E1176" s="73">
        <v>9076630</v>
      </c>
      <c r="F1176" s="82">
        <v>11158291</v>
      </c>
      <c r="G1176" s="42">
        <f t="shared" si="18"/>
        <v>20234921</v>
      </c>
      <c r="H1176" s="2" t="str">
        <f>VLOOKUP(A1176,'TB JUNE'!A:H,8,0)</f>
        <v xml:space="preserve">Salaries, wages and  bonus </v>
      </c>
    </row>
    <row r="1177" spans="1:8" hidden="1">
      <c r="A1177" s="62" t="s">
        <v>787</v>
      </c>
      <c r="B1177" s="73"/>
      <c r="C1177" s="73">
        <v>74956</v>
      </c>
      <c r="D1177" s="73"/>
      <c r="E1177" s="73">
        <v>74956</v>
      </c>
      <c r="F1177" s="42">
        <v>0</v>
      </c>
      <c r="G1177" s="42">
        <f t="shared" si="18"/>
        <v>74956</v>
      </c>
      <c r="H1177" s="2" t="str">
        <f>VLOOKUP(A1177,'TB JUNE'!A:H,8,0)</f>
        <v>Staff welfare expenses</v>
      </c>
    </row>
    <row r="1178" spans="1:8" hidden="1">
      <c r="A1178" s="62" t="s">
        <v>822</v>
      </c>
      <c r="B1178" s="73"/>
      <c r="C1178" s="73">
        <v>1101256.2</v>
      </c>
      <c r="D1178" s="73">
        <v>237520</v>
      </c>
      <c r="E1178" s="73">
        <v>863736.2</v>
      </c>
      <c r="F1178" s="42">
        <v>0</v>
      </c>
      <c r="G1178" s="42">
        <f t="shared" si="18"/>
        <v>863736.2</v>
      </c>
      <c r="H1178" s="2" t="str">
        <f>VLOOKUP(A1178,'TB JUNE'!A:H,8,0)</f>
        <v>Staff welfare expenses</v>
      </c>
    </row>
    <row r="1179" spans="1:8" hidden="1">
      <c r="A1179" s="62" t="s">
        <v>1155</v>
      </c>
      <c r="B1179" s="73"/>
      <c r="C1179" s="73">
        <v>7920</v>
      </c>
      <c r="D1179" s="73"/>
      <c r="E1179" s="73">
        <v>7920</v>
      </c>
      <c r="F1179" s="42">
        <v>0</v>
      </c>
      <c r="G1179" s="42">
        <f t="shared" si="18"/>
        <v>7920</v>
      </c>
      <c r="H1179" s="8" t="s">
        <v>52</v>
      </c>
    </row>
    <row r="1180" spans="1:8" hidden="1">
      <c r="A1180" s="62" t="s">
        <v>804</v>
      </c>
      <c r="B1180" s="73"/>
      <c r="C1180" s="73">
        <v>35458</v>
      </c>
      <c r="D1180" s="73"/>
      <c r="E1180" s="73">
        <v>35458</v>
      </c>
      <c r="F1180" s="42">
        <v>0</v>
      </c>
      <c r="G1180" s="42">
        <f t="shared" si="18"/>
        <v>35458</v>
      </c>
      <c r="H1180" s="2" t="str">
        <f>VLOOKUP(A1180,'TB JUNE'!A:H,8,0)</f>
        <v>Staff welfare expenses</v>
      </c>
    </row>
    <row r="1181" spans="1:8" hidden="1">
      <c r="A1181" s="62" t="s">
        <v>835</v>
      </c>
      <c r="B1181" s="73"/>
      <c r="C1181" s="73">
        <v>240097.53</v>
      </c>
      <c r="D1181" s="73"/>
      <c r="E1181" s="73">
        <v>240097.53</v>
      </c>
      <c r="F1181" s="42">
        <v>0</v>
      </c>
      <c r="G1181" s="42">
        <f t="shared" si="18"/>
        <v>240097.53</v>
      </c>
      <c r="H1181" s="2" t="str">
        <f>VLOOKUP(A1181,'TB JUNE'!A:H,8,0)</f>
        <v>Not Applicable</v>
      </c>
    </row>
    <row r="1182" spans="1:8" hidden="1">
      <c r="A1182" s="62" t="s">
        <v>838</v>
      </c>
      <c r="B1182" s="73"/>
      <c r="C1182" s="73">
        <v>171054.39</v>
      </c>
      <c r="D1182" s="73"/>
      <c r="E1182" s="73">
        <v>171054.39</v>
      </c>
      <c r="F1182" s="42">
        <v>0</v>
      </c>
      <c r="G1182" s="42">
        <f t="shared" si="18"/>
        <v>171054.39</v>
      </c>
      <c r="H1182" s="2" t="str">
        <f>VLOOKUP(A1182,'TB JUNE'!A:H,8,0)</f>
        <v>Not Applicable</v>
      </c>
    </row>
    <row r="1183" spans="1:8" hidden="1">
      <c r="A1183" s="62" t="s">
        <v>831</v>
      </c>
      <c r="B1183" s="73"/>
      <c r="C1183" s="73">
        <v>59710.93</v>
      </c>
      <c r="D1183" s="73">
        <v>19862862.07</v>
      </c>
      <c r="E1183" s="73">
        <v>-19803151.140000001</v>
      </c>
      <c r="F1183" s="42">
        <v>0</v>
      </c>
      <c r="G1183" s="42">
        <f t="shared" si="18"/>
        <v>-19803151.140000001</v>
      </c>
      <c r="H1183" s="2" t="str">
        <f>VLOOKUP(A1183,'TB JUNE'!A:H,8,0)</f>
        <v>Exchange Rate Difference</v>
      </c>
    </row>
    <row r="1184" spans="1:8" hidden="1">
      <c r="A1184" s="62" t="s">
        <v>798</v>
      </c>
      <c r="B1184" s="73"/>
      <c r="C1184" s="73">
        <v>110157.58</v>
      </c>
      <c r="D1184" s="73"/>
      <c r="E1184" s="73">
        <v>110157.58</v>
      </c>
      <c r="F1184" s="42">
        <v>0</v>
      </c>
      <c r="G1184" s="42">
        <f t="shared" si="18"/>
        <v>110157.58</v>
      </c>
      <c r="H1184" s="2" t="str">
        <f>VLOOKUP(A1184,'TB JUNE'!A:H,8,0)</f>
        <v>Not Applicable</v>
      </c>
    </row>
    <row r="1185" spans="1:8" hidden="1">
      <c r="A1185" s="62" t="s">
        <v>807</v>
      </c>
      <c r="B1185" s="73"/>
      <c r="C1185" s="73">
        <v>1553964.38</v>
      </c>
      <c r="D1185" s="73"/>
      <c r="E1185" s="73">
        <v>1553964.38</v>
      </c>
      <c r="F1185" s="42">
        <v>0</v>
      </c>
      <c r="G1185" s="42">
        <f t="shared" si="18"/>
        <v>1553964.38</v>
      </c>
      <c r="H1185" s="2" t="str">
        <f>VLOOKUP(A1185,'TB JUNE'!A:H,8,0)</f>
        <v>Not Applicable</v>
      </c>
    </row>
    <row r="1186" spans="1:8" hidden="1">
      <c r="A1186" s="62" t="s">
        <v>796</v>
      </c>
      <c r="B1186" s="73"/>
      <c r="C1186" s="73">
        <v>2932514.76</v>
      </c>
      <c r="D1186" s="73">
        <v>1294143.1299999999</v>
      </c>
      <c r="E1186" s="73">
        <v>1638371.63</v>
      </c>
      <c r="F1186" s="42">
        <v>0</v>
      </c>
      <c r="G1186" s="42">
        <f t="shared" si="18"/>
        <v>1638371.63</v>
      </c>
      <c r="H1186" s="2" t="str">
        <f>VLOOKUP(A1186,'TB JUNE'!A:H,8,0)</f>
        <v>Not Applicable</v>
      </c>
    </row>
    <row r="1187" spans="1:8" hidden="1">
      <c r="A1187" s="62" t="s">
        <v>797</v>
      </c>
      <c r="B1187" s="73"/>
      <c r="C1187" s="73">
        <v>235378.21</v>
      </c>
      <c r="D1187" s="73"/>
      <c r="E1187" s="73">
        <v>235378.21</v>
      </c>
      <c r="F1187" s="42">
        <v>0</v>
      </c>
      <c r="G1187" s="42">
        <f t="shared" si="18"/>
        <v>235378.21</v>
      </c>
      <c r="H1187" s="2" t="str">
        <f>VLOOKUP(A1187,'TB JUNE'!A:H,8,0)</f>
        <v>Other Administrative Expenses</v>
      </c>
    </row>
    <row r="1188" spans="1:8" hidden="1">
      <c r="A1188" s="62" t="s">
        <v>1588</v>
      </c>
      <c r="B1188" s="73"/>
      <c r="C1188" s="73">
        <v>600</v>
      </c>
      <c r="D1188" s="73"/>
      <c r="E1188" s="73">
        <v>600</v>
      </c>
      <c r="F1188" s="42">
        <v>0</v>
      </c>
      <c r="G1188" s="42">
        <f t="shared" si="18"/>
        <v>600</v>
      </c>
      <c r="H1188" s="2" t="str">
        <f>VLOOKUP(A1188,'TB JUNE'!A:H,8,0)</f>
        <v>Not Applicable</v>
      </c>
    </row>
    <row r="1189" spans="1:8" hidden="1">
      <c r="A1189" s="62" t="s">
        <v>795</v>
      </c>
      <c r="B1189" s="73"/>
      <c r="C1189" s="73">
        <v>420000</v>
      </c>
      <c r="D1189" s="73"/>
      <c r="E1189" s="73">
        <v>420000</v>
      </c>
      <c r="F1189" s="42">
        <v>0</v>
      </c>
      <c r="G1189" s="42">
        <f t="shared" si="18"/>
        <v>420000</v>
      </c>
      <c r="H1189" s="8" t="s">
        <v>71</v>
      </c>
    </row>
    <row r="1190" spans="1:8" hidden="1">
      <c r="A1190" s="62" t="s">
        <v>802</v>
      </c>
      <c r="B1190" s="73"/>
      <c r="C1190" s="73">
        <v>2200</v>
      </c>
      <c r="D1190" s="73"/>
      <c r="E1190" s="73">
        <v>2200</v>
      </c>
      <c r="F1190" s="42">
        <v>0</v>
      </c>
      <c r="G1190" s="42">
        <f t="shared" si="18"/>
        <v>2200</v>
      </c>
      <c r="H1190" s="2" t="str">
        <f>VLOOKUP(A1190,'TB JUNE'!A:H,8,0)</f>
        <v>Other Administrative Expenses</v>
      </c>
    </row>
    <row r="1191" spans="1:8" hidden="1">
      <c r="A1191" s="62" t="s">
        <v>775</v>
      </c>
      <c r="B1191" s="73"/>
      <c r="C1191" s="73">
        <v>309291.64</v>
      </c>
      <c r="D1191" s="73"/>
      <c r="E1191" s="73">
        <v>309291.64</v>
      </c>
      <c r="F1191" s="42">
        <v>0</v>
      </c>
      <c r="G1191" s="42">
        <f t="shared" si="18"/>
        <v>309291.64</v>
      </c>
      <c r="H1191" s="2" t="str">
        <f>VLOOKUP(A1191,'TB JUNE'!A:H,8,0)</f>
        <v>Other Administrative Expenses</v>
      </c>
    </row>
    <row r="1192" spans="1:8" hidden="1">
      <c r="A1192" s="62" t="s">
        <v>834</v>
      </c>
      <c r="B1192" s="73"/>
      <c r="C1192" s="73">
        <v>2366.94</v>
      </c>
      <c r="D1192" s="73">
        <v>204507</v>
      </c>
      <c r="E1192" s="73">
        <v>-202140.06</v>
      </c>
      <c r="F1192" s="42">
        <v>0</v>
      </c>
      <c r="G1192" s="42">
        <f t="shared" si="18"/>
        <v>-202140.06</v>
      </c>
      <c r="H1192" s="2" t="str">
        <f>VLOOKUP(A1192,'TB JUNE'!A:H,8,0)</f>
        <v>Other Administrative Expenses</v>
      </c>
    </row>
    <row r="1193" spans="1:8" hidden="1">
      <c r="A1193" s="62" t="s">
        <v>824</v>
      </c>
      <c r="B1193" s="73"/>
      <c r="C1193" s="73">
        <v>1992793.6</v>
      </c>
      <c r="D1193" s="73">
        <v>1062</v>
      </c>
      <c r="E1193" s="73">
        <v>1991731.6</v>
      </c>
      <c r="F1193" s="42">
        <v>0</v>
      </c>
      <c r="G1193" s="42">
        <f t="shared" si="18"/>
        <v>1991731.6</v>
      </c>
      <c r="H1193" s="2" t="str">
        <f>VLOOKUP(A1193,'TB JUNE'!A:H,8,0)</f>
        <v>Freight Outward and C &amp; F Charges</v>
      </c>
    </row>
    <row r="1194" spans="1:8" hidden="1">
      <c r="A1194" s="62" t="s">
        <v>1079</v>
      </c>
      <c r="B1194" s="73"/>
      <c r="C1194" s="73">
        <v>41999.5</v>
      </c>
      <c r="D1194" s="73"/>
      <c r="E1194" s="73">
        <v>41999.5</v>
      </c>
      <c r="F1194" s="42">
        <v>0</v>
      </c>
      <c r="G1194" s="42">
        <f t="shared" si="18"/>
        <v>41999.5</v>
      </c>
      <c r="H1194" s="2" t="str">
        <f>VLOOKUP(A1194,'TB JUNE'!A:H,8,0)</f>
        <v>Freight Outward and C &amp; F Charges</v>
      </c>
    </row>
    <row r="1195" spans="1:8" hidden="1">
      <c r="A1195" s="62" t="s">
        <v>829</v>
      </c>
      <c r="B1195" s="73"/>
      <c r="C1195" s="73">
        <v>3563432.86</v>
      </c>
      <c r="D1195" s="73">
        <v>10.53</v>
      </c>
      <c r="E1195" s="73">
        <v>3563422.33</v>
      </c>
      <c r="F1195" s="42">
        <v>0</v>
      </c>
      <c r="G1195" s="42">
        <f t="shared" si="18"/>
        <v>3563422.33</v>
      </c>
      <c r="H1195" s="2" t="str">
        <f>VLOOKUP(A1195,'TB JUNE'!A:H,8,0)</f>
        <v>Sale of finished goods</v>
      </c>
    </row>
    <row r="1196" spans="1:8" hidden="1">
      <c r="A1196" s="62" t="s">
        <v>933</v>
      </c>
      <c r="B1196" s="73"/>
      <c r="C1196" s="73">
        <v>14568.23</v>
      </c>
      <c r="D1196" s="73">
        <v>4248</v>
      </c>
      <c r="E1196" s="73">
        <v>10320.23</v>
      </c>
      <c r="F1196" s="42">
        <v>0</v>
      </c>
      <c r="G1196" s="42">
        <f t="shared" si="18"/>
        <v>10320.23</v>
      </c>
      <c r="H1196" s="2" t="str">
        <f>VLOOKUP(A1196,'TB JUNE'!A:H,8,0)</f>
        <v>Other Administrative Expenses</v>
      </c>
    </row>
    <row r="1197" spans="1:8">
      <c r="A1197" s="62" t="s">
        <v>810</v>
      </c>
      <c r="B1197" s="73"/>
      <c r="C1197" s="73">
        <v>300415.5</v>
      </c>
      <c r="D1197" s="73">
        <v>9221911.3499999996</v>
      </c>
      <c r="E1197" s="73">
        <v>-8921495.8499999996</v>
      </c>
      <c r="F1197" s="82">
        <v>1000000</v>
      </c>
      <c r="G1197" s="42">
        <f t="shared" si="18"/>
        <v>-7921495.8499999996</v>
      </c>
      <c r="H1197" s="2" t="str">
        <f>VLOOKUP(A1197,'TB JUNE'!A:H,8,0)</f>
        <v>Freight Outward and C &amp; F Charges</v>
      </c>
    </row>
    <row r="1198" spans="1:8">
      <c r="A1198" s="62" t="s">
        <v>811</v>
      </c>
      <c r="B1198" s="73"/>
      <c r="C1198" s="73">
        <v>10510</v>
      </c>
      <c r="D1198" s="73"/>
      <c r="E1198" s="73">
        <v>10510</v>
      </c>
      <c r="F1198" s="42">
        <v>500000</v>
      </c>
      <c r="G1198" s="42">
        <f t="shared" si="18"/>
        <v>510510</v>
      </c>
      <c r="H1198" s="2" t="str">
        <f>VLOOKUP(A1198,'TB JUNE'!A:H,8,0)</f>
        <v>Freight Outward and C &amp; F Charges</v>
      </c>
    </row>
    <row r="1199" spans="1:8">
      <c r="A1199" s="62" t="s">
        <v>812</v>
      </c>
      <c r="B1199" s="73"/>
      <c r="C1199" s="73">
        <v>8424271.1099999994</v>
      </c>
      <c r="D1199" s="73">
        <v>80261</v>
      </c>
      <c r="E1199" s="73">
        <v>8344010.1100000003</v>
      </c>
      <c r="F1199" s="42">
        <v>500000</v>
      </c>
      <c r="G1199" s="42">
        <f t="shared" si="18"/>
        <v>8844010.1099999994</v>
      </c>
      <c r="H1199" s="2" t="str">
        <f>VLOOKUP(A1199,'TB JUNE'!A:H,8,0)</f>
        <v>Freight Outward and C &amp; F Charges</v>
      </c>
    </row>
    <row r="1200" spans="1:8" hidden="1">
      <c r="A1200" s="62" t="s">
        <v>813</v>
      </c>
      <c r="B1200" s="73"/>
      <c r="C1200" s="73">
        <v>1563900</v>
      </c>
      <c r="D1200" s="73">
        <v>114000</v>
      </c>
      <c r="E1200" s="73">
        <v>1449900</v>
      </c>
      <c r="F1200" s="42">
        <v>0</v>
      </c>
      <c r="G1200" s="42">
        <f t="shared" si="18"/>
        <v>1449900</v>
      </c>
      <c r="H1200" s="2" t="str">
        <f>VLOOKUP(A1200,'TB JUNE'!A:H,8,0)</f>
        <v>Freight Outward and C &amp; F Charges</v>
      </c>
    </row>
    <row r="1201" spans="1:8" hidden="1">
      <c r="A1201" s="62" t="s">
        <v>814</v>
      </c>
      <c r="B1201" s="73"/>
      <c r="C1201" s="73">
        <v>30800</v>
      </c>
      <c r="D1201" s="73"/>
      <c r="E1201" s="73">
        <v>30800</v>
      </c>
      <c r="F1201" s="42">
        <v>0</v>
      </c>
      <c r="G1201" s="42">
        <f t="shared" si="18"/>
        <v>30800</v>
      </c>
      <c r="H1201" s="2" t="str">
        <f>VLOOKUP(A1201,'TB JUNE'!A:H,8,0)</f>
        <v>Other Administrative Expenses</v>
      </c>
    </row>
    <row r="1202" spans="1:8" hidden="1">
      <c r="A1202" s="62" t="s">
        <v>1541</v>
      </c>
      <c r="B1202" s="73"/>
      <c r="C1202" s="73">
        <v>167909.91</v>
      </c>
      <c r="D1202" s="73"/>
      <c r="E1202" s="73">
        <v>167909.91</v>
      </c>
      <c r="F1202" s="42">
        <v>0</v>
      </c>
      <c r="G1202" s="42">
        <f t="shared" si="18"/>
        <v>167909.91</v>
      </c>
      <c r="H1202" s="2" t="str">
        <f>VLOOKUP(A1202,'TB JUNE'!A:H,8,0)</f>
        <v>Other Administrative Expenses</v>
      </c>
    </row>
    <row r="1203" spans="1:8" hidden="1">
      <c r="A1203" s="62" t="s">
        <v>794</v>
      </c>
      <c r="B1203" s="73"/>
      <c r="C1203" s="73"/>
      <c r="D1203" s="73">
        <v>39200.230000000003</v>
      </c>
      <c r="E1203" s="73">
        <v>-39200.230000000003</v>
      </c>
      <c r="F1203" s="42">
        <v>0</v>
      </c>
      <c r="G1203" s="42">
        <f t="shared" si="18"/>
        <v>-39200.230000000003</v>
      </c>
      <c r="H1203" s="2" t="str">
        <f>VLOOKUP(A1203,'TB JUNE'!A:H,8,0)</f>
        <v>Insurance</v>
      </c>
    </row>
    <row r="1204" spans="1:8" hidden="1">
      <c r="A1204" s="62" t="s">
        <v>854</v>
      </c>
      <c r="B1204" s="73">
        <v>-737698452.02999997</v>
      </c>
      <c r="C1204" s="73"/>
      <c r="D1204" s="73">
        <v>0.05</v>
      </c>
      <c r="E1204" s="73">
        <v>-737698452.08000004</v>
      </c>
      <c r="F1204" s="42">
        <v>0</v>
      </c>
      <c r="G1204" s="42">
        <f t="shared" si="18"/>
        <v>-737698452.08000004</v>
      </c>
      <c r="H1204" s="2" t="str">
        <f>VLOOKUP(A1204,'TB JUNE'!A:H,8,0)</f>
        <v>Not Applicable</v>
      </c>
    </row>
    <row r="1205" spans="1:8">
      <c r="A1205" s="79" t="s">
        <v>1495</v>
      </c>
      <c r="B1205" s="105">
        <f>SUBTOTAL(9,B5:B1204)</f>
        <v>0</v>
      </c>
      <c r="C1205" s="105">
        <f t="shared" ref="C1205:E1205" si="19">SUBTOTAL(9,C5:C1204)</f>
        <v>43891852.909999996</v>
      </c>
      <c r="D1205" s="105">
        <f t="shared" si="19"/>
        <v>9302172.3499999996</v>
      </c>
      <c r="E1205" s="105">
        <f t="shared" si="19"/>
        <v>34589680.559999995</v>
      </c>
      <c r="F1205" s="42">
        <v>0</v>
      </c>
      <c r="G1205" s="42">
        <f t="shared" si="18"/>
        <v>34589680.559999995</v>
      </c>
      <c r="H1205" s="2"/>
    </row>
    <row r="1210" spans="1:8">
      <c r="G1210" s="47"/>
    </row>
    <row r="1212" spans="1:8">
      <c r="G1212" s="47"/>
    </row>
  </sheetData>
  <autoFilter ref="A4:H1204">
    <filterColumn colId="5">
      <filters>
        <filter val="11,158,291"/>
        <filter val="11,297,259"/>
        <filter val="2,000,000"/>
        <filter val="229,451"/>
        <filter val="310,000"/>
        <filter val="500,000"/>
        <filter val="90,972"/>
      </filters>
    </filterColumn>
  </autoFilter>
  <mergeCells count="3">
    <mergeCell ref="B1:E1"/>
    <mergeCell ref="B2:E2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233"/>
  <sheetViews>
    <sheetView workbookViewId="0">
      <selection activeCell="C9" sqref="C9"/>
    </sheetView>
  </sheetViews>
  <sheetFormatPr defaultRowHeight="12.75"/>
  <cols>
    <col min="1" max="1" width="31.5703125" style="1" customWidth="1"/>
    <col min="2" max="2" width="15" style="77" customWidth="1"/>
    <col min="3" max="3" width="14.7109375" style="77" customWidth="1"/>
    <col min="4" max="4" width="15.28515625" style="77" customWidth="1"/>
    <col min="5" max="5" width="16" style="77" customWidth="1"/>
    <col min="6" max="6" width="11.85546875" style="1" customWidth="1"/>
    <col min="7" max="7" width="13.5703125" style="1" customWidth="1"/>
    <col min="8" max="8" width="42.85546875" style="1" bestFit="1" customWidth="1"/>
    <col min="9" max="16384" width="9.140625" style="1"/>
  </cols>
  <sheetData>
    <row r="3" spans="1:8">
      <c r="A3" s="2"/>
      <c r="B3" s="112" t="s">
        <v>1390</v>
      </c>
      <c r="C3" s="112"/>
      <c r="D3" s="112"/>
      <c r="E3" s="112"/>
    </row>
    <row r="4" spans="1:8">
      <c r="A4" s="79"/>
      <c r="B4" s="112" t="s">
        <v>1634</v>
      </c>
      <c r="C4" s="112"/>
      <c r="D4" s="112"/>
      <c r="E4" s="112"/>
    </row>
    <row r="5" spans="1:8">
      <c r="A5" s="67" t="s">
        <v>82</v>
      </c>
      <c r="B5" s="71" t="s">
        <v>1392</v>
      </c>
      <c r="C5" s="107" t="s">
        <v>1395</v>
      </c>
      <c r="D5" s="107" t="s">
        <v>1396</v>
      </c>
      <c r="E5" s="71" t="s">
        <v>1394</v>
      </c>
      <c r="F5" s="38" t="s">
        <v>1496</v>
      </c>
      <c r="G5" s="44" t="s">
        <v>1497</v>
      </c>
      <c r="H5" s="81" t="s">
        <v>1498</v>
      </c>
    </row>
    <row r="6" spans="1:8">
      <c r="A6" s="62" t="s">
        <v>153</v>
      </c>
      <c r="B6" s="78"/>
      <c r="C6" s="78">
        <v>2951082</v>
      </c>
      <c r="D6" s="78"/>
      <c r="E6" s="78">
        <v>2951082</v>
      </c>
      <c r="F6" s="42">
        <v>0</v>
      </c>
      <c r="G6" s="42">
        <f>E6+F6</f>
        <v>2951082</v>
      </c>
      <c r="H6" s="2" t="str">
        <f>VLOOKUP(A6,'TB JULY'!A:H,8,0)</f>
        <v>Not Applicable</v>
      </c>
    </row>
    <row r="7" spans="1:8">
      <c r="A7" s="62" t="s">
        <v>329</v>
      </c>
      <c r="B7" s="78">
        <v>127789.26</v>
      </c>
      <c r="C7" s="78"/>
      <c r="D7" s="78"/>
      <c r="E7" s="78">
        <v>127789.26</v>
      </c>
      <c r="F7" s="42">
        <v>0</v>
      </c>
      <c r="G7" s="42">
        <f t="shared" ref="G7:G70" si="0">E7+F7</f>
        <v>127789.26</v>
      </c>
      <c r="H7" s="2" t="str">
        <f>VLOOKUP(A7,'TB JULY'!A:H,8,0)</f>
        <v>Not Applicable</v>
      </c>
    </row>
    <row r="8" spans="1:8">
      <c r="A8" s="62" t="s">
        <v>330</v>
      </c>
      <c r="B8" s="78">
        <v>650</v>
      </c>
      <c r="C8" s="78"/>
      <c r="D8" s="78"/>
      <c r="E8" s="78">
        <v>650</v>
      </c>
      <c r="F8" s="42">
        <v>0</v>
      </c>
      <c r="G8" s="42">
        <f t="shared" si="0"/>
        <v>650</v>
      </c>
      <c r="H8" s="2" t="str">
        <f>VLOOKUP(A8,'TB JULY'!A:H,8,0)</f>
        <v>Not Applicable</v>
      </c>
    </row>
    <row r="9" spans="1:8">
      <c r="A9" s="62" t="s">
        <v>331</v>
      </c>
      <c r="B9" s="78">
        <v>6228</v>
      </c>
      <c r="C9" s="78"/>
      <c r="D9" s="78"/>
      <c r="E9" s="78">
        <v>6228</v>
      </c>
      <c r="F9" s="42">
        <v>0</v>
      </c>
      <c r="G9" s="42">
        <f t="shared" si="0"/>
        <v>6228</v>
      </c>
      <c r="H9" s="2" t="str">
        <f>VLOOKUP(A9,'TB JULY'!A:H,8,0)</f>
        <v>Not Applicable</v>
      </c>
    </row>
    <row r="10" spans="1:8">
      <c r="A10" s="62" t="s">
        <v>332</v>
      </c>
      <c r="B10" s="78">
        <v>473797.97</v>
      </c>
      <c r="C10" s="78"/>
      <c r="D10" s="78"/>
      <c r="E10" s="78">
        <v>473797.97</v>
      </c>
      <c r="F10" s="42">
        <v>0</v>
      </c>
      <c r="G10" s="42">
        <f t="shared" si="0"/>
        <v>473797.97</v>
      </c>
      <c r="H10" s="2" t="str">
        <f>VLOOKUP(A10,'TB JULY'!A:H,8,0)</f>
        <v>Not Applicable</v>
      </c>
    </row>
    <row r="11" spans="1:8">
      <c r="A11" s="62" t="s">
        <v>333</v>
      </c>
      <c r="B11" s="78">
        <v>196345.38</v>
      </c>
      <c r="C11" s="78"/>
      <c r="D11" s="78"/>
      <c r="E11" s="78">
        <v>196345.38</v>
      </c>
      <c r="F11" s="42">
        <v>0</v>
      </c>
      <c r="G11" s="42">
        <f t="shared" si="0"/>
        <v>196345.38</v>
      </c>
      <c r="H11" s="2" t="str">
        <f>VLOOKUP(A11,'TB JULY'!A:H,8,0)</f>
        <v>Not Applicable</v>
      </c>
    </row>
    <row r="12" spans="1:8">
      <c r="A12" s="62" t="s">
        <v>334</v>
      </c>
      <c r="B12" s="78">
        <v>8936.56</v>
      </c>
      <c r="C12" s="78"/>
      <c r="D12" s="78"/>
      <c r="E12" s="78">
        <v>8936.56</v>
      </c>
      <c r="F12" s="42">
        <v>0</v>
      </c>
      <c r="G12" s="42">
        <f t="shared" si="0"/>
        <v>8936.56</v>
      </c>
      <c r="H12" s="2" t="str">
        <f>VLOOKUP(A12,'TB JULY'!A:H,8,0)</f>
        <v>Not Applicable</v>
      </c>
    </row>
    <row r="13" spans="1:8">
      <c r="A13" s="62" t="s">
        <v>335</v>
      </c>
      <c r="B13" s="78">
        <v>8213.7099999999991</v>
      </c>
      <c r="C13" s="78"/>
      <c r="D13" s="78"/>
      <c r="E13" s="78">
        <v>8213.7099999999991</v>
      </c>
      <c r="F13" s="42">
        <v>0</v>
      </c>
      <c r="G13" s="42">
        <f t="shared" si="0"/>
        <v>8213.7099999999991</v>
      </c>
      <c r="H13" s="2" t="str">
        <f>VLOOKUP(A13,'TB JULY'!A:H,8,0)</f>
        <v>Not Applicable</v>
      </c>
    </row>
    <row r="14" spans="1:8">
      <c r="A14" s="62" t="s">
        <v>1130</v>
      </c>
      <c r="B14" s="78">
        <v>1806.82</v>
      </c>
      <c r="C14" s="78"/>
      <c r="D14" s="78"/>
      <c r="E14" s="78">
        <v>1806.82</v>
      </c>
      <c r="F14" s="42">
        <v>0</v>
      </c>
      <c r="G14" s="42">
        <f t="shared" si="0"/>
        <v>1806.82</v>
      </c>
      <c r="H14" s="2" t="str">
        <f>VLOOKUP(A14,'TB JULY'!A:H,8,0)</f>
        <v>Not Applicable</v>
      </c>
    </row>
    <row r="15" spans="1:8">
      <c r="A15" s="62" t="s">
        <v>1592</v>
      </c>
      <c r="B15" s="78"/>
      <c r="C15" s="78">
        <v>5474.76</v>
      </c>
      <c r="D15" s="78"/>
      <c r="E15" s="78">
        <v>5474.76</v>
      </c>
      <c r="F15" s="42">
        <v>0</v>
      </c>
      <c r="G15" s="42">
        <f t="shared" si="0"/>
        <v>5474.76</v>
      </c>
      <c r="H15" s="2" t="str">
        <f>VLOOKUP(A15,'TB JULY'!A:H,8,0)</f>
        <v>Not Applicable</v>
      </c>
    </row>
    <row r="16" spans="1:8">
      <c r="A16" s="62" t="s">
        <v>336</v>
      </c>
      <c r="B16" s="78">
        <v>681686</v>
      </c>
      <c r="C16" s="78"/>
      <c r="D16" s="78"/>
      <c r="E16" s="78">
        <v>681686</v>
      </c>
      <c r="F16" s="42">
        <v>0</v>
      </c>
      <c r="G16" s="42">
        <f t="shared" si="0"/>
        <v>681686</v>
      </c>
      <c r="H16" s="2" t="str">
        <f>VLOOKUP(A16,'TB JULY'!A:H,8,0)</f>
        <v>Not Applicable</v>
      </c>
    </row>
    <row r="17" spans="1:8">
      <c r="A17" s="62" t="s">
        <v>337</v>
      </c>
      <c r="B17" s="78">
        <v>157074.42000000001</v>
      </c>
      <c r="C17" s="78"/>
      <c r="D17" s="78"/>
      <c r="E17" s="78">
        <v>157074.42000000001</v>
      </c>
      <c r="F17" s="42">
        <v>0</v>
      </c>
      <c r="G17" s="42">
        <f t="shared" si="0"/>
        <v>157074.42000000001</v>
      </c>
      <c r="H17" s="2" t="str">
        <f>VLOOKUP(A17,'TB JULY'!A:H,8,0)</f>
        <v>Not Applicable</v>
      </c>
    </row>
    <row r="18" spans="1:8">
      <c r="A18" s="62" t="s">
        <v>338</v>
      </c>
      <c r="B18" s="78">
        <v>167632.97</v>
      </c>
      <c r="C18" s="78"/>
      <c r="D18" s="78"/>
      <c r="E18" s="78">
        <v>167632.97</v>
      </c>
      <c r="F18" s="42">
        <v>0</v>
      </c>
      <c r="G18" s="42">
        <f t="shared" si="0"/>
        <v>167632.97</v>
      </c>
      <c r="H18" s="2" t="str">
        <f>VLOOKUP(A18,'TB JULY'!A:H,8,0)</f>
        <v>Not Applicable</v>
      </c>
    </row>
    <row r="19" spans="1:8">
      <c r="A19" s="62" t="s">
        <v>339</v>
      </c>
      <c r="B19" s="78">
        <v>256416</v>
      </c>
      <c r="C19" s="78"/>
      <c r="D19" s="78"/>
      <c r="E19" s="78">
        <v>256416</v>
      </c>
      <c r="F19" s="42">
        <v>0</v>
      </c>
      <c r="G19" s="42">
        <f t="shared" si="0"/>
        <v>256416</v>
      </c>
      <c r="H19" s="2" t="str">
        <f>VLOOKUP(A19,'TB JULY'!A:H,8,0)</f>
        <v>Not Applicable</v>
      </c>
    </row>
    <row r="20" spans="1:8">
      <c r="A20" s="62" t="s">
        <v>340</v>
      </c>
      <c r="B20" s="78">
        <v>822958.41</v>
      </c>
      <c r="C20" s="78"/>
      <c r="D20" s="78"/>
      <c r="E20" s="78">
        <v>822958.41</v>
      </c>
      <c r="F20" s="42">
        <v>0</v>
      </c>
      <c r="G20" s="42">
        <f t="shared" si="0"/>
        <v>822958.41</v>
      </c>
      <c r="H20" s="2" t="str">
        <f>VLOOKUP(A20,'TB JULY'!A:H,8,0)</f>
        <v>Not Applicable</v>
      </c>
    </row>
    <row r="21" spans="1:8">
      <c r="A21" s="62" t="s">
        <v>341</v>
      </c>
      <c r="B21" s="78">
        <v>723178.82</v>
      </c>
      <c r="C21" s="78"/>
      <c r="D21" s="78"/>
      <c r="E21" s="78">
        <v>723178.82</v>
      </c>
      <c r="F21" s="42">
        <v>0</v>
      </c>
      <c r="G21" s="42">
        <f t="shared" si="0"/>
        <v>723178.82</v>
      </c>
      <c r="H21" s="2" t="str">
        <f>VLOOKUP(A21,'TB JULY'!A:H,8,0)</f>
        <v>Not Applicable</v>
      </c>
    </row>
    <row r="22" spans="1:8">
      <c r="A22" s="62" t="s">
        <v>905</v>
      </c>
      <c r="B22" s="78">
        <v>753208.69</v>
      </c>
      <c r="C22" s="78"/>
      <c r="D22" s="78"/>
      <c r="E22" s="78">
        <v>753208.69</v>
      </c>
      <c r="F22" s="42">
        <v>0</v>
      </c>
      <c r="G22" s="42">
        <f t="shared" si="0"/>
        <v>753208.69</v>
      </c>
      <c r="H22" s="2" t="str">
        <f>VLOOKUP(A22,'TB JULY'!A:H,8,0)</f>
        <v>Not Applicable</v>
      </c>
    </row>
    <row r="23" spans="1:8">
      <c r="A23" s="62" t="s">
        <v>1057</v>
      </c>
      <c r="B23" s="78">
        <v>2359808.65</v>
      </c>
      <c r="C23" s="78">
        <v>4194</v>
      </c>
      <c r="D23" s="78"/>
      <c r="E23" s="78">
        <v>2364002.65</v>
      </c>
      <c r="F23" s="42">
        <v>0</v>
      </c>
      <c r="G23" s="42">
        <f t="shared" si="0"/>
        <v>2364002.65</v>
      </c>
      <c r="H23" s="2" t="str">
        <f>VLOOKUP(A23,'TB JULY'!A:H,8,0)</f>
        <v>Not Applicable</v>
      </c>
    </row>
    <row r="24" spans="1:8">
      <c r="A24" s="62" t="s">
        <v>1397</v>
      </c>
      <c r="B24" s="78"/>
      <c r="C24" s="78">
        <v>1127199.22</v>
      </c>
      <c r="D24" s="78">
        <v>48.2</v>
      </c>
      <c r="E24" s="78">
        <v>1127151.02</v>
      </c>
      <c r="F24" s="42">
        <v>0</v>
      </c>
      <c r="G24" s="42">
        <f t="shared" si="0"/>
        <v>1127151.02</v>
      </c>
      <c r="H24" s="2" t="str">
        <f>VLOOKUP(A24,'TB JULY'!A:H,8,0)</f>
        <v>Not Applicable</v>
      </c>
    </row>
    <row r="25" spans="1:8">
      <c r="A25" s="62" t="s">
        <v>101</v>
      </c>
      <c r="B25" s="78">
        <v>-3371691962.54</v>
      </c>
      <c r="C25" s="78">
        <v>372960584.56999999</v>
      </c>
      <c r="D25" s="78">
        <v>596570393.5</v>
      </c>
      <c r="E25" s="78">
        <v>-3595301771.4699998</v>
      </c>
      <c r="F25" s="42">
        <v>0</v>
      </c>
      <c r="G25" s="42">
        <f t="shared" si="0"/>
        <v>-3595301771.4699998</v>
      </c>
      <c r="H25" s="2" t="str">
        <f>VLOOKUP(A25,'TB JULY'!A:H,8,0)</f>
        <v>Not Applicable</v>
      </c>
    </row>
    <row r="26" spans="1:8">
      <c r="A26" s="62" t="s">
        <v>102</v>
      </c>
      <c r="B26" s="78">
        <v>-33335574.710000001</v>
      </c>
      <c r="C26" s="78"/>
      <c r="D26" s="78"/>
      <c r="E26" s="78">
        <v>-33335574.710000001</v>
      </c>
      <c r="F26" s="42">
        <v>0</v>
      </c>
      <c r="G26" s="42">
        <f t="shared" si="0"/>
        <v>-33335574.710000001</v>
      </c>
      <c r="H26" s="2" t="str">
        <f>VLOOKUP(A26,'TB JULY'!A:H,8,0)</f>
        <v>Not Applicable</v>
      </c>
    </row>
    <row r="27" spans="1:8">
      <c r="A27" s="62" t="s">
        <v>103</v>
      </c>
      <c r="B27" s="78">
        <v>-973216365.96000004</v>
      </c>
      <c r="C27" s="78"/>
      <c r="D27" s="78"/>
      <c r="E27" s="78">
        <v>-973216365.96000004</v>
      </c>
      <c r="F27" s="42">
        <v>0</v>
      </c>
      <c r="G27" s="42">
        <f t="shared" si="0"/>
        <v>-973216365.96000004</v>
      </c>
      <c r="H27" s="2" t="str">
        <f>VLOOKUP(A27,'TB JULY'!A:H,8,0)</f>
        <v>Not Applicable</v>
      </c>
    </row>
    <row r="28" spans="1:8">
      <c r="A28" s="62" t="s">
        <v>104</v>
      </c>
      <c r="B28" s="78">
        <v>-141619453.02000001</v>
      </c>
      <c r="C28" s="78"/>
      <c r="D28" s="78"/>
      <c r="E28" s="78">
        <v>-141619453.02000001</v>
      </c>
      <c r="F28" s="42">
        <v>0</v>
      </c>
      <c r="G28" s="42">
        <f t="shared" si="0"/>
        <v>-141619453.02000001</v>
      </c>
      <c r="H28" s="2" t="str">
        <f>VLOOKUP(A28,'TB JULY'!A:H,8,0)</f>
        <v>Not Applicable</v>
      </c>
    </row>
    <row r="29" spans="1:8">
      <c r="A29" s="62" t="s">
        <v>105</v>
      </c>
      <c r="B29" s="78">
        <v>109261394.04000001</v>
      </c>
      <c r="C29" s="78">
        <v>22617750.949999999</v>
      </c>
      <c r="D29" s="78"/>
      <c r="E29" s="78">
        <v>131879144.98999999</v>
      </c>
      <c r="F29" s="42">
        <v>0</v>
      </c>
      <c r="G29" s="42">
        <f t="shared" si="0"/>
        <v>131879144.98999999</v>
      </c>
      <c r="H29" s="2" t="str">
        <f>VLOOKUP(A29,'TB JULY'!A:H,8,0)</f>
        <v>Not Applicable</v>
      </c>
    </row>
    <row r="30" spans="1:8">
      <c r="A30" s="62" t="s">
        <v>106</v>
      </c>
      <c r="B30" s="78">
        <v>417606643.33999997</v>
      </c>
      <c r="C30" s="78"/>
      <c r="D30" s="78"/>
      <c r="E30" s="78">
        <v>417606643.33999997</v>
      </c>
      <c r="F30" s="42">
        <v>0</v>
      </c>
      <c r="G30" s="42">
        <f t="shared" si="0"/>
        <v>417606643.33999997</v>
      </c>
      <c r="H30" s="2" t="str">
        <f>VLOOKUP(A30,'TB JULY'!A:H,8,0)</f>
        <v>Not Applicable</v>
      </c>
    </row>
    <row r="31" spans="1:8">
      <c r="A31" s="62" t="s">
        <v>107</v>
      </c>
      <c r="B31" s="78">
        <v>-154365251.06999999</v>
      </c>
      <c r="C31" s="78"/>
      <c r="D31" s="78"/>
      <c r="E31" s="78">
        <v>-154365251.06999999</v>
      </c>
      <c r="F31" s="42">
        <v>0</v>
      </c>
      <c r="G31" s="42">
        <f t="shared" si="0"/>
        <v>-154365251.06999999</v>
      </c>
      <c r="H31" s="2" t="str">
        <f>VLOOKUP(A31,'TB JULY'!A:H,8,0)</f>
        <v>Not Applicable</v>
      </c>
    </row>
    <row r="32" spans="1:8">
      <c r="A32" s="62" t="s">
        <v>108</v>
      </c>
      <c r="B32" s="78">
        <v>1070438.6000000001</v>
      </c>
      <c r="C32" s="78"/>
      <c r="D32" s="78"/>
      <c r="E32" s="78">
        <v>1070438.6000000001</v>
      </c>
      <c r="F32" s="42">
        <v>0</v>
      </c>
      <c r="G32" s="42">
        <f t="shared" si="0"/>
        <v>1070438.6000000001</v>
      </c>
      <c r="H32" s="2" t="str">
        <f>VLOOKUP(A32,'TB JULY'!A:H,8,0)</f>
        <v>Not Applicable</v>
      </c>
    </row>
    <row r="33" spans="1:8">
      <c r="A33" s="62" t="s">
        <v>111</v>
      </c>
      <c r="B33" s="78">
        <v>6687573.29</v>
      </c>
      <c r="C33" s="78"/>
      <c r="D33" s="78"/>
      <c r="E33" s="78">
        <v>6687573.29</v>
      </c>
      <c r="F33" s="42">
        <v>0</v>
      </c>
      <c r="G33" s="42">
        <f t="shared" si="0"/>
        <v>6687573.29</v>
      </c>
      <c r="H33" s="2" t="str">
        <f>VLOOKUP(A33,'TB JULY'!A:H,8,0)</f>
        <v>Not Applicable</v>
      </c>
    </row>
    <row r="34" spans="1:8">
      <c r="A34" s="62" t="s">
        <v>117</v>
      </c>
      <c r="B34" s="78">
        <v>7980.76</v>
      </c>
      <c r="C34" s="78">
        <v>1157169</v>
      </c>
      <c r="D34" s="78">
        <v>1065936</v>
      </c>
      <c r="E34" s="78">
        <v>99213.759999999995</v>
      </c>
      <c r="F34" s="42">
        <v>0</v>
      </c>
      <c r="G34" s="42">
        <f t="shared" si="0"/>
        <v>99213.759999999995</v>
      </c>
      <c r="H34" s="2" t="str">
        <f>VLOOKUP(A34,'TB JULY'!A:H,8,0)</f>
        <v>Not Applicable</v>
      </c>
    </row>
    <row r="35" spans="1:8">
      <c r="A35" s="62" t="s">
        <v>118</v>
      </c>
      <c r="B35" s="78">
        <v>4950</v>
      </c>
      <c r="C35" s="78"/>
      <c r="D35" s="78">
        <v>808</v>
      </c>
      <c r="E35" s="78">
        <v>4142</v>
      </c>
      <c r="F35" s="42">
        <v>0</v>
      </c>
      <c r="G35" s="42">
        <f t="shared" si="0"/>
        <v>4142</v>
      </c>
      <c r="H35" s="2" t="str">
        <f>VLOOKUP(A35,'TB JULY'!A:H,8,0)</f>
        <v>Not Applicable</v>
      </c>
    </row>
    <row r="36" spans="1:8">
      <c r="A36" s="62" t="s">
        <v>324</v>
      </c>
      <c r="B36" s="78">
        <v>178885102</v>
      </c>
      <c r="C36" s="78"/>
      <c r="D36" s="78"/>
      <c r="E36" s="78">
        <v>178885102</v>
      </c>
      <c r="F36" s="42">
        <v>0</v>
      </c>
      <c r="G36" s="42">
        <f t="shared" si="0"/>
        <v>178885102</v>
      </c>
      <c r="H36" s="2" t="str">
        <f>VLOOKUP(A36,'TB JULY'!A:H,8,0)</f>
        <v>Not Applicable</v>
      </c>
    </row>
    <row r="37" spans="1:8">
      <c r="A37" s="62" t="s">
        <v>212</v>
      </c>
      <c r="B37" s="78">
        <v>5000000</v>
      </c>
      <c r="C37" s="78"/>
      <c r="D37" s="78"/>
      <c r="E37" s="78">
        <v>5000000</v>
      </c>
      <c r="F37" s="42">
        <v>0</v>
      </c>
      <c r="G37" s="42">
        <f t="shared" si="0"/>
        <v>5000000</v>
      </c>
      <c r="H37" s="2" t="str">
        <f>VLOOKUP(A37,'TB JULY'!A:H,8,0)</f>
        <v>Not Applicable</v>
      </c>
    </row>
    <row r="38" spans="1:8">
      <c r="A38" s="62" t="s">
        <v>233</v>
      </c>
      <c r="B38" s="78">
        <v>-2993657.11</v>
      </c>
      <c r="C38" s="78"/>
      <c r="D38" s="78"/>
      <c r="E38" s="78">
        <v>-2993657.11</v>
      </c>
      <c r="F38" s="42">
        <v>0</v>
      </c>
      <c r="G38" s="42">
        <f t="shared" si="0"/>
        <v>-2993657.11</v>
      </c>
      <c r="H38" s="2" t="str">
        <f>VLOOKUP(A38,'TB JULY'!A:H,8,0)</f>
        <v>Not Applicable</v>
      </c>
    </row>
    <row r="39" spans="1:8">
      <c r="A39" s="62" t="s">
        <v>1635</v>
      </c>
      <c r="B39" s="78"/>
      <c r="C39" s="78">
        <v>888121</v>
      </c>
      <c r="D39" s="78"/>
      <c r="E39" s="78">
        <v>888121</v>
      </c>
      <c r="F39" s="42">
        <v>0</v>
      </c>
      <c r="G39" s="42">
        <f t="shared" si="0"/>
        <v>888121</v>
      </c>
      <c r="H39" s="2" t="s">
        <v>84</v>
      </c>
    </row>
    <row r="40" spans="1:8">
      <c r="A40" s="62" t="s">
        <v>123</v>
      </c>
      <c r="B40" s="78">
        <v>0.01</v>
      </c>
      <c r="C40" s="78">
        <v>32619228.399999999</v>
      </c>
      <c r="D40" s="78">
        <v>26765930.600000001</v>
      </c>
      <c r="E40" s="78">
        <v>5853297.8099999996</v>
      </c>
      <c r="F40" s="42">
        <v>0</v>
      </c>
      <c r="G40" s="42">
        <f t="shared" si="0"/>
        <v>5853297.8099999996</v>
      </c>
      <c r="H40" s="2" t="str">
        <f>VLOOKUP(A40,'TB JULY'!A:H,8,0)</f>
        <v>Not Applicable</v>
      </c>
    </row>
    <row r="41" spans="1:8">
      <c r="A41" s="62" t="s">
        <v>188</v>
      </c>
      <c r="B41" s="78"/>
      <c r="C41" s="78">
        <v>49823.9</v>
      </c>
      <c r="D41" s="78">
        <v>49823.9</v>
      </c>
      <c r="E41" s="78"/>
      <c r="F41" s="42">
        <v>0</v>
      </c>
      <c r="G41" s="42">
        <f t="shared" si="0"/>
        <v>0</v>
      </c>
      <c r="H41" s="2" t="str">
        <f>VLOOKUP(A41,'TB JULY'!A:H,8,0)</f>
        <v>Not Applicable</v>
      </c>
    </row>
    <row r="42" spans="1:8">
      <c r="A42" s="62" t="s">
        <v>209</v>
      </c>
      <c r="B42" s="78">
        <v>0.04</v>
      </c>
      <c r="C42" s="78">
        <v>4689661.09</v>
      </c>
      <c r="D42" s="78">
        <v>4037307.59</v>
      </c>
      <c r="E42" s="78">
        <v>652353.54</v>
      </c>
      <c r="F42" s="42">
        <v>0</v>
      </c>
      <c r="G42" s="42">
        <f t="shared" si="0"/>
        <v>652353.54</v>
      </c>
      <c r="H42" s="2" t="str">
        <f>VLOOKUP(A42,'TB JULY'!A:H,8,0)</f>
        <v>Not Applicable</v>
      </c>
    </row>
    <row r="43" spans="1:8">
      <c r="A43" s="62" t="s">
        <v>307</v>
      </c>
      <c r="B43" s="78">
        <v>0.01</v>
      </c>
      <c r="C43" s="78">
        <v>32619228.199999999</v>
      </c>
      <c r="D43" s="78">
        <v>26765930.399999999</v>
      </c>
      <c r="E43" s="78">
        <v>5853297.8099999996</v>
      </c>
      <c r="F43" s="42">
        <v>0</v>
      </c>
      <c r="G43" s="42">
        <f t="shared" si="0"/>
        <v>5853297.8099999996</v>
      </c>
      <c r="H43" s="2" t="str">
        <f>VLOOKUP(A43,'TB JULY'!A:H,8,0)</f>
        <v>Not Applicable</v>
      </c>
    </row>
    <row r="44" spans="1:8">
      <c r="A44" s="62" t="s">
        <v>208</v>
      </c>
      <c r="B44" s="78">
        <v>1259702.33</v>
      </c>
      <c r="C44" s="78">
        <v>7280179.4400000004</v>
      </c>
      <c r="D44" s="78">
        <v>6754594.3399999999</v>
      </c>
      <c r="E44" s="78">
        <v>1785287.43</v>
      </c>
      <c r="F44" s="42">
        <v>0</v>
      </c>
      <c r="G44" s="42">
        <f t="shared" si="0"/>
        <v>1785287.43</v>
      </c>
      <c r="H44" s="2" t="str">
        <f>VLOOKUP(A44,'TB JULY'!A:H,8,0)</f>
        <v>Not Applicable</v>
      </c>
    </row>
    <row r="45" spans="1:8">
      <c r="A45" s="62" t="s">
        <v>277</v>
      </c>
      <c r="B45" s="78">
        <v>20252959</v>
      </c>
      <c r="C45" s="78">
        <v>57516666.630000003</v>
      </c>
      <c r="D45" s="78">
        <v>57065937.549999997</v>
      </c>
      <c r="E45" s="78">
        <v>20703688.079999998</v>
      </c>
      <c r="F45" s="42">
        <v>0</v>
      </c>
      <c r="G45" s="42">
        <f t="shared" si="0"/>
        <v>20703688.079999998</v>
      </c>
      <c r="H45" s="2" t="str">
        <f>VLOOKUP(A45,'TB JULY'!A:H,8,0)</f>
        <v>Not Applicable</v>
      </c>
    </row>
    <row r="46" spans="1:8">
      <c r="A46" s="62" t="s">
        <v>157</v>
      </c>
      <c r="B46" s="78">
        <v>6083898</v>
      </c>
      <c r="C46" s="78"/>
      <c r="D46" s="78"/>
      <c r="E46" s="78">
        <v>6083898</v>
      </c>
      <c r="F46" s="42">
        <v>0</v>
      </c>
      <c r="G46" s="42">
        <f t="shared" si="0"/>
        <v>6083898</v>
      </c>
      <c r="H46" s="2" t="str">
        <f>VLOOKUP(A46,'TB JULY'!A:H,8,0)</f>
        <v>Not Applicable</v>
      </c>
    </row>
    <row r="47" spans="1:8">
      <c r="A47" s="62" t="s">
        <v>232</v>
      </c>
      <c r="B47" s="78">
        <v>-484344</v>
      </c>
      <c r="C47" s="78"/>
      <c r="D47" s="78"/>
      <c r="E47" s="78">
        <v>-484344</v>
      </c>
      <c r="F47" s="42">
        <v>0</v>
      </c>
      <c r="G47" s="42">
        <f t="shared" si="0"/>
        <v>-484344</v>
      </c>
      <c r="H47" s="2" t="str">
        <f>VLOOKUP(A47,'TB JULY'!A:H,8,0)</f>
        <v>Not Applicable</v>
      </c>
    </row>
    <row r="48" spans="1:8">
      <c r="A48" s="62" t="s">
        <v>240</v>
      </c>
      <c r="B48" s="78">
        <v>44562171</v>
      </c>
      <c r="C48" s="78"/>
      <c r="D48" s="78"/>
      <c r="E48" s="78">
        <v>44562171</v>
      </c>
      <c r="F48" s="42">
        <v>0</v>
      </c>
      <c r="G48" s="42">
        <f t="shared" si="0"/>
        <v>44562171</v>
      </c>
      <c r="H48" s="2" t="str">
        <f>VLOOKUP(A48,'TB JULY'!A:H,8,0)</f>
        <v>Not Applicable</v>
      </c>
    </row>
    <row r="49" spans="1:8">
      <c r="A49" s="62" t="s">
        <v>181</v>
      </c>
      <c r="B49" s="78">
        <v>3037413</v>
      </c>
      <c r="C49" s="78"/>
      <c r="D49" s="78"/>
      <c r="E49" s="78">
        <v>3037413</v>
      </c>
      <c r="F49" s="42">
        <v>0</v>
      </c>
      <c r="G49" s="42">
        <f t="shared" si="0"/>
        <v>3037413</v>
      </c>
      <c r="H49" s="2" t="str">
        <f>VLOOKUP(A49,'TB JULY'!A:H,8,0)</f>
        <v>Not Applicable</v>
      </c>
    </row>
    <row r="50" spans="1:8">
      <c r="A50" s="62" t="s">
        <v>287</v>
      </c>
      <c r="B50" s="78">
        <v>67898.509999999995</v>
      </c>
      <c r="C50" s="78"/>
      <c r="D50" s="78"/>
      <c r="E50" s="78">
        <v>67898.509999999995</v>
      </c>
      <c r="F50" s="42">
        <v>0</v>
      </c>
      <c r="G50" s="42">
        <f t="shared" si="0"/>
        <v>67898.509999999995</v>
      </c>
      <c r="H50" s="2" t="str">
        <f>VLOOKUP(A50,'TB JULY'!A:H,8,0)</f>
        <v>Not Applicable</v>
      </c>
    </row>
    <row r="51" spans="1:8">
      <c r="A51" s="62" t="s">
        <v>145</v>
      </c>
      <c r="B51" s="78">
        <v>861066</v>
      </c>
      <c r="C51" s="78"/>
      <c r="D51" s="78"/>
      <c r="E51" s="78">
        <v>861066</v>
      </c>
      <c r="F51" s="42">
        <v>0</v>
      </c>
      <c r="G51" s="42">
        <f t="shared" si="0"/>
        <v>861066</v>
      </c>
      <c r="H51" s="2" t="str">
        <f>VLOOKUP(A51,'TB JULY'!A:H,8,0)</f>
        <v>Not Applicable</v>
      </c>
    </row>
    <row r="52" spans="1:8">
      <c r="A52" s="62" t="s">
        <v>203</v>
      </c>
      <c r="B52" s="78">
        <v>106300</v>
      </c>
      <c r="C52" s="78"/>
      <c r="D52" s="78"/>
      <c r="E52" s="78">
        <v>106300</v>
      </c>
      <c r="F52" s="42">
        <v>0</v>
      </c>
      <c r="G52" s="42">
        <f t="shared" si="0"/>
        <v>106300</v>
      </c>
      <c r="H52" s="2" t="str">
        <f>VLOOKUP(A52,'TB JULY'!A:H,8,0)</f>
        <v>Not Applicable</v>
      </c>
    </row>
    <row r="53" spans="1:8">
      <c r="A53" s="62" t="s">
        <v>1279</v>
      </c>
      <c r="B53" s="78">
        <v>100980</v>
      </c>
      <c r="C53" s="78"/>
      <c r="D53" s="78"/>
      <c r="E53" s="78">
        <v>100980</v>
      </c>
      <c r="F53" s="42">
        <v>0</v>
      </c>
      <c r="G53" s="42">
        <f t="shared" si="0"/>
        <v>100980</v>
      </c>
      <c r="H53" s="2" t="str">
        <f>VLOOKUP(A53,'TB JULY'!A:H,8,0)</f>
        <v>Not Applicable</v>
      </c>
    </row>
    <row r="54" spans="1:8">
      <c r="A54" s="62" t="s">
        <v>283</v>
      </c>
      <c r="B54" s="78">
        <v>-400000</v>
      </c>
      <c r="C54" s="78"/>
      <c r="D54" s="78"/>
      <c r="E54" s="78">
        <v>-400000</v>
      </c>
      <c r="F54" s="42">
        <v>0</v>
      </c>
      <c r="G54" s="42">
        <f t="shared" si="0"/>
        <v>-400000</v>
      </c>
      <c r="H54" s="2" t="str">
        <f>VLOOKUP(A54,'TB JULY'!A:H,8,0)</f>
        <v>Not Applicable</v>
      </c>
    </row>
    <row r="55" spans="1:8">
      <c r="A55" s="62" t="s">
        <v>308</v>
      </c>
      <c r="B55" s="78">
        <v>9000</v>
      </c>
      <c r="C55" s="78"/>
      <c r="D55" s="78"/>
      <c r="E55" s="78">
        <v>9000</v>
      </c>
      <c r="F55" s="42">
        <v>0</v>
      </c>
      <c r="G55" s="42">
        <f t="shared" si="0"/>
        <v>9000</v>
      </c>
      <c r="H55" s="2" t="str">
        <f>VLOOKUP(A55,'TB JULY'!A:H,8,0)</f>
        <v>Not Applicable</v>
      </c>
    </row>
    <row r="56" spans="1:8">
      <c r="A56" s="62" t="s">
        <v>309</v>
      </c>
      <c r="B56" s="78">
        <v>3000</v>
      </c>
      <c r="C56" s="78"/>
      <c r="D56" s="78"/>
      <c r="E56" s="78">
        <v>3000</v>
      </c>
      <c r="F56" s="42">
        <v>0</v>
      </c>
      <c r="G56" s="42">
        <f t="shared" si="0"/>
        <v>3000</v>
      </c>
      <c r="H56" s="2" t="str">
        <f>VLOOKUP(A56,'TB JULY'!A:H,8,0)</f>
        <v>Not Applicable</v>
      </c>
    </row>
    <row r="57" spans="1:8">
      <c r="A57" s="62" t="s">
        <v>310</v>
      </c>
      <c r="B57" s="78">
        <v>17933</v>
      </c>
      <c r="C57" s="78"/>
      <c r="D57" s="78"/>
      <c r="E57" s="78">
        <v>17933</v>
      </c>
      <c r="F57" s="42">
        <v>0</v>
      </c>
      <c r="G57" s="42">
        <f t="shared" si="0"/>
        <v>17933</v>
      </c>
      <c r="H57" s="2" t="str">
        <f>VLOOKUP(A57,'TB JULY'!A:H,8,0)</f>
        <v>Not Applicable</v>
      </c>
    </row>
    <row r="58" spans="1:8">
      <c r="A58" s="62" t="s">
        <v>311</v>
      </c>
      <c r="B58" s="78">
        <v>104000</v>
      </c>
      <c r="C58" s="78"/>
      <c r="D58" s="78"/>
      <c r="E58" s="78">
        <v>104000</v>
      </c>
      <c r="F58" s="42">
        <v>0</v>
      </c>
      <c r="G58" s="42">
        <f t="shared" si="0"/>
        <v>104000</v>
      </c>
      <c r="H58" s="2" t="str">
        <f>VLOOKUP(A58,'TB JULY'!A:H,8,0)</f>
        <v>Not Applicable</v>
      </c>
    </row>
    <row r="59" spans="1:8">
      <c r="A59" s="62" t="s">
        <v>312</v>
      </c>
      <c r="B59" s="78">
        <v>30000</v>
      </c>
      <c r="C59" s="78"/>
      <c r="D59" s="78"/>
      <c r="E59" s="78">
        <v>30000</v>
      </c>
      <c r="F59" s="42">
        <v>0</v>
      </c>
      <c r="G59" s="42">
        <f t="shared" si="0"/>
        <v>30000</v>
      </c>
      <c r="H59" s="2" t="str">
        <f>VLOOKUP(A59,'TB JULY'!A:H,8,0)</f>
        <v>Not Applicable</v>
      </c>
    </row>
    <row r="60" spans="1:8">
      <c r="A60" s="62" t="s">
        <v>947</v>
      </c>
      <c r="B60" s="78">
        <v>311200</v>
      </c>
      <c r="C60" s="78"/>
      <c r="D60" s="78"/>
      <c r="E60" s="78">
        <v>311200</v>
      </c>
      <c r="F60" s="42">
        <v>0</v>
      </c>
      <c r="G60" s="42">
        <f t="shared" si="0"/>
        <v>311200</v>
      </c>
      <c r="H60" s="2" t="str">
        <f>VLOOKUP(A60,'TB JULY'!A:H,8,0)</f>
        <v>Not Applicable</v>
      </c>
    </row>
    <row r="61" spans="1:8">
      <c r="A61" s="62" t="s">
        <v>85</v>
      </c>
      <c r="B61" s="78">
        <v>-955050</v>
      </c>
      <c r="C61" s="78">
        <v>9940600</v>
      </c>
      <c r="D61" s="78">
        <v>6127500</v>
      </c>
      <c r="E61" s="78">
        <v>2858050</v>
      </c>
      <c r="F61" s="42">
        <v>0</v>
      </c>
      <c r="G61" s="42">
        <f t="shared" si="0"/>
        <v>2858050</v>
      </c>
      <c r="H61" s="2" t="str">
        <f>VLOOKUP(A61,'TB JULY'!A:H,8,0)</f>
        <v>Not Applicable</v>
      </c>
    </row>
    <row r="62" spans="1:8">
      <c r="A62" s="62" t="s">
        <v>320</v>
      </c>
      <c r="B62" s="78">
        <v>2277276</v>
      </c>
      <c r="C62" s="78">
        <v>945000</v>
      </c>
      <c r="D62" s="78">
        <v>320000</v>
      </c>
      <c r="E62" s="78">
        <v>2902276</v>
      </c>
      <c r="F62" s="42">
        <v>0</v>
      </c>
      <c r="G62" s="42">
        <f t="shared" si="0"/>
        <v>2902276</v>
      </c>
      <c r="H62" s="2" t="str">
        <f>VLOOKUP(A62,'TB JULY'!A:H,8,0)</f>
        <v>Not Applicable</v>
      </c>
    </row>
    <row r="63" spans="1:8">
      <c r="A63" s="62" t="s">
        <v>946</v>
      </c>
      <c r="B63" s="78"/>
      <c r="C63" s="78"/>
      <c r="D63" s="78"/>
      <c r="E63" s="78"/>
      <c r="F63" s="42">
        <v>0</v>
      </c>
      <c r="G63" s="42">
        <f t="shared" si="0"/>
        <v>0</v>
      </c>
      <c r="H63" s="2" t="s">
        <v>84</v>
      </c>
    </row>
    <row r="64" spans="1:8">
      <c r="A64" s="62" t="s">
        <v>89</v>
      </c>
      <c r="B64" s="78">
        <v>184593.3</v>
      </c>
      <c r="C64" s="78"/>
      <c r="D64" s="78"/>
      <c r="E64" s="78">
        <v>184593.3</v>
      </c>
      <c r="F64" s="42">
        <v>0</v>
      </c>
      <c r="G64" s="42">
        <f t="shared" si="0"/>
        <v>184593.3</v>
      </c>
      <c r="H64" s="2" t="str">
        <f>VLOOKUP(A64,'TB JULY'!A:H,8,0)</f>
        <v>Not Applicable</v>
      </c>
    </row>
    <row r="65" spans="1:8">
      <c r="A65" s="62" t="s">
        <v>93</v>
      </c>
      <c r="B65" s="78">
        <v>1416914.97</v>
      </c>
      <c r="C65" s="78">
        <v>1711986.48</v>
      </c>
      <c r="D65" s="78">
        <v>1397115</v>
      </c>
      <c r="E65" s="78">
        <v>1731786.45</v>
      </c>
      <c r="F65" s="42">
        <v>0</v>
      </c>
      <c r="G65" s="42">
        <f t="shared" si="0"/>
        <v>1731786.45</v>
      </c>
      <c r="H65" s="2" t="str">
        <f>VLOOKUP(A65,'TB JULY'!A:H,8,0)</f>
        <v>Not Applicable</v>
      </c>
    </row>
    <row r="66" spans="1:8">
      <c r="A66" s="62" t="s">
        <v>1348</v>
      </c>
      <c r="B66" s="78">
        <v>1078377.3</v>
      </c>
      <c r="C66" s="78">
        <v>1165392.3999999999</v>
      </c>
      <c r="D66" s="78">
        <v>2243769.7000000002</v>
      </c>
      <c r="E66" s="78"/>
      <c r="F66" s="42">
        <v>0</v>
      </c>
      <c r="G66" s="42">
        <f t="shared" si="0"/>
        <v>0</v>
      </c>
      <c r="H66" s="2" t="str">
        <f>VLOOKUP(A66,'TB JULY'!A:H,8,0)</f>
        <v>Not Applicable</v>
      </c>
    </row>
    <row r="67" spans="1:8">
      <c r="A67" s="62" t="s">
        <v>95</v>
      </c>
      <c r="B67" s="78"/>
      <c r="C67" s="78"/>
      <c r="D67" s="78"/>
      <c r="E67" s="78"/>
      <c r="F67" s="42">
        <v>0</v>
      </c>
      <c r="G67" s="42">
        <f t="shared" si="0"/>
        <v>0</v>
      </c>
      <c r="H67" s="2" t="str">
        <f>VLOOKUP(A67,'TB JULY'!A:H,8,0)</f>
        <v>Not Applicable</v>
      </c>
    </row>
    <row r="68" spans="1:8">
      <c r="A68" s="62" t="s">
        <v>94</v>
      </c>
      <c r="B68" s="78"/>
      <c r="C68" s="78"/>
      <c r="D68" s="78"/>
      <c r="E68" s="78"/>
      <c r="F68" s="42">
        <v>0</v>
      </c>
      <c r="G68" s="42">
        <f t="shared" si="0"/>
        <v>0</v>
      </c>
      <c r="H68" s="2" t="str">
        <f>VLOOKUP(A68,'TB JULY'!A:H,8,0)</f>
        <v>Not Applicable</v>
      </c>
    </row>
    <row r="69" spans="1:8">
      <c r="A69" s="62" t="s">
        <v>97</v>
      </c>
      <c r="B69" s="78"/>
      <c r="C69" s="78"/>
      <c r="D69" s="78"/>
      <c r="E69" s="78"/>
      <c r="F69" s="42">
        <v>0</v>
      </c>
      <c r="G69" s="42">
        <f t="shared" si="0"/>
        <v>0</v>
      </c>
      <c r="H69" s="2" t="str">
        <f>VLOOKUP(A69,'TB JULY'!A:H,8,0)</f>
        <v>Not Applicable</v>
      </c>
    </row>
    <row r="70" spans="1:8">
      <c r="A70" s="62" t="s">
        <v>934</v>
      </c>
      <c r="B70" s="78">
        <v>876917.2</v>
      </c>
      <c r="C70" s="78">
        <v>346920</v>
      </c>
      <c r="D70" s="78">
        <v>876917.2</v>
      </c>
      <c r="E70" s="78">
        <v>346920</v>
      </c>
      <c r="F70" s="42">
        <v>0</v>
      </c>
      <c r="G70" s="42">
        <f t="shared" si="0"/>
        <v>346920</v>
      </c>
      <c r="H70" s="2" t="str">
        <f>VLOOKUP(A70,'TB JULY'!A:H,8,0)</f>
        <v>Not Applicable</v>
      </c>
    </row>
    <row r="71" spans="1:8">
      <c r="A71" s="62" t="s">
        <v>109</v>
      </c>
      <c r="B71" s="78"/>
      <c r="C71" s="78"/>
      <c r="D71" s="78"/>
      <c r="E71" s="78"/>
      <c r="F71" s="42">
        <v>0</v>
      </c>
      <c r="G71" s="42">
        <f t="shared" ref="G71:G134" si="1">E71+F71</f>
        <v>0</v>
      </c>
      <c r="H71" s="2" t="str">
        <f>VLOOKUP(A71,'TB JULY'!A:H,8,0)</f>
        <v>Not Applicable</v>
      </c>
    </row>
    <row r="72" spans="1:8">
      <c r="A72" s="62" t="s">
        <v>1503</v>
      </c>
      <c r="B72" s="78"/>
      <c r="C72" s="78">
        <v>3321700</v>
      </c>
      <c r="D72" s="78">
        <v>206500</v>
      </c>
      <c r="E72" s="78">
        <v>3115200</v>
      </c>
      <c r="F72" s="42">
        <v>0</v>
      </c>
      <c r="G72" s="42">
        <f t="shared" si="1"/>
        <v>3115200</v>
      </c>
      <c r="H72" s="2" t="str">
        <f>VLOOKUP(A72,'TB JULY'!A:H,8,0)</f>
        <v>Not Applicable</v>
      </c>
    </row>
    <row r="73" spans="1:8">
      <c r="A73" s="62" t="s">
        <v>110</v>
      </c>
      <c r="B73" s="78"/>
      <c r="C73" s="78">
        <v>2602819</v>
      </c>
      <c r="D73" s="78"/>
      <c r="E73" s="78">
        <v>2602819</v>
      </c>
      <c r="F73" s="42">
        <v>0</v>
      </c>
      <c r="G73" s="42">
        <f t="shared" si="1"/>
        <v>2602819</v>
      </c>
      <c r="H73" s="2" t="str">
        <f>VLOOKUP(A73,'TB JULY'!A:H,8,0)</f>
        <v>Not Applicable</v>
      </c>
    </row>
    <row r="74" spans="1:8">
      <c r="A74" s="62" t="s">
        <v>1326</v>
      </c>
      <c r="B74" s="78"/>
      <c r="C74" s="78"/>
      <c r="D74" s="78"/>
      <c r="E74" s="78"/>
      <c r="F74" s="42">
        <v>0</v>
      </c>
      <c r="G74" s="42">
        <f t="shared" si="1"/>
        <v>0</v>
      </c>
      <c r="H74" s="2" t="str">
        <f>VLOOKUP(A74,'TB JULY'!A:H,8,0)</f>
        <v>Not Applicable</v>
      </c>
    </row>
    <row r="75" spans="1:8">
      <c r="A75" s="62" t="s">
        <v>973</v>
      </c>
      <c r="B75" s="78"/>
      <c r="C75" s="78"/>
      <c r="D75" s="78"/>
      <c r="E75" s="78"/>
      <c r="F75" s="42">
        <v>0</v>
      </c>
      <c r="G75" s="42">
        <f t="shared" si="1"/>
        <v>0</v>
      </c>
      <c r="H75" s="2" t="s">
        <v>84</v>
      </c>
    </row>
    <row r="76" spans="1:8">
      <c r="A76" s="62" t="s">
        <v>967</v>
      </c>
      <c r="B76" s="78"/>
      <c r="C76" s="78"/>
      <c r="D76" s="78"/>
      <c r="E76" s="78"/>
      <c r="F76" s="42">
        <v>0</v>
      </c>
      <c r="G76" s="42">
        <f t="shared" si="1"/>
        <v>0</v>
      </c>
      <c r="H76" s="2" t="str">
        <f>VLOOKUP(A76,'TB JULY'!A:H,8,0)</f>
        <v>Not Applicable</v>
      </c>
    </row>
    <row r="77" spans="1:8">
      <c r="A77" s="62" t="s">
        <v>114</v>
      </c>
      <c r="B77" s="78"/>
      <c r="C77" s="78"/>
      <c r="D77" s="78"/>
      <c r="E77" s="78"/>
      <c r="F77" s="42">
        <v>0</v>
      </c>
      <c r="G77" s="42">
        <f t="shared" si="1"/>
        <v>0</v>
      </c>
      <c r="H77" s="2" t="str">
        <f>VLOOKUP(A77,'TB JULY'!A:H,8,0)</f>
        <v>Not Applicable</v>
      </c>
    </row>
    <row r="78" spans="1:8">
      <c r="A78" s="62" t="s">
        <v>1008</v>
      </c>
      <c r="B78" s="78"/>
      <c r="C78" s="78"/>
      <c r="D78" s="78"/>
      <c r="E78" s="78"/>
      <c r="F78" s="42">
        <v>0</v>
      </c>
      <c r="G78" s="42">
        <f t="shared" si="1"/>
        <v>0</v>
      </c>
      <c r="H78" s="2" t="str">
        <f>VLOOKUP(A78,'TB JULY'!A:H,8,0)</f>
        <v>Not Applicable</v>
      </c>
    </row>
    <row r="79" spans="1:8">
      <c r="A79" s="62" t="s">
        <v>975</v>
      </c>
      <c r="B79" s="78">
        <v>-87133.69</v>
      </c>
      <c r="C79" s="78">
        <v>0.1</v>
      </c>
      <c r="D79" s="78">
        <v>118000.1</v>
      </c>
      <c r="E79" s="78">
        <v>-205133.69</v>
      </c>
      <c r="F79" s="42">
        <v>0</v>
      </c>
      <c r="G79" s="42">
        <f t="shared" si="1"/>
        <v>-205133.69</v>
      </c>
      <c r="H79" s="2" t="str">
        <f>VLOOKUP(A79,'TB JULY'!A:H,8,0)</f>
        <v>Not Applicable</v>
      </c>
    </row>
    <row r="80" spans="1:8">
      <c r="A80" s="62" t="s">
        <v>1593</v>
      </c>
      <c r="B80" s="78"/>
      <c r="C80" s="78">
        <v>14180.04</v>
      </c>
      <c r="D80" s="78">
        <v>14180</v>
      </c>
      <c r="E80" s="78">
        <v>0.04</v>
      </c>
      <c r="F80" s="42">
        <v>0</v>
      </c>
      <c r="G80" s="42">
        <f t="shared" si="1"/>
        <v>0.04</v>
      </c>
      <c r="H80" s="2" t="str">
        <f>VLOOKUP(A80,'TB JULY'!A:H,8,0)</f>
        <v>Not Applicable</v>
      </c>
    </row>
    <row r="81" spans="1:8">
      <c r="A81" s="62" t="s">
        <v>129</v>
      </c>
      <c r="B81" s="78"/>
      <c r="C81" s="78"/>
      <c r="D81" s="78"/>
      <c r="E81" s="78"/>
      <c r="F81" s="42">
        <v>0</v>
      </c>
      <c r="G81" s="42">
        <f t="shared" si="1"/>
        <v>0</v>
      </c>
      <c r="H81" s="2" t="str">
        <f>VLOOKUP(A81,'TB JULY'!A:H,8,0)</f>
        <v>Not Applicable</v>
      </c>
    </row>
    <row r="82" spans="1:8">
      <c r="A82" s="62" t="s">
        <v>1403</v>
      </c>
      <c r="B82" s="78"/>
      <c r="C82" s="78">
        <v>277300</v>
      </c>
      <c r="D82" s="78">
        <v>277300</v>
      </c>
      <c r="E82" s="78"/>
      <c r="F82" s="42">
        <v>0</v>
      </c>
      <c r="G82" s="42">
        <f t="shared" si="1"/>
        <v>0</v>
      </c>
      <c r="H82" s="2" t="str">
        <f>VLOOKUP(A82,'TB JULY'!A:H,8,0)</f>
        <v>Not Applicable</v>
      </c>
    </row>
    <row r="83" spans="1:8">
      <c r="A83" s="62" t="s">
        <v>142</v>
      </c>
      <c r="B83" s="78">
        <v>1562798.14</v>
      </c>
      <c r="C83" s="78">
        <v>2295539.66</v>
      </c>
      <c r="D83" s="78">
        <v>3858337.8</v>
      </c>
      <c r="E83" s="78"/>
      <c r="F83" s="42">
        <v>0</v>
      </c>
      <c r="G83" s="42">
        <f t="shared" si="1"/>
        <v>0</v>
      </c>
      <c r="H83" s="2" t="str">
        <f>VLOOKUP(A83,'TB JULY'!A:H,8,0)</f>
        <v>Not Applicable</v>
      </c>
    </row>
    <row r="84" spans="1:8">
      <c r="A84" s="62" t="s">
        <v>1547</v>
      </c>
      <c r="B84" s="78"/>
      <c r="C84" s="78">
        <v>397960.7</v>
      </c>
      <c r="D84" s="78">
        <v>397960.7</v>
      </c>
      <c r="E84" s="78"/>
      <c r="F84" s="42">
        <v>0</v>
      </c>
      <c r="G84" s="42">
        <f t="shared" si="1"/>
        <v>0</v>
      </c>
      <c r="H84" s="2" t="str">
        <f>VLOOKUP(A84,'TB JULY'!A:H,8,0)</f>
        <v>Not Applicable</v>
      </c>
    </row>
    <row r="85" spans="1:8">
      <c r="A85" s="62" t="s">
        <v>143</v>
      </c>
      <c r="B85" s="78">
        <v>3825909.25</v>
      </c>
      <c r="C85" s="78">
        <v>2026701</v>
      </c>
      <c r="D85" s="78">
        <v>5843124</v>
      </c>
      <c r="E85" s="78">
        <v>9486.25</v>
      </c>
      <c r="F85" s="42">
        <v>0</v>
      </c>
      <c r="G85" s="42">
        <f t="shared" si="1"/>
        <v>9486.25</v>
      </c>
      <c r="H85" s="2" t="str">
        <f>VLOOKUP(A85,'TB JULY'!A:H,8,0)</f>
        <v>Not Applicable</v>
      </c>
    </row>
    <row r="86" spans="1:8">
      <c r="A86" s="62" t="s">
        <v>1173</v>
      </c>
      <c r="B86" s="78">
        <v>7080</v>
      </c>
      <c r="C86" s="78"/>
      <c r="D86" s="78"/>
      <c r="E86" s="78">
        <v>7080</v>
      </c>
      <c r="F86" s="42">
        <v>0</v>
      </c>
      <c r="G86" s="42">
        <f t="shared" si="1"/>
        <v>7080</v>
      </c>
      <c r="H86" s="2" t="str">
        <f>VLOOKUP(A86,'TB JULY'!A:H,8,0)</f>
        <v>Not Applicable</v>
      </c>
    </row>
    <row r="87" spans="1:8">
      <c r="A87" s="62" t="s">
        <v>1080</v>
      </c>
      <c r="B87" s="78"/>
      <c r="C87" s="78">
        <v>62491</v>
      </c>
      <c r="D87" s="78">
        <v>62491</v>
      </c>
      <c r="E87" s="78"/>
      <c r="F87" s="42">
        <v>0</v>
      </c>
      <c r="G87" s="42">
        <f t="shared" si="1"/>
        <v>0</v>
      </c>
      <c r="H87" s="2" t="str">
        <f>VLOOKUP(A87,'TB JULY'!A:H,8,0)</f>
        <v>Not Applicable</v>
      </c>
    </row>
    <row r="88" spans="1:8">
      <c r="A88" s="62" t="s">
        <v>1405</v>
      </c>
      <c r="B88" s="78"/>
      <c r="C88" s="78"/>
      <c r="D88" s="78"/>
      <c r="E88" s="78"/>
      <c r="F88" s="42">
        <v>0</v>
      </c>
      <c r="G88" s="42">
        <f t="shared" si="1"/>
        <v>0</v>
      </c>
      <c r="H88" s="2" t="str">
        <f>VLOOKUP(A88,'TB JULY'!A:H,8,0)</f>
        <v>Not Applicable</v>
      </c>
    </row>
    <row r="89" spans="1:8">
      <c r="A89" s="62" t="s">
        <v>180</v>
      </c>
      <c r="B89" s="78"/>
      <c r="C89" s="78"/>
      <c r="D89" s="78"/>
      <c r="E89" s="78"/>
      <c r="F89" s="42">
        <v>0</v>
      </c>
      <c r="G89" s="42">
        <f t="shared" si="1"/>
        <v>0</v>
      </c>
      <c r="H89" s="2" t="str">
        <f>VLOOKUP(A89,'TB JULY'!A:H,8,0)</f>
        <v>Not Applicable</v>
      </c>
    </row>
    <row r="90" spans="1:8">
      <c r="A90" s="62" t="s">
        <v>1280</v>
      </c>
      <c r="B90" s="78"/>
      <c r="C90" s="78"/>
      <c r="D90" s="78"/>
      <c r="E90" s="78"/>
      <c r="F90" s="42">
        <v>0</v>
      </c>
      <c r="G90" s="42">
        <f t="shared" si="1"/>
        <v>0</v>
      </c>
      <c r="H90" s="2" t="str">
        <f>VLOOKUP(A90,'TB JULY'!A:H,8,0)</f>
        <v>Not Applicable</v>
      </c>
    </row>
    <row r="91" spans="1:8">
      <c r="A91" s="62" t="s">
        <v>917</v>
      </c>
      <c r="B91" s="78"/>
      <c r="C91" s="78"/>
      <c r="D91" s="78"/>
      <c r="E91" s="78"/>
      <c r="F91" s="42">
        <v>0</v>
      </c>
      <c r="G91" s="42">
        <f t="shared" si="1"/>
        <v>0</v>
      </c>
      <c r="H91" s="2" t="s">
        <v>84</v>
      </c>
    </row>
    <row r="92" spans="1:8">
      <c r="A92" s="62" t="s">
        <v>183</v>
      </c>
      <c r="B92" s="78"/>
      <c r="C92" s="78"/>
      <c r="D92" s="78"/>
      <c r="E92" s="78"/>
      <c r="F92" s="42">
        <v>0</v>
      </c>
      <c r="G92" s="42">
        <f t="shared" si="1"/>
        <v>0</v>
      </c>
      <c r="H92" s="2" t="str">
        <f>VLOOKUP(A92,'TB JULY'!A:H,8,0)</f>
        <v>Not Applicable</v>
      </c>
    </row>
    <row r="93" spans="1:8">
      <c r="A93" s="62" t="s">
        <v>186</v>
      </c>
      <c r="B93" s="78"/>
      <c r="C93" s="78"/>
      <c r="D93" s="78"/>
      <c r="E93" s="78"/>
      <c r="F93" s="42">
        <v>0</v>
      </c>
      <c r="G93" s="42">
        <f t="shared" si="1"/>
        <v>0</v>
      </c>
      <c r="H93" s="2" t="str">
        <f>VLOOKUP(A93,'TB JULY'!A:H,8,0)</f>
        <v>Not Applicable</v>
      </c>
    </row>
    <row r="94" spans="1:8">
      <c r="A94" s="62" t="s">
        <v>192</v>
      </c>
      <c r="B94" s="78"/>
      <c r="C94" s="78"/>
      <c r="D94" s="78"/>
      <c r="E94" s="78"/>
      <c r="F94" s="42">
        <v>0</v>
      </c>
      <c r="G94" s="42">
        <f t="shared" si="1"/>
        <v>0</v>
      </c>
      <c r="H94" s="2" t="str">
        <f>VLOOKUP(A94,'TB JULY'!A:H,8,0)</f>
        <v>Not Applicable</v>
      </c>
    </row>
    <row r="95" spans="1:8">
      <c r="A95" s="62" t="s">
        <v>196</v>
      </c>
      <c r="B95" s="78">
        <v>124228425.31999999</v>
      </c>
      <c r="C95" s="78"/>
      <c r="D95" s="78"/>
      <c r="E95" s="78">
        <v>124228425.31999999</v>
      </c>
      <c r="F95" s="42">
        <v>0</v>
      </c>
      <c r="G95" s="42">
        <f t="shared" si="1"/>
        <v>124228425.31999999</v>
      </c>
      <c r="H95" s="2" t="str">
        <f>VLOOKUP(A95,'TB JULY'!A:H,8,0)</f>
        <v>Not Applicable</v>
      </c>
    </row>
    <row r="96" spans="1:8">
      <c r="A96" s="62" t="s">
        <v>197</v>
      </c>
      <c r="B96" s="78">
        <v>105929094.08</v>
      </c>
      <c r="C96" s="78">
        <v>127560733.65000001</v>
      </c>
      <c r="D96" s="78">
        <v>152512611.43000001</v>
      </c>
      <c r="E96" s="78">
        <v>80977216.299999997</v>
      </c>
      <c r="F96" s="42">
        <v>0</v>
      </c>
      <c r="G96" s="42">
        <f t="shared" si="1"/>
        <v>80977216.299999997</v>
      </c>
      <c r="H96" s="2" t="str">
        <f>VLOOKUP(A96,'TB JULY'!A:H,8,0)</f>
        <v>Not Applicable</v>
      </c>
    </row>
    <row r="97" spans="1:8">
      <c r="A97" s="62" t="s">
        <v>1053</v>
      </c>
      <c r="B97" s="78">
        <v>18614228.199999999</v>
      </c>
      <c r="C97" s="78">
        <v>21916690.719999999</v>
      </c>
      <c r="D97" s="78">
        <v>42785310.200000003</v>
      </c>
      <c r="E97" s="78">
        <v>-2254391.2799999998</v>
      </c>
      <c r="F97" s="42">
        <v>0</v>
      </c>
      <c r="G97" s="42">
        <f t="shared" si="1"/>
        <v>-2254391.2799999998</v>
      </c>
      <c r="H97" s="2" t="str">
        <f>VLOOKUP(A97,'TB JULY'!A:H,8,0)</f>
        <v>Not Applicable</v>
      </c>
    </row>
    <row r="98" spans="1:8">
      <c r="A98" s="62" t="s">
        <v>198</v>
      </c>
      <c r="B98" s="78"/>
      <c r="C98" s="78"/>
      <c r="D98" s="78"/>
      <c r="E98" s="78"/>
      <c r="F98" s="42">
        <v>0</v>
      </c>
      <c r="G98" s="42">
        <f t="shared" si="1"/>
        <v>0</v>
      </c>
      <c r="H98" s="2" t="str">
        <f>VLOOKUP(A98,'TB JULY'!A:H,8,0)</f>
        <v>Not Applicable</v>
      </c>
    </row>
    <row r="99" spans="1:8">
      <c r="A99" s="62" t="s">
        <v>1594</v>
      </c>
      <c r="B99" s="78">
        <v>-5256733.6100000003</v>
      </c>
      <c r="C99" s="78">
        <v>34414109.479999997</v>
      </c>
      <c r="D99" s="78">
        <v>38589342.939999998</v>
      </c>
      <c r="E99" s="78">
        <v>-9431967.0700000003</v>
      </c>
      <c r="F99" s="42">
        <v>0</v>
      </c>
      <c r="G99" s="42">
        <f t="shared" si="1"/>
        <v>-9431967.0700000003</v>
      </c>
      <c r="H99" s="2" t="str">
        <f>VLOOKUP(A99,'TB JULY'!A:H,8,0)</f>
        <v>Not Applicable</v>
      </c>
    </row>
    <row r="100" spans="1:8">
      <c r="A100" s="62" t="s">
        <v>855</v>
      </c>
      <c r="B100" s="78">
        <v>1165250</v>
      </c>
      <c r="C100" s="78">
        <v>656262.9</v>
      </c>
      <c r="D100" s="78">
        <v>1165250</v>
      </c>
      <c r="E100" s="78">
        <v>656262.9</v>
      </c>
      <c r="F100" s="42">
        <v>0</v>
      </c>
      <c r="G100" s="42">
        <f t="shared" si="1"/>
        <v>656262.9</v>
      </c>
      <c r="H100" s="2" t="str">
        <f>VLOOKUP(A100,'TB JULY'!A:H,8,0)</f>
        <v>Not Applicable</v>
      </c>
    </row>
    <row r="101" spans="1:8">
      <c r="A101" s="62" t="s">
        <v>1548</v>
      </c>
      <c r="B101" s="78"/>
      <c r="C101" s="78"/>
      <c r="D101" s="78"/>
      <c r="E101" s="78"/>
      <c r="F101" s="42">
        <v>0</v>
      </c>
      <c r="G101" s="42">
        <f t="shared" si="1"/>
        <v>0</v>
      </c>
      <c r="H101" s="2" t="str">
        <f>VLOOKUP(A101,'TB JULY'!A:H,8,0)</f>
        <v>Not Applicable</v>
      </c>
    </row>
    <row r="102" spans="1:8">
      <c r="A102" s="62" t="s">
        <v>201</v>
      </c>
      <c r="B102" s="78"/>
      <c r="C102" s="78"/>
      <c r="D102" s="78"/>
      <c r="E102" s="78"/>
      <c r="F102" s="42">
        <v>0</v>
      </c>
      <c r="G102" s="42">
        <f t="shared" si="1"/>
        <v>0</v>
      </c>
      <c r="H102" s="2" t="str">
        <f>VLOOKUP(A102,'TB JULY'!A:H,8,0)</f>
        <v>Not Applicable</v>
      </c>
    </row>
    <row r="103" spans="1:8">
      <c r="A103" s="62" t="s">
        <v>210</v>
      </c>
      <c r="B103" s="78"/>
      <c r="C103" s="78"/>
      <c r="D103" s="78"/>
      <c r="E103" s="78"/>
      <c r="F103" s="42">
        <v>0</v>
      </c>
      <c r="G103" s="42">
        <f t="shared" si="1"/>
        <v>0</v>
      </c>
      <c r="H103" s="2" t="str">
        <f>VLOOKUP(A103,'TB JULY'!A:H,8,0)</f>
        <v>Not Applicable</v>
      </c>
    </row>
    <row r="104" spans="1:8">
      <c r="A104" s="62" t="s">
        <v>211</v>
      </c>
      <c r="B104" s="78"/>
      <c r="C104" s="78"/>
      <c r="D104" s="78"/>
      <c r="E104" s="78"/>
      <c r="F104" s="42">
        <v>0</v>
      </c>
      <c r="G104" s="42">
        <f t="shared" si="1"/>
        <v>0</v>
      </c>
      <c r="H104" s="2" t="str">
        <f>VLOOKUP(A104,'TB JULY'!A:H,8,0)</f>
        <v>Not Applicable</v>
      </c>
    </row>
    <row r="105" spans="1:8">
      <c r="A105" s="62" t="s">
        <v>1408</v>
      </c>
      <c r="B105" s="78">
        <v>0.28999999999999998</v>
      </c>
      <c r="C105" s="78">
        <v>2516504.13</v>
      </c>
      <c r="D105" s="78">
        <v>2516504.42</v>
      </c>
      <c r="E105" s="78"/>
      <c r="F105" s="42">
        <v>0</v>
      </c>
      <c r="G105" s="42">
        <f t="shared" si="1"/>
        <v>0</v>
      </c>
      <c r="H105" s="2" t="str">
        <f>VLOOKUP(A105,'TB JULY'!A:H,8,0)</f>
        <v>Not Applicable</v>
      </c>
    </row>
    <row r="106" spans="1:8">
      <c r="A106" s="62" t="s">
        <v>213</v>
      </c>
      <c r="B106" s="78">
        <v>-60996.61</v>
      </c>
      <c r="C106" s="78"/>
      <c r="D106" s="78"/>
      <c r="E106" s="78">
        <v>-60996.61</v>
      </c>
      <c r="F106" s="42">
        <v>0</v>
      </c>
      <c r="G106" s="42">
        <f t="shared" si="1"/>
        <v>-60996.61</v>
      </c>
      <c r="H106" s="2" t="str">
        <f>VLOOKUP(A106,'TB JULY'!A:H,8,0)</f>
        <v>Not Applicable</v>
      </c>
    </row>
    <row r="107" spans="1:8">
      <c r="A107" s="62" t="s">
        <v>1129</v>
      </c>
      <c r="B107" s="78"/>
      <c r="C107" s="78"/>
      <c r="D107" s="78"/>
      <c r="E107" s="78"/>
      <c r="F107" s="42">
        <v>0</v>
      </c>
      <c r="G107" s="42">
        <f t="shared" si="1"/>
        <v>0</v>
      </c>
      <c r="H107" s="2" t="str">
        <f>VLOOKUP(A107,'TB JULY'!A:H,8,0)</f>
        <v>Not Applicable</v>
      </c>
    </row>
    <row r="108" spans="1:8">
      <c r="A108" s="62" t="s">
        <v>1010</v>
      </c>
      <c r="B108" s="78">
        <v>-0.8</v>
      </c>
      <c r="C108" s="78">
        <v>39718.800000000003</v>
      </c>
      <c r="D108" s="78">
        <v>39718</v>
      </c>
      <c r="E108" s="78"/>
      <c r="F108" s="42">
        <v>0</v>
      </c>
      <c r="G108" s="42">
        <f t="shared" si="1"/>
        <v>0</v>
      </c>
      <c r="H108" s="2" t="str">
        <f>VLOOKUP(A108,'TB JULY'!A:H,8,0)</f>
        <v>Not Applicable</v>
      </c>
    </row>
    <row r="109" spans="1:8">
      <c r="A109" s="62" t="s">
        <v>214</v>
      </c>
      <c r="B109" s="78"/>
      <c r="C109" s="78"/>
      <c r="D109" s="78"/>
      <c r="E109" s="78"/>
      <c r="F109" s="42">
        <v>0</v>
      </c>
      <c r="G109" s="42">
        <f t="shared" si="1"/>
        <v>0</v>
      </c>
      <c r="H109" s="2" t="str">
        <f>VLOOKUP(A109,'TB JULY'!A:H,8,0)</f>
        <v>Not Applicable</v>
      </c>
    </row>
    <row r="110" spans="1:8">
      <c r="A110" s="62" t="s">
        <v>215</v>
      </c>
      <c r="B110" s="78"/>
      <c r="C110" s="78"/>
      <c r="D110" s="78"/>
      <c r="E110" s="78"/>
      <c r="F110" s="42">
        <v>0</v>
      </c>
      <c r="G110" s="42">
        <f t="shared" si="1"/>
        <v>0</v>
      </c>
      <c r="H110" s="2" t="str">
        <f>VLOOKUP(A110,'TB JULY'!A:H,8,0)</f>
        <v>Not Applicable</v>
      </c>
    </row>
    <row r="111" spans="1:8">
      <c r="A111" s="62" t="s">
        <v>216</v>
      </c>
      <c r="B111" s="78"/>
      <c r="C111" s="78"/>
      <c r="D111" s="78"/>
      <c r="E111" s="78"/>
      <c r="F111" s="42">
        <v>0</v>
      </c>
      <c r="G111" s="42">
        <f t="shared" si="1"/>
        <v>0</v>
      </c>
      <c r="H111" s="2" t="str">
        <f>VLOOKUP(A111,'TB JULY'!A:H,8,0)</f>
        <v>Not Applicable</v>
      </c>
    </row>
    <row r="112" spans="1:8">
      <c r="A112" s="62" t="s">
        <v>220</v>
      </c>
      <c r="B112" s="78"/>
      <c r="C112" s="78"/>
      <c r="D112" s="78"/>
      <c r="E112" s="78"/>
      <c r="F112" s="42">
        <v>0</v>
      </c>
      <c r="G112" s="42">
        <f t="shared" si="1"/>
        <v>0</v>
      </c>
      <c r="H112" s="2" t="str">
        <f>VLOOKUP(A112,'TB JULY'!A:H,8,0)</f>
        <v>Not Applicable</v>
      </c>
    </row>
    <row r="113" spans="1:8">
      <c r="A113" s="62" t="s">
        <v>221</v>
      </c>
      <c r="B113" s="78">
        <v>38029942.490000002</v>
      </c>
      <c r="C113" s="78"/>
      <c r="D113" s="78"/>
      <c r="E113" s="78">
        <v>38029942.490000002</v>
      </c>
      <c r="F113" s="42">
        <v>0</v>
      </c>
      <c r="G113" s="42">
        <f t="shared" si="1"/>
        <v>38029942.490000002</v>
      </c>
      <c r="H113" s="2" t="str">
        <f>VLOOKUP(A113,'TB JULY'!A:H,8,0)</f>
        <v>Not Applicable</v>
      </c>
    </row>
    <row r="114" spans="1:8">
      <c r="A114" s="62" t="s">
        <v>222</v>
      </c>
      <c r="B114" s="78">
        <v>285662294.56</v>
      </c>
      <c r="C114" s="78">
        <v>52896060.600000001</v>
      </c>
      <c r="D114" s="78">
        <v>106092773.51000001</v>
      </c>
      <c r="E114" s="78">
        <v>232465581.65000001</v>
      </c>
      <c r="F114" s="42">
        <v>0</v>
      </c>
      <c r="G114" s="42">
        <f t="shared" si="1"/>
        <v>232465581.65000001</v>
      </c>
      <c r="H114" s="2" t="str">
        <f>VLOOKUP(A114,'TB JULY'!A:H,8,0)</f>
        <v>Not Applicable</v>
      </c>
    </row>
    <row r="115" spans="1:8">
      <c r="A115" s="62" t="s">
        <v>223</v>
      </c>
      <c r="B115" s="78">
        <v>2002647731.99</v>
      </c>
      <c r="C115" s="78">
        <v>148940062.58000001</v>
      </c>
      <c r="D115" s="78"/>
      <c r="E115" s="78">
        <v>2151587794.5700002</v>
      </c>
      <c r="F115" s="42">
        <v>0</v>
      </c>
      <c r="G115" s="42">
        <f t="shared" si="1"/>
        <v>2151587794.5700002</v>
      </c>
      <c r="H115" s="2" t="str">
        <f>VLOOKUP(A115,'TB JULY'!A:H,8,0)</f>
        <v>Not Applicable</v>
      </c>
    </row>
    <row r="116" spans="1:8">
      <c r="A116" s="62" t="s">
        <v>1549</v>
      </c>
      <c r="B116" s="78"/>
      <c r="C116" s="78">
        <v>733118.4</v>
      </c>
      <c r="D116" s="78">
        <v>733118.4</v>
      </c>
      <c r="E116" s="78"/>
      <c r="F116" s="42">
        <v>0</v>
      </c>
      <c r="G116" s="42">
        <f t="shared" si="1"/>
        <v>0</v>
      </c>
      <c r="H116" s="2" t="str">
        <f>VLOOKUP(A116,'TB JULY'!A:H,8,0)</f>
        <v>Not Applicable</v>
      </c>
    </row>
    <row r="117" spans="1:8">
      <c r="A117" s="62" t="s">
        <v>226</v>
      </c>
      <c r="B117" s="78">
        <v>4254750.16</v>
      </c>
      <c r="C117" s="78"/>
      <c r="D117" s="78"/>
      <c r="E117" s="78">
        <v>4254750.16</v>
      </c>
      <c r="F117" s="42">
        <v>0</v>
      </c>
      <c r="G117" s="42">
        <f t="shared" si="1"/>
        <v>4254750.16</v>
      </c>
      <c r="H117" s="2" t="str">
        <f>VLOOKUP(A117,'TB JULY'!A:H,8,0)</f>
        <v>Not Applicable</v>
      </c>
    </row>
    <row r="118" spans="1:8">
      <c r="A118" s="62" t="s">
        <v>229</v>
      </c>
      <c r="B118" s="78"/>
      <c r="C118" s="78"/>
      <c r="D118" s="78"/>
      <c r="E118" s="78"/>
      <c r="F118" s="42">
        <v>0</v>
      </c>
      <c r="G118" s="42">
        <f t="shared" si="1"/>
        <v>0</v>
      </c>
      <c r="H118" s="2" t="str">
        <f>VLOOKUP(A118,'TB JULY'!A:H,8,0)</f>
        <v>Not Applicable</v>
      </c>
    </row>
    <row r="119" spans="1:8">
      <c r="A119" s="62" t="s">
        <v>1409</v>
      </c>
      <c r="B119" s="78"/>
      <c r="C119" s="78">
        <v>1407150</v>
      </c>
      <c r="D119" s="78">
        <v>1407150</v>
      </c>
      <c r="E119" s="78"/>
      <c r="F119" s="42">
        <v>0</v>
      </c>
      <c r="G119" s="42">
        <f t="shared" si="1"/>
        <v>0</v>
      </c>
      <c r="H119" s="2" t="str">
        <f>VLOOKUP(A119,'TB JULY'!A:H,8,0)</f>
        <v>Not Applicable</v>
      </c>
    </row>
    <row r="120" spans="1:8">
      <c r="A120" s="62" t="s">
        <v>236</v>
      </c>
      <c r="B120" s="78">
        <v>3709</v>
      </c>
      <c r="C120" s="78"/>
      <c r="D120" s="78">
        <v>3709</v>
      </c>
      <c r="E120" s="78"/>
      <c r="F120" s="42">
        <v>0</v>
      </c>
      <c r="G120" s="42">
        <f t="shared" si="1"/>
        <v>0</v>
      </c>
      <c r="H120" s="2" t="str">
        <f>VLOOKUP(A120,'TB JULY'!A:H,8,0)</f>
        <v>Not Applicable</v>
      </c>
    </row>
    <row r="121" spans="1:8">
      <c r="A121" s="62" t="s">
        <v>1550</v>
      </c>
      <c r="B121" s="78"/>
      <c r="C121" s="78">
        <v>833983.5</v>
      </c>
      <c r="D121" s="78">
        <v>986472</v>
      </c>
      <c r="E121" s="78">
        <v>-152488.5</v>
      </c>
      <c r="F121" s="42">
        <v>0</v>
      </c>
      <c r="G121" s="42">
        <f t="shared" si="1"/>
        <v>-152488.5</v>
      </c>
      <c r="H121" s="2" t="str">
        <f>VLOOKUP(A121,'TB JULY'!A:H,8,0)</f>
        <v>Not Applicable</v>
      </c>
    </row>
    <row r="122" spans="1:8">
      <c r="A122" s="62" t="s">
        <v>1506</v>
      </c>
      <c r="B122" s="78"/>
      <c r="C122" s="78">
        <v>274944.71999999997</v>
      </c>
      <c r="D122" s="78">
        <v>274944.71999999997</v>
      </c>
      <c r="E122" s="78"/>
      <c r="F122" s="42">
        <v>0</v>
      </c>
      <c r="G122" s="42">
        <f t="shared" si="1"/>
        <v>0</v>
      </c>
      <c r="H122" s="2" t="str">
        <f>VLOOKUP(A122,'TB JULY'!A:H,8,0)</f>
        <v>Not Applicable</v>
      </c>
    </row>
    <row r="123" spans="1:8">
      <c r="A123" s="62" t="s">
        <v>234</v>
      </c>
      <c r="B123" s="78"/>
      <c r="C123" s="78"/>
      <c r="D123" s="78"/>
      <c r="E123" s="78"/>
      <c r="F123" s="42">
        <v>0</v>
      </c>
      <c r="G123" s="42">
        <f t="shared" si="1"/>
        <v>0</v>
      </c>
      <c r="H123" s="2" t="s">
        <v>84</v>
      </c>
    </row>
    <row r="124" spans="1:8">
      <c r="A124" s="62" t="s">
        <v>1523</v>
      </c>
      <c r="B124" s="78"/>
      <c r="C124" s="78">
        <v>876881.25</v>
      </c>
      <c r="D124" s="78">
        <v>877625</v>
      </c>
      <c r="E124" s="78">
        <v>-743.75</v>
      </c>
      <c r="F124" s="42">
        <v>0</v>
      </c>
      <c r="G124" s="42">
        <f t="shared" si="1"/>
        <v>-743.75</v>
      </c>
      <c r="H124" s="2" t="str">
        <f>VLOOKUP(A124,'TB JULY'!A:H,8,0)</f>
        <v>Not Applicable</v>
      </c>
    </row>
    <row r="125" spans="1:8">
      <c r="A125" s="62" t="s">
        <v>1307</v>
      </c>
      <c r="B125" s="78"/>
      <c r="C125" s="78"/>
      <c r="D125" s="78"/>
      <c r="E125" s="78"/>
      <c r="F125" s="42">
        <v>0</v>
      </c>
      <c r="G125" s="42">
        <f t="shared" si="1"/>
        <v>0</v>
      </c>
      <c r="H125" s="2" t="str">
        <f>VLOOKUP(A125,'TB JULY'!A:H,8,0)</f>
        <v>Not Applicable</v>
      </c>
    </row>
    <row r="126" spans="1:8">
      <c r="A126" s="62" t="s">
        <v>237</v>
      </c>
      <c r="B126" s="78">
        <v>-399.12</v>
      </c>
      <c r="C126" s="78"/>
      <c r="D126" s="78"/>
      <c r="E126" s="78">
        <v>-399.12</v>
      </c>
      <c r="F126" s="42">
        <v>0</v>
      </c>
      <c r="G126" s="42">
        <f t="shared" si="1"/>
        <v>-399.12</v>
      </c>
      <c r="H126" s="2" t="str">
        <f>VLOOKUP(A126,'TB JULY'!A:H,8,0)</f>
        <v>Not Applicable</v>
      </c>
    </row>
    <row r="127" spans="1:8">
      <c r="A127" s="62" t="s">
        <v>1112</v>
      </c>
      <c r="B127" s="78">
        <v>-0.2</v>
      </c>
      <c r="C127" s="78"/>
      <c r="D127" s="78"/>
      <c r="E127" s="78">
        <v>-0.2</v>
      </c>
      <c r="F127" s="42">
        <v>0</v>
      </c>
      <c r="G127" s="42">
        <f t="shared" si="1"/>
        <v>-0.2</v>
      </c>
      <c r="H127" s="2" t="str">
        <f>VLOOKUP(A127,'TB JULY'!A:H,8,0)</f>
        <v>Not Applicable</v>
      </c>
    </row>
    <row r="128" spans="1:8">
      <c r="A128" s="62" t="s">
        <v>1410</v>
      </c>
      <c r="B128" s="78"/>
      <c r="C128" s="78"/>
      <c r="D128" s="78"/>
      <c r="E128" s="78"/>
      <c r="F128" s="42">
        <v>0</v>
      </c>
      <c r="G128" s="42">
        <f t="shared" si="1"/>
        <v>0</v>
      </c>
      <c r="H128" s="2" t="str">
        <f>VLOOKUP(A128,'TB JULY'!A:H,8,0)</f>
        <v>Not Applicable</v>
      </c>
    </row>
    <row r="129" spans="1:8">
      <c r="A129" s="62" t="s">
        <v>856</v>
      </c>
      <c r="B129" s="78"/>
      <c r="C129" s="78"/>
      <c r="D129" s="78"/>
      <c r="E129" s="78"/>
      <c r="F129" s="42">
        <v>0</v>
      </c>
      <c r="G129" s="42">
        <f t="shared" si="1"/>
        <v>0</v>
      </c>
      <c r="H129" s="2" t="str">
        <f>VLOOKUP(A129,'TB JULY'!A:H,8,0)</f>
        <v>Not Applicable</v>
      </c>
    </row>
    <row r="130" spans="1:8">
      <c r="A130" s="62" t="s">
        <v>1084</v>
      </c>
      <c r="B130" s="78">
        <v>36647.85</v>
      </c>
      <c r="C130" s="78"/>
      <c r="D130" s="78">
        <v>36647.85</v>
      </c>
      <c r="E130" s="78"/>
      <c r="F130" s="42">
        <v>0</v>
      </c>
      <c r="G130" s="42">
        <f t="shared" si="1"/>
        <v>0</v>
      </c>
      <c r="H130" s="2" t="str">
        <f>VLOOKUP(A130,'TB JULY'!A:H,8,0)</f>
        <v>Not Applicable</v>
      </c>
    </row>
    <row r="131" spans="1:8">
      <c r="A131" s="62" t="s">
        <v>1507</v>
      </c>
      <c r="B131" s="78"/>
      <c r="C131" s="78"/>
      <c r="D131" s="78"/>
      <c r="E131" s="78"/>
      <c r="F131" s="42">
        <v>0</v>
      </c>
      <c r="G131" s="42">
        <f t="shared" si="1"/>
        <v>0</v>
      </c>
      <c r="H131" s="2" t="s">
        <v>84</v>
      </c>
    </row>
    <row r="132" spans="1:8">
      <c r="A132" s="62" t="s">
        <v>251</v>
      </c>
      <c r="B132" s="78">
        <v>5897841.1200000001</v>
      </c>
      <c r="C132" s="78">
        <v>2702520.96</v>
      </c>
      <c r="D132" s="78">
        <v>4600000</v>
      </c>
      <c r="E132" s="78">
        <v>4000362.08</v>
      </c>
      <c r="F132" s="42">
        <v>0</v>
      </c>
      <c r="G132" s="42">
        <f t="shared" si="1"/>
        <v>4000362.08</v>
      </c>
      <c r="H132" s="2" t="str">
        <f>VLOOKUP(A132,'TB JULY'!A:H,8,0)</f>
        <v>Not Applicable</v>
      </c>
    </row>
    <row r="133" spans="1:8">
      <c r="A133" s="62" t="s">
        <v>262</v>
      </c>
      <c r="B133" s="78">
        <v>37315340.590000004</v>
      </c>
      <c r="C133" s="78"/>
      <c r="D133" s="78"/>
      <c r="E133" s="78">
        <v>37315340.590000004</v>
      </c>
      <c r="F133" s="42">
        <v>0</v>
      </c>
      <c r="G133" s="42">
        <f t="shared" si="1"/>
        <v>37315340.590000004</v>
      </c>
      <c r="H133" s="2" t="str">
        <f>VLOOKUP(A133,'TB JULY'!A:H,8,0)</f>
        <v>Not Applicable</v>
      </c>
    </row>
    <row r="134" spans="1:8">
      <c r="A134" s="62" t="s">
        <v>263</v>
      </c>
      <c r="B134" s="78">
        <v>144441320.65000001</v>
      </c>
      <c r="C134" s="78"/>
      <c r="D134" s="78"/>
      <c r="E134" s="78">
        <v>144441320.65000001</v>
      </c>
      <c r="F134" s="42">
        <v>0</v>
      </c>
      <c r="G134" s="42">
        <f t="shared" si="1"/>
        <v>144441320.65000001</v>
      </c>
      <c r="H134" s="2" t="str">
        <f>VLOOKUP(A134,'TB JULY'!A:H,8,0)</f>
        <v>Not Applicable</v>
      </c>
    </row>
    <row r="135" spans="1:8">
      <c r="A135" s="62" t="s">
        <v>264</v>
      </c>
      <c r="B135" s="78">
        <v>83440</v>
      </c>
      <c r="C135" s="78"/>
      <c r="D135" s="78"/>
      <c r="E135" s="78">
        <v>83440</v>
      </c>
      <c r="F135" s="42">
        <v>0</v>
      </c>
      <c r="G135" s="42">
        <f t="shared" ref="G135:G198" si="2">E135+F135</f>
        <v>83440</v>
      </c>
      <c r="H135" s="2" t="str">
        <f>VLOOKUP(A135,'TB JULY'!A:H,8,0)</f>
        <v>Not Applicable</v>
      </c>
    </row>
    <row r="136" spans="1:8">
      <c r="A136" s="62" t="s">
        <v>265</v>
      </c>
      <c r="B136" s="78">
        <v>-44800</v>
      </c>
      <c r="C136" s="78"/>
      <c r="D136" s="78"/>
      <c r="E136" s="78">
        <v>-44800</v>
      </c>
      <c r="F136" s="42">
        <v>0</v>
      </c>
      <c r="G136" s="42">
        <f t="shared" si="2"/>
        <v>-44800</v>
      </c>
      <c r="H136" s="2" t="str">
        <f>VLOOKUP(A136,'TB JULY'!A:H,8,0)</f>
        <v>Not Applicable</v>
      </c>
    </row>
    <row r="137" spans="1:8">
      <c r="A137" s="62" t="s">
        <v>266</v>
      </c>
      <c r="B137" s="78">
        <v>4599669.7300000004</v>
      </c>
      <c r="C137" s="78"/>
      <c r="D137" s="78"/>
      <c r="E137" s="78">
        <v>4599669.7300000004</v>
      </c>
      <c r="F137" s="42">
        <v>0</v>
      </c>
      <c r="G137" s="42">
        <f t="shared" si="2"/>
        <v>4599669.7300000004</v>
      </c>
      <c r="H137" s="2" t="str">
        <f>VLOOKUP(A137,'TB JULY'!A:H,8,0)</f>
        <v>Not Applicable</v>
      </c>
    </row>
    <row r="138" spans="1:8">
      <c r="A138" s="62" t="s">
        <v>1085</v>
      </c>
      <c r="B138" s="78"/>
      <c r="C138" s="78">
        <v>26539.38</v>
      </c>
      <c r="D138" s="78">
        <v>26539.38</v>
      </c>
      <c r="E138" s="78"/>
      <c r="F138" s="42">
        <v>0</v>
      </c>
      <c r="G138" s="42">
        <f t="shared" si="2"/>
        <v>0</v>
      </c>
      <c r="H138" s="2" t="str">
        <f>VLOOKUP(A138,'TB JULY'!A:H,8,0)</f>
        <v>Not Applicable</v>
      </c>
    </row>
    <row r="139" spans="1:8">
      <c r="A139" s="62" t="s">
        <v>271</v>
      </c>
      <c r="B139" s="78">
        <v>1000</v>
      </c>
      <c r="C139" s="78"/>
      <c r="D139" s="78"/>
      <c r="E139" s="78">
        <v>1000</v>
      </c>
      <c r="F139" s="42">
        <v>0</v>
      </c>
      <c r="G139" s="42">
        <f t="shared" si="2"/>
        <v>1000</v>
      </c>
      <c r="H139" s="2" t="str">
        <f>VLOOKUP(A139,'TB JULY'!A:H,8,0)</f>
        <v>Not Applicable</v>
      </c>
    </row>
    <row r="140" spans="1:8">
      <c r="A140" s="62" t="s">
        <v>1011</v>
      </c>
      <c r="B140" s="78">
        <v>42831</v>
      </c>
      <c r="C140" s="78"/>
      <c r="D140" s="78">
        <v>42831</v>
      </c>
      <c r="E140" s="78"/>
      <c r="F140" s="42">
        <v>0</v>
      </c>
      <c r="G140" s="42">
        <f t="shared" si="2"/>
        <v>0</v>
      </c>
      <c r="H140" s="2" t="str">
        <f>VLOOKUP(A140,'TB JULY'!A:H,8,0)</f>
        <v>Not Applicable</v>
      </c>
    </row>
    <row r="141" spans="1:8">
      <c r="A141" s="62" t="s">
        <v>272</v>
      </c>
      <c r="B141" s="78">
        <v>5253236.1500000004</v>
      </c>
      <c r="C141" s="78"/>
      <c r="D141" s="78"/>
      <c r="E141" s="78">
        <v>5253236.1500000004</v>
      </c>
      <c r="F141" s="42">
        <v>0</v>
      </c>
      <c r="G141" s="42">
        <f t="shared" si="2"/>
        <v>5253236.1500000004</v>
      </c>
      <c r="H141" s="2" t="str">
        <f>VLOOKUP(A141,'TB JULY'!A:H,8,0)</f>
        <v>Not Applicable</v>
      </c>
    </row>
    <row r="142" spans="1:8">
      <c r="A142" s="62" t="s">
        <v>273</v>
      </c>
      <c r="B142" s="78"/>
      <c r="C142" s="78"/>
      <c r="D142" s="78"/>
      <c r="E142" s="78"/>
      <c r="F142" s="42">
        <v>0</v>
      </c>
      <c r="G142" s="42">
        <f t="shared" si="2"/>
        <v>0</v>
      </c>
      <c r="H142" s="2" t="str">
        <f>VLOOKUP(A142,'TB JULY'!A:H,8,0)</f>
        <v>Not Applicable</v>
      </c>
    </row>
    <row r="143" spans="1:8">
      <c r="A143" s="62" t="s">
        <v>997</v>
      </c>
      <c r="B143" s="78">
        <v>790600</v>
      </c>
      <c r="C143" s="78">
        <v>849600</v>
      </c>
      <c r="D143" s="78">
        <v>790600</v>
      </c>
      <c r="E143" s="78">
        <v>849600</v>
      </c>
      <c r="F143" s="42">
        <v>0</v>
      </c>
      <c r="G143" s="42">
        <f t="shared" si="2"/>
        <v>849600</v>
      </c>
      <c r="H143" s="2" t="str">
        <f>VLOOKUP(A143,'TB JULY'!A:H,8,0)</f>
        <v>Not Applicable</v>
      </c>
    </row>
    <row r="144" spans="1:8">
      <c r="A144" s="62" t="s">
        <v>278</v>
      </c>
      <c r="B144" s="78">
        <v>-41231265.590000004</v>
      </c>
      <c r="C144" s="78"/>
      <c r="D144" s="78"/>
      <c r="E144" s="78">
        <v>-41231265.590000004</v>
      </c>
      <c r="F144" s="42">
        <v>0</v>
      </c>
      <c r="G144" s="42">
        <f t="shared" si="2"/>
        <v>-41231265.590000004</v>
      </c>
      <c r="H144" s="2" t="str">
        <f>VLOOKUP(A144,'TB JULY'!A:H,8,0)</f>
        <v>Not Applicable</v>
      </c>
    </row>
    <row r="145" spans="1:8">
      <c r="A145" s="62" t="s">
        <v>279</v>
      </c>
      <c r="B145" s="78">
        <v>2313539751.3099999</v>
      </c>
      <c r="C145" s="78">
        <v>66866403.649999999</v>
      </c>
      <c r="D145" s="78">
        <v>3762508.77</v>
      </c>
      <c r="E145" s="78">
        <v>2376643646.1900001</v>
      </c>
      <c r="F145" s="42">
        <v>0</v>
      </c>
      <c r="G145" s="42">
        <f t="shared" si="2"/>
        <v>2376643646.1900001</v>
      </c>
      <c r="H145" s="2" t="str">
        <f>VLOOKUP(A145,'TB JULY'!A:H,8,0)</f>
        <v>Not Applicable</v>
      </c>
    </row>
    <row r="146" spans="1:8">
      <c r="A146" s="62" t="s">
        <v>280</v>
      </c>
      <c r="B146" s="78">
        <v>14907.1</v>
      </c>
      <c r="C146" s="78"/>
      <c r="D146" s="78"/>
      <c r="E146" s="78">
        <v>14907.1</v>
      </c>
      <c r="F146" s="42">
        <v>0</v>
      </c>
      <c r="G146" s="42">
        <f t="shared" si="2"/>
        <v>14907.1</v>
      </c>
      <c r="H146" s="2" t="str">
        <f>VLOOKUP(A146,'TB JULY'!A:H,8,0)</f>
        <v>Not Applicable</v>
      </c>
    </row>
    <row r="147" spans="1:8">
      <c r="A147" s="62" t="s">
        <v>281</v>
      </c>
      <c r="B147" s="78">
        <v>334761187.47000003</v>
      </c>
      <c r="C147" s="78"/>
      <c r="D147" s="78"/>
      <c r="E147" s="78">
        <v>334761187.47000003</v>
      </c>
      <c r="F147" s="42">
        <v>0</v>
      </c>
      <c r="G147" s="42">
        <f t="shared" si="2"/>
        <v>334761187.47000003</v>
      </c>
      <c r="H147" s="2" t="str">
        <f>VLOOKUP(A147,'TB JULY'!A:H,8,0)</f>
        <v>Not Applicable</v>
      </c>
    </row>
    <row r="148" spans="1:8">
      <c r="A148" s="62" t="s">
        <v>282</v>
      </c>
      <c r="B148" s="78">
        <v>190645194.84999999</v>
      </c>
      <c r="C148" s="78"/>
      <c r="D148" s="78"/>
      <c r="E148" s="78">
        <v>190645194.84999999</v>
      </c>
      <c r="F148" s="42">
        <v>0</v>
      </c>
      <c r="G148" s="42">
        <f t="shared" si="2"/>
        <v>190645194.84999999</v>
      </c>
      <c r="H148" s="2" t="str">
        <f>VLOOKUP(A148,'TB JULY'!A:H,8,0)</f>
        <v>Not Applicable</v>
      </c>
    </row>
    <row r="149" spans="1:8">
      <c r="A149" s="62" t="s">
        <v>284</v>
      </c>
      <c r="B149" s="78">
        <v>1250730553.02</v>
      </c>
      <c r="C149" s="78">
        <v>112995018.8</v>
      </c>
      <c r="D149" s="78">
        <v>17370</v>
      </c>
      <c r="E149" s="78">
        <v>1363708201.8199999</v>
      </c>
      <c r="F149" s="42">
        <v>0</v>
      </c>
      <c r="G149" s="42">
        <f t="shared" si="2"/>
        <v>1363708201.8199999</v>
      </c>
      <c r="H149" s="2" t="str">
        <f>VLOOKUP(A149,'TB JULY'!A:H,8,0)</f>
        <v>Not Applicable</v>
      </c>
    </row>
    <row r="150" spans="1:8">
      <c r="A150" s="62" t="s">
        <v>998</v>
      </c>
      <c r="B150" s="78">
        <v>458670</v>
      </c>
      <c r="C150" s="78"/>
      <c r="D150" s="78"/>
      <c r="E150" s="78">
        <v>458670</v>
      </c>
      <c r="F150" s="42">
        <v>0</v>
      </c>
      <c r="G150" s="42">
        <f t="shared" si="2"/>
        <v>458670</v>
      </c>
      <c r="H150" s="2" t="str">
        <f>VLOOKUP(A150,'TB JULY'!A:H,8,0)</f>
        <v>Not Applicable</v>
      </c>
    </row>
    <row r="151" spans="1:8">
      <c r="A151" s="62" t="s">
        <v>292</v>
      </c>
      <c r="B151" s="78">
        <v>580857.16</v>
      </c>
      <c r="C151" s="78"/>
      <c r="D151" s="78"/>
      <c r="E151" s="78">
        <v>580857.16</v>
      </c>
      <c r="F151" s="42">
        <v>0</v>
      </c>
      <c r="G151" s="42">
        <f t="shared" si="2"/>
        <v>580857.16</v>
      </c>
      <c r="H151" s="2" t="str">
        <f>VLOOKUP(A151,'TB JULY'!A:H,8,0)</f>
        <v>Not Applicable</v>
      </c>
    </row>
    <row r="152" spans="1:8">
      <c r="A152" s="62" t="s">
        <v>957</v>
      </c>
      <c r="B152" s="78"/>
      <c r="C152" s="78"/>
      <c r="D152" s="78"/>
      <c r="E152" s="78"/>
      <c r="F152" s="42">
        <v>0</v>
      </c>
      <c r="G152" s="42">
        <f t="shared" si="2"/>
        <v>0</v>
      </c>
      <c r="H152" s="2" t="str">
        <f>VLOOKUP(A152,'TB JULY'!A:H,8,0)</f>
        <v>Not Applicable</v>
      </c>
    </row>
    <row r="153" spans="1:8">
      <c r="A153" s="62" t="s">
        <v>1551</v>
      </c>
      <c r="B153" s="78"/>
      <c r="C153" s="78">
        <v>211533</v>
      </c>
      <c r="D153" s="78">
        <v>211533</v>
      </c>
      <c r="E153" s="78"/>
      <c r="F153" s="42">
        <v>0</v>
      </c>
      <c r="G153" s="42">
        <f t="shared" si="2"/>
        <v>0</v>
      </c>
      <c r="H153" s="2" t="str">
        <f>VLOOKUP(A153,'TB JULY'!A:H,8,0)</f>
        <v>Not Applicable</v>
      </c>
    </row>
    <row r="154" spans="1:8">
      <c r="A154" s="62" t="s">
        <v>1002</v>
      </c>
      <c r="B154" s="78"/>
      <c r="C154" s="78"/>
      <c r="D154" s="78"/>
      <c r="E154" s="78"/>
      <c r="F154" s="42">
        <v>0</v>
      </c>
      <c r="G154" s="42">
        <f t="shared" si="2"/>
        <v>0</v>
      </c>
      <c r="H154" s="2" t="str">
        <f>VLOOKUP(A154,'TB JULY'!A:H,8,0)</f>
        <v>Not Applicable</v>
      </c>
    </row>
    <row r="155" spans="1:8">
      <c r="A155" s="62" t="s">
        <v>918</v>
      </c>
      <c r="B155" s="78"/>
      <c r="C155" s="78"/>
      <c r="D155" s="78"/>
      <c r="E155" s="78"/>
      <c r="F155" s="42">
        <v>0</v>
      </c>
      <c r="G155" s="42">
        <f t="shared" si="2"/>
        <v>0</v>
      </c>
      <c r="H155" s="2" t="s">
        <v>84</v>
      </c>
    </row>
    <row r="156" spans="1:8">
      <c r="A156" s="62" t="s">
        <v>299</v>
      </c>
      <c r="B156" s="78"/>
      <c r="C156" s="78"/>
      <c r="D156" s="78"/>
      <c r="E156" s="78"/>
      <c r="F156" s="42">
        <v>0</v>
      </c>
      <c r="G156" s="42">
        <f t="shared" si="2"/>
        <v>0</v>
      </c>
      <c r="H156" s="2" t="str">
        <f>VLOOKUP(A156,'TB JULY'!A:H,8,0)</f>
        <v>Not Applicable</v>
      </c>
    </row>
    <row r="157" spans="1:8">
      <c r="A157" s="62" t="s">
        <v>1596</v>
      </c>
      <c r="B157" s="78"/>
      <c r="C157" s="78">
        <v>2407200</v>
      </c>
      <c r="D157" s="78">
        <v>2407200</v>
      </c>
      <c r="E157" s="78"/>
      <c r="F157" s="42">
        <v>0</v>
      </c>
      <c r="G157" s="42">
        <f t="shared" si="2"/>
        <v>0</v>
      </c>
      <c r="H157" s="2" t="str">
        <f>VLOOKUP(A157,'TB JULY'!A:H,8,0)</f>
        <v>Not Applicable</v>
      </c>
    </row>
    <row r="158" spans="1:8">
      <c r="A158" s="62" t="s">
        <v>302</v>
      </c>
      <c r="B158" s="78"/>
      <c r="C158" s="78"/>
      <c r="D158" s="78"/>
      <c r="E158" s="78"/>
      <c r="F158" s="42">
        <v>0</v>
      </c>
      <c r="G158" s="42">
        <f t="shared" si="2"/>
        <v>0</v>
      </c>
      <c r="H158" s="2" t="str">
        <f>VLOOKUP(A158,'TB JULY'!A:H,8,0)</f>
        <v>Not Applicable</v>
      </c>
    </row>
    <row r="159" spans="1:8">
      <c r="A159" s="62" t="s">
        <v>1508</v>
      </c>
      <c r="B159" s="78"/>
      <c r="C159" s="78">
        <v>207680</v>
      </c>
      <c r="D159" s="78">
        <v>207680</v>
      </c>
      <c r="E159" s="78"/>
      <c r="F159" s="42">
        <v>0</v>
      </c>
      <c r="G159" s="42">
        <f t="shared" si="2"/>
        <v>0</v>
      </c>
      <c r="H159" s="2" t="str">
        <f>VLOOKUP(A159,'TB JULY'!A:H,8,0)</f>
        <v>Not Applicable</v>
      </c>
    </row>
    <row r="160" spans="1:8">
      <c r="A160" s="62" t="s">
        <v>313</v>
      </c>
      <c r="B160" s="78"/>
      <c r="C160" s="78"/>
      <c r="D160" s="78"/>
      <c r="E160" s="78"/>
      <c r="F160" s="42">
        <v>0</v>
      </c>
      <c r="G160" s="42">
        <f t="shared" si="2"/>
        <v>0</v>
      </c>
      <c r="H160" s="2" t="str">
        <f>VLOOKUP(A160,'TB JULY'!A:H,8,0)</f>
        <v>Not Applicable</v>
      </c>
    </row>
    <row r="161" spans="1:8">
      <c r="A161" s="62" t="s">
        <v>314</v>
      </c>
      <c r="B161" s="78">
        <v>0.21</v>
      </c>
      <c r="C161" s="78"/>
      <c r="D161" s="78">
        <v>500000</v>
      </c>
      <c r="E161" s="78">
        <v>-499999.79</v>
      </c>
      <c r="F161" s="42">
        <v>0</v>
      </c>
      <c r="G161" s="42">
        <f t="shared" si="2"/>
        <v>-499999.79</v>
      </c>
      <c r="H161" s="2" t="str">
        <f>VLOOKUP(A161,'TB JULY'!A:H,8,0)</f>
        <v>Not Applicable</v>
      </c>
    </row>
    <row r="162" spans="1:8">
      <c r="A162" s="62" t="s">
        <v>1156</v>
      </c>
      <c r="B162" s="78">
        <v>0.4</v>
      </c>
      <c r="C162" s="78"/>
      <c r="D162" s="78"/>
      <c r="E162" s="78">
        <v>0.4</v>
      </c>
      <c r="F162" s="42">
        <v>0</v>
      </c>
      <c r="G162" s="42">
        <f t="shared" si="2"/>
        <v>0.4</v>
      </c>
      <c r="H162" s="2" t="str">
        <f>VLOOKUP(A162,'TB JULY'!A:H,8,0)</f>
        <v>Not Applicable</v>
      </c>
    </row>
    <row r="163" spans="1:8">
      <c r="A163" s="62" t="s">
        <v>315</v>
      </c>
      <c r="B163" s="78"/>
      <c r="C163" s="78"/>
      <c r="D163" s="78"/>
      <c r="E163" s="78"/>
      <c r="F163" s="42">
        <v>0</v>
      </c>
      <c r="G163" s="42">
        <f t="shared" si="2"/>
        <v>0</v>
      </c>
      <c r="H163" s="2" t="str">
        <f>VLOOKUP(A163,'TB JULY'!A:H,8,0)</f>
        <v>Not Applicable</v>
      </c>
    </row>
    <row r="164" spans="1:8">
      <c r="A164" s="62" t="s">
        <v>316</v>
      </c>
      <c r="B164" s="78"/>
      <c r="C164" s="78"/>
      <c r="D164" s="78"/>
      <c r="E164" s="78"/>
      <c r="F164" s="42">
        <v>0</v>
      </c>
      <c r="G164" s="42">
        <f t="shared" si="2"/>
        <v>0</v>
      </c>
      <c r="H164" s="2" t="str">
        <f>VLOOKUP(A164,'TB JULY'!A:H,8,0)</f>
        <v>Not Applicable</v>
      </c>
    </row>
    <row r="165" spans="1:8">
      <c r="A165" s="62" t="s">
        <v>1229</v>
      </c>
      <c r="B165" s="78"/>
      <c r="C165" s="78">
        <v>116923</v>
      </c>
      <c r="D165" s="78">
        <v>116923</v>
      </c>
      <c r="E165" s="78"/>
      <c r="F165" s="42">
        <v>0</v>
      </c>
      <c r="G165" s="42">
        <f t="shared" si="2"/>
        <v>0</v>
      </c>
      <c r="H165" s="2" t="str">
        <f>VLOOKUP(A165,'TB JULY'!A:H,8,0)</f>
        <v>Not Applicable</v>
      </c>
    </row>
    <row r="166" spans="1:8">
      <c r="A166" s="62" t="s">
        <v>999</v>
      </c>
      <c r="B166" s="78">
        <v>5927.06</v>
      </c>
      <c r="C166" s="78"/>
      <c r="D166" s="78">
        <v>5927.06</v>
      </c>
      <c r="E166" s="78"/>
      <c r="F166" s="42">
        <v>0</v>
      </c>
      <c r="G166" s="42">
        <f t="shared" si="2"/>
        <v>0</v>
      </c>
      <c r="H166" s="2" t="str">
        <f>VLOOKUP(A166,'TB JULY'!A:H,8,0)</f>
        <v>Not Applicable</v>
      </c>
    </row>
    <row r="167" spans="1:8">
      <c r="A167" s="62" t="s">
        <v>328</v>
      </c>
      <c r="B167" s="78"/>
      <c r="C167" s="78"/>
      <c r="D167" s="78"/>
      <c r="E167" s="78"/>
      <c r="F167" s="42">
        <v>0</v>
      </c>
      <c r="G167" s="42">
        <f t="shared" si="2"/>
        <v>0</v>
      </c>
      <c r="H167" s="2" t="str">
        <f>VLOOKUP(A167,'TB JULY'!A:H,8,0)</f>
        <v>Not Applicable</v>
      </c>
    </row>
    <row r="168" spans="1:8">
      <c r="A168" s="62" t="s">
        <v>921</v>
      </c>
      <c r="B168" s="78"/>
      <c r="C168" s="78"/>
      <c r="D168" s="78"/>
      <c r="E168" s="78"/>
      <c r="F168" s="42">
        <v>0</v>
      </c>
      <c r="G168" s="42">
        <f t="shared" si="2"/>
        <v>0</v>
      </c>
      <c r="H168" s="2" t="str">
        <f>VLOOKUP(A168,'TB JULY'!A:H,8,0)</f>
        <v>Not Applicable</v>
      </c>
    </row>
    <row r="169" spans="1:8">
      <c r="A169" s="62" t="s">
        <v>1021</v>
      </c>
      <c r="B169" s="78">
        <v>43680</v>
      </c>
      <c r="C169" s="78"/>
      <c r="D169" s="78"/>
      <c r="E169" s="78">
        <v>43680</v>
      </c>
      <c r="F169" s="42">
        <v>0</v>
      </c>
      <c r="G169" s="42">
        <f t="shared" si="2"/>
        <v>43680</v>
      </c>
      <c r="H169" s="2" t="str">
        <f>VLOOKUP(A169,'TB JULY'!A:H,8,0)</f>
        <v>Not Applicable</v>
      </c>
    </row>
    <row r="170" spans="1:8">
      <c r="A170" s="62" t="s">
        <v>1255</v>
      </c>
      <c r="B170" s="78">
        <v>660271.35999999999</v>
      </c>
      <c r="C170" s="78">
        <v>169827.96</v>
      </c>
      <c r="D170" s="78">
        <v>825340.88</v>
      </c>
      <c r="E170" s="78">
        <v>4758.4399999999996</v>
      </c>
      <c r="F170" s="42">
        <v>0</v>
      </c>
      <c r="G170" s="42">
        <f t="shared" si="2"/>
        <v>4758.4399999999996</v>
      </c>
      <c r="H170" s="2" t="str">
        <f>VLOOKUP(A170,'TB JULY'!A:H,8,0)</f>
        <v>Not Applicable</v>
      </c>
    </row>
    <row r="171" spans="1:8">
      <c r="A171" s="62" t="s">
        <v>350</v>
      </c>
      <c r="B171" s="78">
        <v>2043</v>
      </c>
      <c r="C171" s="78"/>
      <c r="D171" s="78">
        <v>2043</v>
      </c>
      <c r="E171" s="78"/>
      <c r="F171" s="42">
        <v>0</v>
      </c>
      <c r="G171" s="42">
        <f t="shared" si="2"/>
        <v>0</v>
      </c>
      <c r="H171" s="2" t="str">
        <f>VLOOKUP(A171,'TB JULY'!A:H,8,0)</f>
        <v>Not Applicable</v>
      </c>
    </row>
    <row r="172" spans="1:8">
      <c r="A172" s="62" t="s">
        <v>351</v>
      </c>
      <c r="B172" s="78"/>
      <c r="C172" s="78"/>
      <c r="D172" s="78"/>
      <c r="E172" s="78"/>
      <c r="F172" s="42">
        <v>0</v>
      </c>
      <c r="G172" s="42">
        <f t="shared" si="2"/>
        <v>0</v>
      </c>
      <c r="H172" s="2" t="str">
        <f>VLOOKUP(A172,'TB JULY'!A:H,8,0)</f>
        <v>Not Applicable</v>
      </c>
    </row>
    <row r="173" spans="1:8">
      <c r="A173" s="62" t="s">
        <v>922</v>
      </c>
      <c r="B173" s="78"/>
      <c r="C173" s="78"/>
      <c r="D173" s="78"/>
      <c r="E173" s="78"/>
      <c r="F173" s="42">
        <v>0</v>
      </c>
      <c r="G173" s="42">
        <f t="shared" si="2"/>
        <v>0</v>
      </c>
      <c r="H173" s="2" t="str">
        <f>VLOOKUP(A173,'TB JULY'!A:H,8,0)</f>
        <v>Not Applicable</v>
      </c>
    </row>
    <row r="174" spans="1:8">
      <c r="A174" s="62" t="s">
        <v>1509</v>
      </c>
      <c r="B174" s="78"/>
      <c r="C174" s="78"/>
      <c r="D174" s="78"/>
      <c r="E174" s="78"/>
      <c r="F174" s="42">
        <v>0</v>
      </c>
      <c r="G174" s="42">
        <f t="shared" si="2"/>
        <v>0</v>
      </c>
      <c r="H174" s="2" t="str">
        <f>VLOOKUP(A174,'TB JULY'!A:H,8,0)</f>
        <v>Not Applicable</v>
      </c>
    </row>
    <row r="175" spans="1:8">
      <c r="A175" s="62" t="s">
        <v>83</v>
      </c>
      <c r="B175" s="78"/>
      <c r="C175" s="78"/>
      <c r="D175" s="78"/>
      <c r="E175" s="78"/>
      <c r="F175" s="42">
        <v>0</v>
      </c>
      <c r="G175" s="42">
        <f t="shared" si="2"/>
        <v>0</v>
      </c>
      <c r="H175" s="2" t="str">
        <f>VLOOKUP(A175,'TB JULY'!A:H,8,0)</f>
        <v>Not Applicable</v>
      </c>
    </row>
    <row r="176" spans="1:8">
      <c r="A176" s="62" t="s">
        <v>88</v>
      </c>
      <c r="B176" s="78">
        <v>0.01</v>
      </c>
      <c r="C176" s="78"/>
      <c r="D176" s="78"/>
      <c r="E176" s="78">
        <v>0.01</v>
      </c>
      <c r="F176" s="42">
        <v>0</v>
      </c>
      <c r="G176" s="42">
        <f t="shared" si="2"/>
        <v>0.01</v>
      </c>
      <c r="H176" s="2" t="str">
        <f>VLOOKUP(A176,'TB JULY'!A:H,8,0)</f>
        <v>Not Applicable</v>
      </c>
    </row>
    <row r="177" spans="1:8">
      <c r="A177" s="62" t="s">
        <v>90</v>
      </c>
      <c r="B177" s="78"/>
      <c r="C177" s="78"/>
      <c r="D177" s="78"/>
      <c r="E177" s="78"/>
      <c r="F177" s="42">
        <v>0</v>
      </c>
      <c r="G177" s="42">
        <f t="shared" si="2"/>
        <v>0</v>
      </c>
      <c r="H177" s="2" t="str">
        <f>VLOOKUP(A177,'TB JULY'!A:H,8,0)</f>
        <v>Not Applicable</v>
      </c>
    </row>
    <row r="178" spans="1:8">
      <c r="A178" s="62" t="s">
        <v>96</v>
      </c>
      <c r="B178" s="78"/>
      <c r="C178" s="78"/>
      <c r="D178" s="78"/>
      <c r="E178" s="78"/>
      <c r="F178" s="42">
        <v>0</v>
      </c>
      <c r="G178" s="42">
        <f t="shared" si="2"/>
        <v>0</v>
      </c>
      <c r="H178" s="2" t="str">
        <f>VLOOKUP(A178,'TB JULY'!A:H,8,0)</f>
        <v>Not Applicable</v>
      </c>
    </row>
    <row r="179" spans="1:8">
      <c r="A179" s="62" t="s">
        <v>1281</v>
      </c>
      <c r="B179" s="78">
        <v>511492.5</v>
      </c>
      <c r="C179" s="78"/>
      <c r="D179" s="78"/>
      <c r="E179" s="78">
        <v>511492.5</v>
      </c>
      <c r="F179" s="42">
        <v>0</v>
      </c>
      <c r="G179" s="42">
        <f t="shared" si="2"/>
        <v>511492.5</v>
      </c>
      <c r="H179" s="2" t="str">
        <f>VLOOKUP(A179,'TB JULY'!A:H,8,0)</f>
        <v>Not Applicable</v>
      </c>
    </row>
    <row r="180" spans="1:8">
      <c r="A180" s="62" t="s">
        <v>98</v>
      </c>
      <c r="B180" s="78"/>
      <c r="C180" s="78"/>
      <c r="D180" s="78"/>
      <c r="E180" s="78"/>
      <c r="F180" s="42">
        <v>0</v>
      </c>
      <c r="G180" s="42">
        <f t="shared" si="2"/>
        <v>0</v>
      </c>
      <c r="H180" s="2" t="str">
        <f>VLOOKUP(A180,'TB JULY'!A:H,8,0)</f>
        <v>Not Applicable</v>
      </c>
    </row>
    <row r="181" spans="1:8">
      <c r="A181" s="62" t="s">
        <v>100</v>
      </c>
      <c r="B181" s="78">
        <v>0.01</v>
      </c>
      <c r="C181" s="78"/>
      <c r="D181" s="78"/>
      <c r="E181" s="78">
        <v>0.01</v>
      </c>
      <c r="F181" s="42">
        <v>0</v>
      </c>
      <c r="G181" s="42">
        <f t="shared" si="2"/>
        <v>0.01</v>
      </c>
      <c r="H181" s="2" t="str">
        <f>VLOOKUP(A181,'TB JULY'!A:H,8,0)</f>
        <v>Not Applicable</v>
      </c>
    </row>
    <row r="182" spans="1:8">
      <c r="A182" s="62" t="s">
        <v>113</v>
      </c>
      <c r="B182" s="78"/>
      <c r="C182" s="78"/>
      <c r="D182" s="78"/>
      <c r="E182" s="78"/>
      <c r="F182" s="42">
        <v>0</v>
      </c>
      <c r="G182" s="42">
        <f t="shared" si="2"/>
        <v>0</v>
      </c>
      <c r="H182" s="2" t="str">
        <f>VLOOKUP(A182,'TB JULY'!A:H,8,0)</f>
        <v>Not Applicable</v>
      </c>
    </row>
    <row r="183" spans="1:8">
      <c r="A183" s="62" t="s">
        <v>120</v>
      </c>
      <c r="B183" s="78"/>
      <c r="C183" s="78"/>
      <c r="D183" s="78"/>
      <c r="E183" s="78"/>
      <c r="F183" s="42">
        <v>0</v>
      </c>
      <c r="G183" s="42">
        <f t="shared" si="2"/>
        <v>0</v>
      </c>
      <c r="H183" s="2" t="str">
        <f>VLOOKUP(A183,'TB JULY'!A:H,8,0)</f>
        <v>Not Applicable</v>
      </c>
    </row>
    <row r="184" spans="1:8">
      <c r="A184" s="62" t="s">
        <v>1330</v>
      </c>
      <c r="B184" s="78">
        <v>3205673.42</v>
      </c>
      <c r="C184" s="78"/>
      <c r="D184" s="78">
        <v>3205673.42</v>
      </c>
      <c r="E184" s="78"/>
      <c r="F184" s="42">
        <v>0</v>
      </c>
      <c r="G184" s="42">
        <f t="shared" si="2"/>
        <v>0</v>
      </c>
      <c r="H184" s="2" t="str">
        <f>VLOOKUP(A184,'TB JULY'!A:H,8,0)</f>
        <v>Not Applicable</v>
      </c>
    </row>
    <row r="185" spans="1:8">
      <c r="A185" s="62" t="s">
        <v>892</v>
      </c>
      <c r="B185" s="78">
        <v>0.04</v>
      </c>
      <c r="C185" s="78"/>
      <c r="D185" s="78"/>
      <c r="E185" s="78">
        <v>0.04</v>
      </c>
      <c r="F185" s="42">
        <v>0</v>
      </c>
      <c r="G185" s="42">
        <f t="shared" si="2"/>
        <v>0.04</v>
      </c>
      <c r="H185" s="2" t="str">
        <f>VLOOKUP(A185,'TB JULY'!A:H,8,0)</f>
        <v>Not Applicable</v>
      </c>
    </row>
    <row r="186" spans="1:8">
      <c r="A186" s="62" t="s">
        <v>893</v>
      </c>
      <c r="B186" s="78">
        <v>3886371.7</v>
      </c>
      <c r="C186" s="78">
        <v>5307392.8899999997</v>
      </c>
      <c r="D186" s="78">
        <v>3984610.98</v>
      </c>
      <c r="E186" s="78">
        <v>5209153.6100000003</v>
      </c>
      <c r="F186" s="42">
        <v>0</v>
      </c>
      <c r="G186" s="42">
        <f t="shared" si="2"/>
        <v>5209153.6100000003</v>
      </c>
      <c r="H186" s="2" t="str">
        <f>VLOOKUP(A186,'TB JULY'!A:H,8,0)</f>
        <v>Not Applicable</v>
      </c>
    </row>
    <row r="187" spans="1:8">
      <c r="A187" s="62" t="s">
        <v>121</v>
      </c>
      <c r="B187" s="78">
        <v>1401640</v>
      </c>
      <c r="C187" s="78"/>
      <c r="D187" s="78">
        <v>1432063.84</v>
      </c>
      <c r="E187" s="78">
        <v>-30423.84</v>
      </c>
      <c r="F187" s="42">
        <v>0</v>
      </c>
      <c r="G187" s="42">
        <f t="shared" si="2"/>
        <v>-30423.84</v>
      </c>
      <c r="H187" s="2" t="str">
        <f>VLOOKUP(A187,'TB JULY'!A:H,8,0)</f>
        <v>Not Applicable</v>
      </c>
    </row>
    <row r="188" spans="1:8">
      <c r="A188" s="62" t="s">
        <v>122</v>
      </c>
      <c r="B188" s="78">
        <v>26659540.510000002</v>
      </c>
      <c r="C188" s="78">
        <v>43991.39</v>
      </c>
      <c r="D188" s="78">
        <v>26703531.899999999</v>
      </c>
      <c r="E188" s="78"/>
      <c r="F188" s="42">
        <v>0</v>
      </c>
      <c r="G188" s="42">
        <f t="shared" si="2"/>
        <v>0</v>
      </c>
      <c r="H188" s="2" t="str">
        <f>VLOOKUP(A188,'TB JULY'!A:H,8,0)</f>
        <v>Not Applicable</v>
      </c>
    </row>
    <row r="189" spans="1:8">
      <c r="A189" s="62" t="s">
        <v>126</v>
      </c>
      <c r="B189" s="78"/>
      <c r="C189" s="78"/>
      <c r="D189" s="78"/>
      <c r="E189" s="78"/>
      <c r="F189" s="42">
        <v>0</v>
      </c>
      <c r="G189" s="42">
        <f t="shared" si="2"/>
        <v>0</v>
      </c>
      <c r="H189" s="2" t="str">
        <f>VLOOKUP(A189,'TB JULY'!A:H,8,0)</f>
        <v>Not Applicable</v>
      </c>
    </row>
    <row r="190" spans="1:8">
      <c r="A190" s="62" t="s">
        <v>132</v>
      </c>
      <c r="B190" s="78">
        <v>3151699.2</v>
      </c>
      <c r="C190" s="78"/>
      <c r="D190" s="78"/>
      <c r="E190" s="78">
        <v>3151699.2</v>
      </c>
      <c r="F190" s="42">
        <v>0</v>
      </c>
      <c r="G190" s="42">
        <f t="shared" si="2"/>
        <v>3151699.2</v>
      </c>
      <c r="H190" s="2" t="str">
        <f>VLOOKUP(A190,'TB JULY'!A:H,8,0)</f>
        <v>Not Applicable</v>
      </c>
    </row>
    <row r="191" spans="1:8">
      <c r="A191" s="62" t="s">
        <v>133</v>
      </c>
      <c r="B191" s="78"/>
      <c r="C191" s="78"/>
      <c r="D191" s="78"/>
      <c r="E191" s="78"/>
      <c r="F191" s="42">
        <v>0</v>
      </c>
      <c r="G191" s="42">
        <f t="shared" si="2"/>
        <v>0</v>
      </c>
      <c r="H191" s="2" t="str">
        <f>VLOOKUP(A191,'TB JULY'!A:H,8,0)</f>
        <v>Not Applicable</v>
      </c>
    </row>
    <row r="192" spans="1:8">
      <c r="A192" s="62" t="s">
        <v>134</v>
      </c>
      <c r="B192" s="78"/>
      <c r="C192" s="78"/>
      <c r="D192" s="78"/>
      <c r="E192" s="78"/>
      <c r="F192" s="42">
        <v>0</v>
      </c>
      <c r="G192" s="42">
        <f t="shared" si="2"/>
        <v>0</v>
      </c>
      <c r="H192" s="2" t="str">
        <f>VLOOKUP(A192,'TB JULY'!A:H,8,0)</f>
        <v>Not Applicable</v>
      </c>
    </row>
    <row r="193" spans="1:8">
      <c r="A193" s="62" t="s">
        <v>135</v>
      </c>
      <c r="B193" s="78"/>
      <c r="C193" s="78"/>
      <c r="D193" s="78"/>
      <c r="E193" s="78"/>
      <c r="F193" s="42">
        <v>0</v>
      </c>
      <c r="G193" s="42">
        <f t="shared" si="2"/>
        <v>0</v>
      </c>
      <c r="H193" s="2" t="str">
        <f>VLOOKUP(A193,'TB JULY'!A:H,8,0)</f>
        <v>Not Applicable</v>
      </c>
    </row>
    <row r="194" spans="1:8">
      <c r="A194" s="62" t="s">
        <v>1417</v>
      </c>
      <c r="B194" s="78"/>
      <c r="C194" s="78"/>
      <c r="D194" s="78"/>
      <c r="E194" s="78"/>
      <c r="F194" s="42">
        <v>0</v>
      </c>
      <c r="G194" s="42">
        <f t="shared" si="2"/>
        <v>0</v>
      </c>
      <c r="H194" s="2" t="str">
        <f>VLOOKUP(A194,'TB JULY'!A:H,8,0)</f>
        <v>Not Applicable</v>
      </c>
    </row>
    <row r="195" spans="1:8">
      <c r="A195" s="62" t="s">
        <v>137</v>
      </c>
      <c r="B195" s="78"/>
      <c r="C195" s="78"/>
      <c r="D195" s="78"/>
      <c r="E195" s="78"/>
      <c r="F195" s="42">
        <v>0</v>
      </c>
      <c r="G195" s="42">
        <f t="shared" si="2"/>
        <v>0</v>
      </c>
      <c r="H195" s="2" t="str">
        <f>VLOOKUP(A195,'TB JULY'!A:H,8,0)</f>
        <v>Not Applicable</v>
      </c>
    </row>
    <row r="196" spans="1:8">
      <c r="A196" s="62" t="s">
        <v>138</v>
      </c>
      <c r="B196" s="78"/>
      <c r="C196" s="78"/>
      <c r="D196" s="78"/>
      <c r="E196" s="78"/>
      <c r="F196" s="42">
        <v>0</v>
      </c>
      <c r="G196" s="42">
        <f t="shared" si="2"/>
        <v>0</v>
      </c>
      <c r="H196" s="2" t="str">
        <f>VLOOKUP(A196,'TB JULY'!A:H,8,0)</f>
        <v>Not Applicable</v>
      </c>
    </row>
    <row r="197" spans="1:8">
      <c r="A197" s="62" t="s">
        <v>152</v>
      </c>
      <c r="B197" s="78"/>
      <c r="C197" s="78"/>
      <c r="D197" s="78"/>
      <c r="E197" s="78"/>
      <c r="F197" s="42">
        <v>0</v>
      </c>
      <c r="G197" s="42">
        <f t="shared" si="2"/>
        <v>0</v>
      </c>
      <c r="H197" s="2" t="str">
        <f>VLOOKUP(A197,'TB JULY'!A:H,8,0)</f>
        <v>Not Applicable</v>
      </c>
    </row>
    <row r="198" spans="1:8">
      <c r="A198" s="62" t="s">
        <v>894</v>
      </c>
      <c r="B198" s="78"/>
      <c r="C198" s="78"/>
      <c r="D198" s="78"/>
      <c r="E198" s="78"/>
      <c r="F198" s="42">
        <v>0</v>
      </c>
      <c r="G198" s="42">
        <f t="shared" si="2"/>
        <v>0</v>
      </c>
      <c r="H198" s="2" t="str">
        <f>VLOOKUP(A198,'TB JULY'!A:H,8,0)</f>
        <v>Not Applicable</v>
      </c>
    </row>
    <row r="199" spans="1:8">
      <c r="A199" s="62" t="s">
        <v>154</v>
      </c>
      <c r="B199" s="78"/>
      <c r="C199" s="78"/>
      <c r="D199" s="78"/>
      <c r="E199" s="78"/>
      <c r="F199" s="42">
        <v>0</v>
      </c>
      <c r="G199" s="42">
        <f t="shared" ref="G199:G262" si="3">E199+F199</f>
        <v>0</v>
      </c>
      <c r="H199" s="2" t="str">
        <f>VLOOKUP(A199,'TB JULY'!A:H,8,0)</f>
        <v>Not Applicable</v>
      </c>
    </row>
    <row r="200" spans="1:8">
      <c r="A200" s="62" t="s">
        <v>165</v>
      </c>
      <c r="B200" s="78"/>
      <c r="C200" s="78"/>
      <c r="D200" s="78"/>
      <c r="E200" s="78"/>
      <c r="F200" s="42">
        <v>0</v>
      </c>
      <c r="G200" s="42">
        <f t="shared" si="3"/>
        <v>0</v>
      </c>
      <c r="H200" s="2" t="str">
        <f>VLOOKUP(A200,'TB JULY'!A:H,8,0)</f>
        <v>Not Applicable</v>
      </c>
    </row>
    <row r="201" spans="1:8">
      <c r="A201" s="62" t="s">
        <v>158</v>
      </c>
      <c r="B201" s="78"/>
      <c r="C201" s="78"/>
      <c r="D201" s="78"/>
      <c r="E201" s="78"/>
      <c r="F201" s="42">
        <v>0</v>
      </c>
      <c r="G201" s="42">
        <f t="shared" si="3"/>
        <v>0</v>
      </c>
      <c r="H201" s="2" t="str">
        <f>VLOOKUP(A201,'TB JULY'!A:H,8,0)</f>
        <v>Not Applicable</v>
      </c>
    </row>
    <row r="202" spans="1:8">
      <c r="A202" s="62" t="s">
        <v>169</v>
      </c>
      <c r="B202" s="78">
        <v>96740594.230000004</v>
      </c>
      <c r="C202" s="78">
        <v>70954728.629999995</v>
      </c>
      <c r="D202" s="78">
        <v>94442794.260000005</v>
      </c>
      <c r="E202" s="78">
        <v>73252528.599999994</v>
      </c>
      <c r="F202" s="42">
        <v>0</v>
      </c>
      <c r="G202" s="42">
        <f t="shared" si="3"/>
        <v>73252528.599999994</v>
      </c>
      <c r="H202" s="2" t="str">
        <f>VLOOKUP(A202,'TB JULY'!A:H,8,0)</f>
        <v>Not Applicable</v>
      </c>
    </row>
    <row r="203" spans="1:8">
      <c r="A203" s="62" t="s">
        <v>174</v>
      </c>
      <c r="B203" s="78">
        <v>31380.02</v>
      </c>
      <c r="C203" s="78"/>
      <c r="D203" s="78"/>
      <c r="E203" s="78">
        <v>31380.02</v>
      </c>
      <c r="F203" s="42">
        <v>0</v>
      </c>
      <c r="G203" s="42">
        <f t="shared" si="3"/>
        <v>31380.02</v>
      </c>
      <c r="H203" s="2" t="str">
        <f>VLOOKUP(A203,'TB JULY'!A:H,8,0)</f>
        <v>Not Applicable</v>
      </c>
    </row>
    <row r="204" spans="1:8">
      <c r="A204" s="62" t="s">
        <v>1349</v>
      </c>
      <c r="B204" s="78">
        <v>6306819.7599999998</v>
      </c>
      <c r="C204" s="78">
        <v>12328904.890000001</v>
      </c>
      <c r="D204" s="78">
        <v>9444897</v>
      </c>
      <c r="E204" s="78">
        <v>9190827.6500000004</v>
      </c>
      <c r="F204" s="42">
        <v>0</v>
      </c>
      <c r="G204" s="42">
        <f t="shared" si="3"/>
        <v>9190827.6500000004</v>
      </c>
      <c r="H204" s="2" t="str">
        <f>VLOOKUP(A204,'TB JULY'!A:H,8,0)</f>
        <v>Not Applicable</v>
      </c>
    </row>
    <row r="205" spans="1:8">
      <c r="A205" s="62" t="s">
        <v>1081</v>
      </c>
      <c r="B205" s="78"/>
      <c r="C205" s="78">
        <v>5.81</v>
      </c>
      <c r="D205" s="78">
        <v>5.81</v>
      </c>
      <c r="E205" s="78"/>
      <c r="F205" s="42">
        <v>0</v>
      </c>
      <c r="G205" s="42">
        <f t="shared" si="3"/>
        <v>0</v>
      </c>
      <c r="H205" s="2" t="str">
        <f>VLOOKUP(A205,'TB JULY'!A:H,8,0)</f>
        <v>Not Applicable</v>
      </c>
    </row>
    <row r="206" spans="1:8">
      <c r="A206" s="62" t="s">
        <v>956</v>
      </c>
      <c r="B206" s="78"/>
      <c r="C206" s="78"/>
      <c r="D206" s="78"/>
      <c r="E206" s="78"/>
      <c r="F206" s="42">
        <v>0</v>
      </c>
      <c r="G206" s="42">
        <f t="shared" si="3"/>
        <v>0</v>
      </c>
      <c r="H206" s="2" t="str">
        <f>VLOOKUP(A206,'TB JULY'!A:H,8,0)</f>
        <v>Not Applicable</v>
      </c>
    </row>
    <row r="207" spans="1:8">
      <c r="A207" s="62" t="s">
        <v>185</v>
      </c>
      <c r="B207" s="78"/>
      <c r="C207" s="78"/>
      <c r="D207" s="78"/>
      <c r="E207" s="78"/>
      <c r="F207" s="42">
        <v>0</v>
      </c>
      <c r="G207" s="42">
        <f t="shared" si="3"/>
        <v>0</v>
      </c>
      <c r="H207" s="2" t="str">
        <f>VLOOKUP(A207,'TB JULY'!A:H,8,0)</f>
        <v>Not Applicable</v>
      </c>
    </row>
    <row r="208" spans="1:8">
      <c r="A208" s="62" t="s">
        <v>184</v>
      </c>
      <c r="B208" s="78"/>
      <c r="C208" s="78"/>
      <c r="D208" s="78">
        <v>750701.25</v>
      </c>
      <c r="E208" s="78">
        <v>-750701.25</v>
      </c>
      <c r="F208" s="42">
        <v>0</v>
      </c>
      <c r="G208" s="42">
        <f t="shared" si="3"/>
        <v>-750701.25</v>
      </c>
      <c r="H208" s="2" t="str">
        <f>VLOOKUP(A208,'TB JULY'!A:H,8,0)</f>
        <v>Not Applicable</v>
      </c>
    </row>
    <row r="209" spans="1:8">
      <c r="A209" s="62" t="s">
        <v>194</v>
      </c>
      <c r="B209" s="78"/>
      <c r="C209" s="78"/>
      <c r="D209" s="78"/>
      <c r="E209" s="78"/>
      <c r="F209" s="42">
        <v>0</v>
      </c>
      <c r="G209" s="42">
        <f t="shared" si="3"/>
        <v>0</v>
      </c>
      <c r="H209" s="2" t="str">
        <f>VLOOKUP(A209,'TB JULY'!A:H,8,0)</f>
        <v>Not Applicable</v>
      </c>
    </row>
    <row r="210" spans="1:8">
      <c r="A210" s="62" t="s">
        <v>193</v>
      </c>
      <c r="B210" s="78"/>
      <c r="C210" s="78"/>
      <c r="D210" s="78"/>
      <c r="E210" s="78"/>
      <c r="F210" s="42">
        <v>0</v>
      </c>
      <c r="G210" s="42">
        <f t="shared" si="3"/>
        <v>0</v>
      </c>
      <c r="H210" s="2" t="str">
        <f>VLOOKUP(A210,'TB JULY'!A:H,8,0)</f>
        <v>Not Applicable</v>
      </c>
    </row>
    <row r="211" spans="1:8">
      <c r="A211" s="62" t="s">
        <v>189</v>
      </c>
      <c r="B211" s="78"/>
      <c r="C211" s="78"/>
      <c r="D211" s="78"/>
      <c r="E211" s="78"/>
      <c r="F211" s="42">
        <v>0</v>
      </c>
      <c r="G211" s="42">
        <f t="shared" si="3"/>
        <v>0</v>
      </c>
      <c r="H211" s="2" t="str">
        <f>VLOOKUP(A211,'TB JULY'!A:H,8,0)</f>
        <v>Not Applicable</v>
      </c>
    </row>
    <row r="212" spans="1:8">
      <c r="A212" s="62" t="s">
        <v>190</v>
      </c>
      <c r="B212" s="78"/>
      <c r="C212" s="78"/>
      <c r="D212" s="78"/>
      <c r="E212" s="78"/>
      <c r="F212" s="42">
        <v>0</v>
      </c>
      <c r="G212" s="42">
        <f t="shared" si="3"/>
        <v>0</v>
      </c>
      <c r="H212" s="2" t="str">
        <f>VLOOKUP(A212,'TB JULY'!A:H,8,0)</f>
        <v>Not Applicable</v>
      </c>
    </row>
    <row r="213" spans="1:8">
      <c r="A213" s="62" t="s">
        <v>199</v>
      </c>
      <c r="B213" s="78"/>
      <c r="C213" s="78"/>
      <c r="D213" s="78"/>
      <c r="E213" s="78"/>
      <c r="F213" s="42">
        <v>0</v>
      </c>
      <c r="G213" s="42">
        <f t="shared" si="3"/>
        <v>0</v>
      </c>
      <c r="H213" s="2" t="str">
        <f>VLOOKUP(A213,'TB JULY'!A:H,8,0)</f>
        <v>Not Applicable</v>
      </c>
    </row>
    <row r="214" spans="1:8">
      <c r="A214" s="62" t="s">
        <v>200</v>
      </c>
      <c r="B214" s="78"/>
      <c r="C214" s="78"/>
      <c r="D214" s="78"/>
      <c r="E214" s="78"/>
      <c r="F214" s="42">
        <v>0</v>
      </c>
      <c r="G214" s="42">
        <f t="shared" si="3"/>
        <v>0</v>
      </c>
      <c r="H214" s="2" t="str">
        <f>VLOOKUP(A214,'TB JULY'!A:H,8,0)</f>
        <v>Not Applicable</v>
      </c>
    </row>
    <row r="215" spans="1:8">
      <c r="A215" s="62" t="s">
        <v>217</v>
      </c>
      <c r="B215" s="78"/>
      <c r="C215" s="78"/>
      <c r="D215" s="78"/>
      <c r="E215" s="78"/>
      <c r="F215" s="42">
        <v>0</v>
      </c>
      <c r="G215" s="42">
        <f t="shared" si="3"/>
        <v>0</v>
      </c>
      <c r="H215" s="2" t="str">
        <f>VLOOKUP(A215,'TB JULY'!A:H,8,0)</f>
        <v>Not Applicable</v>
      </c>
    </row>
    <row r="216" spans="1:8">
      <c r="A216" s="62" t="s">
        <v>218</v>
      </c>
      <c r="B216" s="78">
        <v>6380967.2599999998</v>
      </c>
      <c r="C216" s="78">
        <v>17525582.82</v>
      </c>
      <c r="D216" s="78">
        <v>23906549.190000001</v>
      </c>
      <c r="E216" s="78">
        <v>0.89</v>
      </c>
      <c r="F216" s="42">
        <v>0</v>
      </c>
      <c r="G216" s="42">
        <f t="shared" si="3"/>
        <v>0.89</v>
      </c>
      <c r="H216" s="2" t="str">
        <f>VLOOKUP(A216,'TB JULY'!A:H,8,0)</f>
        <v>Not Applicable</v>
      </c>
    </row>
    <row r="217" spans="1:8">
      <c r="A217" s="62" t="s">
        <v>219</v>
      </c>
      <c r="B217" s="78">
        <v>38729992.630000003</v>
      </c>
      <c r="C217" s="78">
        <v>43163331.140000001</v>
      </c>
      <c r="D217" s="78">
        <v>43951217.859999999</v>
      </c>
      <c r="E217" s="78">
        <v>37942105.909999996</v>
      </c>
      <c r="F217" s="42">
        <v>0</v>
      </c>
      <c r="G217" s="42">
        <f t="shared" si="3"/>
        <v>37942105.909999996</v>
      </c>
      <c r="H217" s="2" t="str">
        <f>VLOOKUP(A217,'TB JULY'!A:H,8,0)</f>
        <v>Not Applicable</v>
      </c>
    </row>
    <row r="218" spans="1:8">
      <c r="A218" s="62" t="s">
        <v>969</v>
      </c>
      <c r="B218" s="78">
        <v>-0.04</v>
      </c>
      <c r="C218" s="78"/>
      <c r="D218" s="78"/>
      <c r="E218" s="78">
        <v>-0.04</v>
      </c>
      <c r="F218" s="42">
        <v>0</v>
      </c>
      <c r="G218" s="42">
        <f t="shared" si="3"/>
        <v>-0.04</v>
      </c>
      <c r="H218" s="2" t="str">
        <f>VLOOKUP(A218,'TB JULY'!A:H,8,0)</f>
        <v>Not Applicable</v>
      </c>
    </row>
    <row r="219" spans="1:8">
      <c r="A219" s="62" t="s">
        <v>225</v>
      </c>
      <c r="B219" s="78"/>
      <c r="C219" s="78"/>
      <c r="D219" s="78"/>
      <c r="E219" s="78"/>
      <c r="F219" s="42">
        <v>0</v>
      </c>
      <c r="G219" s="42">
        <f t="shared" si="3"/>
        <v>0</v>
      </c>
      <c r="H219" s="2" t="str">
        <f>VLOOKUP(A219,'TB JULY'!A:H,8,0)</f>
        <v>Not Applicable</v>
      </c>
    </row>
    <row r="220" spans="1:8">
      <c r="A220" s="62" t="s">
        <v>224</v>
      </c>
      <c r="B220" s="78">
        <v>-607862.51</v>
      </c>
      <c r="C220" s="78"/>
      <c r="D220" s="78"/>
      <c r="E220" s="78">
        <v>-607862.51</v>
      </c>
      <c r="F220" s="42">
        <v>0</v>
      </c>
      <c r="G220" s="42">
        <f t="shared" si="3"/>
        <v>-607862.51</v>
      </c>
      <c r="H220" s="2" t="str">
        <f>VLOOKUP(A220,'TB JULY'!A:H,8,0)</f>
        <v>Not Applicable</v>
      </c>
    </row>
    <row r="221" spans="1:8">
      <c r="A221" s="62" t="s">
        <v>1419</v>
      </c>
      <c r="B221" s="78"/>
      <c r="C221" s="78"/>
      <c r="D221" s="78"/>
      <c r="E221" s="78"/>
      <c r="F221" s="42">
        <v>0</v>
      </c>
      <c r="G221" s="42">
        <f t="shared" si="3"/>
        <v>0</v>
      </c>
      <c r="H221" s="2" t="str">
        <f>VLOOKUP(A221,'TB JULY'!A:H,8,0)</f>
        <v>Not Applicable</v>
      </c>
    </row>
    <row r="222" spans="1:8">
      <c r="A222" s="62" t="s">
        <v>227</v>
      </c>
      <c r="B222" s="78"/>
      <c r="C222" s="78"/>
      <c r="D222" s="78"/>
      <c r="E222" s="78"/>
      <c r="F222" s="42">
        <v>0</v>
      </c>
      <c r="G222" s="42">
        <f t="shared" si="3"/>
        <v>0</v>
      </c>
      <c r="H222" s="2" t="str">
        <f>VLOOKUP(A222,'TB JULY'!A:H,8,0)</f>
        <v>Not Applicable</v>
      </c>
    </row>
    <row r="223" spans="1:8">
      <c r="A223" s="62" t="s">
        <v>230</v>
      </c>
      <c r="B223" s="78"/>
      <c r="C223" s="78">
        <v>28560348.550000001</v>
      </c>
      <c r="D223" s="78">
        <v>18453342.699999999</v>
      </c>
      <c r="E223" s="78">
        <v>10107005.85</v>
      </c>
      <c r="F223" s="42">
        <v>0</v>
      </c>
      <c r="G223" s="42">
        <f t="shared" si="3"/>
        <v>10107005.85</v>
      </c>
      <c r="H223" s="2" t="str">
        <f>VLOOKUP(A223,'TB JULY'!A:H,8,0)</f>
        <v>Not Applicable</v>
      </c>
    </row>
    <row r="224" spans="1:8">
      <c r="A224" s="62" t="s">
        <v>863</v>
      </c>
      <c r="B224" s="78"/>
      <c r="C224" s="78"/>
      <c r="D224" s="78"/>
      <c r="E224" s="78"/>
      <c r="F224" s="42">
        <v>0</v>
      </c>
      <c r="G224" s="42">
        <f t="shared" si="3"/>
        <v>0</v>
      </c>
      <c r="H224" s="2" t="str">
        <f>VLOOKUP(A224,'TB JULY'!A:H,8,0)</f>
        <v>Not Applicable</v>
      </c>
    </row>
    <row r="225" spans="1:8">
      <c r="A225" s="62" t="s">
        <v>976</v>
      </c>
      <c r="B225" s="78">
        <v>66.33</v>
      </c>
      <c r="C225" s="78"/>
      <c r="D225" s="78"/>
      <c r="E225" s="78">
        <v>66.33</v>
      </c>
      <c r="F225" s="42">
        <v>0</v>
      </c>
      <c r="G225" s="42">
        <f t="shared" si="3"/>
        <v>66.33</v>
      </c>
      <c r="H225" s="2" t="str">
        <f>VLOOKUP(A225,'TB JULY'!A:H,8,0)</f>
        <v>Not Applicable</v>
      </c>
    </row>
    <row r="226" spans="1:8">
      <c r="A226" s="62" t="s">
        <v>235</v>
      </c>
      <c r="B226" s="78"/>
      <c r="C226" s="78"/>
      <c r="D226" s="78"/>
      <c r="E226" s="78"/>
      <c r="F226" s="42">
        <v>0</v>
      </c>
      <c r="G226" s="42">
        <f t="shared" si="3"/>
        <v>0</v>
      </c>
      <c r="H226" s="2" t="str">
        <f>VLOOKUP(A226,'TB JULY'!A:H,8,0)</f>
        <v>Not Applicable</v>
      </c>
    </row>
    <row r="227" spans="1:8">
      <c r="A227" s="62" t="s">
        <v>1174</v>
      </c>
      <c r="B227" s="78">
        <v>584231.6</v>
      </c>
      <c r="C227" s="78"/>
      <c r="D227" s="78"/>
      <c r="E227" s="78">
        <v>584231.6</v>
      </c>
      <c r="F227" s="42">
        <v>0</v>
      </c>
      <c r="G227" s="42">
        <f t="shared" si="3"/>
        <v>584231.6</v>
      </c>
      <c r="H227" s="2" t="str">
        <f>VLOOKUP(A227,'TB JULY'!A:H,8,0)</f>
        <v>Not Applicable</v>
      </c>
    </row>
    <row r="228" spans="1:8">
      <c r="A228" s="62" t="s">
        <v>238</v>
      </c>
      <c r="B228" s="78">
        <v>0.03</v>
      </c>
      <c r="C228" s="78"/>
      <c r="D228" s="78"/>
      <c r="E228" s="78">
        <v>0.03</v>
      </c>
      <c r="F228" s="42">
        <v>0</v>
      </c>
      <c r="G228" s="42">
        <f t="shared" si="3"/>
        <v>0.03</v>
      </c>
      <c r="H228" s="2" t="str">
        <f>VLOOKUP(A228,'TB JULY'!A:H,8,0)</f>
        <v>Not Applicable</v>
      </c>
    </row>
    <row r="229" spans="1:8">
      <c r="A229" s="62" t="s">
        <v>239</v>
      </c>
      <c r="B229" s="78"/>
      <c r="C229" s="78"/>
      <c r="D229" s="78"/>
      <c r="E229" s="78"/>
      <c r="F229" s="42">
        <v>0</v>
      </c>
      <c r="G229" s="42">
        <f t="shared" si="3"/>
        <v>0</v>
      </c>
      <c r="H229" s="2" t="str">
        <f>VLOOKUP(A229,'TB JULY'!A:H,8,0)</f>
        <v>Not Applicable</v>
      </c>
    </row>
    <row r="230" spans="1:8">
      <c r="A230" s="62" t="s">
        <v>241</v>
      </c>
      <c r="B230" s="78"/>
      <c r="C230" s="78"/>
      <c r="D230" s="78"/>
      <c r="E230" s="78"/>
      <c r="F230" s="42">
        <v>0</v>
      </c>
      <c r="G230" s="42">
        <f t="shared" si="3"/>
        <v>0</v>
      </c>
      <c r="H230" s="2" t="str">
        <f>VLOOKUP(A230,'TB JULY'!A:H,8,0)</f>
        <v>Not Applicable</v>
      </c>
    </row>
    <row r="231" spans="1:8">
      <c r="A231" s="62" t="s">
        <v>243</v>
      </c>
      <c r="B231" s="78">
        <v>-231550.7</v>
      </c>
      <c r="C231" s="78"/>
      <c r="D231" s="78"/>
      <c r="E231" s="78">
        <v>-231550.7</v>
      </c>
      <c r="F231" s="42">
        <v>0</v>
      </c>
      <c r="G231" s="42">
        <f t="shared" si="3"/>
        <v>-231550.7</v>
      </c>
      <c r="H231" s="2" t="str">
        <f>VLOOKUP(A231,'TB JULY'!A:H,8,0)</f>
        <v>Not Applicable</v>
      </c>
    </row>
    <row r="232" spans="1:8">
      <c r="A232" s="62" t="s">
        <v>249</v>
      </c>
      <c r="B232" s="78"/>
      <c r="C232" s="78"/>
      <c r="D232" s="78"/>
      <c r="E232" s="78"/>
      <c r="F232" s="42">
        <v>0</v>
      </c>
      <c r="G232" s="42">
        <f t="shared" si="3"/>
        <v>0</v>
      </c>
      <c r="H232" s="2" t="str">
        <f>VLOOKUP(A232,'TB JULY'!A:H,8,0)</f>
        <v>Not Applicable</v>
      </c>
    </row>
    <row r="233" spans="1:8">
      <c r="A233" s="62" t="s">
        <v>252</v>
      </c>
      <c r="B233" s="78">
        <v>-1056500.3799999999</v>
      </c>
      <c r="C233" s="78"/>
      <c r="D233" s="78"/>
      <c r="E233" s="78">
        <v>-1056500.3799999999</v>
      </c>
      <c r="F233" s="42">
        <v>0</v>
      </c>
      <c r="G233" s="42">
        <f t="shared" si="3"/>
        <v>-1056500.3799999999</v>
      </c>
      <c r="H233" s="2" t="str">
        <f>VLOOKUP(A233,'TB JULY'!A:H,8,0)</f>
        <v>Not Applicable</v>
      </c>
    </row>
    <row r="234" spans="1:8">
      <c r="A234" s="62" t="s">
        <v>253</v>
      </c>
      <c r="B234" s="78"/>
      <c r="C234" s="78"/>
      <c r="D234" s="78"/>
      <c r="E234" s="78"/>
      <c r="F234" s="42">
        <v>0</v>
      </c>
      <c r="G234" s="42">
        <f t="shared" si="3"/>
        <v>0</v>
      </c>
      <c r="H234" s="2" t="str">
        <f>VLOOKUP(A234,'TB JULY'!A:H,8,0)</f>
        <v>Not Applicable</v>
      </c>
    </row>
    <row r="235" spans="1:8">
      <c r="A235" s="62" t="s">
        <v>254</v>
      </c>
      <c r="B235" s="78"/>
      <c r="C235" s="78"/>
      <c r="D235" s="78"/>
      <c r="E235" s="78"/>
      <c r="F235" s="42">
        <v>0</v>
      </c>
      <c r="G235" s="42">
        <f t="shared" si="3"/>
        <v>0</v>
      </c>
      <c r="H235" s="2" t="str">
        <f>VLOOKUP(A235,'TB JULY'!A:H,8,0)</f>
        <v>Not Applicable</v>
      </c>
    </row>
    <row r="236" spans="1:8">
      <c r="A236" s="62" t="s">
        <v>255</v>
      </c>
      <c r="B236" s="78"/>
      <c r="C236" s="78"/>
      <c r="D236" s="78"/>
      <c r="E236" s="78"/>
      <c r="F236" s="42">
        <v>0</v>
      </c>
      <c r="G236" s="42">
        <f t="shared" si="3"/>
        <v>0</v>
      </c>
      <c r="H236" s="2" t="str">
        <f>VLOOKUP(A236,'TB JULY'!A:H,8,0)</f>
        <v>Not Applicable</v>
      </c>
    </row>
    <row r="237" spans="1:8">
      <c r="A237" s="62" t="s">
        <v>256</v>
      </c>
      <c r="B237" s="78"/>
      <c r="C237" s="78"/>
      <c r="D237" s="78"/>
      <c r="E237" s="78"/>
      <c r="F237" s="42">
        <v>0</v>
      </c>
      <c r="G237" s="42">
        <f t="shared" si="3"/>
        <v>0</v>
      </c>
      <c r="H237" s="2" t="str">
        <f>VLOOKUP(A237,'TB JULY'!A:H,8,0)</f>
        <v>Not Applicable</v>
      </c>
    </row>
    <row r="238" spans="1:8">
      <c r="A238" s="62" t="s">
        <v>1510</v>
      </c>
      <c r="B238" s="78"/>
      <c r="C238" s="78"/>
      <c r="D238" s="78"/>
      <c r="E238" s="78"/>
      <c r="F238" s="42">
        <v>0</v>
      </c>
      <c r="G238" s="42">
        <f t="shared" si="3"/>
        <v>0</v>
      </c>
      <c r="H238" s="2" t="str">
        <f>VLOOKUP(A238,'TB JULY'!A:H,8,0)</f>
        <v>Not Applicable</v>
      </c>
    </row>
    <row r="239" spans="1:8">
      <c r="A239" s="62" t="s">
        <v>257</v>
      </c>
      <c r="B239" s="78"/>
      <c r="C239" s="78"/>
      <c r="D239" s="78"/>
      <c r="E239" s="78"/>
      <c r="F239" s="42">
        <v>0</v>
      </c>
      <c r="G239" s="42">
        <f t="shared" si="3"/>
        <v>0</v>
      </c>
      <c r="H239" s="2" t="str">
        <f>VLOOKUP(A239,'TB JULY'!A:H,8,0)</f>
        <v>Not Applicable</v>
      </c>
    </row>
    <row r="240" spans="1:8">
      <c r="A240" s="62" t="s">
        <v>259</v>
      </c>
      <c r="B240" s="78">
        <v>2061.2199999999998</v>
      </c>
      <c r="C240" s="78">
        <v>13676419.619999999</v>
      </c>
      <c r="D240" s="78"/>
      <c r="E240" s="78">
        <v>13678480.84</v>
      </c>
      <c r="F240" s="42">
        <v>0</v>
      </c>
      <c r="G240" s="42">
        <f t="shared" si="3"/>
        <v>13678480.84</v>
      </c>
      <c r="H240" s="2" t="str">
        <f>VLOOKUP(A240,'TB JULY'!A:H,8,0)</f>
        <v>Not Applicable</v>
      </c>
    </row>
    <row r="241" spans="1:8">
      <c r="A241" s="62" t="s">
        <v>260</v>
      </c>
      <c r="B241" s="78">
        <v>10015039.57</v>
      </c>
      <c r="C241" s="78"/>
      <c r="D241" s="78">
        <v>5325925.75</v>
      </c>
      <c r="E241" s="78">
        <v>4689113.82</v>
      </c>
      <c r="F241" s="42">
        <v>0</v>
      </c>
      <c r="G241" s="42">
        <f t="shared" si="3"/>
        <v>4689113.82</v>
      </c>
      <c r="H241" s="2" t="str">
        <f>VLOOKUP(A241,'TB JULY'!A:H,8,0)</f>
        <v>Not Applicable</v>
      </c>
    </row>
    <row r="242" spans="1:8">
      <c r="A242" s="62" t="s">
        <v>261</v>
      </c>
      <c r="B242" s="78"/>
      <c r="C242" s="78"/>
      <c r="D242" s="78"/>
      <c r="E242" s="78"/>
      <c r="F242" s="42">
        <v>0</v>
      </c>
      <c r="G242" s="42">
        <f t="shared" si="3"/>
        <v>0</v>
      </c>
      <c r="H242" s="2" t="str">
        <f>VLOOKUP(A242,'TB JULY'!A:H,8,0)</f>
        <v>Not Applicable</v>
      </c>
    </row>
    <row r="243" spans="1:8">
      <c r="A243" s="62" t="s">
        <v>267</v>
      </c>
      <c r="B243" s="78">
        <v>163639685.36000001</v>
      </c>
      <c r="C243" s="78">
        <v>3667771.21</v>
      </c>
      <c r="D243" s="78"/>
      <c r="E243" s="78">
        <v>167307456.56999999</v>
      </c>
      <c r="F243" s="42">
        <v>0</v>
      </c>
      <c r="G243" s="42">
        <f t="shared" si="3"/>
        <v>167307456.56999999</v>
      </c>
      <c r="H243" s="2" t="str">
        <f>VLOOKUP(A243,'TB JULY'!A:H,8,0)</f>
        <v>Not Applicable</v>
      </c>
    </row>
    <row r="244" spans="1:8">
      <c r="A244" s="62" t="s">
        <v>268</v>
      </c>
      <c r="B244" s="78">
        <v>-3253294.89</v>
      </c>
      <c r="C244" s="78">
        <v>6425476.3099999996</v>
      </c>
      <c r="D244" s="78">
        <v>4644938.0599999996</v>
      </c>
      <c r="E244" s="78">
        <v>-1472756.64</v>
      </c>
      <c r="F244" s="42">
        <v>0</v>
      </c>
      <c r="G244" s="42">
        <f t="shared" si="3"/>
        <v>-1472756.64</v>
      </c>
      <c r="H244" s="2" t="str">
        <f>VLOOKUP(A244,'TB JULY'!A:H,8,0)</f>
        <v>Not Applicable</v>
      </c>
    </row>
    <row r="245" spans="1:8">
      <c r="A245" s="62" t="s">
        <v>269</v>
      </c>
      <c r="B245" s="78"/>
      <c r="C245" s="78"/>
      <c r="D245" s="78"/>
      <c r="E245" s="78"/>
      <c r="F245" s="42">
        <v>0</v>
      </c>
      <c r="G245" s="42">
        <f t="shared" si="3"/>
        <v>0</v>
      </c>
      <c r="H245" s="2" t="str">
        <f>VLOOKUP(A245,'TB JULY'!A:H,8,0)</f>
        <v>Not Applicable</v>
      </c>
    </row>
    <row r="246" spans="1:8">
      <c r="A246" s="62" t="s">
        <v>270</v>
      </c>
      <c r="B246" s="78"/>
      <c r="C246" s="78"/>
      <c r="D246" s="78"/>
      <c r="E246" s="78"/>
      <c r="F246" s="42">
        <v>0</v>
      </c>
      <c r="G246" s="42">
        <f t="shared" si="3"/>
        <v>0</v>
      </c>
      <c r="H246" s="2" t="str">
        <f>VLOOKUP(A246,'TB JULY'!A:H,8,0)</f>
        <v>Not Applicable</v>
      </c>
    </row>
    <row r="247" spans="1:8">
      <c r="A247" s="62" t="s">
        <v>274</v>
      </c>
      <c r="B247" s="78"/>
      <c r="C247" s="78"/>
      <c r="D247" s="78"/>
      <c r="E247" s="78"/>
      <c r="F247" s="42">
        <v>0</v>
      </c>
      <c r="G247" s="42">
        <f t="shared" si="3"/>
        <v>0</v>
      </c>
      <c r="H247" s="2" t="s">
        <v>84</v>
      </c>
    </row>
    <row r="248" spans="1:8">
      <c r="A248" s="62" t="s">
        <v>286</v>
      </c>
      <c r="B248" s="78"/>
      <c r="C248" s="78"/>
      <c r="D248" s="78"/>
      <c r="E248" s="78"/>
      <c r="F248" s="42">
        <v>0</v>
      </c>
      <c r="G248" s="42">
        <f t="shared" si="3"/>
        <v>0</v>
      </c>
      <c r="H248" s="2" t="str">
        <f>VLOOKUP(A248,'TB JULY'!A:H,8,0)</f>
        <v>Not Applicable</v>
      </c>
    </row>
    <row r="249" spans="1:8">
      <c r="A249" s="62" t="s">
        <v>290</v>
      </c>
      <c r="B249" s="78">
        <v>3816893.58</v>
      </c>
      <c r="C249" s="78"/>
      <c r="D249" s="78">
        <v>3816893.58</v>
      </c>
      <c r="E249" s="78"/>
      <c r="F249" s="42">
        <v>0</v>
      </c>
      <c r="G249" s="42">
        <f t="shared" si="3"/>
        <v>0</v>
      </c>
      <c r="H249" s="2" t="str">
        <f>VLOOKUP(A249,'TB JULY'!A:H,8,0)</f>
        <v>Not Applicable</v>
      </c>
    </row>
    <row r="250" spans="1:8">
      <c r="A250" s="62" t="s">
        <v>288</v>
      </c>
      <c r="B250" s="78"/>
      <c r="C250" s="78"/>
      <c r="D250" s="78"/>
      <c r="E250" s="78"/>
      <c r="F250" s="42">
        <v>0</v>
      </c>
      <c r="G250" s="42">
        <f t="shared" si="3"/>
        <v>0</v>
      </c>
      <c r="H250" s="2" t="str">
        <f>VLOOKUP(A250,'TB JULY'!A:H,8,0)</f>
        <v>Not Applicable</v>
      </c>
    </row>
    <row r="251" spans="1:8">
      <c r="A251" s="62" t="s">
        <v>291</v>
      </c>
      <c r="B251" s="78"/>
      <c r="C251" s="78"/>
      <c r="D251" s="78"/>
      <c r="E251" s="78"/>
      <c r="F251" s="42">
        <v>0</v>
      </c>
      <c r="G251" s="42">
        <f t="shared" si="3"/>
        <v>0</v>
      </c>
      <c r="H251" s="2" t="str">
        <f>VLOOKUP(A251,'TB JULY'!A:H,8,0)</f>
        <v>Not Applicable</v>
      </c>
    </row>
    <row r="252" spans="1:8">
      <c r="A252" s="62" t="s">
        <v>1020</v>
      </c>
      <c r="B252" s="78"/>
      <c r="C252" s="78"/>
      <c r="D252" s="78"/>
      <c r="E252" s="78"/>
      <c r="F252" s="42">
        <v>0</v>
      </c>
      <c r="G252" s="42">
        <f t="shared" si="3"/>
        <v>0</v>
      </c>
      <c r="H252" s="2" t="str">
        <f>VLOOKUP(A252,'TB JULY'!A:H,8,0)</f>
        <v>Not Applicable</v>
      </c>
    </row>
    <row r="253" spans="1:8">
      <c r="A253" s="62" t="s">
        <v>293</v>
      </c>
      <c r="B253" s="78"/>
      <c r="C253" s="78"/>
      <c r="D253" s="78"/>
      <c r="E253" s="78"/>
      <c r="F253" s="42">
        <v>0</v>
      </c>
      <c r="G253" s="42">
        <f t="shared" si="3"/>
        <v>0</v>
      </c>
      <c r="H253" s="2" t="str">
        <f>VLOOKUP(A253,'TB JULY'!A:H,8,0)</f>
        <v>Not Applicable</v>
      </c>
    </row>
    <row r="254" spans="1:8">
      <c r="A254" s="62" t="s">
        <v>294</v>
      </c>
      <c r="B254" s="78"/>
      <c r="C254" s="78"/>
      <c r="D254" s="78"/>
      <c r="E254" s="78"/>
      <c r="F254" s="42">
        <v>0</v>
      </c>
      <c r="G254" s="42">
        <f t="shared" si="3"/>
        <v>0</v>
      </c>
      <c r="H254" s="2" t="str">
        <f>VLOOKUP(A254,'TB JULY'!A:H,8,0)</f>
        <v>Not Applicable</v>
      </c>
    </row>
    <row r="255" spans="1:8">
      <c r="A255" s="62" t="s">
        <v>295</v>
      </c>
      <c r="B255" s="78"/>
      <c r="C255" s="78"/>
      <c r="D255" s="78"/>
      <c r="E255" s="78"/>
      <c r="F255" s="42">
        <v>0</v>
      </c>
      <c r="G255" s="42">
        <f t="shared" si="3"/>
        <v>0</v>
      </c>
      <c r="H255" s="2" t="str">
        <f>VLOOKUP(A255,'TB JULY'!A:H,8,0)</f>
        <v>Not Applicable</v>
      </c>
    </row>
    <row r="256" spans="1:8">
      <c r="A256" s="62" t="s">
        <v>297</v>
      </c>
      <c r="B256" s="78"/>
      <c r="C256" s="78"/>
      <c r="D256" s="78"/>
      <c r="E256" s="78"/>
      <c r="F256" s="42">
        <v>0</v>
      </c>
      <c r="G256" s="42">
        <f t="shared" si="3"/>
        <v>0</v>
      </c>
      <c r="H256" s="2" t="str">
        <f>VLOOKUP(A256,'TB JULY'!A:H,8,0)</f>
        <v>Not Applicable</v>
      </c>
    </row>
    <row r="257" spans="1:8">
      <c r="A257" s="62" t="s">
        <v>300</v>
      </c>
      <c r="B257" s="78">
        <v>-21431.97</v>
      </c>
      <c r="C257" s="78"/>
      <c r="D257" s="78"/>
      <c r="E257" s="78">
        <v>-21431.97</v>
      </c>
      <c r="F257" s="42">
        <v>0</v>
      </c>
      <c r="G257" s="42">
        <f t="shared" si="3"/>
        <v>-21431.97</v>
      </c>
      <c r="H257" s="2" t="str">
        <f>VLOOKUP(A257,'TB JULY'!A:H,8,0)</f>
        <v>Not Applicable</v>
      </c>
    </row>
    <row r="258" spans="1:8">
      <c r="A258" s="62" t="s">
        <v>301</v>
      </c>
      <c r="B258" s="78"/>
      <c r="C258" s="78"/>
      <c r="D258" s="78"/>
      <c r="E258" s="78"/>
      <c r="F258" s="42">
        <v>0</v>
      </c>
      <c r="G258" s="42">
        <f t="shared" si="3"/>
        <v>0</v>
      </c>
      <c r="H258" s="2" t="str">
        <f>VLOOKUP(A258,'TB JULY'!A:H,8,0)</f>
        <v>Not Applicable</v>
      </c>
    </row>
    <row r="259" spans="1:8">
      <c r="A259" s="62" t="s">
        <v>859</v>
      </c>
      <c r="B259" s="78"/>
      <c r="C259" s="78"/>
      <c r="D259" s="78"/>
      <c r="E259" s="78"/>
      <c r="F259" s="42">
        <v>0</v>
      </c>
      <c r="G259" s="42">
        <f t="shared" si="3"/>
        <v>0</v>
      </c>
      <c r="H259" s="2" t="str">
        <f>VLOOKUP(A259,'TB JULY'!A:H,8,0)</f>
        <v>Not Applicable</v>
      </c>
    </row>
    <row r="260" spans="1:8">
      <c r="A260" s="62" t="s">
        <v>303</v>
      </c>
      <c r="B260" s="78"/>
      <c r="C260" s="78"/>
      <c r="D260" s="78"/>
      <c r="E260" s="78"/>
      <c r="F260" s="42">
        <v>0</v>
      </c>
      <c r="G260" s="42">
        <f t="shared" si="3"/>
        <v>0</v>
      </c>
      <c r="H260" s="2" t="str">
        <f>VLOOKUP(A260,'TB JULY'!A:H,8,0)</f>
        <v>Not Applicable</v>
      </c>
    </row>
    <row r="261" spans="1:8">
      <c r="A261" s="62" t="s">
        <v>304</v>
      </c>
      <c r="B261" s="78">
        <v>0.01</v>
      </c>
      <c r="C261" s="78"/>
      <c r="D261" s="78"/>
      <c r="E261" s="78">
        <v>0.01</v>
      </c>
      <c r="F261" s="42">
        <v>0</v>
      </c>
      <c r="G261" s="42">
        <f t="shared" si="3"/>
        <v>0.01</v>
      </c>
      <c r="H261" s="2" t="str">
        <f>VLOOKUP(A261,'TB JULY'!A:H,8,0)</f>
        <v>Not Applicable</v>
      </c>
    </row>
    <row r="262" spans="1:8">
      <c r="A262" s="62" t="s">
        <v>1421</v>
      </c>
      <c r="B262" s="78"/>
      <c r="C262" s="78"/>
      <c r="D262" s="78"/>
      <c r="E262" s="78"/>
      <c r="F262" s="42">
        <v>0</v>
      </c>
      <c r="G262" s="42">
        <f t="shared" si="3"/>
        <v>0</v>
      </c>
      <c r="H262" s="2" t="str">
        <f>VLOOKUP(A262,'TB JULY'!A:H,8,0)</f>
        <v>Not Applicable</v>
      </c>
    </row>
    <row r="263" spans="1:8">
      <c r="A263" s="62" t="s">
        <v>306</v>
      </c>
      <c r="B263" s="78"/>
      <c r="C263" s="78"/>
      <c r="D263" s="78"/>
      <c r="E263" s="78"/>
      <c r="F263" s="42">
        <v>0</v>
      </c>
      <c r="G263" s="42">
        <f t="shared" ref="G263:G326" si="4">E263+F263</f>
        <v>0</v>
      </c>
      <c r="H263" s="2" t="str">
        <f>VLOOKUP(A263,'TB JULY'!A:H,8,0)</f>
        <v>Not Applicable</v>
      </c>
    </row>
    <row r="264" spans="1:8">
      <c r="A264" s="62" t="s">
        <v>318</v>
      </c>
      <c r="B264" s="78"/>
      <c r="C264" s="78"/>
      <c r="D264" s="78"/>
      <c r="E264" s="78"/>
      <c r="F264" s="42">
        <v>0</v>
      </c>
      <c r="G264" s="42">
        <f t="shared" si="4"/>
        <v>0</v>
      </c>
      <c r="H264" s="2" t="str">
        <f>VLOOKUP(A264,'TB JULY'!A:H,8,0)</f>
        <v>Not Applicable</v>
      </c>
    </row>
    <row r="265" spans="1:8">
      <c r="A265" s="62" t="s">
        <v>319</v>
      </c>
      <c r="B265" s="78"/>
      <c r="C265" s="78"/>
      <c r="D265" s="78"/>
      <c r="E265" s="78"/>
      <c r="F265" s="42">
        <v>0</v>
      </c>
      <c r="G265" s="42">
        <f t="shared" si="4"/>
        <v>0</v>
      </c>
      <c r="H265" s="2" t="str">
        <f>VLOOKUP(A265,'TB JULY'!A:H,8,0)</f>
        <v>Not Applicable</v>
      </c>
    </row>
    <row r="266" spans="1:8">
      <c r="A266" s="62" t="s">
        <v>344</v>
      </c>
      <c r="B266" s="78"/>
      <c r="C266" s="78"/>
      <c r="D266" s="78"/>
      <c r="E266" s="78"/>
      <c r="F266" s="42">
        <v>0</v>
      </c>
      <c r="G266" s="42">
        <f t="shared" si="4"/>
        <v>0</v>
      </c>
      <c r="H266" s="2" t="str">
        <f>VLOOKUP(A266,'TB JULY'!A:H,8,0)</f>
        <v>Not Applicable</v>
      </c>
    </row>
    <row r="267" spans="1:8">
      <c r="A267" s="62" t="s">
        <v>342</v>
      </c>
      <c r="B267" s="78">
        <v>3735890.99</v>
      </c>
      <c r="C267" s="78">
        <v>4502628</v>
      </c>
      <c r="D267" s="78">
        <v>2523859.81</v>
      </c>
      <c r="E267" s="78">
        <v>5714659.1799999997</v>
      </c>
      <c r="F267" s="42">
        <v>0</v>
      </c>
      <c r="G267" s="42">
        <f t="shared" si="4"/>
        <v>5714659.1799999997</v>
      </c>
      <c r="H267" s="2" t="str">
        <f>VLOOKUP(A267,'TB JULY'!A:H,8,0)</f>
        <v>Not Applicable</v>
      </c>
    </row>
    <row r="268" spans="1:8">
      <c r="A268" s="62" t="s">
        <v>343</v>
      </c>
      <c r="B268" s="78">
        <v>27243559.170000002</v>
      </c>
      <c r="C268" s="78">
        <v>41733241.210000001</v>
      </c>
      <c r="D268" s="78">
        <v>19741972.690000001</v>
      </c>
      <c r="E268" s="78">
        <v>49234827.689999998</v>
      </c>
      <c r="F268" s="42">
        <v>0</v>
      </c>
      <c r="G268" s="42">
        <f t="shared" si="4"/>
        <v>49234827.689999998</v>
      </c>
      <c r="H268" s="2" t="str">
        <f>VLOOKUP(A268,'TB JULY'!A:H,8,0)</f>
        <v>Not Applicable</v>
      </c>
    </row>
    <row r="269" spans="1:8">
      <c r="A269" s="62" t="s">
        <v>875</v>
      </c>
      <c r="B269" s="78"/>
      <c r="C269" s="78"/>
      <c r="D269" s="78"/>
      <c r="E269" s="78"/>
      <c r="F269" s="42">
        <v>0</v>
      </c>
      <c r="G269" s="42">
        <f t="shared" si="4"/>
        <v>0</v>
      </c>
      <c r="H269" s="2" t="str">
        <f>VLOOKUP(A269,'TB JULY'!A:H,8,0)</f>
        <v>Not Applicable</v>
      </c>
    </row>
    <row r="270" spans="1:8">
      <c r="A270" s="62" t="s">
        <v>347</v>
      </c>
      <c r="B270" s="78"/>
      <c r="C270" s="78"/>
      <c r="D270" s="78"/>
      <c r="E270" s="78"/>
      <c r="F270" s="42">
        <v>0</v>
      </c>
      <c r="G270" s="42">
        <f t="shared" si="4"/>
        <v>0</v>
      </c>
      <c r="H270" s="2" t="str">
        <f>VLOOKUP(A270,'TB JULY'!A:H,8,0)</f>
        <v>Not Applicable</v>
      </c>
    </row>
    <row r="271" spans="1:8">
      <c r="A271" s="62" t="s">
        <v>349</v>
      </c>
      <c r="B271" s="78"/>
      <c r="C271" s="78"/>
      <c r="D271" s="78"/>
      <c r="E271" s="78"/>
      <c r="F271" s="42">
        <v>0</v>
      </c>
      <c r="G271" s="42">
        <f t="shared" si="4"/>
        <v>0</v>
      </c>
      <c r="H271" s="2" t="str">
        <f>VLOOKUP(A271,'TB JULY'!A:H,8,0)</f>
        <v>Not Applicable</v>
      </c>
    </row>
    <row r="272" spans="1:8">
      <c r="A272" s="62" t="s">
        <v>352</v>
      </c>
      <c r="B272" s="78"/>
      <c r="C272" s="78"/>
      <c r="D272" s="78"/>
      <c r="E272" s="78"/>
      <c r="F272" s="42">
        <v>0</v>
      </c>
      <c r="G272" s="42">
        <f t="shared" si="4"/>
        <v>0</v>
      </c>
      <c r="H272" s="2" t="str">
        <f>VLOOKUP(A272,'TB JULY'!A:H,8,0)</f>
        <v>Not Applicable</v>
      </c>
    </row>
    <row r="273" spans="1:8">
      <c r="A273" s="62" t="s">
        <v>353</v>
      </c>
      <c r="B273" s="78"/>
      <c r="C273" s="78"/>
      <c r="D273" s="78"/>
      <c r="E273" s="78"/>
      <c r="F273" s="42">
        <v>0</v>
      </c>
      <c r="G273" s="42">
        <f t="shared" si="4"/>
        <v>0</v>
      </c>
      <c r="H273" s="2" t="str">
        <f>VLOOKUP(A273,'TB JULY'!A:H,8,0)</f>
        <v>Not Applicable</v>
      </c>
    </row>
    <row r="274" spans="1:8">
      <c r="A274" s="62" t="s">
        <v>365</v>
      </c>
      <c r="B274" s="78">
        <v>3887636.38</v>
      </c>
      <c r="C274" s="78"/>
      <c r="D274" s="78">
        <v>3887636.38</v>
      </c>
      <c r="E274" s="78"/>
      <c r="F274" s="42">
        <v>0</v>
      </c>
      <c r="G274" s="42">
        <f t="shared" si="4"/>
        <v>0</v>
      </c>
      <c r="H274" s="2" t="str">
        <f>VLOOKUP(A274,'TB JULY'!A:H,8,0)</f>
        <v>Not Applicable</v>
      </c>
    </row>
    <row r="275" spans="1:8">
      <c r="A275" s="62" t="s">
        <v>361</v>
      </c>
      <c r="B275" s="78"/>
      <c r="C275" s="78"/>
      <c r="D275" s="78"/>
      <c r="E275" s="78"/>
      <c r="F275" s="42">
        <v>0</v>
      </c>
      <c r="G275" s="42">
        <f t="shared" si="4"/>
        <v>0</v>
      </c>
      <c r="H275" s="2" t="str">
        <f>VLOOKUP(A275,'TB JULY'!A:H,8,0)</f>
        <v>Not Applicable</v>
      </c>
    </row>
    <row r="276" spans="1:8">
      <c r="A276" s="62" t="s">
        <v>364</v>
      </c>
      <c r="B276" s="78"/>
      <c r="C276" s="78"/>
      <c r="D276" s="78"/>
      <c r="E276" s="78"/>
      <c r="F276" s="42">
        <v>0</v>
      </c>
      <c r="G276" s="42">
        <f t="shared" si="4"/>
        <v>0</v>
      </c>
      <c r="H276" s="2" t="str">
        <f>VLOOKUP(A276,'TB JULY'!A:H,8,0)</f>
        <v>Not Applicable</v>
      </c>
    </row>
    <row r="277" spans="1:8">
      <c r="A277" s="62" t="s">
        <v>167</v>
      </c>
      <c r="B277" s="78">
        <v>9269027.4700000007</v>
      </c>
      <c r="C277" s="78"/>
      <c r="D277" s="78"/>
      <c r="E277" s="78">
        <v>9269027.4700000007</v>
      </c>
      <c r="F277" s="42">
        <v>0</v>
      </c>
      <c r="G277" s="42">
        <f t="shared" si="4"/>
        <v>9269027.4700000007</v>
      </c>
      <c r="H277" s="2" t="str">
        <f>VLOOKUP(A277,'TB JULY'!A:H,8,0)</f>
        <v>Not Applicable</v>
      </c>
    </row>
    <row r="278" spans="1:8">
      <c r="A278" s="62" t="s">
        <v>179</v>
      </c>
      <c r="B278" s="78">
        <v>3500808.87</v>
      </c>
      <c r="C278" s="78"/>
      <c r="D278" s="78"/>
      <c r="E278" s="78">
        <v>3500808.87</v>
      </c>
      <c r="F278" s="42">
        <v>0</v>
      </c>
      <c r="G278" s="42">
        <f t="shared" si="4"/>
        <v>3500808.87</v>
      </c>
      <c r="H278" s="2" t="str">
        <f>VLOOKUP(A278,'TB JULY'!A:H,8,0)</f>
        <v>Not Applicable</v>
      </c>
    </row>
    <row r="279" spans="1:8">
      <c r="A279" s="62" t="s">
        <v>166</v>
      </c>
      <c r="B279" s="78">
        <v>94180171.590000004</v>
      </c>
      <c r="C279" s="78"/>
      <c r="D279" s="78"/>
      <c r="E279" s="78">
        <v>94180171.590000004</v>
      </c>
      <c r="F279" s="42">
        <v>0</v>
      </c>
      <c r="G279" s="42">
        <f t="shared" si="4"/>
        <v>94180171.590000004</v>
      </c>
      <c r="H279" s="2" t="str">
        <f>VLOOKUP(A279,'TB JULY'!A:H,8,0)</f>
        <v>Not Applicable</v>
      </c>
    </row>
    <row r="280" spans="1:8">
      <c r="A280" s="62" t="s">
        <v>231</v>
      </c>
      <c r="B280" s="78">
        <v>10039863</v>
      </c>
      <c r="C280" s="78"/>
      <c r="D280" s="78"/>
      <c r="E280" s="78">
        <v>10039863</v>
      </c>
      <c r="F280" s="42">
        <v>0</v>
      </c>
      <c r="G280" s="42">
        <f t="shared" si="4"/>
        <v>10039863</v>
      </c>
      <c r="H280" s="2" t="str">
        <f>VLOOKUP(A280,'TB JULY'!A:H,8,0)</f>
        <v>Not Applicable</v>
      </c>
    </row>
    <row r="281" spans="1:8">
      <c r="A281" s="62" t="s">
        <v>116</v>
      </c>
      <c r="B281" s="78">
        <v>13500</v>
      </c>
      <c r="C281" s="78"/>
      <c r="D281" s="78"/>
      <c r="E281" s="78">
        <v>13500</v>
      </c>
      <c r="F281" s="42">
        <v>0</v>
      </c>
      <c r="G281" s="42">
        <f t="shared" si="4"/>
        <v>13500</v>
      </c>
      <c r="H281" s="2" t="str">
        <f>VLOOKUP(A281,'TB JULY'!A:H,8,0)</f>
        <v>Not Applicable</v>
      </c>
    </row>
    <row r="282" spans="1:8">
      <c r="A282" s="62" t="s">
        <v>163</v>
      </c>
      <c r="B282" s="78">
        <v>31000</v>
      </c>
      <c r="C282" s="78"/>
      <c r="D282" s="78"/>
      <c r="E282" s="78">
        <v>31000</v>
      </c>
      <c r="F282" s="42">
        <v>0</v>
      </c>
      <c r="G282" s="42">
        <f t="shared" si="4"/>
        <v>31000</v>
      </c>
      <c r="H282" s="2" t="str">
        <f>VLOOKUP(A282,'TB JULY'!A:H,8,0)</f>
        <v>Not Applicable</v>
      </c>
    </row>
    <row r="283" spans="1:8">
      <c r="A283" s="62" t="s">
        <v>164</v>
      </c>
      <c r="B283" s="78">
        <v>53550</v>
      </c>
      <c r="C283" s="78"/>
      <c r="D283" s="78"/>
      <c r="E283" s="78">
        <v>53550</v>
      </c>
      <c r="F283" s="42">
        <v>0</v>
      </c>
      <c r="G283" s="42">
        <f t="shared" si="4"/>
        <v>53550</v>
      </c>
      <c r="H283" s="2" t="str">
        <f>VLOOKUP(A283,'TB JULY'!A:H,8,0)</f>
        <v>Not Applicable</v>
      </c>
    </row>
    <row r="284" spans="1:8">
      <c r="A284" s="62" t="s">
        <v>242</v>
      </c>
      <c r="B284" s="78">
        <v>56429</v>
      </c>
      <c r="C284" s="78"/>
      <c r="D284" s="78"/>
      <c r="E284" s="78">
        <v>56429</v>
      </c>
      <c r="F284" s="42">
        <v>0</v>
      </c>
      <c r="G284" s="42">
        <f t="shared" si="4"/>
        <v>56429</v>
      </c>
      <c r="H284" s="2" t="str">
        <f>VLOOKUP(A284,'TB JULY'!A:H,8,0)</f>
        <v>Not Applicable</v>
      </c>
    </row>
    <row r="285" spans="1:8">
      <c r="A285" s="62" t="s">
        <v>258</v>
      </c>
      <c r="B285" s="78">
        <v>117232.81</v>
      </c>
      <c r="C285" s="78">
        <v>372950</v>
      </c>
      <c r="D285" s="78"/>
      <c r="E285" s="78">
        <v>490182.81</v>
      </c>
      <c r="F285" s="42">
        <v>0</v>
      </c>
      <c r="G285" s="42">
        <f t="shared" si="4"/>
        <v>490182.81</v>
      </c>
      <c r="H285" s="2" t="str">
        <f>VLOOKUP(A285,'TB JULY'!A:H,8,0)</f>
        <v>Not Applicable</v>
      </c>
    </row>
    <row r="286" spans="1:8">
      <c r="A286" s="62" t="s">
        <v>296</v>
      </c>
      <c r="B286" s="78">
        <v>2090000</v>
      </c>
      <c r="C286" s="78"/>
      <c r="D286" s="78"/>
      <c r="E286" s="78">
        <v>2090000</v>
      </c>
      <c r="F286" s="42">
        <v>0</v>
      </c>
      <c r="G286" s="42">
        <f t="shared" si="4"/>
        <v>2090000</v>
      </c>
      <c r="H286" s="2" t="str">
        <f>VLOOKUP(A286,'TB JULY'!A:H,8,0)</f>
        <v>Not Applicable</v>
      </c>
    </row>
    <row r="287" spans="1:8">
      <c r="A287" s="62" t="s">
        <v>345</v>
      </c>
      <c r="B287" s="78">
        <v>34721.1</v>
      </c>
      <c r="C287" s="78"/>
      <c r="D287" s="78"/>
      <c r="E287" s="78">
        <v>34721.1</v>
      </c>
      <c r="F287" s="42">
        <v>0</v>
      </c>
      <c r="G287" s="42">
        <f t="shared" si="4"/>
        <v>34721.1</v>
      </c>
      <c r="H287" s="2" t="str">
        <f>VLOOKUP(A287,'TB JULY'!A:H,8,0)</f>
        <v>Not Applicable</v>
      </c>
    </row>
    <row r="288" spans="1:8">
      <c r="A288" s="62" t="s">
        <v>87</v>
      </c>
      <c r="B288" s="78">
        <v>447443.5</v>
      </c>
      <c r="C288" s="78">
        <v>22712</v>
      </c>
      <c r="D288" s="78"/>
      <c r="E288" s="78">
        <v>470155.5</v>
      </c>
      <c r="F288" s="42">
        <v>0</v>
      </c>
      <c r="G288" s="42">
        <f t="shared" si="4"/>
        <v>470155.5</v>
      </c>
      <c r="H288" s="2" t="str">
        <f>VLOOKUP(A288,'TB JULY'!A:H,8,0)</f>
        <v>Not Applicable</v>
      </c>
    </row>
    <row r="289" spans="1:8">
      <c r="A289" s="62" t="s">
        <v>150</v>
      </c>
      <c r="B289" s="78">
        <v>1051369</v>
      </c>
      <c r="C289" s="78"/>
      <c r="D289" s="78"/>
      <c r="E289" s="78">
        <v>1051369</v>
      </c>
      <c r="F289" s="42">
        <v>0</v>
      </c>
      <c r="G289" s="42">
        <f t="shared" si="4"/>
        <v>1051369</v>
      </c>
      <c r="H289" s="2" t="str">
        <f>VLOOKUP(A289,'TB JULY'!A:H,8,0)</f>
        <v>Not Applicable</v>
      </c>
    </row>
    <row r="290" spans="1:8">
      <c r="A290" s="62" t="s">
        <v>119</v>
      </c>
      <c r="B290" s="78">
        <v>1403125.05</v>
      </c>
      <c r="C290" s="78"/>
      <c r="D290" s="78"/>
      <c r="E290" s="78">
        <v>1403125.05</v>
      </c>
      <c r="F290" s="42">
        <v>0</v>
      </c>
      <c r="G290" s="42">
        <f t="shared" si="4"/>
        <v>1403125.05</v>
      </c>
      <c r="H290" s="2" t="str">
        <f>VLOOKUP(A290,'TB JULY'!A:H,8,0)</f>
        <v>Not Applicable</v>
      </c>
    </row>
    <row r="291" spans="1:8">
      <c r="A291" s="62" t="s">
        <v>148</v>
      </c>
      <c r="B291" s="78">
        <v>200728.55</v>
      </c>
      <c r="C291" s="78"/>
      <c r="D291" s="78"/>
      <c r="E291" s="78">
        <v>200728.55</v>
      </c>
      <c r="F291" s="42">
        <v>0</v>
      </c>
      <c r="G291" s="42">
        <f t="shared" si="4"/>
        <v>200728.55</v>
      </c>
      <c r="H291" s="2" t="str">
        <f>VLOOKUP(A291,'TB JULY'!A:H,8,0)</f>
        <v>Not Applicable</v>
      </c>
    </row>
    <row r="292" spans="1:8">
      <c r="A292" s="62" t="s">
        <v>358</v>
      </c>
      <c r="B292" s="78">
        <v>483189.07</v>
      </c>
      <c r="C292" s="78"/>
      <c r="D292" s="78"/>
      <c r="E292" s="78">
        <v>483189.07</v>
      </c>
      <c r="F292" s="42">
        <v>0</v>
      </c>
      <c r="G292" s="42">
        <f t="shared" si="4"/>
        <v>483189.07</v>
      </c>
      <c r="H292" s="2" t="str">
        <f>VLOOKUP(A292,'TB JULY'!A:H,8,0)</f>
        <v>Not Applicable</v>
      </c>
    </row>
    <row r="293" spans="1:8">
      <c r="A293" s="62" t="s">
        <v>127</v>
      </c>
      <c r="B293" s="78">
        <v>34794806.829999998</v>
      </c>
      <c r="C293" s="78"/>
      <c r="D293" s="78"/>
      <c r="E293" s="78">
        <v>34794806.829999998</v>
      </c>
      <c r="F293" s="42">
        <v>0</v>
      </c>
      <c r="G293" s="42">
        <f t="shared" si="4"/>
        <v>34794806.829999998</v>
      </c>
      <c r="H293" s="2" t="str">
        <f>VLOOKUP(A293,'TB JULY'!A:H,8,0)</f>
        <v>Not Applicable</v>
      </c>
    </row>
    <row r="294" spans="1:8">
      <c r="A294" s="62" t="s">
        <v>128</v>
      </c>
      <c r="B294" s="78">
        <v>49292293.990000002</v>
      </c>
      <c r="C294" s="78"/>
      <c r="D294" s="78"/>
      <c r="E294" s="78">
        <v>49292293.990000002</v>
      </c>
      <c r="F294" s="42">
        <v>0</v>
      </c>
      <c r="G294" s="42">
        <f t="shared" si="4"/>
        <v>49292293.990000002</v>
      </c>
      <c r="H294" s="2" t="str">
        <f>VLOOKUP(A294,'TB JULY'!A:H,8,0)</f>
        <v>Not Applicable</v>
      </c>
    </row>
    <row r="295" spans="1:8">
      <c r="A295" s="62" t="s">
        <v>363</v>
      </c>
      <c r="B295" s="78">
        <v>44090</v>
      </c>
      <c r="C295" s="78"/>
      <c r="D295" s="78"/>
      <c r="E295" s="78">
        <v>44090</v>
      </c>
      <c r="F295" s="42">
        <v>0</v>
      </c>
      <c r="G295" s="42">
        <f t="shared" si="4"/>
        <v>44090</v>
      </c>
      <c r="H295" s="2" t="str">
        <f>VLOOKUP(A295,'TB JULY'!A:H,8,0)</f>
        <v>Not Applicable</v>
      </c>
    </row>
    <row r="296" spans="1:8">
      <c r="A296" s="62" t="s">
        <v>131</v>
      </c>
      <c r="B296" s="78">
        <v>462700</v>
      </c>
      <c r="C296" s="78">
        <v>79587.199999999997</v>
      </c>
      <c r="D296" s="78"/>
      <c r="E296" s="78">
        <v>542287.19999999995</v>
      </c>
      <c r="F296" s="42">
        <v>0</v>
      </c>
      <c r="G296" s="42">
        <f t="shared" si="4"/>
        <v>542287.19999999995</v>
      </c>
      <c r="H296" s="2" t="str">
        <f>VLOOKUP(A296,'TB JULY'!A:H,8,0)</f>
        <v>Not Applicable</v>
      </c>
    </row>
    <row r="297" spans="1:8">
      <c r="A297" s="62" t="s">
        <v>155</v>
      </c>
      <c r="B297" s="78">
        <v>9196089.25</v>
      </c>
      <c r="C297" s="78">
        <v>916372</v>
      </c>
      <c r="D297" s="78"/>
      <c r="E297" s="78">
        <v>10112461.25</v>
      </c>
      <c r="F297" s="42">
        <v>0</v>
      </c>
      <c r="G297" s="42">
        <f t="shared" si="4"/>
        <v>10112461.25</v>
      </c>
      <c r="H297" s="2" t="str">
        <f>VLOOKUP(A297,'TB JULY'!A:H,8,0)</f>
        <v>Not Applicable</v>
      </c>
    </row>
    <row r="298" spans="1:8">
      <c r="A298" s="62" t="s">
        <v>156</v>
      </c>
      <c r="B298" s="78">
        <v>116092.3</v>
      </c>
      <c r="C298" s="78"/>
      <c r="D298" s="78"/>
      <c r="E298" s="78">
        <v>116092.3</v>
      </c>
      <c r="F298" s="42">
        <v>0</v>
      </c>
      <c r="G298" s="42">
        <f t="shared" si="4"/>
        <v>116092.3</v>
      </c>
      <c r="H298" s="2" t="str">
        <f>VLOOKUP(A298,'TB JULY'!A:H,8,0)</f>
        <v>Not Applicable</v>
      </c>
    </row>
    <row r="299" spans="1:8">
      <c r="A299" s="62" t="s">
        <v>168</v>
      </c>
      <c r="B299" s="78">
        <v>4952525.9400000004</v>
      </c>
      <c r="C299" s="78">
        <v>79200</v>
      </c>
      <c r="D299" s="78"/>
      <c r="E299" s="78">
        <v>5031725.9400000004</v>
      </c>
      <c r="F299" s="42">
        <v>0</v>
      </c>
      <c r="G299" s="42">
        <f t="shared" si="4"/>
        <v>5031725.9400000004</v>
      </c>
      <c r="H299" s="2" t="str">
        <f>VLOOKUP(A299,'TB JULY'!A:H,8,0)</f>
        <v>Not Applicable</v>
      </c>
    </row>
    <row r="300" spans="1:8">
      <c r="A300" s="62" t="s">
        <v>182</v>
      </c>
      <c r="B300" s="78">
        <v>1011000</v>
      </c>
      <c r="C300" s="78"/>
      <c r="D300" s="78"/>
      <c r="E300" s="78">
        <v>1011000</v>
      </c>
      <c r="F300" s="42">
        <v>0</v>
      </c>
      <c r="G300" s="42">
        <f t="shared" si="4"/>
        <v>1011000</v>
      </c>
      <c r="H300" s="2" t="str">
        <f>VLOOKUP(A300,'TB JULY'!A:H,8,0)</f>
        <v>Not Applicable</v>
      </c>
    </row>
    <row r="301" spans="1:8">
      <c r="A301" s="62" t="s">
        <v>99</v>
      </c>
      <c r="B301" s="78">
        <v>854410</v>
      </c>
      <c r="C301" s="78"/>
      <c r="D301" s="78"/>
      <c r="E301" s="78">
        <v>854410</v>
      </c>
      <c r="F301" s="42">
        <v>0</v>
      </c>
      <c r="G301" s="42">
        <f t="shared" si="4"/>
        <v>854410</v>
      </c>
      <c r="H301" s="2" t="str">
        <f>VLOOKUP(A301,'TB JULY'!A:H,8,0)</f>
        <v>Not Applicable</v>
      </c>
    </row>
    <row r="302" spans="1:8">
      <c r="A302" s="62" t="s">
        <v>112</v>
      </c>
      <c r="B302" s="78">
        <v>16200</v>
      </c>
      <c r="C302" s="78"/>
      <c r="D302" s="78"/>
      <c r="E302" s="78">
        <v>16200</v>
      </c>
      <c r="F302" s="42">
        <v>0</v>
      </c>
      <c r="G302" s="42">
        <f t="shared" si="4"/>
        <v>16200</v>
      </c>
      <c r="H302" s="2" t="str">
        <f>VLOOKUP(A302,'TB JULY'!A:H,8,0)</f>
        <v>Not Applicable</v>
      </c>
    </row>
    <row r="303" spans="1:8">
      <c r="A303" s="62" t="s">
        <v>162</v>
      </c>
      <c r="B303" s="78">
        <v>9351983.25</v>
      </c>
      <c r="C303" s="78">
        <v>550000</v>
      </c>
      <c r="D303" s="78"/>
      <c r="E303" s="78">
        <v>9901983.25</v>
      </c>
      <c r="F303" s="42">
        <v>0</v>
      </c>
      <c r="G303" s="42">
        <f t="shared" si="4"/>
        <v>9901983.25</v>
      </c>
      <c r="H303" s="2" t="str">
        <f>VLOOKUP(A303,'TB JULY'!A:H,8,0)</f>
        <v>Not Applicable</v>
      </c>
    </row>
    <row r="304" spans="1:8">
      <c r="A304" s="62" t="s">
        <v>204</v>
      </c>
      <c r="B304" s="78">
        <v>495000</v>
      </c>
      <c r="C304" s="78"/>
      <c r="D304" s="78"/>
      <c r="E304" s="78">
        <v>495000</v>
      </c>
      <c r="F304" s="42">
        <v>0</v>
      </c>
      <c r="G304" s="42">
        <f t="shared" si="4"/>
        <v>495000</v>
      </c>
      <c r="H304" s="2" t="str">
        <f>VLOOKUP(A304,'TB JULY'!A:H,8,0)</f>
        <v>Not Applicable</v>
      </c>
    </row>
    <row r="305" spans="1:8">
      <c r="A305" s="62" t="s">
        <v>205</v>
      </c>
      <c r="B305" s="78">
        <v>7089366.9500000002</v>
      </c>
      <c r="C305" s="78"/>
      <c r="D305" s="78"/>
      <c r="E305" s="78">
        <v>7089366.9500000002</v>
      </c>
      <c r="F305" s="42">
        <v>0</v>
      </c>
      <c r="G305" s="42">
        <f t="shared" si="4"/>
        <v>7089366.9500000002</v>
      </c>
      <c r="H305" s="2" t="str">
        <f>VLOOKUP(A305,'TB JULY'!A:H,8,0)</f>
        <v>Not Applicable</v>
      </c>
    </row>
    <row r="306" spans="1:8">
      <c r="A306" s="62" t="s">
        <v>326</v>
      </c>
      <c r="B306" s="78">
        <v>286177</v>
      </c>
      <c r="C306" s="78"/>
      <c r="D306" s="78"/>
      <c r="E306" s="78">
        <v>286177</v>
      </c>
      <c r="F306" s="42">
        <v>0</v>
      </c>
      <c r="G306" s="42">
        <f t="shared" si="4"/>
        <v>286177</v>
      </c>
      <c r="H306" s="2" t="str">
        <f>VLOOKUP(A306,'TB JULY'!A:H,8,0)</f>
        <v>Not Applicable</v>
      </c>
    </row>
    <row r="307" spans="1:8">
      <c r="A307" s="62" t="s">
        <v>171</v>
      </c>
      <c r="B307" s="78">
        <v>3500000</v>
      </c>
      <c r="C307" s="78"/>
      <c r="D307" s="78"/>
      <c r="E307" s="78">
        <v>3500000</v>
      </c>
      <c r="F307" s="42">
        <v>0</v>
      </c>
      <c r="G307" s="42">
        <f t="shared" si="4"/>
        <v>3500000</v>
      </c>
      <c r="H307" s="2" t="str">
        <f>VLOOKUP(A307,'TB JULY'!A:H,8,0)</f>
        <v>Not Applicable</v>
      </c>
    </row>
    <row r="308" spans="1:8">
      <c r="A308" s="62" t="s">
        <v>149</v>
      </c>
      <c r="B308" s="78">
        <v>52020</v>
      </c>
      <c r="C308" s="78"/>
      <c r="D308" s="78"/>
      <c r="E308" s="78">
        <v>52020</v>
      </c>
      <c r="F308" s="42">
        <v>0</v>
      </c>
      <c r="G308" s="42">
        <f t="shared" si="4"/>
        <v>52020</v>
      </c>
      <c r="H308" s="2" t="str">
        <f>VLOOKUP(A308,'TB JULY'!A:H,8,0)</f>
        <v>Not Applicable</v>
      </c>
    </row>
    <row r="309" spans="1:8">
      <c r="A309" s="62" t="s">
        <v>298</v>
      </c>
      <c r="B309" s="78">
        <v>9443.83</v>
      </c>
      <c r="C309" s="78"/>
      <c r="D309" s="78"/>
      <c r="E309" s="78">
        <v>9443.83</v>
      </c>
      <c r="F309" s="42">
        <v>0</v>
      </c>
      <c r="G309" s="42">
        <f t="shared" si="4"/>
        <v>9443.83</v>
      </c>
      <c r="H309" s="2" t="str">
        <f>VLOOKUP(A309,'TB JULY'!A:H,8,0)</f>
        <v>Not Applicable</v>
      </c>
    </row>
    <row r="310" spans="1:8">
      <c r="A310" s="62" t="s">
        <v>346</v>
      </c>
      <c r="B310" s="78">
        <v>1631889.63</v>
      </c>
      <c r="C310" s="78">
        <v>35000</v>
      </c>
      <c r="D310" s="78"/>
      <c r="E310" s="78">
        <v>1666889.63</v>
      </c>
      <c r="F310" s="42">
        <v>0</v>
      </c>
      <c r="G310" s="42">
        <f t="shared" si="4"/>
        <v>1666889.63</v>
      </c>
      <c r="H310" s="2" t="str">
        <f>VLOOKUP(A310,'TB JULY'!A:H,8,0)</f>
        <v>Not Applicable</v>
      </c>
    </row>
    <row r="311" spans="1:8">
      <c r="A311" s="62" t="s">
        <v>357</v>
      </c>
      <c r="B311" s="78">
        <v>128375</v>
      </c>
      <c r="C311" s="78"/>
      <c r="D311" s="78"/>
      <c r="E311" s="78">
        <v>128375</v>
      </c>
      <c r="F311" s="42">
        <v>0</v>
      </c>
      <c r="G311" s="42">
        <f t="shared" si="4"/>
        <v>128375</v>
      </c>
      <c r="H311" s="2" t="str">
        <f>VLOOKUP(A311,'TB JULY'!A:H,8,0)</f>
        <v>Not Applicable</v>
      </c>
    </row>
    <row r="312" spans="1:8">
      <c r="A312" s="62" t="s">
        <v>206</v>
      </c>
      <c r="B312" s="78">
        <v>634840</v>
      </c>
      <c r="C312" s="78">
        <v>30000</v>
      </c>
      <c r="D312" s="78"/>
      <c r="E312" s="78">
        <v>664840</v>
      </c>
      <c r="F312" s="42">
        <v>0</v>
      </c>
      <c r="G312" s="42">
        <f t="shared" si="4"/>
        <v>664840</v>
      </c>
      <c r="H312" s="2" t="str">
        <f>VLOOKUP(A312,'TB JULY'!A:H,8,0)</f>
        <v>Not Applicable</v>
      </c>
    </row>
    <row r="313" spans="1:8">
      <c r="A313" s="62" t="s">
        <v>207</v>
      </c>
      <c r="B313" s="78">
        <v>1564968</v>
      </c>
      <c r="C313" s="78"/>
      <c r="D313" s="78"/>
      <c r="E313" s="78">
        <v>1564968</v>
      </c>
      <c r="F313" s="42">
        <v>0</v>
      </c>
      <c r="G313" s="42">
        <f t="shared" si="4"/>
        <v>1564968</v>
      </c>
      <c r="H313" s="2" t="str">
        <f>VLOOKUP(A313,'TB JULY'!A:H,8,0)</f>
        <v>Not Applicable</v>
      </c>
    </row>
    <row r="314" spans="1:8">
      <c r="A314" s="62" t="s">
        <v>248</v>
      </c>
      <c r="B314" s="78">
        <v>708000</v>
      </c>
      <c r="C314" s="78"/>
      <c r="D314" s="78"/>
      <c r="E314" s="78">
        <v>708000</v>
      </c>
      <c r="F314" s="42">
        <v>0</v>
      </c>
      <c r="G314" s="42">
        <f t="shared" si="4"/>
        <v>708000</v>
      </c>
      <c r="H314" s="2" t="str">
        <f>VLOOKUP(A314,'TB JULY'!A:H,8,0)</f>
        <v>Not Applicable</v>
      </c>
    </row>
    <row r="315" spans="1:8">
      <c r="A315" s="62" t="s">
        <v>285</v>
      </c>
      <c r="B315" s="78">
        <v>3193887.76</v>
      </c>
      <c r="C315" s="78">
        <v>1245000</v>
      </c>
      <c r="D315" s="78"/>
      <c r="E315" s="78">
        <v>4438887.76</v>
      </c>
      <c r="F315" s="42">
        <v>0</v>
      </c>
      <c r="G315" s="42">
        <f t="shared" si="4"/>
        <v>4438887.76</v>
      </c>
      <c r="H315" s="2" t="str">
        <f>VLOOKUP(A315,'TB JULY'!A:H,8,0)</f>
        <v>Not Applicable</v>
      </c>
    </row>
    <row r="316" spans="1:8">
      <c r="A316" s="62" t="s">
        <v>228</v>
      </c>
      <c r="B316" s="78">
        <v>379000</v>
      </c>
      <c r="C316" s="78"/>
      <c r="D316" s="78"/>
      <c r="E316" s="78">
        <v>379000</v>
      </c>
      <c r="F316" s="42">
        <v>0</v>
      </c>
      <c r="G316" s="42">
        <f t="shared" si="4"/>
        <v>379000</v>
      </c>
      <c r="H316" s="2" t="str">
        <f>VLOOKUP(A316,'TB JULY'!A:H,8,0)</f>
        <v>Not Applicable</v>
      </c>
    </row>
    <row r="317" spans="1:8">
      <c r="A317" s="62" t="s">
        <v>250</v>
      </c>
      <c r="B317" s="78">
        <v>2467345</v>
      </c>
      <c r="C317" s="78"/>
      <c r="D317" s="78"/>
      <c r="E317" s="78">
        <v>2467345</v>
      </c>
      <c r="F317" s="42">
        <v>0</v>
      </c>
      <c r="G317" s="42">
        <f t="shared" si="4"/>
        <v>2467345</v>
      </c>
      <c r="H317" s="2" t="str">
        <f>VLOOKUP(A317,'TB JULY'!A:H,8,0)</f>
        <v>Not Applicable</v>
      </c>
    </row>
    <row r="318" spans="1:8">
      <c r="A318" s="62" t="s">
        <v>130</v>
      </c>
      <c r="B318" s="78">
        <v>529727.6</v>
      </c>
      <c r="C318" s="78">
        <v>82509.2</v>
      </c>
      <c r="D318" s="78"/>
      <c r="E318" s="78">
        <v>612236.80000000005</v>
      </c>
      <c r="F318" s="42">
        <v>0</v>
      </c>
      <c r="G318" s="42">
        <f t="shared" si="4"/>
        <v>612236.80000000005</v>
      </c>
      <c r="H318" s="2" t="str">
        <f>VLOOKUP(A318,'TB JULY'!A:H,8,0)</f>
        <v>Not Applicable</v>
      </c>
    </row>
    <row r="319" spans="1:8">
      <c r="A319" s="62" t="s">
        <v>172</v>
      </c>
      <c r="B319" s="78">
        <v>1853402.6</v>
      </c>
      <c r="C319" s="78"/>
      <c r="D319" s="78"/>
      <c r="E319" s="78">
        <v>1853402.6</v>
      </c>
      <c r="F319" s="42">
        <v>0</v>
      </c>
      <c r="G319" s="42">
        <f t="shared" si="4"/>
        <v>1853402.6</v>
      </c>
      <c r="H319" s="2" t="str">
        <f>VLOOKUP(A319,'TB JULY'!A:H,8,0)</f>
        <v>Not Applicable</v>
      </c>
    </row>
    <row r="320" spans="1:8">
      <c r="A320" s="62" t="s">
        <v>173</v>
      </c>
      <c r="B320" s="78">
        <v>1617335</v>
      </c>
      <c r="C320" s="78"/>
      <c r="D320" s="78"/>
      <c r="E320" s="78">
        <v>1617335</v>
      </c>
      <c r="F320" s="42">
        <v>0</v>
      </c>
      <c r="G320" s="42">
        <f t="shared" si="4"/>
        <v>1617335</v>
      </c>
      <c r="H320" s="2" t="str">
        <f>VLOOKUP(A320,'TB JULY'!A:H,8,0)</f>
        <v>Not Applicable</v>
      </c>
    </row>
    <row r="321" spans="1:8">
      <c r="A321" s="62" t="s">
        <v>276</v>
      </c>
      <c r="B321" s="78">
        <v>62823024.82</v>
      </c>
      <c r="C321" s="78">
        <v>960754.1</v>
      </c>
      <c r="D321" s="78"/>
      <c r="E321" s="78">
        <v>63783778.920000002</v>
      </c>
      <c r="F321" s="42">
        <v>0</v>
      </c>
      <c r="G321" s="42">
        <f t="shared" si="4"/>
        <v>63783778.920000002</v>
      </c>
      <c r="H321" s="2" t="str">
        <f>VLOOKUP(A321,'TB JULY'!A:H,8,0)</f>
        <v>Not Applicable</v>
      </c>
    </row>
    <row r="322" spans="1:8">
      <c r="A322" s="62" t="s">
        <v>317</v>
      </c>
      <c r="B322" s="78">
        <v>36486616.130000003</v>
      </c>
      <c r="C322" s="78">
        <v>17000</v>
      </c>
      <c r="D322" s="78"/>
      <c r="E322" s="78">
        <v>36503616.130000003</v>
      </c>
      <c r="F322" s="42">
        <v>0</v>
      </c>
      <c r="G322" s="42">
        <f t="shared" si="4"/>
        <v>36503616.130000003</v>
      </c>
      <c r="H322" s="2" t="str">
        <f>VLOOKUP(A322,'TB JULY'!A:H,8,0)</f>
        <v>Not Applicable</v>
      </c>
    </row>
    <row r="323" spans="1:8">
      <c r="A323" s="62" t="s">
        <v>348</v>
      </c>
      <c r="B323" s="78">
        <v>24243</v>
      </c>
      <c r="C323" s="78"/>
      <c r="D323" s="78"/>
      <c r="E323" s="78">
        <v>24243</v>
      </c>
      <c r="F323" s="42">
        <v>0</v>
      </c>
      <c r="G323" s="42">
        <f t="shared" si="4"/>
        <v>24243</v>
      </c>
      <c r="H323" s="2" t="str">
        <f>VLOOKUP(A323,'TB JULY'!A:H,8,0)</f>
        <v>Not Applicable</v>
      </c>
    </row>
    <row r="324" spans="1:8">
      <c r="A324" s="62" t="s">
        <v>147</v>
      </c>
      <c r="B324" s="78">
        <v>360000</v>
      </c>
      <c r="C324" s="78"/>
      <c r="D324" s="78"/>
      <c r="E324" s="78">
        <v>360000</v>
      </c>
      <c r="F324" s="42">
        <v>0</v>
      </c>
      <c r="G324" s="42">
        <f t="shared" si="4"/>
        <v>360000</v>
      </c>
      <c r="H324" s="2" t="str">
        <f>VLOOKUP(A324,'TB JULY'!A:H,8,0)</f>
        <v>Not Applicable</v>
      </c>
    </row>
    <row r="325" spans="1:8">
      <c r="A325" s="62" t="s">
        <v>362</v>
      </c>
      <c r="B325" s="78">
        <v>68557970.409999996</v>
      </c>
      <c r="C325" s="78"/>
      <c r="D325" s="78"/>
      <c r="E325" s="78">
        <v>68557970.409999996</v>
      </c>
      <c r="F325" s="42">
        <v>0</v>
      </c>
      <c r="G325" s="42">
        <f t="shared" si="4"/>
        <v>68557970.409999996</v>
      </c>
      <c r="H325" s="2" t="str">
        <f>VLOOKUP(A325,'TB JULY'!A:H,8,0)</f>
        <v>Not Applicable</v>
      </c>
    </row>
    <row r="326" spans="1:8">
      <c r="A326" s="62" t="s">
        <v>289</v>
      </c>
      <c r="B326" s="78">
        <v>1398408.4</v>
      </c>
      <c r="C326" s="78"/>
      <c r="D326" s="78"/>
      <c r="E326" s="78">
        <v>1398408.4</v>
      </c>
      <c r="F326" s="42">
        <v>0</v>
      </c>
      <c r="G326" s="42">
        <f t="shared" si="4"/>
        <v>1398408.4</v>
      </c>
      <c r="H326" s="2" t="str">
        <f>VLOOKUP(A326,'TB JULY'!A:H,8,0)</f>
        <v>Not Applicable</v>
      </c>
    </row>
    <row r="327" spans="1:8">
      <c r="A327" s="62" t="s">
        <v>322</v>
      </c>
      <c r="B327" s="78">
        <v>27382501.739999998</v>
      </c>
      <c r="C327" s="78">
        <v>892200</v>
      </c>
      <c r="D327" s="78"/>
      <c r="E327" s="78">
        <v>28274701.739999998</v>
      </c>
      <c r="F327" s="42">
        <v>0</v>
      </c>
      <c r="G327" s="42">
        <f t="shared" ref="G327:G390" si="5">E327+F327</f>
        <v>28274701.739999998</v>
      </c>
      <c r="H327" s="2" t="str">
        <f>VLOOKUP(A327,'TB JULY'!A:H,8,0)</f>
        <v>Not Applicable</v>
      </c>
    </row>
    <row r="328" spans="1:8">
      <c r="A328" s="62" t="s">
        <v>323</v>
      </c>
      <c r="B328" s="78">
        <v>3211189.8</v>
      </c>
      <c r="C328" s="78"/>
      <c r="D328" s="78"/>
      <c r="E328" s="78">
        <v>3211189.8</v>
      </c>
      <c r="F328" s="42">
        <v>0</v>
      </c>
      <c r="G328" s="42">
        <f t="shared" si="5"/>
        <v>3211189.8</v>
      </c>
      <c r="H328" s="2" t="str">
        <f>VLOOKUP(A328,'TB JULY'!A:H,8,0)</f>
        <v>Not Applicable</v>
      </c>
    </row>
    <row r="329" spans="1:8">
      <c r="A329" s="62" t="s">
        <v>92</v>
      </c>
      <c r="B329" s="78">
        <v>24410011.23</v>
      </c>
      <c r="C329" s="78"/>
      <c r="D329" s="78"/>
      <c r="E329" s="78">
        <v>24410011.23</v>
      </c>
      <c r="F329" s="42">
        <v>0</v>
      </c>
      <c r="G329" s="42">
        <f t="shared" si="5"/>
        <v>24410011.23</v>
      </c>
      <c r="H329" s="2" t="str">
        <f>VLOOKUP(A329,'TB JULY'!A:H,8,0)</f>
        <v>Not Applicable</v>
      </c>
    </row>
    <row r="330" spans="1:8">
      <c r="A330" s="62" t="s">
        <v>124</v>
      </c>
      <c r="B330" s="78">
        <v>574500</v>
      </c>
      <c r="C330" s="78"/>
      <c r="D330" s="78"/>
      <c r="E330" s="78">
        <v>574500</v>
      </c>
      <c r="F330" s="42">
        <v>0</v>
      </c>
      <c r="G330" s="42">
        <f t="shared" si="5"/>
        <v>574500</v>
      </c>
      <c r="H330" s="2" t="str">
        <f>VLOOKUP(A330,'TB JULY'!A:H,8,0)</f>
        <v>Not Applicable</v>
      </c>
    </row>
    <row r="331" spans="1:8">
      <c r="A331" s="62" t="s">
        <v>125</v>
      </c>
      <c r="B331" s="78">
        <v>9371448</v>
      </c>
      <c r="C331" s="78"/>
      <c r="D331" s="78"/>
      <c r="E331" s="78">
        <v>9371448</v>
      </c>
      <c r="F331" s="42">
        <v>0</v>
      </c>
      <c r="G331" s="42">
        <f t="shared" si="5"/>
        <v>9371448</v>
      </c>
      <c r="H331" s="2" t="str">
        <f>VLOOKUP(A331,'TB JULY'!A:H,8,0)</f>
        <v>Not Applicable</v>
      </c>
    </row>
    <row r="332" spans="1:8">
      <c r="A332" s="62" t="s">
        <v>159</v>
      </c>
      <c r="B332" s="78">
        <v>28350</v>
      </c>
      <c r="C332" s="78"/>
      <c r="D332" s="78"/>
      <c r="E332" s="78">
        <v>28350</v>
      </c>
      <c r="F332" s="42">
        <v>0</v>
      </c>
      <c r="G332" s="42">
        <f t="shared" si="5"/>
        <v>28350</v>
      </c>
      <c r="H332" s="2" t="str">
        <f>VLOOKUP(A332,'TB JULY'!A:H,8,0)</f>
        <v>Not Applicable</v>
      </c>
    </row>
    <row r="333" spans="1:8">
      <c r="A333" s="62" t="s">
        <v>160</v>
      </c>
      <c r="B333" s="78">
        <v>30366108.780000001</v>
      </c>
      <c r="C333" s="78"/>
      <c r="D333" s="78"/>
      <c r="E333" s="78">
        <v>30366108.780000001</v>
      </c>
      <c r="F333" s="42">
        <v>0</v>
      </c>
      <c r="G333" s="42">
        <f t="shared" si="5"/>
        <v>30366108.780000001</v>
      </c>
      <c r="H333" s="2" t="str">
        <f>VLOOKUP(A333,'TB JULY'!A:H,8,0)</f>
        <v>Not Applicable</v>
      </c>
    </row>
    <row r="334" spans="1:8">
      <c r="A334" s="62" t="s">
        <v>161</v>
      </c>
      <c r="B334" s="78">
        <v>39942385.469999999</v>
      </c>
      <c r="C334" s="78"/>
      <c r="D334" s="78"/>
      <c r="E334" s="78">
        <v>39942385.469999999</v>
      </c>
      <c r="F334" s="42">
        <v>0</v>
      </c>
      <c r="G334" s="42">
        <f t="shared" si="5"/>
        <v>39942385.469999999</v>
      </c>
      <c r="H334" s="2" t="str">
        <f>VLOOKUP(A334,'TB JULY'!A:H,8,0)</f>
        <v>Not Applicable</v>
      </c>
    </row>
    <row r="335" spans="1:8">
      <c r="A335" s="62" t="s">
        <v>170</v>
      </c>
      <c r="B335" s="78">
        <v>96500</v>
      </c>
      <c r="C335" s="78"/>
      <c r="D335" s="78"/>
      <c r="E335" s="78">
        <v>96500</v>
      </c>
      <c r="F335" s="42">
        <v>0</v>
      </c>
      <c r="G335" s="42">
        <f t="shared" si="5"/>
        <v>96500</v>
      </c>
      <c r="H335" s="2" t="str">
        <f>VLOOKUP(A335,'TB JULY'!A:H,8,0)</f>
        <v>Not Applicable</v>
      </c>
    </row>
    <row r="336" spans="1:8">
      <c r="A336" s="62" t="s">
        <v>187</v>
      </c>
      <c r="B336" s="78">
        <v>100000</v>
      </c>
      <c r="C336" s="78"/>
      <c r="D336" s="78"/>
      <c r="E336" s="78">
        <v>100000</v>
      </c>
      <c r="F336" s="42">
        <v>0</v>
      </c>
      <c r="G336" s="42">
        <f t="shared" si="5"/>
        <v>100000</v>
      </c>
      <c r="H336" s="2" t="str">
        <f>VLOOKUP(A336,'TB JULY'!A:H,8,0)</f>
        <v>Not Applicable</v>
      </c>
    </row>
    <row r="337" spans="1:8">
      <c r="A337" s="62" t="s">
        <v>202</v>
      </c>
      <c r="B337" s="78">
        <v>186280</v>
      </c>
      <c r="C337" s="78"/>
      <c r="D337" s="78"/>
      <c r="E337" s="78">
        <v>186280</v>
      </c>
      <c r="F337" s="42">
        <v>0</v>
      </c>
      <c r="G337" s="42">
        <f t="shared" si="5"/>
        <v>186280</v>
      </c>
      <c r="H337" s="2" t="str">
        <f>VLOOKUP(A337,'TB JULY'!A:H,8,0)</f>
        <v>Not Applicable</v>
      </c>
    </row>
    <row r="338" spans="1:8">
      <c r="A338" s="62" t="s">
        <v>244</v>
      </c>
      <c r="B338" s="78">
        <v>65000</v>
      </c>
      <c r="C338" s="78"/>
      <c r="D338" s="78"/>
      <c r="E338" s="78">
        <v>65000</v>
      </c>
      <c r="F338" s="42">
        <v>0</v>
      </c>
      <c r="G338" s="42">
        <f t="shared" si="5"/>
        <v>65000</v>
      </c>
      <c r="H338" s="2" t="str">
        <f>VLOOKUP(A338,'TB JULY'!A:H,8,0)</f>
        <v>Not Applicable</v>
      </c>
    </row>
    <row r="339" spans="1:8">
      <c r="A339" s="62" t="s">
        <v>325</v>
      </c>
      <c r="B339" s="78">
        <v>57500</v>
      </c>
      <c r="C339" s="78"/>
      <c r="D339" s="78"/>
      <c r="E339" s="78">
        <v>57500</v>
      </c>
      <c r="F339" s="42">
        <v>0</v>
      </c>
      <c r="G339" s="42">
        <f t="shared" si="5"/>
        <v>57500</v>
      </c>
      <c r="H339" s="2" t="str">
        <f>VLOOKUP(A339,'TB JULY'!A:H,8,0)</f>
        <v>Not Applicable</v>
      </c>
    </row>
    <row r="340" spans="1:8">
      <c r="A340" s="62" t="s">
        <v>86</v>
      </c>
      <c r="B340" s="78">
        <v>879414</v>
      </c>
      <c r="C340" s="78"/>
      <c r="D340" s="78"/>
      <c r="E340" s="78">
        <v>879414</v>
      </c>
      <c r="F340" s="42">
        <v>0</v>
      </c>
      <c r="G340" s="42">
        <f t="shared" si="5"/>
        <v>879414</v>
      </c>
      <c r="H340" s="2" t="str">
        <f>VLOOKUP(A340,'TB JULY'!A:H,8,0)</f>
        <v>Not Applicable</v>
      </c>
    </row>
    <row r="341" spans="1:8">
      <c r="A341" s="62" t="s">
        <v>139</v>
      </c>
      <c r="B341" s="78">
        <v>85795</v>
      </c>
      <c r="C341" s="78"/>
      <c r="D341" s="78"/>
      <c r="E341" s="78">
        <v>85795</v>
      </c>
      <c r="F341" s="42">
        <v>0</v>
      </c>
      <c r="G341" s="42">
        <f t="shared" si="5"/>
        <v>85795</v>
      </c>
      <c r="H341" s="2" t="str">
        <f>VLOOKUP(A341,'TB JULY'!A:H,8,0)</f>
        <v>Not Applicable</v>
      </c>
    </row>
    <row r="342" spans="1:8">
      <c r="A342" s="62" t="s">
        <v>140</v>
      </c>
      <c r="B342" s="78">
        <v>140000</v>
      </c>
      <c r="C342" s="78"/>
      <c r="D342" s="78"/>
      <c r="E342" s="78">
        <v>140000</v>
      </c>
      <c r="F342" s="42">
        <v>0</v>
      </c>
      <c r="G342" s="42">
        <f t="shared" si="5"/>
        <v>140000</v>
      </c>
      <c r="H342" s="2" t="str">
        <f>VLOOKUP(A342,'TB JULY'!A:H,8,0)</f>
        <v>Not Applicable</v>
      </c>
    </row>
    <row r="343" spans="1:8">
      <c r="A343" s="62" t="s">
        <v>141</v>
      </c>
      <c r="B343" s="78">
        <v>93100</v>
      </c>
      <c r="C343" s="78"/>
      <c r="D343" s="78"/>
      <c r="E343" s="78">
        <v>93100</v>
      </c>
      <c r="F343" s="42">
        <v>0</v>
      </c>
      <c r="G343" s="42">
        <f t="shared" si="5"/>
        <v>93100</v>
      </c>
      <c r="H343" s="2" t="str">
        <f>VLOOKUP(A343,'TB JULY'!A:H,8,0)</f>
        <v>Not Applicable</v>
      </c>
    </row>
    <row r="344" spans="1:8">
      <c r="A344" s="62" t="s">
        <v>91</v>
      </c>
      <c r="B344" s="78">
        <v>16675</v>
      </c>
      <c r="C344" s="78"/>
      <c r="D344" s="78"/>
      <c r="E344" s="78">
        <v>16675</v>
      </c>
      <c r="F344" s="42">
        <v>0</v>
      </c>
      <c r="G344" s="42">
        <f t="shared" si="5"/>
        <v>16675</v>
      </c>
      <c r="H344" s="2" t="str">
        <f>VLOOKUP(A344,'TB JULY'!A:H,8,0)</f>
        <v>Not Applicable</v>
      </c>
    </row>
    <row r="345" spans="1:8">
      <c r="A345" s="62" t="s">
        <v>146</v>
      </c>
      <c r="B345" s="78">
        <v>2659625.63</v>
      </c>
      <c r="C345" s="78"/>
      <c r="D345" s="78"/>
      <c r="E345" s="78">
        <v>2659625.63</v>
      </c>
      <c r="F345" s="42">
        <v>0</v>
      </c>
      <c r="G345" s="42">
        <f t="shared" si="5"/>
        <v>2659625.63</v>
      </c>
      <c r="H345" s="2" t="str">
        <f>VLOOKUP(A345,'TB JULY'!A:H,8,0)</f>
        <v>Not Applicable</v>
      </c>
    </row>
    <row r="346" spans="1:8">
      <c r="A346" s="62" t="s">
        <v>151</v>
      </c>
      <c r="B346" s="78">
        <v>98304</v>
      </c>
      <c r="C346" s="78"/>
      <c r="D346" s="78"/>
      <c r="E346" s="78">
        <v>98304</v>
      </c>
      <c r="F346" s="42">
        <v>0</v>
      </c>
      <c r="G346" s="42">
        <f t="shared" si="5"/>
        <v>98304</v>
      </c>
      <c r="H346" s="2" t="str">
        <f>VLOOKUP(A346,'TB JULY'!A:H,8,0)</f>
        <v>Not Applicable</v>
      </c>
    </row>
    <row r="347" spans="1:8">
      <c r="A347" s="62" t="s">
        <v>191</v>
      </c>
      <c r="B347" s="78">
        <v>7650</v>
      </c>
      <c r="C347" s="78"/>
      <c r="D347" s="78"/>
      <c r="E347" s="78">
        <v>7650</v>
      </c>
      <c r="F347" s="42">
        <v>0</v>
      </c>
      <c r="G347" s="42">
        <f t="shared" si="5"/>
        <v>7650</v>
      </c>
      <c r="H347" s="2" t="str">
        <f>VLOOKUP(A347,'TB JULY'!A:H,8,0)</f>
        <v>Not Applicable</v>
      </c>
    </row>
    <row r="348" spans="1:8">
      <c r="A348" s="62" t="s">
        <v>195</v>
      </c>
      <c r="B348" s="78">
        <v>211477</v>
      </c>
      <c r="C348" s="78"/>
      <c r="D348" s="78"/>
      <c r="E348" s="78">
        <v>211477</v>
      </c>
      <c r="F348" s="42">
        <v>0</v>
      </c>
      <c r="G348" s="42">
        <f t="shared" si="5"/>
        <v>211477</v>
      </c>
      <c r="H348" s="2" t="str">
        <f>VLOOKUP(A348,'TB JULY'!A:H,8,0)</f>
        <v>Not Applicable</v>
      </c>
    </row>
    <row r="349" spans="1:8">
      <c r="A349" s="62" t="s">
        <v>305</v>
      </c>
      <c r="B349" s="78">
        <v>90000</v>
      </c>
      <c r="C349" s="78"/>
      <c r="D349" s="78"/>
      <c r="E349" s="78">
        <v>90000</v>
      </c>
      <c r="F349" s="42">
        <v>0</v>
      </c>
      <c r="G349" s="42">
        <f t="shared" si="5"/>
        <v>90000</v>
      </c>
      <c r="H349" s="2" t="str">
        <f>VLOOKUP(A349,'TB JULY'!A:H,8,0)</f>
        <v>Not Applicable</v>
      </c>
    </row>
    <row r="350" spans="1:8">
      <c r="A350" s="62" t="s">
        <v>327</v>
      </c>
      <c r="B350" s="78">
        <v>758907.36</v>
      </c>
      <c r="C350" s="78"/>
      <c r="D350" s="78"/>
      <c r="E350" s="78">
        <v>758907.36</v>
      </c>
      <c r="F350" s="42">
        <v>0</v>
      </c>
      <c r="G350" s="42">
        <f t="shared" si="5"/>
        <v>758907.36</v>
      </c>
      <c r="H350" s="2" t="str">
        <f>VLOOKUP(A350,'TB JULY'!A:H,8,0)</f>
        <v>Not Applicable</v>
      </c>
    </row>
    <row r="351" spans="1:8">
      <c r="A351" s="62" t="s">
        <v>354</v>
      </c>
      <c r="B351" s="78">
        <v>349108.97</v>
      </c>
      <c r="C351" s="78"/>
      <c r="D351" s="78"/>
      <c r="E351" s="78">
        <v>349108.97</v>
      </c>
      <c r="F351" s="42">
        <v>0</v>
      </c>
      <c r="G351" s="42">
        <f t="shared" si="5"/>
        <v>349108.97</v>
      </c>
      <c r="H351" s="2" t="str">
        <f>VLOOKUP(A351,'TB JULY'!A:H,8,0)</f>
        <v>Not Applicable</v>
      </c>
    </row>
    <row r="352" spans="1:8">
      <c r="A352" s="62" t="s">
        <v>355</v>
      </c>
      <c r="B352" s="78">
        <v>1571437</v>
      </c>
      <c r="C352" s="78"/>
      <c r="D352" s="78"/>
      <c r="E352" s="78">
        <v>1571437</v>
      </c>
      <c r="F352" s="42">
        <v>0</v>
      </c>
      <c r="G352" s="42">
        <f t="shared" si="5"/>
        <v>1571437</v>
      </c>
      <c r="H352" s="2" t="str">
        <f>VLOOKUP(A352,'TB JULY'!A:H,8,0)</f>
        <v>Not Applicable</v>
      </c>
    </row>
    <row r="353" spans="1:8">
      <c r="A353" s="62" t="s">
        <v>356</v>
      </c>
      <c r="B353" s="78">
        <v>68400</v>
      </c>
      <c r="C353" s="78"/>
      <c r="D353" s="78"/>
      <c r="E353" s="78">
        <v>68400</v>
      </c>
      <c r="F353" s="42">
        <v>0</v>
      </c>
      <c r="G353" s="42">
        <f t="shared" si="5"/>
        <v>68400</v>
      </c>
      <c r="H353" s="2" t="str">
        <f>VLOOKUP(A353,'TB JULY'!A:H,8,0)</f>
        <v>Not Applicable</v>
      </c>
    </row>
    <row r="354" spans="1:8">
      <c r="A354" s="62" t="s">
        <v>359</v>
      </c>
      <c r="B354" s="78">
        <v>429513.24</v>
      </c>
      <c r="C354" s="78"/>
      <c r="D354" s="78"/>
      <c r="E354" s="78">
        <v>429513.24</v>
      </c>
      <c r="F354" s="42">
        <v>0</v>
      </c>
      <c r="G354" s="42">
        <f t="shared" si="5"/>
        <v>429513.24</v>
      </c>
      <c r="H354" s="2" t="str">
        <f>VLOOKUP(A354,'TB JULY'!A:H,8,0)</f>
        <v>Not Applicable</v>
      </c>
    </row>
    <row r="355" spans="1:8">
      <c r="A355" s="62" t="s">
        <v>360</v>
      </c>
      <c r="B355" s="78">
        <v>5850</v>
      </c>
      <c r="C355" s="78">
        <v>16500</v>
      </c>
      <c r="D355" s="78"/>
      <c r="E355" s="78">
        <v>22350</v>
      </c>
      <c r="F355" s="42">
        <v>0</v>
      </c>
      <c r="G355" s="42">
        <f t="shared" si="5"/>
        <v>22350</v>
      </c>
      <c r="H355" s="2" t="str">
        <f>VLOOKUP(A355,'TB JULY'!A:H,8,0)</f>
        <v>Not Applicable</v>
      </c>
    </row>
    <row r="356" spans="1:8">
      <c r="A356" s="62" t="s">
        <v>136</v>
      </c>
      <c r="B356" s="78">
        <v>1015945.55</v>
      </c>
      <c r="C356" s="78"/>
      <c r="D356" s="78"/>
      <c r="E356" s="78">
        <v>1015945.55</v>
      </c>
      <c r="F356" s="42">
        <v>0</v>
      </c>
      <c r="G356" s="42">
        <f t="shared" si="5"/>
        <v>1015945.55</v>
      </c>
      <c r="H356" s="2" t="str">
        <f>VLOOKUP(A356,'TB JULY'!A:H,8,0)</f>
        <v>Not Applicable</v>
      </c>
    </row>
    <row r="357" spans="1:8">
      <c r="A357" s="62" t="s">
        <v>1052</v>
      </c>
      <c r="B357" s="78">
        <v>5673027</v>
      </c>
      <c r="C357" s="78"/>
      <c r="D357" s="78"/>
      <c r="E357" s="78">
        <v>5673027</v>
      </c>
      <c r="F357" s="42">
        <v>0</v>
      </c>
      <c r="G357" s="42">
        <f t="shared" si="5"/>
        <v>5673027</v>
      </c>
      <c r="H357" s="2" t="str">
        <f>VLOOKUP(A357,'TB JULY'!A:H,8,0)</f>
        <v>Not Applicable</v>
      </c>
    </row>
    <row r="358" spans="1:8">
      <c r="A358" s="62" t="s">
        <v>115</v>
      </c>
      <c r="B358" s="78">
        <v>733185</v>
      </c>
      <c r="C358" s="78"/>
      <c r="D358" s="78"/>
      <c r="E358" s="78">
        <v>733185</v>
      </c>
      <c r="F358" s="42">
        <v>0</v>
      </c>
      <c r="G358" s="42">
        <f t="shared" si="5"/>
        <v>733185</v>
      </c>
      <c r="H358" s="2" t="str">
        <f>VLOOKUP(A358,'TB JULY'!A:H,8,0)</f>
        <v>Not Applicable</v>
      </c>
    </row>
    <row r="359" spans="1:8">
      <c r="A359" s="62" t="s">
        <v>144</v>
      </c>
      <c r="B359" s="78">
        <v>2750</v>
      </c>
      <c r="C359" s="78"/>
      <c r="D359" s="78"/>
      <c r="E359" s="78">
        <v>2750</v>
      </c>
      <c r="F359" s="42">
        <v>0</v>
      </c>
      <c r="G359" s="42">
        <f t="shared" si="5"/>
        <v>2750</v>
      </c>
      <c r="H359" s="2" t="str">
        <f>VLOOKUP(A359,'TB JULY'!A:H,8,0)</f>
        <v>Not Applicable</v>
      </c>
    </row>
    <row r="360" spans="1:8">
      <c r="A360" s="62" t="s">
        <v>245</v>
      </c>
      <c r="B360" s="78">
        <v>36400</v>
      </c>
      <c r="C360" s="78"/>
      <c r="D360" s="78"/>
      <c r="E360" s="78">
        <v>36400</v>
      </c>
      <c r="F360" s="42">
        <v>0</v>
      </c>
      <c r="G360" s="42">
        <f t="shared" si="5"/>
        <v>36400</v>
      </c>
      <c r="H360" s="2" t="str">
        <f>VLOOKUP(A360,'TB JULY'!A:H,8,0)</f>
        <v>Not Applicable</v>
      </c>
    </row>
    <row r="361" spans="1:8">
      <c r="A361" s="62" t="s">
        <v>246</v>
      </c>
      <c r="B361" s="78">
        <v>43030</v>
      </c>
      <c r="C361" s="78"/>
      <c r="D361" s="78"/>
      <c r="E361" s="78">
        <v>43030</v>
      </c>
      <c r="F361" s="42">
        <v>0</v>
      </c>
      <c r="G361" s="42">
        <f t="shared" si="5"/>
        <v>43030</v>
      </c>
      <c r="H361" s="2" t="str">
        <f>VLOOKUP(A361,'TB JULY'!A:H,8,0)</f>
        <v>Not Applicable</v>
      </c>
    </row>
    <row r="362" spans="1:8">
      <c r="A362" s="62" t="s">
        <v>247</v>
      </c>
      <c r="B362" s="78">
        <v>43030</v>
      </c>
      <c r="C362" s="78"/>
      <c r="D362" s="78"/>
      <c r="E362" s="78">
        <v>43030</v>
      </c>
      <c r="F362" s="42">
        <v>0</v>
      </c>
      <c r="G362" s="42">
        <f t="shared" si="5"/>
        <v>43030</v>
      </c>
      <c r="H362" s="2" t="str">
        <f>VLOOKUP(A362,'TB JULY'!A:H,8,0)</f>
        <v>Not Applicable</v>
      </c>
    </row>
    <row r="363" spans="1:8">
      <c r="A363" s="62" t="s">
        <v>175</v>
      </c>
      <c r="B363" s="78">
        <v>1818539</v>
      </c>
      <c r="C363" s="78"/>
      <c r="D363" s="78"/>
      <c r="E363" s="78">
        <v>1818539</v>
      </c>
      <c r="F363" s="42">
        <v>0</v>
      </c>
      <c r="G363" s="42">
        <f t="shared" si="5"/>
        <v>1818539</v>
      </c>
      <c r="H363" s="2" t="str">
        <f>VLOOKUP(A363,'TB JULY'!A:H,8,0)</f>
        <v>Not Applicable</v>
      </c>
    </row>
    <row r="364" spans="1:8">
      <c r="A364" s="62" t="s">
        <v>176</v>
      </c>
      <c r="B364" s="78">
        <v>766214</v>
      </c>
      <c r="C364" s="78"/>
      <c r="D364" s="78"/>
      <c r="E364" s="78">
        <v>766214</v>
      </c>
      <c r="F364" s="42">
        <v>0</v>
      </c>
      <c r="G364" s="42">
        <f t="shared" si="5"/>
        <v>766214</v>
      </c>
      <c r="H364" s="2" t="str">
        <f>VLOOKUP(A364,'TB JULY'!A:H,8,0)</f>
        <v>Not Applicable</v>
      </c>
    </row>
    <row r="365" spans="1:8">
      <c r="A365" s="62" t="s">
        <v>177</v>
      </c>
      <c r="B365" s="78">
        <v>3428358</v>
      </c>
      <c r="C365" s="78"/>
      <c r="D365" s="78"/>
      <c r="E365" s="78">
        <v>3428358</v>
      </c>
      <c r="F365" s="42">
        <v>0</v>
      </c>
      <c r="G365" s="42">
        <f t="shared" si="5"/>
        <v>3428358</v>
      </c>
      <c r="H365" s="2" t="str">
        <f>VLOOKUP(A365,'TB JULY'!A:H,8,0)</f>
        <v>Not Applicable</v>
      </c>
    </row>
    <row r="366" spans="1:8">
      <c r="A366" s="62" t="s">
        <v>178</v>
      </c>
      <c r="B366" s="78">
        <v>1419968.98</v>
      </c>
      <c r="C366" s="78"/>
      <c r="D366" s="78"/>
      <c r="E366" s="78">
        <v>1419968.98</v>
      </c>
      <c r="F366" s="42">
        <v>0</v>
      </c>
      <c r="G366" s="42">
        <f t="shared" si="5"/>
        <v>1419968.98</v>
      </c>
      <c r="H366" s="2" t="str">
        <f>VLOOKUP(A366,'TB JULY'!A:H,8,0)</f>
        <v>Not Applicable</v>
      </c>
    </row>
    <row r="367" spans="1:8">
      <c r="A367" s="62" t="s">
        <v>321</v>
      </c>
      <c r="B367" s="78">
        <v>2154376</v>
      </c>
      <c r="C367" s="78"/>
      <c r="D367" s="78"/>
      <c r="E367" s="78">
        <v>2154376</v>
      </c>
      <c r="F367" s="42">
        <v>0</v>
      </c>
      <c r="G367" s="42">
        <f t="shared" si="5"/>
        <v>2154376</v>
      </c>
      <c r="H367" s="2" t="str">
        <f>VLOOKUP(A367,'TB JULY'!A:H,8,0)</f>
        <v>Not Applicable</v>
      </c>
    </row>
    <row r="368" spans="1:8">
      <c r="A368" s="62" t="s">
        <v>1597</v>
      </c>
      <c r="B368" s="78"/>
      <c r="C368" s="78">
        <v>12000</v>
      </c>
      <c r="D368" s="78"/>
      <c r="E368" s="78">
        <v>12000</v>
      </c>
      <c r="F368" s="42">
        <v>0</v>
      </c>
      <c r="G368" s="42">
        <f t="shared" si="5"/>
        <v>12000</v>
      </c>
      <c r="H368" s="2" t="str">
        <f>VLOOKUP(A368,'TB JULY'!A:H,8,0)</f>
        <v>Not Applicable</v>
      </c>
    </row>
    <row r="369" spans="1:8">
      <c r="A369" s="62" t="s">
        <v>486</v>
      </c>
      <c r="B369" s="78">
        <v>-590104048.52999997</v>
      </c>
      <c r="C369" s="78"/>
      <c r="D369" s="78"/>
      <c r="E369" s="78">
        <v>-590104048.52999997</v>
      </c>
      <c r="F369" s="42">
        <v>0</v>
      </c>
      <c r="G369" s="42">
        <f t="shared" si="5"/>
        <v>-590104048.52999997</v>
      </c>
      <c r="H369" s="2" t="str">
        <f>VLOOKUP(A369,'TB JULY'!A:H,8,0)</f>
        <v>Not Applicable</v>
      </c>
    </row>
    <row r="370" spans="1:8">
      <c r="A370" s="62" t="s">
        <v>1555</v>
      </c>
      <c r="B370" s="78"/>
      <c r="C370" s="78">
        <v>10000</v>
      </c>
      <c r="D370" s="78">
        <v>10000</v>
      </c>
      <c r="E370" s="78"/>
      <c r="F370" s="42">
        <v>0</v>
      </c>
      <c r="G370" s="42">
        <f t="shared" si="5"/>
        <v>0</v>
      </c>
      <c r="H370" s="2" t="str">
        <f>VLOOKUP(A370,'TB JULY'!A:H,8,0)</f>
        <v>Not Applicable</v>
      </c>
    </row>
    <row r="371" spans="1:8">
      <c r="A371" s="62" t="s">
        <v>664</v>
      </c>
      <c r="B371" s="78"/>
      <c r="C371" s="78">
        <v>24904023.239999998</v>
      </c>
      <c r="D371" s="78">
        <v>34358236.799999997</v>
      </c>
      <c r="E371" s="78">
        <v>-9454213.5600000005</v>
      </c>
      <c r="F371" s="42">
        <v>0</v>
      </c>
      <c r="G371" s="42">
        <f t="shared" si="5"/>
        <v>-9454213.5600000005</v>
      </c>
      <c r="H371" s="2" t="str">
        <f>VLOOKUP(A371,'TB JULY'!A:H,8,0)</f>
        <v>Not Applicable</v>
      </c>
    </row>
    <row r="372" spans="1:8">
      <c r="A372" s="62" t="s">
        <v>595</v>
      </c>
      <c r="B372" s="78"/>
      <c r="C372" s="78">
        <v>8115352.4100000001</v>
      </c>
      <c r="D372" s="78">
        <v>8116120.4100000001</v>
      </c>
      <c r="E372" s="78">
        <v>-768</v>
      </c>
      <c r="F372" s="42">
        <v>0</v>
      </c>
      <c r="G372" s="42">
        <f t="shared" si="5"/>
        <v>-768</v>
      </c>
      <c r="H372" s="2" t="str">
        <f>VLOOKUP(A372,'TB JULY'!A:H,8,0)</f>
        <v>Not Applicable</v>
      </c>
    </row>
    <row r="373" spans="1:8">
      <c r="A373" s="62" t="s">
        <v>434</v>
      </c>
      <c r="B373" s="78"/>
      <c r="C373" s="78">
        <v>24904023.239999998</v>
      </c>
      <c r="D373" s="78">
        <v>34358236.799999997</v>
      </c>
      <c r="E373" s="78">
        <v>-9454213.5600000005</v>
      </c>
      <c r="F373" s="42">
        <v>0</v>
      </c>
      <c r="G373" s="42">
        <f t="shared" si="5"/>
        <v>-9454213.5600000005</v>
      </c>
      <c r="H373" s="2" t="str">
        <f>VLOOKUP(A373,'TB JULY'!A:H,8,0)</f>
        <v>Not Applicable</v>
      </c>
    </row>
    <row r="374" spans="1:8">
      <c r="A374" s="62" t="s">
        <v>485</v>
      </c>
      <c r="B374" s="78">
        <v>-74528</v>
      </c>
      <c r="C374" s="78">
        <v>364800</v>
      </c>
      <c r="D374" s="78">
        <v>287400</v>
      </c>
      <c r="E374" s="78">
        <v>2872</v>
      </c>
      <c r="F374" s="42">
        <v>0</v>
      </c>
      <c r="G374" s="42">
        <f t="shared" si="5"/>
        <v>2872</v>
      </c>
      <c r="H374" s="2" t="str">
        <f>VLOOKUP(A374,'TB JULY'!A:H,8,0)</f>
        <v>Not Applicable</v>
      </c>
    </row>
    <row r="375" spans="1:8">
      <c r="A375" s="62" t="s">
        <v>395</v>
      </c>
      <c r="B375" s="78"/>
      <c r="C375" s="78"/>
      <c r="D375" s="78"/>
      <c r="E375" s="78"/>
      <c r="F375" s="42">
        <v>0</v>
      </c>
      <c r="G375" s="42">
        <f t="shared" si="5"/>
        <v>0</v>
      </c>
      <c r="H375" s="2" t="str">
        <f>VLOOKUP(A375,'TB JULY'!A:H,8,0)</f>
        <v>Not Applicable</v>
      </c>
    </row>
    <row r="376" spans="1:8">
      <c r="A376" s="62" t="s">
        <v>396</v>
      </c>
      <c r="B376" s="78"/>
      <c r="C376" s="78"/>
      <c r="D376" s="78"/>
      <c r="E376" s="78"/>
      <c r="F376" s="42">
        <v>0</v>
      </c>
      <c r="G376" s="42">
        <f t="shared" si="5"/>
        <v>0</v>
      </c>
      <c r="H376" s="2" t="str">
        <f>VLOOKUP(A376,'TB JULY'!A:H,8,0)</f>
        <v>Not Applicable</v>
      </c>
    </row>
    <row r="377" spans="1:8">
      <c r="A377" s="62" t="s">
        <v>397</v>
      </c>
      <c r="B377" s="78"/>
      <c r="C377" s="78"/>
      <c r="D377" s="78"/>
      <c r="E377" s="78"/>
      <c r="F377" s="42">
        <v>0</v>
      </c>
      <c r="G377" s="42">
        <f t="shared" si="5"/>
        <v>0</v>
      </c>
      <c r="H377" s="2" t="str">
        <f>VLOOKUP(A377,'TB JULY'!A:H,8,0)</f>
        <v>Not Applicable</v>
      </c>
    </row>
    <row r="378" spans="1:8">
      <c r="A378" s="62" t="s">
        <v>398</v>
      </c>
      <c r="B378" s="78"/>
      <c r="C378" s="78"/>
      <c r="D378" s="78"/>
      <c r="E378" s="78"/>
      <c r="F378" s="42">
        <v>0</v>
      </c>
      <c r="G378" s="42">
        <f t="shared" si="5"/>
        <v>0</v>
      </c>
      <c r="H378" s="2" t="str">
        <f>VLOOKUP(A378,'TB JULY'!A:H,8,0)</f>
        <v>Not Applicable</v>
      </c>
    </row>
    <row r="379" spans="1:8">
      <c r="A379" s="62" t="s">
        <v>1308</v>
      </c>
      <c r="B379" s="78"/>
      <c r="C379" s="78"/>
      <c r="D379" s="78"/>
      <c r="E379" s="78"/>
      <c r="F379" s="42">
        <v>0</v>
      </c>
      <c r="G379" s="42">
        <f t="shared" si="5"/>
        <v>0</v>
      </c>
      <c r="H379" s="2" t="str">
        <f>VLOOKUP(A379,'TB JULY'!A:H,8,0)</f>
        <v>Not Applicable</v>
      </c>
    </row>
    <row r="380" spans="1:8">
      <c r="A380" s="62" t="s">
        <v>1061</v>
      </c>
      <c r="B380" s="78"/>
      <c r="C380" s="78"/>
      <c r="D380" s="78"/>
      <c r="E380" s="78"/>
      <c r="F380" s="42">
        <v>0</v>
      </c>
      <c r="G380" s="42">
        <f t="shared" si="5"/>
        <v>0</v>
      </c>
      <c r="H380" s="2" t="str">
        <f>VLOOKUP(A380,'TB JULY'!A:H,8,0)</f>
        <v>Not Applicable</v>
      </c>
    </row>
    <row r="381" spans="1:8">
      <c r="A381" s="62" t="s">
        <v>1422</v>
      </c>
      <c r="B381" s="78"/>
      <c r="C381" s="78"/>
      <c r="D381" s="78">
        <v>10602.75</v>
      </c>
      <c r="E381" s="78">
        <v>-10602.75</v>
      </c>
      <c r="F381" s="42">
        <v>0</v>
      </c>
      <c r="G381" s="42">
        <f t="shared" si="5"/>
        <v>-10602.75</v>
      </c>
      <c r="H381" s="2" t="str">
        <f>VLOOKUP(A381,'TB JULY'!A:H,8,0)</f>
        <v>Not Applicable</v>
      </c>
    </row>
    <row r="382" spans="1:8">
      <c r="A382" s="62" t="s">
        <v>399</v>
      </c>
      <c r="B382" s="78"/>
      <c r="C382" s="78">
        <v>10000</v>
      </c>
      <c r="D382" s="78">
        <v>50000</v>
      </c>
      <c r="E382" s="78">
        <v>-40000</v>
      </c>
      <c r="F382" s="42">
        <v>0</v>
      </c>
      <c r="G382" s="42">
        <f t="shared" si="5"/>
        <v>-40000</v>
      </c>
      <c r="H382" s="2" t="str">
        <f>VLOOKUP(A382,'TB JULY'!A:H,8,0)</f>
        <v>Not Applicable</v>
      </c>
    </row>
    <row r="383" spans="1:8">
      <c r="A383" s="62" t="s">
        <v>400</v>
      </c>
      <c r="B383" s="78">
        <v>-18553</v>
      </c>
      <c r="C383" s="78"/>
      <c r="D383" s="78">
        <v>1033904</v>
      </c>
      <c r="E383" s="78">
        <v>-1052457</v>
      </c>
      <c r="F383" s="42">
        <v>0</v>
      </c>
      <c r="G383" s="42">
        <f t="shared" si="5"/>
        <v>-1052457</v>
      </c>
      <c r="H383" s="2" t="str">
        <f>VLOOKUP(A383,'TB JULY'!A:H,8,0)</f>
        <v>Not Applicable</v>
      </c>
    </row>
    <row r="384" spans="1:8">
      <c r="A384" s="62" t="s">
        <v>971</v>
      </c>
      <c r="B384" s="78"/>
      <c r="C384" s="78"/>
      <c r="D384" s="78">
        <v>140100</v>
      </c>
      <c r="E384" s="78">
        <v>-140100</v>
      </c>
      <c r="F384" s="42">
        <v>0</v>
      </c>
      <c r="G384" s="42">
        <f t="shared" si="5"/>
        <v>-140100</v>
      </c>
      <c r="H384" s="2" t="str">
        <f>VLOOKUP(A384,'TB JULY'!A:H,8,0)</f>
        <v>Not Applicable</v>
      </c>
    </row>
    <row r="385" spans="1:8">
      <c r="A385" s="62" t="s">
        <v>401</v>
      </c>
      <c r="B385" s="78"/>
      <c r="C385" s="78"/>
      <c r="D385" s="78">
        <v>32955</v>
      </c>
      <c r="E385" s="78">
        <v>-32955</v>
      </c>
      <c r="F385" s="42">
        <v>0</v>
      </c>
      <c r="G385" s="42">
        <f t="shared" si="5"/>
        <v>-32955</v>
      </c>
      <c r="H385" s="2" t="str">
        <f>VLOOKUP(A385,'TB JULY'!A:H,8,0)</f>
        <v>Not Applicable</v>
      </c>
    </row>
    <row r="386" spans="1:8">
      <c r="A386" s="62" t="s">
        <v>402</v>
      </c>
      <c r="B386" s="78"/>
      <c r="C386" s="78">
        <v>1.1299999999999999</v>
      </c>
      <c r="D386" s="78">
        <v>375353.17</v>
      </c>
      <c r="E386" s="78">
        <v>-375352.04</v>
      </c>
      <c r="F386" s="42">
        <v>0</v>
      </c>
      <c r="G386" s="42">
        <f t="shared" si="5"/>
        <v>-375352.04</v>
      </c>
      <c r="H386" s="2" t="str">
        <f>VLOOKUP(A386,'TB JULY'!A:H,8,0)</f>
        <v>Not Applicable</v>
      </c>
    </row>
    <row r="387" spans="1:8">
      <c r="A387" s="62" t="s">
        <v>673</v>
      </c>
      <c r="B387" s="78">
        <v>-1494215</v>
      </c>
      <c r="C387" s="78"/>
      <c r="D387" s="78"/>
      <c r="E387" s="78">
        <v>-1494215</v>
      </c>
      <c r="F387" s="42">
        <v>0</v>
      </c>
      <c r="G387" s="42">
        <f t="shared" si="5"/>
        <v>-1494215</v>
      </c>
      <c r="H387" s="2" t="str">
        <f>VLOOKUP(A387,'TB JULY'!A:H,8,0)</f>
        <v>Not Applicable</v>
      </c>
    </row>
    <row r="388" spans="1:8">
      <c r="A388" s="62" t="s">
        <v>637</v>
      </c>
      <c r="B388" s="78">
        <v>-311010</v>
      </c>
      <c r="C388" s="78">
        <v>1471818</v>
      </c>
      <c r="D388" s="78">
        <v>1161349</v>
      </c>
      <c r="E388" s="78">
        <v>-541</v>
      </c>
      <c r="F388" s="42">
        <v>0</v>
      </c>
      <c r="G388" s="42">
        <f t="shared" si="5"/>
        <v>-541</v>
      </c>
      <c r="H388" s="2" t="str">
        <f>VLOOKUP(A388,'TB JULY'!A:H,8,0)</f>
        <v>Not Applicable</v>
      </c>
    </row>
    <row r="389" spans="1:8">
      <c r="A389" s="62" t="s">
        <v>626</v>
      </c>
      <c r="B389" s="78">
        <v>36125</v>
      </c>
      <c r="C389" s="78">
        <v>112972</v>
      </c>
      <c r="D389" s="78">
        <v>112973</v>
      </c>
      <c r="E389" s="78">
        <v>36124</v>
      </c>
      <c r="F389" s="42">
        <v>0</v>
      </c>
      <c r="G389" s="42">
        <f t="shared" si="5"/>
        <v>36124</v>
      </c>
      <c r="H389" s="2" t="str">
        <f>VLOOKUP(A389,'TB JULY'!A:H,8,0)</f>
        <v>Not Applicable</v>
      </c>
    </row>
    <row r="390" spans="1:8">
      <c r="A390" s="62" t="s">
        <v>455</v>
      </c>
      <c r="B390" s="78">
        <v>-8641911.9800000004</v>
      </c>
      <c r="C390" s="78">
        <v>37966101</v>
      </c>
      <c r="D390" s="78">
        <v>29861961</v>
      </c>
      <c r="E390" s="78">
        <v>-537771.98</v>
      </c>
      <c r="F390" s="42">
        <v>0</v>
      </c>
      <c r="G390" s="42">
        <f t="shared" si="5"/>
        <v>-537771.98</v>
      </c>
      <c r="H390" s="2" t="str">
        <f>VLOOKUP(A390,'TB JULY'!A:H,8,0)</f>
        <v>Not Applicable</v>
      </c>
    </row>
    <row r="391" spans="1:8">
      <c r="A391" s="62" t="s">
        <v>1636</v>
      </c>
      <c r="B391" s="78"/>
      <c r="C391" s="78"/>
      <c r="D391" s="78">
        <v>2109.27</v>
      </c>
      <c r="E391" s="78">
        <v>-2109.27</v>
      </c>
      <c r="F391" s="42">
        <v>0</v>
      </c>
      <c r="G391" s="42">
        <f t="shared" ref="G391:G454" si="6">E391+F391</f>
        <v>-2109.27</v>
      </c>
      <c r="H391" s="2" t="s">
        <v>84</v>
      </c>
    </row>
    <row r="392" spans="1:8">
      <c r="A392" s="62" t="s">
        <v>1423</v>
      </c>
      <c r="B392" s="78">
        <v>-5841</v>
      </c>
      <c r="C392" s="78">
        <v>13579</v>
      </c>
      <c r="D392" s="78">
        <v>13579</v>
      </c>
      <c r="E392" s="78">
        <v>-5841</v>
      </c>
      <c r="F392" s="42">
        <v>0</v>
      </c>
      <c r="G392" s="42">
        <f t="shared" si="6"/>
        <v>-5841</v>
      </c>
      <c r="H392" s="2" t="str">
        <f>VLOOKUP(A392,'TB JULY'!A:H,8,0)</f>
        <v>Not Applicable</v>
      </c>
    </row>
    <row r="393" spans="1:8">
      <c r="A393" s="62" t="s">
        <v>1637</v>
      </c>
      <c r="B393" s="78"/>
      <c r="C393" s="78"/>
      <c r="D393" s="78">
        <v>100064</v>
      </c>
      <c r="E393" s="78">
        <v>-100064</v>
      </c>
      <c r="F393" s="42">
        <v>0</v>
      </c>
      <c r="G393" s="42">
        <f t="shared" si="6"/>
        <v>-100064</v>
      </c>
      <c r="H393" s="2" t="s">
        <v>84</v>
      </c>
    </row>
    <row r="394" spans="1:8">
      <c r="A394" s="62" t="s">
        <v>1350</v>
      </c>
      <c r="B394" s="78">
        <v>-34321.599999999999</v>
      </c>
      <c r="C394" s="78">
        <v>72837.600000000006</v>
      </c>
      <c r="D394" s="78">
        <v>38229</v>
      </c>
      <c r="E394" s="78">
        <v>287</v>
      </c>
      <c r="F394" s="42">
        <v>0</v>
      </c>
      <c r="G394" s="42">
        <f t="shared" si="6"/>
        <v>287</v>
      </c>
      <c r="H394" s="2" t="str">
        <f>VLOOKUP(A394,'TB JULY'!A:H,8,0)</f>
        <v>Not Applicable</v>
      </c>
    </row>
    <row r="395" spans="1:8">
      <c r="A395" s="62" t="s">
        <v>644</v>
      </c>
      <c r="B395" s="78">
        <v>-2537</v>
      </c>
      <c r="C395" s="78">
        <v>4891</v>
      </c>
      <c r="D395" s="78">
        <v>4891</v>
      </c>
      <c r="E395" s="78">
        <v>-2537</v>
      </c>
      <c r="F395" s="42">
        <v>0</v>
      </c>
      <c r="G395" s="42">
        <f t="shared" si="6"/>
        <v>-2537</v>
      </c>
      <c r="H395" s="2" t="str">
        <f>VLOOKUP(A395,'TB JULY'!A:H,8,0)</f>
        <v>Not Applicable</v>
      </c>
    </row>
    <row r="396" spans="1:8">
      <c r="A396" s="62" t="s">
        <v>1424</v>
      </c>
      <c r="B396" s="78"/>
      <c r="C396" s="78"/>
      <c r="D396" s="78"/>
      <c r="E396" s="78"/>
      <c r="F396" s="42">
        <v>0</v>
      </c>
      <c r="G396" s="42">
        <f t="shared" si="6"/>
        <v>0</v>
      </c>
      <c r="H396" s="2" t="str">
        <f>VLOOKUP(A396,'TB JULY'!A:H,8,0)</f>
        <v>Not Applicable</v>
      </c>
    </row>
    <row r="397" spans="1:8">
      <c r="A397" s="62" t="s">
        <v>1038</v>
      </c>
      <c r="B397" s="78">
        <v>-5992</v>
      </c>
      <c r="C397" s="78"/>
      <c r="D397" s="78"/>
      <c r="E397" s="78">
        <v>-5992</v>
      </c>
      <c r="F397" s="42">
        <v>0</v>
      </c>
      <c r="G397" s="42">
        <f t="shared" si="6"/>
        <v>-5992</v>
      </c>
      <c r="H397" s="2" t="str">
        <f>VLOOKUP(A397,'TB JULY'!A:H,8,0)</f>
        <v>Not Applicable</v>
      </c>
    </row>
    <row r="398" spans="1:8">
      <c r="A398" s="62" t="s">
        <v>482</v>
      </c>
      <c r="B398" s="78">
        <v>-197176</v>
      </c>
      <c r="C398" s="78"/>
      <c r="D398" s="78"/>
      <c r="E398" s="78">
        <v>-197176</v>
      </c>
      <c r="F398" s="42">
        <v>0</v>
      </c>
      <c r="G398" s="42">
        <f t="shared" si="6"/>
        <v>-197176</v>
      </c>
      <c r="H398" s="2" t="str">
        <f>VLOOKUP(A398,'TB JULY'!A:H,8,0)</f>
        <v>Not Applicable</v>
      </c>
    </row>
    <row r="399" spans="1:8">
      <c r="A399" s="62" t="s">
        <v>478</v>
      </c>
      <c r="B399" s="78">
        <v>-5377</v>
      </c>
      <c r="C399" s="78"/>
      <c r="D399" s="78"/>
      <c r="E399" s="78">
        <v>-5377</v>
      </c>
      <c r="F399" s="42">
        <v>0</v>
      </c>
      <c r="G399" s="42">
        <f t="shared" si="6"/>
        <v>-5377</v>
      </c>
      <c r="H399" s="2" t="str">
        <f>VLOOKUP(A399,'TB JULY'!A:H,8,0)</f>
        <v>Not Applicable</v>
      </c>
    </row>
    <row r="400" spans="1:8">
      <c r="A400" s="62" t="s">
        <v>1425</v>
      </c>
      <c r="B400" s="78"/>
      <c r="C400" s="78"/>
      <c r="D400" s="78"/>
      <c r="E400" s="78"/>
      <c r="F400" s="42">
        <v>0</v>
      </c>
      <c r="G400" s="42">
        <f t="shared" si="6"/>
        <v>0</v>
      </c>
      <c r="H400" s="2" t="s">
        <v>84</v>
      </c>
    </row>
    <row r="401" spans="1:8">
      <c r="A401" s="62" t="s">
        <v>431</v>
      </c>
      <c r="B401" s="78"/>
      <c r="C401" s="78"/>
      <c r="D401" s="78">
        <v>428731</v>
      </c>
      <c r="E401" s="78">
        <v>-428731</v>
      </c>
      <c r="F401" s="42">
        <v>0</v>
      </c>
      <c r="G401" s="42">
        <f t="shared" si="6"/>
        <v>-428731</v>
      </c>
      <c r="H401" s="2" t="str">
        <f>VLOOKUP(A401,'TB JULY'!A:H,8,0)</f>
        <v>Not Applicable</v>
      </c>
    </row>
    <row r="402" spans="1:8">
      <c r="A402" s="62" t="s">
        <v>418</v>
      </c>
      <c r="B402" s="78">
        <v>-11250</v>
      </c>
      <c r="C402" s="78">
        <v>11250</v>
      </c>
      <c r="D402" s="78"/>
      <c r="E402" s="78"/>
      <c r="F402" s="42">
        <v>0</v>
      </c>
      <c r="G402" s="42">
        <f t="shared" si="6"/>
        <v>0</v>
      </c>
      <c r="H402" s="2" t="str">
        <f>VLOOKUP(A402,'TB JULY'!A:H,8,0)</f>
        <v>Not Applicable</v>
      </c>
    </row>
    <row r="403" spans="1:8">
      <c r="A403" s="62" t="s">
        <v>416</v>
      </c>
      <c r="B403" s="78">
        <v>-424</v>
      </c>
      <c r="C403" s="78">
        <v>144</v>
      </c>
      <c r="D403" s="78">
        <v>14800</v>
      </c>
      <c r="E403" s="78">
        <v>-15080</v>
      </c>
      <c r="F403" s="42">
        <v>0</v>
      </c>
      <c r="G403" s="42">
        <f t="shared" si="6"/>
        <v>-15080</v>
      </c>
      <c r="H403" s="2" t="str">
        <f>VLOOKUP(A403,'TB JULY'!A:H,8,0)</f>
        <v>Not Applicable</v>
      </c>
    </row>
    <row r="404" spans="1:8">
      <c r="A404" s="62" t="s">
        <v>377</v>
      </c>
      <c r="B404" s="78"/>
      <c r="C404" s="78">
        <v>6422.14</v>
      </c>
      <c r="D404" s="78">
        <v>6423</v>
      </c>
      <c r="E404" s="78">
        <v>-0.86</v>
      </c>
      <c r="F404" s="42">
        <v>0</v>
      </c>
      <c r="G404" s="42">
        <f t="shared" si="6"/>
        <v>-0.86</v>
      </c>
      <c r="H404" s="2" t="str">
        <f>VLOOKUP(A404,'TB JULY'!A:H,8,0)</f>
        <v>Not Applicable</v>
      </c>
    </row>
    <row r="405" spans="1:8">
      <c r="A405" s="62" t="s">
        <v>382</v>
      </c>
      <c r="B405" s="78">
        <v>-150.47999999999999</v>
      </c>
      <c r="C405" s="78"/>
      <c r="D405" s="78"/>
      <c r="E405" s="78">
        <v>-150.47999999999999</v>
      </c>
      <c r="F405" s="42">
        <v>0</v>
      </c>
      <c r="G405" s="42">
        <f t="shared" si="6"/>
        <v>-150.47999999999999</v>
      </c>
      <c r="H405" s="2" t="str">
        <f>VLOOKUP(A405,'TB JULY'!A:H,8,0)</f>
        <v>Not Applicable</v>
      </c>
    </row>
    <row r="406" spans="1:8">
      <c r="A406" s="62" t="s">
        <v>1426</v>
      </c>
      <c r="B406" s="78">
        <v>-420</v>
      </c>
      <c r="C406" s="78">
        <v>4288</v>
      </c>
      <c r="D406" s="78">
        <v>5987</v>
      </c>
      <c r="E406" s="78">
        <v>-2119</v>
      </c>
      <c r="F406" s="42">
        <v>0</v>
      </c>
      <c r="G406" s="42">
        <f t="shared" si="6"/>
        <v>-2119</v>
      </c>
      <c r="H406" s="2" t="str">
        <f>VLOOKUP(A406,'TB JULY'!A:H,8,0)</f>
        <v>Not Applicable</v>
      </c>
    </row>
    <row r="407" spans="1:8">
      <c r="A407" s="62" t="s">
        <v>995</v>
      </c>
      <c r="B407" s="78"/>
      <c r="C407" s="78"/>
      <c r="D407" s="78"/>
      <c r="E407" s="78"/>
      <c r="F407" s="42">
        <v>0</v>
      </c>
      <c r="G407" s="42">
        <f t="shared" si="6"/>
        <v>0</v>
      </c>
      <c r="H407" s="2" t="str">
        <f>VLOOKUP(A407,'TB JULY'!A:H,8,0)</f>
        <v>Not Applicable</v>
      </c>
    </row>
    <row r="408" spans="1:8">
      <c r="A408" s="62" t="s">
        <v>741</v>
      </c>
      <c r="B408" s="78">
        <v>-43311</v>
      </c>
      <c r="C408" s="78">
        <v>150219</v>
      </c>
      <c r="D408" s="78">
        <v>106908</v>
      </c>
      <c r="E408" s="78"/>
      <c r="F408" s="42">
        <v>0</v>
      </c>
      <c r="G408" s="42">
        <f t="shared" si="6"/>
        <v>0</v>
      </c>
      <c r="H408" s="2" t="str">
        <f>VLOOKUP(A408,'TB JULY'!A:H,8,0)</f>
        <v>Not Applicable</v>
      </c>
    </row>
    <row r="409" spans="1:8">
      <c r="A409" s="62" t="s">
        <v>1556</v>
      </c>
      <c r="B409" s="78"/>
      <c r="C409" s="78">
        <v>22600</v>
      </c>
      <c r="D409" s="78">
        <v>22600</v>
      </c>
      <c r="E409" s="78"/>
      <c r="F409" s="42">
        <v>0</v>
      </c>
      <c r="G409" s="42">
        <f t="shared" si="6"/>
        <v>0</v>
      </c>
      <c r="H409" s="2" t="str">
        <f>VLOOKUP(A409,'TB JULY'!A:H,8,0)</f>
        <v>Not Applicable</v>
      </c>
    </row>
    <row r="410" spans="1:8">
      <c r="A410" s="62" t="s">
        <v>676</v>
      </c>
      <c r="B410" s="78">
        <v>-8821</v>
      </c>
      <c r="C410" s="78">
        <v>73768</v>
      </c>
      <c r="D410" s="78">
        <v>64947</v>
      </c>
      <c r="E410" s="78"/>
      <c r="F410" s="42">
        <v>0</v>
      </c>
      <c r="G410" s="42">
        <f t="shared" si="6"/>
        <v>0</v>
      </c>
      <c r="H410" s="2" t="str">
        <f>VLOOKUP(A410,'TB JULY'!A:H,8,0)</f>
        <v>Not Applicable</v>
      </c>
    </row>
    <row r="411" spans="1:8">
      <c r="A411" s="62" t="s">
        <v>729</v>
      </c>
      <c r="B411" s="78">
        <v>-25095</v>
      </c>
      <c r="C411" s="78"/>
      <c r="D411" s="78">
        <v>39532</v>
      </c>
      <c r="E411" s="78">
        <v>-64627</v>
      </c>
      <c r="F411" s="42">
        <v>0</v>
      </c>
      <c r="G411" s="42">
        <f t="shared" si="6"/>
        <v>-64627</v>
      </c>
      <c r="H411" s="2" t="str">
        <f>VLOOKUP(A411,'TB JULY'!A:H,8,0)</f>
        <v>Not Applicable</v>
      </c>
    </row>
    <row r="412" spans="1:8">
      <c r="A412" s="62" t="s">
        <v>1427</v>
      </c>
      <c r="B412" s="78"/>
      <c r="C412" s="78">
        <v>10537</v>
      </c>
      <c r="D412" s="78">
        <v>13157</v>
      </c>
      <c r="E412" s="78">
        <v>-2620</v>
      </c>
      <c r="F412" s="42">
        <v>0</v>
      </c>
      <c r="G412" s="42">
        <f t="shared" si="6"/>
        <v>-2620</v>
      </c>
      <c r="H412" s="2" t="str">
        <f>VLOOKUP(A412,'TB JULY'!A:H,8,0)</f>
        <v>Not Applicable</v>
      </c>
    </row>
    <row r="413" spans="1:8">
      <c r="A413" s="62" t="s">
        <v>731</v>
      </c>
      <c r="B413" s="78"/>
      <c r="C413" s="78">
        <v>4750</v>
      </c>
      <c r="D413" s="78">
        <v>6520</v>
      </c>
      <c r="E413" s="78">
        <v>-1770</v>
      </c>
      <c r="F413" s="42">
        <v>0</v>
      </c>
      <c r="G413" s="42">
        <f t="shared" si="6"/>
        <v>-1770</v>
      </c>
      <c r="H413" s="2" t="str">
        <f>VLOOKUP(A413,'TB JULY'!A:H,8,0)</f>
        <v>Not Applicable</v>
      </c>
    </row>
    <row r="414" spans="1:8">
      <c r="A414" s="62" t="s">
        <v>1512</v>
      </c>
      <c r="B414" s="78"/>
      <c r="C414" s="78">
        <v>2855</v>
      </c>
      <c r="D414" s="78">
        <v>4756</v>
      </c>
      <c r="E414" s="78">
        <v>-1901</v>
      </c>
      <c r="F414" s="42">
        <v>0</v>
      </c>
      <c r="G414" s="42">
        <f t="shared" si="6"/>
        <v>-1901</v>
      </c>
      <c r="H414" s="2" t="str">
        <f>VLOOKUP(A414,'TB JULY'!A:H,8,0)</f>
        <v>Not Applicable</v>
      </c>
    </row>
    <row r="415" spans="1:8">
      <c r="A415" s="62" t="s">
        <v>727</v>
      </c>
      <c r="B415" s="78">
        <v>-79852.479999999996</v>
      </c>
      <c r="C415" s="78">
        <v>578452.30000000005</v>
      </c>
      <c r="D415" s="78">
        <v>846572.82</v>
      </c>
      <c r="E415" s="78">
        <v>-347973</v>
      </c>
      <c r="F415" s="42">
        <v>0</v>
      </c>
      <c r="G415" s="42">
        <f t="shared" si="6"/>
        <v>-347973</v>
      </c>
      <c r="H415" s="2" t="str">
        <f>VLOOKUP(A415,'TB JULY'!A:H,8,0)</f>
        <v>Not Applicable</v>
      </c>
    </row>
    <row r="416" spans="1:8">
      <c r="A416" s="62" t="s">
        <v>1234</v>
      </c>
      <c r="B416" s="78"/>
      <c r="C416" s="78">
        <v>10030</v>
      </c>
      <c r="D416" s="78">
        <v>10030</v>
      </c>
      <c r="E416" s="78"/>
      <c r="F416" s="42">
        <v>0</v>
      </c>
      <c r="G416" s="42">
        <f t="shared" si="6"/>
        <v>0</v>
      </c>
      <c r="H416" s="2" t="str">
        <f>VLOOKUP(A416,'TB JULY'!A:H,8,0)</f>
        <v>Not Applicable</v>
      </c>
    </row>
    <row r="417" spans="1:8">
      <c r="A417" s="62" t="s">
        <v>1428</v>
      </c>
      <c r="B417" s="78">
        <v>2078.34</v>
      </c>
      <c r="C417" s="78"/>
      <c r="D417" s="78"/>
      <c r="E417" s="78">
        <v>2078.34</v>
      </c>
      <c r="F417" s="42">
        <v>0</v>
      </c>
      <c r="G417" s="42">
        <f t="shared" si="6"/>
        <v>2078.34</v>
      </c>
      <c r="H417" s="2" t="str">
        <f>VLOOKUP(A417,'TB JULY'!A:H,8,0)</f>
        <v>Not Applicable</v>
      </c>
    </row>
    <row r="418" spans="1:8">
      <c r="A418" s="62" t="s">
        <v>726</v>
      </c>
      <c r="B418" s="78">
        <v>-524510</v>
      </c>
      <c r="C418" s="78"/>
      <c r="D418" s="78"/>
      <c r="E418" s="78">
        <v>-524510</v>
      </c>
      <c r="F418" s="42">
        <v>0</v>
      </c>
      <c r="G418" s="42">
        <f t="shared" si="6"/>
        <v>-524510</v>
      </c>
      <c r="H418" s="2" t="str">
        <f>VLOOKUP(A418,'TB JULY'!A:H,8,0)</f>
        <v>Not Applicable</v>
      </c>
    </row>
    <row r="419" spans="1:8">
      <c r="A419" s="62" t="s">
        <v>1331</v>
      </c>
      <c r="B419" s="78">
        <v>-670</v>
      </c>
      <c r="C419" s="78"/>
      <c r="D419" s="78"/>
      <c r="E419" s="78">
        <v>-670</v>
      </c>
      <c r="F419" s="42">
        <v>0</v>
      </c>
      <c r="G419" s="42">
        <f t="shared" si="6"/>
        <v>-670</v>
      </c>
      <c r="H419" s="2" t="str">
        <f>VLOOKUP(A419,'TB JULY'!A:H,8,0)</f>
        <v>Not Applicable</v>
      </c>
    </row>
    <row r="420" spans="1:8">
      <c r="A420" s="62" t="s">
        <v>1317</v>
      </c>
      <c r="B420" s="78">
        <v>-1000252</v>
      </c>
      <c r="C420" s="78">
        <v>2048649</v>
      </c>
      <c r="D420" s="78">
        <v>1048397</v>
      </c>
      <c r="E420" s="78"/>
      <c r="F420" s="42">
        <v>0</v>
      </c>
      <c r="G420" s="42">
        <f t="shared" si="6"/>
        <v>0</v>
      </c>
      <c r="H420" s="2" t="str">
        <f>VLOOKUP(A420,'TB JULY'!A:H,8,0)</f>
        <v>Not Applicable</v>
      </c>
    </row>
    <row r="421" spans="1:8">
      <c r="A421" s="62" t="s">
        <v>714</v>
      </c>
      <c r="B421" s="78"/>
      <c r="C421" s="78">
        <v>129210</v>
      </c>
      <c r="D421" s="78">
        <v>129210</v>
      </c>
      <c r="E421" s="78"/>
      <c r="F421" s="42">
        <v>0</v>
      </c>
      <c r="G421" s="42">
        <f t="shared" si="6"/>
        <v>0</v>
      </c>
      <c r="H421" s="2" t="str">
        <f>VLOOKUP(A421,'TB JULY'!A:H,8,0)</f>
        <v>Not Applicable</v>
      </c>
    </row>
    <row r="422" spans="1:8">
      <c r="A422" s="62" t="s">
        <v>722</v>
      </c>
      <c r="B422" s="78"/>
      <c r="C422" s="78">
        <v>2962</v>
      </c>
      <c r="D422" s="78">
        <v>8484</v>
      </c>
      <c r="E422" s="78">
        <v>-5522</v>
      </c>
      <c r="F422" s="42">
        <v>0</v>
      </c>
      <c r="G422" s="42">
        <f t="shared" si="6"/>
        <v>-5522</v>
      </c>
      <c r="H422" s="2" t="str">
        <f>VLOOKUP(A422,'TB JULY'!A:H,8,0)</f>
        <v>Not Applicable</v>
      </c>
    </row>
    <row r="423" spans="1:8">
      <c r="A423" s="62" t="s">
        <v>1429</v>
      </c>
      <c r="B423" s="78"/>
      <c r="C423" s="78">
        <v>26668</v>
      </c>
      <c r="D423" s="78">
        <v>26668</v>
      </c>
      <c r="E423" s="78"/>
      <c r="F423" s="42">
        <v>0</v>
      </c>
      <c r="G423" s="42">
        <f t="shared" si="6"/>
        <v>0</v>
      </c>
      <c r="H423" s="2" t="str">
        <f>VLOOKUP(A423,'TB JULY'!A:H,8,0)</f>
        <v>Not Applicable</v>
      </c>
    </row>
    <row r="424" spans="1:8">
      <c r="A424" s="62" t="s">
        <v>723</v>
      </c>
      <c r="B424" s="78">
        <v>-38457</v>
      </c>
      <c r="C424" s="78">
        <v>39863</v>
      </c>
      <c r="D424" s="78">
        <v>96834.32</v>
      </c>
      <c r="E424" s="78">
        <v>-95428.32</v>
      </c>
      <c r="F424" s="42">
        <v>0</v>
      </c>
      <c r="G424" s="42">
        <f t="shared" si="6"/>
        <v>-95428.32</v>
      </c>
      <c r="H424" s="2" t="str">
        <f>VLOOKUP(A424,'TB JULY'!A:H,8,0)</f>
        <v>Not Applicable</v>
      </c>
    </row>
    <row r="425" spans="1:8">
      <c r="A425" s="62" t="s">
        <v>1430</v>
      </c>
      <c r="B425" s="78"/>
      <c r="C425" s="78"/>
      <c r="D425" s="78"/>
      <c r="E425" s="78"/>
      <c r="F425" s="42">
        <v>0</v>
      </c>
      <c r="G425" s="42">
        <f t="shared" si="6"/>
        <v>0</v>
      </c>
      <c r="H425" s="2" t="str">
        <f>VLOOKUP(A425,'TB JULY'!A:H,8,0)</f>
        <v>Not Applicable</v>
      </c>
    </row>
    <row r="426" spans="1:8">
      <c r="A426" s="62" t="s">
        <v>724</v>
      </c>
      <c r="B426" s="78">
        <v>-14491.4</v>
      </c>
      <c r="C426" s="78"/>
      <c r="D426" s="78"/>
      <c r="E426" s="78">
        <v>-14491.4</v>
      </c>
      <c r="F426" s="42">
        <v>0</v>
      </c>
      <c r="G426" s="42">
        <f t="shared" si="6"/>
        <v>-14491.4</v>
      </c>
      <c r="H426" s="2" t="str">
        <f>VLOOKUP(A426,'TB JULY'!A:H,8,0)</f>
        <v>Not Applicable</v>
      </c>
    </row>
    <row r="427" spans="1:8">
      <c r="A427" s="62" t="s">
        <v>1005</v>
      </c>
      <c r="B427" s="78"/>
      <c r="C427" s="78"/>
      <c r="D427" s="78"/>
      <c r="E427" s="78"/>
      <c r="F427" s="42">
        <v>0</v>
      </c>
      <c r="G427" s="42">
        <f t="shared" si="6"/>
        <v>0</v>
      </c>
      <c r="H427" s="2" t="str">
        <f>VLOOKUP(A427,'TB JULY'!A:H,8,0)</f>
        <v>Not Applicable</v>
      </c>
    </row>
    <row r="428" spans="1:8">
      <c r="A428" s="62" t="s">
        <v>1257</v>
      </c>
      <c r="B428" s="78">
        <v>20060</v>
      </c>
      <c r="C428" s="78"/>
      <c r="D428" s="78"/>
      <c r="E428" s="78">
        <v>20060</v>
      </c>
      <c r="F428" s="42">
        <v>0</v>
      </c>
      <c r="G428" s="42">
        <f t="shared" si="6"/>
        <v>20060</v>
      </c>
      <c r="H428" s="2" t="str">
        <f>VLOOKUP(A428,'TB JULY'!A:H,8,0)</f>
        <v>Not Applicable</v>
      </c>
    </row>
    <row r="429" spans="1:8">
      <c r="A429" s="62" t="s">
        <v>719</v>
      </c>
      <c r="B429" s="78">
        <v>-215896.93</v>
      </c>
      <c r="C429" s="78">
        <v>1380359</v>
      </c>
      <c r="D429" s="78">
        <v>1221932</v>
      </c>
      <c r="E429" s="78">
        <v>-57469.93</v>
      </c>
      <c r="F429" s="42">
        <v>0</v>
      </c>
      <c r="G429" s="42">
        <f t="shared" si="6"/>
        <v>-57469.93</v>
      </c>
      <c r="H429" s="2" t="str">
        <f>VLOOKUP(A429,'TB JULY'!A:H,8,0)</f>
        <v>Not Applicable</v>
      </c>
    </row>
    <row r="430" spans="1:8">
      <c r="A430" s="62" t="s">
        <v>720</v>
      </c>
      <c r="B430" s="78"/>
      <c r="C430" s="78"/>
      <c r="D430" s="78"/>
      <c r="E430" s="78"/>
      <c r="F430" s="42">
        <v>0</v>
      </c>
      <c r="G430" s="42">
        <f t="shared" si="6"/>
        <v>0</v>
      </c>
      <c r="H430" s="2" t="str">
        <f>VLOOKUP(A430,'TB JULY'!A:H,8,0)</f>
        <v>Not Applicable</v>
      </c>
    </row>
    <row r="431" spans="1:8">
      <c r="A431" s="62" t="s">
        <v>713</v>
      </c>
      <c r="B431" s="78">
        <v>-6066</v>
      </c>
      <c r="C431" s="78">
        <v>6066</v>
      </c>
      <c r="D431" s="78">
        <v>6052.22</v>
      </c>
      <c r="E431" s="78">
        <v>-6052.22</v>
      </c>
      <c r="F431" s="42">
        <v>0</v>
      </c>
      <c r="G431" s="42">
        <f t="shared" si="6"/>
        <v>-6052.22</v>
      </c>
      <c r="H431" s="2" t="str">
        <f>VLOOKUP(A431,'TB JULY'!A:H,8,0)</f>
        <v>Not Applicable</v>
      </c>
    </row>
    <row r="432" spans="1:8">
      <c r="A432" s="62" t="s">
        <v>700</v>
      </c>
      <c r="B432" s="78"/>
      <c r="C432" s="78">
        <v>1121</v>
      </c>
      <c r="D432" s="78">
        <v>1121</v>
      </c>
      <c r="E432" s="78"/>
      <c r="F432" s="42">
        <v>0</v>
      </c>
      <c r="G432" s="42">
        <f t="shared" si="6"/>
        <v>0</v>
      </c>
      <c r="H432" s="2" t="str">
        <f>VLOOKUP(A432,'TB JULY'!A:H,8,0)</f>
        <v>Not Applicable</v>
      </c>
    </row>
    <row r="433" spans="1:8">
      <c r="A433" s="62" t="s">
        <v>701</v>
      </c>
      <c r="B433" s="78">
        <v>-0.8</v>
      </c>
      <c r="C433" s="78">
        <v>9888</v>
      </c>
      <c r="D433" s="78">
        <v>31506</v>
      </c>
      <c r="E433" s="78">
        <v>-21618.799999999999</v>
      </c>
      <c r="F433" s="42">
        <v>0</v>
      </c>
      <c r="G433" s="42">
        <f t="shared" si="6"/>
        <v>-21618.799999999999</v>
      </c>
      <c r="H433" s="2" t="str">
        <f>VLOOKUP(A433,'TB JULY'!A:H,8,0)</f>
        <v>Not Applicable</v>
      </c>
    </row>
    <row r="434" spans="1:8">
      <c r="A434" s="62" t="s">
        <v>987</v>
      </c>
      <c r="B434" s="78"/>
      <c r="C434" s="78">
        <v>17700</v>
      </c>
      <c r="D434" s="78">
        <v>17700</v>
      </c>
      <c r="E434" s="78"/>
      <c r="F434" s="42">
        <v>0</v>
      </c>
      <c r="G434" s="42">
        <f t="shared" si="6"/>
        <v>0</v>
      </c>
      <c r="H434" s="2" t="str">
        <f>VLOOKUP(A434,'TB JULY'!A:H,8,0)</f>
        <v>Not Applicable</v>
      </c>
    </row>
    <row r="435" spans="1:8">
      <c r="A435" s="62" t="s">
        <v>1431</v>
      </c>
      <c r="B435" s="78"/>
      <c r="C435" s="78">
        <v>15258</v>
      </c>
      <c r="D435" s="78">
        <v>15258</v>
      </c>
      <c r="E435" s="78"/>
      <c r="F435" s="42">
        <v>0</v>
      </c>
      <c r="G435" s="42">
        <f t="shared" si="6"/>
        <v>0</v>
      </c>
      <c r="H435" s="2" t="str">
        <f>VLOOKUP(A435,'TB JULY'!A:H,8,0)</f>
        <v>Not Applicable</v>
      </c>
    </row>
    <row r="436" spans="1:8">
      <c r="A436" s="62" t="s">
        <v>679</v>
      </c>
      <c r="B436" s="78">
        <v>-35156.6</v>
      </c>
      <c r="C436" s="78">
        <v>48167.6</v>
      </c>
      <c r="D436" s="78">
        <v>20414</v>
      </c>
      <c r="E436" s="78">
        <v>-7403</v>
      </c>
      <c r="F436" s="42">
        <v>0</v>
      </c>
      <c r="G436" s="42">
        <f t="shared" si="6"/>
        <v>-7403</v>
      </c>
      <c r="H436" s="2" t="str">
        <f>VLOOKUP(A436,'TB JULY'!A:H,8,0)</f>
        <v>Not Applicable</v>
      </c>
    </row>
    <row r="437" spans="1:8">
      <c r="A437" s="62" t="s">
        <v>680</v>
      </c>
      <c r="B437" s="78">
        <v>-222313</v>
      </c>
      <c r="C437" s="78">
        <v>468252</v>
      </c>
      <c r="D437" s="78">
        <v>539124</v>
      </c>
      <c r="E437" s="78">
        <v>-293185</v>
      </c>
      <c r="F437" s="42">
        <v>0</v>
      </c>
      <c r="G437" s="42">
        <f t="shared" si="6"/>
        <v>-293185</v>
      </c>
      <c r="H437" s="2" t="str">
        <f>VLOOKUP(A437,'TB JULY'!A:H,8,0)</f>
        <v>Not Applicable</v>
      </c>
    </row>
    <row r="438" spans="1:8">
      <c r="A438" s="62" t="s">
        <v>1432</v>
      </c>
      <c r="B438" s="78">
        <v>-9048</v>
      </c>
      <c r="C438" s="78">
        <v>9048</v>
      </c>
      <c r="D438" s="78"/>
      <c r="E438" s="78"/>
      <c r="F438" s="42">
        <v>0</v>
      </c>
      <c r="G438" s="42">
        <f t="shared" si="6"/>
        <v>0</v>
      </c>
      <c r="H438" s="2" t="str">
        <f>VLOOKUP(A438,'TB JULY'!A:H,8,0)</f>
        <v>Not Applicable</v>
      </c>
    </row>
    <row r="439" spans="1:8">
      <c r="A439" s="62" t="s">
        <v>707</v>
      </c>
      <c r="B439" s="78">
        <v>-4776</v>
      </c>
      <c r="C439" s="78">
        <v>4776</v>
      </c>
      <c r="D439" s="78"/>
      <c r="E439" s="78"/>
      <c r="F439" s="42">
        <v>0</v>
      </c>
      <c r="G439" s="42">
        <f t="shared" si="6"/>
        <v>0</v>
      </c>
      <c r="H439" s="2" t="str">
        <f>VLOOKUP(A439,'TB JULY'!A:H,8,0)</f>
        <v>Not Applicable</v>
      </c>
    </row>
    <row r="440" spans="1:8">
      <c r="A440" s="62" t="s">
        <v>708</v>
      </c>
      <c r="B440" s="78">
        <v>-85570</v>
      </c>
      <c r="C440" s="78">
        <v>164288</v>
      </c>
      <c r="D440" s="78">
        <v>103753</v>
      </c>
      <c r="E440" s="78">
        <v>-25035</v>
      </c>
      <c r="F440" s="42">
        <v>0</v>
      </c>
      <c r="G440" s="42">
        <f t="shared" si="6"/>
        <v>-25035</v>
      </c>
      <c r="H440" s="2" t="str">
        <f>VLOOKUP(A440,'TB JULY'!A:H,8,0)</f>
        <v>Not Applicable</v>
      </c>
    </row>
    <row r="441" spans="1:8">
      <c r="A441" s="62" t="s">
        <v>710</v>
      </c>
      <c r="B441" s="78">
        <v>-11033</v>
      </c>
      <c r="C441" s="78"/>
      <c r="D441" s="78"/>
      <c r="E441" s="78">
        <v>-11033</v>
      </c>
      <c r="F441" s="42">
        <v>0</v>
      </c>
      <c r="G441" s="42">
        <f t="shared" si="6"/>
        <v>-11033</v>
      </c>
      <c r="H441" s="2" t="str">
        <f>VLOOKUP(A441,'TB JULY'!A:H,8,0)</f>
        <v>Not Applicable</v>
      </c>
    </row>
    <row r="442" spans="1:8">
      <c r="A442" s="62" t="s">
        <v>712</v>
      </c>
      <c r="B442" s="78"/>
      <c r="C442" s="78"/>
      <c r="D442" s="78"/>
      <c r="E442" s="78"/>
      <c r="F442" s="42">
        <v>0</v>
      </c>
      <c r="G442" s="42">
        <f t="shared" si="6"/>
        <v>0</v>
      </c>
      <c r="H442" s="2" t="str">
        <f>VLOOKUP(A442,'TB JULY'!A:H,8,0)</f>
        <v>Not Applicable</v>
      </c>
    </row>
    <row r="443" spans="1:8">
      <c r="A443" s="62" t="s">
        <v>697</v>
      </c>
      <c r="B443" s="78">
        <v>-0.2</v>
      </c>
      <c r="C443" s="78"/>
      <c r="D443" s="78"/>
      <c r="E443" s="78">
        <v>-0.2</v>
      </c>
      <c r="F443" s="42">
        <v>0</v>
      </c>
      <c r="G443" s="42">
        <f t="shared" si="6"/>
        <v>-0.2</v>
      </c>
      <c r="H443" s="2" t="str">
        <f>VLOOKUP(A443,'TB JULY'!A:H,8,0)</f>
        <v>Not Applicable</v>
      </c>
    </row>
    <row r="444" spans="1:8">
      <c r="A444" s="62" t="s">
        <v>1557</v>
      </c>
      <c r="B444" s="78"/>
      <c r="C444" s="78">
        <v>37760</v>
      </c>
      <c r="D444" s="78">
        <v>37760</v>
      </c>
      <c r="E444" s="78"/>
      <c r="F444" s="42">
        <v>0</v>
      </c>
      <c r="G444" s="42">
        <f t="shared" si="6"/>
        <v>0</v>
      </c>
      <c r="H444" s="2" t="str">
        <f>VLOOKUP(A444,'TB JULY'!A:H,8,0)</f>
        <v>Not Applicable</v>
      </c>
    </row>
    <row r="445" spans="1:8">
      <c r="A445" s="62" t="s">
        <v>682</v>
      </c>
      <c r="B445" s="78"/>
      <c r="C445" s="78">
        <v>10997.6</v>
      </c>
      <c r="D445" s="78">
        <v>10997.6</v>
      </c>
      <c r="E445" s="78"/>
      <c r="F445" s="42">
        <v>0</v>
      </c>
      <c r="G445" s="42">
        <f t="shared" si="6"/>
        <v>0</v>
      </c>
      <c r="H445" s="2" t="str">
        <f>VLOOKUP(A445,'TB JULY'!A:H,8,0)</f>
        <v>Not Applicable</v>
      </c>
    </row>
    <row r="446" spans="1:8">
      <c r="A446" s="62" t="s">
        <v>678</v>
      </c>
      <c r="B446" s="78">
        <v>-9842</v>
      </c>
      <c r="C446" s="78">
        <v>14403</v>
      </c>
      <c r="D446" s="78">
        <v>15271</v>
      </c>
      <c r="E446" s="78">
        <v>-10710</v>
      </c>
      <c r="F446" s="42">
        <v>0</v>
      </c>
      <c r="G446" s="42">
        <f t="shared" si="6"/>
        <v>-10710</v>
      </c>
      <c r="H446" s="2" t="str">
        <f>VLOOKUP(A446,'TB JULY'!A:H,8,0)</f>
        <v>Not Applicable</v>
      </c>
    </row>
    <row r="447" spans="1:8">
      <c r="A447" s="62" t="s">
        <v>675</v>
      </c>
      <c r="B447" s="78">
        <v>-615888</v>
      </c>
      <c r="C447" s="78">
        <v>1569211</v>
      </c>
      <c r="D447" s="78">
        <v>2058015</v>
      </c>
      <c r="E447" s="78">
        <v>-1104692</v>
      </c>
      <c r="F447" s="42">
        <v>0</v>
      </c>
      <c r="G447" s="42">
        <f t="shared" si="6"/>
        <v>-1104692</v>
      </c>
      <c r="H447" s="2" t="str">
        <f>VLOOKUP(A447,'TB JULY'!A:H,8,0)</f>
        <v>Not Applicable</v>
      </c>
    </row>
    <row r="448" spans="1:8">
      <c r="A448" s="62" t="s">
        <v>670</v>
      </c>
      <c r="B448" s="78">
        <v>-376908</v>
      </c>
      <c r="C448" s="78">
        <v>166326</v>
      </c>
      <c r="D448" s="78">
        <v>48696</v>
      </c>
      <c r="E448" s="78">
        <v>-259278</v>
      </c>
      <c r="F448" s="42">
        <v>0</v>
      </c>
      <c r="G448" s="42">
        <f t="shared" si="6"/>
        <v>-259278</v>
      </c>
      <c r="H448" s="2" t="str">
        <f>VLOOKUP(A448,'TB JULY'!A:H,8,0)</f>
        <v>Not Applicable</v>
      </c>
    </row>
    <row r="449" spans="1:8">
      <c r="A449" s="62" t="s">
        <v>671</v>
      </c>
      <c r="B449" s="78">
        <v>-529509.01</v>
      </c>
      <c r="C449" s="78">
        <v>524866</v>
      </c>
      <c r="D449" s="78">
        <v>140787</v>
      </c>
      <c r="E449" s="78">
        <v>-145430.01</v>
      </c>
      <c r="F449" s="42">
        <v>0</v>
      </c>
      <c r="G449" s="42">
        <f t="shared" si="6"/>
        <v>-145430.01</v>
      </c>
      <c r="H449" s="2" t="str">
        <f>VLOOKUP(A449,'TB JULY'!A:H,8,0)</f>
        <v>Not Applicable</v>
      </c>
    </row>
    <row r="450" spans="1:8">
      <c r="A450" s="62" t="s">
        <v>672</v>
      </c>
      <c r="B450" s="78">
        <v>-759069.8</v>
      </c>
      <c r="C450" s="78">
        <v>916112</v>
      </c>
      <c r="D450" s="78">
        <v>407647</v>
      </c>
      <c r="E450" s="78">
        <v>-250604.79999999999</v>
      </c>
      <c r="F450" s="42">
        <v>0</v>
      </c>
      <c r="G450" s="42">
        <f t="shared" si="6"/>
        <v>-250604.79999999999</v>
      </c>
      <c r="H450" s="2" t="str">
        <f>VLOOKUP(A450,'TB JULY'!A:H,8,0)</f>
        <v>Not Applicable</v>
      </c>
    </row>
    <row r="451" spans="1:8">
      <c r="A451" s="62" t="s">
        <v>677</v>
      </c>
      <c r="B451" s="78">
        <v>-8083</v>
      </c>
      <c r="C451" s="78">
        <v>36002</v>
      </c>
      <c r="D451" s="78">
        <v>35211</v>
      </c>
      <c r="E451" s="78">
        <v>-7292</v>
      </c>
      <c r="F451" s="42">
        <v>0</v>
      </c>
      <c r="G451" s="42">
        <f t="shared" si="6"/>
        <v>-7292</v>
      </c>
      <c r="H451" s="2" t="str">
        <f>VLOOKUP(A451,'TB JULY'!A:H,8,0)</f>
        <v>Not Applicable</v>
      </c>
    </row>
    <row r="452" spans="1:8">
      <c r="A452" s="62" t="s">
        <v>1433</v>
      </c>
      <c r="B452" s="78">
        <v>-1</v>
      </c>
      <c r="C452" s="78"/>
      <c r="D452" s="78"/>
      <c r="E452" s="78">
        <v>-1</v>
      </c>
      <c r="F452" s="42">
        <v>0</v>
      </c>
      <c r="G452" s="42">
        <f t="shared" si="6"/>
        <v>-1</v>
      </c>
      <c r="H452" s="2" t="str">
        <f>VLOOKUP(A452,'TB JULY'!A:H,8,0)</f>
        <v>Not Applicable</v>
      </c>
    </row>
    <row r="453" spans="1:8">
      <c r="A453" s="62" t="s">
        <v>1259</v>
      </c>
      <c r="B453" s="78">
        <v>3</v>
      </c>
      <c r="C453" s="78">
        <v>298</v>
      </c>
      <c r="D453" s="78">
        <v>295</v>
      </c>
      <c r="E453" s="78">
        <v>6</v>
      </c>
      <c r="F453" s="42">
        <v>0</v>
      </c>
      <c r="G453" s="42">
        <f t="shared" si="6"/>
        <v>6</v>
      </c>
      <c r="H453" s="2" t="str">
        <f>VLOOKUP(A453,'TB JULY'!A:H,8,0)</f>
        <v>Not Applicable</v>
      </c>
    </row>
    <row r="454" spans="1:8">
      <c r="A454" s="62" t="s">
        <v>1287</v>
      </c>
      <c r="B454" s="78">
        <v>-1684</v>
      </c>
      <c r="C454" s="78">
        <v>2852</v>
      </c>
      <c r="D454" s="78">
        <v>12644</v>
      </c>
      <c r="E454" s="78">
        <v>-11476</v>
      </c>
      <c r="F454" s="42">
        <v>0</v>
      </c>
      <c r="G454" s="42">
        <f t="shared" si="6"/>
        <v>-11476</v>
      </c>
      <c r="H454" s="2" t="str">
        <f>VLOOKUP(A454,'TB JULY'!A:H,8,0)</f>
        <v>Not Applicable</v>
      </c>
    </row>
    <row r="455" spans="1:8">
      <c r="A455" s="62" t="s">
        <v>1310</v>
      </c>
      <c r="B455" s="78"/>
      <c r="C455" s="78"/>
      <c r="D455" s="78"/>
      <c r="E455" s="78"/>
      <c r="F455" s="42">
        <v>0</v>
      </c>
      <c r="G455" s="42">
        <f t="shared" ref="G455:G518" si="7">E455+F455</f>
        <v>0</v>
      </c>
      <c r="H455" s="2" t="str">
        <f>VLOOKUP(A455,'TB JULY'!A:H,8,0)</f>
        <v>Not Applicable</v>
      </c>
    </row>
    <row r="456" spans="1:8">
      <c r="A456" s="62" t="s">
        <v>1159</v>
      </c>
      <c r="B456" s="78"/>
      <c r="C456" s="78">
        <v>53100</v>
      </c>
      <c r="D456" s="78">
        <v>53100</v>
      </c>
      <c r="E456" s="78"/>
      <c r="F456" s="42">
        <v>0</v>
      </c>
      <c r="G456" s="42">
        <f t="shared" si="7"/>
        <v>0</v>
      </c>
      <c r="H456" s="2" t="str">
        <f>VLOOKUP(A456,'TB JULY'!A:H,8,0)</f>
        <v>Not Applicable</v>
      </c>
    </row>
    <row r="457" spans="1:8">
      <c r="A457" s="62" t="s">
        <v>662</v>
      </c>
      <c r="B457" s="78">
        <v>-69292</v>
      </c>
      <c r="C457" s="78">
        <v>104385</v>
      </c>
      <c r="D457" s="78">
        <v>57206</v>
      </c>
      <c r="E457" s="78">
        <v>-22113</v>
      </c>
      <c r="F457" s="42">
        <v>0</v>
      </c>
      <c r="G457" s="42">
        <f t="shared" si="7"/>
        <v>-22113</v>
      </c>
      <c r="H457" s="2" t="str">
        <f>VLOOKUP(A457,'TB JULY'!A:H,8,0)</f>
        <v>Not Applicable</v>
      </c>
    </row>
    <row r="458" spans="1:8">
      <c r="A458" s="62" t="s">
        <v>862</v>
      </c>
      <c r="B458" s="78">
        <v>34.36</v>
      </c>
      <c r="C458" s="78">
        <v>2350</v>
      </c>
      <c r="D458" s="78">
        <v>2360</v>
      </c>
      <c r="E458" s="78">
        <v>24.36</v>
      </c>
      <c r="F458" s="42">
        <v>0</v>
      </c>
      <c r="G458" s="42">
        <f t="shared" si="7"/>
        <v>24.36</v>
      </c>
      <c r="H458" s="2" t="str">
        <f>VLOOKUP(A458,'TB JULY'!A:H,8,0)</f>
        <v>Not Applicable</v>
      </c>
    </row>
    <row r="459" spans="1:8">
      <c r="A459" s="62" t="s">
        <v>657</v>
      </c>
      <c r="B459" s="78"/>
      <c r="C459" s="78"/>
      <c r="D459" s="78"/>
      <c r="E459" s="78"/>
      <c r="F459" s="42">
        <v>0</v>
      </c>
      <c r="G459" s="42">
        <f t="shared" si="7"/>
        <v>0</v>
      </c>
      <c r="H459" s="2" t="str">
        <f>VLOOKUP(A459,'TB JULY'!A:H,8,0)</f>
        <v>Not Applicable</v>
      </c>
    </row>
    <row r="460" spans="1:8">
      <c r="A460" s="62" t="s">
        <v>1598</v>
      </c>
      <c r="B460" s="78"/>
      <c r="C460" s="78">
        <v>7670</v>
      </c>
      <c r="D460" s="78">
        <v>7670</v>
      </c>
      <c r="E460" s="78"/>
      <c r="F460" s="42">
        <v>0</v>
      </c>
      <c r="G460" s="42">
        <f t="shared" si="7"/>
        <v>0</v>
      </c>
      <c r="H460" s="2" t="str">
        <f>VLOOKUP(A460,'TB JULY'!A:H,8,0)</f>
        <v>Not Applicable</v>
      </c>
    </row>
    <row r="461" spans="1:8">
      <c r="A461" s="62" t="s">
        <v>1434</v>
      </c>
      <c r="B461" s="78">
        <v>10683.33</v>
      </c>
      <c r="C461" s="78">
        <v>8130</v>
      </c>
      <c r="D461" s="78">
        <v>8602</v>
      </c>
      <c r="E461" s="78">
        <v>10211.33</v>
      </c>
      <c r="F461" s="42">
        <v>0</v>
      </c>
      <c r="G461" s="42">
        <f t="shared" si="7"/>
        <v>10211.33</v>
      </c>
      <c r="H461" s="2" t="str">
        <f>VLOOKUP(A461,'TB JULY'!A:H,8,0)</f>
        <v>Not Applicable</v>
      </c>
    </row>
    <row r="462" spans="1:8">
      <c r="A462" s="62" t="s">
        <v>648</v>
      </c>
      <c r="B462" s="78">
        <v>-4886</v>
      </c>
      <c r="C462" s="78">
        <v>10886</v>
      </c>
      <c r="D462" s="78">
        <v>10886</v>
      </c>
      <c r="E462" s="78">
        <v>-4886</v>
      </c>
      <c r="F462" s="42">
        <v>0</v>
      </c>
      <c r="G462" s="42">
        <f t="shared" si="7"/>
        <v>-4886</v>
      </c>
      <c r="H462" s="2" t="str">
        <f>VLOOKUP(A462,'TB JULY'!A:H,8,0)</f>
        <v>Not Applicable</v>
      </c>
    </row>
    <row r="463" spans="1:8">
      <c r="A463" s="62" t="s">
        <v>647</v>
      </c>
      <c r="B463" s="78"/>
      <c r="C463" s="78"/>
      <c r="D463" s="78">
        <v>5723</v>
      </c>
      <c r="E463" s="78">
        <v>-5723</v>
      </c>
      <c r="F463" s="42">
        <v>0</v>
      </c>
      <c r="G463" s="42">
        <f t="shared" si="7"/>
        <v>-5723</v>
      </c>
      <c r="H463" s="2" t="s">
        <v>84</v>
      </c>
    </row>
    <row r="464" spans="1:8">
      <c r="A464" s="62" t="s">
        <v>1160</v>
      </c>
      <c r="B464" s="78">
        <v>-36014</v>
      </c>
      <c r="C464" s="78">
        <v>110485.6</v>
      </c>
      <c r="D464" s="78">
        <v>103722</v>
      </c>
      <c r="E464" s="78">
        <v>-29250.400000000001</v>
      </c>
      <c r="F464" s="42">
        <v>0</v>
      </c>
      <c r="G464" s="42">
        <f t="shared" si="7"/>
        <v>-29250.400000000001</v>
      </c>
      <c r="H464" s="2" t="str">
        <f>VLOOKUP(A464,'TB JULY'!A:H,8,0)</f>
        <v>Not Applicable</v>
      </c>
    </row>
    <row r="465" spans="1:8">
      <c r="A465" s="62" t="s">
        <v>641</v>
      </c>
      <c r="B465" s="78"/>
      <c r="C465" s="78">
        <v>581931</v>
      </c>
      <c r="D465" s="78">
        <v>689411.63</v>
      </c>
      <c r="E465" s="78">
        <v>-107480.63</v>
      </c>
      <c r="F465" s="42">
        <v>0</v>
      </c>
      <c r="G465" s="42">
        <f t="shared" si="7"/>
        <v>-107480.63</v>
      </c>
      <c r="H465" s="2" t="str">
        <f>VLOOKUP(A465,'TB JULY'!A:H,8,0)</f>
        <v>Not Applicable</v>
      </c>
    </row>
    <row r="466" spans="1:8">
      <c r="A466" s="62" t="s">
        <v>1558</v>
      </c>
      <c r="B466" s="78"/>
      <c r="C466" s="78">
        <v>385</v>
      </c>
      <c r="D466" s="78">
        <v>45430</v>
      </c>
      <c r="E466" s="78">
        <v>-45045</v>
      </c>
      <c r="F466" s="42">
        <v>0</v>
      </c>
      <c r="G466" s="42">
        <f t="shared" si="7"/>
        <v>-45045</v>
      </c>
      <c r="H466" s="2" t="str">
        <f>VLOOKUP(A466,'TB JULY'!A:H,8,0)</f>
        <v>Not Applicable</v>
      </c>
    </row>
    <row r="467" spans="1:8">
      <c r="A467" s="62" t="s">
        <v>639</v>
      </c>
      <c r="B467" s="78"/>
      <c r="C467" s="78"/>
      <c r="D467" s="78"/>
      <c r="E467" s="78"/>
      <c r="F467" s="42">
        <v>0</v>
      </c>
      <c r="G467" s="42">
        <f t="shared" si="7"/>
        <v>0</v>
      </c>
      <c r="H467" s="2" t="str">
        <f>VLOOKUP(A467,'TB JULY'!A:H,8,0)</f>
        <v>Not Applicable</v>
      </c>
    </row>
    <row r="468" spans="1:8">
      <c r="A468" s="62" t="s">
        <v>636</v>
      </c>
      <c r="B468" s="78">
        <v>-86536</v>
      </c>
      <c r="C468" s="78">
        <v>183</v>
      </c>
      <c r="D468" s="78">
        <v>265662.40000000002</v>
      </c>
      <c r="E468" s="78">
        <v>-352015.4</v>
      </c>
      <c r="F468" s="42">
        <v>0</v>
      </c>
      <c r="G468" s="42">
        <f t="shared" si="7"/>
        <v>-352015.4</v>
      </c>
      <c r="H468" s="2" t="str">
        <f>VLOOKUP(A468,'TB JULY'!A:H,8,0)</f>
        <v>Not Applicable</v>
      </c>
    </row>
    <row r="469" spans="1:8">
      <c r="A469" s="62" t="s">
        <v>943</v>
      </c>
      <c r="B469" s="78">
        <v>-3363</v>
      </c>
      <c r="C469" s="78">
        <v>41123</v>
      </c>
      <c r="D469" s="78">
        <v>37760</v>
      </c>
      <c r="E469" s="78"/>
      <c r="F469" s="42">
        <v>0</v>
      </c>
      <c r="G469" s="42">
        <f t="shared" si="7"/>
        <v>0</v>
      </c>
      <c r="H469" s="2" t="str">
        <f>VLOOKUP(A469,'TB JULY'!A:H,8,0)</f>
        <v>Not Applicable</v>
      </c>
    </row>
    <row r="470" spans="1:8">
      <c r="A470" s="62" t="s">
        <v>1599</v>
      </c>
      <c r="B470" s="78"/>
      <c r="C470" s="78"/>
      <c r="D470" s="78">
        <v>1416</v>
      </c>
      <c r="E470" s="78">
        <v>-1416</v>
      </c>
      <c r="F470" s="42">
        <v>0</v>
      </c>
      <c r="G470" s="42">
        <f t="shared" si="7"/>
        <v>-1416</v>
      </c>
      <c r="H470" s="2" t="str">
        <f>VLOOKUP(A470,'TB JULY'!A:H,8,0)</f>
        <v>Not Applicable</v>
      </c>
    </row>
    <row r="471" spans="1:8">
      <c r="A471" s="62" t="s">
        <v>1600</v>
      </c>
      <c r="B471" s="78"/>
      <c r="C471" s="78"/>
      <c r="D471" s="78">
        <v>6786</v>
      </c>
      <c r="E471" s="78">
        <v>-6786</v>
      </c>
      <c r="F471" s="42">
        <v>0</v>
      </c>
      <c r="G471" s="42">
        <f t="shared" si="7"/>
        <v>-6786</v>
      </c>
      <c r="H471" s="2" t="str">
        <f>VLOOKUP(A471,'TB JULY'!A:H,8,0)</f>
        <v>Not Applicable</v>
      </c>
    </row>
    <row r="472" spans="1:8">
      <c r="A472" s="62" t="s">
        <v>632</v>
      </c>
      <c r="B472" s="78">
        <v>-13664</v>
      </c>
      <c r="C472" s="78">
        <v>25700</v>
      </c>
      <c r="D472" s="78">
        <v>12036</v>
      </c>
      <c r="E472" s="78"/>
      <c r="F472" s="42">
        <v>0</v>
      </c>
      <c r="G472" s="42">
        <f t="shared" si="7"/>
        <v>0</v>
      </c>
      <c r="H472" s="2" t="str">
        <f>VLOOKUP(A472,'TB JULY'!A:H,8,0)</f>
        <v>Not Applicable</v>
      </c>
    </row>
    <row r="473" spans="1:8">
      <c r="A473" s="62" t="s">
        <v>1148</v>
      </c>
      <c r="B473" s="78">
        <v>323.94</v>
      </c>
      <c r="C473" s="78">
        <v>570350.81000000006</v>
      </c>
      <c r="D473" s="78">
        <v>570674.77</v>
      </c>
      <c r="E473" s="78">
        <v>-0.02</v>
      </c>
      <c r="F473" s="42">
        <v>0</v>
      </c>
      <c r="G473" s="42">
        <f t="shared" si="7"/>
        <v>-0.02</v>
      </c>
      <c r="H473" s="2" t="str">
        <f>VLOOKUP(A473,'TB JULY'!A:H,8,0)</f>
        <v>Not Applicable</v>
      </c>
    </row>
    <row r="474" spans="1:8">
      <c r="A474" s="62" t="s">
        <v>627</v>
      </c>
      <c r="B474" s="78"/>
      <c r="C474" s="78">
        <v>74340</v>
      </c>
      <c r="D474" s="78">
        <v>74340</v>
      </c>
      <c r="E474" s="78"/>
      <c r="F474" s="42">
        <v>0</v>
      </c>
      <c r="G474" s="42">
        <f t="shared" si="7"/>
        <v>0</v>
      </c>
      <c r="H474" s="2" t="str">
        <f>VLOOKUP(A474,'TB JULY'!A:H,8,0)</f>
        <v>Not Applicable</v>
      </c>
    </row>
    <row r="475" spans="1:8">
      <c r="A475" s="62" t="s">
        <v>1238</v>
      </c>
      <c r="B475" s="78">
        <v>-17043</v>
      </c>
      <c r="C475" s="78"/>
      <c r="D475" s="78">
        <v>10230</v>
      </c>
      <c r="E475" s="78">
        <v>-27273</v>
      </c>
      <c r="F475" s="42">
        <v>0</v>
      </c>
      <c r="G475" s="42">
        <f t="shared" si="7"/>
        <v>-27273</v>
      </c>
      <c r="H475" s="2" t="str">
        <f>VLOOKUP(A475,'TB JULY'!A:H,8,0)</f>
        <v>Not Applicable</v>
      </c>
    </row>
    <row r="476" spans="1:8">
      <c r="A476" s="62" t="s">
        <v>891</v>
      </c>
      <c r="B476" s="78"/>
      <c r="C476" s="78">
        <v>12611</v>
      </c>
      <c r="D476" s="78">
        <v>24836</v>
      </c>
      <c r="E476" s="78">
        <v>-12225</v>
      </c>
      <c r="F476" s="42">
        <v>0</v>
      </c>
      <c r="G476" s="42">
        <f t="shared" si="7"/>
        <v>-12225</v>
      </c>
      <c r="H476" s="2" t="str">
        <f>VLOOKUP(A476,'TB JULY'!A:H,8,0)</f>
        <v>Not Applicable</v>
      </c>
    </row>
    <row r="477" spans="1:8">
      <c r="A477" s="62" t="s">
        <v>1436</v>
      </c>
      <c r="B477" s="78">
        <v>-830</v>
      </c>
      <c r="C477" s="78"/>
      <c r="D477" s="78"/>
      <c r="E477" s="78">
        <v>-830</v>
      </c>
      <c r="F477" s="42">
        <v>0</v>
      </c>
      <c r="G477" s="42">
        <f t="shared" si="7"/>
        <v>-830</v>
      </c>
      <c r="H477" s="2" t="str">
        <f>VLOOKUP(A477,'TB JULY'!A:H,8,0)</f>
        <v>Not Applicable</v>
      </c>
    </row>
    <row r="478" spans="1:8">
      <c r="A478" s="62" t="s">
        <v>1638</v>
      </c>
      <c r="B478" s="78"/>
      <c r="C478" s="78">
        <v>7400</v>
      </c>
      <c r="D478" s="78">
        <v>7400</v>
      </c>
      <c r="E478" s="78"/>
      <c r="F478" s="42">
        <v>0</v>
      </c>
      <c r="G478" s="42">
        <f t="shared" si="7"/>
        <v>0</v>
      </c>
      <c r="H478" s="2" t="s">
        <v>84</v>
      </c>
    </row>
    <row r="479" spans="1:8">
      <c r="A479" s="62" t="s">
        <v>624</v>
      </c>
      <c r="B479" s="78">
        <v>-66336.52</v>
      </c>
      <c r="C479" s="78">
        <v>183624.32000000001</v>
      </c>
      <c r="D479" s="78">
        <v>153743.67999999999</v>
      </c>
      <c r="E479" s="78">
        <v>-36455.879999999997</v>
      </c>
      <c r="F479" s="42">
        <v>0</v>
      </c>
      <c r="G479" s="42">
        <f t="shared" si="7"/>
        <v>-36455.879999999997</v>
      </c>
      <c r="H479" s="2" t="str">
        <f>VLOOKUP(A479,'TB JULY'!A:H,8,0)</f>
        <v>Not Applicable</v>
      </c>
    </row>
    <row r="480" spans="1:8">
      <c r="A480" s="62" t="s">
        <v>623</v>
      </c>
      <c r="B480" s="78">
        <v>-56883.74</v>
      </c>
      <c r="C480" s="78">
        <v>100626.92</v>
      </c>
      <c r="D480" s="78">
        <v>74810.740000000005</v>
      </c>
      <c r="E480" s="78">
        <v>-31067.56</v>
      </c>
      <c r="F480" s="42">
        <v>0</v>
      </c>
      <c r="G480" s="42">
        <f t="shared" si="7"/>
        <v>-31067.56</v>
      </c>
      <c r="H480" s="2" t="str">
        <f>VLOOKUP(A480,'TB JULY'!A:H,8,0)</f>
        <v>Not Applicable</v>
      </c>
    </row>
    <row r="481" spans="1:8">
      <c r="A481" s="62" t="s">
        <v>620</v>
      </c>
      <c r="B481" s="78">
        <v>-58114.01</v>
      </c>
      <c r="C481" s="78">
        <v>81812</v>
      </c>
      <c r="D481" s="78">
        <v>56485</v>
      </c>
      <c r="E481" s="78">
        <v>-32787.01</v>
      </c>
      <c r="F481" s="42">
        <v>0</v>
      </c>
      <c r="G481" s="42">
        <f t="shared" si="7"/>
        <v>-32787.01</v>
      </c>
      <c r="H481" s="2" t="str">
        <f>VLOOKUP(A481,'TB JULY'!A:H,8,0)</f>
        <v>Not Applicable</v>
      </c>
    </row>
    <row r="482" spans="1:8">
      <c r="A482" s="62" t="s">
        <v>1437</v>
      </c>
      <c r="B482" s="78"/>
      <c r="C482" s="78"/>
      <c r="D482" s="78"/>
      <c r="E482" s="78"/>
      <c r="F482" s="42">
        <v>0</v>
      </c>
      <c r="G482" s="42">
        <f t="shared" si="7"/>
        <v>0</v>
      </c>
      <c r="H482" s="2" t="str">
        <f>VLOOKUP(A482,'TB JULY'!A:H,8,0)</f>
        <v>Not Applicable</v>
      </c>
    </row>
    <row r="483" spans="1:8">
      <c r="A483" s="62" t="s">
        <v>619</v>
      </c>
      <c r="B483" s="78">
        <v>-14581.4</v>
      </c>
      <c r="C483" s="78">
        <v>21281</v>
      </c>
      <c r="D483" s="78">
        <v>9400</v>
      </c>
      <c r="E483" s="78">
        <v>-2700.4</v>
      </c>
      <c r="F483" s="42">
        <v>0</v>
      </c>
      <c r="G483" s="42">
        <f t="shared" si="7"/>
        <v>-2700.4</v>
      </c>
      <c r="H483" s="2" t="str">
        <f>VLOOKUP(A483,'TB JULY'!A:H,8,0)</f>
        <v>Not Applicable</v>
      </c>
    </row>
    <row r="484" spans="1:8">
      <c r="A484" s="62" t="s">
        <v>616</v>
      </c>
      <c r="B484" s="78">
        <v>-45725</v>
      </c>
      <c r="C484" s="78">
        <v>80476</v>
      </c>
      <c r="D484" s="78">
        <v>83544</v>
      </c>
      <c r="E484" s="78">
        <v>-48793</v>
      </c>
      <c r="F484" s="42">
        <v>0</v>
      </c>
      <c r="G484" s="42">
        <f t="shared" si="7"/>
        <v>-48793</v>
      </c>
      <c r="H484" s="2" t="str">
        <f>VLOOKUP(A484,'TB JULY'!A:H,8,0)</f>
        <v>Not Applicable</v>
      </c>
    </row>
    <row r="485" spans="1:8">
      <c r="A485" s="62" t="s">
        <v>963</v>
      </c>
      <c r="B485" s="78">
        <v>-0.06</v>
      </c>
      <c r="C485" s="78"/>
      <c r="D485" s="78"/>
      <c r="E485" s="78">
        <v>-0.06</v>
      </c>
      <c r="F485" s="42">
        <v>0</v>
      </c>
      <c r="G485" s="42">
        <f t="shared" si="7"/>
        <v>-0.06</v>
      </c>
      <c r="H485" s="2" t="str">
        <f>VLOOKUP(A485,'TB JULY'!A:H,8,0)</f>
        <v>Not Applicable</v>
      </c>
    </row>
    <row r="486" spans="1:8">
      <c r="A486" s="62" t="s">
        <v>1214</v>
      </c>
      <c r="B486" s="78">
        <v>-32720</v>
      </c>
      <c r="C486" s="78">
        <v>63505</v>
      </c>
      <c r="D486" s="78">
        <v>44339</v>
      </c>
      <c r="E486" s="78">
        <v>-13554</v>
      </c>
      <c r="F486" s="42">
        <v>0</v>
      </c>
      <c r="G486" s="42">
        <f t="shared" si="7"/>
        <v>-13554</v>
      </c>
      <c r="H486" s="2" t="str">
        <f>VLOOKUP(A486,'TB JULY'!A:H,8,0)</f>
        <v>Not Applicable</v>
      </c>
    </row>
    <row r="487" spans="1:8">
      <c r="A487" s="62" t="s">
        <v>1438</v>
      </c>
      <c r="B487" s="78">
        <v>-5239</v>
      </c>
      <c r="C487" s="78">
        <v>1983</v>
      </c>
      <c r="D487" s="78">
        <v>1983</v>
      </c>
      <c r="E487" s="78">
        <v>-5239</v>
      </c>
      <c r="F487" s="42">
        <v>0</v>
      </c>
      <c r="G487" s="42">
        <f t="shared" si="7"/>
        <v>-5239</v>
      </c>
      <c r="H487" s="2" t="str">
        <f>VLOOKUP(A487,'TB JULY'!A:H,8,0)</f>
        <v>Not Applicable</v>
      </c>
    </row>
    <row r="488" spans="1:8">
      <c r="A488" s="62" t="s">
        <v>940</v>
      </c>
      <c r="B488" s="78">
        <v>-0.2</v>
      </c>
      <c r="C488" s="78"/>
      <c r="D488" s="78"/>
      <c r="E488" s="78">
        <v>-0.2</v>
      </c>
      <c r="F488" s="42">
        <v>0</v>
      </c>
      <c r="G488" s="42">
        <f t="shared" si="7"/>
        <v>-0.2</v>
      </c>
      <c r="H488" s="2" t="str">
        <f>VLOOKUP(A488,'TB JULY'!A:H,8,0)</f>
        <v>Not Applicable</v>
      </c>
    </row>
    <row r="489" spans="1:8">
      <c r="A489" s="62" t="s">
        <v>600</v>
      </c>
      <c r="B489" s="78"/>
      <c r="C489" s="78">
        <v>11505</v>
      </c>
      <c r="D489" s="78">
        <v>11505</v>
      </c>
      <c r="E489" s="78"/>
      <c r="F489" s="42">
        <v>0</v>
      </c>
      <c r="G489" s="42">
        <f t="shared" si="7"/>
        <v>0</v>
      </c>
      <c r="H489" s="2" t="str">
        <f>VLOOKUP(A489,'TB JULY'!A:H,8,0)</f>
        <v>Not Applicable</v>
      </c>
    </row>
    <row r="490" spans="1:8">
      <c r="A490" s="62" t="s">
        <v>1439</v>
      </c>
      <c r="B490" s="78">
        <v>-2576</v>
      </c>
      <c r="C490" s="78"/>
      <c r="D490" s="78">
        <v>425</v>
      </c>
      <c r="E490" s="78">
        <v>-3001</v>
      </c>
      <c r="F490" s="42">
        <v>0</v>
      </c>
      <c r="G490" s="42">
        <f t="shared" si="7"/>
        <v>-3001</v>
      </c>
      <c r="H490" s="2" t="str">
        <f>VLOOKUP(A490,'TB JULY'!A:H,8,0)</f>
        <v>Not Applicable</v>
      </c>
    </row>
    <row r="491" spans="1:8">
      <c r="A491" s="62" t="s">
        <v>1559</v>
      </c>
      <c r="B491" s="78"/>
      <c r="C491" s="78">
        <v>5192</v>
      </c>
      <c r="D491" s="78">
        <v>5192</v>
      </c>
      <c r="E491" s="78"/>
      <c r="F491" s="42">
        <v>0</v>
      </c>
      <c r="G491" s="42">
        <f t="shared" si="7"/>
        <v>0</v>
      </c>
      <c r="H491" s="2" t="str">
        <f>VLOOKUP(A491,'TB JULY'!A:H,8,0)</f>
        <v>Not Applicable</v>
      </c>
    </row>
    <row r="492" spans="1:8">
      <c r="A492" s="62" t="s">
        <v>1334</v>
      </c>
      <c r="B492" s="78"/>
      <c r="C492" s="78"/>
      <c r="D492" s="78"/>
      <c r="E492" s="78"/>
      <c r="F492" s="42">
        <v>0</v>
      </c>
      <c r="G492" s="42">
        <f t="shared" si="7"/>
        <v>0</v>
      </c>
      <c r="H492" s="2" t="str">
        <f>VLOOKUP(A492,'TB JULY'!A:H,8,0)</f>
        <v>Not Applicable</v>
      </c>
    </row>
    <row r="493" spans="1:8">
      <c r="A493" s="62" t="s">
        <v>591</v>
      </c>
      <c r="B493" s="78">
        <v>-61629.86</v>
      </c>
      <c r="C493" s="78"/>
      <c r="D493" s="78"/>
      <c r="E493" s="78">
        <v>-61629.86</v>
      </c>
      <c r="F493" s="42">
        <v>0</v>
      </c>
      <c r="G493" s="42">
        <f t="shared" si="7"/>
        <v>-61629.86</v>
      </c>
      <c r="H493" s="2" t="str">
        <f>VLOOKUP(A493,'TB JULY'!A:H,8,0)</f>
        <v>Not Applicable</v>
      </c>
    </row>
    <row r="494" spans="1:8">
      <c r="A494" s="62" t="s">
        <v>1440</v>
      </c>
      <c r="B494" s="78">
        <v>-72712</v>
      </c>
      <c r="C494" s="78">
        <v>73712</v>
      </c>
      <c r="D494" s="78">
        <v>79632</v>
      </c>
      <c r="E494" s="78">
        <v>-78632</v>
      </c>
      <c r="F494" s="42">
        <v>0</v>
      </c>
      <c r="G494" s="42">
        <f t="shared" si="7"/>
        <v>-78632</v>
      </c>
      <c r="H494" s="2" t="str">
        <f>VLOOKUP(A494,'TB JULY'!A:H,8,0)</f>
        <v>Not Applicable</v>
      </c>
    </row>
    <row r="495" spans="1:8">
      <c r="A495" s="62" t="s">
        <v>1179</v>
      </c>
      <c r="B495" s="78">
        <v>-3328</v>
      </c>
      <c r="C495" s="78"/>
      <c r="D495" s="78"/>
      <c r="E495" s="78">
        <v>-3328</v>
      </c>
      <c r="F495" s="42">
        <v>0</v>
      </c>
      <c r="G495" s="42">
        <f t="shared" si="7"/>
        <v>-3328</v>
      </c>
      <c r="H495" s="2" t="str">
        <f>VLOOKUP(A495,'TB JULY'!A:H,8,0)</f>
        <v>Not Applicable</v>
      </c>
    </row>
    <row r="496" spans="1:8">
      <c r="A496" s="62" t="s">
        <v>1069</v>
      </c>
      <c r="B496" s="78">
        <v>-15895</v>
      </c>
      <c r="C496" s="78">
        <v>79277</v>
      </c>
      <c r="D496" s="78">
        <v>95997</v>
      </c>
      <c r="E496" s="78">
        <v>-32615</v>
      </c>
      <c r="F496" s="42">
        <v>0</v>
      </c>
      <c r="G496" s="42">
        <f t="shared" si="7"/>
        <v>-32615</v>
      </c>
      <c r="H496" s="2" t="str">
        <f>VLOOKUP(A496,'TB JULY'!A:H,8,0)</f>
        <v>Not Applicable</v>
      </c>
    </row>
    <row r="497" spans="1:8">
      <c r="A497" s="62" t="s">
        <v>586</v>
      </c>
      <c r="B497" s="78">
        <v>-31508.18</v>
      </c>
      <c r="C497" s="78">
        <v>11611</v>
      </c>
      <c r="D497" s="78">
        <v>11611</v>
      </c>
      <c r="E497" s="78">
        <v>-31508.18</v>
      </c>
      <c r="F497" s="42">
        <v>0</v>
      </c>
      <c r="G497" s="42">
        <f t="shared" si="7"/>
        <v>-31508.18</v>
      </c>
      <c r="H497" s="2" t="str">
        <f>VLOOKUP(A497,'TB JULY'!A:H,8,0)</f>
        <v>Not Applicable</v>
      </c>
    </row>
    <row r="498" spans="1:8">
      <c r="A498" s="62" t="s">
        <v>1639</v>
      </c>
      <c r="B498" s="78"/>
      <c r="C498" s="78"/>
      <c r="D498" s="78">
        <v>13303</v>
      </c>
      <c r="E498" s="78">
        <v>-13303</v>
      </c>
      <c r="F498" s="42">
        <v>0</v>
      </c>
      <c r="G498" s="42">
        <f t="shared" si="7"/>
        <v>-13303</v>
      </c>
      <c r="H498" s="2" t="s">
        <v>84</v>
      </c>
    </row>
    <row r="499" spans="1:8">
      <c r="A499" s="62" t="s">
        <v>579</v>
      </c>
      <c r="B499" s="78">
        <v>-12489</v>
      </c>
      <c r="C499" s="78">
        <v>12489</v>
      </c>
      <c r="D499" s="78"/>
      <c r="E499" s="78"/>
      <c r="F499" s="42">
        <v>0</v>
      </c>
      <c r="G499" s="42">
        <f t="shared" si="7"/>
        <v>0</v>
      </c>
      <c r="H499" s="2" t="str">
        <f>VLOOKUP(A499,'TB JULY'!A:H,8,0)</f>
        <v>Not Applicable</v>
      </c>
    </row>
    <row r="500" spans="1:8">
      <c r="A500" s="62" t="s">
        <v>574</v>
      </c>
      <c r="B500" s="78">
        <v>-122395.71</v>
      </c>
      <c r="C500" s="78">
        <v>120688.3</v>
      </c>
      <c r="D500" s="78">
        <v>159181</v>
      </c>
      <c r="E500" s="78">
        <v>-160888.41</v>
      </c>
      <c r="F500" s="42">
        <v>0</v>
      </c>
      <c r="G500" s="42">
        <f t="shared" si="7"/>
        <v>-160888.41</v>
      </c>
      <c r="H500" s="2" t="str">
        <f>VLOOKUP(A500,'TB JULY'!A:H,8,0)</f>
        <v>Not Applicable</v>
      </c>
    </row>
    <row r="501" spans="1:8">
      <c r="A501" s="62" t="s">
        <v>575</v>
      </c>
      <c r="B501" s="78">
        <v>-3610</v>
      </c>
      <c r="C501" s="78"/>
      <c r="D501" s="78"/>
      <c r="E501" s="78">
        <v>-3610</v>
      </c>
      <c r="F501" s="42">
        <v>0</v>
      </c>
      <c r="G501" s="42">
        <f t="shared" si="7"/>
        <v>-3610</v>
      </c>
      <c r="H501" s="2" t="str">
        <f>VLOOKUP(A501,'TB JULY'!A:H,8,0)</f>
        <v>Not Applicable</v>
      </c>
    </row>
    <row r="502" spans="1:8">
      <c r="A502" s="62" t="s">
        <v>1560</v>
      </c>
      <c r="B502" s="78"/>
      <c r="C502" s="78">
        <v>5247</v>
      </c>
      <c r="D502" s="78">
        <v>10494</v>
      </c>
      <c r="E502" s="78">
        <v>-5247</v>
      </c>
      <c r="F502" s="42">
        <v>0</v>
      </c>
      <c r="G502" s="42">
        <f t="shared" si="7"/>
        <v>-5247</v>
      </c>
      <c r="H502" s="2" t="str">
        <f>VLOOKUP(A502,'TB JULY'!A:H,8,0)</f>
        <v>Not Applicable</v>
      </c>
    </row>
    <row r="503" spans="1:8">
      <c r="A503" s="62" t="s">
        <v>568</v>
      </c>
      <c r="B503" s="78">
        <v>-5192</v>
      </c>
      <c r="C503" s="78"/>
      <c r="D503" s="78"/>
      <c r="E503" s="78">
        <v>-5192</v>
      </c>
      <c r="F503" s="42">
        <v>0</v>
      </c>
      <c r="G503" s="42">
        <f t="shared" si="7"/>
        <v>-5192</v>
      </c>
      <c r="H503" s="2" t="str">
        <f>VLOOKUP(A503,'TB JULY'!A:H,8,0)</f>
        <v>Not Applicable</v>
      </c>
    </row>
    <row r="504" spans="1:8">
      <c r="A504" s="62" t="s">
        <v>570</v>
      </c>
      <c r="B504" s="78"/>
      <c r="C504" s="78">
        <v>11623</v>
      </c>
      <c r="D504" s="78">
        <v>11623</v>
      </c>
      <c r="E504" s="78"/>
      <c r="F504" s="42">
        <v>0</v>
      </c>
      <c r="G504" s="42">
        <f t="shared" si="7"/>
        <v>0</v>
      </c>
      <c r="H504" s="2" t="str">
        <f>VLOOKUP(A504,'TB JULY'!A:H,8,0)</f>
        <v>Not Applicable</v>
      </c>
    </row>
    <row r="505" spans="1:8">
      <c r="A505" s="62" t="s">
        <v>1561</v>
      </c>
      <c r="B505" s="78"/>
      <c r="C505" s="78">
        <v>41300</v>
      </c>
      <c r="D505" s="78">
        <v>41300</v>
      </c>
      <c r="E505" s="78"/>
      <c r="F505" s="42">
        <v>0</v>
      </c>
      <c r="G505" s="42">
        <f t="shared" si="7"/>
        <v>0</v>
      </c>
      <c r="H505" s="2" t="str">
        <f>VLOOKUP(A505,'TB JULY'!A:H,8,0)</f>
        <v>Not Applicable</v>
      </c>
    </row>
    <row r="506" spans="1:8">
      <c r="A506" s="62" t="s">
        <v>1562</v>
      </c>
      <c r="B506" s="78"/>
      <c r="C506" s="78">
        <v>243730.18</v>
      </c>
      <c r="D506" s="78">
        <v>243730.18</v>
      </c>
      <c r="E506" s="78"/>
      <c r="F506" s="42">
        <v>0</v>
      </c>
      <c r="G506" s="42">
        <f t="shared" si="7"/>
        <v>0</v>
      </c>
      <c r="H506" s="2" t="str">
        <f>VLOOKUP(A506,'TB JULY'!A:H,8,0)</f>
        <v>Not Applicable</v>
      </c>
    </row>
    <row r="507" spans="1:8">
      <c r="A507" s="62" t="s">
        <v>572</v>
      </c>
      <c r="B507" s="78">
        <v>-2944</v>
      </c>
      <c r="C507" s="78">
        <v>5706</v>
      </c>
      <c r="D507" s="78">
        <v>2762</v>
      </c>
      <c r="E507" s="78"/>
      <c r="F507" s="42">
        <v>0</v>
      </c>
      <c r="G507" s="42">
        <f t="shared" si="7"/>
        <v>0</v>
      </c>
      <c r="H507" s="2" t="str">
        <f>VLOOKUP(A507,'TB JULY'!A:H,8,0)</f>
        <v>Not Applicable</v>
      </c>
    </row>
    <row r="508" spans="1:8">
      <c r="A508" s="62" t="s">
        <v>1563</v>
      </c>
      <c r="B508" s="78"/>
      <c r="C508" s="78">
        <v>78706</v>
      </c>
      <c r="D508" s="78">
        <v>78706</v>
      </c>
      <c r="E508" s="78"/>
      <c r="F508" s="42">
        <v>0</v>
      </c>
      <c r="G508" s="42">
        <f t="shared" si="7"/>
        <v>0</v>
      </c>
      <c r="H508" s="2" t="str">
        <f>VLOOKUP(A508,'TB JULY'!A:H,8,0)</f>
        <v>Not Applicable</v>
      </c>
    </row>
    <row r="509" spans="1:8">
      <c r="A509" s="62" t="s">
        <v>1262</v>
      </c>
      <c r="B509" s="78">
        <v>-61655</v>
      </c>
      <c r="C509" s="78">
        <v>90506</v>
      </c>
      <c r="D509" s="78">
        <v>69915</v>
      </c>
      <c r="E509" s="78">
        <v>-41064</v>
      </c>
      <c r="F509" s="42">
        <v>0</v>
      </c>
      <c r="G509" s="42">
        <f t="shared" si="7"/>
        <v>-41064</v>
      </c>
      <c r="H509" s="2" t="str">
        <f>VLOOKUP(A509,'TB JULY'!A:H,8,0)</f>
        <v>Not Applicable</v>
      </c>
    </row>
    <row r="510" spans="1:8">
      <c r="A510" s="62" t="s">
        <v>1351</v>
      </c>
      <c r="B510" s="78">
        <v>-2443</v>
      </c>
      <c r="C510" s="78">
        <v>2443</v>
      </c>
      <c r="D510" s="78">
        <v>3764</v>
      </c>
      <c r="E510" s="78">
        <v>-3764</v>
      </c>
      <c r="F510" s="42">
        <v>0</v>
      </c>
      <c r="G510" s="42">
        <f t="shared" si="7"/>
        <v>-3764</v>
      </c>
      <c r="H510" s="2" t="str">
        <f>VLOOKUP(A510,'TB JULY'!A:H,8,0)</f>
        <v>Not Applicable</v>
      </c>
    </row>
    <row r="511" spans="1:8">
      <c r="A511" s="62" t="s">
        <v>1442</v>
      </c>
      <c r="B511" s="78">
        <v>16500</v>
      </c>
      <c r="C511" s="78"/>
      <c r="D511" s="78"/>
      <c r="E511" s="78">
        <v>16500</v>
      </c>
      <c r="F511" s="42">
        <v>0</v>
      </c>
      <c r="G511" s="42">
        <f t="shared" si="7"/>
        <v>16500</v>
      </c>
      <c r="H511" s="2" t="str">
        <f>VLOOKUP(A511,'TB JULY'!A:H,8,0)</f>
        <v>Not Applicable</v>
      </c>
    </row>
    <row r="512" spans="1:8">
      <c r="A512" s="62" t="s">
        <v>563</v>
      </c>
      <c r="B512" s="78">
        <v>-11151</v>
      </c>
      <c r="C512" s="78">
        <v>29736</v>
      </c>
      <c r="D512" s="78">
        <v>29972</v>
      </c>
      <c r="E512" s="78">
        <v>-11387</v>
      </c>
      <c r="F512" s="42">
        <v>0</v>
      </c>
      <c r="G512" s="42">
        <f t="shared" si="7"/>
        <v>-11387</v>
      </c>
      <c r="H512" s="2" t="str">
        <f>VLOOKUP(A512,'TB JULY'!A:H,8,0)</f>
        <v>Not Applicable</v>
      </c>
    </row>
    <row r="513" spans="1:8">
      <c r="A513" s="62" t="s">
        <v>564</v>
      </c>
      <c r="B513" s="78">
        <v>-370</v>
      </c>
      <c r="C513" s="78">
        <v>1875</v>
      </c>
      <c r="D513" s="78">
        <v>1505</v>
      </c>
      <c r="E513" s="78"/>
      <c r="F513" s="42">
        <v>0</v>
      </c>
      <c r="G513" s="42">
        <f t="shared" si="7"/>
        <v>0</v>
      </c>
      <c r="H513" s="2" t="str">
        <f>VLOOKUP(A513,'TB JULY'!A:H,8,0)</f>
        <v>Not Applicable</v>
      </c>
    </row>
    <row r="514" spans="1:8">
      <c r="A514" s="62" t="s">
        <v>982</v>
      </c>
      <c r="B514" s="78">
        <v>-4720</v>
      </c>
      <c r="C514" s="78">
        <v>4720</v>
      </c>
      <c r="D514" s="78"/>
      <c r="E514" s="78"/>
      <c r="F514" s="42">
        <v>0</v>
      </c>
      <c r="G514" s="42">
        <f t="shared" si="7"/>
        <v>0</v>
      </c>
      <c r="H514" s="2" t="str">
        <f>VLOOKUP(A514,'TB JULY'!A:H,8,0)</f>
        <v>Not Applicable</v>
      </c>
    </row>
    <row r="515" spans="1:8">
      <c r="A515" s="62" t="s">
        <v>983</v>
      </c>
      <c r="B515" s="78">
        <v>-5192</v>
      </c>
      <c r="C515" s="78">
        <v>21122</v>
      </c>
      <c r="D515" s="78">
        <v>21299</v>
      </c>
      <c r="E515" s="78">
        <v>-5369</v>
      </c>
      <c r="F515" s="42">
        <v>0</v>
      </c>
      <c r="G515" s="42">
        <f t="shared" si="7"/>
        <v>-5369</v>
      </c>
      <c r="H515" s="2" t="str">
        <f>VLOOKUP(A515,'TB JULY'!A:H,8,0)</f>
        <v>Not Applicable</v>
      </c>
    </row>
    <row r="516" spans="1:8">
      <c r="A516" s="62" t="s">
        <v>566</v>
      </c>
      <c r="B516" s="78">
        <v>-6455</v>
      </c>
      <c r="C516" s="78">
        <v>2915</v>
      </c>
      <c r="D516" s="78">
        <v>2301</v>
      </c>
      <c r="E516" s="78">
        <v>-5841</v>
      </c>
      <c r="F516" s="42">
        <v>0</v>
      </c>
      <c r="G516" s="42">
        <f t="shared" si="7"/>
        <v>-5841</v>
      </c>
      <c r="H516" s="2" t="str">
        <f>VLOOKUP(A516,'TB JULY'!A:H,8,0)</f>
        <v>Not Applicable</v>
      </c>
    </row>
    <row r="517" spans="1:8">
      <c r="A517" s="62" t="s">
        <v>938</v>
      </c>
      <c r="B517" s="78">
        <v>-67989.240000000005</v>
      </c>
      <c r="C517" s="78">
        <v>126712.74</v>
      </c>
      <c r="D517" s="78">
        <v>61491.18</v>
      </c>
      <c r="E517" s="78">
        <v>-2767.68</v>
      </c>
      <c r="F517" s="42">
        <v>0</v>
      </c>
      <c r="G517" s="42">
        <f t="shared" si="7"/>
        <v>-2767.68</v>
      </c>
      <c r="H517" s="2" t="str">
        <f>VLOOKUP(A517,'TB JULY'!A:H,8,0)</f>
        <v>Not Applicable</v>
      </c>
    </row>
    <row r="518" spans="1:8">
      <c r="A518" s="62" t="s">
        <v>939</v>
      </c>
      <c r="B518" s="78">
        <v>-272501.25</v>
      </c>
      <c r="C518" s="78">
        <v>372374.41</v>
      </c>
      <c r="D518" s="78">
        <v>441176.66</v>
      </c>
      <c r="E518" s="78">
        <v>-341303.5</v>
      </c>
      <c r="F518" s="42">
        <v>0</v>
      </c>
      <c r="G518" s="42">
        <f t="shared" si="7"/>
        <v>-341303.5</v>
      </c>
      <c r="H518" s="2" t="str">
        <f>VLOOKUP(A518,'TB JULY'!A:H,8,0)</f>
        <v>Not Applicable</v>
      </c>
    </row>
    <row r="519" spans="1:8">
      <c r="A519" s="62" t="s">
        <v>558</v>
      </c>
      <c r="B519" s="78">
        <v>-369869.69</v>
      </c>
      <c r="C519" s="78"/>
      <c r="D519" s="78"/>
      <c r="E519" s="78">
        <v>-369869.69</v>
      </c>
      <c r="F519" s="42">
        <v>0</v>
      </c>
      <c r="G519" s="42">
        <f t="shared" ref="G519:G582" si="8">E519+F519</f>
        <v>-369869.69</v>
      </c>
      <c r="H519" s="2" t="str">
        <f>VLOOKUP(A519,'TB JULY'!A:H,8,0)</f>
        <v>Not Applicable</v>
      </c>
    </row>
    <row r="520" spans="1:8">
      <c r="A520" s="62" t="s">
        <v>559</v>
      </c>
      <c r="B520" s="78">
        <v>-51379.05</v>
      </c>
      <c r="C520" s="78"/>
      <c r="D520" s="78"/>
      <c r="E520" s="78">
        <v>-51379.05</v>
      </c>
      <c r="F520" s="42">
        <v>0</v>
      </c>
      <c r="G520" s="42">
        <f t="shared" si="8"/>
        <v>-51379.05</v>
      </c>
      <c r="H520" s="2" t="str">
        <f>VLOOKUP(A520,'TB JULY'!A:H,8,0)</f>
        <v>Not Applicable</v>
      </c>
    </row>
    <row r="521" spans="1:8">
      <c r="A521" s="62" t="s">
        <v>914</v>
      </c>
      <c r="B521" s="78"/>
      <c r="C521" s="78"/>
      <c r="D521" s="78"/>
      <c r="E521" s="78"/>
      <c r="F521" s="42">
        <v>0</v>
      </c>
      <c r="G521" s="42">
        <f t="shared" si="8"/>
        <v>0</v>
      </c>
      <c r="H521" s="2" t="str">
        <f>VLOOKUP(A521,'TB JULY'!A:H,8,0)</f>
        <v>Not Applicable</v>
      </c>
    </row>
    <row r="522" spans="1:8">
      <c r="A522" s="62" t="s">
        <v>550</v>
      </c>
      <c r="B522" s="78"/>
      <c r="C522" s="78"/>
      <c r="D522" s="78">
        <v>2650</v>
      </c>
      <c r="E522" s="78">
        <v>-2650</v>
      </c>
      <c r="F522" s="42">
        <v>0</v>
      </c>
      <c r="G522" s="42">
        <f t="shared" si="8"/>
        <v>-2650</v>
      </c>
      <c r="H522" s="2" t="str">
        <f>VLOOKUP(A522,'TB JULY'!A:H,8,0)</f>
        <v>Not Applicable</v>
      </c>
    </row>
    <row r="523" spans="1:8">
      <c r="A523" s="62" t="s">
        <v>1445</v>
      </c>
      <c r="B523" s="78">
        <v>128</v>
      </c>
      <c r="C523" s="78"/>
      <c r="D523" s="78"/>
      <c r="E523" s="78">
        <v>128</v>
      </c>
      <c r="F523" s="42">
        <v>0</v>
      </c>
      <c r="G523" s="42">
        <f t="shared" si="8"/>
        <v>128</v>
      </c>
      <c r="H523" s="2" t="str">
        <f>VLOOKUP(A523,'TB JULY'!A:H,8,0)</f>
        <v>Not Applicable</v>
      </c>
    </row>
    <row r="524" spans="1:8">
      <c r="A524" s="62" t="s">
        <v>1514</v>
      </c>
      <c r="B524" s="78"/>
      <c r="C524" s="78">
        <v>23010</v>
      </c>
      <c r="D524" s="78">
        <v>23010</v>
      </c>
      <c r="E524" s="78"/>
      <c r="F524" s="42">
        <v>0</v>
      </c>
      <c r="G524" s="42">
        <f t="shared" si="8"/>
        <v>0</v>
      </c>
      <c r="H524" s="2" t="str">
        <f>VLOOKUP(A524,'TB JULY'!A:H,8,0)</f>
        <v>Not Applicable</v>
      </c>
    </row>
    <row r="525" spans="1:8">
      <c r="A525" s="62" t="s">
        <v>553</v>
      </c>
      <c r="B525" s="78">
        <v>-363.33</v>
      </c>
      <c r="C525" s="78"/>
      <c r="D525" s="78"/>
      <c r="E525" s="78">
        <v>-363.33</v>
      </c>
      <c r="F525" s="42">
        <v>0</v>
      </c>
      <c r="G525" s="42">
        <f t="shared" si="8"/>
        <v>-363.33</v>
      </c>
      <c r="H525" s="2" t="str">
        <f>VLOOKUP(A525,'TB JULY'!A:H,8,0)</f>
        <v>Not Applicable</v>
      </c>
    </row>
    <row r="526" spans="1:8">
      <c r="A526" s="62" t="s">
        <v>1601</v>
      </c>
      <c r="B526" s="78"/>
      <c r="C526" s="78">
        <v>49914</v>
      </c>
      <c r="D526" s="78">
        <v>49914</v>
      </c>
      <c r="E526" s="78"/>
      <c r="F526" s="42">
        <v>0</v>
      </c>
      <c r="G526" s="42">
        <f t="shared" si="8"/>
        <v>0</v>
      </c>
      <c r="H526" s="2" t="str">
        <f>VLOOKUP(A526,'TB JULY'!A:H,8,0)</f>
        <v>Not Applicable</v>
      </c>
    </row>
    <row r="527" spans="1:8">
      <c r="A527" s="62" t="s">
        <v>1564</v>
      </c>
      <c r="B527" s="78"/>
      <c r="C527" s="78"/>
      <c r="D527" s="78">
        <v>2348</v>
      </c>
      <c r="E527" s="78">
        <v>-2348</v>
      </c>
      <c r="F527" s="42">
        <v>0</v>
      </c>
      <c r="G527" s="42">
        <f t="shared" si="8"/>
        <v>-2348</v>
      </c>
      <c r="H527" s="2" t="str">
        <f>VLOOKUP(A527,'TB JULY'!A:H,8,0)</f>
        <v>Not Applicable</v>
      </c>
    </row>
    <row r="528" spans="1:8">
      <c r="A528" s="62" t="s">
        <v>1565</v>
      </c>
      <c r="B528" s="78"/>
      <c r="C528" s="78">
        <v>3500</v>
      </c>
      <c r="D528" s="78">
        <v>3500</v>
      </c>
      <c r="E528" s="78"/>
      <c r="F528" s="42">
        <v>0</v>
      </c>
      <c r="G528" s="42">
        <f t="shared" si="8"/>
        <v>0</v>
      </c>
      <c r="H528" s="2" t="str">
        <f>VLOOKUP(A528,'TB JULY'!A:H,8,0)</f>
        <v>Not Applicable</v>
      </c>
    </row>
    <row r="529" spans="1:8">
      <c r="A529" s="62" t="s">
        <v>1602</v>
      </c>
      <c r="B529" s="78"/>
      <c r="C529" s="78">
        <v>474419</v>
      </c>
      <c r="D529" s="78">
        <v>474419</v>
      </c>
      <c r="E529" s="78"/>
      <c r="F529" s="42">
        <v>0</v>
      </c>
      <c r="G529" s="42">
        <f t="shared" si="8"/>
        <v>0</v>
      </c>
      <c r="H529" s="2" t="str">
        <f>VLOOKUP(A529,'TB JULY'!A:H,8,0)</f>
        <v>Not Applicable</v>
      </c>
    </row>
    <row r="530" spans="1:8">
      <c r="A530" s="62" t="s">
        <v>1182</v>
      </c>
      <c r="B530" s="78">
        <v>-4209.1400000000003</v>
      </c>
      <c r="C530" s="78">
        <v>9648</v>
      </c>
      <c r="D530" s="78">
        <v>5440</v>
      </c>
      <c r="E530" s="78">
        <v>-1.1399999999999999</v>
      </c>
      <c r="F530" s="42">
        <v>0</v>
      </c>
      <c r="G530" s="42">
        <f t="shared" si="8"/>
        <v>-1.1399999999999999</v>
      </c>
      <c r="H530" s="2" t="str">
        <f>VLOOKUP(A530,'TB JULY'!A:H,8,0)</f>
        <v>Not Applicable</v>
      </c>
    </row>
    <row r="531" spans="1:8">
      <c r="A531" s="62" t="s">
        <v>548</v>
      </c>
      <c r="B531" s="78">
        <v>-71007.13</v>
      </c>
      <c r="C531" s="78">
        <v>362194.13</v>
      </c>
      <c r="D531" s="78">
        <v>368662</v>
      </c>
      <c r="E531" s="78">
        <v>-77475</v>
      </c>
      <c r="F531" s="42">
        <v>0</v>
      </c>
      <c r="G531" s="42">
        <f t="shared" si="8"/>
        <v>-77475</v>
      </c>
      <c r="H531" s="2" t="str">
        <f>VLOOKUP(A531,'TB JULY'!A:H,8,0)</f>
        <v>Not Applicable</v>
      </c>
    </row>
    <row r="532" spans="1:8">
      <c r="A532" s="62" t="s">
        <v>1603</v>
      </c>
      <c r="B532" s="78"/>
      <c r="C532" s="78">
        <v>2400</v>
      </c>
      <c r="D532" s="78">
        <v>2400</v>
      </c>
      <c r="E532" s="78"/>
      <c r="F532" s="42">
        <v>0</v>
      </c>
      <c r="G532" s="42">
        <f t="shared" si="8"/>
        <v>0</v>
      </c>
      <c r="H532" s="2" t="str">
        <f>VLOOKUP(A532,'TB JULY'!A:H,8,0)</f>
        <v>Not Applicable</v>
      </c>
    </row>
    <row r="533" spans="1:8">
      <c r="A533" s="62" t="s">
        <v>1446</v>
      </c>
      <c r="B533" s="78">
        <v>-4366</v>
      </c>
      <c r="C533" s="78">
        <v>4366</v>
      </c>
      <c r="D533" s="78"/>
      <c r="E533" s="78"/>
      <c r="F533" s="42">
        <v>0</v>
      </c>
      <c r="G533" s="42">
        <f t="shared" si="8"/>
        <v>0</v>
      </c>
      <c r="H533" s="2" t="str">
        <f>VLOOKUP(A533,'TB JULY'!A:H,8,0)</f>
        <v>Not Applicable</v>
      </c>
    </row>
    <row r="534" spans="1:8">
      <c r="A534" s="62" t="s">
        <v>1017</v>
      </c>
      <c r="B534" s="78">
        <v>-18880</v>
      </c>
      <c r="C534" s="78">
        <v>18880</v>
      </c>
      <c r="D534" s="78"/>
      <c r="E534" s="78"/>
      <c r="F534" s="42">
        <v>0</v>
      </c>
      <c r="G534" s="42">
        <f t="shared" si="8"/>
        <v>0</v>
      </c>
      <c r="H534" s="2" t="str">
        <f>VLOOKUP(A534,'TB JULY'!A:H,8,0)</f>
        <v>Not Applicable</v>
      </c>
    </row>
    <row r="535" spans="1:8">
      <c r="A535" s="62" t="s">
        <v>1320</v>
      </c>
      <c r="B535" s="78">
        <v>100501.5</v>
      </c>
      <c r="C535" s="78">
        <v>45736.800000000003</v>
      </c>
      <c r="D535" s="78">
        <v>146239</v>
      </c>
      <c r="E535" s="78">
        <v>-0.7</v>
      </c>
      <c r="F535" s="42">
        <v>0</v>
      </c>
      <c r="G535" s="42">
        <f t="shared" si="8"/>
        <v>-0.7</v>
      </c>
      <c r="H535" s="2" t="str">
        <f>VLOOKUP(A535,'TB JULY'!A:H,8,0)</f>
        <v>Not Applicable</v>
      </c>
    </row>
    <row r="536" spans="1:8">
      <c r="A536" s="62" t="s">
        <v>1447</v>
      </c>
      <c r="B536" s="78">
        <v>1021.88</v>
      </c>
      <c r="C536" s="78"/>
      <c r="D536" s="78"/>
      <c r="E536" s="78">
        <v>1021.88</v>
      </c>
      <c r="F536" s="42">
        <v>0</v>
      </c>
      <c r="G536" s="42">
        <f t="shared" si="8"/>
        <v>1021.88</v>
      </c>
      <c r="H536" s="2" t="str">
        <f>VLOOKUP(A536,'TB JULY'!A:H,8,0)</f>
        <v>Not Applicable</v>
      </c>
    </row>
    <row r="537" spans="1:8">
      <c r="A537" s="62" t="s">
        <v>1337</v>
      </c>
      <c r="B537" s="78">
        <v>-840</v>
      </c>
      <c r="C537" s="78"/>
      <c r="D537" s="78"/>
      <c r="E537" s="78">
        <v>-840</v>
      </c>
      <c r="F537" s="42">
        <v>0</v>
      </c>
      <c r="G537" s="42">
        <f t="shared" si="8"/>
        <v>-840</v>
      </c>
      <c r="H537" s="2" t="str">
        <f>VLOOKUP(A537,'TB JULY'!A:H,8,0)</f>
        <v>Not Applicable</v>
      </c>
    </row>
    <row r="538" spans="1:8">
      <c r="A538" s="62" t="s">
        <v>536</v>
      </c>
      <c r="B538" s="78">
        <v>-5960</v>
      </c>
      <c r="C538" s="78">
        <v>36464</v>
      </c>
      <c r="D538" s="78">
        <v>30504</v>
      </c>
      <c r="E538" s="78"/>
      <c r="F538" s="42">
        <v>0</v>
      </c>
      <c r="G538" s="42">
        <f t="shared" si="8"/>
        <v>0</v>
      </c>
      <c r="H538" s="2" t="str">
        <f>VLOOKUP(A538,'TB JULY'!A:H,8,0)</f>
        <v>Not Applicable</v>
      </c>
    </row>
    <row r="539" spans="1:8">
      <c r="A539" s="62" t="s">
        <v>1566</v>
      </c>
      <c r="B539" s="78"/>
      <c r="C539" s="78">
        <v>216296</v>
      </c>
      <c r="D539" s="78">
        <v>244989</v>
      </c>
      <c r="E539" s="78">
        <v>-28693</v>
      </c>
      <c r="F539" s="42">
        <v>0</v>
      </c>
      <c r="G539" s="42">
        <f t="shared" si="8"/>
        <v>-28693</v>
      </c>
      <c r="H539" s="2" t="str">
        <f>VLOOKUP(A539,'TB JULY'!A:H,8,0)</f>
        <v>Not Applicable</v>
      </c>
    </row>
    <row r="540" spans="1:8">
      <c r="A540" s="62" t="s">
        <v>532</v>
      </c>
      <c r="B540" s="78">
        <v>-15458</v>
      </c>
      <c r="C540" s="78"/>
      <c r="D540" s="78"/>
      <c r="E540" s="78">
        <v>-15458</v>
      </c>
      <c r="F540" s="42">
        <v>0</v>
      </c>
      <c r="G540" s="42">
        <f t="shared" si="8"/>
        <v>-15458</v>
      </c>
      <c r="H540" s="2" t="str">
        <f>VLOOKUP(A540,'TB JULY'!A:H,8,0)</f>
        <v>Not Applicable</v>
      </c>
    </row>
    <row r="541" spans="1:8">
      <c r="A541" s="62" t="s">
        <v>1640</v>
      </c>
      <c r="B541" s="78"/>
      <c r="C541" s="78">
        <v>26800.16</v>
      </c>
      <c r="D541" s="78">
        <v>26800</v>
      </c>
      <c r="E541" s="78">
        <v>0.16</v>
      </c>
      <c r="F541" s="42">
        <v>0</v>
      </c>
      <c r="G541" s="42">
        <f t="shared" si="8"/>
        <v>0.16</v>
      </c>
      <c r="H541" s="2" t="s">
        <v>84</v>
      </c>
    </row>
    <row r="542" spans="1:8">
      <c r="A542" s="62" t="s">
        <v>1448</v>
      </c>
      <c r="B542" s="78">
        <v>-28477</v>
      </c>
      <c r="C542" s="78">
        <v>41457</v>
      </c>
      <c r="D542" s="78">
        <v>12980</v>
      </c>
      <c r="E542" s="78"/>
      <c r="F542" s="42">
        <v>0</v>
      </c>
      <c r="G542" s="42">
        <f t="shared" si="8"/>
        <v>0</v>
      </c>
      <c r="H542" s="2" t="str">
        <f>VLOOKUP(A542,'TB JULY'!A:H,8,0)</f>
        <v>Not Applicable</v>
      </c>
    </row>
    <row r="543" spans="1:8">
      <c r="A543" s="62" t="s">
        <v>530</v>
      </c>
      <c r="B543" s="78">
        <v>-84201</v>
      </c>
      <c r="C543" s="78">
        <v>170499</v>
      </c>
      <c r="D543" s="78">
        <v>130381</v>
      </c>
      <c r="E543" s="78">
        <v>-44083</v>
      </c>
      <c r="F543" s="42">
        <v>0</v>
      </c>
      <c r="G543" s="42">
        <f t="shared" si="8"/>
        <v>-44083</v>
      </c>
      <c r="H543" s="2" t="str">
        <f>VLOOKUP(A543,'TB JULY'!A:H,8,0)</f>
        <v>Not Applicable</v>
      </c>
    </row>
    <row r="544" spans="1:8">
      <c r="A544" s="62" t="s">
        <v>1449</v>
      </c>
      <c r="B544" s="78">
        <v>-38744</v>
      </c>
      <c r="C544" s="78"/>
      <c r="D544" s="78"/>
      <c r="E544" s="78">
        <v>-38744</v>
      </c>
      <c r="F544" s="42">
        <v>0</v>
      </c>
      <c r="G544" s="42">
        <f t="shared" si="8"/>
        <v>-38744</v>
      </c>
      <c r="H544" s="2" t="str">
        <f>VLOOKUP(A544,'TB JULY'!A:H,8,0)</f>
        <v>Not Applicable</v>
      </c>
    </row>
    <row r="545" spans="1:8">
      <c r="A545" s="62" t="s">
        <v>529</v>
      </c>
      <c r="B545" s="78">
        <v>-38962.5</v>
      </c>
      <c r="C545" s="78">
        <v>95777</v>
      </c>
      <c r="D545" s="78">
        <v>115058</v>
      </c>
      <c r="E545" s="78">
        <v>-58243.5</v>
      </c>
      <c r="F545" s="42">
        <v>0</v>
      </c>
      <c r="G545" s="42">
        <f t="shared" si="8"/>
        <v>-58243.5</v>
      </c>
      <c r="H545" s="2" t="str">
        <f>VLOOKUP(A545,'TB JULY'!A:H,8,0)</f>
        <v>Not Applicable</v>
      </c>
    </row>
    <row r="546" spans="1:8">
      <c r="A546" s="62" t="s">
        <v>1641</v>
      </c>
      <c r="B546" s="78"/>
      <c r="C546" s="78">
        <v>18000</v>
      </c>
      <c r="D546" s="78"/>
      <c r="E546" s="78">
        <v>18000</v>
      </c>
      <c r="F546" s="42">
        <v>0</v>
      </c>
      <c r="G546" s="42">
        <f t="shared" si="8"/>
        <v>18000</v>
      </c>
      <c r="H546" s="2" t="s">
        <v>84</v>
      </c>
    </row>
    <row r="547" spans="1:8">
      <c r="A547" s="62" t="s">
        <v>1450</v>
      </c>
      <c r="B547" s="78"/>
      <c r="C547" s="78"/>
      <c r="D547" s="78"/>
      <c r="E547" s="78"/>
      <c r="F547" s="42">
        <v>0</v>
      </c>
      <c r="G547" s="42">
        <f t="shared" si="8"/>
        <v>0</v>
      </c>
      <c r="H547" s="2" t="str">
        <f>VLOOKUP(A547,'TB JULY'!A:H,8,0)</f>
        <v>Not Applicable</v>
      </c>
    </row>
    <row r="548" spans="1:8">
      <c r="A548" s="62" t="s">
        <v>522</v>
      </c>
      <c r="B548" s="78">
        <v>-16891.400000000001</v>
      </c>
      <c r="C548" s="78">
        <v>17965</v>
      </c>
      <c r="D548" s="78">
        <v>10690</v>
      </c>
      <c r="E548" s="78">
        <v>-9616.4</v>
      </c>
      <c r="F548" s="42">
        <v>0</v>
      </c>
      <c r="G548" s="42">
        <f t="shared" si="8"/>
        <v>-9616.4</v>
      </c>
      <c r="H548" s="2" t="str">
        <f>VLOOKUP(A548,'TB JULY'!A:H,8,0)</f>
        <v>Not Applicable</v>
      </c>
    </row>
    <row r="549" spans="1:8">
      <c r="A549" s="62" t="s">
        <v>523</v>
      </c>
      <c r="B549" s="78">
        <v>3266.14</v>
      </c>
      <c r="C549" s="78"/>
      <c r="D549" s="78">
        <v>3266</v>
      </c>
      <c r="E549" s="78">
        <v>0.14000000000000001</v>
      </c>
      <c r="F549" s="42">
        <v>0</v>
      </c>
      <c r="G549" s="42">
        <f t="shared" si="8"/>
        <v>0.14000000000000001</v>
      </c>
      <c r="H549" s="2" t="str">
        <f>VLOOKUP(A549,'TB JULY'!A:H,8,0)</f>
        <v>Not Applicable</v>
      </c>
    </row>
    <row r="550" spans="1:8">
      <c r="A550" s="62" t="s">
        <v>1451</v>
      </c>
      <c r="B550" s="78">
        <v>-330.4</v>
      </c>
      <c r="C550" s="78"/>
      <c r="D550" s="78"/>
      <c r="E550" s="78">
        <v>-330.4</v>
      </c>
      <c r="F550" s="42">
        <v>0</v>
      </c>
      <c r="G550" s="42">
        <f t="shared" si="8"/>
        <v>-330.4</v>
      </c>
      <c r="H550" s="2" t="str">
        <f>VLOOKUP(A550,'TB JULY'!A:H,8,0)</f>
        <v>Not Applicable</v>
      </c>
    </row>
    <row r="551" spans="1:8">
      <c r="A551" s="62" t="s">
        <v>520</v>
      </c>
      <c r="B551" s="78">
        <v>-8153</v>
      </c>
      <c r="C551" s="78">
        <v>8153</v>
      </c>
      <c r="D551" s="78"/>
      <c r="E551" s="78"/>
      <c r="F551" s="42">
        <v>0</v>
      </c>
      <c r="G551" s="42">
        <f t="shared" si="8"/>
        <v>0</v>
      </c>
      <c r="H551" s="2" t="str">
        <f>VLOOKUP(A551,'TB JULY'!A:H,8,0)</f>
        <v>Not Applicable</v>
      </c>
    </row>
    <row r="552" spans="1:8">
      <c r="A552" s="62" t="s">
        <v>1016</v>
      </c>
      <c r="B552" s="78">
        <v>29517.8</v>
      </c>
      <c r="C552" s="78"/>
      <c r="D552" s="78">
        <v>25618</v>
      </c>
      <c r="E552" s="78">
        <v>3899.8</v>
      </c>
      <c r="F552" s="42">
        <v>0</v>
      </c>
      <c r="G552" s="42">
        <f t="shared" si="8"/>
        <v>3899.8</v>
      </c>
      <c r="H552" s="2" t="str">
        <f>VLOOKUP(A552,'TB JULY'!A:H,8,0)</f>
        <v>Not Applicable</v>
      </c>
    </row>
    <row r="553" spans="1:8">
      <c r="A553" s="62" t="s">
        <v>1567</v>
      </c>
      <c r="B553" s="78"/>
      <c r="C553" s="78">
        <v>27848</v>
      </c>
      <c r="D553" s="78">
        <v>27848</v>
      </c>
      <c r="E553" s="78"/>
      <c r="F553" s="42">
        <v>0</v>
      </c>
      <c r="G553" s="42">
        <f t="shared" si="8"/>
        <v>0</v>
      </c>
      <c r="H553" s="2" t="str">
        <f>VLOOKUP(A553,'TB JULY'!A:H,8,0)</f>
        <v>Not Applicable</v>
      </c>
    </row>
    <row r="554" spans="1:8">
      <c r="A554" s="62" t="s">
        <v>512</v>
      </c>
      <c r="B554" s="78"/>
      <c r="C554" s="78"/>
      <c r="D554" s="78"/>
      <c r="E554" s="78"/>
      <c r="F554" s="42">
        <v>0</v>
      </c>
      <c r="G554" s="42">
        <f t="shared" si="8"/>
        <v>0</v>
      </c>
      <c r="H554" s="2" t="str">
        <f>VLOOKUP(A554,'TB JULY'!A:H,8,0)</f>
        <v>Not Applicable</v>
      </c>
    </row>
    <row r="555" spans="1:8">
      <c r="A555" s="62" t="s">
        <v>857</v>
      </c>
      <c r="B555" s="78">
        <v>-110405</v>
      </c>
      <c r="C555" s="78">
        <v>228911.62</v>
      </c>
      <c r="D555" s="78">
        <v>168735</v>
      </c>
      <c r="E555" s="78">
        <v>-50228.38</v>
      </c>
      <c r="F555" s="42">
        <v>0</v>
      </c>
      <c r="G555" s="42">
        <f t="shared" si="8"/>
        <v>-50228.38</v>
      </c>
      <c r="H555" s="2" t="str">
        <f>VLOOKUP(A555,'TB JULY'!A:H,8,0)</f>
        <v>Not Applicable</v>
      </c>
    </row>
    <row r="556" spans="1:8">
      <c r="A556" s="62" t="s">
        <v>1118</v>
      </c>
      <c r="B556" s="78">
        <v>-41712.94</v>
      </c>
      <c r="C556" s="78">
        <v>276895</v>
      </c>
      <c r="D556" s="78">
        <v>297050</v>
      </c>
      <c r="E556" s="78">
        <v>-61867.94</v>
      </c>
      <c r="F556" s="42">
        <v>0</v>
      </c>
      <c r="G556" s="42">
        <f t="shared" si="8"/>
        <v>-61867.94</v>
      </c>
      <c r="H556" s="2" t="str">
        <f>VLOOKUP(A556,'TB JULY'!A:H,8,0)</f>
        <v>Not Applicable</v>
      </c>
    </row>
    <row r="557" spans="1:8">
      <c r="A557" s="62" t="s">
        <v>493</v>
      </c>
      <c r="B557" s="78"/>
      <c r="C557" s="78"/>
      <c r="D557" s="78">
        <v>38381</v>
      </c>
      <c r="E557" s="78">
        <v>-38381</v>
      </c>
      <c r="F557" s="42">
        <v>0</v>
      </c>
      <c r="G557" s="42">
        <f t="shared" si="8"/>
        <v>-38381</v>
      </c>
      <c r="H557" s="2" t="str">
        <f>VLOOKUP(A557,'TB JULY'!A:H,8,0)</f>
        <v>Not Applicable</v>
      </c>
    </row>
    <row r="558" spans="1:8">
      <c r="A558" s="62" t="s">
        <v>1642</v>
      </c>
      <c r="B558" s="78"/>
      <c r="C558" s="78">
        <v>5093.18</v>
      </c>
      <c r="D558" s="78">
        <v>5093</v>
      </c>
      <c r="E558" s="78">
        <v>0.18</v>
      </c>
      <c r="F558" s="42">
        <v>0</v>
      </c>
      <c r="G558" s="42">
        <f t="shared" si="8"/>
        <v>0.18</v>
      </c>
      <c r="H558" s="2" t="s">
        <v>84</v>
      </c>
    </row>
    <row r="559" spans="1:8">
      <c r="A559" s="62" t="s">
        <v>484</v>
      </c>
      <c r="B559" s="78">
        <v>-18145.099999999999</v>
      </c>
      <c r="C559" s="78">
        <v>18145.099999999999</v>
      </c>
      <c r="D559" s="78"/>
      <c r="E559" s="78"/>
      <c r="F559" s="42">
        <v>0</v>
      </c>
      <c r="G559" s="42">
        <f t="shared" si="8"/>
        <v>0</v>
      </c>
      <c r="H559" s="2" t="str">
        <f>VLOOKUP(A559,'TB JULY'!A:H,8,0)</f>
        <v>Not Applicable</v>
      </c>
    </row>
    <row r="560" spans="1:8">
      <c r="A560" s="62" t="s">
        <v>1453</v>
      </c>
      <c r="B560" s="78"/>
      <c r="C560" s="78"/>
      <c r="D560" s="78"/>
      <c r="E560" s="78"/>
      <c r="F560" s="42">
        <v>0</v>
      </c>
      <c r="G560" s="42">
        <f t="shared" si="8"/>
        <v>0</v>
      </c>
      <c r="H560" s="2" t="str">
        <f>VLOOKUP(A560,'TB JULY'!A:H,8,0)</f>
        <v>Not Applicable</v>
      </c>
    </row>
    <row r="561" spans="1:8">
      <c r="A561" s="62" t="s">
        <v>1003</v>
      </c>
      <c r="B561" s="78"/>
      <c r="C561" s="78"/>
      <c r="D561" s="78">
        <v>2891</v>
      </c>
      <c r="E561" s="78">
        <v>-2891</v>
      </c>
      <c r="F561" s="42">
        <v>0</v>
      </c>
      <c r="G561" s="42">
        <f t="shared" si="8"/>
        <v>-2891</v>
      </c>
      <c r="H561" s="2" t="s">
        <v>84</v>
      </c>
    </row>
    <row r="562" spans="1:8">
      <c r="A562" s="62" t="s">
        <v>481</v>
      </c>
      <c r="B562" s="78">
        <v>-466.6</v>
      </c>
      <c r="C562" s="78">
        <v>4578</v>
      </c>
      <c r="D562" s="78">
        <v>2478</v>
      </c>
      <c r="E562" s="78">
        <v>1633.4</v>
      </c>
      <c r="F562" s="42">
        <v>0</v>
      </c>
      <c r="G562" s="42">
        <f t="shared" si="8"/>
        <v>1633.4</v>
      </c>
      <c r="H562" s="2" t="str">
        <f>VLOOKUP(A562,'TB JULY'!A:H,8,0)</f>
        <v>Not Applicable</v>
      </c>
    </row>
    <row r="563" spans="1:8">
      <c r="A563" s="62" t="s">
        <v>475</v>
      </c>
      <c r="B563" s="78"/>
      <c r="C563" s="78">
        <v>4248</v>
      </c>
      <c r="D563" s="78">
        <v>4248</v>
      </c>
      <c r="E563" s="78"/>
      <c r="F563" s="42">
        <v>0</v>
      </c>
      <c r="G563" s="42">
        <f t="shared" si="8"/>
        <v>0</v>
      </c>
      <c r="H563" s="2" t="str">
        <f>VLOOKUP(A563,'TB JULY'!A:H,8,0)</f>
        <v>Not Applicable</v>
      </c>
    </row>
    <row r="564" spans="1:8">
      <c r="A564" s="62" t="s">
        <v>466</v>
      </c>
      <c r="B564" s="78"/>
      <c r="C564" s="78">
        <v>23388</v>
      </c>
      <c r="D564" s="78">
        <v>23388</v>
      </c>
      <c r="E564" s="78"/>
      <c r="F564" s="42">
        <v>0</v>
      </c>
      <c r="G564" s="42">
        <f t="shared" si="8"/>
        <v>0</v>
      </c>
      <c r="H564" s="2" t="str">
        <f>VLOOKUP(A564,'TB JULY'!A:H,8,0)</f>
        <v>Not Applicable</v>
      </c>
    </row>
    <row r="565" spans="1:8">
      <c r="A565" s="62" t="s">
        <v>467</v>
      </c>
      <c r="B565" s="78">
        <v>-3363</v>
      </c>
      <c r="C565" s="78">
        <v>30055</v>
      </c>
      <c r="D565" s="78">
        <v>26692</v>
      </c>
      <c r="E565" s="78"/>
      <c r="F565" s="42">
        <v>0</v>
      </c>
      <c r="G565" s="42">
        <f t="shared" si="8"/>
        <v>0</v>
      </c>
      <c r="H565" s="2" t="str">
        <f>VLOOKUP(A565,'TB JULY'!A:H,8,0)</f>
        <v>Not Applicable</v>
      </c>
    </row>
    <row r="566" spans="1:8">
      <c r="A566" s="62" t="s">
        <v>868</v>
      </c>
      <c r="B566" s="78">
        <v>-16992</v>
      </c>
      <c r="C566" s="78"/>
      <c r="D566" s="78"/>
      <c r="E566" s="78">
        <v>-16992</v>
      </c>
      <c r="F566" s="42">
        <v>0</v>
      </c>
      <c r="G566" s="42">
        <f t="shared" si="8"/>
        <v>-16992</v>
      </c>
      <c r="H566" s="2" t="str">
        <f>VLOOKUP(A566,'TB JULY'!A:H,8,0)</f>
        <v>Not Applicable</v>
      </c>
    </row>
    <row r="567" spans="1:8">
      <c r="A567" s="62" t="s">
        <v>1037</v>
      </c>
      <c r="B567" s="78"/>
      <c r="C567" s="78">
        <v>24898</v>
      </c>
      <c r="D567" s="78">
        <v>24898</v>
      </c>
      <c r="E567" s="78"/>
      <c r="F567" s="42">
        <v>0</v>
      </c>
      <c r="G567" s="42">
        <f t="shared" si="8"/>
        <v>0</v>
      </c>
      <c r="H567" s="2" t="str">
        <f>VLOOKUP(A567,'TB JULY'!A:H,8,0)</f>
        <v>Not Applicable</v>
      </c>
    </row>
    <row r="568" spans="1:8">
      <c r="A568" s="62" t="s">
        <v>897</v>
      </c>
      <c r="B568" s="78">
        <v>118.8</v>
      </c>
      <c r="C568" s="78"/>
      <c r="D568" s="78"/>
      <c r="E568" s="78">
        <v>118.8</v>
      </c>
      <c r="F568" s="42">
        <v>0</v>
      </c>
      <c r="G568" s="42">
        <f t="shared" si="8"/>
        <v>118.8</v>
      </c>
      <c r="H568" s="2" t="str">
        <f>VLOOKUP(A568,'TB JULY'!A:H,8,0)</f>
        <v>Not Applicable</v>
      </c>
    </row>
    <row r="569" spans="1:8">
      <c r="A569" s="62" t="s">
        <v>1217</v>
      </c>
      <c r="B569" s="78">
        <v>-51715</v>
      </c>
      <c r="C569" s="78">
        <v>51715</v>
      </c>
      <c r="D569" s="78">
        <v>5310</v>
      </c>
      <c r="E569" s="78">
        <v>-5310</v>
      </c>
      <c r="F569" s="42">
        <v>0</v>
      </c>
      <c r="G569" s="42">
        <f t="shared" si="8"/>
        <v>-5310</v>
      </c>
      <c r="H569" s="2" t="str">
        <f>VLOOKUP(A569,'TB JULY'!A:H,8,0)</f>
        <v>Not Applicable</v>
      </c>
    </row>
    <row r="570" spans="1:8">
      <c r="A570" s="62" t="s">
        <v>1604</v>
      </c>
      <c r="B570" s="78"/>
      <c r="C570" s="78">
        <v>19505.400000000001</v>
      </c>
      <c r="D570" s="78">
        <v>19328</v>
      </c>
      <c r="E570" s="78">
        <v>177.4</v>
      </c>
      <c r="F570" s="42">
        <v>0</v>
      </c>
      <c r="G570" s="42">
        <f t="shared" si="8"/>
        <v>177.4</v>
      </c>
      <c r="H570" s="2" t="str">
        <f>VLOOKUP(A570,'TB JULY'!A:H,8,0)</f>
        <v>Not Applicable</v>
      </c>
    </row>
    <row r="571" spans="1:8">
      <c r="A571" s="62" t="s">
        <v>459</v>
      </c>
      <c r="B571" s="78">
        <v>-14300</v>
      </c>
      <c r="C571" s="78">
        <v>14300</v>
      </c>
      <c r="D571" s="78">
        <v>21560</v>
      </c>
      <c r="E571" s="78">
        <v>-21560</v>
      </c>
      <c r="F571" s="42">
        <v>0</v>
      </c>
      <c r="G571" s="42">
        <f t="shared" si="8"/>
        <v>-21560</v>
      </c>
      <c r="H571" s="2" t="str">
        <f>VLOOKUP(A571,'TB JULY'!A:H,8,0)</f>
        <v>Not Applicable</v>
      </c>
    </row>
    <row r="572" spans="1:8">
      <c r="A572" s="62" t="s">
        <v>1454</v>
      </c>
      <c r="B572" s="78"/>
      <c r="C572" s="78">
        <v>1309.8</v>
      </c>
      <c r="D572" s="78">
        <v>1309.8</v>
      </c>
      <c r="E572" s="78"/>
      <c r="F572" s="42">
        <v>0</v>
      </c>
      <c r="G572" s="42">
        <f t="shared" si="8"/>
        <v>0</v>
      </c>
      <c r="H572" s="2" t="str">
        <f>VLOOKUP(A572,'TB JULY'!A:H,8,0)</f>
        <v>Not Applicable</v>
      </c>
    </row>
    <row r="573" spans="1:8">
      <c r="A573" s="62" t="s">
        <v>1455</v>
      </c>
      <c r="B573" s="78"/>
      <c r="C573" s="78"/>
      <c r="D573" s="78"/>
      <c r="E573" s="78"/>
      <c r="F573" s="42">
        <v>0</v>
      </c>
      <c r="G573" s="42">
        <f t="shared" si="8"/>
        <v>0</v>
      </c>
      <c r="H573" s="2" t="str">
        <f>VLOOKUP(A573,'TB JULY'!A:H,8,0)</f>
        <v>Not Applicable</v>
      </c>
    </row>
    <row r="574" spans="1:8">
      <c r="A574" s="62" t="s">
        <v>409</v>
      </c>
      <c r="B574" s="78"/>
      <c r="C574" s="78">
        <v>23930</v>
      </c>
      <c r="D574" s="78">
        <v>28685</v>
      </c>
      <c r="E574" s="78">
        <v>-4755</v>
      </c>
      <c r="F574" s="42">
        <v>0</v>
      </c>
      <c r="G574" s="42">
        <f t="shared" si="8"/>
        <v>-4755</v>
      </c>
      <c r="H574" s="2" t="str">
        <f>VLOOKUP(A574,'TB JULY'!A:H,8,0)</f>
        <v>Not Applicable</v>
      </c>
    </row>
    <row r="575" spans="1:8">
      <c r="A575" s="62" t="s">
        <v>978</v>
      </c>
      <c r="B575" s="78">
        <v>-8198</v>
      </c>
      <c r="C575" s="78"/>
      <c r="D575" s="78"/>
      <c r="E575" s="78">
        <v>-8198</v>
      </c>
      <c r="F575" s="42">
        <v>0</v>
      </c>
      <c r="G575" s="42">
        <f t="shared" si="8"/>
        <v>-8198</v>
      </c>
      <c r="H575" s="2" t="str">
        <f>VLOOKUP(A575,'TB JULY'!A:H,8,0)</f>
        <v>Not Applicable</v>
      </c>
    </row>
    <row r="576" spans="1:8">
      <c r="A576" s="62" t="s">
        <v>453</v>
      </c>
      <c r="B576" s="78">
        <v>-315182</v>
      </c>
      <c r="C576" s="78">
        <v>892232</v>
      </c>
      <c r="D576" s="78">
        <v>1003792</v>
      </c>
      <c r="E576" s="78">
        <v>-426742</v>
      </c>
      <c r="F576" s="42">
        <v>0</v>
      </c>
      <c r="G576" s="42">
        <f t="shared" si="8"/>
        <v>-426742</v>
      </c>
      <c r="H576" s="2" t="str">
        <f>VLOOKUP(A576,'TB JULY'!A:H,8,0)</f>
        <v>Not Applicable</v>
      </c>
    </row>
    <row r="577" spans="1:8">
      <c r="A577" s="62" t="s">
        <v>449</v>
      </c>
      <c r="B577" s="78">
        <v>-6136</v>
      </c>
      <c r="C577" s="78">
        <v>179</v>
      </c>
      <c r="D577" s="78">
        <v>179</v>
      </c>
      <c r="E577" s="78">
        <v>-6136</v>
      </c>
      <c r="F577" s="42">
        <v>0</v>
      </c>
      <c r="G577" s="42">
        <f t="shared" si="8"/>
        <v>-6136</v>
      </c>
      <c r="H577" s="2" t="str">
        <f>VLOOKUP(A577,'TB JULY'!A:H,8,0)</f>
        <v>Not Applicable</v>
      </c>
    </row>
    <row r="578" spans="1:8">
      <c r="A578" s="62" t="s">
        <v>1096</v>
      </c>
      <c r="B578" s="78"/>
      <c r="C578" s="78"/>
      <c r="D578" s="78"/>
      <c r="E578" s="78"/>
      <c r="F578" s="42">
        <v>0</v>
      </c>
      <c r="G578" s="42">
        <f t="shared" si="8"/>
        <v>0</v>
      </c>
      <c r="H578" s="2" t="str">
        <f>VLOOKUP(A578,'TB JULY'!A:H,8,0)</f>
        <v>Not Applicable</v>
      </c>
    </row>
    <row r="579" spans="1:8">
      <c r="A579" s="62" t="s">
        <v>450</v>
      </c>
      <c r="B579" s="78">
        <v>-4213</v>
      </c>
      <c r="C579" s="78">
        <v>32202.799999999999</v>
      </c>
      <c r="D579" s="78">
        <v>27989.8</v>
      </c>
      <c r="E579" s="78"/>
      <c r="F579" s="42">
        <v>0</v>
      </c>
      <c r="G579" s="42">
        <f t="shared" si="8"/>
        <v>0</v>
      </c>
      <c r="H579" s="2" t="str">
        <f>VLOOKUP(A579,'TB JULY'!A:H,8,0)</f>
        <v>Not Applicable</v>
      </c>
    </row>
    <row r="580" spans="1:8">
      <c r="A580" s="62" t="s">
        <v>451</v>
      </c>
      <c r="B580" s="78">
        <v>-68735</v>
      </c>
      <c r="C580" s="78">
        <v>68735</v>
      </c>
      <c r="D580" s="78"/>
      <c r="E580" s="78"/>
      <c r="F580" s="42">
        <v>0</v>
      </c>
      <c r="G580" s="42">
        <f t="shared" si="8"/>
        <v>0</v>
      </c>
      <c r="H580" s="2" t="str">
        <f>VLOOKUP(A580,'TB JULY'!A:H,8,0)</f>
        <v>Not Applicable</v>
      </c>
    </row>
    <row r="581" spans="1:8">
      <c r="A581" s="62" t="s">
        <v>452</v>
      </c>
      <c r="B581" s="78"/>
      <c r="C581" s="78">
        <v>18103.05</v>
      </c>
      <c r="D581" s="78">
        <v>18103.05</v>
      </c>
      <c r="E581" s="78"/>
      <c r="F581" s="42">
        <v>0</v>
      </c>
      <c r="G581" s="42">
        <f t="shared" si="8"/>
        <v>0</v>
      </c>
      <c r="H581" s="2" t="str">
        <f>VLOOKUP(A581,'TB JULY'!A:H,8,0)</f>
        <v>Not Applicable</v>
      </c>
    </row>
    <row r="582" spans="1:8">
      <c r="A582" s="62" t="s">
        <v>435</v>
      </c>
      <c r="B582" s="78">
        <v>-2047</v>
      </c>
      <c r="C582" s="78"/>
      <c r="D582" s="78"/>
      <c r="E582" s="78">
        <v>-2047</v>
      </c>
      <c r="F582" s="42">
        <v>0</v>
      </c>
      <c r="G582" s="42">
        <f t="shared" si="8"/>
        <v>-2047</v>
      </c>
      <c r="H582" s="2" t="str">
        <f>VLOOKUP(A582,'TB JULY'!A:H,8,0)</f>
        <v>Not Applicable</v>
      </c>
    </row>
    <row r="583" spans="1:8">
      <c r="A583" s="62" t="s">
        <v>1568</v>
      </c>
      <c r="B583" s="78"/>
      <c r="C583" s="78">
        <v>29</v>
      </c>
      <c r="D583" s="78">
        <v>3044</v>
      </c>
      <c r="E583" s="78">
        <v>-3015</v>
      </c>
      <c r="F583" s="42">
        <v>0</v>
      </c>
      <c r="G583" s="42">
        <f t="shared" ref="G583:G646" si="9">E583+F583</f>
        <v>-3015</v>
      </c>
      <c r="H583" s="2" t="str">
        <f>VLOOKUP(A583,'TB JULY'!A:H,8,0)</f>
        <v>Not Applicable</v>
      </c>
    </row>
    <row r="584" spans="1:8">
      <c r="A584" s="62" t="s">
        <v>439</v>
      </c>
      <c r="B584" s="78">
        <v>-200412.23</v>
      </c>
      <c r="C584" s="78">
        <v>96907.5</v>
      </c>
      <c r="D584" s="78">
        <v>50032</v>
      </c>
      <c r="E584" s="78">
        <v>-153536.73000000001</v>
      </c>
      <c r="F584" s="42">
        <v>0</v>
      </c>
      <c r="G584" s="42">
        <f t="shared" si="9"/>
        <v>-153536.73000000001</v>
      </c>
      <c r="H584" s="2" t="str">
        <f>VLOOKUP(A584,'TB JULY'!A:H,8,0)</f>
        <v>Not Applicable</v>
      </c>
    </row>
    <row r="585" spans="1:8">
      <c r="A585" s="62" t="s">
        <v>440</v>
      </c>
      <c r="B585" s="78"/>
      <c r="C585" s="78"/>
      <c r="D585" s="78">
        <v>3910.4</v>
      </c>
      <c r="E585" s="78">
        <v>-3910.4</v>
      </c>
      <c r="F585" s="42">
        <v>0</v>
      </c>
      <c r="G585" s="42">
        <f t="shared" si="9"/>
        <v>-3910.4</v>
      </c>
      <c r="H585" s="2" t="str">
        <f>VLOOKUP(A585,'TB JULY'!A:H,8,0)</f>
        <v>Not Applicable</v>
      </c>
    </row>
    <row r="586" spans="1:8">
      <c r="A586" s="62" t="s">
        <v>1063</v>
      </c>
      <c r="B586" s="78">
        <v>0.14000000000000001</v>
      </c>
      <c r="C586" s="78"/>
      <c r="D586" s="78"/>
      <c r="E586" s="78">
        <v>0.14000000000000001</v>
      </c>
      <c r="F586" s="42">
        <v>0</v>
      </c>
      <c r="G586" s="42">
        <f t="shared" si="9"/>
        <v>0.14000000000000001</v>
      </c>
      <c r="H586" s="2" t="str">
        <f>VLOOKUP(A586,'TB JULY'!A:H,8,0)</f>
        <v>Not Applicable</v>
      </c>
    </row>
    <row r="587" spans="1:8">
      <c r="A587" s="62" t="s">
        <v>1339</v>
      </c>
      <c r="B587" s="78">
        <v>-43660</v>
      </c>
      <c r="C587" s="78">
        <v>73455</v>
      </c>
      <c r="D587" s="78">
        <v>29795</v>
      </c>
      <c r="E587" s="78"/>
      <c r="F587" s="42">
        <v>0</v>
      </c>
      <c r="G587" s="42">
        <f t="shared" si="9"/>
        <v>0</v>
      </c>
      <c r="H587" s="2" t="str">
        <f>VLOOKUP(A587,'TB JULY'!A:H,8,0)</f>
        <v>Not Applicable</v>
      </c>
    </row>
    <row r="588" spans="1:8">
      <c r="A588" s="62" t="s">
        <v>432</v>
      </c>
      <c r="B588" s="78"/>
      <c r="C588" s="78"/>
      <c r="D588" s="78"/>
      <c r="E588" s="78"/>
      <c r="F588" s="42">
        <v>0</v>
      </c>
      <c r="G588" s="42">
        <f t="shared" si="9"/>
        <v>0</v>
      </c>
      <c r="H588" s="2" t="str">
        <f>VLOOKUP(A588,'TB JULY'!A:H,8,0)</f>
        <v>Not Applicable</v>
      </c>
    </row>
    <row r="589" spans="1:8">
      <c r="A589" s="62" t="s">
        <v>427</v>
      </c>
      <c r="B589" s="78">
        <v>6938.4</v>
      </c>
      <c r="C589" s="78"/>
      <c r="D589" s="78">
        <v>6939</v>
      </c>
      <c r="E589" s="78">
        <v>-0.6</v>
      </c>
      <c r="F589" s="42">
        <v>0</v>
      </c>
      <c r="G589" s="42">
        <f t="shared" si="9"/>
        <v>-0.6</v>
      </c>
      <c r="H589" s="2" t="str">
        <f>VLOOKUP(A589,'TB JULY'!A:H,8,0)</f>
        <v>Not Applicable</v>
      </c>
    </row>
    <row r="590" spans="1:8">
      <c r="A590" s="62" t="s">
        <v>429</v>
      </c>
      <c r="B590" s="78">
        <v>-47161</v>
      </c>
      <c r="C590" s="78">
        <v>46844</v>
      </c>
      <c r="D590" s="78">
        <v>71095</v>
      </c>
      <c r="E590" s="78">
        <v>-71412</v>
      </c>
      <c r="F590" s="42">
        <v>0</v>
      </c>
      <c r="G590" s="42">
        <f t="shared" si="9"/>
        <v>-71412</v>
      </c>
      <c r="H590" s="2" t="str">
        <f>VLOOKUP(A590,'TB JULY'!A:H,8,0)</f>
        <v>Not Applicable</v>
      </c>
    </row>
    <row r="591" spans="1:8">
      <c r="A591" s="62" t="s">
        <v>1341</v>
      </c>
      <c r="B591" s="78">
        <v>-28261</v>
      </c>
      <c r="C591" s="78">
        <v>28261</v>
      </c>
      <c r="D591" s="78"/>
      <c r="E591" s="78"/>
      <c r="F591" s="42">
        <v>0</v>
      </c>
      <c r="G591" s="42">
        <f t="shared" si="9"/>
        <v>0</v>
      </c>
      <c r="H591" s="2" t="str">
        <f>VLOOKUP(A591,'TB JULY'!A:H,8,0)</f>
        <v>Not Applicable</v>
      </c>
    </row>
    <row r="592" spans="1:8">
      <c r="A592" s="62" t="s">
        <v>424</v>
      </c>
      <c r="B592" s="78">
        <v>-40521</v>
      </c>
      <c r="C592" s="78">
        <v>54799</v>
      </c>
      <c r="D592" s="78">
        <v>90482</v>
      </c>
      <c r="E592" s="78">
        <v>-76204</v>
      </c>
      <c r="F592" s="42">
        <v>0</v>
      </c>
      <c r="G592" s="42">
        <f t="shared" si="9"/>
        <v>-76204</v>
      </c>
      <c r="H592" s="2" t="str">
        <f>VLOOKUP(A592,'TB JULY'!A:H,8,0)</f>
        <v>Not Applicable</v>
      </c>
    </row>
    <row r="593" spans="1:8">
      <c r="A593" s="62" t="s">
        <v>1570</v>
      </c>
      <c r="B593" s="78"/>
      <c r="C593" s="78">
        <v>964</v>
      </c>
      <c r="D593" s="78">
        <v>964</v>
      </c>
      <c r="E593" s="78"/>
      <c r="F593" s="42">
        <v>0</v>
      </c>
      <c r="G593" s="42">
        <f t="shared" si="9"/>
        <v>0</v>
      </c>
      <c r="H593" s="2" t="str">
        <f>VLOOKUP(A593,'TB JULY'!A:H,8,0)</f>
        <v>Not Applicable</v>
      </c>
    </row>
    <row r="594" spans="1:8">
      <c r="A594" s="62" t="s">
        <v>1013</v>
      </c>
      <c r="B594" s="78">
        <v>-1661730</v>
      </c>
      <c r="C594" s="78">
        <v>2808341.05</v>
      </c>
      <c r="D594" s="78">
        <v>2930998.05</v>
      </c>
      <c r="E594" s="78">
        <v>-1784387</v>
      </c>
      <c r="F594" s="42">
        <v>0</v>
      </c>
      <c r="G594" s="42">
        <f t="shared" si="9"/>
        <v>-1784387</v>
      </c>
      <c r="H594" s="2" t="str">
        <f>VLOOKUP(A594,'TB JULY'!A:H,8,0)</f>
        <v>Not Applicable</v>
      </c>
    </row>
    <row r="595" spans="1:8">
      <c r="A595" s="62" t="s">
        <v>949</v>
      </c>
      <c r="B595" s="78"/>
      <c r="C595" s="78"/>
      <c r="D595" s="78">
        <v>12508</v>
      </c>
      <c r="E595" s="78">
        <v>-12508</v>
      </c>
      <c r="F595" s="42">
        <v>0</v>
      </c>
      <c r="G595" s="42">
        <f t="shared" si="9"/>
        <v>-12508</v>
      </c>
      <c r="H595" s="2" t="str">
        <f>VLOOKUP(A595,'TB JULY'!A:H,8,0)</f>
        <v>Not Applicable</v>
      </c>
    </row>
    <row r="596" spans="1:8">
      <c r="A596" s="62" t="s">
        <v>420</v>
      </c>
      <c r="B596" s="78"/>
      <c r="C596" s="78"/>
      <c r="D596" s="78">
        <v>5836</v>
      </c>
      <c r="E596" s="78">
        <v>-5836</v>
      </c>
      <c r="F596" s="42">
        <v>0</v>
      </c>
      <c r="G596" s="42">
        <f t="shared" si="9"/>
        <v>-5836</v>
      </c>
      <c r="H596" s="2" t="s">
        <v>84</v>
      </c>
    </row>
    <row r="597" spans="1:8">
      <c r="A597" s="62" t="s">
        <v>1456</v>
      </c>
      <c r="B597" s="78"/>
      <c r="C597" s="78">
        <v>13122</v>
      </c>
      <c r="D597" s="78">
        <v>13122</v>
      </c>
      <c r="E597" s="78"/>
      <c r="F597" s="42">
        <v>0</v>
      </c>
      <c r="G597" s="42">
        <f t="shared" si="9"/>
        <v>0</v>
      </c>
      <c r="H597" s="2" t="str">
        <f>VLOOKUP(A597,'TB JULY'!A:H,8,0)</f>
        <v>Not Applicable</v>
      </c>
    </row>
    <row r="598" spans="1:8">
      <c r="A598" s="62" t="s">
        <v>422</v>
      </c>
      <c r="B598" s="78"/>
      <c r="C598" s="78"/>
      <c r="D598" s="78"/>
      <c r="E598" s="78"/>
      <c r="F598" s="42">
        <v>0</v>
      </c>
      <c r="G598" s="42">
        <f t="shared" si="9"/>
        <v>0</v>
      </c>
      <c r="H598" s="2" t="str">
        <f>VLOOKUP(A598,'TB JULY'!A:H,8,0)</f>
        <v>Not Applicable</v>
      </c>
    </row>
    <row r="599" spans="1:8">
      <c r="A599" s="62" t="s">
        <v>1115</v>
      </c>
      <c r="B599" s="78">
        <v>-127436</v>
      </c>
      <c r="C599" s="78">
        <v>394766</v>
      </c>
      <c r="D599" s="78">
        <v>591108</v>
      </c>
      <c r="E599" s="78">
        <v>-323778</v>
      </c>
      <c r="F599" s="42">
        <v>0</v>
      </c>
      <c r="G599" s="42">
        <f t="shared" si="9"/>
        <v>-323778</v>
      </c>
      <c r="H599" s="2" t="str">
        <f>VLOOKUP(A599,'TB JULY'!A:H,8,0)</f>
        <v>Not Applicable</v>
      </c>
    </row>
    <row r="600" spans="1:8">
      <c r="A600" s="62" t="s">
        <v>1457</v>
      </c>
      <c r="B600" s="78">
        <v>-25648</v>
      </c>
      <c r="C600" s="78">
        <v>28598</v>
      </c>
      <c r="D600" s="78">
        <v>2950</v>
      </c>
      <c r="E600" s="78"/>
      <c r="F600" s="42">
        <v>0</v>
      </c>
      <c r="G600" s="42">
        <f t="shared" si="9"/>
        <v>0</v>
      </c>
      <c r="H600" s="2" t="str">
        <f>VLOOKUP(A600,'TB JULY'!A:H,8,0)</f>
        <v>Not Applicable</v>
      </c>
    </row>
    <row r="601" spans="1:8">
      <c r="A601" s="62" t="s">
        <v>415</v>
      </c>
      <c r="B601" s="78">
        <v>-35754</v>
      </c>
      <c r="C601" s="78">
        <v>40262</v>
      </c>
      <c r="D601" s="78">
        <v>4508</v>
      </c>
      <c r="E601" s="78"/>
      <c r="F601" s="42">
        <v>0</v>
      </c>
      <c r="G601" s="42">
        <f t="shared" si="9"/>
        <v>0</v>
      </c>
      <c r="H601" s="2" t="str">
        <f>VLOOKUP(A601,'TB JULY'!A:H,8,0)</f>
        <v>Not Applicable</v>
      </c>
    </row>
    <row r="602" spans="1:8">
      <c r="A602" s="62" t="s">
        <v>1516</v>
      </c>
      <c r="B602" s="78"/>
      <c r="C602" s="78">
        <v>6490</v>
      </c>
      <c r="D602" s="78">
        <v>6490</v>
      </c>
      <c r="E602" s="78"/>
      <c r="F602" s="42">
        <v>0</v>
      </c>
      <c r="G602" s="42">
        <f t="shared" si="9"/>
        <v>0</v>
      </c>
      <c r="H602" s="2" t="str">
        <f>VLOOKUP(A602,'TB JULY'!A:H,8,0)</f>
        <v>Not Applicable</v>
      </c>
    </row>
    <row r="603" spans="1:8">
      <c r="A603" s="62" t="s">
        <v>1643</v>
      </c>
      <c r="B603" s="78"/>
      <c r="C603" s="78"/>
      <c r="D603" s="78">
        <v>8638</v>
      </c>
      <c r="E603" s="78">
        <v>-8638</v>
      </c>
      <c r="F603" s="42">
        <v>0</v>
      </c>
      <c r="G603" s="42">
        <f t="shared" si="9"/>
        <v>-8638</v>
      </c>
      <c r="H603" s="2" t="s">
        <v>84</v>
      </c>
    </row>
    <row r="604" spans="1:8">
      <c r="A604" s="62" t="s">
        <v>1352</v>
      </c>
      <c r="B604" s="78">
        <v>-13405</v>
      </c>
      <c r="C604" s="78">
        <v>55185</v>
      </c>
      <c r="D604" s="78">
        <v>58960</v>
      </c>
      <c r="E604" s="78">
        <v>-17180</v>
      </c>
      <c r="F604" s="42">
        <v>0</v>
      </c>
      <c r="G604" s="42">
        <f t="shared" si="9"/>
        <v>-17180</v>
      </c>
      <c r="H604" s="2" t="str">
        <f>VLOOKUP(A604,'TB JULY'!A:H,8,0)</f>
        <v>Not Applicable</v>
      </c>
    </row>
    <row r="605" spans="1:8">
      <c r="A605" s="62" t="s">
        <v>1458</v>
      </c>
      <c r="B605" s="78"/>
      <c r="C605" s="78">
        <v>26550</v>
      </c>
      <c r="D605" s="78">
        <v>26550</v>
      </c>
      <c r="E605" s="78"/>
      <c r="F605" s="42">
        <v>0</v>
      </c>
      <c r="G605" s="42">
        <f t="shared" si="9"/>
        <v>0</v>
      </c>
      <c r="H605" s="2" t="str">
        <f>VLOOKUP(A605,'TB JULY'!A:H,8,0)</f>
        <v>Not Applicable</v>
      </c>
    </row>
    <row r="606" spans="1:8">
      <c r="A606" s="62" t="s">
        <v>412</v>
      </c>
      <c r="B606" s="78"/>
      <c r="C606" s="78"/>
      <c r="D606" s="78">
        <v>7839</v>
      </c>
      <c r="E606" s="78">
        <v>-7839</v>
      </c>
      <c r="F606" s="42">
        <v>0</v>
      </c>
      <c r="G606" s="42">
        <f t="shared" si="9"/>
        <v>-7839</v>
      </c>
      <c r="H606" s="2" t="s">
        <v>84</v>
      </c>
    </row>
    <row r="607" spans="1:8">
      <c r="A607" s="62" t="s">
        <v>408</v>
      </c>
      <c r="B607" s="78">
        <v>-5334</v>
      </c>
      <c r="C607" s="78">
        <v>174961</v>
      </c>
      <c r="D607" s="78">
        <v>169627</v>
      </c>
      <c r="E607" s="78"/>
      <c r="F607" s="42">
        <v>0</v>
      </c>
      <c r="G607" s="42">
        <f t="shared" si="9"/>
        <v>0</v>
      </c>
      <c r="H607" s="2" t="str">
        <f>VLOOKUP(A607,'TB JULY'!A:H,8,0)</f>
        <v>Not Applicable</v>
      </c>
    </row>
    <row r="608" spans="1:8">
      <c r="A608" s="62" t="s">
        <v>407</v>
      </c>
      <c r="B608" s="78">
        <v>-61931.199999999997</v>
      </c>
      <c r="C608" s="78">
        <v>61931</v>
      </c>
      <c r="D608" s="78">
        <v>65608</v>
      </c>
      <c r="E608" s="78">
        <v>-65608.2</v>
      </c>
      <c r="F608" s="42">
        <v>0</v>
      </c>
      <c r="G608" s="42">
        <f t="shared" si="9"/>
        <v>-65608.2</v>
      </c>
      <c r="H608" s="2" t="str">
        <f>VLOOKUP(A608,'TB JULY'!A:H,8,0)</f>
        <v>Not Applicable</v>
      </c>
    </row>
    <row r="609" spans="1:8">
      <c r="A609" s="62" t="s">
        <v>1459</v>
      </c>
      <c r="B609" s="78">
        <v>3009</v>
      </c>
      <c r="C609" s="78"/>
      <c r="D609" s="78"/>
      <c r="E609" s="78">
        <v>3009</v>
      </c>
      <c r="F609" s="42">
        <v>0</v>
      </c>
      <c r="G609" s="42">
        <f t="shared" si="9"/>
        <v>3009</v>
      </c>
      <c r="H609" s="2" t="str">
        <f>VLOOKUP(A609,'TB JULY'!A:H,8,0)</f>
        <v>Not Applicable</v>
      </c>
    </row>
    <row r="610" spans="1:8">
      <c r="A610" s="62" t="s">
        <v>367</v>
      </c>
      <c r="B610" s="78">
        <v>-1204</v>
      </c>
      <c r="C610" s="78"/>
      <c r="D610" s="78"/>
      <c r="E610" s="78">
        <v>-1204</v>
      </c>
      <c r="F610" s="42">
        <v>0</v>
      </c>
      <c r="G610" s="42">
        <f t="shared" si="9"/>
        <v>-1204</v>
      </c>
      <c r="H610" s="2" t="str">
        <f>VLOOKUP(A610,'TB JULY'!A:H,8,0)</f>
        <v>Not Applicable</v>
      </c>
    </row>
    <row r="611" spans="1:8">
      <c r="A611" s="62" t="s">
        <v>877</v>
      </c>
      <c r="B611" s="78"/>
      <c r="C611" s="78">
        <v>40425</v>
      </c>
      <c r="D611" s="78">
        <v>40425</v>
      </c>
      <c r="E611" s="78"/>
      <c r="F611" s="42">
        <v>0</v>
      </c>
      <c r="G611" s="42">
        <f t="shared" si="9"/>
        <v>0</v>
      </c>
      <c r="H611" s="2" t="str">
        <f>VLOOKUP(A611,'TB JULY'!A:H,8,0)</f>
        <v>Not Applicable</v>
      </c>
    </row>
    <row r="612" spans="1:8">
      <c r="A612" s="62" t="s">
        <v>1460</v>
      </c>
      <c r="B612" s="78"/>
      <c r="C612" s="78"/>
      <c r="D612" s="78"/>
      <c r="E612" s="78"/>
      <c r="F612" s="42">
        <v>0</v>
      </c>
      <c r="G612" s="42">
        <f t="shared" si="9"/>
        <v>0</v>
      </c>
      <c r="H612" s="2" t="str">
        <f>VLOOKUP(A612,'TB JULY'!A:H,8,0)</f>
        <v>Not Applicable</v>
      </c>
    </row>
    <row r="613" spans="1:8">
      <c r="A613" s="62" t="s">
        <v>1605</v>
      </c>
      <c r="B613" s="78"/>
      <c r="C613" s="78">
        <v>715667</v>
      </c>
      <c r="D613" s="78">
        <v>715667</v>
      </c>
      <c r="E613" s="78"/>
      <c r="F613" s="42">
        <v>0</v>
      </c>
      <c r="G613" s="42">
        <f t="shared" si="9"/>
        <v>0</v>
      </c>
      <c r="H613" s="2" t="str">
        <f>VLOOKUP(A613,'TB JULY'!A:H,8,0)</f>
        <v>Not Applicable</v>
      </c>
    </row>
    <row r="614" spans="1:8">
      <c r="A614" s="62" t="s">
        <v>1001</v>
      </c>
      <c r="B614" s="78"/>
      <c r="C614" s="78">
        <v>42834</v>
      </c>
      <c r="D614" s="78">
        <v>49560</v>
      </c>
      <c r="E614" s="78">
        <v>-6726</v>
      </c>
      <c r="F614" s="42">
        <v>0</v>
      </c>
      <c r="G614" s="42">
        <f t="shared" si="9"/>
        <v>-6726</v>
      </c>
      <c r="H614" s="2" t="str">
        <f>VLOOKUP(A614,'TB JULY'!A:H,8,0)</f>
        <v>Not Applicable</v>
      </c>
    </row>
    <row r="615" spans="1:8">
      <c r="A615" s="62" t="s">
        <v>405</v>
      </c>
      <c r="B615" s="78">
        <v>-25491</v>
      </c>
      <c r="C615" s="78">
        <v>150311</v>
      </c>
      <c r="D615" s="78">
        <v>159109</v>
      </c>
      <c r="E615" s="78">
        <v>-34289</v>
      </c>
      <c r="F615" s="42">
        <v>0</v>
      </c>
      <c r="G615" s="42">
        <f t="shared" si="9"/>
        <v>-34289</v>
      </c>
      <c r="H615" s="2" t="str">
        <f>VLOOKUP(A615,'TB JULY'!A:H,8,0)</f>
        <v>Not Applicable</v>
      </c>
    </row>
    <row r="616" spans="1:8">
      <c r="A616" s="62" t="s">
        <v>406</v>
      </c>
      <c r="B616" s="78"/>
      <c r="C616" s="78"/>
      <c r="D616" s="78">
        <v>1752</v>
      </c>
      <c r="E616" s="78">
        <v>-1752</v>
      </c>
      <c r="F616" s="42">
        <v>0</v>
      </c>
      <c r="G616" s="42">
        <f t="shared" si="9"/>
        <v>-1752</v>
      </c>
      <c r="H616" s="2" t="str">
        <f>VLOOKUP(A616,'TB JULY'!A:H,8,0)</f>
        <v>Not Applicable</v>
      </c>
    </row>
    <row r="617" spans="1:8">
      <c r="A617" s="62" t="s">
        <v>1606</v>
      </c>
      <c r="B617" s="78"/>
      <c r="C617" s="78">
        <v>12100</v>
      </c>
      <c r="D617" s="78">
        <v>12100</v>
      </c>
      <c r="E617" s="78"/>
      <c r="F617" s="42">
        <v>0</v>
      </c>
      <c r="G617" s="42">
        <f t="shared" si="9"/>
        <v>0</v>
      </c>
      <c r="H617" s="2" t="str">
        <f>VLOOKUP(A617,'TB JULY'!A:H,8,0)</f>
        <v>Not Applicable</v>
      </c>
    </row>
    <row r="618" spans="1:8">
      <c r="A618" s="62" t="s">
        <v>896</v>
      </c>
      <c r="B618" s="78"/>
      <c r="C618" s="78"/>
      <c r="D618" s="78"/>
      <c r="E618" s="78"/>
      <c r="F618" s="42">
        <v>0</v>
      </c>
      <c r="G618" s="42">
        <f t="shared" si="9"/>
        <v>0</v>
      </c>
      <c r="H618" s="2" t="s">
        <v>84</v>
      </c>
    </row>
    <row r="619" spans="1:8">
      <c r="A619" s="62" t="s">
        <v>1571</v>
      </c>
      <c r="B619" s="78"/>
      <c r="C619" s="78">
        <v>5515</v>
      </c>
      <c r="D619" s="78">
        <v>27499</v>
      </c>
      <c r="E619" s="78">
        <v>-21984</v>
      </c>
      <c r="F619" s="42">
        <v>0</v>
      </c>
      <c r="G619" s="42">
        <f t="shared" si="9"/>
        <v>-21984</v>
      </c>
      <c r="H619" s="2" t="str">
        <f>VLOOKUP(A619,'TB JULY'!A:H,8,0)</f>
        <v>Not Applicable</v>
      </c>
    </row>
    <row r="620" spans="1:8">
      <c r="A620" s="62" t="s">
        <v>404</v>
      </c>
      <c r="B620" s="78">
        <v>-491128</v>
      </c>
      <c r="C620" s="78">
        <v>1731457</v>
      </c>
      <c r="D620" s="78">
        <v>1050920</v>
      </c>
      <c r="E620" s="78">
        <v>189409</v>
      </c>
      <c r="F620" s="42">
        <v>0</v>
      </c>
      <c r="G620" s="42">
        <f t="shared" si="9"/>
        <v>189409</v>
      </c>
      <c r="H620" s="2" t="str">
        <f>VLOOKUP(A620,'TB JULY'!A:H,8,0)</f>
        <v>Not Applicable</v>
      </c>
    </row>
    <row r="621" spans="1:8">
      <c r="A621" s="62" t="s">
        <v>1165</v>
      </c>
      <c r="B621" s="78"/>
      <c r="C621" s="78">
        <v>17110</v>
      </c>
      <c r="D621" s="78">
        <v>17110</v>
      </c>
      <c r="E621" s="78"/>
      <c r="F621" s="42">
        <v>0</v>
      </c>
      <c r="G621" s="42">
        <f t="shared" si="9"/>
        <v>0</v>
      </c>
      <c r="H621" s="2" t="str">
        <f>VLOOKUP(A621,'TB JULY'!A:H,8,0)</f>
        <v>Not Applicable</v>
      </c>
    </row>
    <row r="622" spans="1:8">
      <c r="A622" s="62" t="s">
        <v>389</v>
      </c>
      <c r="B622" s="78">
        <v>-10631</v>
      </c>
      <c r="C622" s="78"/>
      <c r="D622" s="78">
        <v>7836</v>
      </c>
      <c r="E622" s="78">
        <v>-18467</v>
      </c>
      <c r="F622" s="42">
        <v>0</v>
      </c>
      <c r="G622" s="42">
        <f t="shared" si="9"/>
        <v>-18467</v>
      </c>
      <c r="H622" s="2" t="str">
        <f>VLOOKUP(A622,'TB JULY'!A:H,8,0)</f>
        <v>Not Applicable</v>
      </c>
    </row>
    <row r="623" spans="1:8">
      <c r="A623" s="62" t="s">
        <v>384</v>
      </c>
      <c r="B623" s="78"/>
      <c r="C623" s="78"/>
      <c r="D623" s="78"/>
      <c r="E623" s="78"/>
      <c r="F623" s="42">
        <v>0</v>
      </c>
      <c r="G623" s="42">
        <f t="shared" si="9"/>
        <v>0</v>
      </c>
      <c r="H623" s="2" t="str">
        <f>VLOOKUP(A623,'TB JULY'!A:H,8,0)</f>
        <v>Not Applicable</v>
      </c>
    </row>
    <row r="624" spans="1:8">
      <c r="A624" s="62" t="s">
        <v>386</v>
      </c>
      <c r="B624" s="78">
        <v>-2491.02</v>
      </c>
      <c r="C624" s="78">
        <v>37317</v>
      </c>
      <c r="D624" s="78">
        <v>62862</v>
      </c>
      <c r="E624" s="78">
        <v>-28036.02</v>
      </c>
      <c r="F624" s="42">
        <v>0</v>
      </c>
      <c r="G624" s="42">
        <f t="shared" si="9"/>
        <v>-28036.02</v>
      </c>
      <c r="H624" s="2" t="str">
        <f>VLOOKUP(A624,'TB JULY'!A:H,8,0)</f>
        <v>Not Applicable</v>
      </c>
    </row>
    <row r="625" spans="1:8">
      <c r="A625" s="62" t="s">
        <v>387</v>
      </c>
      <c r="B625" s="78">
        <v>-33672</v>
      </c>
      <c r="C625" s="78">
        <v>37910</v>
      </c>
      <c r="D625" s="78">
        <v>14454</v>
      </c>
      <c r="E625" s="78">
        <v>-10216</v>
      </c>
      <c r="F625" s="42">
        <v>0</v>
      </c>
      <c r="G625" s="42">
        <f t="shared" si="9"/>
        <v>-10216</v>
      </c>
      <c r="H625" s="2" t="str">
        <f>VLOOKUP(A625,'TB JULY'!A:H,8,0)</f>
        <v>Not Applicable</v>
      </c>
    </row>
    <row r="626" spans="1:8">
      <c r="A626" s="62" t="s">
        <v>1572</v>
      </c>
      <c r="B626" s="78"/>
      <c r="C626" s="78"/>
      <c r="D626" s="78">
        <v>63014</v>
      </c>
      <c r="E626" s="78">
        <v>-63014</v>
      </c>
      <c r="F626" s="42">
        <v>0</v>
      </c>
      <c r="G626" s="42">
        <f t="shared" si="9"/>
        <v>-63014</v>
      </c>
      <c r="H626" s="2" t="str">
        <f>VLOOKUP(A626,'TB JULY'!A:H,8,0)</f>
        <v>Not Applicable</v>
      </c>
    </row>
    <row r="627" spans="1:8">
      <c r="A627" s="62" t="s">
        <v>1131</v>
      </c>
      <c r="B627" s="78">
        <v>-1829</v>
      </c>
      <c r="C627" s="78">
        <v>1829</v>
      </c>
      <c r="D627" s="78"/>
      <c r="E627" s="78"/>
      <c r="F627" s="42">
        <v>0</v>
      </c>
      <c r="G627" s="42">
        <f t="shared" si="9"/>
        <v>0</v>
      </c>
      <c r="H627" s="2" t="str">
        <f>VLOOKUP(A627,'TB JULY'!A:H,8,0)</f>
        <v>Not Applicable</v>
      </c>
    </row>
    <row r="628" spans="1:8">
      <c r="A628" s="62" t="s">
        <v>378</v>
      </c>
      <c r="B628" s="78">
        <v>-708</v>
      </c>
      <c r="C628" s="78"/>
      <c r="D628" s="78"/>
      <c r="E628" s="78">
        <v>-708</v>
      </c>
      <c r="F628" s="42">
        <v>0</v>
      </c>
      <c r="G628" s="42">
        <f t="shared" si="9"/>
        <v>-708</v>
      </c>
      <c r="H628" s="2" t="str">
        <f>VLOOKUP(A628,'TB JULY'!A:H,8,0)</f>
        <v>Not Applicable</v>
      </c>
    </row>
    <row r="629" spans="1:8">
      <c r="A629" s="62" t="s">
        <v>1463</v>
      </c>
      <c r="B629" s="78"/>
      <c r="C629" s="78">
        <v>137529</v>
      </c>
      <c r="D629" s="78">
        <v>323379</v>
      </c>
      <c r="E629" s="78">
        <v>-185850</v>
      </c>
      <c r="F629" s="42">
        <v>0</v>
      </c>
      <c r="G629" s="42">
        <f t="shared" si="9"/>
        <v>-185850</v>
      </c>
      <c r="H629" s="2" t="str">
        <f>VLOOKUP(A629,'TB JULY'!A:H,8,0)</f>
        <v>Not Applicable</v>
      </c>
    </row>
    <row r="630" spans="1:8">
      <c r="A630" s="62" t="s">
        <v>1644</v>
      </c>
      <c r="B630" s="78"/>
      <c r="C630" s="78">
        <v>37760</v>
      </c>
      <c r="D630" s="78">
        <v>37760</v>
      </c>
      <c r="E630" s="78"/>
      <c r="F630" s="42">
        <v>0</v>
      </c>
      <c r="G630" s="42">
        <f t="shared" si="9"/>
        <v>0</v>
      </c>
      <c r="H630" s="2" t="s">
        <v>84</v>
      </c>
    </row>
    <row r="631" spans="1:8">
      <c r="A631" s="62" t="s">
        <v>1031</v>
      </c>
      <c r="B631" s="78"/>
      <c r="C631" s="78">
        <v>15493</v>
      </c>
      <c r="D631" s="78">
        <v>15493</v>
      </c>
      <c r="E631" s="78"/>
      <c r="F631" s="42">
        <v>0</v>
      </c>
      <c r="G631" s="42">
        <f t="shared" si="9"/>
        <v>0</v>
      </c>
      <c r="H631" s="2" t="str">
        <f>VLOOKUP(A631,'TB JULY'!A:H,8,0)</f>
        <v>Not Applicable</v>
      </c>
    </row>
    <row r="632" spans="1:8">
      <c r="A632" s="62" t="s">
        <v>1464</v>
      </c>
      <c r="B632" s="78">
        <v>-1605</v>
      </c>
      <c r="C632" s="78"/>
      <c r="D632" s="78">
        <v>2983</v>
      </c>
      <c r="E632" s="78">
        <v>-4588</v>
      </c>
      <c r="F632" s="42">
        <v>0</v>
      </c>
      <c r="G632" s="42">
        <f t="shared" si="9"/>
        <v>-4588</v>
      </c>
      <c r="H632" s="2" t="str">
        <f>VLOOKUP(A632,'TB JULY'!A:H,8,0)</f>
        <v>Not Applicable</v>
      </c>
    </row>
    <row r="633" spans="1:8">
      <c r="A633" s="62" t="s">
        <v>1220</v>
      </c>
      <c r="B633" s="78">
        <v>-284</v>
      </c>
      <c r="C633" s="78">
        <v>50382</v>
      </c>
      <c r="D633" s="78">
        <v>54101</v>
      </c>
      <c r="E633" s="78">
        <v>-4003</v>
      </c>
      <c r="F633" s="42">
        <v>0</v>
      </c>
      <c r="G633" s="42">
        <f t="shared" si="9"/>
        <v>-4003</v>
      </c>
      <c r="H633" s="2" t="str">
        <f>VLOOKUP(A633,'TB JULY'!A:H,8,0)</f>
        <v>Not Applicable</v>
      </c>
    </row>
    <row r="634" spans="1:8">
      <c r="A634" s="62" t="s">
        <v>1114</v>
      </c>
      <c r="B634" s="78">
        <v>-424.8</v>
      </c>
      <c r="C634" s="78"/>
      <c r="D634" s="78"/>
      <c r="E634" s="78">
        <v>-424.8</v>
      </c>
      <c r="F634" s="42">
        <v>0</v>
      </c>
      <c r="G634" s="42">
        <f t="shared" si="9"/>
        <v>-424.8</v>
      </c>
      <c r="H634" s="2" t="str">
        <f>VLOOKUP(A634,'TB JULY'!A:H,8,0)</f>
        <v>Not Applicable</v>
      </c>
    </row>
    <row r="635" spans="1:8">
      <c r="A635" s="62" t="s">
        <v>959</v>
      </c>
      <c r="B635" s="78">
        <v>-6195</v>
      </c>
      <c r="C635" s="78">
        <v>20060</v>
      </c>
      <c r="D635" s="78">
        <v>20060</v>
      </c>
      <c r="E635" s="78">
        <v>-6195</v>
      </c>
      <c r="F635" s="42">
        <v>0</v>
      </c>
      <c r="G635" s="42">
        <f t="shared" si="9"/>
        <v>-6195</v>
      </c>
      <c r="H635" s="2" t="str">
        <f>VLOOKUP(A635,'TB JULY'!A:H,8,0)</f>
        <v>Not Applicable</v>
      </c>
    </row>
    <row r="636" spans="1:8">
      <c r="A636" s="62" t="s">
        <v>370</v>
      </c>
      <c r="B636" s="78"/>
      <c r="C636" s="78">
        <v>47833</v>
      </c>
      <c r="D636" s="78">
        <v>47833</v>
      </c>
      <c r="E636" s="78"/>
      <c r="F636" s="42">
        <v>0</v>
      </c>
      <c r="G636" s="42">
        <f t="shared" si="9"/>
        <v>0</v>
      </c>
      <c r="H636" s="2" t="str">
        <f>VLOOKUP(A636,'TB JULY'!A:H,8,0)</f>
        <v>Not Applicable</v>
      </c>
    </row>
    <row r="637" spans="1:8">
      <c r="A637" s="62" t="s">
        <v>366</v>
      </c>
      <c r="B637" s="78"/>
      <c r="C637" s="78">
        <v>30942</v>
      </c>
      <c r="D637" s="78">
        <v>30942</v>
      </c>
      <c r="E637" s="78"/>
      <c r="F637" s="42">
        <v>0</v>
      </c>
      <c r="G637" s="42">
        <f t="shared" si="9"/>
        <v>0</v>
      </c>
      <c r="H637" s="2" t="str">
        <f>VLOOKUP(A637,'TB JULY'!A:H,8,0)</f>
        <v>Not Applicable</v>
      </c>
    </row>
    <row r="638" spans="1:8">
      <c r="A638" s="62" t="s">
        <v>1295</v>
      </c>
      <c r="B638" s="78">
        <v>-1123</v>
      </c>
      <c r="C638" s="78">
        <v>1123</v>
      </c>
      <c r="D638" s="78">
        <v>6498</v>
      </c>
      <c r="E638" s="78">
        <v>-6498</v>
      </c>
      <c r="F638" s="42">
        <v>0</v>
      </c>
      <c r="G638" s="42">
        <f t="shared" si="9"/>
        <v>-6498</v>
      </c>
      <c r="H638" s="2" t="str">
        <f>VLOOKUP(A638,'TB JULY'!A:H,8,0)</f>
        <v>Not Applicable</v>
      </c>
    </row>
    <row r="639" spans="1:8">
      <c r="A639" s="62" t="s">
        <v>1645</v>
      </c>
      <c r="B639" s="78"/>
      <c r="C639" s="78"/>
      <c r="D639" s="78">
        <v>391833</v>
      </c>
      <c r="E639" s="78">
        <v>-391833</v>
      </c>
      <c r="F639" s="42">
        <v>0</v>
      </c>
      <c r="G639" s="42">
        <f t="shared" si="9"/>
        <v>-391833</v>
      </c>
      <c r="H639" s="2" t="s">
        <v>84</v>
      </c>
    </row>
    <row r="640" spans="1:8">
      <c r="A640" s="62" t="s">
        <v>738</v>
      </c>
      <c r="B640" s="78">
        <v>-293007</v>
      </c>
      <c r="C640" s="78">
        <v>1981124</v>
      </c>
      <c r="D640" s="78">
        <v>1628489</v>
      </c>
      <c r="E640" s="78">
        <v>59628</v>
      </c>
      <c r="F640" s="42">
        <v>0</v>
      </c>
      <c r="G640" s="42">
        <f t="shared" si="9"/>
        <v>59628</v>
      </c>
      <c r="H640" s="2" t="str">
        <f>VLOOKUP(A640,'TB JULY'!A:H,8,0)</f>
        <v>Not Applicable</v>
      </c>
    </row>
    <row r="641" spans="1:8">
      <c r="A641" s="62" t="s">
        <v>1465</v>
      </c>
      <c r="B641" s="78"/>
      <c r="C641" s="78">
        <v>51400</v>
      </c>
      <c r="D641" s="78">
        <v>51400</v>
      </c>
      <c r="E641" s="78"/>
      <c r="F641" s="42">
        <v>0</v>
      </c>
      <c r="G641" s="42">
        <f t="shared" si="9"/>
        <v>0</v>
      </c>
      <c r="H641" s="2" t="str">
        <f>VLOOKUP(A641,'TB JULY'!A:H,8,0)</f>
        <v>Not Applicable</v>
      </c>
    </row>
    <row r="642" spans="1:8">
      <c r="A642" s="62" t="s">
        <v>1256</v>
      </c>
      <c r="B642" s="78"/>
      <c r="C642" s="78"/>
      <c r="D642" s="78"/>
      <c r="E642" s="78"/>
      <c r="F642" s="42">
        <v>0</v>
      </c>
      <c r="G642" s="42">
        <f t="shared" si="9"/>
        <v>0</v>
      </c>
      <c r="H642" s="2" t="str">
        <f>VLOOKUP(A642,'TB JULY'!A:H,8,0)</f>
        <v>Not Applicable</v>
      </c>
    </row>
    <row r="643" spans="1:8">
      <c r="A643" s="62" t="s">
        <v>1158</v>
      </c>
      <c r="B643" s="78"/>
      <c r="C643" s="78">
        <v>3675765</v>
      </c>
      <c r="D643" s="78">
        <v>3675765</v>
      </c>
      <c r="E643" s="78"/>
      <c r="F643" s="42">
        <v>0</v>
      </c>
      <c r="G643" s="42">
        <f t="shared" si="9"/>
        <v>0</v>
      </c>
      <c r="H643" s="2" t="str">
        <f>VLOOKUP(A643,'TB JULY'!A:H,8,0)</f>
        <v>Not Applicable</v>
      </c>
    </row>
    <row r="644" spans="1:8">
      <c r="A644" s="62" t="s">
        <v>1076</v>
      </c>
      <c r="B644" s="78">
        <v>-0.24</v>
      </c>
      <c r="C644" s="78"/>
      <c r="D644" s="78"/>
      <c r="E644" s="78">
        <v>-0.24</v>
      </c>
      <c r="F644" s="42">
        <v>0</v>
      </c>
      <c r="G644" s="42">
        <f t="shared" si="9"/>
        <v>-0.24</v>
      </c>
      <c r="H644" s="2" t="str">
        <f>VLOOKUP(A644,'TB JULY'!A:H,8,0)</f>
        <v>Not Applicable</v>
      </c>
    </row>
    <row r="645" spans="1:8">
      <c r="A645" s="62" t="s">
        <v>1573</v>
      </c>
      <c r="B645" s="78"/>
      <c r="C645" s="78">
        <v>29925</v>
      </c>
      <c r="D645" s="78">
        <v>29925</v>
      </c>
      <c r="E645" s="78"/>
      <c r="F645" s="42">
        <v>0</v>
      </c>
      <c r="G645" s="42">
        <f t="shared" si="9"/>
        <v>0</v>
      </c>
      <c r="H645" s="2" t="str">
        <f>VLOOKUP(A645,'TB JULY'!A:H,8,0)</f>
        <v>Not Applicable</v>
      </c>
    </row>
    <row r="646" spans="1:8">
      <c r="A646" s="62" t="s">
        <v>1354</v>
      </c>
      <c r="B646" s="78">
        <v>-9204</v>
      </c>
      <c r="C646" s="78">
        <v>9204</v>
      </c>
      <c r="D646" s="78"/>
      <c r="E646" s="78"/>
      <c r="F646" s="42">
        <v>0</v>
      </c>
      <c r="G646" s="42">
        <f t="shared" si="9"/>
        <v>0</v>
      </c>
      <c r="H646" s="2" t="str">
        <f>VLOOKUP(A646,'TB JULY'!A:H,8,0)</f>
        <v>Not Applicable</v>
      </c>
    </row>
    <row r="647" spans="1:8">
      <c r="A647" s="62" t="s">
        <v>1309</v>
      </c>
      <c r="B647" s="78"/>
      <c r="C647" s="78"/>
      <c r="D647" s="78"/>
      <c r="E647" s="78"/>
      <c r="F647" s="42">
        <v>0</v>
      </c>
      <c r="G647" s="42">
        <f t="shared" ref="G647:G710" si="10">E647+F647</f>
        <v>0</v>
      </c>
      <c r="H647" s="2" t="str">
        <f>VLOOKUP(A647,'TB JULY'!A:H,8,0)</f>
        <v>Not Applicable</v>
      </c>
    </row>
    <row r="648" spans="1:8">
      <c r="A648" s="62" t="s">
        <v>728</v>
      </c>
      <c r="B648" s="78">
        <v>-73418.11</v>
      </c>
      <c r="C648" s="78"/>
      <c r="D648" s="78"/>
      <c r="E648" s="78">
        <v>-73418.11</v>
      </c>
      <c r="F648" s="42">
        <v>0</v>
      </c>
      <c r="G648" s="42">
        <f t="shared" si="10"/>
        <v>-73418.11</v>
      </c>
      <c r="H648" s="2" t="str">
        <f>VLOOKUP(A648,'TB JULY'!A:H,8,0)</f>
        <v>Not Applicable</v>
      </c>
    </row>
    <row r="649" spans="1:8">
      <c r="A649" s="62" t="s">
        <v>1355</v>
      </c>
      <c r="B649" s="78">
        <v>7059.94</v>
      </c>
      <c r="C649" s="78"/>
      <c r="D649" s="78">
        <v>7060</v>
      </c>
      <c r="E649" s="78">
        <v>-0.06</v>
      </c>
      <c r="F649" s="42">
        <v>0</v>
      </c>
      <c r="G649" s="42">
        <f t="shared" si="10"/>
        <v>-0.06</v>
      </c>
      <c r="H649" s="2" t="str">
        <f>VLOOKUP(A649,'TB JULY'!A:H,8,0)</f>
        <v>Not Applicable</v>
      </c>
    </row>
    <row r="650" spans="1:8">
      <c r="A650" s="62" t="s">
        <v>1006</v>
      </c>
      <c r="B650" s="78">
        <v>-751.7</v>
      </c>
      <c r="C650" s="78">
        <v>12107</v>
      </c>
      <c r="D650" s="78">
        <v>12107</v>
      </c>
      <c r="E650" s="78">
        <v>-751.7</v>
      </c>
      <c r="F650" s="42">
        <v>0</v>
      </c>
      <c r="G650" s="42">
        <f t="shared" si="10"/>
        <v>-751.7</v>
      </c>
      <c r="H650" s="2" t="str">
        <f>VLOOKUP(A650,'TB JULY'!A:H,8,0)</f>
        <v>Not Applicable</v>
      </c>
    </row>
    <row r="651" spans="1:8">
      <c r="A651" s="62" t="s">
        <v>930</v>
      </c>
      <c r="B651" s="78"/>
      <c r="C651" s="78"/>
      <c r="D651" s="78"/>
      <c r="E651" s="78"/>
      <c r="F651" s="42">
        <v>0</v>
      </c>
      <c r="G651" s="42">
        <f t="shared" si="10"/>
        <v>0</v>
      </c>
      <c r="H651" s="2" t="str">
        <f>VLOOKUP(A651,'TB JULY'!A:H,8,0)</f>
        <v>Not Applicable</v>
      </c>
    </row>
    <row r="652" spans="1:8">
      <c r="A652" s="62" t="s">
        <v>1235</v>
      </c>
      <c r="B652" s="78">
        <v>-21750</v>
      </c>
      <c r="C652" s="78"/>
      <c r="D652" s="78"/>
      <c r="E652" s="78">
        <v>-21750</v>
      </c>
      <c r="F652" s="42">
        <v>0</v>
      </c>
      <c r="G652" s="42">
        <f t="shared" si="10"/>
        <v>-21750</v>
      </c>
      <c r="H652" s="2" t="str">
        <f>VLOOKUP(A652,'TB JULY'!A:H,8,0)</f>
        <v>Not Applicable</v>
      </c>
    </row>
    <row r="653" spans="1:8">
      <c r="A653" s="62" t="s">
        <v>716</v>
      </c>
      <c r="B653" s="78">
        <v>-23052.5</v>
      </c>
      <c r="C653" s="78">
        <v>46281</v>
      </c>
      <c r="D653" s="78">
        <v>41890</v>
      </c>
      <c r="E653" s="78">
        <v>-18661.5</v>
      </c>
      <c r="F653" s="42">
        <v>0</v>
      </c>
      <c r="G653" s="42">
        <f t="shared" si="10"/>
        <v>-18661.5</v>
      </c>
      <c r="H653" s="2" t="str">
        <f>VLOOKUP(A653,'TB JULY'!A:H,8,0)</f>
        <v>Not Applicable</v>
      </c>
    </row>
    <row r="654" spans="1:8">
      <c r="A654" s="62" t="s">
        <v>1104</v>
      </c>
      <c r="B654" s="78">
        <v>-1240561</v>
      </c>
      <c r="C654" s="78">
        <v>164283</v>
      </c>
      <c r="D654" s="78">
        <v>1231951</v>
      </c>
      <c r="E654" s="78">
        <v>-2308229</v>
      </c>
      <c r="F654" s="42">
        <v>0</v>
      </c>
      <c r="G654" s="42">
        <f t="shared" si="10"/>
        <v>-2308229</v>
      </c>
      <c r="H654" s="2" t="str">
        <f>VLOOKUP(A654,'TB JULY'!A:H,8,0)</f>
        <v>Not Applicable</v>
      </c>
    </row>
    <row r="655" spans="1:8">
      <c r="A655" s="62" t="s">
        <v>1356</v>
      </c>
      <c r="B655" s="78"/>
      <c r="C655" s="78"/>
      <c r="D655" s="78"/>
      <c r="E655" s="78"/>
      <c r="F655" s="42">
        <v>0</v>
      </c>
      <c r="G655" s="42">
        <f t="shared" si="10"/>
        <v>0</v>
      </c>
      <c r="H655" s="2" t="str">
        <f>VLOOKUP(A655,'TB JULY'!A:H,8,0)</f>
        <v>Not Applicable</v>
      </c>
    </row>
    <row r="656" spans="1:8">
      <c r="A656" s="62" t="s">
        <v>1646</v>
      </c>
      <c r="B656" s="78"/>
      <c r="C656" s="78"/>
      <c r="D656" s="78">
        <v>1557600</v>
      </c>
      <c r="E656" s="78">
        <v>-1557600</v>
      </c>
      <c r="F656" s="42">
        <v>0</v>
      </c>
      <c r="G656" s="42">
        <f t="shared" si="10"/>
        <v>-1557600</v>
      </c>
      <c r="H656" s="2" t="s">
        <v>84</v>
      </c>
    </row>
    <row r="657" spans="1:8">
      <c r="A657" s="62" t="s">
        <v>986</v>
      </c>
      <c r="B657" s="78">
        <v>-363904.66</v>
      </c>
      <c r="C657" s="78">
        <v>1769512</v>
      </c>
      <c r="D657" s="78">
        <v>2079930</v>
      </c>
      <c r="E657" s="78">
        <v>-674322.66</v>
      </c>
      <c r="F657" s="42">
        <v>0</v>
      </c>
      <c r="G657" s="42">
        <f t="shared" si="10"/>
        <v>-674322.66</v>
      </c>
      <c r="H657" s="2" t="str">
        <f>VLOOKUP(A657,'TB JULY'!A:H,8,0)</f>
        <v>Not Applicable</v>
      </c>
    </row>
    <row r="658" spans="1:8">
      <c r="A658" s="62" t="s">
        <v>709</v>
      </c>
      <c r="B658" s="78">
        <v>-1967533</v>
      </c>
      <c r="C658" s="78">
        <v>8304233</v>
      </c>
      <c r="D658" s="78">
        <v>6030621</v>
      </c>
      <c r="E658" s="78">
        <v>306079</v>
      </c>
      <c r="F658" s="42">
        <v>0</v>
      </c>
      <c r="G658" s="42">
        <f t="shared" si="10"/>
        <v>306079</v>
      </c>
      <c r="H658" s="2" t="str">
        <f>VLOOKUP(A658,'TB JULY'!A:H,8,0)</f>
        <v>Not Applicable</v>
      </c>
    </row>
    <row r="659" spans="1:8">
      <c r="A659" s="62" t="s">
        <v>681</v>
      </c>
      <c r="B659" s="78">
        <v>-6094</v>
      </c>
      <c r="C659" s="78">
        <v>36288</v>
      </c>
      <c r="D659" s="78">
        <v>48880</v>
      </c>
      <c r="E659" s="78">
        <v>-18686</v>
      </c>
      <c r="F659" s="42">
        <v>0</v>
      </c>
      <c r="G659" s="42">
        <f t="shared" si="10"/>
        <v>-18686</v>
      </c>
      <c r="H659" s="2" t="str">
        <f>VLOOKUP(A659,'TB JULY'!A:H,8,0)</f>
        <v>Not Applicable</v>
      </c>
    </row>
    <row r="660" spans="1:8">
      <c r="A660" s="62" t="s">
        <v>944</v>
      </c>
      <c r="B660" s="78">
        <v>-628076</v>
      </c>
      <c r="C660" s="78">
        <v>5111790</v>
      </c>
      <c r="D660" s="78">
        <v>4483714</v>
      </c>
      <c r="E660" s="78"/>
      <c r="F660" s="42">
        <v>0</v>
      </c>
      <c r="G660" s="42">
        <f t="shared" si="10"/>
        <v>0</v>
      </c>
      <c r="H660" s="2" t="str">
        <f>VLOOKUP(A660,'TB JULY'!A:H,8,0)</f>
        <v>Not Applicable</v>
      </c>
    </row>
    <row r="661" spans="1:8">
      <c r="A661" s="62" t="s">
        <v>873</v>
      </c>
      <c r="B661" s="78">
        <v>-85788</v>
      </c>
      <c r="C661" s="78">
        <v>85788</v>
      </c>
      <c r="D661" s="78"/>
      <c r="E661" s="78"/>
      <c r="F661" s="42">
        <v>0</v>
      </c>
      <c r="G661" s="42">
        <f t="shared" si="10"/>
        <v>0</v>
      </c>
      <c r="H661" s="2" t="str">
        <f>VLOOKUP(A661,'TB JULY'!A:H,8,0)</f>
        <v>Not Applicable</v>
      </c>
    </row>
    <row r="662" spans="1:8">
      <c r="A662" s="62" t="s">
        <v>902</v>
      </c>
      <c r="B662" s="78">
        <v>-2037718</v>
      </c>
      <c r="C662" s="78">
        <v>6070188</v>
      </c>
      <c r="D662" s="78">
        <v>5370100</v>
      </c>
      <c r="E662" s="78">
        <v>-1337630</v>
      </c>
      <c r="F662" s="42">
        <v>0</v>
      </c>
      <c r="G662" s="42">
        <f t="shared" si="10"/>
        <v>-1337630</v>
      </c>
      <c r="H662" s="2" t="str">
        <f>VLOOKUP(A662,'TB JULY'!A:H,8,0)</f>
        <v>Not Applicable</v>
      </c>
    </row>
    <row r="663" spans="1:8">
      <c r="A663" s="62" t="s">
        <v>985</v>
      </c>
      <c r="B663" s="78">
        <v>-1274</v>
      </c>
      <c r="C663" s="78">
        <v>1274</v>
      </c>
      <c r="D663" s="78"/>
      <c r="E663" s="78"/>
      <c r="F663" s="42">
        <v>0</v>
      </c>
      <c r="G663" s="42">
        <f t="shared" si="10"/>
        <v>0</v>
      </c>
      <c r="H663" s="2" t="str">
        <f>VLOOKUP(A663,'TB JULY'!A:H,8,0)</f>
        <v>Not Applicable</v>
      </c>
    </row>
    <row r="664" spans="1:8">
      <c r="A664" s="62" t="s">
        <v>1311</v>
      </c>
      <c r="B664" s="78"/>
      <c r="C664" s="78"/>
      <c r="D664" s="78"/>
      <c r="E664" s="78"/>
      <c r="F664" s="42">
        <v>0</v>
      </c>
      <c r="G664" s="42">
        <f t="shared" si="10"/>
        <v>0</v>
      </c>
      <c r="H664" s="2" t="str">
        <f>VLOOKUP(A664,'TB JULY'!A:H,8,0)</f>
        <v>Not Applicable</v>
      </c>
    </row>
    <row r="665" spans="1:8">
      <c r="A665" s="62" t="s">
        <v>660</v>
      </c>
      <c r="B665" s="78">
        <v>4519</v>
      </c>
      <c r="C665" s="78">
        <v>45454</v>
      </c>
      <c r="D665" s="78"/>
      <c r="E665" s="78">
        <v>49973</v>
      </c>
      <c r="F665" s="42">
        <v>0</v>
      </c>
      <c r="G665" s="42">
        <f t="shared" si="10"/>
        <v>49973</v>
      </c>
      <c r="H665" s="2" t="str">
        <f>VLOOKUP(A665,'TB JULY'!A:H,8,0)</f>
        <v>Not Applicable</v>
      </c>
    </row>
    <row r="666" spans="1:8">
      <c r="A666" s="62" t="s">
        <v>659</v>
      </c>
      <c r="B666" s="78">
        <v>-221821.8</v>
      </c>
      <c r="C666" s="78">
        <v>107960</v>
      </c>
      <c r="D666" s="78">
        <v>7080</v>
      </c>
      <c r="E666" s="78">
        <v>-120941.8</v>
      </c>
      <c r="F666" s="42">
        <v>0</v>
      </c>
      <c r="G666" s="42">
        <f t="shared" si="10"/>
        <v>-120941.8</v>
      </c>
      <c r="H666" s="2" t="str">
        <f>VLOOKUP(A666,'TB JULY'!A:H,8,0)</f>
        <v>Not Applicable</v>
      </c>
    </row>
    <row r="667" spans="1:8">
      <c r="A667" s="62" t="s">
        <v>928</v>
      </c>
      <c r="B667" s="78">
        <v>-1105</v>
      </c>
      <c r="C667" s="78"/>
      <c r="D667" s="78"/>
      <c r="E667" s="78">
        <v>-1105</v>
      </c>
      <c r="F667" s="42">
        <v>0</v>
      </c>
      <c r="G667" s="42">
        <f t="shared" si="10"/>
        <v>-1105</v>
      </c>
      <c r="H667" s="2" t="str">
        <f>VLOOKUP(A667,'TB JULY'!A:H,8,0)</f>
        <v>Not Applicable</v>
      </c>
    </row>
    <row r="668" spans="1:8">
      <c r="A668" s="62" t="s">
        <v>1468</v>
      </c>
      <c r="B668" s="78"/>
      <c r="C668" s="78">
        <v>35105</v>
      </c>
      <c r="D668" s="78">
        <v>35105</v>
      </c>
      <c r="E668" s="78"/>
      <c r="F668" s="42">
        <v>0</v>
      </c>
      <c r="G668" s="42">
        <f t="shared" si="10"/>
        <v>0</v>
      </c>
      <c r="H668" s="2" t="str">
        <f>VLOOKUP(A668,'TB JULY'!A:H,8,0)</f>
        <v>Not Applicable</v>
      </c>
    </row>
    <row r="669" spans="1:8">
      <c r="A669" s="62" t="s">
        <v>651</v>
      </c>
      <c r="B669" s="78"/>
      <c r="C669" s="78">
        <v>112500</v>
      </c>
      <c r="D669" s="78">
        <v>112500</v>
      </c>
      <c r="E669" s="78"/>
      <c r="F669" s="42">
        <v>0</v>
      </c>
      <c r="G669" s="42">
        <f t="shared" si="10"/>
        <v>0</v>
      </c>
      <c r="H669" s="2" t="str">
        <f>VLOOKUP(A669,'TB JULY'!A:H,8,0)</f>
        <v>Not Applicable</v>
      </c>
    </row>
    <row r="670" spans="1:8">
      <c r="A670" s="62" t="s">
        <v>653</v>
      </c>
      <c r="B670" s="78"/>
      <c r="C670" s="78">
        <v>112500</v>
      </c>
      <c r="D670" s="78">
        <v>112500</v>
      </c>
      <c r="E670" s="78"/>
      <c r="F670" s="42">
        <v>0</v>
      </c>
      <c r="G670" s="42">
        <f t="shared" si="10"/>
        <v>0</v>
      </c>
      <c r="H670" s="2" t="str">
        <f>VLOOKUP(A670,'TB JULY'!A:H,8,0)</f>
        <v>Not Applicable</v>
      </c>
    </row>
    <row r="671" spans="1:8">
      <c r="A671" s="62" t="s">
        <v>1175</v>
      </c>
      <c r="B671" s="78"/>
      <c r="C671" s="78"/>
      <c r="D671" s="78">
        <v>5416</v>
      </c>
      <c r="E671" s="78">
        <v>-5416</v>
      </c>
      <c r="F671" s="42">
        <v>0</v>
      </c>
      <c r="G671" s="42">
        <f t="shared" si="10"/>
        <v>-5416</v>
      </c>
      <c r="H671" s="2" t="s">
        <v>84</v>
      </c>
    </row>
    <row r="672" spans="1:8">
      <c r="A672" s="62" t="s">
        <v>1045</v>
      </c>
      <c r="B672" s="78"/>
      <c r="C672" s="78">
        <v>66000</v>
      </c>
      <c r="D672" s="78">
        <v>66000</v>
      </c>
      <c r="E672" s="78"/>
      <c r="F672" s="42">
        <v>0</v>
      </c>
      <c r="G672" s="42">
        <f t="shared" si="10"/>
        <v>0</v>
      </c>
      <c r="H672" s="2" t="str">
        <f>VLOOKUP(A672,'TB JULY'!A:H,8,0)</f>
        <v>Not Applicable</v>
      </c>
    </row>
    <row r="673" spans="1:8">
      <c r="A673" s="62" t="s">
        <v>646</v>
      </c>
      <c r="B673" s="78">
        <v>-2762</v>
      </c>
      <c r="C673" s="78">
        <v>2996</v>
      </c>
      <c r="D673" s="78">
        <v>4701</v>
      </c>
      <c r="E673" s="78">
        <v>-4467</v>
      </c>
      <c r="F673" s="42">
        <v>0</v>
      </c>
      <c r="G673" s="42">
        <f t="shared" si="10"/>
        <v>-4467</v>
      </c>
      <c r="H673" s="2" t="str">
        <f>VLOOKUP(A673,'TB JULY'!A:H,8,0)</f>
        <v>Not Applicable</v>
      </c>
    </row>
    <row r="674" spans="1:8">
      <c r="A674" s="62" t="s">
        <v>640</v>
      </c>
      <c r="B674" s="78"/>
      <c r="C674" s="78">
        <v>158225</v>
      </c>
      <c r="D674" s="78">
        <v>158225</v>
      </c>
      <c r="E674" s="78"/>
      <c r="F674" s="42">
        <v>0</v>
      </c>
      <c r="G674" s="42">
        <f t="shared" si="10"/>
        <v>0</v>
      </c>
      <c r="H674" s="2" t="str">
        <f>VLOOKUP(A674,'TB JULY'!A:H,8,0)</f>
        <v>Not Applicable</v>
      </c>
    </row>
    <row r="675" spans="1:8">
      <c r="A675" s="62" t="s">
        <v>638</v>
      </c>
      <c r="B675" s="78"/>
      <c r="C675" s="78">
        <v>2714</v>
      </c>
      <c r="D675" s="78">
        <v>2714</v>
      </c>
      <c r="E675" s="78"/>
      <c r="F675" s="42">
        <v>0</v>
      </c>
      <c r="G675" s="42">
        <f t="shared" si="10"/>
        <v>0</v>
      </c>
      <c r="H675" s="2" t="s">
        <v>84</v>
      </c>
    </row>
    <row r="676" spans="1:8">
      <c r="A676" s="62" t="s">
        <v>1607</v>
      </c>
      <c r="B676" s="78"/>
      <c r="C676" s="78"/>
      <c r="D676" s="78"/>
      <c r="E676" s="78"/>
      <c r="F676" s="42">
        <v>0</v>
      </c>
      <c r="G676" s="42">
        <f t="shared" si="10"/>
        <v>0</v>
      </c>
      <c r="H676" s="2" t="str">
        <f>VLOOKUP(A676,'TB JULY'!A:H,8,0)</f>
        <v>Not Applicable</v>
      </c>
    </row>
    <row r="677" spans="1:8">
      <c r="A677" s="62" t="s">
        <v>1608</v>
      </c>
      <c r="B677" s="78"/>
      <c r="C677" s="78">
        <v>114430</v>
      </c>
      <c r="D677" s="78">
        <v>140212</v>
      </c>
      <c r="E677" s="78">
        <v>-25782</v>
      </c>
      <c r="F677" s="42">
        <v>0</v>
      </c>
      <c r="G677" s="42">
        <f t="shared" si="10"/>
        <v>-25782</v>
      </c>
      <c r="H677" s="2" t="str">
        <f>VLOOKUP(A677,'TB JULY'!A:H,8,0)</f>
        <v>Not Applicable</v>
      </c>
    </row>
    <row r="678" spans="1:8">
      <c r="A678" s="62" t="s">
        <v>1070</v>
      </c>
      <c r="B678" s="78"/>
      <c r="C678" s="78">
        <v>16284</v>
      </c>
      <c r="D678" s="78">
        <v>16284</v>
      </c>
      <c r="E678" s="78"/>
      <c r="F678" s="42">
        <v>0</v>
      </c>
      <c r="G678" s="42">
        <f t="shared" si="10"/>
        <v>0</v>
      </c>
      <c r="H678" s="2" t="str">
        <f>VLOOKUP(A678,'TB JULY'!A:H,8,0)</f>
        <v>Not Applicable</v>
      </c>
    </row>
    <row r="679" spans="1:8">
      <c r="A679" s="62" t="s">
        <v>628</v>
      </c>
      <c r="B679" s="78">
        <v>-47489</v>
      </c>
      <c r="C679" s="78">
        <v>98550</v>
      </c>
      <c r="D679" s="78">
        <v>121769</v>
      </c>
      <c r="E679" s="78">
        <v>-70708</v>
      </c>
      <c r="F679" s="42">
        <v>0</v>
      </c>
      <c r="G679" s="42">
        <f t="shared" si="10"/>
        <v>-70708</v>
      </c>
      <c r="H679" s="2" t="str">
        <f>VLOOKUP(A679,'TB JULY'!A:H,8,0)</f>
        <v>Not Applicable</v>
      </c>
    </row>
    <row r="680" spans="1:8">
      <c r="A680" s="62" t="s">
        <v>1288</v>
      </c>
      <c r="B680" s="78"/>
      <c r="C680" s="78">
        <v>112500</v>
      </c>
      <c r="D680" s="78">
        <v>112500</v>
      </c>
      <c r="E680" s="78"/>
      <c r="F680" s="42">
        <v>0</v>
      </c>
      <c r="G680" s="42">
        <f t="shared" si="10"/>
        <v>0</v>
      </c>
      <c r="H680" s="2" t="str">
        <f>VLOOKUP(A680,'TB JULY'!A:H,8,0)</f>
        <v>Not Applicable</v>
      </c>
    </row>
    <row r="681" spans="1:8">
      <c r="A681" s="62" t="s">
        <v>1124</v>
      </c>
      <c r="B681" s="78">
        <v>-327817.96000000002</v>
      </c>
      <c r="C681" s="78">
        <v>630213.01</v>
      </c>
      <c r="D681" s="78">
        <v>302396.01</v>
      </c>
      <c r="E681" s="78">
        <v>-0.96</v>
      </c>
      <c r="F681" s="42">
        <v>0</v>
      </c>
      <c r="G681" s="42">
        <f t="shared" si="10"/>
        <v>-0.96</v>
      </c>
      <c r="H681" s="2" t="str">
        <f>VLOOKUP(A681,'TB JULY'!A:H,8,0)</f>
        <v>Not Applicable</v>
      </c>
    </row>
    <row r="682" spans="1:8">
      <c r="A682" s="62" t="s">
        <v>1469</v>
      </c>
      <c r="B682" s="78"/>
      <c r="C682" s="78"/>
      <c r="D682" s="78"/>
      <c r="E682" s="78"/>
      <c r="F682" s="42">
        <v>0</v>
      </c>
      <c r="G682" s="42">
        <f t="shared" si="10"/>
        <v>0</v>
      </c>
      <c r="H682" s="2" t="s">
        <v>84</v>
      </c>
    </row>
    <row r="683" spans="1:8">
      <c r="A683" s="62" t="s">
        <v>1239</v>
      </c>
      <c r="B683" s="78"/>
      <c r="C683" s="78">
        <v>1298</v>
      </c>
      <c r="D683" s="78">
        <v>1298</v>
      </c>
      <c r="E683" s="78"/>
      <c r="F683" s="42">
        <v>0</v>
      </c>
      <c r="G683" s="42">
        <f t="shared" si="10"/>
        <v>0</v>
      </c>
      <c r="H683" s="2" t="str">
        <f>VLOOKUP(A683,'TB JULY'!A:H,8,0)</f>
        <v>Not Applicable</v>
      </c>
    </row>
    <row r="684" spans="1:8">
      <c r="A684" s="62" t="s">
        <v>612</v>
      </c>
      <c r="B684" s="78">
        <v>-216491026.63</v>
      </c>
      <c r="C684" s="78">
        <v>49197.14</v>
      </c>
      <c r="D684" s="78">
        <v>92458198.239999995</v>
      </c>
      <c r="E684" s="78">
        <v>-308900027.73000002</v>
      </c>
      <c r="F684" s="42">
        <v>0</v>
      </c>
      <c r="G684" s="42">
        <f t="shared" si="10"/>
        <v>-308900027.73000002</v>
      </c>
      <c r="H684" s="2" t="str">
        <f>VLOOKUP(A684,'TB JULY'!A:H,8,0)</f>
        <v>Not Applicable</v>
      </c>
    </row>
    <row r="685" spans="1:8">
      <c r="A685" s="62" t="s">
        <v>611</v>
      </c>
      <c r="B685" s="78">
        <v>0.8</v>
      </c>
      <c r="C685" s="78">
        <v>41030420.43</v>
      </c>
      <c r="D685" s="78">
        <v>82915784.159999996</v>
      </c>
      <c r="E685" s="78">
        <v>-41885362.93</v>
      </c>
      <c r="F685" s="42">
        <v>0</v>
      </c>
      <c r="G685" s="42">
        <f t="shared" si="10"/>
        <v>-41885362.93</v>
      </c>
      <c r="H685" s="2" t="str">
        <f>VLOOKUP(A685,'TB JULY'!A:H,8,0)</f>
        <v>Not Applicable</v>
      </c>
    </row>
    <row r="686" spans="1:8">
      <c r="A686" s="62" t="s">
        <v>1102</v>
      </c>
      <c r="B686" s="78"/>
      <c r="C686" s="78">
        <v>217207</v>
      </c>
      <c r="D686" s="78">
        <v>217207</v>
      </c>
      <c r="E686" s="78"/>
      <c r="F686" s="42">
        <v>0</v>
      </c>
      <c r="G686" s="42">
        <f t="shared" si="10"/>
        <v>0</v>
      </c>
      <c r="H686" s="2" t="str">
        <f>VLOOKUP(A686,'TB JULY'!A:H,8,0)</f>
        <v>Not Applicable</v>
      </c>
    </row>
    <row r="687" spans="1:8">
      <c r="A687" s="62" t="s">
        <v>1357</v>
      </c>
      <c r="B687" s="78">
        <v>-1</v>
      </c>
      <c r="C687" s="78"/>
      <c r="D687" s="78"/>
      <c r="E687" s="78">
        <v>-1</v>
      </c>
      <c r="F687" s="42">
        <v>0</v>
      </c>
      <c r="G687" s="42">
        <f t="shared" si="10"/>
        <v>-1</v>
      </c>
      <c r="H687" s="2" t="str">
        <f>VLOOKUP(A687,'TB JULY'!A:H,8,0)</f>
        <v>Not Applicable</v>
      </c>
    </row>
    <row r="688" spans="1:8">
      <c r="A688" s="62" t="s">
        <v>1042</v>
      </c>
      <c r="B688" s="78"/>
      <c r="C688" s="78">
        <v>66000</v>
      </c>
      <c r="D688" s="78">
        <v>66000</v>
      </c>
      <c r="E688" s="78"/>
      <c r="F688" s="42">
        <v>0</v>
      </c>
      <c r="G688" s="42">
        <f t="shared" si="10"/>
        <v>0</v>
      </c>
      <c r="H688" s="2" t="str">
        <f>VLOOKUP(A688,'TB JULY'!A:H,8,0)</f>
        <v>Not Applicable</v>
      </c>
    </row>
    <row r="689" spans="1:8">
      <c r="A689" s="62" t="s">
        <v>1574</v>
      </c>
      <c r="B689" s="78"/>
      <c r="C689" s="78">
        <v>889883</v>
      </c>
      <c r="D689" s="78">
        <v>930371</v>
      </c>
      <c r="E689" s="78">
        <v>-40488</v>
      </c>
      <c r="F689" s="42">
        <v>0</v>
      </c>
      <c r="G689" s="42">
        <f t="shared" si="10"/>
        <v>-40488</v>
      </c>
      <c r="H689" s="2" t="str">
        <f>VLOOKUP(A689,'TB JULY'!A:H,8,0)</f>
        <v>Not Applicable</v>
      </c>
    </row>
    <row r="690" spans="1:8">
      <c r="A690" s="62" t="s">
        <v>596</v>
      </c>
      <c r="B690" s="78">
        <v>68996.899999999994</v>
      </c>
      <c r="C690" s="78">
        <v>7416</v>
      </c>
      <c r="D690" s="78">
        <v>67968</v>
      </c>
      <c r="E690" s="78">
        <v>8444.9</v>
      </c>
      <c r="F690" s="42">
        <v>0</v>
      </c>
      <c r="G690" s="42">
        <f t="shared" si="10"/>
        <v>8444.9</v>
      </c>
      <c r="H690" s="2" t="str">
        <f>VLOOKUP(A690,'TB JULY'!A:H,8,0)</f>
        <v>Not Applicable</v>
      </c>
    </row>
    <row r="691" spans="1:8">
      <c r="A691" s="62" t="s">
        <v>1144</v>
      </c>
      <c r="B691" s="78">
        <v>-18700</v>
      </c>
      <c r="C691" s="78">
        <v>18700</v>
      </c>
      <c r="D691" s="78"/>
      <c r="E691" s="78"/>
      <c r="F691" s="42">
        <v>0</v>
      </c>
      <c r="G691" s="42">
        <f t="shared" si="10"/>
        <v>0</v>
      </c>
      <c r="H691" s="2" t="str">
        <f>VLOOKUP(A691,'TB JULY'!A:H,8,0)</f>
        <v>Not Applicable</v>
      </c>
    </row>
    <row r="692" spans="1:8">
      <c r="A692" s="62" t="s">
        <v>599</v>
      </c>
      <c r="B692" s="78">
        <v>-58381</v>
      </c>
      <c r="C692" s="78">
        <v>58381</v>
      </c>
      <c r="D692" s="78"/>
      <c r="E692" s="78"/>
      <c r="F692" s="42">
        <v>0</v>
      </c>
      <c r="G692" s="42">
        <f t="shared" si="10"/>
        <v>0</v>
      </c>
      <c r="H692" s="2" t="str">
        <f>VLOOKUP(A692,'TB JULY'!A:H,8,0)</f>
        <v>Not Applicable</v>
      </c>
    </row>
    <row r="693" spans="1:8">
      <c r="A693" s="62" t="s">
        <v>1176</v>
      </c>
      <c r="B693" s="78">
        <v>15969.8</v>
      </c>
      <c r="C693" s="78"/>
      <c r="D693" s="78">
        <v>15970</v>
      </c>
      <c r="E693" s="78">
        <v>-0.2</v>
      </c>
      <c r="F693" s="42">
        <v>0</v>
      </c>
      <c r="G693" s="42">
        <f t="shared" si="10"/>
        <v>-0.2</v>
      </c>
      <c r="H693" s="2" t="str">
        <f>VLOOKUP(A693,'TB JULY'!A:H,8,0)</f>
        <v>Not Applicable</v>
      </c>
    </row>
    <row r="694" spans="1:8">
      <c r="A694" s="62" t="s">
        <v>1028</v>
      </c>
      <c r="B694" s="78">
        <v>2572</v>
      </c>
      <c r="C694" s="78">
        <v>270189</v>
      </c>
      <c r="D694" s="78">
        <v>272761</v>
      </c>
      <c r="E694" s="78"/>
      <c r="F694" s="42">
        <v>0</v>
      </c>
      <c r="G694" s="42">
        <f t="shared" si="10"/>
        <v>0</v>
      </c>
      <c r="H694" s="2" t="str">
        <f>VLOOKUP(A694,'TB JULY'!A:H,8,0)</f>
        <v>Not Applicable</v>
      </c>
    </row>
    <row r="695" spans="1:8">
      <c r="A695" s="62" t="s">
        <v>1609</v>
      </c>
      <c r="B695" s="78"/>
      <c r="C695" s="78">
        <v>7074.1</v>
      </c>
      <c r="D695" s="78">
        <v>7074</v>
      </c>
      <c r="E695" s="78">
        <v>0.1</v>
      </c>
      <c r="F695" s="42">
        <v>0</v>
      </c>
      <c r="G695" s="42">
        <f t="shared" si="10"/>
        <v>0.1</v>
      </c>
      <c r="H695" s="2" t="str">
        <f>VLOOKUP(A695,'TB JULY'!A:H,8,0)</f>
        <v>Not Applicable</v>
      </c>
    </row>
    <row r="696" spans="1:8">
      <c r="A696" s="62" t="s">
        <v>1162</v>
      </c>
      <c r="B696" s="78"/>
      <c r="C696" s="78">
        <v>35000</v>
      </c>
      <c r="D696" s="78">
        <v>35000</v>
      </c>
      <c r="E696" s="78"/>
      <c r="F696" s="42">
        <v>0</v>
      </c>
      <c r="G696" s="42">
        <f t="shared" si="10"/>
        <v>0</v>
      </c>
      <c r="H696" s="2" t="str">
        <f>VLOOKUP(A696,'TB JULY'!A:H,8,0)</f>
        <v>Not Applicable</v>
      </c>
    </row>
    <row r="697" spans="1:8">
      <c r="A697" s="62" t="s">
        <v>1290</v>
      </c>
      <c r="B697" s="78"/>
      <c r="C697" s="78">
        <v>37940</v>
      </c>
      <c r="D697" s="78">
        <v>37940</v>
      </c>
      <c r="E697" s="78"/>
      <c r="F697" s="42">
        <v>0</v>
      </c>
      <c r="G697" s="42">
        <f t="shared" si="10"/>
        <v>0</v>
      </c>
      <c r="H697" s="2" t="str">
        <f>VLOOKUP(A697,'TB JULY'!A:H,8,0)</f>
        <v>Not Applicable</v>
      </c>
    </row>
    <row r="698" spans="1:8">
      <c r="A698" s="62" t="s">
        <v>1291</v>
      </c>
      <c r="B698" s="78">
        <v>-12285</v>
      </c>
      <c r="C698" s="78">
        <v>12285</v>
      </c>
      <c r="D698" s="78"/>
      <c r="E698" s="78"/>
      <c r="F698" s="42">
        <v>0</v>
      </c>
      <c r="G698" s="42">
        <f t="shared" si="10"/>
        <v>0</v>
      </c>
      <c r="H698" s="2" t="str">
        <f>VLOOKUP(A698,'TB JULY'!A:H,8,0)</f>
        <v>Not Applicable</v>
      </c>
    </row>
    <row r="699" spans="1:8">
      <c r="A699" s="62" t="s">
        <v>592</v>
      </c>
      <c r="B699" s="78">
        <v>-86766.26</v>
      </c>
      <c r="C699" s="78"/>
      <c r="D699" s="78"/>
      <c r="E699" s="78">
        <v>-86766.26</v>
      </c>
      <c r="F699" s="42">
        <v>0</v>
      </c>
      <c r="G699" s="42">
        <f t="shared" si="10"/>
        <v>-86766.26</v>
      </c>
      <c r="H699" s="2" t="str">
        <f>VLOOKUP(A699,'TB JULY'!A:H,8,0)</f>
        <v>Not Applicable</v>
      </c>
    </row>
    <row r="700" spans="1:8">
      <c r="A700" s="62" t="s">
        <v>1142</v>
      </c>
      <c r="B700" s="78"/>
      <c r="C700" s="78"/>
      <c r="D700" s="78">
        <v>106948</v>
      </c>
      <c r="E700" s="78">
        <v>-106948</v>
      </c>
      <c r="F700" s="42">
        <v>0</v>
      </c>
      <c r="G700" s="42">
        <f t="shared" si="10"/>
        <v>-106948</v>
      </c>
      <c r="H700" s="2" t="s">
        <v>84</v>
      </c>
    </row>
    <row r="701" spans="1:8">
      <c r="A701" s="62" t="s">
        <v>1177</v>
      </c>
      <c r="B701" s="78">
        <v>-8425</v>
      </c>
      <c r="C701" s="78">
        <v>21004</v>
      </c>
      <c r="D701" s="78">
        <v>22963</v>
      </c>
      <c r="E701" s="78">
        <v>-10384</v>
      </c>
      <c r="F701" s="42">
        <v>0</v>
      </c>
      <c r="G701" s="42">
        <f t="shared" si="10"/>
        <v>-10384</v>
      </c>
      <c r="H701" s="2" t="str">
        <f>VLOOKUP(A701,'TB JULY'!A:H,8,0)</f>
        <v>Not Applicable</v>
      </c>
    </row>
    <row r="702" spans="1:8">
      <c r="A702" s="62" t="s">
        <v>1242</v>
      </c>
      <c r="B702" s="78"/>
      <c r="C702" s="78">
        <v>190000</v>
      </c>
      <c r="D702" s="78">
        <v>185000</v>
      </c>
      <c r="E702" s="78">
        <v>5000</v>
      </c>
      <c r="F702" s="42">
        <v>0</v>
      </c>
      <c r="G702" s="42">
        <f t="shared" si="10"/>
        <v>5000</v>
      </c>
      <c r="H702" s="2" t="str">
        <f>VLOOKUP(A702,'TB JULY'!A:H,8,0)</f>
        <v>Not Applicable</v>
      </c>
    </row>
    <row r="703" spans="1:8">
      <c r="A703" s="62" t="s">
        <v>984</v>
      </c>
      <c r="B703" s="78"/>
      <c r="C703" s="78">
        <v>36000</v>
      </c>
      <c r="D703" s="78">
        <v>36000</v>
      </c>
      <c r="E703" s="78"/>
      <c r="F703" s="42">
        <v>0</v>
      </c>
      <c r="G703" s="42">
        <f t="shared" si="10"/>
        <v>0</v>
      </c>
      <c r="H703" s="2" t="str">
        <f>VLOOKUP(A703,'TB JULY'!A:H,8,0)</f>
        <v>Not Applicable</v>
      </c>
    </row>
    <row r="704" spans="1:8">
      <c r="A704" s="62" t="s">
        <v>1521</v>
      </c>
      <c r="B704" s="78"/>
      <c r="C704" s="78">
        <v>649000</v>
      </c>
      <c r="D704" s="78">
        <v>649000</v>
      </c>
      <c r="E704" s="78"/>
      <c r="F704" s="42">
        <v>0</v>
      </c>
      <c r="G704" s="42">
        <f t="shared" si="10"/>
        <v>0</v>
      </c>
      <c r="H704" s="2" t="str">
        <f>VLOOKUP(A704,'TB JULY'!A:H,8,0)</f>
        <v>Not Applicable</v>
      </c>
    </row>
    <row r="705" spans="1:8">
      <c r="A705" s="62" t="s">
        <v>578</v>
      </c>
      <c r="B705" s="78">
        <v>-2751</v>
      </c>
      <c r="C705" s="78">
        <v>50594</v>
      </c>
      <c r="D705" s="78">
        <v>51517</v>
      </c>
      <c r="E705" s="78">
        <v>-3674</v>
      </c>
      <c r="F705" s="42">
        <v>0</v>
      </c>
      <c r="G705" s="42">
        <f t="shared" si="10"/>
        <v>-3674</v>
      </c>
      <c r="H705" s="2" t="str">
        <f>VLOOKUP(A705,'TB JULY'!A:H,8,0)</f>
        <v>Not Applicable</v>
      </c>
    </row>
    <row r="706" spans="1:8">
      <c r="A706" s="62" t="s">
        <v>580</v>
      </c>
      <c r="B706" s="78">
        <v>-124792.93</v>
      </c>
      <c r="C706" s="78"/>
      <c r="D706" s="78"/>
      <c r="E706" s="78">
        <v>-124792.93</v>
      </c>
      <c r="F706" s="42">
        <v>0</v>
      </c>
      <c r="G706" s="42">
        <f t="shared" si="10"/>
        <v>-124792.93</v>
      </c>
      <c r="H706" s="2" t="str">
        <f>VLOOKUP(A706,'TB JULY'!A:H,8,0)</f>
        <v>Not Applicable</v>
      </c>
    </row>
    <row r="707" spans="1:8">
      <c r="A707" s="62" t="s">
        <v>577</v>
      </c>
      <c r="B707" s="78">
        <v>-228232853.84999999</v>
      </c>
      <c r="C707" s="78"/>
      <c r="D707" s="78"/>
      <c r="E707" s="78">
        <v>-228232853.84999999</v>
      </c>
      <c r="F707" s="42">
        <v>0</v>
      </c>
      <c r="G707" s="42">
        <f t="shared" si="10"/>
        <v>-228232853.84999999</v>
      </c>
      <c r="H707" s="2" t="str">
        <f>VLOOKUP(A707,'TB JULY'!A:H,8,0)</f>
        <v>Not Applicable</v>
      </c>
    </row>
    <row r="708" spans="1:8">
      <c r="A708" s="62" t="s">
        <v>1123</v>
      </c>
      <c r="B708" s="78">
        <v>-31984</v>
      </c>
      <c r="C708" s="78">
        <v>31984</v>
      </c>
      <c r="D708" s="78">
        <v>14667.4</v>
      </c>
      <c r="E708" s="78">
        <v>-14667.4</v>
      </c>
      <c r="F708" s="42">
        <v>0</v>
      </c>
      <c r="G708" s="42">
        <f t="shared" si="10"/>
        <v>-14667.4</v>
      </c>
      <c r="H708" s="2" t="str">
        <f>VLOOKUP(A708,'TB JULY'!A:H,8,0)</f>
        <v>Not Applicable</v>
      </c>
    </row>
    <row r="709" spans="1:8">
      <c r="A709" s="62" t="s">
        <v>1575</v>
      </c>
      <c r="B709" s="78"/>
      <c r="C709" s="78">
        <v>12500</v>
      </c>
      <c r="D709" s="78">
        <v>50000</v>
      </c>
      <c r="E709" s="78">
        <v>-37500</v>
      </c>
      <c r="F709" s="42">
        <v>0</v>
      </c>
      <c r="G709" s="42">
        <f t="shared" si="10"/>
        <v>-37500</v>
      </c>
      <c r="H709" s="2" t="str">
        <f>VLOOKUP(A709,'TB JULY'!A:H,8,0)</f>
        <v>Not Applicable</v>
      </c>
    </row>
    <row r="710" spans="1:8">
      <c r="A710" s="62" t="s">
        <v>1068</v>
      </c>
      <c r="B710" s="78">
        <v>-64639</v>
      </c>
      <c r="C710" s="78">
        <v>266233</v>
      </c>
      <c r="D710" s="78">
        <v>272225</v>
      </c>
      <c r="E710" s="78">
        <v>-70631</v>
      </c>
      <c r="F710" s="42">
        <v>0</v>
      </c>
      <c r="G710" s="42">
        <f t="shared" si="10"/>
        <v>-70631</v>
      </c>
      <c r="H710" s="2" t="str">
        <f>VLOOKUP(A710,'TB JULY'!A:H,8,0)</f>
        <v>Not Applicable</v>
      </c>
    </row>
    <row r="711" spans="1:8">
      <c r="A711" s="62" t="s">
        <v>1243</v>
      </c>
      <c r="B711" s="78">
        <v>-10974</v>
      </c>
      <c r="C711" s="78">
        <v>10974</v>
      </c>
      <c r="D711" s="78"/>
      <c r="E711" s="78"/>
      <c r="F711" s="42">
        <v>0</v>
      </c>
      <c r="G711" s="42">
        <f t="shared" ref="G711:G774" si="11">E711+F711</f>
        <v>0</v>
      </c>
      <c r="H711" s="2" t="str">
        <f>VLOOKUP(A711,'TB JULY'!A:H,8,0)</f>
        <v>Not Applicable</v>
      </c>
    </row>
    <row r="712" spans="1:8">
      <c r="A712" s="62" t="s">
        <v>1522</v>
      </c>
      <c r="B712" s="78"/>
      <c r="C712" s="78">
        <v>41000</v>
      </c>
      <c r="D712" s="78">
        <v>41000</v>
      </c>
      <c r="E712" s="78"/>
      <c r="F712" s="42">
        <v>0</v>
      </c>
      <c r="G712" s="42">
        <f t="shared" si="11"/>
        <v>0</v>
      </c>
      <c r="H712" s="2" t="str">
        <f>VLOOKUP(A712,'TB JULY'!A:H,8,0)</f>
        <v>Not Applicable</v>
      </c>
    </row>
    <row r="713" spans="1:8">
      <c r="A713" s="62" t="s">
        <v>557</v>
      </c>
      <c r="B713" s="78"/>
      <c r="C713" s="78"/>
      <c r="D713" s="78"/>
      <c r="E713" s="78"/>
      <c r="F713" s="42">
        <v>0</v>
      </c>
      <c r="G713" s="42">
        <f t="shared" si="11"/>
        <v>0</v>
      </c>
      <c r="H713" s="2" t="str">
        <f>VLOOKUP(A713,'TB JULY'!A:H,8,0)</f>
        <v>Not Applicable</v>
      </c>
    </row>
    <row r="714" spans="1:8">
      <c r="A714" s="62" t="s">
        <v>913</v>
      </c>
      <c r="B714" s="78"/>
      <c r="C714" s="78"/>
      <c r="D714" s="78"/>
      <c r="E714" s="78"/>
      <c r="F714" s="42">
        <v>0</v>
      </c>
      <c r="G714" s="42">
        <f t="shared" si="11"/>
        <v>0</v>
      </c>
      <c r="H714" s="2" t="str">
        <f>VLOOKUP(A714,'TB JULY'!A:H,8,0)</f>
        <v>Not Applicable</v>
      </c>
    </row>
    <row r="715" spans="1:8">
      <c r="A715" s="62" t="s">
        <v>911</v>
      </c>
      <c r="B715" s="78">
        <v>400</v>
      </c>
      <c r="C715" s="78"/>
      <c r="D715" s="78"/>
      <c r="E715" s="78">
        <v>400</v>
      </c>
      <c r="F715" s="42">
        <v>0</v>
      </c>
      <c r="G715" s="42">
        <f t="shared" si="11"/>
        <v>400</v>
      </c>
      <c r="H715" s="2" t="str">
        <f>VLOOKUP(A715,'TB JULY'!A:H,8,0)</f>
        <v>Not Applicable</v>
      </c>
    </row>
    <row r="716" spans="1:8">
      <c r="A716" s="62" t="s">
        <v>1245</v>
      </c>
      <c r="B716" s="78">
        <v>-1160334</v>
      </c>
      <c r="C716" s="78">
        <v>5610176</v>
      </c>
      <c r="D716" s="78">
        <v>4268773</v>
      </c>
      <c r="E716" s="78">
        <v>181069</v>
      </c>
      <c r="F716" s="42">
        <v>0</v>
      </c>
      <c r="G716" s="42">
        <f t="shared" si="11"/>
        <v>181069</v>
      </c>
      <c r="H716" s="2" t="str">
        <f>VLOOKUP(A716,'TB JULY'!A:H,8,0)</f>
        <v>Not Applicable</v>
      </c>
    </row>
    <row r="717" spans="1:8">
      <c r="A717" s="62" t="s">
        <v>552</v>
      </c>
      <c r="B717" s="78"/>
      <c r="C717" s="78"/>
      <c r="D717" s="78"/>
      <c r="E717" s="78"/>
      <c r="F717" s="42">
        <v>0</v>
      </c>
      <c r="G717" s="42">
        <f t="shared" si="11"/>
        <v>0</v>
      </c>
      <c r="H717" s="2" t="str">
        <f>VLOOKUP(A717,'TB JULY'!A:H,8,0)</f>
        <v>Not Applicable</v>
      </c>
    </row>
    <row r="718" spans="1:8">
      <c r="A718" s="62" t="s">
        <v>1100</v>
      </c>
      <c r="B718" s="78">
        <v>-12870</v>
      </c>
      <c r="C718" s="78">
        <v>40718</v>
      </c>
      <c r="D718" s="78">
        <v>27848</v>
      </c>
      <c r="E718" s="78"/>
      <c r="F718" s="42">
        <v>0</v>
      </c>
      <c r="G718" s="42">
        <f t="shared" si="11"/>
        <v>0</v>
      </c>
      <c r="H718" s="2" t="str">
        <f>VLOOKUP(A718,'TB JULY'!A:H,8,0)</f>
        <v>Not Applicable</v>
      </c>
    </row>
    <row r="719" spans="1:8">
      <c r="A719" s="62" t="s">
        <v>1215</v>
      </c>
      <c r="B719" s="78">
        <v>-968802</v>
      </c>
      <c r="C719" s="78">
        <v>3494970</v>
      </c>
      <c r="D719" s="78">
        <v>2406603</v>
      </c>
      <c r="E719" s="78">
        <v>119565</v>
      </c>
      <c r="F719" s="42">
        <v>0</v>
      </c>
      <c r="G719" s="42">
        <f t="shared" si="11"/>
        <v>119565</v>
      </c>
      <c r="H719" s="2" t="str">
        <f>VLOOKUP(A719,'TB JULY'!A:H,8,0)</f>
        <v>Not Applicable</v>
      </c>
    </row>
    <row r="720" spans="1:8">
      <c r="A720" s="62" t="s">
        <v>554</v>
      </c>
      <c r="B720" s="78">
        <v>-1057503</v>
      </c>
      <c r="C720" s="78">
        <v>1693645.1</v>
      </c>
      <c r="D720" s="78">
        <v>1493512.1</v>
      </c>
      <c r="E720" s="78">
        <v>-857370</v>
      </c>
      <c r="F720" s="42">
        <v>0</v>
      </c>
      <c r="G720" s="42">
        <f t="shared" si="11"/>
        <v>-857370</v>
      </c>
      <c r="H720" s="2" t="str">
        <f>VLOOKUP(A720,'TB JULY'!A:H,8,0)</f>
        <v>Not Applicable</v>
      </c>
    </row>
    <row r="721" spans="1:8">
      <c r="A721" s="62" t="s">
        <v>1470</v>
      </c>
      <c r="B721" s="78"/>
      <c r="C721" s="78">
        <v>4564</v>
      </c>
      <c r="D721" s="78">
        <v>4564</v>
      </c>
      <c r="E721" s="78"/>
      <c r="F721" s="42">
        <v>0</v>
      </c>
      <c r="G721" s="42">
        <f t="shared" si="11"/>
        <v>0</v>
      </c>
      <c r="H721" s="2" t="str">
        <f>VLOOKUP(A721,'TB JULY'!A:H,8,0)</f>
        <v>Not Applicable</v>
      </c>
    </row>
    <row r="722" spans="1:8">
      <c r="A722" s="62" t="s">
        <v>555</v>
      </c>
      <c r="B722" s="78">
        <v>-1.82</v>
      </c>
      <c r="C722" s="78">
        <v>83956.64</v>
      </c>
      <c r="D722" s="78">
        <v>83579</v>
      </c>
      <c r="E722" s="78">
        <v>375.82</v>
      </c>
      <c r="F722" s="42">
        <v>0</v>
      </c>
      <c r="G722" s="42">
        <f t="shared" si="11"/>
        <v>375.82</v>
      </c>
      <c r="H722" s="2" t="str">
        <f>VLOOKUP(A722,'TB JULY'!A:H,8,0)</f>
        <v>Not Applicable</v>
      </c>
    </row>
    <row r="723" spans="1:8">
      <c r="A723" s="62" t="s">
        <v>1312</v>
      </c>
      <c r="B723" s="78"/>
      <c r="C723" s="78"/>
      <c r="D723" s="78"/>
      <c r="E723" s="78"/>
      <c r="F723" s="42">
        <v>0</v>
      </c>
      <c r="G723" s="42">
        <f t="shared" si="11"/>
        <v>0</v>
      </c>
      <c r="H723" s="2" t="str">
        <f>VLOOKUP(A723,'TB JULY'!A:H,8,0)</f>
        <v>Not Applicable</v>
      </c>
    </row>
    <row r="724" spans="1:8">
      <c r="A724" s="62" t="s">
        <v>1246</v>
      </c>
      <c r="B724" s="78">
        <v>-202703</v>
      </c>
      <c r="C724" s="78">
        <v>202703</v>
      </c>
      <c r="D724" s="78"/>
      <c r="E724" s="78"/>
      <c r="F724" s="42">
        <v>0</v>
      </c>
      <c r="G724" s="42">
        <f t="shared" si="11"/>
        <v>0</v>
      </c>
      <c r="H724" s="2" t="str">
        <f>VLOOKUP(A724,'TB JULY'!A:H,8,0)</f>
        <v>Not Applicable</v>
      </c>
    </row>
    <row r="725" spans="1:8">
      <c r="A725" s="62" t="s">
        <v>1101</v>
      </c>
      <c r="B725" s="78"/>
      <c r="C725" s="78"/>
      <c r="D725" s="78"/>
      <c r="E725" s="78"/>
      <c r="F725" s="42">
        <v>0</v>
      </c>
      <c r="G725" s="42">
        <f t="shared" si="11"/>
        <v>0</v>
      </c>
      <c r="H725" s="2" t="str">
        <f>VLOOKUP(A725,'TB JULY'!A:H,8,0)</f>
        <v>Not Applicable</v>
      </c>
    </row>
    <row r="726" spans="1:8">
      <c r="A726" s="62" t="s">
        <v>549</v>
      </c>
      <c r="B726" s="78">
        <v>-1</v>
      </c>
      <c r="C726" s="78"/>
      <c r="D726" s="78"/>
      <c r="E726" s="78">
        <v>-1</v>
      </c>
      <c r="F726" s="42">
        <v>0</v>
      </c>
      <c r="G726" s="42">
        <f t="shared" si="11"/>
        <v>-1</v>
      </c>
      <c r="H726" s="2" t="str">
        <f>VLOOKUP(A726,'TB JULY'!A:H,8,0)</f>
        <v>Not Applicable</v>
      </c>
    </row>
    <row r="727" spans="1:8">
      <c r="A727" s="62" t="s">
        <v>1471</v>
      </c>
      <c r="B727" s="78">
        <v>-20886</v>
      </c>
      <c r="C727" s="78">
        <v>20886</v>
      </c>
      <c r="D727" s="78"/>
      <c r="E727" s="78"/>
      <c r="F727" s="42">
        <v>0</v>
      </c>
      <c r="G727" s="42">
        <f t="shared" si="11"/>
        <v>0</v>
      </c>
      <c r="H727" s="2" t="str">
        <f>VLOOKUP(A727,'TB JULY'!A:H,8,0)</f>
        <v>Not Applicable</v>
      </c>
    </row>
    <row r="728" spans="1:8">
      <c r="A728" s="62" t="s">
        <v>1359</v>
      </c>
      <c r="B728" s="78">
        <v>-13570</v>
      </c>
      <c r="C728" s="78">
        <v>24776</v>
      </c>
      <c r="D728" s="78">
        <v>128974</v>
      </c>
      <c r="E728" s="78">
        <v>-117768</v>
      </c>
      <c r="F728" s="42">
        <v>0</v>
      </c>
      <c r="G728" s="42">
        <f t="shared" si="11"/>
        <v>-117768</v>
      </c>
      <c r="H728" s="2" t="str">
        <f>VLOOKUP(A728,'TB JULY'!A:H,8,0)</f>
        <v>Not Applicable</v>
      </c>
    </row>
    <row r="729" spans="1:8">
      <c r="A729" s="62" t="s">
        <v>1263</v>
      </c>
      <c r="B729" s="78">
        <v>-5648.3</v>
      </c>
      <c r="C729" s="78">
        <v>899720.5</v>
      </c>
      <c r="D729" s="78">
        <v>850276</v>
      </c>
      <c r="E729" s="78">
        <v>43796.2</v>
      </c>
      <c r="F729" s="42">
        <v>0</v>
      </c>
      <c r="G729" s="42">
        <f t="shared" si="11"/>
        <v>43796.2</v>
      </c>
      <c r="H729" s="2" t="str">
        <f>VLOOKUP(A729,'TB JULY'!A:H,8,0)</f>
        <v>Not Applicable</v>
      </c>
    </row>
    <row r="730" spans="1:8">
      <c r="A730" s="62" t="s">
        <v>869</v>
      </c>
      <c r="B730" s="78">
        <v>-233175</v>
      </c>
      <c r="C730" s="78"/>
      <c r="D730" s="78"/>
      <c r="E730" s="78">
        <v>-233175</v>
      </c>
      <c r="F730" s="42">
        <v>0</v>
      </c>
      <c r="G730" s="42">
        <f t="shared" si="11"/>
        <v>-233175</v>
      </c>
      <c r="H730" s="2" t="str">
        <f>VLOOKUP(A730,'TB JULY'!A:H,8,0)</f>
        <v>Not Applicable</v>
      </c>
    </row>
    <row r="731" spans="1:8">
      <c r="A731" s="62" t="s">
        <v>541</v>
      </c>
      <c r="B731" s="78">
        <v>-267011.21000000002</v>
      </c>
      <c r="C731" s="78">
        <v>2183000</v>
      </c>
      <c r="D731" s="78">
        <v>2183000</v>
      </c>
      <c r="E731" s="78">
        <v>-267011.21000000002</v>
      </c>
      <c r="F731" s="42">
        <v>0</v>
      </c>
      <c r="G731" s="42">
        <f t="shared" si="11"/>
        <v>-267011.21000000002</v>
      </c>
      <c r="H731" s="2" t="str">
        <f>VLOOKUP(A731,'TB JULY'!A:H,8,0)</f>
        <v>Not Applicable</v>
      </c>
    </row>
    <row r="732" spans="1:8">
      <c r="A732" s="62" t="s">
        <v>543</v>
      </c>
      <c r="B732" s="78"/>
      <c r="C732" s="78">
        <v>569155</v>
      </c>
      <c r="D732" s="78">
        <v>569155</v>
      </c>
      <c r="E732" s="78"/>
      <c r="F732" s="42">
        <v>0</v>
      </c>
      <c r="G732" s="42">
        <f t="shared" si="11"/>
        <v>0</v>
      </c>
      <c r="H732" s="2" t="str">
        <f>VLOOKUP(A732,'TB JULY'!A:H,8,0)</f>
        <v>Not Applicable</v>
      </c>
    </row>
    <row r="733" spans="1:8">
      <c r="A733" s="62" t="s">
        <v>1040</v>
      </c>
      <c r="B733" s="78"/>
      <c r="C733" s="78">
        <v>66000</v>
      </c>
      <c r="D733" s="78">
        <v>66000</v>
      </c>
      <c r="E733" s="78"/>
      <c r="F733" s="42">
        <v>0</v>
      </c>
      <c r="G733" s="42">
        <f t="shared" si="11"/>
        <v>0</v>
      </c>
      <c r="H733" s="2" t="str">
        <f>VLOOKUP(A733,'TB JULY'!A:H,8,0)</f>
        <v>Not Applicable</v>
      </c>
    </row>
    <row r="734" spans="1:8">
      <c r="A734" s="62" t="s">
        <v>1336</v>
      </c>
      <c r="B734" s="78">
        <v>-590000.12</v>
      </c>
      <c r="C734" s="78">
        <v>2841570.98</v>
      </c>
      <c r="D734" s="78">
        <v>2469150</v>
      </c>
      <c r="E734" s="78">
        <v>-217579.14</v>
      </c>
      <c r="F734" s="42">
        <v>0</v>
      </c>
      <c r="G734" s="42">
        <f t="shared" si="11"/>
        <v>-217579.14</v>
      </c>
      <c r="H734" s="2" t="str">
        <f>VLOOKUP(A734,'TB JULY'!A:H,8,0)</f>
        <v>Not Applicable</v>
      </c>
    </row>
    <row r="735" spans="1:8">
      <c r="A735" s="62" t="s">
        <v>1039</v>
      </c>
      <c r="B735" s="78"/>
      <c r="C735" s="78">
        <v>66000</v>
      </c>
      <c r="D735" s="78">
        <v>66000</v>
      </c>
      <c r="E735" s="78"/>
      <c r="F735" s="42">
        <v>0</v>
      </c>
      <c r="G735" s="42">
        <f t="shared" si="11"/>
        <v>0</v>
      </c>
      <c r="H735" s="2" t="str">
        <f>VLOOKUP(A735,'TB JULY'!A:H,8,0)</f>
        <v>Not Applicable</v>
      </c>
    </row>
    <row r="736" spans="1:8">
      <c r="A736" s="62" t="s">
        <v>980</v>
      </c>
      <c r="B736" s="78">
        <v>590</v>
      </c>
      <c r="C736" s="78"/>
      <c r="D736" s="78"/>
      <c r="E736" s="78">
        <v>590</v>
      </c>
      <c r="F736" s="42">
        <v>0</v>
      </c>
      <c r="G736" s="42">
        <f t="shared" si="11"/>
        <v>590</v>
      </c>
      <c r="H736" s="2" t="str">
        <f>VLOOKUP(A736,'TB JULY'!A:H,8,0)</f>
        <v>Not Applicable</v>
      </c>
    </row>
    <row r="737" spans="1:8">
      <c r="A737" s="62" t="s">
        <v>531</v>
      </c>
      <c r="B737" s="78"/>
      <c r="C737" s="78">
        <v>9458</v>
      </c>
      <c r="D737" s="78">
        <v>9458</v>
      </c>
      <c r="E737" s="78"/>
      <c r="F737" s="42">
        <v>0</v>
      </c>
      <c r="G737" s="42">
        <f t="shared" si="11"/>
        <v>0</v>
      </c>
      <c r="H737" s="2" t="str">
        <f>VLOOKUP(A737,'TB JULY'!A:H,8,0)</f>
        <v>Not Applicable</v>
      </c>
    </row>
    <row r="738" spans="1:8">
      <c r="A738" s="62" t="s">
        <v>1473</v>
      </c>
      <c r="B738" s="78"/>
      <c r="C738" s="78">
        <v>22845</v>
      </c>
      <c r="D738" s="78">
        <v>55743</v>
      </c>
      <c r="E738" s="78">
        <v>-32898</v>
      </c>
      <c r="F738" s="42">
        <v>0</v>
      </c>
      <c r="G738" s="42">
        <f t="shared" si="11"/>
        <v>-32898</v>
      </c>
      <c r="H738" s="2" t="str">
        <f>VLOOKUP(A738,'TB JULY'!A:H,8,0)</f>
        <v>Not Applicable</v>
      </c>
    </row>
    <row r="739" spans="1:8">
      <c r="A739" s="62" t="s">
        <v>1610</v>
      </c>
      <c r="B739" s="78"/>
      <c r="C739" s="78">
        <v>510940</v>
      </c>
      <c r="D739" s="78">
        <v>1469100</v>
      </c>
      <c r="E739" s="78">
        <v>-958160</v>
      </c>
      <c r="F739" s="42">
        <v>0</v>
      </c>
      <c r="G739" s="42">
        <f t="shared" si="11"/>
        <v>-958160</v>
      </c>
      <c r="H739" s="2" t="str">
        <f>VLOOKUP(A739,'TB JULY'!A:H,8,0)</f>
        <v>Not Applicable</v>
      </c>
    </row>
    <row r="740" spans="1:8">
      <c r="A740" s="62" t="s">
        <v>524</v>
      </c>
      <c r="B740" s="78">
        <v>-112</v>
      </c>
      <c r="C740" s="78"/>
      <c r="D740" s="78"/>
      <c r="E740" s="78">
        <v>-112</v>
      </c>
      <c r="F740" s="42">
        <v>0</v>
      </c>
      <c r="G740" s="42">
        <f t="shared" si="11"/>
        <v>-112</v>
      </c>
      <c r="H740" s="2" t="str">
        <f>VLOOKUP(A740,'TB JULY'!A:H,8,0)</f>
        <v>Not Applicable</v>
      </c>
    </row>
    <row r="741" spans="1:8">
      <c r="A741" s="62" t="s">
        <v>518</v>
      </c>
      <c r="B741" s="78">
        <v>-26359205</v>
      </c>
      <c r="C741" s="78"/>
      <c r="D741" s="78"/>
      <c r="E741" s="78">
        <v>-26359205</v>
      </c>
      <c r="F741" s="42">
        <v>0</v>
      </c>
      <c r="G741" s="42">
        <f t="shared" si="11"/>
        <v>-26359205</v>
      </c>
      <c r="H741" s="2" t="str">
        <f>VLOOKUP(A741,'TB JULY'!A:H,8,0)</f>
        <v>Not Applicable</v>
      </c>
    </row>
    <row r="742" spans="1:8">
      <c r="A742" s="62" t="s">
        <v>514</v>
      </c>
      <c r="B742" s="78">
        <v>-408514348.66000003</v>
      </c>
      <c r="C742" s="78"/>
      <c r="D742" s="78"/>
      <c r="E742" s="78">
        <v>-408514348.66000003</v>
      </c>
      <c r="F742" s="42">
        <v>0</v>
      </c>
      <c r="G742" s="42">
        <f t="shared" si="11"/>
        <v>-408514348.66000003</v>
      </c>
      <c r="H742" s="2" t="str">
        <f>VLOOKUP(A742,'TB JULY'!A:H,8,0)</f>
        <v>Not Applicable</v>
      </c>
    </row>
    <row r="743" spans="1:8">
      <c r="A743" s="62" t="s">
        <v>513</v>
      </c>
      <c r="B743" s="78">
        <v>-273011778.32999998</v>
      </c>
      <c r="C743" s="78"/>
      <c r="D743" s="78"/>
      <c r="E743" s="78">
        <v>-273011778.32999998</v>
      </c>
      <c r="F743" s="42">
        <v>0</v>
      </c>
      <c r="G743" s="42">
        <f t="shared" si="11"/>
        <v>-273011778.32999998</v>
      </c>
      <c r="H743" s="2" t="str">
        <f>VLOOKUP(A743,'TB JULY'!A:H,8,0)</f>
        <v>Not Applicable</v>
      </c>
    </row>
    <row r="744" spans="1:8">
      <c r="A744" s="62" t="s">
        <v>1576</v>
      </c>
      <c r="B744" s="78"/>
      <c r="C744" s="78"/>
      <c r="D744" s="78">
        <v>3540</v>
      </c>
      <c r="E744" s="78">
        <v>-3540</v>
      </c>
      <c r="F744" s="42">
        <v>0</v>
      </c>
      <c r="G744" s="42">
        <f t="shared" si="11"/>
        <v>-3540</v>
      </c>
      <c r="H744" s="2" t="str">
        <f>VLOOKUP(A744,'TB JULY'!A:H,8,0)</f>
        <v>Not Applicable</v>
      </c>
    </row>
    <row r="745" spans="1:8">
      <c r="A745" s="62" t="s">
        <v>1524</v>
      </c>
      <c r="B745" s="78"/>
      <c r="C745" s="78">
        <v>544973</v>
      </c>
      <c r="D745" s="78">
        <v>544973</v>
      </c>
      <c r="E745" s="78"/>
      <c r="F745" s="42">
        <v>0</v>
      </c>
      <c r="G745" s="42">
        <f t="shared" si="11"/>
        <v>0</v>
      </c>
      <c r="H745" s="2" t="str">
        <f>VLOOKUP(A745,'TB JULY'!A:H,8,0)</f>
        <v>Not Applicable</v>
      </c>
    </row>
    <row r="746" spans="1:8">
      <c r="A746" s="62" t="s">
        <v>510</v>
      </c>
      <c r="B746" s="78">
        <v>-3500</v>
      </c>
      <c r="C746" s="78"/>
      <c r="D746" s="78"/>
      <c r="E746" s="78">
        <v>-3500</v>
      </c>
      <c r="F746" s="42">
        <v>0</v>
      </c>
      <c r="G746" s="42">
        <f t="shared" si="11"/>
        <v>-3500</v>
      </c>
      <c r="H746" s="2" t="str">
        <f>VLOOKUP(A746,'TB JULY'!A:H,8,0)</f>
        <v>Not Applicable</v>
      </c>
    </row>
    <row r="747" spans="1:8">
      <c r="A747" s="62" t="s">
        <v>1360</v>
      </c>
      <c r="B747" s="78">
        <v>-36270</v>
      </c>
      <c r="C747" s="78">
        <v>36270</v>
      </c>
      <c r="D747" s="78"/>
      <c r="E747" s="78"/>
      <c r="F747" s="42">
        <v>0</v>
      </c>
      <c r="G747" s="42">
        <f t="shared" si="11"/>
        <v>0</v>
      </c>
      <c r="H747" s="2" t="str">
        <f>VLOOKUP(A747,'TB JULY'!A:H,8,0)</f>
        <v>Not Applicable</v>
      </c>
    </row>
    <row r="748" spans="1:8">
      <c r="A748" s="62" t="s">
        <v>909</v>
      </c>
      <c r="B748" s="78"/>
      <c r="C748" s="78"/>
      <c r="D748" s="78"/>
      <c r="E748" s="78"/>
      <c r="F748" s="42">
        <v>0</v>
      </c>
      <c r="G748" s="42">
        <f t="shared" si="11"/>
        <v>0</v>
      </c>
      <c r="H748" s="2" t="str">
        <f>VLOOKUP(A748,'TB JULY'!A:H,8,0)</f>
        <v>Not Applicable</v>
      </c>
    </row>
    <row r="749" spans="1:8">
      <c r="A749" s="62" t="s">
        <v>506</v>
      </c>
      <c r="B749" s="78">
        <v>-0.12</v>
      </c>
      <c r="C749" s="78"/>
      <c r="D749" s="78"/>
      <c r="E749" s="78">
        <v>-0.12</v>
      </c>
      <c r="F749" s="42">
        <v>0</v>
      </c>
      <c r="G749" s="42">
        <f t="shared" si="11"/>
        <v>-0.12</v>
      </c>
      <c r="H749" s="2" t="str">
        <f>VLOOKUP(A749,'TB JULY'!A:H,8,0)</f>
        <v>Not Applicable</v>
      </c>
    </row>
    <row r="750" spans="1:8">
      <c r="A750" s="62" t="s">
        <v>507</v>
      </c>
      <c r="B750" s="78">
        <v>-143345.60999999999</v>
      </c>
      <c r="C750" s="78"/>
      <c r="D750" s="78"/>
      <c r="E750" s="78">
        <v>-143345.60999999999</v>
      </c>
      <c r="F750" s="42">
        <v>0</v>
      </c>
      <c r="G750" s="42">
        <f t="shared" si="11"/>
        <v>-143345.60999999999</v>
      </c>
      <c r="H750" s="2" t="str">
        <f>VLOOKUP(A750,'TB JULY'!A:H,8,0)</f>
        <v>Not Applicable</v>
      </c>
    </row>
    <row r="751" spans="1:8">
      <c r="A751" s="62" t="s">
        <v>505</v>
      </c>
      <c r="B751" s="78"/>
      <c r="C751" s="78"/>
      <c r="D751" s="78"/>
      <c r="E751" s="78"/>
      <c r="F751" s="42">
        <v>0</v>
      </c>
      <c r="G751" s="42">
        <f t="shared" si="11"/>
        <v>0</v>
      </c>
      <c r="H751" s="2" t="str">
        <f>VLOOKUP(A751,'TB JULY'!A:H,8,0)</f>
        <v>Not Applicable</v>
      </c>
    </row>
    <row r="752" spans="1:8">
      <c r="A752" s="62" t="s">
        <v>504</v>
      </c>
      <c r="B752" s="78">
        <v>-63838054.280000001</v>
      </c>
      <c r="C752" s="78"/>
      <c r="D752" s="78"/>
      <c r="E752" s="78">
        <v>-63838054.280000001</v>
      </c>
      <c r="F752" s="42">
        <v>0</v>
      </c>
      <c r="G752" s="42">
        <f t="shared" si="11"/>
        <v>-63838054.280000001</v>
      </c>
      <c r="H752" s="2" t="str">
        <f>VLOOKUP(A752,'TB JULY'!A:H,8,0)</f>
        <v>Not Applicable</v>
      </c>
    </row>
    <row r="753" spans="1:8">
      <c r="A753" s="62" t="s">
        <v>502</v>
      </c>
      <c r="B753" s="78">
        <v>-2304483139.4699998</v>
      </c>
      <c r="C753" s="78">
        <v>439487.7</v>
      </c>
      <c r="D753" s="78">
        <v>118943454.98999999</v>
      </c>
      <c r="E753" s="78">
        <v>-2422987106.7600002</v>
      </c>
      <c r="F753" s="42">
        <v>0</v>
      </c>
      <c r="G753" s="42">
        <f t="shared" si="11"/>
        <v>-2422987106.7600002</v>
      </c>
      <c r="H753" s="2" t="str">
        <f>VLOOKUP(A753,'TB JULY'!A:H,8,0)</f>
        <v>Not Applicable</v>
      </c>
    </row>
    <row r="754" spans="1:8">
      <c r="A754" s="62" t="s">
        <v>501</v>
      </c>
      <c r="B754" s="78">
        <v>9711150</v>
      </c>
      <c r="C754" s="78"/>
      <c r="D754" s="78"/>
      <c r="E754" s="78">
        <v>9711150</v>
      </c>
      <c r="F754" s="42">
        <v>0</v>
      </c>
      <c r="G754" s="42">
        <f t="shared" si="11"/>
        <v>9711150</v>
      </c>
      <c r="H754" s="2" t="str">
        <f>VLOOKUP(A754,'TB JULY'!A:H,8,0)</f>
        <v>Not Applicable</v>
      </c>
    </row>
    <row r="755" spans="1:8">
      <c r="A755" s="62" t="s">
        <v>499</v>
      </c>
      <c r="B755" s="78">
        <v>142144.26</v>
      </c>
      <c r="C755" s="78"/>
      <c r="D755" s="78"/>
      <c r="E755" s="78">
        <v>142144.26</v>
      </c>
      <c r="F755" s="42">
        <v>0</v>
      </c>
      <c r="G755" s="42">
        <f t="shared" si="11"/>
        <v>142144.26</v>
      </c>
      <c r="H755" s="2" t="str">
        <f>VLOOKUP(A755,'TB JULY'!A:H,8,0)</f>
        <v>Not Applicable</v>
      </c>
    </row>
    <row r="756" spans="1:8">
      <c r="A756" s="62" t="s">
        <v>500</v>
      </c>
      <c r="B756" s="78">
        <v>-11315312.48</v>
      </c>
      <c r="C756" s="78"/>
      <c r="D756" s="78"/>
      <c r="E756" s="78">
        <v>-11315312.48</v>
      </c>
      <c r="F756" s="42">
        <v>0</v>
      </c>
      <c r="G756" s="42">
        <f t="shared" si="11"/>
        <v>-11315312.48</v>
      </c>
      <c r="H756" s="2" t="str">
        <f>VLOOKUP(A756,'TB JULY'!A:H,8,0)</f>
        <v>Not Applicable</v>
      </c>
    </row>
    <row r="757" spans="1:8">
      <c r="A757" s="62" t="s">
        <v>498</v>
      </c>
      <c r="B757" s="78">
        <v>-201420265.81999999</v>
      </c>
      <c r="C757" s="78"/>
      <c r="D757" s="78"/>
      <c r="E757" s="78">
        <v>-201420265.81999999</v>
      </c>
      <c r="F757" s="42">
        <v>0</v>
      </c>
      <c r="G757" s="42">
        <f t="shared" si="11"/>
        <v>-201420265.81999999</v>
      </c>
      <c r="H757" s="2" t="str">
        <f>VLOOKUP(A757,'TB JULY'!A:H,8,0)</f>
        <v>Not Applicable</v>
      </c>
    </row>
    <row r="758" spans="1:8">
      <c r="A758" s="62" t="s">
        <v>497</v>
      </c>
      <c r="B758" s="78">
        <v>-168073662.58000001</v>
      </c>
      <c r="C758" s="78"/>
      <c r="D758" s="78">
        <v>1519977.2</v>
      </c>
      <c r="E758" s="78">
        <v>-169593639.78</v>
      </c>
      <c r="F758" s="42">
        <v>0</v>
      </c>
      <c r="G758" s="42">
        <f t="shared" si="11"/>
        <v>-169593639.78</v>
      </c>
      <c r="H758" s="2" t="str">
        <f>VLOOKUP(A758,'TB JULY'!A:H,8,0)</f>
        <v>Not Applicable</v>
      </c>
    </row>
    <row r="759" spans="1:8">
      <c r="A759" s="62" t="s">
        <v>1526</v>
      </c>
      <c r="B759" s="78"/>
      <c r="C759" s="78">
        <v>5496792.5</v>
      </c>
      <c r="D759" s="78">
        <v>5496792.75</v>
      </c>
      <c r="E759" s="78">
        <v>-0.25</v>
      </c>
      <c r="F759" s="42">
        <v>0</v>
      </c>
      <c r="G759" s="42">
        <f t="shared" si="11"/>
        <v>-0.25</v>
      </c>
      <c r="H759" s="2" t="str">
        <f>VLOOKUP(A759,'TB JULY'!A:H,8,0)</f>
        <v>Not Applicable</v>
      </c>
    </row>
    <row r="760" spans="1:8">
      <c r="A760" s="62" t="s">
        <v>908</v>
      </c>
      <c r="B760" s="78">
        <v>40000</v>
      </c>
      <c r="C760" s="78"/>
      <c r="D760" s="78"/>
      <c r="E760" s="78">
        <v>40000</v>
      </c>
      <c r="F760" s="42">
        <v>0</v>
      </c>
      <c r="G760" s="42">
        <f t="shared" si="11"/>
        <v>40000</v>
      </c>
      <c r="H760" s="2" t="str">
        <f>VLOOKUP(A760,'TB JULY'!A:H,8,0)</f>
        <v>Not Applicable</v>
      </c>
    </row>
    <row r="761" spans="1:8">
      <c r="A761" s="62" t="s">
        <v>1059</v>
      </c>
      <c r="B761" s="78">
        <v>-301099</v>
      </c>
      <c r="C761" s="78"/>
      <c r="D761" s="78"/>
      <c r="E761" s="78">
        <v>-301099</v>
      </c>
      <c r="F761" s="42">
        <v>0</v>
      </c>
      <c r="G761" s="42">
        <f t="shared" si="11"/>
        <v>-301099</v>
      </c>
      <c r="H761" s="2" t="str">
        <f>VLOOKUP(A761,'TB JULY'!A:H,8,0)</f>
        <v>Not Applicable</v>
      </c>
    </row>
    <row r="762" spans="1:8">
      <c r="A762" s="62" t="s">
        <v>1361</v>
      </c>
      <c r="B762" s="78">
        <v>30</v>
      </c>
      <c r="C762" s="78"/>
      <c r="D762" s="78"/>
      <c r="E762" s="78">
        <v>30</v>
      </c>
      <c r="F762" s="42">
        <v>0</v>
      </c>
      <c r="G762" s="42">
        <f t="shared" si="11"/>
        <v>30</v>
      </c>
      <c r="H762" s="2" t="str">
        <f>VLOOKUP(A762,'TB JULY'!A:H,8,0)</f>
        <v>Not Applicable</v>
      </c>
    </row>
    <row r="763" spans="1:8">
      <c r="A763" s="62" t="s">
        <v>1362</v>
      </c>
      <c r="B763" s="78">
        <v>41300</v>
      </c>
      <c r="C763" s="78"/>
      <c r="D763" s="78">
        <v>41300</v>
      </c>
      <c r="E763" s="78"/>
      <c r="F763" s="42">
        <v>0</v>
      </c>
      <c r="G763" s="42">
        <f t="shared" si="11"/>
        <v>0</v>
      </c>
      <c r="H763" s="2" t="str">
        <f>VLOOKUP(A763,'TB JULY'!A:H,8,0)</f>
        <v>Not Applicable</v>
      </c>
    </row>
    <row r="764" spans="1:8">
      <c r="A764" s="62" t="s">
        <v>480</v>
      </c>
      <c r="B764" s="78"/>
      <c r="C764" s="78">
        <v>463</v>
      </c>
      <c r="D764" s="78">
        <v>463</v>
      </c>
      <c r="E764" s="78"/>
      <c r="F764" s="42">
        <v>0</v>
      </c>
      <c r="G764" s="42">
        <f t="shared" si="11"/>
        <v>0</v>
      </c>
      <c r="H764" s="2" t="str">
        <f>VLOOKUP(A764,'TB JULY'!A:H,8,0)</f>
        <v>Not Applicable</v>
      </c>
    </row>
    <row r="765" spans="1:8">
      <c r="A765" s="62" t="s">
        <v>474</v>
      </c>
      <c r="B765" s="78"/>
      <c r="C765" s="78">
        <v>4600</v>
      </c>
      <c r="D765" s="78">
        <v>14900</v>
      </c>
      <c r="E765" s="78">
        <v>-10300</v>
      </c>
      <c r="F765" s="42">
        <v>0</v>
      </c>
      <c r="G765" s="42">
        <f t="shared" si="11"/>
        <v>-10300</v>
      </c>
      <c r="H765" s="2" t="str">
        <f>VLOOKUP(A765,'TB JULY'!A:H,8,0)</f>
        <v>Not Applicable</v>
      </c>
    </row>
    <row r="766" spans="1:8">
      <c r="A766" s="62" t="s">
        <v>898</v>
      </c>
      <c r="B766" s="78">
        <v>200</v>
      </c>
      <c r="C766" s="78"/>
      <c r="D766" s="78"/>
      <c r="E766" s="78">
        <v>200</v>
      </c>
      <c r="F766" s="42">
        <v>0</v>
      </c>
      <c r="G766" s="42">
        <f t="shared" si="11"/>
        <v>200</v>
      </c>
      <c r="H766" s="2" t="str">
        <f>VLOOKUP(A766,'TB JULY'!A:H,8,0)</f>
        <v>Not Applicable</v>
      </c>
    </row>
    <row r="767" spans="1:8">
      <c r="A767" s="62" t="s">
        <v>476</v>
      </c>
      <c r="B767" s="78"/>
      <c r="C767" s="78">
        <v>7090</v>
      </c>
      <c r="D767" s="78">
        <v>8260</v>
      </c>
      <c r="E767" s="78">
        <v>-1170</v>
      </c>
      <c r="F767" s="42">
        <v>0</v>
      </c>
      <c r="G767" s="42">
        <f t="shared" si="11"/>
        <v>-1170</v>
      </c>
      <c r="H767" s="2" t="str">
        <f>VLOOKUP(A767,'TB JULY'!A:H,8,0)</f>
        <v>Not Applicable</v>
      </c>
    </row>
    <row r="768" spans="1:8">
      <c r="A768" s="62" t="s">
        <v>479</v>
      </c>
      <c r="B768" s="78"/>
      <c r="C768" s="78">
        <v>12885.6</v>
      </c>
      <c r="D768" s="78"/>
      <c r="E768" s="78">
        <v>12885.6</v>
      </c>
      <c r="F768" s="42">
        <v>0</v>
      </c>
      <c r="G768" s="42">
        <f t="shared" si="11"/>
        <v>12885.6</v>
      </c>
      <c r="H768" s="2" t="str">
        <f>VLOOKUP(A768,'TB JULY'!A:H,8,0)</f>
        <v>Not Applicable</v>
      </c>
    </row>
    <row r="769" spans="1:8">
      <c r="A769" s="62" t="s">
        <v>1577</v>
      </c>
      <c r="B769" s="78"/>
      <c r="C769" s="78">
        <v>3658</v>
      </c>
      <c r="D769" s="78">
        <v>3658</v>
      </c>
      <c r="E769" s="78"/>
      <c r="F769" s="42">
        <v>0</v>
      </c>
      <c r="G769" s="42">
        <f t="shared" si="11"/>
        <v>0</v>
      </c>
      <c r="H769" s="2" t="str">
        <f>VLOOKUP(A769,'TB JULY'!A:H,8,0)</f>
        <v>Not Applicable</v>
      </c>
    </row>
    <row r="770" spans="1:8">
      <c r="A770" s="62" t="s">
        <v>1065</v>
      </c>
      <c r="B770" s="78"/>
      <c r="C770" s="78">
        <v>21240</v>
      </c>
      <c r="D770" s="78"/>
      <c r="E770" s="78">
        <v>21240</v>
      </c>
      <c r="F770" s="42">
        <v>0</v>
      </c>
      <c r="G770" s="42">
        <f t="shared" si="11"/>
        <v>21240</v>
      </c>
      <c r="H770" s="2" t="str">
        <f>VLOOKUP(A770,'TB JULY'!A:H,8,0)</f>
        <v>Not Applicable</v>
      </c>
    </row>
    <row r="771" spans="1:8">
      <c r="A771" s="62" t="s">
        <v>468</v>
      </c>
      <c r="B771" s="78">
        <v>-15139</v>
      </c>
      <c r="C771" s="78"/>
      <c r="D771" s="78"/>
      <c r="E771" s="78">
        <v>-15139</v>
      </c>
      <c r="F771" s="42">
        <v>0</v>
      </c>
      <c r="G771" s="42">
        <f t="shared" si="11"/>
        <v>-15139</v>
      </c>
      <c r="H771" s="2" t="str">
        <f>VLOOKUP(A771,'TB JULY'!A:H,8,0)</f>
        <v>Not Applicable</v>
      </c>
    </row>
    <row r="772" spans="1:8">
      <c r="A772" s="62" t="s">
        <v>458</v>
      </c>
      <c r="B772" s="78"/>
      <c r="C772" s="78">
        <v>5499.98</v>
      </c>
      <c r="D772" s="78">
        <v>5500</v>
      </c>
      <c r="E772" s="78">
        <v>-0.02</v>
      </c>
      <c r="F772" s="42">
        <v>0</v>
      </c>
      <c r="G772" s="42">
        <f t="shared" si="11"/>
        <v>-0.02</v>
      </c>
      <c r="H772" s="2" t="s">
        <v>84</v>
      </c>
    </row>
    <row r="773" spans="1:8">
      <c r="A773" s="62" t="s">
        <v>1064</v>
      </c>
      <c r="B773" s="78">
        <v>-0.89</v>
      </c>
      <c r="C773" s="78">
        <v>20945</v>
      </c>
      <c r="D773" s="78">
        <v>11859</v>
      </c>
      <c r="E773" s="78">
        <v>9085.11</v>
      </c>
      <c r="F773" s="42">
        <v>0</v>
      </c>
      <c r="G773" s="42">
        <f t="shared" si="11"/>
        <v>9085.11</v>
      </c>
      <c r="H773" s="2" t="str">
        <f>VLOOKUP(A773,'TB JULY'!A:H,8,0)</f>
        <v>Not Applicable</v>
      </c>
    </row>
    <row r="774" spans="1:8">
      <c r="A774" s="62" t="s">
        <v>1364</v>
      </c>
      <c r="B774" s="78">
        <v>40000</v>
      </c>
      <c r="C774" s="78"/>
      <c r="D774" s="78"/>
      <c r="E774" s="78">
        <v>40000</v>
      </c>
      <c r="F774" s="42">
        <v>0</v>
      </c>
      <c r="G774" s="42">
        <f t="shared" si="11"/>
        <v>40000</v>
      </c>
      <c r="H774" s="2" t="str">
        <f>VLOOKUP(A774,'TB JULY'!A:H,8,0)</f>
        <v>Not Applicable</v>
      </c>
    </row>
    <row r="775" spans="1:8">
      <c r="A775" s="62" t="s">
        <v>1098</v>
      </c>
      <c r="B775" s="78">
        <v>-1890</v>
      </c>
      <c r="C775" s="78"/>
      <c r="D775" s="78"/>
      <c r="E775" s="78">
        <v>-1890</v>
      </c>
      <c r="F775" s="42">
        <v>0</v>
      </c>
      <c r="G775" s="42">
        <f t="shared" ref="G775:G838" si="12">E775+F775</f>
        <v>-1890</v>
      </c>
      <c r="H775" s="2" t="str">
        <f>VLOOKUP(A775,'TB JULY'!A:H,8,0)</f>
        <v>Not Applicable</v>
      </c>
    </row>
    <row r="776" spans="1:8">
      <c r="A776" s="62" t="s">
        <v>454</v>
      </c>
      <c r="B776" s="78"/>
      <c r="C776" s="78">
        <v>29905</v>
      </c>
      <c r="D776" s="78">
        <v>29905</v>
      </c>
      <c r="E776" s="78"/>
      <c r="F776" s="42">
        <v>0</v>
      </c>
      <c r="G776" s="42">
        <f t="shared" si="12"/>
        <v>0</v>
      </c>
      <c r="H776" s="2" t="s">
        <v>84</v>
      </c>
    </row>
    <row r="777" spans="1:8">
      <c r="A777" s="62" t="s">
        <v>1527</v>
      </c>
      <c r="B777" s="78"/>
      <c r="C777" s="78">
        <v>2124</v>
      </c>
      <c r="D777" s="78">
        <v>2124</v>
      </c>
      <c r="E777" s="78"/>
      <c r="F777" s="42">
        <v>0</v>
      </c>
      <c r="G777" s="42">
        <f t="shared" si="12"/>
        <v>0</v>
      </c>
      <c r="H777" s="2" t="str">
        <f>VLOOKUP(A777,'TB JULY'!A:H,8,0)</f>
        <v>Not Applicable</v>
      </c>
    </row>
    <row r="778" spans="1:8">
      <c r="A778" s="62" t="s">
        <v>1338</v>
      </c>
      <c r="B778" s="78"/>
      <c r="C778" s="78">
        <v>17000</v>
      </c>
      <c r="D778" s="78">
        <v>17000</v>
      </c>
      <c r="E778" s="78"/>
      <c r="F778" s="42">
        <v>0</v>
      </c>
      <c r="G778" s="42">
        <f t="shared" si="12"/>
        <v>0</v>
      </c>
      <c r="H778" s="2" t="str">
        <f>VLOOKUP(A778,'TB JULY'!A:H,8,0)</f>
        <v>Not Applicable</v>
      </c>
    </row>
    <row r="779" spans="1:8">
      <c r="A779" s="62" t="s">
        <v>1528</v>
      </c>
      <c r="B779" s="78"/>
      <c r="C779" s="78">
        <v>14750</v>
      </c>
      <c r="D779" s="78">
        <v>14750</v>
      </c>
      <c r="E779" s="78"/>
      <c r="F779" s="42">
        <v>0</v>
      </c>
      <c r="G779" s="42">
        <f t="shared" si="12"/>
        <v>0</v>
      </c>
      <c r="H779" s="2" t="str">
        <f>VLOOKUP(A779,'TB JULY'!A:H,8,0)</f>
        <v>Not Applicable</v>
      </c>
    </row>
    <row r="780" spans="1:8">
      <c r="A780" s="62" t="s">
        <v>448</v>
      </c>
      <c r="B780" s="78">
        <v>-49798</v>
      </c>
      <c r="C780" s="78">
        <v>310265</v>
      </c>
      <c r="D780" s="78">
        <v>295983</v>
      </c>
      <c r="E780" s="78">
        <v>-35516</v>
      </c>
      <c r="F780" s="42">
        <v>0</v>
      </c>
      <c r="G780" s="42">
        <f t="shared" si="12"/>
        <v>-35516</v>
      </c>
      <c r="H780" s="2" t="str">
        <f>VLOOKUP(A780,'TB JULY'!A:H,8,0)</f>
        <v>Not Applicable</v>
      </c>
    </row>
    <row r="781" spans="1:8">
      <c r="A781" s="62" t="s">
        <v>410</v>
      </c>
      <c r="B781" s="78">
        <v>-64676.56</v>
      </c>
      <c r="C781" s="78">
        <v>72082</v>
      </c>
      <c r="D781" s="78">
        <v>50622</v>
      </c>
      <c r="E781" s="78">
        <v>-43216.56</v>
      </c>
      <c r="F781" s="42">
        <v>0</v>
      </c>
      <c r="G781" s="42">
        <f t="shared" si="12"/>
        <v>-43216.56</v>
      </c>
      <c r="H781" s="2" t="str">
        <f>VLOOKUP(A781,'TB JULY'!A:H,8,0)</f>
        <v>Not Applicable</v>
      </c>
    </row>
    <row r="782" spans="1:8">
      <c r="A782" s="62" t="s">
        <v>1293</v>
      </c>
      <c r="B782" s="78">
        <v>-42120</v>
      </c>
      <c r="C782" s="78"/>
      <c r="D782" s="78"/>
      <c r="E782" s="78">
        <v>-42120</v>
      </c>
      <c r="F782" s="42">
        <v>0</v>
      </c>
      <c r="G782" s="42">
        <f t="shared" si="12"/>
        <v>-42120</v>
      </c>
      <c r="H782" s="2" t="str">
        <f>VLOOKUP(A782,'TB JULY'!A:H,8,0)</f>
        <v>Not Applicable</v>
      </c>
    </row>
    <row r="783" spans="1:8">
      <c r="A783" s="62" t="s">
        <v>1340</v>
      </c>
      <c r="B783" s="78">
        <v>-60416</v>
      </c>
      <c r="C783" s="78">
        <v>60416</v>
      </c>
      <c r="D783" s="78"/>
      <c r="E783" s="78"/>
      <c r="F783" s="42">
        <v>0</v>
      </c>
      <c r="G783" s="42">
        <f t="shared" si="12"/>
        <v>0</v>
      </c>
      <c r="H783" s="2" t="str">
        <f>VLOOKUP(A783,'TB JULY'!A:H,8,0)</f>
        <v>Not Applicable</v>
      </c>
    </row>
    <row r="784" spans="1:8">
      <c r="A784" s="62" t="s">
        <v>1266</v>
      </c>
      <c r="B784" s="78">
        <v>-44080</v>
      </c>
      <c r="C784" s="78">
        <v>336260</v>
      </c>
      <c r="D784" s="78">
        <v>312700</v>
      </c>
      <c r="E784" s="78">
        <v>-20520</v>
      </c>
      <c r="F784" s="42">
        <v>0</v>
      </c>
      <c r="G784" s="42">
        <f t="shared" si="12"/>
        <v>-20520</v>
      </c>
      <c r="H784" s="2" t="str">
        <f>VLOOKUP(A784,'TB JULY'!A:H,8,0)</f>
        <v>Not Applicable</v>
      </c>
    </row>
    <row r="785" spans="1:8">
      <c r="A785" s="62" t="s">
        <v>430</v>
      </c>
      <c r="B785" s="78">
        <v>-8366</v>
      </c>
      <c r="C785" s="78">
        <v>46952</v>
      </c>
      <c r="D785" s="78">
        <v>48533</v>
      </c>
      <c r="E785" s="78">
        <v>-9947</v>
      </c>
      <c r="F785" s="42">
        <v>0</v>
      </c>
      <c r="G785" s="42">
        <f t="shared" si="12"/>
        <v>-9947</v>
      </c>
      <c r="H785" s="2" t="str">
        <f>VLOOKUP(A785,'TB JULY'!A:H,8,0)</f>
        <v>Not Applicable</v>
      </c>
    </row>
    <row r="786" spans="1:8">
      <c r="A786" s="62" t="s">
        <v>413</v>
      </c>
      <c r="B786" s="78">
        <v>-3926</v>
      </c>
      <c r="C786" s="78"/>
      <c r="D786" s="78"/>
      <c r="E786" s="78">
        <v>-3926</v>
      </c>
      <c r="F786" s="42">
        <v>0</v>
      </c>
      <c r="G786" s="42">
        <f t="shared" si="12"/>
        <v>-3926</v>
      </c>
      <c r="H786" s="2" t="str">
        <f>VLOOKUP(A786,'TB JULY'!A:H,8,0)</f>
        <v>Not Applicable</v>
      </c>
    </row>
    <row r="787" spans="1:8">
      <c r="A787" s="62" t="s">
        <v>1325</v>
      </c>
      <c r="B787" s="78"/>
      <c r="C787" s="78"/>
      <c r="D787" s="78"/>
      <c r="E787" s="78"/>
      <c r="F787" s="42">
        <v>0</v>
      </c>
      <c r="G787" s="42">
        <f t="shared" si="12"/>
        <v>0</v>
      </c>
      <c r="H787" s="2" t="str">
        <f>VLOOKUP(A787,'TB JULY'!A:H,8,0)</f>
        <v>Not Applicable</v>
      </c>
    </row>
    <row r="788" spans="1:8">
      <c r="A788" s="62" t="s">
        <v>414</v>
      </c>
      <c r="B788" s="78">
        <v>-10234</v>
      </c>
      <c r="C788" s="78">
        <v>37338</v>
      </c>
      <c r="D788" s="78">
        <v>38715</v>
      </c>
      <c r="E788" s="78">
        <v>-11611</v>
      </c>
      <c r="F788" s="42">
        <v>0</v>
      </c>
      <c r="G788" s="42">
        <f t="shared" si="12"/>
        <v>-11611</v>
      </c>
      <c r="H788" s="2" t="str">
        <f>VLOOKUP(A788,'TB JULY'!A:H,8,0)</f>
        <v>Not Applicable</v>
      </c>
    </row>
    <row r="789" spans="1:8">
      <c r="A789" s="62" t="s">
        <v>1185</v>
      </c>
      <c r="B789" s="78">
        <v>-388959</v>
      </c>
      <c r="C789" s="78">
        <v>4875714</v>
      </c>
      <c r="D789" s="78">
        <v>4906623</v>
      </c>
      <c r="E789" s="78">
        <v>-419868</v>
      </c>
      <c r="F789" s="42">
        <v>0</v>
      </c>
      <c r="G789" s="42">
        <f t="shared" si="12"/>
        <v>-419868</v>
      </c>
      <c r="H789" s="2" t="str">
        <f>VLOOKUP(A789,'TB JULY'!A:H,8,0)</f>
        <v>Not Applicable</v>
      </c>
    </row>
    <row r="790" spans="1:8">
      <c r="A790" s="62" t="s">
        <v>1365</v>
      </c>
      <c r="B790" s="78">
        <v>-1687</v>
      </c>
      <c r="C790" s="78">
        <v>1687</v>
      </c>
      <c r="D790" s="78">
        <v>7809</v>
      </c>
      <c r="E790" s="78">
        <v>-7809</v>
      </c>
      <c r="F790" s="42">
        <v>0</v>
      </c>
      <c r="G790" s="42">
        <f t="shared" si="12"/>
        <v>-7809</v>
      </c>
      <c r="H790" s="2" t="str">
        <f>VLOOKUP(A790,'TB JULY'!A:H,8,0)</f>
        <v>Not Applicable</v>
      </c>
    </row>
    <row r="791" spans="1:8">
      <c r="A791" s="62" t="s">
        <v>1186</v>
      </c>
      <c r="B791" s="78"/>
      <c r="C791" s="78">
        <v>8850</v>
      </c>
      <c r="D791" s="78">
        <v>8850</v>
      </c>
      <c r="E791" s="78"/>
      <c r="F791" s="42">
        <v>0</v>
      </c>
      <c r="G791" s="42">
        <f t="shared" si="12"/>
        <v>0</v>
      </c>
      <c r="H791" s="2" t="str">
        <f>VLOOKUP(A791,'TB JULY'!A:H,8,0)</f>
        <v>Not Applicable</v>
      </c>
    </row>
    <row r="792" spans="1:8">
      <c r="A792" s="62" t="s">
        <v>1474</v>
      </c>
      <c r="B792" s="78"/>
      <c r="C792" s="78">
        <v>35717.129999999997</v>
      </c>
      <c r="D792" s="78">
        <v>35717.129999999997</v>
      </c>
      <c r="E792" s="78"/>
      <c r="F792" s="42">
        <v>0</v>
      </c>
      <c r="G792" s="42">
        <f t="shared" si="12"/>
        <v>0</v>
      </c>
      <c r="H792" s="2" t="str">
        <f>VLOOKUP(A792,'TB JULY'!A:H,8,0)</f>
        <v>Not Applicable</v>
      </c>
    </row>
    <row r="793" spans="1:8">
      <c r="A793" s="62" t="s">
        <v>1611</v>
      </c>
      <c r="B793" s="78"/>
      <c r="C793" s="78">
        <v>2228310</v>
      </c>
      <c r="D793" s="78">
        <v>2228310</v>
      </c>
      <c r="E793" s="78"/>
      <c r="F793" s="42">
        <v>0</v>
      </c>
      <c r="G793" s="42">
        <f t="shared" si="12"/>
        <v>0</v>
      </c>
      <c r="H793" s="2" t="str">
        <f>VLOOKUP(A793,'TB JULY'!A:H,8,0)</f>
        <v>Not Applicable</v>
      </c>
    </row>
    <row r="794" spans="1:8">
      <c r="A794" s="62" t="s">
        <v>1134</v>
      </c>
      <c r="B794" s="78"/>
      <c r="C794" s="78">
        <v>4224357</v>
      </c>
      <c r="D794" s="78">
        <v>4227940</v>
      </c>
      <c r="E794" s="78">
        <v>-3583</v>
      </c>
      <c r="F794" s="42">
        <v>0</v>
      </c>
      <c r="G794" s="42">
        <f t="shared" si="12"/>
        <v>-3583</v>
      </c>
      <c r="H794" s="2" t="s">
        <v>84</v>
      </c>
    </row>
    <row r="795" spans="1:8">
      <c r="A795" s="62" t="s">
        <v>961</v>
      </c>
      <c r="B795" s="78">
        <v>-5940</v>
      </c>
      <c r="C795" s="78">
        <v>33150</v>
      </c>
      <c r="D795" s="78">
        <v>48000</v>
      </c>
      <c r="E795" s="78">
        <v>-20790</v>
      </c>
      <c r="F795" s="42">
        <v>0</v>
      </c>
      <c r="G795" s="42">
        <f t="shared" si="12"/>
        <v>-20790</v>
      </c>
      <c r="H795" s="2" t="str">
        <f>VLOOKUP(A795,'TB JULY'!A:H,8,0)</f>
        <v>Not Applicable</v>
      </c>
    </row>
    <row r="796" spans="1:8">
      <c r="A796" s="62" t="s">
        <v>1366</v>
      </c>
      <c r="B796" s="78">
        <v>-56186</v>
      </c>
      <c r="C796" s="78">
        <v>56186</v>
      </c>
      <c r="D796" s="78"/>
      <c r="E796" s="78"/>
      <c r="F796" s="42">
        <v>0</v>
      </c>
      <c r="G796" s="42">
        <f t="shared" si="12"/>
        <v>0</v>
      </c>
      <c r="H796" s="2" t="str">
        <f>VLOOKUP(A796,'TB JULY'!A:H,8,0)</f>
        <v>Not Applicable</v>
      </c>
    </row>
    <row r="797" spans="1:8">
      <c r="A797" s="62" t="s">
        <v>865</v>
      </c>
      <c r="B797" s="78"/>
      <c r="C797" s="78">
        <v>20813</v>
      </c>
      <c r="D797" s="78">
        <v>21273</v>
      </c>
      <c r="E797" s="78">
        <v>-460</v>
      </c>
      <c r="F797" s="42">
        <v>0</v>
      </c>
      <c r="G797" s="42">
        <f t="shared" si="12"/>
        <v>-460</v>
      </c>
      <c r="H797" s="2" t="str">
        <f>VLOOKUP(A797,'TB JULY'!A:H,8,0)</f>
        <v>Not Applicable</v>
      </c>
    </row>
    <row r="798" spans="1:8">
      <c r="A798" s="62" t="s">
        <v>1367</v>
      </c>
      <c r="B798" s="78">
        <v>-6825</v>
      </c>
      <c r="C798" s="78">
        <v>7437</v>
      </c>
      <c r="D798" s="78">
        <v>3372</v>
      </c>
      <c r="E798" s="78">
        <v>-2760</v>
      </c>
      <c r="F798" s="42">
        <v>0</v>
      </c>
      <c r="G798" s="42">
        <f t="shared" si="12"/>
        <v>-2760</v>
      </c>
      <c r="H798" s="2" t="str">
        <f>VLOOKUP(A798,'TB JULY'!A:H,8,0)</f>
        <v>Not Applicable</v>
      </c>
    </row>
    <row r="799" spans="1:8">
      <c r="A799" s="62" t="s">
        <v>1294</v>
      </c>
      <c r="B799" s="78">
        <v>-1006540</v>
      </c>
      <c r="C799" s="78">
        <v>1711341.88</v>
      </c>
      <c r="D799" s="78">
        <v>704801.88</v>
      </c>
      <c r="E799" s="78"/>
      <c r="F799" s="42">
        <v>0</v>
      </c>
      <c r="G799" s="42">
        <f t="shared" si="12"/>
        <v>0</v>
      </c>
      <c r="H799" s="2" t="str">
        <f>VLOOKUP(A799,'TB JULY'!A:H,8,0)</f>
        <v>Not Applicable</v>
      </c>
    </row>
    <row r="800" spans="1:8">
      <c r="A800" s="62" t="s">
        <v>1529</v>
      </c>
      <c r="B800" s="78"/>
      <c r="C800" s="78">
        <v>9912</v>
      </c>
      <c r="D800" s="78">
        <v>9912</v>
      </c>
      <c r="E800" s="78"/>
      <c r="F800" s="42">
        <v>0</v>
      </c>
      <c r="G800" s="42">
        <f t="shared" si="12"/>
        <v>0</v>
      </c>
      <c r="H800" s="2" t="str">
        <f>VLOOKUP(A800,'TB JULY'!A:H,8,0)</f>
        <v>Not Applicable</v>
      </c>
    </row>
    <row r="801" spans="1:8">
      <c r="A801" s="62" t="s">
        <v>936</v>
      </c>
      <c r="B801" s="78">
        <v>-1401981.1</v>
      </c>
      <c r="C801" s="78">
        <v>1813011</v>
      </c>
      <c r="D801" s="78">
        <v>411031</v>
      </c>
      <c r="E801" s="78">
        <v>-1.1000000000000001</v>
      </c>
      <c r="F801" s="42">
        <v>0</v>
      </c>
      <c r="G801" s="42">
        <f t="shared" si="12"/>
        <v>-1.1000000000000001</v>
      </c>
      <c r="H801" s="2" t="str">
        <f>VLOOKUP(A801,'TB JULY'!A:H,8,0)</f>
        <v>Not Applicable</v>
      </c>
    </row>
    <row r="802" spans="1:8">
      <c r="A802" s="62" t="s">
        <v>1530</v>
      </c>
      <c r="B802" s="78"/>
      <c r="C802" s="78">
        <v>481288</v>
      </c>
      <c r="D802" s="78">
        <v>712850</v>
      </c>
      <c r="E802" s="78">
        <v>-231562</v>
      </c>
      <c r="F802" s="42">
        <v>0</v>
      </c>
      <c r="G802" s="42">
        <f t="shared" si="12"/>
        <v>-231562</v>
      </c>
      <c r="H802" s="2" t="str">
        <f>VLOOKUP(A802,'TB JULY'!A:H,8,0)</f>
        <v>Not Applicable</v>
      </c>
    </row>
    <row r="803" spans="1:8">
      <c r="A803" s="62" t="s">
        <v>391</v>
      </c>
      <c r="B803" s="78">
        <v>-3599</v>
      </c>
      <c r="C803" s="78"/>
      <c r="D803" s="78"/>
      <c r="E803" s="78">
        <v>-3599</v>
      </c>
      <c r="F803" s="42">
        <v>0</v>
      </c>
      <c r="G803" s="42">
        <f t="shared" si="12"/>
        <v>-3599</v>
      </c>
      <c r="H803" s="2" t="str">
        <f>VLOOKUP(A803,'TB JULY'!A:H,8,0)</f>
        <v>Not Applicable</v>
      </c>
    </row>
    <row r="804" spans="1:8">
      <c r="A804" s="62" t="s">
        <v>392</v>
      </c>
      <c r="B804" s="78"/>
      <c r="C804" s="78">
        <v>20202</v>
      </c>
      <c r="D804" s="78">
        <v>20202</v>
      </c>
      <c r="E804" s="78"/>
      <c r="F804" s="42">
        <v>0</v>
      </c>
      <c r="G804" s="42">
        <f t="shared" si="12"/>
        <v>0</v>
      </c>
      <c r="H804" s="2" t="str">
        <f>VLOOKUP(A804,'TB JULY'!A:H,8,0)</f>
        <v>Not Applicable</v>
      </c>
    </row>
    <row r="805" spans="1:8">
      <c r="A805" s="62" t="s">
        <v>383</v>
      </c>
      <c r="B805" s="78">
        <v>-23364</v>
      </c>
      <c r="C805" s="78">
        <v>93456</v>
      </c>
      <c r="D805" s="78">
        <v>116820</v>
      </c>
      <c r="E805" s="78">
        <v>-46728</v>
      </c>
      <c r="F805" s="42">
        <v>0</v>
      </c>
      <c r="G805" s="42">
        <f t="shared" si="12"/>
        <v>-46728</v>
      </c>
      <c r="H805" s="2" t="str">
        <f>VLOOKUP(A805,'TB JULY'!A:H,8,0)</f>
        <v>Not Applicable</v>
      </c>
    </row>
    <row r="806" spans="1:8">
      <c r="A806" s="62" t="s">
        <v>1475</v>
      </c>
      <c r="B806" s="78"/>
      <c r="C806" s="78"/>
      <c r="D806" s="78"/>
      <c r="E806" s="78"/>
      <c r="F806" s="42">
        <v>0</v>
      </c>
      <c r="G806" s="42">
        <f t="shared" si="12"/>
        <v>0</v>
      </c>
      <c r="H806" s="2" t="s">
        <v>84</v>
      </c>
    </row>
    <row r="807" spans="1:8">
      <c r="A807" s="62" t="s">
        <v>1033</v>
      </c>
      <c r="B807" s="78">
        <v>-3837501.48</v>
      </c>
      <c r="C807" s="78"/>
      <c r="D807" s="78"/>
      <c r="E807" s="78">
        <v>-3837501.48</v>
      </c>
      <c r="F807" s="42">
        <v>0</v>
      </c>
      <c r="G807" s="42">
        <f t="shared" si="12"/>
        <v>-3837501.48</v>
      </c>
      <c r="H807" s="2" t="str">
        <f>VLOOKUP(A807,'TB JULY'!A:H,8,0)</f>
        <v>Not Applicable</v>
      </c>
    </row>
    <row r="808" spans="1:8">
      <c r="A808" s="62" t="s">
        <v>1476</v>
      </c>
      <c r="B808" s="78"/>
      <c r="C808" s="78">
        <v>754138</v>
      </c>
      <c r="D808" s="78">
        <v>754138</v>
      </c>
      <c r="E808" s="78"/>
      <c r="F808" s="42">
        <v>0</v>
      </c>
      <c r="G808" s="42">
        <f t="shared" si="12"/>
        <v>0</v>
      </c>
      <c r="H808" s="2" t="str">
        <f>VLOOKUP(A808,'TB JULY'!A:H,8,0)</f>
        <v>Not Applicable</v>
      </c>
    </row>
    <row r="809" spans="1:8">
      <c r="A809" s="62" t="s">
        <v>1133</v>
      </c>
      <c r="B809" s="78"/>
      <c r="C809" s="78">
        <v>162840</v>
      </c>
      <c r="D809" s="78">
        <v>162840</v>
      </c>
      <c r="E809" s="78"/>
      <c r="F809" s="42">
        <v>0</v>
      </c>
      <c r="G809" s="42">
        <f t="shared" si="12"/>
        <v>0</v>
      </c>
      <c r="H809" s="2" t="str">
        <f>VLOOKUP(A809,'TB JULY'!A:H,8,0)</f>
        <v>Not Applicable</v>
      </c>
    </row>
    <row r="810" spans="1:8">
      <c r="A810" s="62" t="s">
        <v>1060</v>
      </c>
      <c r="B810" s="78"/>
      <c r="C810" s="78">
        <v>177000</v>
      </c>
      <c r="D810" s="78">
        <v>177000</v>
      </c>
      <c r="E810" s="78"/>
      <c r="F810" s="42">
        <v>0</v>
      </c>
      <c r="G810" s="42">
        <f t="shared" si="12"/>
        <v>0</v>
      </c>
      <c r="H810" s="2" t="str">
        <f>VLOOKUP(A810,'TB JULY'!A:H,8,0)</f>
        <v>Not Applicable</v>
      </c>
    </row>
    <row r="811" spans="1:8">
      <c r="A811" s="62" t="s">
        <v>895</v>
      </c>
      <c r="B811" s="78">
        <v>1605</v>
      </c>
      <c r="C811" s="78">
        <v>2983</v>
      </c>
      <c r="D811" s="78"/>
      <c r="E811" s="78">
        <v>4588</v>
      </c>
      <c r="F811" s="42">
        <v>0</v>
      </c>
      <c r="G811" s="42">
        <f t="shared" si="12"/>
        <v>4588</v>
      </c>
      <c r="H811" s="2" t="str">
        <f>VLOOKUP(A811,'TB JULY'!A:H,8,0)</f>
        <v>Not Applicable</v>
      </c>
    </row>
    <row r="812" spans="1:8">
      <c r="A812" s="62" t="s">
        <v>1612</v>
      </c>
      <c r="B812" s="78"/>
      <c r="C812" s="78">
        <v>38377</v>
      </c>
      <c r="D812" s="78">
        <v>38377</v>
      </c>
      <c r="E812" s="78"/>
      <c r="F812" s="42">
        <v>0</v>
      </c>
      <c r="G812" s="42">
        <f t="shared" si="12"/>
        <v>0</v>
      </c>
      <c r="H812" s="2" t="str">
        <f>VLOOKUP(A812,'TB JULY'!A:H,8,0)</f>
        <v>Not Applicable</v>
      </c>
    </row>
    <row r="813" spans="1:8">
      <c r="A813" s="62" t="s">
        <v>371</v>
      </c>
      <c r="B813" s="78">
        <v>-442725</v>
      </c>
      <c r="C813" s="78">
        <v>1777280</v>
      </c>
      <c r="D813" s="78">
        <v>1800680</v>
      </c>
      <c r="E813" s="78">
        <v>-466125</v>
      </c>
      <c r="F813" s="42">
        <v>0</v>
      </c>
      <c r="G813" s="42">
        <f t="shared" si="12"/>
        <v>-466125</v>
      </c>
      <c r="H813" s="2" t="str">
        <f>VLOOKUP(A813,'TB JULY'!A:H,8,0)</f>
        <v>Not Applicable</v>
      </c>
    </row>
    <row r="814" spans="1:8">
      <c r="A814" s="62" t="s">
        <v>1477</v>
      </c>
      <c r="B814" s="78">
        <v>-52305</v>
      </c>
      <c r="C814" s="78">
        <v>52305</v>
      </c>
      <c r="D814" s="78"/>
      <c r="E814" s="78"/>
      <c r="F814" s="42">
        <v>0</v>
      </c>
      <c r="G814" s="42">
        <f t="shared" si="12"/>
        <v>0</v>
      </c>
      <c r="H814" s="2" t="str">
        <f>VLOOKUP(A814,'TB JULY'!A:H,8,0)</f>
        <v>Not Applicable</v>
      </c>
    </row>
    <row r="815" spans="1:8">
      <c r="A815" s="62" t="s">
        <v>1343</v>
      </c>
      <c r="B815" s="78"/>
      <c r="C815" s="78">
        <v>32568</v>
      </c>
      <c r="D815" s="78">
        <v>32568</v>
      </c>
      <c r="E815" s="78"/>
      <c r="F815" s="42">
        <v>0</v>
      </c>
      <c r="G815" s="42">
        <f t="shared" si="12"/>
        <v>0</v>
      </c>
      <c r="H815" s="2" t="str">
        <f>VLOOKUP(A815,'TB JULY'!A:H,8,0)</f>
        <v>Not Applicable</v>
      </c>
    </row>
    <row r="816" spans="1:8">
      <c r="A816" s="62" t="s">
        <v>1022</v>
      </c>
      <c r="B816" s="78">
        <v>-2774</v>
      </c>
      <c r="C816" s="78">
        <v>2774</v>
      </c>
      <c r="D816" s="78"/>
      <c r="E816" s="78"/>
      <c r="F816" s="42">
        <v>0</v>
      </c>
      <c r="G816" s="42">
        <f t="shared" si="12"/>
        <v>0</v>
      </c>
      <c r="H816" s="2" t="str">
        <f>VLOOKUP(A816,'TB JULY'!A:H,8,0)</f>
        <v>Not Applicable</v>
      </c>
    </row>
    <row r="817" spans="1:8">
      <c r="A817" s="62" t="s">
        <v>1578</v>
      </c>
      <c r="B817" s="78"/>
      <c r="C817" s="78">
        <v>33369</v>
      </c>
      <c r="D817" s="78">
        <v>33369</v>
      </c>
      <c r="E817" s="78"/>
      <c r="F817" s="42">
        <v>0</v>
      </c>
      <c r="G817" s="42">
        <f t="shared" si="12"/>
        <v>0</v>
      </c>
      <c r="H817" s="2" t="str">
        <f>VLOOKUP(A817,'TB JULY'!A:H,8,0)</f>
        <v>Not Applicable</v>
      </c>
    </row>
    <row r="818" spans="1:8">
      <c r="A818" s="62" t="s">
        <v>1532</v>
      </c>
      <c r="B818" s="78"/>
      <c r="C818" s="78">
        <v>399901</v>
      </c>
      <c r="D818" s="78">
        <v>399901.14</v>
      </c>
      <c r="E818" s="78">
        <v>-0.14000000000000001</v>
      </c>
      <c r="F818" s="42">
        <v>0</v>
      </c>
      <c r="G818" s="42">
        <f t="shared" si="12"/>
        <v>-0.14000000000000001</v>
      </c>
      <c r="H818" s="2" t="str">
        <f>VLOOKUP(A818,'TB JULY'!A:H,8,0)</f>
        <v>Not Applicable</v>
      </c>
    </row>
    <row r="819" spans="1:8">
      <c r="A819" s="62" t="s">
        <v>1613</v>
      </c>
      <c r="B819" s="78"/>
      <c r="C819" s="78">
        <v>129553</v>
      </c>
      <c r="D819" s="78">
        <v>181418</v>
      </c>
      <c r="E819" s="78">
        <v>-51865</v>
      </c>
      <c r="F819" s="42">
        <v>0</v>
      </c>
      <c r="G819" s="42">
        <f t="shared" si="12"/>
        <v>-51865</v>
      </c>
      <c r="H819" s="2" t="str">
        <f>VLOOKUP(A819,'TB JULY'!A:H,8,0)</f>
        <v>Not Applicable</v>
      </c>
    </row>
    <row r="820" spans="1:8">
      <c r="A820" s="62" t="s">
        <v>733</v>
      </c>
      <c r="B820" s="78"/>
      <c r="C820" s="78"/>
      <c r="D820" s="78"/>
      <c r="E820" s="78"/>
      <c r="F820" s="42">
        <v>0</v>
      </c>
      <c r="G820" s="42">
        <f t="shared" si="12"/>
        <v>0</v>
      </c>
      <c r="H820" s="2" t="str">
        <f>VLOOKUP(A820,'TB JULY'!A:H,8,0)</f>
        <v>Not Applicable</v>
      </c>
    </row>
    <row r="821" spans="1:8">
      <c r="A821" s="62" t="s">
        <v>734</v>
      </c>
      <c r="B821" s="78">
        <v>12783.2</v>
      </c>
      <c r="C821" s="78"/>
      <c r="D821" s="78"/>
      <c r="E821" s="78">
        <v>12783.2</v>
      </c>
      <c r="F821" s="42">
        <v>0</v>
      </c>
      <c r="G821" s="42">
        <f t="shared" si="12"/>
        <v>12783.2</v>
      </c>
      <c r="H821" s="2" t="str">
        <f>VLOOKUP(A821,'TB JULY'!A:H,8,0)</f>
        <v>Not Applicable</v>
      </c>
    </row>
    <row r="822" spans="1:8">
      <c r="A822" s="62" t="s">
        <v>736</v>
      </c>
      <c r="B822" s="78">
        <v>-266476</v>
      </c>
      <c r="C822" s="78">
        <v>1211</v>
      </c>
      <c r="D822" s="78">
        <v>71449</v>
      </c>
      <c r="E822" s="78">
        <v>-336714</v>
      </c>
      <c r="F822" s="42">
        <v>0</v>
      </c>
      <c r="G822" s="42">
        <f t="shared" si="12"/>
        <v>-336714</v>
      </c>
      <c r="H822" s="2" t="str">
        <f>VLOOKUP(A822,'TB JULY'!A:H,8,0)</f>
        <v>Not Applicable</v>
      </c>
    </row>
    <row r="823" spans="1:8">
      <c r="A823" s="62" t="s">
        <v>1614</v>
      </c>
      <c r="B823" s="78"/>
      <c r="C823" s="78">
        <v>367785</v>
      </c>
      <c r="D823" s="78">
        <v>367785</v>
      </c>
      <c r="E823" s="78"/>
      <c r="F823" s="42">
        <v>0</v>
      </c>
      <c r="G823" s="42">
        <f t="shared" si="12"/>
        <v>0</v>
      </c>
      <c r="H823" s="2" t="str">
        <f>VLOOKUP(A823,'TB JULY'!A:H,8,0)</f>
        <v>Not Applicable</v>
      </c>
    </row>
    <row r="824" spans="1:8">
      <c r="A824" s="62" t="s">
        <v>1368</v>
      </c>
      <c r="B824" s="78">
        <v>-28000</v>
      </c>
      <c r="C824" s="78">
        <v>129220</v>
      </c>
      <c r="D824" s="78">
        <v>101220</v>
      </c>
      <c r="E824" s="78"/>
      <c r="F824" s="42">
        <v>0</v>
      </c>
      <c r="G824" s="42">
        <f t="shared" si="12"/>
        <v>0</v>
      </c>
      <c r="H824" s="2" t="str">
        <f>VLOOKUP(A824,'TB JULY'!A:H,8,0)</f>
        <v>Not Applicable</v>
      </c>
    </row>
    <row r="825" spans="1:8">
      <c r="A825" s="62" t="s">
        <v>711</v>
      </c>
      <c r="B825" s="78"/>
      <c r="C825" s="78">
        <v>30500</v>
      </c>
      <c r="D825" s="78">
        <v>30500</v>
      </c>
      <c r="E825" s="78"/>
      <c r="F825" s="42">
        <v>0</v>
      </c>
      <c r="G825" s="42">
        <f t="shared" si="12"/>
        <v>0</v>
      </c>
      <c r="H825" s="2" t="str">
        <f>VLOOKUP(A825,'TB JULY'!A:H,8,0)</f>
        <v>Not Applicable</v>
      </c>
    </row>
    <row r="826" spans="1:8">
      <c r="A826" s="62" t="s">
        <v>698</v>
      </c>
      <c r="B826" s="78">
        <v>-65680</v>
      </c>
      <c r="C826" s="78">
        <v>118658</v>
      </c>
      <c r="D826" s="78">
        <v>52978</v>
      </c>
      <c r="E826" s="78"/>
      <c r="F826" s="42">
        <v>0</v>
      </c>
      <c r="G826" s="42">
        <f t="shared" si="12"/>
        <v>0</v>
      </c>
      <c r="H826" s="2" t="str">
        <f>VLOOKUP(A826,'TB JULY'!A:H,8,0)</f>
        <v>Not Applicable</v>
      </c>
    </row>
    <row r="827" spans="1:8">
      <c r="A827" s="62" t="s">
        <v>1369</v>
      </c>
      <c r="B827" s="78">
        <v>-246635</v>
      </c>
      <c r="C827" s="78">
        <v>543398</v>
      </c>
      <c r="D827" s="78">
        <v>296763</v>
      </c>
      <c r="E827" s="78"/>
      <c r="F827" s="42">
        <v>0</v>
      </c>
      <c r="G827" s="42">
        <f t="shared" si="12"/>
        <v>0</v>
      </c>
      <c r="H827" s="2" t="str">
        <f>VLOOKUP(A827,'TB JULY'!A:H,8,0)</f>
        <v>Not Applicable</v>
      </c>
    </row>
    <row r="828" spans="1:8">
      <c r="A828" s="62" t="s">
        <v>687</v>
      </c>
      <c r="B828" s="78">
        <v>523</v>
      </c>
      <c r="C828" s="78">
        <v>453507</v>
      </c>
      <c r="D828" s="78">
        <v>454030</v>
      </c>
      <c r="E828" s="78"/>
      <c r="F828" s="42">
        <v>0</v>
      </c>
      <c r="G828" s="42">
        <f t="shared" si="12"/>
        <v>0</v>
      </c>
      <c r="H828" s="2" t="str">
        <f>VLOOKUP(A828,'TB JULY'!A:H,8,0)</f>
        <v>Not Applicable</v>
      </c>
    </row>
    <row r="829" spans="1:8">
      <c r="A829" s="62" t="s">
        <v>1533</v>
      </c>
      <c r="B829" s="78"/>
      <c r="C829" s="78">
        <v>5158033</v>
      </c>
      <c r="D829" s="78">
        <v>5986017</v>
      </c>
      <c r="E829" s="78">
        <v>-827984</v>
      </c>
      <c r="F829" s="42">
        <v>0</v>
      </c>
      <c r="G829" s="42">
        <f t="shared" si="12"/>
        <v>-827984</v>
      </c>
      <c r="H829" s="2" t="str">
        <f>VLOOKUP(A829,'TB JULY'!A:H,8,0)</f>
        <v>Not Applicable</v>
      </c>
    </row>
    <row r="830" spans="1:8">
      <c r="A830" s="62" t="s">
        <v>666</v>
      </c>
      <c r="B830" s="78">
        <v>-25661</v>
      </c>
      <c r="C830" s="78">
        <v>19903</v>
      </c>
      <c r="D830" s="78"/>
      <c r="E830" s="78">
        <v>-5758</v>
      </c>
      <c r="F830" s="42">
        <v>0</v>
      </c>
      <c r="G830" s="42">
        <f t="shared" si="12"/>
        <v>-5758</v>
      </c>
      <c r="H830" s="2" t="str">
        <f>VLOOKUP(A830,'TB JULY'!A:H,8,0)</f>
        <v>Not Applicable</v>
      </c>
    </row>
    <row r="831" spans="1:8">
      <c r="A831" s="62" t="s">
        <v>1579</v>
      </c>
      <c r="B831" s="78"/>
      <c r="C831" s="78">
        <v>9000</v>
      </c>
      <c r="D831" s="78">
        <v>9000</v>
      </c>
      <c r="E831" s="78"/>
      <c r="F831" s="42">
        <v>0</v>
      </c>
      <c r="G831" s="42">
        <f t="shared" si="12"/>
        <v>0</v>
      </c>
      <c r="H831" s="2" t="str">
        <f>VLOOKUP(A831,'TB JULY'!A:H,8,0)</f>
        <v>Not Applicable</v>
      </c>
    </row>
    <row r="832" spans="1:8">
      <c r="A832" s="62" t="s">
        <v>661</v>
      </c>
      <c r="B832" s="78">
        <v>-49080</v>
      </c>
      <c r="C832" s="78"/>
      <c r="D832" s="78"/>
      <c r="E832" s="78">
        <v>-49080</v>
      </c>
      <c r="F832" s="42">
        <v>0</v>
      </c>
      <c r="G832" s="42">
        <f t="shared" si="12"/>
        <v>-49080</v>
      </c>
      <c r="H832" s="2" t="str">
        <f>VLOOKUP(A832,'TB JULY'!A:H,8,0)</f>
        <v>Not Applicable</v>
      </c>
    </row>
    <row r="833" spans="1:8">
      <c r="A833" s="62" t="s">
        <v>658</v>
      </c>
      <c r="B833" s="78">
        <v>13470</v>
      </c>
      <c r="C833" s="78"/>
      <c r="D833" s="78"/>
      <c r="E833" s="78">
        <v>13470</v>
      </c>
      <c r="F833" s="42">
        <v>0</v>
      </c>
      <c r="G833" s="42">
        <f t="shared" si="12"/>
        <v>13470</v>
      </c>
      <c r="H833" s="2" t="str">
        <f>VLOOKUP(A833,'TB JULY'!A:H,8,0)</f>
        <v>Not Applicable</v>
      </c>
    </row>
    <row r="834" spans="1:8">
      <c r="A834" s="62" t="s">
        <v>650</v>
      </c>
      <c r="B834" s="78">
        <v>-94099</v>
      </c>
      <c r="C834" s="78"/>
      <c r="D834" s="78"/>
      <c r="E834" s="78">
        <v>-94099</v>
      </c>
      <c r="F834" s="42">
        <v>0</v>
      </c>
      <c r="G834" s="42">
        <f t="shared" si="12"/>
        <v>-94099</v>
      </c>
      <c r="H834" s="2" t="str">
        <f>VLOOKUP(A834,'TB JULY'!A:H,8,0)</f>
        <v>Not Applicable</v>
      </c>
    </row>
    <row r="835" spans="1:8">
      <c r="A835" s="62" t="s">
        <v>655</v>
      </c>
      <c r="B835" s="78">
        <v>38013</v>
      </c>
      <c r="C835" s="78">
        <v>36014</v>
      </c>
      <c r="D835" s="78">
        <v>36014</v>
      </c>
      <c r="E835" s="78">
        <v>38013</v>
      </c>
      <c r="F835" s="42">
        <v>0</v>
      </c>
      <c r="G835" s="42">
        <f t="shared" si="12"/>
        <v>38013</v>
      </c>
      <c r="H835" s="2" t="str">
        <f>VLOOKUP(A835,'TB JULY'!A:H,8,0)</f>
        <v>Not Applicable</v>
      </c>
    </row>
    <row r="836" spans="1:8">
      <c r="A836" s="62" t="s">
        <v>1615</v>
      </c>
      <c r="B836" s="78"/>
      <c r="C836" s="78">
        <v>29000</v>
      </c>
      <c r="D836" s="78">
        <v>29000</v>
      </c>
      <c r="E836" s="78"/>
      <c r="F836" s="42">
        <v>0</v>
      </c>
      <c r="G836" s="42">
        <f t="shared" si="12"/>
        <v>0</v>
      </c>
      <c r="H836" s="2" t="str">
        <f>VLOOKUP(A836,'TB JULY'!A:H,8,0)</f>
        <v>Not Applicable</v>
      </c>
    </row>
    <row r="837" spans="1:8">
      <c r="A837" s="62" t="s">
        <v>643</v>
      </c>
      <c r="B837" s="78">
        <v>-3363</v>
      </c>
      <c r="C837" s="78">
        <v>498605</v>
      </c>
      <c r="D837" s="78">
        <v>501156</v>
      </c>
      <c r="E837" s="78">
        <v>-5914</v>
      </c>
      <c r="F837" s="42">
        <v>0</v>
      </c>
      <c r="G837" s="42">
        <f t="shared" si="12"/>
        <v>-5914</v>
      </c>
      <c r="H837" s="2" t="str">
        <f>VLOOKUP(A837,'TB JULY'!A:H,8,0)</f>
        <v>Not Applicable</v>
      </c>
    </row>
    <row r="838" spans="1:8">
      <c r="A838" s="62" t="s">
        <v>1370</v>
      </c>
      <c r="B838" s="78"/>
      <c r="C838" s="78">
        <v>26000</v>
      </c>
      <c r="D838" s="78">
        <v>26000</v>
      </c>
      <c r="E838" s="78"/>
      <c r="F838" s="42">
        <v>0</v>
      </c>
      <c r="G838" s="42">
        <f t="shared" si="12"/>
        <v>0</v>
      </c>
      <c r="H838" s="2" t="str">
        <f>VLOOKUP(A838,'TB JULY'!A:H,8,0)</f>
        <v>Not Applicable</v>
      </c>
    </row>
    <row r="839" spans="1:8">
      <c r="A839" s="62" t="s">
        <v>634</v>
      </c>
      <c r="B839" s="78"/>
      <c r="C839" s="78"/>
      <c r="D839" s="78"/>
      <c r="E839" s="78"/>
      <c r="F839" s="42">
        <v>0</v>
      </c>
      <c r="G839" s="42">
        <f t="shared" ref="G839:G902" si="13">E839+F839</f>
        <v>0</v>
      </c>
      <c r="H839" s="2" t="str">
        <f>VLOOKUP(A839,'TB JULY'!A:H,8,0)</f>
        <v>Not Applicable</v>
      </c>
    </row>
    <row r="840" spans="1:8">
      <c r="A840" s="62" t="s">
        <v>1479</v>
      </c>
      <c r="B840" s="78"/>
      <c r="C840" s="78"/>
      <c r="D840" s="78"/>
      <c r="E840" s="78"/>
      <c r="F840" s="42">
        <v>0</v>
      </c>
      <c r="G840" s="42">
        <f t="shared" si="13"/>
        <v>0</v>
      </c>
      <c r="H840" s="2" t="str">
        <f>VLOOKUP(A840,'TB JULY'!A:H,8,0)</f>
        <v>Not Applicable</v>
      </c>
    </row>
    <row r="841" spans="1:8">
      <c r="A841" s="62" t="s">
        <v>633</v>
      </c>
      <c r="B841" s="78">
        <v>111474</v>
      </c>
      <c r="C841" s="78"/>
      <c r="D841" s="78"/>
      <c r="E841" s="78">
        <v>111474</v>
      </c>
      <c r="F841" s="42">
        <v>0</v>
      </c>
      <c r="G841" s="42">
        <f t="shared" si="13"/>
        <v>111474</v>
      </c>
      <c r="H841" s="2" t="str">
        <f>VLOOKUP(A841,'TB JULY'!A:H,8,0)</f>
        <v>Not Applicable</v>
      </c>
    </row>
    <row r="842" spans="1:8">
      <c r="A842" s="62" t="s">
        <v>630</v>
      </c>
      <c r="B842" s="78">
        <v>-221195</v>
      </c>
      <c r="C842" s="78">
        <v>221195</v>
      </c>
      <c r="D842" s="78"/>
      <c r="E842" s="78"/>
      <c r="F842" s="42">
        <v>0</v>
      </c>
      <c r="G842" s="42">
        <f t="shared" si="13"/>
        <v>0</v>
      </c>
      <c r="H842" s="2" t="str">
        <f>VLOOKUP(A842,'TB JULY'!A:H,8,0)</f>
        <v>Not Applicable</v>
      </c>
    </row>
    <row r="843" spans="1:8">
      <c r="A843" s="62" t="s">
        <v>621</v>
      </c>
      <c r="B843" s="78">
        <v>-538861</v>
      </c>
      <c r="C843" s="78">
        <v>983666</v>
      </c>
      <c r="D843" s="78">
        <v>444805</v>
      </c>
      <c r="E843" s="78"/>
      <c r="F843" s="42">
        <v>0</v>
      </c>
      <c r="G843" s="42">
        <f t="shared" si="13"/>
        <v>0</v>
      </c>
      <c r="H843" s="2" t="str">
        <f>VLOOKUP(A843,'TB JULY'!A:H,8,0)</f>
        <v>Not Applicable</v>
      </c>
    </row>
    <row r="844" spans="1:8">
      <c r="A844" s="62" t="s">
        <v>617</v>
      </c>
      <c r="B844" s="78">
        <v>-0.2</v>
      </c>
      <c r="C844" s="78">
        <v>17582</v>
      </c>
      <c r="D844" s="78">
        <v>17582</v>
      </c>
      <c r="E844" s="78">
        <v>-0.2</v>
      </c>
      <c r="F844" s="42">
        <v>0</v>
      </c>
      <c r="G844" s="42">
        <f t="shared" si="13"/>
        <v>-0.2</v>
      </c>
      <c r="H844" s="2" t="str">
        <f>VLOOKUP(A844,'TB JULY'!A:H,8,0)</f>
        <v>Not Applicable</v>
      </c>
    </row>
    <row r="845" spans="1:8">
      <c r="A845" s="62" t="s">
        <v>1647</v>
      </c>
      <c r="B845" s="78"/>
      <c r="C845" s="78">
        <v>69232</v>
      </c>
      <c r="D845" s="78">
        <v>69232</v>
      </c>
      <c r="E845" s="78"/>
      <c r="F845" s="42">
        <v>0</v>
      </c>
      <c r="G845" s="42">
        <f t="shared" si="13"/>
        <v>0</v>
      </c>
      <c r="H845" s="2" t="s">
        <v>84</v>
      </c>
    </row>
    <row r="846" spans="1:8">
      <c r="A846" s="62" t="s">
        <v>585</v>
      </c>
      <c r="B846" s="78"/>
      <c r="C846" s="78">
        <v>51000</v>
      </c>
      <c r="D846" s="78">
        <v>51000</v>
      </c>
      <c r="E846" s="78"/>
      <c r="F846" s="42">
        <v>0</v>
      </c>
      <c r="G846" s="42">
        <f t="shared" si="13"/>
        <v>0</v>
      </c>
      <c r="H846" s="2" t="str">
        <f>VLOOKUP(A846,'TB JULY'!A:H,8,0)</f>
        <v>Not Applicable</v>
      </c>
    </row>
    <row r="847" spans="1:8">
      <c r="A847" s="62" t="s">
        <v>990</v>
      </c>
      <c r="B847" s="78">
        <v>13650</v>
      </c>
      <c r="C847" s="78"/>
      <c r="D847" s="78"/>
      <c r="E847" s="78">
        <v>13650</v>
      </c>
      <c r="F847" s="42">
        <v>0</v>
      </c>
      <c r="G847" s="42">
        <f t="shared" si="13"/>
        <v>13650</v>
      </c>
      <c r="H847" s="2" t="str">
        <f>VLOOKUP(A847,'TB JULY'!A:H,8,0)</f>
        <v>Not Applicable</v>
      </c>
    </row>
    <row r="848" spans="1:8">
      <c r="A848" s="62" t="s">
        <v>1481</v>
      </c>
      <c r="B848" s="78"/>
      <c r="C848" s="78"/>
      <c r="D848" s="78"/>
      <c r="E848" s="78"/>
      <c r="F848" s="42">
        <v>0</v>
      </c>
      <c r="G848" s="42">
        <f t="shared" si="13"/>
        <v>0</v>
      </c>
      <c r="H848" s="2" t="str">
        <f>VLOOKUP(A848,'TB JULY'!A:H,8,0)</f>
        <v>Not Applicable</v>
      </c>
    </row>
    <row r="849" spans="1:8">
      <c r="A849" s="62" t="s">
        <v>537</v>
      </c>
      <c r="B849" s="78">
        <v>4484</v>
      </c>
      <c r="C849" s="78">
        <v>815358</v>
      </c>
      <c r="D849" s="78">
        <v>815358</v>
      </c>
      <c r="E849" s="78">
        <v>4484</v>
      </c>
      <c r="F849" s="42">
        <v>0</v>
      </c>
      <c r="G849" s="42">
        <f t="shared" si="13"/>
        <v>4484</v>
      </c>
      <c r="H849" s="2" t="str">
        <f>VLOOKUP(A849,'TB JULY'!A:H,8,0)</f>
        <v>Not Applicable</v>
      </c>
    </row>
    <row r="850" spans="1:8">
      <c r="A850" s="62" t="s">
        <v>910</v>
      </c>
      <c r="B850" s="78">
        <v>13131.72</v>
      </c>
      <c r="C850" s="78"/>
      <c r="D850" s="78"/>
      <c r="E850" s="78">
        <v>13131.72</v>
      </c>
      <c r="F850" s="42">
        <v>0</v>
      </c>
      <c r="G850" s="42">
        <f t="shared" si="13"/>
        <v>13131.72</v>
      </c>
      <c r="H850" s="2" t="str">
        <f>VLOOKUP(A850,'TB JULY'!A:H,8,0)</f>
        <v>Not Applicable</v>
      </c>
    </row>
    <row r="851" spans="1:8">
      <c r="A851" s="62" t="s">
        <v>1616</v>
      </c>
      <c r="B851" s="78"/>
      <c r="C851" s="78">
        <v>830</v>
      </c>
      <c r="D851" s="78">
        <v>48970</v>
      </c>
      <c r="E851" s="78">
        <v>-48140</v>
      </c>
      <c r="F851" s="42">
        <v>0</v>
      </c>
      <c r="G851" s="42">
        <f t="shared" si="13"/>
        <v>-48140</v>
      </c>
      <c r="H851" s="2" t="str">
        <f>VLOOKUP(A851,'TB JULY'!A:H,8,0)</f>
        <v>Not Applicable</v>
      </c>
    </row>
    <row r="852" spans="1:8">
      <c r="A852" s="62" t="s">
        <v>1138</v>
      </c>
      <c r="B852" s="78"/>
      <c r="C852" s="78">
        <v>48970</v>
      </c>
      <c r="D852" s="78">
        <v>48970</v>
      </c>
      <c r="E852" s="78"/>
      <c r="F852" s="42">
        <v>0</v>
      </c>
      <c r="G852" s="42">
        <f t="shared" si="13"/>
        <v>0</v>
      </c>
      <c r="H852" s="2" t="str">
        <f>VLOOKUP(A852,'TB JULY'!A:H,8,0)</f>
        <v>Not Applicable</v>
      </c>
    </row>
    <row r="853" spans="1:8">
      <c r="A853" s="62" t="s">
        <v>1580</v>
      </c>
      <c r="B853" s="78"/>
      <c r="C853" s="78">
        <v>626543</v>
      </c>
      <c r="D853" s="78">
        <v>1212678</v>
      </c>
      <c r="E853" s="78">
        <v>-586135</v>
      </c>
      <c r="F853" s="42">
        <v>0</v>
      </c>
      <c r="G853" s="42">
        <f t="shared" si="13"/>
        <v>-586135</v>
      </c>
      <c r="H853" s="2" t="str">
        <f>VLOOKUP(A853,'TB JULY'!A:H,8,0)</f>
        <v>Not Applicable</v>
      </c>
    </row>
    <row r="854" spans="1:8">
      <c r="A854" s="62" t="s">
        <v>508</v>
      </c>
      <c r="B854" s="78"/>
      <c r="C854" s="78">
        <v>11000</v>
      </c>
      <c r="D854" s="78">
        <v>11000</v>
      </c>
      <c r="E854" s="78"/>
      <c r="F854" s="42">
        <v>0</v>
      </c>
      <c r="G854" s="42">
        <f t="shared" si="13"/>
        <v>0</v>
      </c>
      <c r="H854" s="2" t="str">
        <f>VLOOKUP(A854,'TB JULY'!A:H,8,0)</f>
        <v>Not Applicable</v>
      </c>
    </row>
    <row r="855" spans="1:8">
      <c r="A855" s="62" t="s">
        <v>473</v>
      </c>
      <c r="B855" s="78">
        <v>276434.77</v>
      </c>
      <c r="C855" s="78">
        <v>312758.09999999998</v>
      </c>
      <c r="D855" s="78">
        <v>257711.8</v>
      </c>
      <c r="E855" s="78">
        <v>331481.07</v>
      </c>
      <c r="F855" s="42">
        <v>0</v>
      </c>
      <c r="G855" s="42">
        <f t="shared" si="13"/>
        <v>331481.07</v>
      </c>
      <c r="H855" s="2" t="str">
        <f>VLOOKUP(A855,'TB JULY'!A:H,8,0)</f>
        <v>Not Applicable</v>
      </c>
    </row>
    <row r="856" spans="1:8">
      <c r="A856" s="62" t="s">
        <v>1371</v>
      </c>
      <c r="B856" s="78"/>
      <c r="C856" s="78">
        <v>50000</v>
      </c>
      <c r="D856" s="78">
        <v>50000</v>
      </c>
      <c r="E856" s="78"/>
      <c r="F856" s="42">
        <v>0</v>
      </c>
      <c r="G856" s="42">
        <f t="shared" si="13"/>
        <v>0</v>
      </c>
      <c r="H856" s="2" t="str">
        <f>VLOOKUP(A856,'TB JULY'!A:H,8,0)</f>
        <v>Not Applicable</v>
      </c>
    </row>
    <row r="857" spans="1:8">
      <c r="A857" s="62" t="s">
        <v>1482</v>
      </c>
      <c r="B857" s="78"/>
      <c r="C857" s="78"/>
      <c r="D857" s="78"/>
      <c r="E857" s="78"/>
      <c r="F857" s="42">
        <v>0</v>
      </c>
      <c r="G857" s="42">
        <f t="shared" si="13"/>
        <v>0</v>
      </c>
      <c r="H857" s="2" t="str">
        <f>VLOOKUP(A857,'TB JULY'!A:H,8,0)</f>
        <v>Not Applicable</v>
      </c>
    </row>
    <row r="858" spans="1:8">
      <c r="A858" s="62" t="s">
        <v>442</v>
      </c>
      <c r="B858" s="78"/>
      <c r="C858" s="78"/>
      <c r="D858" s="78"/>
      <c r="E858" s="78"/>
      <c r="F858" s="42">
        <v>0</v>
      </c>
      <c r="G858" s="42">
        <f t="shared" si="13"/>
        <v>0</v>
      </c>
      <c r="H858" s="2" t="s">
        <v>84</v>
      </c>
    </row>
    <row r="859" spans="1:8">
      <c r="A859" s="62" t="s">
        <v>441</v>
      </c>
      <c r="B859" s="78">
        <v>-10033.879999999999</v>
      </c>
      <c r="C859" s="78">
        <v>18690</v>
      </c>
      <c r="D859" s="78">
        <v>18560</v>
      </c>
      <c r="E859" s="78">
        <v>-9903.8799999999992</v>
      </c>
      <c r="F859" s="42">
        <v>0</v>
      </c>
      <c r="G859" s="42">
        <f t="shared" si="13"/>
        <v>-9903.8799999999992</v>
      </c>
      <c r="H859" s="2" t="str">
        <f>VLOOKUP(A859,'TB JULY'!A:H,8,0)</f>
        <v>Not Applicable</v>
      </c>
    </row>
    <row r="860" spans="1:8">
      <c r="A860" s="62" t="s">
        <v>438</v>
      </c>
      <c r="B860" s="78">
        <v>-14478</v>
      </c>
      <c r="C860" s="78">
        <v>42378</v>
      </c>
      <c r="D860" s="78">
        <v>27900</v>
      </c>
      <c r="E860" s="78"/>
      <c r="F860" s="42">
        <v>0</v>
      </c>
      <c r="G860" s="42">
        <f t="shared" si="13"/>
        <v>0</v>
      </c>
      <c r="H860" s="2" t="str">
        <f>VLOOKUP(A860,'TB JULY'!A:H,8,0)</f>
        <v>Not Applicable</v>
      </c>
    </row>
    <row r="861" spans="1:8">
      <c r="A861" s="62" t="s">
        <v>1093</v>
      </c>
      <c r="B861" s="78">
        <v>-40590</v>
      </c>
      <c r="C861" s="78">
        <v>196590</v>
      </c>
      <c r="D861" s="78">
        <v>156000</v>
      </c>
      <c r="E861" s="78"/>
      <c r="F861" s="42">
        <v>0</v>
      </c>
      <c r="G861" s="42">
        <f t="shared" si="13"/>
        <v>0</v>
      </c>
      <c r="H861" s="2" t="str">
        <f>VLOOKUP(A861,'TB JULY'!A:H,8,0)</f>
        <v>Not Applicable</v>
      </c>
    </row>
    <row r="862" spans="1:8">
      <c r="A862" s="62" t="s">
        <v>421</v>
      </c>
      <c r="B862" s="78">
        <v>-1060</v>
      </c>
      <c r="C862" s="78">
        <v>753400</v>
      </c>
      <c r="D862" s="78">
        <v>753400</v>
      </c>
      <c r="E862" s="78">
        <v>-1060</v>
      </c>
      <c r="F862" s="42">
        <v>0</v>
      </c>
      <c r="G862" s="42">
        <f t="shared" si="13"/>
        <v>-1060</v>
      </c>
      <c r="H862" s="2" t="str">
        <f>VLOOKUP(A862,'TB JULY'!A:H,8,0)</f>
        <v>Not Applicable</v>
      </c>
    </row>
    <row r="863" spans="1:8">
      <c r="A863" s="62" t="s">
        <v>1222</v>
      </c>
      <c r="B863" s="78"/>
      <c r="C863" s="78">
        <v>12500</v>
      </c>
      <c r="D863" s="78">
        <v>12500</v>
      </c>
      <c r="E863" s="78"/>
      <c r="F863" s="42">
        <v>0</v>
      </c>
      <c r="G863" s="42">
        <f t="shared" si="13"/>
        <v>0</v>
      </c>
      <c r="H863" s="2" t="str">
        <f>VLOOKUP(A863,'TB JULY'!A:H,8,0)</f>
        <v>Not Applicable</v>
      </c>
    </row>
    <row r="864" spans="1:8">
      <c r="A864" s="62" t="s">
        <v>876</v>
      </c>
      <c r="B864" s="78">
        <v>-546093</v>
      </c>
      <c r="C864" s="78">
        <v>1309638</v>
      </c>
      <c r="D864" s="78">
        <v>324173</v>
      </c>
      <c r="E864" s="78">
        <v>439372</v>
      </c>
      <c r="F864" s="42">
        <v>0</v>
      </c>
      <c r="G864" s="42">
        <f t="shared" si="13"/>
        <v>439372</v>
      </c>
      <c r="H864" s="2" t="str">
        <f>VLOOKUP(A864,'TB JULY'!A:H,8,0)</f>
        <v>Not Applicable</v>
      </c>
    </row>
    <row r="865" spans="1:8">
      <c r="A865" s="62" t="s">
        <v>1314</v>
      </c>
      <c r="B865" s="78"/>
      <c r="C865" s="78"/>
      <c r="D865" s="78"/>
      <c r="E865" s="78"/>
      <c r="F865" s="42">
        <v>0</v>
      </c>
      <c r="G865" s="42">
        <f t="shared" si="13"/>
        <v>0</v>
      </c>
      <c r="H865" s="2" t="str">
        <f>VLOOKUP(A865,'TB JULY'!A:H,8,0)</f>
        <v>Not Applicable</v>
      </c>
    </row>
    <row r="866" spans="1:8">
      <c r="A866" s="62" t="s">
        <v>1088</v>
      </c>
      <c r="B866" s="78">
        <v>6.48</v>
      </c>
      <c r="C866" s="78"/>
      <c r="D866" s="78"/>
      <c r="E866" s="78">
        <v>6.48</v>
      </c>
      <c r="F866" s="42">
        <v>0</v>
      </c>
      <c r="G866" s="42">
        <f t="shared" si="13"/>
        <v>6.48</v>
      </c>
      <c r="H866" s="2" t="str">
        <f>VLOOKUP(A866,'TB JULY'!A:H,8,0)</f>
        <v>Not Applicable</v>
      </c>
    </row>
    <row r="867" spans="1:8">
      <c r="A867" s="62" t="s">
        <v>923</v>
      </c>
      <c r="B867" s="78">
        <v>3.51</v>
      </c>
      <c r="C867" s="78">
        <v>4593</v>
      </c>
      <c r="D867" s="78">
        <v>4879.58</v>
      </c>
      <c r="E867" s="78">
        <v>-283.07</v>
      </c>
      <c r="F867" s="42">
        <v>0</v>
      </c>
      <c r="G867" s="42">
        <f t="shared" si="13"/>
        <v>-283.07</v>
      </c>
      <c r="H867" s="2" t="str">
        <f>VLOOKUP(A867,'TB JULY'!A:H,8,0)</f>
        <v>Not Applicable</v>
      </c>
    </row>
    <row r="868" spans="1:8">
      <c r="A868" s="62" t="s">
        <v>1032</v>
      </c>
      <c r="B868" s="78">
        <v>-1.94</v>
      </c>
      <c r="C868" s="78">
        <v>953</v>
      </c>
      <c r="D868" s="78">
        <v>954.6</v>
      </c>
      <c r="E868" s="78">
        <v>-3.54</v>
      </c>
      <c r="F868" s="42">
        <v>0</v>
      </c>
      <c r="G868" s="42">
        <f t="shared" si="13"/>
        <v>-3.54</v>
      </c>
      <c r="H868" s="2" t="str">
        <f>VLOOKUP(A868,'TB JULY'!A:H,8,0)</f>
        <v>Not Applicable</v>
      </c>
    </row>
    <row r="869" spans="1:8">
      <c r="A869" s="62" t="s">
        <v>948</v>
      </c>
      <c r="B869" s="78">
        <v>0.56000000000000005</v>
      </c>
      <c r="C869" s="78"/>
      <c r="D869" s="78"/>
      <c r="E869" s="78">
        <v>0.56000000000000005</v>
      </c>
      <c r="F869" s="42">
        <v>0</v>
      </c>
      <c r="G869" s="42">
        <f t="shared" si="13"/>
        <v>0.56000000000000005</v>
      </c>
      <c r="H869" s="2" t="str">
        <f>VLOOKUP(A869,'TB JULY'!A:H,8,0)</f>
        <v>Not Applicable</v>
      </c>
    </row>
    <row r="870" spans="1:8">
      <c r="A870" s="62" t="s">
        <v>1617</v>
      </c>
      <c r="B870" s="78"/>
      <c r="C870" s="78">
        <v>166596</v>
      </c>
      <c r="D870" s="78">
        <v>166596</v>
      </c>
      <c r="E870" s="78"/>
      <c r="F870" s="42">
        <v>0</v>
      </c>
      <c r="G870" s="42">
        <f t="shared" si="13"/>
        <v>0</v>
      </c>
      <c r="H870" s="2" t="str">
        <f>VLOOKUP(A870,'TB JULY'!A:H,8,0)</f>
        <v>Not Applicable</v>
      </c>
    </row>
    <row r="871" spans="1:8">
      <c r="A871" s="62" t="s">
        <v>1618</v>
      </c>
      <c r="B871" s="78"/>
      <c r="C871" s="78">
        <v>196253.7</v>
      </c>
      <c r="D871" s="78">
        <v>196253.7</v>
      </c>
      <c r="E871" s="78"/>
      <c r="F871" s="42">
        <v>0</v>
      </c>
      <c r="G871" s="42">
        <f t="shared" si="13"/>
        <v>0</v>
      </c>
      <c r="H871" s="2" t="str">
        <f>VLOOKUP(A871,'TB JULY'!A:H,8,0)</f>
        <v>Not Applicable</v>
      </c>
    </row>
    <row r="872" spans="1:8">
      <c r="A872" s="62" t="s">
        <v>1046</v>
      </c>
      <c r="B872" s="78"/>
      <c r="C872" s="78">
        <v>20029.2</v>
      </c>
      <c r="D872" s="78">
        <v>20029.2</v>
      </c>
      <c r="E872" s="78"/>
      <c r="F872" s="42">
        <v>0</v>
      </c>
      <c r="G872" s="42">
        <f t="shared" si="13"/>
        <v>0</v>
      </c>
      <c r="H872" s="2" t="str">
        <f>VLOOKUP(A872,'TB JULY'!A:H,8,0)</f>
        <v>Not Applicable</v>
      </c>
    </row>
    <row r="873" spans="1:8">
      <c r="A873" s="62" t="s">
        <v>1047</v>
      </c>
      <c r="B873" s="78"/>
      <c r="C873" s="78">
        <v>31823.46</v>
      </c>
      <c r="D873" s="78">
        <v>31823.46</v>
      </c>
      <c r="E873" s="78"/>
      <c r="F873" s="42">
        <v>0</v>
      </c>
      <c r="G873" s="42">
        <f t="shared" si="13"/>
        <v>0</v>
      </c>
      <c r="H873" s="2" t="str">
        <f>VLOOKUP(A873,'TB JULY'!A:H,8,0)</f>
        <v>Not Applicable</v>
      </c>
    </row>
    <row r="874" spans="1:8">
      <c r="A874" s="62" t="s">
        <v>880</v>
      </c>
      <c r="B874" s="78"/>
      <c r="C874" s="78"/>
      <c r="D874" s="78"/>
      <c r="E874" s="78"/>
      <c r="F874" s="42">
        <v>0</v>
      </c>
      <c r="G874" s="42">
        <f t="shared" si="13"/>
        <v>0</v>
      </c>
      <c r="H874" s="2" t="str">
        <f>VLOOKUP(A874,'TB JULY'!A:H,8,0)</f>
        <v>Not Applicable</v>
      </c>
    </row>
    <row r="875" spans="1:8">
      <c r="A875" s="62" t="s">
        <v>901</v>
      </c>
      <c r="B875" s="78">
        <v>33416</v>
      </c>
      <c r="C875" s="78"/>
      <c r="D875" s="78"/>
      <c r="E875" s="78">
        <v>33416</v>
      </c>
      <c r="F875" s="42">
        <v>0</v>
      </c>
      <c r="G875" s="42">
        <f t="shared" si="13"/>
        <v>33416</v>
      </c>
      <c r="H875" s="2" t="str">
        <f>VLOOKUP(A875,'TB JULY'!A:H,8,0)</f>
        <v>Not Applicable</v>
      </c>
    </row>
    <row r="876" spans="1:8">
      <c r="A876" s="62" t="s">
        <v>667</v>
      </c>
      <c r="B876" s="78"/>
      <c r="C876" s="78"/>
      <c r="D876" s="78"/>
      <c r="E876" s="78"/>
      <c r="F876" s="42">
        <v>0</v>
      </c>
      <c r="G876" s="42">
        <f t="shared" si="13"/>
        <v>0</v>
      </c>
      <c r="H876" s="2" t="str">
        <f>VLOOKUP(A876,'TB JULY'!A:H,8,0)</f>
        <v>Not Applicable</v>
      </c>
    </row>
    <row r="877" spans="1:8">
      <c r="A877" s="62" t="s">
        <v>668</v>
      </c>
      <c r="B877" s="78"/>
      <c r="C877" s="78"/>
      <c r="D877" s="78"/>
      <c r="E877" s="78"/>
      <c r="F877" s="42">
        <v>0</v>
      </c>
      <c r="G877" s="42">
        <f t="shared" si="13"/>
        <v>0</v>
      </c>
      <c r="H877" s="2" t="str">
        <f>VLOOKUP(A877,'TB JULY'!A:H,8,0)</f>
        <v>Not Applicable</v>
      </c>
    </row>
    <row r="878" spans="1:8">
      <c r="A878" s="62" t="s">
        <v>669</v>
      </c>
      <c r="B878" s="78">
        <v>0.01</v>
      </c>
      <c r="C878" s="78"/>
      <c r="D878" s="78"/>
      <c r="E878" s="78">
        <v>0.01</v>
      </c>
      <c r="F878" s="42">
        <v>0</v>
      </c>
      <c r="G878" s="42">
        <f t="shared" si="13"/>
        <v>0.01</v>
      </c>
      <c r="H878" s="2" t="str">
        <f>VLOOKUP(A878,'TB JULY'!A:H,8,0)</f>
        <v>Not Applicable</v>
      </c>
    </row>
    <row r="879" spans="1:8">
      <c r="A879" s="62" t="s">
        <v>1581</v>
      </c>
      <c r="B879" s="78"/>
      <c r="C879" s="78"/>
      <c r="D879" s="78"/>
      <c r="E879" s="78"/>
      <c r="F879" s="42">
        <v>0</v>
      </c>
      <c r="G879" s="42">
        <f t="shared" si="13"/>
        <v>0</v>
      </c>
      <c r="H879" s="2" t="s">
        <v>84</v>
      </c>
    </row>
    <row r="880" spans="1:8">
      <c r="A880" s="62" t="s">
        <v>1648</v>
      </c>
      <c r="B880" s="78"/>
      <c r="C880" s="78">
        <v>118288.44</v>
      </c>
      <c r="D880" s="78">
        <v>118288.44</v>
      </c>
      <c r="E880" s="78"/>
      <c r="F880" s="42">
        <v>0</v>
      </c>
      <c r="G880" s="42">
        <f t="shared" si="13"/>
        <v>0</v>
      </c>
      <c r="H880" s="2" t="s">
        <v>84</v>
      </c>
    </row>
    <row r="881" spans="1:8">
      <c r="A881" s="62" t="s">
        <v>1619</v>
      </c>
      <c r="B881" s="78"/>
      <c r="C881" s="78">
        <v>74049.440000000002</v>
      </c>
      <c r="D881" s="78">
        <v>74049.440000000002</v>
      </c>
      <c r="E881" s="78"/>
      <c r="F881" s="42">
        <v>0</v>
      </c>
      <c r="G881" s="42">
        <f t="shared" si="13"/>
        <v>0</v>
      </c>
      <c r="H881" s="2" t="str">
        <f>VLOOKUP(A881,'TB JULY'!A:H,8,0)</f>
        <v>Not Applicable</v>
      </c>
    </row>
    <row r="882" spans="1:8">
      <c r="A882" s="62" t="s">
        <v>1372</v>
      </c>
      <c r="B882" s="78">
        <v>-740000</v>
      </c>
      <c r="C882" s="78">
        <v>747422.2</v>
      </c>
      <c r="D882" s="78">
        <v>7422.2</v>
      </c>
      <c r="E882" s="78"/>
      <c r="F882" s="42">
        <v>0</v>
      </c>
      <c r="G882" s="42">
        <f t="shared" si="13"/>
        <v>0</v>
      </c>
      <c r="H882" s="2" t="str">
        <f>VLOOKUP(A882,'TB JULY'!A:H,8,0)</f>
        <v>Not Applicable</v>
      </c>
    </row>
    <row r="883" spans="1:8">
      <c r="A883" s="62" t="s">
        <v>1373</v>
      </c>
      <c r="B883" s="78">
        <v>-2494774.1</v>
      </c>
      <c r="C883" s="78">
        <v>2494774.1</v>
      </c>
      <c r="D883" s="78"/>
      <c r="E883" s="78"/>
      <c r="F883" s="42">
        <v>0</v>
      </c>
      <c r="G883" s="42">
        <f t="shared" si="13"/>
        <v>0</v>
      </c>
      <c r="H883" s="2" t="str">
        <f>VLOOKUP(A883,'TB JULY'!A:H,8,0)</f>
        <v>Not Applicable</v>
      </c>
    </row>
    <row r="884" spans="1:8">
      <c r="A884" s="62" t="s">
        <v>1620</v>
      </c>
      <c r="B884" s="78"/>
      <c r="C884" s="78">
        <v>2344118</v>
      </c>
      <c r="D884" s="78">
        <v>2408088</v>
      </c>
      <c r="E884" s="78">
        <v>-63970</v>
      </c>
      <c r="F884" s="42">
        <v>0</v>
      </c>
      <c r="G884" s="42">
        <f t="shared" si="13"/>
        <v>-63970</v>
      </c>
      <c r="H884" s="2" t="str">
        <f>VLOOKUP(A884,'TB JULY'!A:H,8,0)</f>
        <v>Not Applicable</v>
      </c>
    </row>
    <row r="885" spans="1:8">
      <c r="A885" s="62" t="s">
        <v>1621</v>
      </c>
      <c r="B885" s="78"/>
      <c r="C885" s="78">
        <v>117511</v>
      </c>
      <c r="D885" s="78">
        <v>117511</v>
      </c>
      <c r="E885" s="78"/>
      <c r="F885" s="42">
        <v>0</v>
      </c>
      <c r="G885" s="42">
        <f t="shared" si="13"/>
        <v>0</v>
      </c>
      <c r="H885" s="2" t="str">
        <f>VLOOKUP(A885,'TB JULY'!A:H,8,0)</f>
        <v>Not Applicable</v>
      </c>
    </row>
    <row r="886" spans="1:8">
      <c r="A886" s="62" t="s">
        <v>1649</v>
      </c>
      <c r="B886" s="78"/>
      <c r="C886" s="78">
        <v>36380.43</v>
      </c>
      <c r="D886" s="78">
        <v>36380.43</v>
      </c>
      <c r="E886" s="78"/>
      <c r="F886" s="42">
        <v>0</v>
      </c>
      <c r="G886" s="42">
        <f t="shared" si="13"/>
        <v>0</v>
      </c>
      <c r="H886" s="2" t="s">
        <v>84</v>
      </c>
    </row>
    <row r="887" spans="1:8">
      <c r="A887" s="62" t="s">
        <v>1004</v>
      </c>
      <c r="B887" s="78">
        <v>-3515.4</v>
      </c>
      <c r="C887" s="78"/>
      <c r="D887" s="78"/>
      <c r="E887" s="78">
        <v>-3515.4</v>
      </c>
      <c r="F887" s="42">
        <v>0</v>
      </c>
      <c r="G887" s="42">
        <f t="shared" si="13"/>
        <v>-3515.4</v>
      </c>
      <c r="H887" s="2" t="str">
        <f>VLOOKUP(A887,'TB JULY'!A:H,8,0)</f>
        <v>Not Applicable</v>
      </c>
    </row>
    <row r="888" spans="1:8">
      <c r="A888" s="62" t="s">
        <v>1374</v>
      </c>
      <c r="B888" s="78">
        <v>-161506.79999999999</v>
      </c>
      <c r="C888" s="78"/>
      <c r="D888" s="78"/>
      <c r="E888" s="78">
        <v>-161506.79999999999</v>
      </c>
      <c r="F888" s="42">
        <v>0</v>
      </c>
      <c r="G888" s="42">
        <f t="shared" si="13"/>
        <v>-161506.79999999999</v>
      </c>
      <c r="H888" s="2" t="str">
        <f>VLOOKUP(A888,'TB JULY'!A:H,8,0)</f>
        <v>Not Applicable</v>
      </c>
    </row>
    <row r="889" spans="1:8">
      <c r="A889" s="62" t="s">
        <v>515</v>
      </c>
      <c r="B889" s="78">
        <v>74938.759999999995</v>
      </c>
      <c r="C889" s="78"/>
      <c r="D889" s="78"/>
      <c r="E889" s="78">
        <v>74938.759999999995</v>
      </c>
      <c r="F889" s="42">
        <v>0</v>
      </c>
      <c r="G889" s="42">
        <f t="shared" si="13"/>
        <v>74938.759999999995</v>
      </c>
      <c r="H889" s="2" t="str">
        <f>VLOOKUP(A889,'TB JULY'!A:H,8,0)</f>
        <v>Not Applicable</v>
      </c>
    </row>
    <row r="890" spans="1:8">
      <c r="A890" s="62" t="s">
        <v>437</v>
      </c>
      <c r="B890" s="78"/>
      <c r="C890" s="78"/>
      <c r="D890" s="78"/>
      <c r="E890" s="78"/>
      <c r="F890" s="42">
        <v>0</v>
      </c>
      <c r="G890" s="42">
        <f t="shared" si="13"/>
        <v>0</v>
      </c>
      <c r="H890" s="2" t="str">
        <f>VLOOKUP(A890,'TB JULY'!A:H,8,0)</f>
        <v>Not Applicable</v>
      </c>
    </row>
    <row r="891" spans="1:8">
      <c r="A891" s="62" t="s">
        <v>1315</v>
      </c>
      <c r="B891" s="78"/>
      <c r="C891" s="78"/>
      <c r="D891" s="78"/>
      <c r="E891" s="78"/>
      <c r="F891" s="42">
        <v>0</v>
      </c>
      <c r="G891" s="42">
        <f t="shared" si="13"/>
        <v>0</v>
      </c>
      <c r="H891" s="2" t="str">
        <f>VLOOKUP(A891,'TB JULY'!A:H,8,0)</f>
        <v>Not Applicable</v>
      </c>
    </row>
    <row r="892" spans="1:8">
      <c r="A892" s="62" t="s">
        <v>725</v>
      </c>
      <c r="B892" s="78"/>
      <c r="C892" s="78"/>
      <c r="D892" s="78">
        <v>28320</v>
      </c>
      <c r="E892" s="78">
        <v>-28320</v>
      </c>
      <c r="F892" s="42">
        <v>0</v>
      </c>
      <c r="G892" s="42">
        <f t="shared" si="13"/>
        <v>-28320</v>
      </c>
      <c r="H892" s="2" t="s">
        <v>84</v>
      </c>
    </row>
    <row r="893" spans="1:8">
      <c r="A893" s="62" t="s">
        <v>696</v>
      </c>
      <c r="B893" s="78">
        <v>-8382528</v>
      </c>
      <c r="C893" s="78"/>
      <c r="D893" s="78"/>
      <c r="E893" s="78">
        <v>-8382528</v>
      </c>
      <c r="F893" s="42">
        <v>0</v>
      </c>
      <c r="G893" s="42">
        <f t="shared" si="13"/>
        <v>-8382528</v>
      </c>
      <c r="H893" s="2" t="str">
        <f>VLOOKUP(A893,'TB JULY'!A:H,8,0)</f>
        <v>Not Applicable</v>
      </c>
    </row>
    <row r="894" spans="1:8">
      <c r="A894" s="62" t="s">
        <v>674</v>
      </c>
      <c r="B894" s="78">
        <v>-2992.51</v>
      </c>
      <c r="C894" s="78">
        <v>2992.51</v>
      </c>
      <c r="D894" s="78"/>
      <c r="E894" s="78"/>
      <c r="F894" s="42">
        <v>0</v>
      </c>
      <c r="G894" s="42">
        <f t="shared" si="13"/>
        <v>0</v>
      </c>
      <c r="H894" s="2" t="str">
        <f>VLOOKUP(A894,'TB JULY'!A:H,8,0)</f>
        <v>Not Applicable</v>
      </c>
    </row>
    <row r="895" spans="1:8">
      <c r="A895" s="62" t="s">
        <v>872</v>
      </c>
      <c r="B895" s="78"/>
      <c r="C895" s="78">
        <v>442500</v>
      </c>
      <c r="D895" s="78">
        <v>992380</v>
      </c>
      <c r="E895" s="78">
        <v>-549880</v>
      </c>
      <c r="F895" s="42">
        <v>0</v>
      </c>
      <c r="G895" s="42">
        <f t="shared" si="13"/>
        <v>-549880</v>
      </c>
      <c r="H895" s="2" t="str">
        <f>VLOOKUP(A895,'TB JULY'!A:H,8,0)</f>
        <v>Not Applicable</v>
      </c>
    </row>
    <row r="896" spans="1:8">
      <c r="A896" s="62" t="s">
        <v>635</v>
      </c>
      <c r="B896" s="78">
        <v>-315368</v>
      </c>
      <c r="C896" s="78">
        <v>315368</v>
      </c>
      <c r="D896" s="78"/>
      <c r="E896" s="78"/>
      <c r="F896" s="42">
        <v>0</v>
      </c>
      <c r="G896" s="42">
        <f t="shared" si="13"/>
        <v>0</v>
      </c>
      <c r="H896" s="2" t="str">
        <f>VLOOKUP(A896,'TB JULY'!A:H,8,0)</f>
        <v>Not Applicable</v>
      </c>
    </row>
    <row r="897" spans="1:8">
      <c r="A897" s="62" t="s">
        <v>1483</v>
      </c>
      <c r="B897" s="78"/>
      <c r="C897" s="78"/>
      <c r="D897" s="78"/>
      <c r="E897" s="78"/>
      <c r="F897" s="42">
        <v>0</v>
      </c>
      <c r="G897" s="42">
        <f t="shared" si="13"/>
        <v>0</v>
      </c>
      <c r="H897" s="2" t="str">
        <f>VLOOKUP(A897,'TB JULY'!A:H,8,0)</f>
        <v>Not Applicable</v>
      </c>
    </row>
    <row r="898" spans="1:8">
      <c r="A898" s="62" t="s">
        <v>1193</v>
      </c>
      <c r="B898" s="78">
        <v>-12980</v>
      </c>
      <c r="C898" s="78"/>
      <c r="D898" s="78"/>
      <c r="E898" s="78">
        <v>-12980</v>
      </c>
      <c r="F898" s="42">
        <v>0</v>
      </c>
      <c r="G898" s="42">
        <f t="shared" si="13"/>
        <v>-12980</v>
      </c>
      <c r="H898" s="2" t="str">
        <f>VLOOKUP(A898,'TB JULY'!A:H,8,0)</f>
        <v>Not Applicable</v>
      </c>
    </row>
    <row r="899" spans="1:8">
      <c r="A899" s="62" t="s">
        <v>1316</v>
      </c>
      <c r="B899" s="78"/>
      <c r="C899" s="78"/>
      <c r="D899" s="78"/>
      <c r="E899" s="78"/>
      <c r="F899" s="42">
        <v>0</v>
      </c>
      <c r="G899" s="42">
        <f t="shared" si="13"/>
        <v>0</v>
      </c>
      <c r="H899" s="2" t="str">
        <f>VLOOKUP(A899,'TB JULY'!A:H,8,0)</f>
        <v>Not Applicable</v>
      </c>
    </row>
    <row r="900" spans="1:8">
      <c r="A900" s="62" t="s">
        <v>1534</v>
      </c>
      <c r="B900" s="78"/>
      <c r="C900" s="78">
        <v>5808721</v>
      </c>
      <c r="D900" s="78">
        <v>5808721</v>
      </c>
      <c r="E900" s="78"/>
      <c r="F900" s="42">
        <v>0</v>
      </c>
      <c r="G900" s="42">
        <f t="shared" si="13"/>
        <v>0</v>
      </c>
      <c r="H900" s="2" t="str">
        <f>VLOOKUP(A900,'TB JULY'!A:H,8,0)</f>
        <v>Not Applicable</v>
      </c>
    </row>
    <row r="901" spans="1:8">
      <c r="A901" s="62" t="s">
        <v>610</v>
      </c>
      <c r="B901" s="78">
        <v>-337874.88</v>
      </c>
      <c r="C901" s="78"/>
      <c r="D901" s="78"/>
      <c r="E901" s="78">
        <v>-337874.88</v>
      </c>
      <c r="F901" s="42">
        <v>0</v>
      </c>
      <c r="G901" s="42">
        <f t="shared" si="13"/>
        <v>-337874.88</v>
      </c>
      <c r="H901" s="2" t="str">
        <f>VLOOKUP(A901,'TB JULY'!A:H,8,0)</f>
        <v>Not Applicable</v>
      </c>
    </row>
    <row r="902" spans="1:8">
      <c r="A902" s="62" t="s">
        <v>1145</v>
      </c>
      <c r="B902" s="78">
        <v>-8041519.5300000003</v>
      </c>
      <c r="C902" s="78">
        <v>9989391.1999999993</v>
      </c>
      <c r="D902" s="78">
        <v>1947871.86</v>
      </c>
      <c r="E902" s="78">
        <v>-0.19</v>
      </c>
      <c r="F902" s="42">
        <v>0</v>
      </c>
      <c r="G902" s="42">
        <f t="shared" si="13"/>
        <v>-0.19</v>
      </c>
      <c r="H902" s="2" t="str">
        <f>VLOOKUP(A902,'TB JULY'!A:H,8,0)</f>
        <v>Not Applicable</v>
      </c>
    </row>
    <row r="903" spans="1:8">
      <c r="A903" s="62" t="s">
        <v>1622</v>
      </c>
      <c r="B903" s="78"/>
      <c r="C903" s="78">
        <v>15211771.59</v>
      </c>
      <c r="D903" s="78">
        <v>1772580.6</v>
      </c>
      <c r="E903" s="78">
        <v>13439190.99</v>
      </c>
      <c r="F903" s="42">
        <v>0</v>
      </c>
      <c r="G903" s="42">
        <f t="shared" ref="G903:G966" si="14">E903+F903</f>
        <v>13439190.99</v>
      </c>
      <c r="H903" s="2" t="str">
        <f>VLOOKUP(A903,'TB JULY'!A:H,8,0)</f>
        <v>Not Applicable</v>
      </c>
    </row>
    <row r="904" spans="1:8">
      <c r="A904" s="62" t="s">
        <v>1484</v>
      </c>
      <c r="B904" s="78"/>
      <c r="C904" s="78"/>
      <c r="D904" s="78"/>
      <c r="E904" s="78"/>
      <c r="F904" s="42">
        <v>0</v>
      </c>
      <c r="G904" s="42">
        <f t="shared" si="14"/>
        <v>0</v>
      </c>
      <c r="H904" s="2" t="str">
        <f>VLOOKUP(A904,'TB JULY'!A:H,8,0)</f>
        <v>Not Applicable</v>
      </c>
    </row>
    <row r="905" spans="1:8">
      <c r="A905" s="62" t="s">
        <v>603</v>
      </c>
      <c r="B905" s="78"/>
      <c r="C905" s="78"/>
      <c r="D905" s="78"/>
      <c r="E905" s="78"/>
      <c r="F905" s="42">
        <v>0</v>
      </c>
      <c r="G905" s="42">
        <f t="shared" si="14"/>
        <v>0</v>
      </c>
      <c r="H905" s="2" t="str">
        <f>VLOOKUP(A905,'TB JULY'!A:H,8,0)</f>
        <v>Not Applicable</v>
      </c>
    </row>
    <row r="906" spans="1:8">
      <c r="A906" s="62" t="s">
        <v>601</v>
      </c>
      <c r="B906" s="78"/>
      <c r="C906" s="78"/>
      <c r="D906" s="78"/>
      <c r="E906" s="78"/>
      <c r="F906" s="42">
        <v>0</v>
      </c>
      <c r="G906" s="42">
        <f t="shared" si="14"/>
        <v>0</v>
      </c>
      <c r="H906" s="2" t="str">
        <f>VLOOKUP(A906,'TB JULY'!A:H,8,0)</f>
        <v>Not Applicable</v>
      </c>
    </row>
    <row r="907" spans="1:8">
      <c r="A907" s="62" t="s">
        <v>597</v>
      </c>
      <c r="B907" s="78"/>
      <c r="C907" s="78"/>
      <c r="D907" s="78"/>
      <c r="E907" s="78"/>
      <c r="F907" s="42">
        <v>0</v>
      </c>
      <c r="G907" s="42">
        <f t="shared" si="14"/>
        <v>0</v>
      </c>
      <c r="H907" s="2" t="str">
        <f>VLOOKUP(A907,'TB JULY'!A:H,8,0)</f>
        <v>Not Applicable</v>
      </c>
    </row>
    <row r="908" spans="1:8">
      <c r="A908" s="62" t="s">
        <v>598</v>
      </c>
      <c r="B908" s="78">
        <v>-3203037.26</v>
      </c>
      <c r="C908" s="78">
        <v>1605326.4</v>
      </c>
      <c r="D908" s="78">
        <v>1605326.4</v>
      </c>
      <c r="E908" s="78">
        <v>-3203037.26</v>
      </c>
      <c r="F908" s="42">
        <v>0</v>
      </c>
      <c r="G908" s="42">
        <f t="shared" si="14"/>
        <v>-3203037.26</v>
      </c>
      <c r="H908" s="2" t="str">
        <f>VLOOKUP(A908,'TB JULY'!A:H,8,0)</f>
        <v>Not Applicable</v>
      </c>
    </row>
    <row r="909" spans="1:8">
      <c r="A909" s="62" t="s">
        <v>1163</v>
      </c>
      <c r="B909" s="78">
        <v>-8911011.1999999993</v>
      </c>
      <c r="C909" s="78"/>
      <c r="D909" s="78"/>
      <c r="E909" s="78">
        <v>-8911011.1999999993</v>
      </c>
      <c r="F909" s="42">
        <v>0</v>
      </c>
      <c r="G909" s="42">
        <f t="shared" si="14"/>
        <v>-8911011.1999999993</v>
      </c>
      <c r="H909" s="2" t="str">
        <f>VLOOKUP(A909,'TB JULY'!A:H,8,0)</f>
        <v>Not Applicable</v>
      </c>
    </row>
    <row r="910" spans="1:8">
      <c r="A910" s="62" t="s">
        <v>576</v>
      </c>
      <c r="B910" s="78">
        <v>-1727691445.1800001</v>
      </c>
      <c r="C910" s="78">
        <v>15112.31</v>
      </c>
      <c r="D910" s="78">
        <v>122492539.09</v>
      </c>
      <c r="E910" s="78">
        <v>-1850168871.96</v>
      </c>
      <c r="F910" s="42">
        <v>0</v>
      </c>
      <c r="G910" s="42">
        <f t="shared" si="14"/>
        <v>-1850168871.96</v>
      </c>
      <c r="H910" s="2" t="str">
        <f>VLOOKUP(A910,'TB JULY'!A:H,8,0)</f>
        <v>Not Applicable</v>
      </c>
    </row>
    <row r="911" spans="1:8">
      <c r="A911" s="62" t="s">
        <v>1650</v>
      </c>
      <c r="B911" s="78"/>
      <c r="C911" s="78">
        <v>22420</v>
      </c>
      <c r="D911" s="78">
        <v>22420</v>
      </c>
      <c r="E911" s="78"/>
      <c r="F911" s="42">
        <v>0</v>
      </c>
      <c r="G911" s="42">
        <f t="shared" si="14"/>
        <v>0</v>
      </c>
      <c r="H911" s="2" t="s">
        <v>84</v>
      </c>
    </row>
    <row r="912" spans="1:8">
      <c r="A912" s="62" t="s">
        <v>1535</v>
      </c>
      <c r="B912" s="78"/>
      <c r="C912" s="78">
        <v>3369390</v>
      </c>
      <c r="D912" s="78">
        <v>4247056</v>
      </c>
      <c r="E912" s="78">
        <v>-877666</v>
      </c>
      <c r="F912" s="42">
        <v>0</v>
      </c>
      <c r="G912" s="42">
        <f t="shared" si="14"/>
        <v>-877666</v>
      </c>
      <c r="H912" s="2" t="str">
        <f>VLOOKUP(A912,'TB JULY'!A:H,8,0)</f>
        <v>Not Applicable</v>
      </c>
    </row>
    <row r="913" spans="1:8">
      <c r="A913" s="62" t="s">
        <v>560</v>
      </c>
      <c r="B913" s="78">
        <v>307113.17</v>
      </c>
      <c r="C913" s="78"/>
      <c r="D913" s="78"/>
      <c r="E913" s="78">
        <v>307113.17</v>
      </c>
      <c r="F913" s="42">
        <v>0</v>
      </c>
      <c r="G913" s="42">
        <f t="shared" si="14"/>
        <v>307113.17</v>
      </c>
      <c r="H913" s="2" t="str">
        <f>VLOOKUP(A913,'TB JULY'!A:H,8,0)</f>
        <v>Not Applicable</v>
      </c>
    </row>
    <row r="914" spans="1:8">
      <c r="A914" s="62" t="s">
        <v>1651</v>
      </c>
      <c r="B914" s="78"/>
      <c r="C914" s="78">
        <v>831900</v>
      </c>
      <c r="D914" s="78">
        <v>831900</v>
      </c>
      <c r="E914" s="78"/>
      <c r="F914" s="42">
        <v>0</v>
      </c>
      <c r="G914" s="42">
        <f t="shared" si="14"/>
        <v>0</v>
      </c>
      <c r="H914" s="2" t="s">
        <v>84</v>
      </c>
    </row>
    <row r="915" spans="1:8">
      <c r="A915" s="63" t="s">
        <v>1658</v>
      </c>
      <c r="B915" s="78"/>
      <c r="C915" s="78"/>
      <c r="D915" s="78"/>
      <c r="E915" s="78"/>
      <c r="F915" s="42">
        <v>0</v>
      </c>
      <c r="G915" s="42">
        <f t="shared" si="14"/>
        <v>0</v>
      </c>
      <c r="H915" s="2" t="s">
        <v>84</v>
      </c>
    </row>
    <row r="916" spans="1:8">
      <c r="A916" s="62" t="s">
        <v>989</v>
      </c>
      <c r="B916" s="78">
        <v>-18071983</v>
      </c>
      <c r="C916" s="78">
        <v>29096991</v>
      </c>
      <c r="D916" s="78">
        <v>11025008</v>
      </c>
      <c r="E916" s="78"/>
      <c r="F916" s="42">
        <v>0</v>
      </c>
      <c r="G916" s="42">
        <f t="shared" si="14"/>
        <v>0</v>
      </c>
      <c r="H916" s="2" t="str">
        <f>VLOOKUP(A916,'TB JULY'!A:H,8,0)</f>
        <v>Not Applicable</v>
      </c>
    </row>
    <row r="917" spans="1:8">
      <c r="A917" s="62" t="s">
        <v>545</v>
      </c>
      <c r="B917" s="78"/>
      <c r="C917" s="78"/>
      <c r="D917" s="78"/>
      <c r="E917" s="78"/>
      <c r="F917" s="42">
        <v>0</v>
      </c>
      <c r="G917" s="42">
        <f t="shared" si="14"/>
        <v>0</v>
      </c>
      <c r="H917" s="2" t="str">
        <f>VLOOKUP(A917,'TB JULY'!A:H,8,0)</f>
        <v>Not Applicable</v>
      </c>
    </row>
    <row r="918" spans="1:8">
      <c r="A918" s="62" t="s">
        <v>1251</v>
      </c>
      <c r="B918" s="78"/>
      <c r="C918" s="78">
        <v>904441</v>
      </c>
      <c r="D918" s="78">
        <v>904824</v>
      </c>
      <c r="E918" s="78">
        <v>-383</v>
      </c>
      <c r="F918" s="42">
        <v>0</v>
      </c>
      <c r="G918" s="42">
        <f t="shared" si="14"/>
        <v>-383</v>
      </c>
      <c r="H918" s="2" t="str">
        <f>VLOOKUP(A918,'TB JULY'!A:H,8,0)</f>
        <v>Not Applicable</v>
      </c>
    </row>
    <row r="919" spans="1:8">
      <c r="A919" s="62" t="s">
        <v>527</v>
      </c>
      <c r="B919" s="78">
        <v>254743.26</v>
      </c>
      <c r="C919" s="78"/>
      <c r="D919" s="78"/>
      <c r="E919" s="78">
        <v>254743.26</v>
      </c>
      <c r="F919" s="42">
        <v>0</v>
      </c>
      <c r="G919" s="42">
        <f t="shared" si="14"/>
        <v>254743.26</v>
      </c>
      <c r="H919" s="2" t="str">
        <f>VLOOKUP(A919,'TB JULY'!A:H,8,0)</f>
        <v>Not Applicable</v>
      </c>
    </row>
    <row r="920" spans="1:8">
      <c r="A920" s="62" t="s">
        <v>889</v>
      </c>
      <c r="B920" s="78"/>
      <c r="C920" s="78"/>
      <c r="D920" s="78"/>
      <c r="E920" s="78"/>
      <c r="F920" s="42">
        <v>0</v>
      </c>
      <c r="G920" s="42">
        <f t="shared" si="14"/>
        <v>0</v>
      </c>
      <c r="H920" s="2" t="s">
        <v>84</v>
      </c>
    </row>
    <row r="921" spans="1:8">
      <c r="A921" s="62" t="s">
        <v>516</v>
      </c>
      <c r="B921" s="78">
        <v>-402161.93</v>
      </c>
      <c r="C921" s="78"/>
      <c r="D921" s="78"/>
      <c r="E921" s="78">
        <v>-402161.93</v>
      </c>
      <c r="F921" s="42">
        <v>0</v>
      </c>
      <c r="G921" s="42">
        <f t="shared" si="14"/>
        <v>-402161.93</v>
      </c>
      <c r="H921" s="2" t="str">
        <f>VLOOKUP(A921,'TB JULY'!A:H,8,0)</f>
        <v>Not Applicable</v>
      </c>
    </row>
    <row r="922" spans="1:8">
      <c r="A922" s="62" t="s">
        <v>1487</v>
      </c>
      <c r="B922" s="78">
        <v>-319.79000000000002</v>
      </c>
      <c r="C922" s="78"/>
      <c r="D922" s="78"/>
      <c r="E922" s="78">
        <v>-319.79000000000002</v>
      </c>
      <c r="F922" s="42">
        <v>0</v>
      </c>
      <c r="G922" s="42">
        <f t="shared" si="14"/>
        <v>-319.79000000000002</v>
      </c>
      <c r="H922" s="2" t="str">
        <f>VLOOKUP(A922,'TB JULY'!A:H,8,0)</f>
        <v>Not Applicable</v>
      </c>
    </row>
    <row r="923" spans="1:8">
      <c r="A923" s="62" t="s">
        <v>517</v>
      </c>
      <c r="B923" s="78"/>
      <c r="C923" s="78"/>
      <c r="D923" s="78"/>
      <c r="E923" s="78"/>
      <c r="F923" s="42">
        <v>0</v>
      </c>
      <c r="G923" s="42">
        <f t="shared" si="14"/>
        <v>0</v>
      </c>
      <c r="H923" s="2" t="str">
        <f>VLOOKUP(A923,'TB JULY'!A:H,8,0)</f>
        <v>Not Applicable</v>
      </c>
    </row>
    <row r="924" spans="1:8">
      <c r="A924" s="62" t="s">
        <v>1488</v>
      </c>
      <c r="B924" s="78">
        <v>-13781293.02</v>
      </c>
      <c r="C924" s="78"/>
      <c r="D924" s="78">
        <v>17147676</v>
      </c>
      <c r="E924" s="78">
        <v>-30928969.02</v>
      </c>
      <c r="F924" s="42">
        <v>0</v>
      </c>
      <c r="G924" s="42">
        <f t="shared" si="14"/>
        <v>-30928969.02</v>
      </c>
      <c r="H924" s="2" t="str">
        <f>VLOOKUP(A924,'TB JULY'!A:H,8,0)</f>
        <v>Not Applicable</v>
      </c>
    </row>
    <row r="925" spans="1:8">
      <c r="A925" s="62" t="s">
        <v>1489</v>
      </c>
      <c r="B925" s="78">
        <v>-34477367.549999997</v>
      </c>
      <c r="C925" s="78"/>
      <c r="D925" s="78"/>
      <c r="E925" s="78">
        <v>-34477367.549999997</v>
      </c>
      <c r="F925" s="42">
        <v>0</v>
      </c>
      <c r="G925" s="42">
        <f t="shared" si="14"/>
        <v>-34477367.549999997</v>
      </c>
      <c r="H925" s="2" t="str">
        <f>VLOOKUP(A925,'TB JULY'!A:H,8,0)</f>
        <v>Not Applicable</v>
      </c>
    </row>
    <row r="926" spans="1:8">
      <c r="A926" s="62" t="s">
        <v>1067</v>
      </c>
      <c r="B926" s="78">
        <v>-1416</v>
      </c>
      <c r="C926" s="78"/>
      <c r="D926" s="78"/>
      <c r="E926" s="78">
        <v>-1416</v>
      </c>
      <c r="F926" s="42">
        <v>0</v>
      </c>
      <c r="G926" s="42">
        <f t="shared" si="14"/>
        <v>-1416</v>
      </c>
      <c r="H926" s="2" t="str">
        <f>VLOOKUP(A926,'TB JULY'!A:H,8,0)</f>
        <v>Not Applicable</v>
      </c>
    </row>
    <row r="927" spans="1:8">
      <c r="A927" s="62" t="s">
        <v>1595</v>
      </c>
      <c r="B927" s="78"/>
      <c r="C927" s="78">
        <v>182841</v>
      </c>
      <c r="D927" s="78">
        <v>120696</v>
      </c>
      <c r="E927" s="78">
        <v>62145</v>
      </c>
      <c r="F927" s="42">
        <v>0</v>
      </c>
      <c r="G927" s="42">
        <f t="shared" si="14"/>
        <v>62145</v>
      </c>
      <c r="H927" s="2" t="str">
        <f>VLOOKUP(A927,'TB JULY'!A:H,8,0)</f>
        <v>Not Applicable</v>
      </c>
    </row>
    <row r="928" spans="1:8">
      <c r="A928" s="62" t="s">
        <v>511</v>
      </c>
      <c r="B928" s="78"/>
      <c r="C928" s="78">
        <v>2280050.7000000002</v>
      </c>
      <c r="D928" s="78">
        <v>2758426.47</v>
      </c>
      <c r="E928" s="78">
        <v>-478375.77</v>
      </c>
      <c r="F928" s="42">
        <v>0</v>
      </c>
      <c r="G928" s="42">
        <f t="shared" si="14"/>
        <v>-478375.77</v>
      </c>
      <c r="H928" s="2" t="str">
        <f>VLOOKUP(A928,'TB JULY'!A:H,8,0)</f>
        <v>Not Applicable</v>
      </c>
    </row>
    <row r="929" spans="1:8">
      <c r="A929" s="62" t="s">
        <v>1537</v>
      </c>
      <c r="B929" s="78"/>
      <c r="C929" s="78">
        <v>7691502</v>
      </c>
      <c r="D929" s="78">
        <v>7691501.25</v>
      </c>
      <c r="E929" s="78">
        <v>0.75</v>
      </c>
      <c r="F929" s="42">
        <v>0</v>
      </c>
      <c r="G929" s="42">
        <f t="shared" si="14"/>
        <v>0.75</v>
      </c>
      <c r="H929" s="2" t="str">
        <f>VLOOKUP(A929,'TB JULY'!A:H,8,0)</f>
        <v>Not Applicable</v>
      </c>
    </row>
    <row r="930" spans="1:8">
      <c r="A930" s="62" t="s">
        <v>495</v>
      </c>
      <c r="B930" s="78"/>
      <c r="C930" s="78"/>
      <c r="D930" s="78"/>
      <c r="E930" s="78"/>
      <c r="F930" s="42">
        <v>0</v>
      </c>
      <c r="G930" s="42">
        <f t="shared" si="14"/>
        <v>0</v>
      </c>
      <c r="H930" s="2" t="s">
        <v>84</v>
      </c>
    </row>
    <row r="931" spans="1:8">
      <c r="A931" s="62" t="s">
        <v>461</v>
      </c>
      <c r="B931" s="78"/>
      <c r="C931" s="78"/>
      <c r="D931" s="78"/>
      <c r="E931" s="78"/>
      <c r="F931" s="42">
        <v>0</v>
      </c>
      <c r="G931" s="42">
        <f t="shared" si="14"/>
        <v>0</v>
      </c>
      <c r="H931" s="2" t="str">
        <f>VLOOKUP(A931,'TB JULY'!A:H,8,0)</f>
        <v>Not Applicable</v>
      </c>
    </row>
    <row r="932" spans="1:8">
      <c r="A932" s="62" t="s">
        <v>462</v>
      </c>
      <c r="B932" s="78">
        <v>-6019955.2800000003</v>
      </c>
      <c r="C932" s="78">
        <v>18825916.699999999</v>
      </c>
      <c r="D932" s="78">
        <v>22489109.77</v>
      </c>
      <c r="E932" s="78">
        <v>-9683148.3499999996</v>
      </c>
      <c r="F932" s="42">
        <v>0</v>
      </c>
      <c r="G932" s="42">
        <f t="shared" si="14"/>
        <v>-9683148.3499999996</v>
      </c>
      <c r="H932" s="2" t="str">
        <f>VLOOKUP(A932,'TB JULY'!A:H,8,0)</f>
        <v>Not Applicable</v>
      </c>
    </row>
    <row r="933" spans="1:8">
      <c r="A933" s="62" t="s">
        <v>463</v>
      </c>
      <c r="B933" s="78">
        <v>-7275146.4500000002</v>
      </c>
      <c r="C933" s="78">
        <v>31893301.280000001</v>
      </c>
      <c r="D933" s="78">
        <v>27255061.359999999</v>
      </c>
      <c r="E933" s="78">
        <v>-2636906.5299999998</v>
      </c>
      <c r="F933" s="42">
        <v>0</v>
      </c>
      <c r="G933" s="42">
        <f t="shared" si="14"/>
        <v>-2636906.5299999998</v>
      </c>
      <c r="H933" s="2" t="str">
        <f>VLOOKUP(A933,'TB JULY'!A:H,8,0)</f>
        <v>Not Applicable</v>
      </c>
    </row>
    <row r="934" spans="1:8">
      <c r="A934" s="62" t="s">
        <v>457</v>
      </c>
      <c r="B934" s="78"/>
      <c r="C934" s="78"/>
      <c r="D934" s="78"/>
      <c r="E934" s="78"/>
      <c r="F934" s="42">
        <v>0</v>
      </c>
      <c r="G934" s="42">
        <f t="shared" si="14"/>
        <v>0</v>
      </c>
      <c r="H934" s="2" t="str">
        <f>VLOOKUP(A934,'TB JULY'!A:H,8,0)</f>
        <v>Not Applicable</v>
      </c>
    </row>
    <row r="935" spans="1:8">
      <c r="A935" s="62" t="s">
        <v>1490</v>
      </c>
      <c r="B935" s="78"/>
      <c r="C935" s="78"/>
      <c r="D935" s="78"/>
      <c r="E935" s="78"/>
      <c r="F935" s="42">
        <v>0</v>
      </c>
      <c r="G935" s="42">
        <f t="shared" si="14"/>
        <v>0</v>
      </c>
      <c r="H935" s="2" t="str">
        <f>VLOOKUP(A935,'TB JULY'!A:H,8,0)</f>
        <v>Not Applicable</v>
      </c>
    </row>
    <row r="936" spans="1:8">
      <c r="A936" s="62" t="s">
        <v>419</v>
      </c>
      <c r="B936" s="78">
        <v>4951811.6100000003</v>
      </c>
      <c r="C936" s="78">
        <v>5530908.5099999998</v>
      </c>
      <c r="D936" s="78">
        <v>1674661.64</v>
      </c>
      <c r="E936" s="78">
        <v>8808058.4800000004</v>
      </c>
      <c r="F936" s="42">
        <v>0</v>
      </c>
      <c r="G936" s="42">
        <f t="shared" si="14"/>
        <v>8808058.4800000004</v>
      </c>
      <c r="H936" s="2" t="str">
        <f>VLOOKUP(A936,'TB JULY'!A:H,8,0)</f>
        <v>Not Applicable</v>
      </c>
    </row>
    <row r="937" spans="1:8">
      <c r="A937" s="62" t="s">
        <v>1195</v>
      </c>
      <c r="B937" s="78">
        <v>-1176259</v>
      </c>
      <c r="C937" s="78">
        <v>1176259</v>
      </c>
      <c r="D937" s="78"/>
      <c r="E937" s="78"/>
      <c r="F937" s="42">
        <v>0</v>
      </c>
      <c r="G937" s="42">
        <f t="shared" si="14"/>
        <v>0</v>
      </c>
      <c r="H937" s="2" t="str">
        <f>VLOOKUP(A937,'TB JULY'!A:H,8,0)</f>
        <v>Not Applicable</v>
      </c>
    </row>
    <row r="938" spans="1:8">
      <c r="A938" s="62" t="s">
        <v>1492</v>
      </c>
      <c r="B938" s="78"/>
      <c r="C938" s="78"/>
      <c r="D938" s="78"/>
      <c r="E938" s="78"/>
      <c r="F938" s="42">
        <v>0</v>
      </c>
      <c r="G938" s="42">
        <f t="shared" si="14"/>
        <v>0</v>
      </c>
      <c r="H938" s="2" t="str">
        <f>VLOOKUP(A938,'TB JULY'!A:H,8,0)</f>
        <v>Not Applicable</v>
      </c>
    </row>
    <row r="939" spans="1:8">
      <c r="A939" s="62" t="s">
        <v>411</v>
      </c>
      <c r="B939" s="78">
        <v>-84959.8</v>
      </c>
      <c r="C939" s="78">
        <v>5911502</v>
      </c>
      <c r="D939" s="78">
        <v>5915755.7000000002</v>
      </c>
      <c r="E939" s="78">
        <v>-89213.5</v>
      </c>
      <c r="F939" s="42">
        <v>0</v>
      </c>
      <c r="G939" s="42">
        <f t="shared" si="14"/>
        <v>-89213.5</v>
      </c>
      <c r="H939" s="2" t="str">
        <f>VLOOKUP(A939,'TB JULY'!A:H,8,0)</f>
        <v>Not Applicable</v>
      </c>
    </row>
    <row r="940" spans="1:8">
      <c r="A940" s="62" t="s">
        <v>1090</v>
      </c>
      <c r="B940" s="78">
        <v>-9169591.1999999993</v>
      </c>
      <c r="C940" s="78"/>
      <c r="D940" s="78"/>
      <c r="E940" s="78">
        <v>-9169591.1999999993</v>
      </c>
      <c r="F940" s="42">
        <v>0</v>
      </c>
      <c r="G940" s="42">
        <f t="shared" si="14"/>
        <v>-9169591.1999999993</v>
      </c>
      <c r="H940" s="2" t="str">
        <f>VLOOKUP(A940,'TB JULY'!A:H,8,0)</f>
        <v>Not Applicable</v>
      </c>
    </row>
    <row r="941" spans="1:8">
      <c r="A941" s="62" t="s">
        <v>394</v>
      </c>
      <c r="B941" s="78">
        <v>-613943.67000000004</v>
      </c>
      <c r="C941" s="78"/>
      <c r="D941" s="78">
        <v>10959500</v>
      </c>
      <c r="E941" s="78">
        <v>-11573443.67</v>
      </c>
      <c r="F941" s="42">
        <v>0</v>
      </c>
      <c r="G941" s="42">
        <f t="shared" si="14"/>
        <v>-11573443.67</v>
      </c>
      <c r="H941" s="2" t="str">
        <f>VLOOKUP(A941,'TB JULY'!A:H,8,0)</f>
        <v>Not Applicable</v>
      </c>
    </row>
    <row r="942" spans="1:8">
      <c r="A942" s="62" t="s">
        <v>1000</v>
      </c>
      <c r="B942" s="78">
        <v>-2069133.4</v>
      </c>
      <c r="C942" s="78"/>
      <c r="D942" s="78"/>
      <c r="E942" s="78">
        <v>-2069133.4</v>
      </c>
      <c r="F942" s="42">
        <v>0</v>
      </c>
      <c r="G942" s="42">
        <f t="shared" si="14"/>
        <v>-2069133.4</v>
      </c>
      <c r="H942" s="2" t="str">
        <f>VLOOKUP(A942,'TB JULY'!A:H,8,0)</f>
        <v>Not Applicable</v>
      </c>
    </row>
    <row r="943" spans="1:8">
      <c r="A943" s="62" t="s">
        <v>1298</v>
      </c>
      <c r="B943" s="78">
        <v>-2298522</v>
      </c>
      <c r="C943" s="78">
        <v>6190422.5</v>
      </c>
      <c r="D943" s="78">
        <v>4387552.5</v>
      </c>
      <c r="E943" s="78">
        <v>-495652</v>
      </c>
      <c r="F943" s="42">
        <v>0</v>
      </c>
      <c r="G943" s="42">
        <f t="shared" si="14"/>
        <v>-495652</v>
      </c>
      <c r="H943" s="2" t="str">
        <f>VLOOKUP(A943,'TB JULY'!A:H,8,0)</f>
        <v>Not Applicable</v>
      </c>
    </row>
    <row r="944" spans="1:8">
      <c r="A944" s="62" t="s">
        <v>860</v>
      </c>
      <c r="B944" s="78"/>
      <c r="C944" s="78">
        <v>12870</v>
      </c>
      <c r="D944" s="78">
        <v>9900</v>
      </c>
      <c r="E944" s="78">
        <v>2970</v>
      </c>
      <c r="F944" s="42">
        <v>0</v>
      </c>
      <c r="G944" s="42">
        <f t="shared" si="14"/>
        <v>2970</v>
      </c>
      <c r="H944" s="2" t="str">
        <f>VLOOKUP(A944,'TB JULY'!A:H,8,0)</f>
        <v>Not Applicable</v>
      </c>
    </row>
    <row r="945" spans="1:8">
      <c r="A945" s="62" t="s">
        <v>390</v>
      </c>
      <c r="B945" s="78">
        <v>580865.06000000006</v>
      </c>
      <c r="C945" s="78"/>
      <c r="D945" s="78"/>
      <c r="E945" s="78">
        <v>580865.06000000006</v>
      </c>
      <c r="F945" s="42">
        <v>0</v>
      </c>
      <c r="G945" s="42">
        <f t="shared" si="14"/>
        <v>580865.06000000006</v>
      </c>
      <c r="H945" s="2" t="str">
        <f>VLOOKUP(A945,'TB JULY'!A:H,8,0)</f>
        <v>Not Applicable</v>
      </c>
    </row>
    <row r="946" spans="1:8">
      <c r="A946" s="62" t="s">
        <v>385</v>
      </c>
      <c r="B946" s="78"/>
      <c r="C946" s="78"/>
      <c r="D946" s="78"/>
      <c r="E946" s="78"/>
      <c r="F946" s="42">
        <v>0</v>
      </c>
      <c r="G946" s="42">
        <f t="shared" si="14"/>
        <v>0</v>
      </c>
      <c r="H946" s="2" t="str">
        <f>VLOOKUP(A946,'TB JULY'!A:H,8,0)</f>
        <v>Not Applicable</v>
      </c>
    </row>
    <row r="947" spans="1:8">
      <c r="A947" s="62" t="s">
        <v>380</v>
      </c>
      <c r="B947" s="78">
        <v>2691.2</v>
      </c>
      <c r="C947" s="78"/>
      <c r="D947" s="78"/>
      <c r="E947" s="78">
        <v>2691.2</v>
      </c>
      <c r="F947" s="42">
        <v>0</v>
      </c>
      <c r="G947" s="42">
        <f t="shared" si="14"/>
        <v>2691.2</v>
      </c>
      <c r="H947" s="2" t="str">
        <f>VLOOKUP(A947,'TB JULY'!A:H,8,0)</f>
        <v>Not Applicable</v>
      </c>
    </row>
    <row r="948" spans="1:8">
      <c r="A948" s="62" t="s">
        <v>381</v>
      </c>
      <c r="B948" s="78"/>
      <c r="C948" s="78"/>
      <c r="D948" s="78"/>
      <c r="E948" s="78"/>
      <c r="F948" s="42">
        <v>0</v>
      </c>
      <c r="G948" s="42">
        <f t="shared" si="14"/>
        <v>0</v>
      </c>
      <c r="H948" s="2" t="str">
        <f>VLOOKUP(A948,'TB JULY'!A:H,8,0)</f>
        <v>Not Applicable</v>
      </c>
    </row>
    <row r="949" spans="1:8">
      <c r="A949" s="62" t="s">
        <v>935</v>
      </c>
      <c r="B949" s="78">
        <v>-1144070</v>
      </c>
      <c r="C949" s="78">
        <v>1144070</v>
      </c>
      <c r="D949" s="78">
        <v>1286874</v>
      </c>
      <c r="E949" s="78">
        <v>-1286874</v>
      </c>
      <c r="F949" s="42">
        <v>0</v>
      </c>
      <c r="G949" s="42">
        <f t="shared" si="14"/>
        <v>-1286874</v>
      </c>
      <c r="H949" s="2" t="str">
        <f>VLOOKUP(A949,'TB JULY'!A:H,8,0)</f>
        <v>Not Applicable</v>
      </c>
    </row>
    <row r="950" spans="1:8">
      <c r="A950" s="62" t="s">
        <v>1538</v>
      </c>
      <c r="B950" s="78"/>
      <c r="C950" s="78">
        <v>1770</v>
      </c>
      <c r="D950" s="78">
        <v>1770</v>
      </c>
      <c r="E950" s="78"/>
      <c r="F950" s="42">
        <v>0</v>
      </c>
      <c r="G950" s="42">
        <f t="shared" si="14"/>
        <v>0</v>
      </c>
      <c r="H950" s="2" t="str">
        <f>VLOOKUP(A950,'TB JULY'!A:H,8,0)</f>
        <v>Not Applicable</v>
      </c>
    </row>
    <row r="951" spans="1:8">
      <c r="A951" s="62" t="s">
        <v>368</v>
      </c>
      <c r="B951" s="78"/>
      <c r="C951" s="78"/>
      <c r="D951" s="78"/>
      <c r="E951" s="78"/>
      <c r="F951" s="42">
        <v>0</v>
      </c>
      <c r="G951" s="42">
        <f t="shared" si="14"/>
        <v>0</v>
      </c>
      <c r="H951" s="2" t="str">
        <f>VLOOKUP(A951,'TB JULY'!A:H,8,0)</f>
        <v>Not Applicable</v>
      </c>
    </row>
    <row r="952" spans="1:8">
      <c r="A952" s="62" t="s">
        <v>958</v>
      </c>
      <c r="B952" s="78">
        <v>-49605.599999999999</v>
      </c>
      <c r="C952" s="78"/>
      <c r="D952" s="78"/>
      <c r="E952" s="78">
        <v>-49605.599999999999</v>
      </c>
      <c r="F952" s="42">
        <v>0</v>
      </c>
      <c r="G952" s="42">
        <f t="shared" si="14"/>
        <v>-49605.599999999999</v>
      </c>
      <c r="H952" s="2" t="str">
        <f>VLOOKUP(A952,'TB JULY'!A:H,8,0)</f>
        <v>Not Applicable</v>
      </c>
    </row>
    <row r="953" spans="1:8">
      <c r="A953" s="62" t="s">
        <v>1196</v>
      </c>
      <c r="B953" s="78">
        <v>-2328998.4</v>
      </c>
      <c r="C953" s="78"/>
      <c r="D953" s="78"/>
      <c r="E953" s="78">
        <v>-2328998.4</v>
      </c>
      <c r="F953" s="42">
        <v>0</v>
      </c>
      <c r="G953" s="42">
        <f t="shared" si="14"/>
        <v>-2328998.4</v>
      </c>
      <c r="H953" s="2" t="str">
        <f>VLOOKUP(A953,'TB JULY'!A:H,8,0)</f>
        <v>Not Applicable</v>
      </c>
    </row>
    <row r="954" spans="1:8">
      <c r="A954" s="62" t="s">
        <v>1376</v>
      </c>
      <c r="B954" s="78"/>
      <c r="C954" s="78"/>
      <c r="D954" s="78"/>
      <c r="E954" s="78"/>
      <c r="F954" s="42">
        <v>0</v>
      </c>
      <c r="G954" s="42">
        <f t="shared" si="14"/>
        <v>0</v>
      </c>
      <c r="H954" s="2" t="str">
        <f>VLOOKUP(A954,'TB JULY'!A:H,8,0)</f>
        <v>Not Applicable</v>
      </c>
    </row>
    <row r="955" spans="1:8">
      <c r="A955" s="62" t="s">
        <v>931</v>
      </c>
      <c r="B955" s="78"/>
      <c r="C955" s="78">
        <v>34100</v>
      </c>
      <c r="D955" s="78">
        <v>34100</v>
      </c>
      <c r="E955" s="78"/>
      <c r="F955" s="42">
        <v>0</v>
      </c>
      <c r="G955" s="42">
        <f t="shared" si="14"/>
        <v>0</v>
      </c>
      <c r="H955" s="2" t="str">
        <f>VLOOKUP(A955,'TB JULY'!A:H,8,0)</f>
        <v>Not Applicable</v>
      </c>
    </row>
    <row r="956" spans="1:8">
      <c r="A956" s="62" t="s">
        <v>735</v>
      </c>
      <c r="B956" s="78">
        <v>39444.199999999997</v>
      </c>
      <c r="C956" s="78"/>
      <c r="D956" s="78"/>
      <c r="E956" s="78">
        <v>39444.199999999997</v>
      </c>
      <c r="F956" s="42">
        <v>0</v>
      </c>
      <c r="G956" s="42">
        <f t="shared" si="14"/>
        <v>39444.199999999997</v>
      </c>
      <c r="H956" s="2" t="str">
        <f>VLOOKUP(A956,'TB JULY'!A:H,8,0)</f>
        <v>Not Applicable</v>
      </c>
    </row>
    <row r="957" spans="1:8">
      <c r="A957" s="62" t="s">
        <v>732</v>
      </c>
      <c r="B957" s="78"/>
      <c r="C957" s="78"/>
      <c r="D957" s="78"/>
      <c r="E957" s="78"/>
      <c r="F957" s="42">
        <v>0</v>
      </c>
      <c r="G957" s="42">
        <f t="shared" si="14"/>
        <v>0</v>
      </c>
      <c r="H957" s="2" t="str">
        <f>VLOOKUP(A957,'TB JULY'!A:H,8,0)</f>
        <v>Not Applicable</v>
      </c>
    </row>
    <row r="958" spans="1:8">
      <c r="A958" s="62" t="s">
        <v>861</v>
      </c>
      <c r="B958" s="78"/>
      <c r="C958" s="78"/>
      <c r="D958" s="78"/>
      <c r="E958" s="78"/>
      <c r="F958" s="42">
        <v>0</v>
      </c>
      <c r="G958" s="42">
        <f t="shared" si="14"/>
        <v>0</v>
      </c>
      <c r="H958" s="2" t="str">
        <f>VLOOKUP(A958,'TB JULY'!A:H,8,0)</f>
        <v>Not Applicable</v>
      </c>
    </row>
    <row r="959" spans="1:8">
      <c r="A959" s="62" t="s">
        <v>858</v>
      </c>
      <c r="B959" s="78"/>
      <c r="C959" s="78"/>
      <c r="D959" s="78"/>
      <c r="E959" s="78"/>
      <c r="F959" s="42">
        <v>0</v>
      </c>
      <c r="G959" s="42">
        <f t="shared" si="14"/>
        <v>0</v>
      </c>
      <c r="H959" s="2" t="str">
        <f>VLOOKUP(A959,'TB JULY'!A:H,8,0)</f>
        <v>Not Applicable</v>
      </c>
    </row>
    <row r="960" spans="1:8">
      <c r="A960" s="62" t="s">
        <v>882</v>
      </c>
      <c r="B960" s="78"/>
      <c r="C960" s="78">
        <v>78314</v>
      </c>
      <c r="D960" s="78">
        <v>78314</v>
      </c>
      <c r="E960" s="78"/>
      <c r="F960" s="42">
        <v>0</v>
      </c>
      <c r="G960" s="42">
        <f t="shared" si="14"/>
        <v>0</v>
      </c>
      <c r="H960" s="2" t="str">
        <f>VLOOKUP(A960,'TB JULY'!A:H,8,0)</f>
        <v>Not Applicable</v>
      </c>
    </row>
    <row r="961" spans="1:8">
      <c r="A961" s="62" t="s">
        <v>718</v>
      </c>
      <c r="B961" s="78">
        <v>-288118</v>
      </c>
      <c r="C961" s="78">
        <v>1085680</v>
      </c>
      <c r="D961" s="78">
        <v>856128</v>
      </c>
      <c r="E961" s="78">
        <v>-58566</v>
      </c>
      <c r="F961" s="42">
        <v>0</v>
      </c>
      <c r="G961" s="42">
        <f t="shared" si="14"/>
        <v>-58566</v>
      </c>
      <c r="H961" s="2" t="str">
        <f>VLOOKUP(A961,'TB JULY'!A:H,8,0)</f>
        <v>Not Applicable</v>
      </c>
    </row>
    <row r="962" spans="1:8">
      <c r="A962" s="62" t="s">
        <v>721</v>
      </c>
      <c r="B962" s="78">
        <v>-4138</v>
      </c>
      <c r="C962" s="78"/>
      <c r="D962" s="78"/>
      <c r="E962" s="78">
        <v>-4138</v>
      </c>
      <c r="F962" s="42">
        <v>0</v>
      </c>
      <c r="G962" s="42">
        <f t="shared" si="14"/>
        <v>-4138</v>
      </c>
      <c r="H962" s="2" t="str">
        <f>VLOOKUP(A962,'TB JULY'!A:H,8,0)</f>
        <v>Not Applicable</v>
      </c>
    </row>
    <row r="963" spans="1:8">
      <c r="A963" s="62" t="s">
        <v>1105</v>
      </c>
      <c r="B963" s="78">
        <v>-60</v>
      </c>
      <c r="C963" s="78"/>
      <c r="D963" s="78"/>
      <c r="E963" s="78">
        <v>-60</v>
      </c>
      <c r="F963" s="42">
        <v>0</v>
      </c>
      <c r="G963" s="42">
        <f t="shared" si="14"/>
        <v>-60</v>
      </c>
      <c r="H963" s="2" t="str">
        <f>VLOOKUP(A963,'TB JULY'!A:H,8,0)</f>
        <v>Not Applicable</v>
      </c>
    </row>
    <row r="964" spans="1:8">
      <c r="A964" s="62" t="s">
        <v>1623</v>
      </c>
      <c r="B964" s="78"/>
      <c r="C964" s="78">
        <v>32250</v>
      </c>
      <c r="D964" s="78">
        <v>3887634.6</v>
      </c>
      <c r="E964" s="78">
        <v>-3855384.6</v>
      </c>
      <c r="F964" s="42">
        <v>0</v>
      </c>
      <c r="G964" s="42">
        <f t="shared" si="14"/>
        <v>-3855384.6</v>
      </c>
      <c r="H964" s="2" t="str">
        <f>VLOOKUP(A964,'TB JULY'!A:H,8,0)</f>
        <v>Not Applicable</v>
      </c>
    </row>
    <row r="965" spans="1:8">
      <c r="A965" s="62" t="s">
        <v>705</v>
      </c>
      <c r="B965" s="78">
        <v>-1501466</v>
      </c>
      <c r="C965" s="78">
        <v>3937156</v>
      </c>
      <c r="D965" s="78">
        <v>2373464</v>
      </c>
      <c r="E965" s="78">
        <v>62226</v>
      </c>
      <c r="F965" s="42">
        <v>0</v>
      </c>
      <c r="G965" s="42">
        <f t="shared" si="14"/>
        <v>62226</v>
      </c>
      <c r="H965" s="2" t="str">
        <f>VLOOKUP(A965,'TB JULY'!A:H,8,0)</f>
        <v>Not Applicable</v>
      </c>
    </row>
    <row r="966" spans="1:8">
      <c r="A966" s="62" t="s">
        <v>1103</v>
      </c>
      <c r="B966" s="78">
        <v>6</v>
      </c>
      <c r="C966" s="78"/>
      <c r="D966" s="78"/>
      <c r="E966" s="78">
        <v>6</v>
      </c>
      <c r="F966" s="42">
        <v>0</v>
      </c>
      <c r="G966" s="42">
        <f t="shared" si="14"/>
        <v>6</v>
      </c>
      <c r="H966" s="2" t="str">
        <f>VLOOKUP(A966,'TB JULY'!A:H,8,0)</f>
        <v>Not Applicable</v>
      </c>
    </row>
    <row r="967" spans="1:8">
      <c r="A967" s="62" t="s">
        <v>903</v>
      </c>
      <c r="B967" s="78"/>
      <c r="C967" s="78">
        <v>65700</v>
      </c>
      <c r="D967" s="78">
        <v>65700</v>
      </c>
      <c r="E967" s="78"/>
      <c r="F967" s="42">
        <v>0</v>
      </c>
      <c r="G967" s="42">
        <f t="shared" ref="G967:G1030" si="15">E967+F967</f>
        <v>0</v>
      </c>
      <c r="H967" s="2" t="str">
        <f>VLOOKUP(A967,'TB JULY'!A:H,8,0)</f>
        <v>Not Applicable</v>
      </c>
    </row>
    <row r="968" spans="1:8">
      <c r="A968" s="62" t="s">
        <v>1299</v>
      </c>
      <c r="B968" s="78">
        <v>-109594</v>
      </c>
      <c r="C968" s="78">
        <v>466597</v>
      </c>
      <c r="D968" s="78">
        <v>317003</v>
      </c>
      <c r="E968" s="78">
        <v>40000</v>
      </c>
      <c r="F968" s="42">
        <v>0</v>
      </c>
      <c r="G968" s="42">
        <f t="shared" si="15"/>
        <v>40000</v>
      </c>
      <c r="H968" s="2" t="str">
        <f>VLOOKUP(A968,'TB JULY'!A:H,8,0)</f>
        <v>Not Applicable</v>
      </c>
    </row>
    <row r="969" spans="1:8">
      <c r="A969" s="62" t="s">
        <v>683</v>
      </c>
      <c r="B969" s="78">
        <v>99999.5</v>
      </c>
      <c r="C969" s="78"/>
      <c r="D969" s="78"/>
      <c r="E969" s="78">
        <v>99999.5</v>
      </c>
      <c r="F969" s="42">
        <v>0</v>
      </c>
      <c r="G969" s="42">
        <f t="shared" si="15"/>
        <v>99999.5</v>
      </c>
      <c r="H969" s="2" t="str">
        <f>VLOOKUP(A969,'TB JULY'!A:H,8,0)</f>
        <v>Not Applicable</v>
      </c>
    </row>
    <row r="970" spans="1:8">
      <c r="A970" s="62" t="s">
        <v>688</v>
      </c>
      <c r="B970" s="78">
        <v>112</v>
      </c>
      <c r="C970" s="78"/>
      <c r="D970" s="78"/>
      <c r="E970" s="78">
        <v>112</v>
      </c>
      <c r="F970" s="42">
        <v>0</v>
      </c>
      <c r="G970" s="42">
        <f t="shared" si="15"/>
        <v>112</v>
      </c>
      <c r="H970" s="2" t="str">
        <f>VLOOKUP(A970,'TB JULY'!A:H,8,0)</f>
        <v>Not Applicable</v>
      </c>
    </row>
    <row r="971" spans="1:8">
      <c r="A971" s="62" t="s">
        <v>1377</v>
      </c>
      <c r="B971" s="78">
        <v>13000</v>
      </c>
      <c r="C971" s="78"/>
      <c r="D971" s="78"/>
      <c r="E971" s="78">
        <v>13000</v>
      </c>
      <c r="F971" s="42">
        <v>0</v>
      </c>
      <c r="G971" s="42">
        <f t="shared" si="15"/>
        <v>13000</v>
      </c>
      <c r="H971" s="2" t="str">
        <f>VLOOKUP(A971,'TB JULY'!A:H,8,0)</f>
        <v>Not Applicable</v>
      </c>
    </row>
    <row r="972" spans="1:8">
      <c r="A972" s="62" t="s">
        <v>1583</v>
      </c>
      <c r="B972" s="78"/>
      <c r="C972" s="78">
        <v>1627816.14</v>
      </c>
      <c r="D972" s="78">
        <v>1627816.14</v>
      </c>
      <c r="E972" s="78"/>
      <c r="F972" s="42">
        <v>0</v>
      </c>
      <c r="G972" s="42">
        <f t="shared" si="15"/>
        <v>0</v>
      </c>
      <c r="H972" s="2" t="str">
        <f>VLOOKUP(A972,'TB JULY'!A:H,8,0)</f>
        <v>Not Applicable</v>
      </c>
    </row>
    <row r="973" spans="1:8">
      <c r="A973" s="62" t="s">
        <v>1493</v>
      </c>
      <c r="B973" s="78"/>
      <c r="C973" s="78"/>
      <c r="D973" s="78"/>
      <c r="E973" s="78"/>
      <c r="F973" s="42">
        <v>0</v>
      </c>
      <c r="G973" s="42">
        <f t="shared" si="15"/>
        <v>0</v>
      </c>
      <c r="H973" s="2" t="str">
        <f>VLOOKUP(A973,'TB JULY'!A:H,8,0)</f>
        <v>Not Applicable</v>
      </c>
    </row>
    <row r="974" spans="1:8">
      <c r="A974" s="62" t="s">
        <v>965</v>
      </c>
      <c r="B974" s="78"/>
      <c r="C974" s="78">
        <v>2358485</v>
      </c>
      <c r="D974" s="78">
        <v>6140761</v>
      </c>
      <c r="E974" s="78">
        <v>-3782276</v>
      </c>
      <c r="F974" s="42">
        <v>0</v>
      </c>
      <c r="G974" s="42">
        <f t="shared" si="15"/>
        <v>-3782276</v>
      </c>
      <c r="H974" s="2" t="str">
        <f>VLOOKUP(A974,'TB JULY'!A:H,8,0)</f>
        <v>Not Applicable</v>
      </c>
    </row>
    <row r="975" spans="1:8">
      <c r="A975" s="62" t="s">
        <v>665</v>
      </c>
      <c r="B975" s="78">
        <v>-3048</v>
      </c>
      <c r="C975" s="78">
        <v>3000</v>
      </c>
      <c r="D975" s="78">
        <v>5900</v>
      </c>
      <c r="E975" s="78">
        <v>-5948</v>
      </c>
      <c r="F975" s="42">
        <v>0</v>
      </c>
      <c r="G975" s="42">
        <f t="shared" si="15"/>
        <v>-5948</v>
      </c>
      <c r="H975" s="2" t="str">
        <f>VLOOKUP(A975,'TB JULY'!A:H,8,0)</f>
        <v>Not Applicable</v>
      </c>
    </row>
    <row r="976" spans="1:8">
      <c r="A976" s="62" t="s">
        <v>663</v>
      </c>
      <c r="B976" s="78">
        <v>-601783.02</v>
      </c>
      <c r="C976" s="78">
        <v>2305860</v>
      </c>
      <c r="D976" s="78">
        <v>1854399</v>
      </c>
      <c r="E976" s="78">
        <v>-150322.01999999999</v>
      </c>
      <c r="F976" s="42">
        <v>0</v>
      </c>
      <c r="G976" s="42">
        <f t="shared" si="15"/>
        <v>-150322.01999999999</v>
      </c>
      <c r="H976" s="2" t="str">
        <f>VLOOKUP(A976,'TB JULY'!A:H,8,0)</f>
        <v>Not Applicable</v>
      </c>
    </row>
    <row r="977" spans="1:8">
      <c r="A977" s="62" t="s">
        <v>649</v>
      </c>
      <c r="B977" s="78"/>
      <c r="C977" s="78"/>
      <c r="D977" s="78"/>
      <c r="E977" s="78"/>
      <c r="F977" s="42">
        <v>0</v>
      </c>
      <c r="G977" s="42">
        <f t="shared" si="15"/>
        <v>0</v>
      </c>
      <c r="H977" s="2" t="str">
        <f>VLOOKUP(A977,'TB JULY'!A:H,8,0)</f>
        <v>Not Applicable</v>
      </c>
    </row>
    <row r="978" spans="1:8">
      <c r="A978" s="62" t="s">
        <v>1652</v>
      </c>
      <c r="B978" s="78"/>
      <c r="C978" s="78">
        <v>40000</v>
      </c>
      <c r="D978" s="78">
        <v>40000</v>
      </c>
      <c r="E978" s="78"/>
      <c r="F978" s="42">
        <v>0</v>
      </c>
      <c r="G978" s="42">
        <f t="shared" si="15"/>
        <v>0</v>
      </c>
      <c r="H978" s="2" t="s">
        <v>84</v>
      </c>
    </row>
    <row r="979" spans="1:8">
      <c r="A979" s="62" t="s">
        <v>879</v>
      </c>
      <c r="B979" s="78"/>
      <c r="C979" s="78">
        <v>50000</v>
      </c>
      <c r="D979" s="78">
        <v>50000</v>
      </c>
      <c r="E979" s="78"/>
      <c r="F979" s="42">
        <v>0</v>
      </c>
      <c r="G979" s="42">
        <f t="shared" si="15"/>
        <v>0</v>
      </c>
      <c r="H979" s="2" t="str">
        <f>VLOOKUP(A979,'TB JULY'!A:H,8,0)</f>
        <v>Not Applicable</v>
      </c>
    </row>
    <row r="980" spans="1:8">
      <c r="A980" s="62" t="s">
        <v>654</v>
      </c>
      <c r="B980" s="78">
        <v>-15911</v>
      </c>
      <c r="C980" s="78">
        <v>21575</v>
      </c>
      <c r="D980" s="78">
        <v>5664</v>
      </c>
      <c r="E980" s="78"/>
      <c r="F980" s="42">
        <v>0</v>
      </c>
      <c r="G980" s="42">
        <f t="shared" si="15"/>
        <v>0</v>
      </c>
      <c r="H980" s="2" t="str">
        <f>VLOOKUP(A980,'TB JULY'!A:H,8,0)</f>
        <v>Not Applicable</v>
      </c>
    </row>
    <row r="981" spans="1:8">
      <c r="A981" s="62" t="s">
        <v>1378</v>
      </c>
      <c r="B981" s="78"/>
      <c r="C981" s="78">
        <v>290127</v>
      </c>
      <c r="D981" s="78">
        <v>290127</v>
      </c>
      <c r="E981" s="78"/>
      <c r="F981" s="42">
        <v>0</v>
      </c>
      <c r="G981" s="42">
        <f t="shared" si="15"/>
        <v>0</v>
      </c>
      <c r="H981" s="2" t="str">
        <f>VLOOKUP(A981,'TB JULY'!A:H,8,0)</f>
        <v>Not Applicable</v>
      </c>
    </row>
    <row r="982" spans="1:8">
      <c r="A982" s="62" t="s">
        <v>991</v>
      </c>
      <c r="B982" s="78"/>
      <c r="C982" s="78">
        <v>1178804</v>
      </c>
      <c r="D982" s="78">
        <v>1178804</v>
      </c>
      <c r="E982" s="78"/>
      <c r="F982" s="42">
        <v>0</v>
      </c>
      <c r="G982" s="42">
        <f t="shared" si="15"/>
        <v>0</v>
      </c>
      <c r="H982" s="2" t="str">
        <f>VLOOKUP(A982,'TB JULY'!A:H,8,0)</f>
        <v>Not Applicable</v>
      </c>
    </row>
    <row r="983" spans="1:8">
      <c r="A983" s="62" t="s">
        <v>1344</v>
      </c>
      <c r="B983" s="78"/>
      <c r="C983" s="78">
        <v>4032362</v>
      </c>
      <c r="D983" s="78">
        <v>4032363</v>
      </c>
      <c r="E983" s="78">
        <v>-1</v>
      </c>
      <c r="F983" s="42">
        <v>0</v>
      </c>
      <c r="G983" s="42">
        <f t="shared" si="15"/>
        <v>-1</v>
      </c>
      <c r="H983" s="2" t="str">
        <f>VLOOKUP(A983,'TB JULY'!A:H,8,0)</f>
        <v>Not Applicable</v>
      </c>
    </row>
    <row r="984" spans="1:8">
      <c r="A984" s="62" t="s">
        <v>1624</v>
      </c>
      <c r="B984" s="78"/>
      <c r="C984" s="78">
        <v>13216</v>
      </c>
      <c r="D984" s="78">
        <v>13216</v>
      </c>
      <c r="E984" s="78"/>
      <c r="F984" s="42">
        <v>0</v>
      </c>
      <c r="G984" s="42">
        <f t="shared" si="15"/>
        <v>0</v>
      </c>
      <c r="H984" s="2" t="str">
        <f>VLOOKUP(A984,'TB JULY'!A:H,8,0)</f>
        <v>Not Applicable</v>
      </c>
    </row>
    <row r="985" spans="1:8">
      <c r="A985" s="62" t="s">
        <v>631</v>
      </c>
      <c r="B985" s="78">
        <v>-34749</v>
      </c>
      <c r="C985" s="78">
        <v>163549</v>
      </c>
      <c r="D985" s="78">
        <v>128800</v>
      </c>
      <c r="E985" s="78"/>
      <c r="F985" s="42">
        <v>0</v>
      </c>
      <c r="G985" s="42">
        <f t="shared" si="15"/>
        <v>0</v>
      </c>
      <c r="H985" s="2" t="str">
        <f>VLOOKUP(A985,'TB JULY'!A:H,8,0)</f>
        <v>Not Applicable</v>
      </c>
    </row>
    <row r="986" spans="1:8">
      <c r="A986" s="62" t="s">
        <v>1379</v>
      </c>
      <c r="B986" s="78">
        <v>415</v>
      </c>
      <c r="C986" s="78">
        <v>24054</v>
      </c>
      <c r="D986" s="78">
        <v>24469</v>
      </c>
      <c r="E986" s="78"/>
      <c r="F986" s="42">
        <v>0</v>
      </c>
      <c r="G986" s="42">
        <f t="shared" si="15"/>
        <v>0</v>
      </c>
      <c r="H986" s="2" t="str">
        <f>VLOOKUP(A986,'TB JULY'!A:H,8,0)</f>
        <v>Not Applicable</v>
      </c>
    </row>
    <row r="987" spans="1:8">
      <c r="A987" s="62" t="s">
        <v>964</v>
      </c>
      <c r="B987" s="78">
        <v>-53820</v>
      </c>
      <c r="C987" s="78">
        <v>162380</v>
      </c>
      <c r="D987" s="78">
        <v>108560</v>
      </c>
      <c r="E987" s="78"/>
      <c r="F987" s="42">
        <v>0</v>
      </c>
      <c r="G987" s="42">
        <f t="shared" si="15"/>
        <v>0</v>
      </c>
      <c r="H987" s="2" t="str">
        <f>VLOOKUP(A987,'TB JULY'!A:H,8,0)</f>
        <v>Not Applicable</v>
      </c>
    </row>
    <row r="988" spans="1:8">
      <c r="A988" s="62" t="s">
        <v>622</v>
      </c>
      <c r="B988" s="78"/>
      <c r="C988" s="78">
        <v>31823.46</v>
      </c>
      <c r="D988" s="78">
        <v>31823.46</v>
      </c>
      <c r="E988" s="78"/>
      <c r="F988" s="42">
        <v>0</v>
      </c>
      <c r="G988" s="42">
        <f t="shared" si="15"/>
        <v>0</v>
      </c>
      <c r="H988" s="2" t="str">
        <f>VLOOKUP(A988,'TB JULY'!A:H,8,0)</f>
        <v>Not Applicable</v>
      </c>
    </row>
    <row r="989" spans="1:8">
      <c r="A989" s="62" t="s">
        <v>618</v>
      </c>
      <c r="B989" s="78">
        <v>-5547</v>
      </c>
      <c r="C989" s="78"/>
      <c r="D989" s="78"/>
      <c r="E989" s="78">
        <v>-5547</v>
      </c>
      <c r="F989" s="42">
        <v>0</v>
      </c>
      <c r="G989" s="42">
        <f t="shared" si="15"/>
        <v>-5547</v>
      </c>
      <c r="H989" s="2" t="str">
        <f>VLOOKUP(A989,'TB JULY'!A:H,8,0)</f>
        <v>Not Applicable</v>
      </c>
    </row>
    <row r="990" spans="1:8">
      <c r="A990" s="62" t="s">
        <v>1019</v>
      </c>
      <c r="B990" s="78">
        <v>19470</v>
      </c>
      <c r="C990" s="78"/>
      <c r="D990" s="78"/>
      <c r="E990" s="78">
        <v>19470</v>
      </c>
      <c r="F990" s="42">
        <v>0</v>
      </c>
      <c r="G990" s="42">
        <f t="shared" si="15"/>
        <v>19470</v>
      </c>
      <c r="H990" s="2" t="str">
        <f>VLOOKUP(A990,'TB JULY'!A:H,8,0)</f>
        <v>Not Applicable</v>
      </c>
    </row>
    <row r="991" spans="1:8">
      <c r="A991" s="62" t="s">
        <v>614</v>
      </c>
      <c r="B991" s="78"/>
      <c r="C991" s="78"/>
      <c r="D991" s="78"/>
      <c r="E991" s="78"/>
      <c r="F991" s="42">
        <v>0</v>
      </c>
      <c r="G991" s="42">
        <f t="shared" si="15"/>
        <v>0</v>
      </c>
      <c r="H991" s="2" t="str">
        <f>VLOOKUP(A991,'TB JULY'!A:H,8,0)</f>
        <v>Not Applicable</v>
      </c>
    </row>
    <row r="992" spans="1:8">
      <c r="A992" s="62" t="s">
        <v>615</v>
      </c>
      <c r="B992" s="78"/>
      <c r="C992" s="78">
        <v>14000</v>
      </c>
      <c r="D992" s="78">
        <v>14000</v>
      </c>
      <c r="E992" s="78"/>
      <c r="F992" s="42">
        <v>0</v>
      </c>
      <c r="G992" s="42">
        <f t="shared" si="15"/>
        <v>0</v>
      </c>
      <c r="H992" s="2" t="str">
        <f>VLOOKUP(A992,'TB JULY'!A:H,8,0)</f>
        <v>Not Applicable</v>
      </c>
    </row>
    <row r="993" spans="1:8">
      <c r="A993" s="62" t="s">
        <v>941</v>
      </c>
      <c r="B993" s="78">
        <v>0.01</v>
      </c>
      <c r="C993" s="78"/>
      <c r="D993" s="78"/>
      <c r="E993" s="78">
        <v>0.01</v>
      </c>
      <c r="F993" s="42">
        <v>0</v>
      </c>
      <c r="G993" s="42">
        <f t="shared" si="15"/>
        <v>0.01</v>
      </c>
      <c r="H993" s="2" t="str">
        <f>VLOOKUP(A993,'TB JULY'!A:H,8,0)</f>
        <v>Not Applicable</v>
      </c>
    </row>
    <row r="994" spans="1:8">
      <c r="A994" s="62" t="s">
        <v>926</v>
      </c>
      <c r="B994" s="78">
        <v>30922.3</v>
      </c>
      <c r="C994" s="78"/>
      <c r="D994" s="78"/>
      <c r="E994" s="78">
        <v>30922.3</v>
      </c>
      <c r="F994" s="42">
        <v>0</v>
      </c>
      <c r="G994" s="42">
        <f t="shared" si="15"/>
        <v>30922.3</v>
      </c>
      <c r="H994" s="2" t="str">
        <f>VLOOKUP(A994,'TB JULY'!A:H,8,0)</f>
        <v>Not Applicable</v>
      </c>
    </row>
    <row r="995" spans="1:8">
      <c r="A995" s="62" t="s">
        <v>1345</v>
      </c>
      <c r="B995" s="78">
        <v>-9360</v>
      </c>
      <c r="C995" s="78">
        <v>25408</v>
      </c>
      <c r="D995" s="78">
        <v>16048</v>
      </c>
      <c r="E995" s="78"/>
      <c r="F995" s="42">
        <v>0</v>
      </c>
      <c r="G995" s="42">
        <f t="shared" si="15"/>
        <v>0</v>
      </c>
      <c r="H995" s="2" t="str">
        <f>VLOOKUP(A995,'TB JULY'!A:H,8,0)</f>
        <v>Not Applicable</v>
      </c>
    </row>
    <row r="996" spans="1:8">
      <c r="A996" s="62" t="s">
        <v>1653</v>
      </c>
      <c r="B996" s="78"/>
      <c r="C996" s="78">
        <v>366854</v>
      </c>
      <c r="D996" s="78">
        <v>366854</v>
      </c>
      <c r="E996" s="78"/>
      <c r="F996" s="42">
        <v>0</v>
      </c>
      <c r="G996" s="42">
        <f t="shared" si="15"/>
        <v>0</v>
      </c>
      <c r="H996" s="2" t="s">
        <v>84</v>
      </c>
    </row>
    <row r="997" spans="1:8">
      <c r="A997" s="62" t="s">
        <v>1271</v>
      </c>
      <c r="B997" s="78"/>
      <c r="C997" s="78">
        <v>4640</v>
      </c>
      <c r="D997" s="78">
        <v>4720</v>
      </c>
      <c r="E997" s="78">
        <v>-80</v>
      </c>
      <c r="F997" s="42">
        <v>0</v>
      </c>
      <c r="G997" s="42">
        <f t="shared" si="15"/>
        <v>-80</v>
      </c>
      <c r="H997" s="2" t="str">
        <f>VLOOKUP(A997,'TB JULY'!A:H,8,0)</f>
        <v>Not Applicable</v>
      </c>
    </row>
    <row r="998" spans="1:8">
      <c r="A998" s="62" t="s">
        <v>588</v>
      </c>
      <c r="B998" s="78"/>
      <c r="C998" s="78"/>
      <c r="D998" s="78"/>
      <c r="E998" s="78"/>
      <c r="F998" s="42">
        <v>0</v>
      </c>
      <c r="G998" s="42">
        <f t="shared" si="15"/>
        <v>0</v>
      </c>
      <c r="H998" s="2" t="str">
        <f>VLOOKUP(A998,'TB JULY'!A:H,8,0)</f>
        <v>Not Applicable</v>
      </c>
    </row>
    <row r="999" spans="1:8">
      <c r="A999" s="62" t="s">
        <v>915</v>
      </c>
      <c r="B999" s="78"/>
      <c r="C999" s="78"/>
      <c r="D999" s="78"/>
      <c r="E999" s="78"/>
      <c r="F999" s="42">
        <v>0</v>
      </c>
      <c r="G999" s="42">
        <f t="shared" si="15"/>
        <v>0</v>
      </c>
      <c r="H999" s="2" t="str">
        <f>VLOOKUP(A999,'TB JULY'!A:H,8,0)</f>
        <v>Not Applicable</v>
      </c>
    </row>
    <row r="1000" spans="1:8">
      <c r="A1000" s="62" t="s">
        <v>589</v>
      </c>
      <c r="B1000" s="78"/>
      <c r="C1000" s="78"/>
      <c r="D1000" s="78"/>
      <c r="E1000" s="78"/>
      <c r="F1000" s="42">
        <v>0</v>
      </c>
      <c r="G1000" s="42">
        <f t="shared" si="15"/>
        <v>0</v>
      </c>
      <c r="H1000" s="2" t="str">
        <f>VLOOKUP(A1000,'TB JULY'!A:H,8,0)</f>
        <v>Not Applicable</v>
      </c>
    </row>
    <row r="1001" spans="1:8">
      <c r="A1001" s="62" t="s">
        <v>590</v>
      </c>
      <c r="B1001" s="78"/>
      <c r="C1001" s="78">
        <v>283200</v>
      </c>
      <c r="D1001" s="78">
        <v>318600</v>
      </c>
      <c r="E1001" s="78">
        <v>-35400</v>
      </c>
      <c r="F1001" s="42">
        <v>0</v>
      </c>
      <c r="G1001" s="42">
        <f t="shared" si="15"/>
        <v>-35400</v>
      </c>
      <c r="H1001" s="2" t="str">
        <f>VLOOKUP(A1001,'TB JULY'!A:H,8,0)</f>
        <v>Not Applicable</v>
      </c>
    </row>
    <row r="1002" spans="1:8">
      <c r="A1002" s="62" t="s">
        <v>1018</v>
      </c>
      <c r="B1002" s="78">
        <v>-30000</v>
      </c>
      <c r="C1002" s="78"/>
      <c r="D1002" s="78"/>
      <c r="E1002" s="78">
        <v>-30000</v>
      </c>
      <c r="F1002" s="42">
        <v>0</v>
      </c>
      <c r="G1002" s="42">
        <f t="shared" si="15"/>
        <v>-30000</v>
      </c>
      <c r="H1002" s="2" t="str">
        <f>VLOOKUP(A1002,'TB JULY'!A:H,8,0)</f>
        <v>Not Applicable</v>
      </c>
    </row>
    <row r="1003" spans="1:8">
      <c r="A1003" s="62" t="s">
        <v>583</v>
      </c>
      <c r="B1003" s="78">
        <v>40000</v>
      </c>
      <c r="C1003" s="78"/>
      <c r="D1003" s="78"/>
      <c r="E1003" s="78">
        <v>40000</v>
      </c>
      <c r="F1003" s="42">
        <v>0</v>
      </c>
      <c r="G1003" s="42">
        <f t="shared" si="15"/>
        <v>40000</v>
      </c>
      <c r="H1003" s="2" t="str">
        <f>VLOOKUP(A1003,'TB JULY'!A:H,8,0)</f>
        <v>Not Applicable</v>
      </c>
    </row>
    <row r="1004" spans="1:8">
      <c r="A1004" s="62" t="s">
        <v>962</v>
      </c>
      <c r="B1004" s="78"/>
      <c r="C1004" s="78">
        <v>7080</v>
      </c>
      <c r="D1004" s="78">
        <v>7080</v>
      </c>
      <c r="E1004" s="78"/>
      <c r="F1004" s="42">
        <v>0</v>
      </c>
      <c r="G1004" s="42">
        <f t="shared" si="15"/>
        <v>0</v>
      </c>
      <c r="H1004" s="2" t="str">
        <f>VLOOKUP(A1004,'TB JULY'!A:H,8,0)</f>
        <v>Not Applicable</v>
      </c>
    </row>
    <row r="1005" spans="1:8">
      <c r="A1005" s="62" t="s">
        <v>1654</v>
      </c>
      <c r="B1005" s="78"/>
      <c r="C1005" s="78">
        <v>203</v>
      </c>
      <c r="D1005" s="78">
        <v>20240</v>
      </c>
      <c r="E1005" s="78">
        <v>-20037</v>
      </c>
      <c r="F1005" s="42">
        <v>0</v>
      </c>
      <c r="G1005" s="42">
        <f t="shared" si="15"/>
        <v>-20037</v>
      </c>
      <c r="H1005" s="2" t="s">
        <v>84</v>
      </c>
    </row>
    <row r="1006" spans="1:8">
      <c r="A1006" s="62" t="s">
        <v>582</v>
      </c>
      <c r="B1006" s="78"/>
      <c r="C1006" s="78">
        <v>605000</v>
      </c>
      <c r="D1006" s="78">
        <v>605000</v>
      </c>
      <c r="E1006" s="78"/>
      <c r="F1006" s="42">
        <v>0</v>
      </c>
      <c r="G1006" s="42">
        <f t="shared" si="15"/>
        <v>0</v>
      </c>
      <c r="H1006" s="2" t="str">
        <f>VLOOKUP(A1006,'TB JULY'!A:H,8,0)</f>
        <v>Not Applicable</v>
      </c>
    </row>
    <row r="1007" spans="1:8">
      <c r="A1007" s="62" t="s">
        <v>571</v>
      </c>
      <c r="B1007" s="78">
        <v>-739687.61</v>
      </c>
      <c r="C1007" s="78">
        <v>1564484.23</v>
      </c>
      <c r="D1007" s="78">
        <v>1032257</v>
      </c>
      <c r="E1007" s="78">
        <v>-207460.38</v>
      </c>
      <c r="F1007" s="42">
        <v>0</v>
      </c>
      <c r="G1007" s="42">
        <f t="shared" si="15"/>
        <v>-207460.38</v>
      </c>
      <c r="H1007" s="2" t="str">
        <f>VLOOKUP(A1007,'TB JULY'!A:H,8,0)</f>
        <v>Not Applicable</v>
      </c>
    </row>
    <row r="1008" spans="1:8">
      <c r="A1008" s="62" t="s">
        <v>573</v>
      </c>
      <c r="B1008" s="78">
        <v>-528463</v>
      </c>
      <c r="C1008" s="78">
        <v>2166510</v>
      </c>
      <c r="D1008" s="78">
        <v>1612157</v>
      </c>
      <c r="E1008" s="78">
        <v>25890</v>
      </c>
      <c r="F1008" s="42">
        <v>0</v>
      </c>
      <c r="G1008" s="42">
        <f t="shared" si="15"/>
        <v>25890</v>
      </c>
      <c r="H1008" s="2" t="str">
        <f>VLOOKUP(A1008,'TB JULY'!A:H,8,0)</f>
        <v>Not Applicable</v>
      </c>
    </row>
    <row r="1009" spans="1:8">
      <c r="A1009" s="62" t="s">
        <v>871</v>
      </c>
      <c r="B1009" s="78"/>
      <c r="C1009" s="78">
        <v>164000</v>
      </c>
      <c r="D1009" s="78">
        <v>164000</v>
      </c>
      <c r="E1009" s="78"/>
      <c r="F1009" s="42">
        <v>0</v>
      </c>
      <c r="G1009" s="42">
        <f t="shared" si="15"/>
        <v>0</v>
      </c>
      <c r="H1009" s="2" t="str">
        <f>VLOOKUP(A1009,'TB JULY'!A:H,8,0)</f>
        <v>Not Applicable</v>
      </c>
    </row>
    <row r="1010" spans="1:8">
      <c r="A1010" s="62" t="s">
        <v>551</v>
      </c>
      <c r="B1010" s="78">
        <v>-14160</v>
      </c>
      <c r="C1010" s="78">
        <v>42480</v>
      </c>
      <c r="D1010" s="78">
        <v>35400</v>
      </c>
      <c r="E1010" s="78">
        <v>-7080</v>
      </c>
      <c r="F1010" s="42">
        <v>0</v>
      </c>
      <c r="G1010" s="42">
        <f t="shared" si="15"/>
        <v>-7080</v>
      </c>
      <c r="H1010" s="2" t="str">
        <f>VLOOKUP(A1010,'TB JULY'!A:H,8,0)</f>
        <v>Not Applicable</v>
      </c>
    </row>
    <row r="1011" spans="1:8">
      <c r="A1011" s="62" t="s">
        <v>1122</v>
      </c>
      <c r="B1011" s="78"/>
      <c r="C1011" s="78">
        <v>495600</v>
      </c>
      <c r="D1011" s="78">
        <v>495600</v>
      </c>
      <c r="E1011" s="78"/>
      <c r="F1011" s="42">
        <v>0</v>
      </c>
      <c r="G1011" s="42">
        <f t="shared" si="15"/>
        <v>0</v>
      </c>
      <c r="H1011" s="2" t="str">
        <f>VLOOKUP(A1011,'TB JULY'!A:H,8,0)</f>
        <v>Not Applicable</v>
      </c>
    </row>
    <row r="1012" spans="1:8">
      <c r="A1012" s="62" t="s">
        <v>1272</v>
      </c>
      <c r="B1012" s="78"/>
      <c r="C1012" s="78">
        <v>561000</v>
      </c>
      <c r="D1012" s="78">
        <v>561000</v>
      </c>
      <c r="E1012" s="78"/>
      <c r="F1012" s="42">
        <v>0</v>
      </c>
      <c r="G1012" s="42">
        <f t="shared" si="15"/>
        <v>0</v>
      </c>
      <c r="H1012" s="2" t="str">
        <f>VLOOKUP(A1012,'TB JULY'!A:H,8,0)</f>
        <v>Not Applicable</v>
      </c>
    </row>
    <row r="1013" spans="1:8">
      <c r="A1013" s="62" t="s">
        <v>981</v>
      </c>
      <c r="B1013" s="78"/>
      <c r="C1013" s="78">
        <v>150857</v>
      </c>
      <c r="D1013" s="78">
        <v>150857</v>
      </c>
      <c r="E1013" s="78"/>
      <c r="F1013" s="42">
        <v>0</v>
      </c>
      <c r="G1013" s="42">
        <f t="shared" si="15"/>
        <v>0</v>
      </c>
      <c r="H1013" s="2" t="str">
        <f>VLOOKUP(A1013,'TB JULY'!A:H,8,0)</f>
        <v>Not Applicable</v>
      </c>
    </row>
    <row r="1014" spans="1:8">
      <c r="A1014" s="62" t="s">
        <v>556</v>
      </c>
      <c r="B1014" s="78"/>
      <c r="C1014" s="78"/>
      <c r="D1014" s="78"/>
      <c r="E1014" s="78"/>
      <c r="F1014" s="42">
        <v>0</v>
      </c>
      <c r="G1014" s="42">
        <f t="shared" si="15"/>
        <v>0</v>
      </c>
      <c r="H1014" s="2" t="str">
        <f>VLOOKUP(A1014,'TB JULY'!A:H,8,0)</f>
        <v>Not Applicable</v>
      </c>
    </row>
    <row r="1015" spans="1:8">
      <c r="A1015" s="62" t="s">
        <v>1201</v>
      </c>
      <c r="B1015" s="78">
        <v>-213150</v>
      </c>
      <c r="C1015" s="78">
        <v>796452</v>
      </c>
      <c r="D1015" s="78">
        <v>998944</v>
      </c>
      <c r="E1015" s="78">
        <v>-415642</v>
      </c>
      <c r="F1015" s="42">
        <v>0</v>
      </c>
      <c r="G1015" s="42">
        <f t="shared" si="15"/>
        <v>-415642</v>
      </c>
      <c r="H1015" s="2" t="str">
        <f>VLOOKUP(A1015,'TB JULY'!A:H,8,0)</f>
        <v>Not Applicable</v>
      </c>
    </row>
    <row r="1016" spans="1:8">
      <c r="A1016" s="62" t="s">
        <v>1026</v>
      </c>
      <c r="B1016" s="78">
        <v>-291160</v>
      </c>
      <c r="C1016" s="78">
        <v>4140</v>
      </c>
      <c r="D1016" s="78">
        <v>244260</v>
      </c>
      <c r="E1016" s="78">
        <v>-531280</v>
      </c>
      <c r="F1016" s="42">
        <v>0</v>
      </c>
      <c r="G1016" s="42">
        <f t="shared" si="15"/>
        <v>-531280</v>
      </c>
      <c r="H1016" s="2" t="str">
        <f>VLOOKUP(A1016,'TB JULY'!A:H,8,0)</f>
        <v>Not Applicable</v>
      </c>
    </row>
    <row r="1017" spans="1:8">
      <c r="A1017" s="62" t="s">
        <v>547</v>
      </c>
      <c r="B1017" s="78"/>
      <c r="C1017" s="78"/>
      <c r="D1017" s="78"/>
      <c r="E1017" s="78"/>
      <c r="F1017" s="42">
        <v>0</v>
      </c>
      <c r="G1017" s="42">
        <f t="shared" si="15"/>
        <v>0</v>
      </c>
      <c r="H1017" s="2" t="str">
        <f>VLOOKUP(A1017,'TB JULY'!A:H,8,0)</f>
        <v>Not Applicable</v>
      </c>
    </row>
    <row r="1018" spans="1:8">
      <c r="A1018" s="62" t="s">
        <v>544</v>
      </c>
      <c r="B1018" s="78">
        <v>-1598622.79</v>
      </c>
      <c r="C1018" s="78">
        <v>9831276</v>
      </c>
      <c r="D1018" s="78">
        <v>7270943</v>
      </c>
      <c r="E1018" s="78">
        <v>961710.21</v>
      </c>
      <c r="F1018" s="42">
        <v>0</v>
      </c>
      <c r="G1018" s="42">
        <f t="shared" si="15"/>
        <v>961710.21</v>
      </c>
      <c r="H1018" s="2" t="str">
        <f>VLOOKUP(A1018,'TB JULY'!A:H,8,0)</f>
        <v>Not Applicable</v>
      </c>
    </row>
    <row r="1019" spans="1:8">
      <c r="A1019" s="62" t="s">
        <v>540</v>
      </c>
      <c r="B1019" s="78"/>
      <c r="C1019" s="78"/>
      <c r="D1019" s="78"/>
      <c r="E1019" s="78"/>
      <c r="F1019" s="42">
        <v>0</v>
      </c>
      <c r="G1019" s="42">
        <f t="shared" si="15"/>
        <v>0</v>
      </c>
      <c r="H1019" s="2" t="str">
        <f>VLOOKUP(A1019,'TB JULY'!A:H,8,0)</f>
        <v>Not Applicable</v>
      </c>
    </row>
    <row r="1020" spans="1:8">
      <c r="A1020" s="62" t="s">
        <v>533</v>
      </c>
      <c r="B1020" s="78">
        <v>-5775</v>
      </c>
      <c r="C1020" s="78">
        <v>199200</v>
      </c>
      <c r="D1020" s="78">
        <v>199200</v>
      </c>
      <c r="E1020" s="78">
        <v>-5775</v>
      </c>
      <c r="F1020" s="42">
        <v>0</v>
      </c>
      <c r="G1020" s="42">
        <f t="shared" si="15"/>
        <v>-5775</v>
      </c>
      <c r="H1020" s="2" t="str">
        <f>VLOOKUP(A1020,'TB JULY'!A:H,8,0)</f>
        <v>Not Applicable</v>
      </c>
    </row>
    <row r="1021" spans="1:8">
      <c r="A1021" s="62" t="s">
        <v>534</v>
      </c>
      <c r="B1021" s="78">
        <v>-15</v>
      </c>
      <c r="C1021" s="78"/>
      <c r="D1021" s="78"/>
      <c r="E1021" s="78">
        <v>-15</v>
      </c>
      <c r="F1021" s="42">
        <v>0</v>
      </c>
      <c r="G1021" s="42">
        <f t="shared" si="15"/>
        <v>-15</v>
      </c>
      <c r="H1021" s="2" t="str">
        <f>VLOOKUP(A1021,'TB JULY'!A:H,8,0)</f>
        <v>Not Applicable</v>
      </c>
    </row>
    <row r="1022" spans="1:8">
      <c r="A1022" s="62" t="s">
        <v>535</v>
      </c>
      <c r="B1022" s="78">
        <v>-19958</v>
      </c>
      <c r="C1022" s="78"/>
      <c r="D1022" s="78"/>
      <c r="E1022" s="78">
        <v>-19958</v>
      </c>
      <c r="F1022" s="42">
        <v>0</v>
      </c>
      <c r="G1022" s="42">
        <f t="shared" si="15"/>
        <v>-19958</v>
      </c>
      <c r="H1022" s="2" t="str">
        <f>VLOOKUP(A1022,'TB JULY'!A:H,8,0)</f>
        <v>Not Applicable</v>
      </c>
    </row>
    <row r="1023" spans="1:8">
      <c r="A1023" s="62" t="s">
        <v>1171</v>
      </c>
      <c r="B1023" s="78"/>
      <c r="C1023" s="78">
        <v>112565</v>
      </c>
      <c r="D1023" s="78">
        <v>140214</v>
      </c>
      <c r="E1023" s="78">
        <v>-27649</v>
      </c>
      <c r="F1023" s="42">
        <v>0</v>
      </c>
      <c r="G1023" s="42">
        <f t="shared" si="15"/>
        <v>-27649</v>
      </c>
      <c r="H1023" s="2" t="str">
        <f>VLOOKUP(A1023,'TB JULY'!A:H,8,0)</f>
        <v>Not Applicable</v>
      </c>
    </row>
    <row r="1024" spans="1:8">
      <c r="A1024" s="62" t="s">
        <v>525</v>
      </c>
      <c r="B1024" s="78">
        <v>-110312</v>
      </c>
      <c r="C1024" s="78">
        <v>101312</v>
      </c>
      <c r="D1024" s="78"/>
      <c r="E1024" s="78">
        <v>-9000</v>
      </c>
      <c r="F1024" s="42">
        <v>0</v>
      </c>
      <c r="G1024" s="42">
        <f t="shared" si="15"/>
        <v>-9000</v>
      </c>
      <c r="H1024" s="2" t="str">
        <f>VLOOKUP(A1024,'TB JULY'!A:H,8,0)</f>
        <v>Not Applicable</v>
      </c>
    </row>
    <row r="1025" spans="1:8">
      <c r="A1025" s="62" t="s">
        <v>1625</v>
      </c>
      <c r="B1025" s="78"/>
      <c r="C1025" s="78">
        <v>880</v>
      </c>
      <c r="D1025" s="78">
        <v>51920</v>
      </c>
      <c r="E1025" s="78">
        <v>-51040</v>
      </c>
      <c r="F1025" s="42">
        <v>0</v>
      </c>
      <c r="G1025" s="42">
        <f t="shared" si="15"/>
        <v>-51040</v>
      </c>
      <c r="H1025" s="2" t="str">
        <f>VLOOKUP(A1025,'TB JULY'!A:H,8,0)</f>
        <v>Not Applicable</v>
      </c>
    </row>
    <row r="1026" spans="1:8">
      <c r="A1026" s="62" t="s">
        <v>1203</v>
      </c>
      <c r="B1026" s="78">
        <v>1</v>
      </c>
      <c r="C1026" s="78"/>
      <c r="D1026" s="78"/>
      <c r="E1026" s="78">
        <v>1</v>
      </c>
      <c r="F1026" s="42">
        <v>0</v>
      </c>
      <c r="G1026" s="42">
        <f t="shared" si="15"/>
        <v>1</v>
      </c>
      <c r="H1026" s="2" t="str">
        <f>VLOOKUP(A1026,'TB JULY'!A:H,8,0)</f>
        <v>Not Applicable</v>
      </c>
    </row>
    <row r="1027" spans="1:8">
      <c r="A1027" s="62" t="s">
        <v>1015</v>
      </c>
      <c r="B1027" s="78"/>
      <c r="C1027" s="78">
        <v>3540</v>
      </c>
      <c r="D1027" s="78">
        <v>3540</v>
      </c>
      <c r="E1027" s="78"/>
      <c r="F1027" s="42">
        <v>0</v>
      </c>
      <c r="G1027" s="42">
        <f t="shared" si="15"/>
        <v>0</v>
      </c>
      <c r="H1027" s="2" t="str">
        <f>VLOOKUP(A1027,'TB JULY'!A:H,8,0)</f>
        <v>Not Applicable</v>
      </c>
    </row>
    <row r="1028" spans="1:8">
      <c r="A1028" s="62" t="s">
        <v>509</v>
      </c>
      <c r="B1028" s="78">
        <v>0.5</v>
      </c>
      <c r="C1028" s="78"/>
      <c r="D1028" s="78"/>
      <c r="E1028" s="78">
        <v>0.5</v>
      </c>
      <c r="F1028" s="42">
        <v>0</v>
      </c>
      <c r="G1028" s="42">
        <f t="shared" si="15"/>
        <v>0.5</v>
      </c>
      <c r="H1028" s="2" t="str">
        <f>VLOOKUP(A1028,'TB JULY'!A:H,8,0)</f>
        <v>Not Applicable</v>
      </c>
    </row>
    <row r="1029" spans="1:8">
      <c r="A1029" s="62" t="s">
        <v>1655</v>
      </c>
      <c r="B1029" s="78"/>
      <c r="C1029" s="78">
        <v>16450.560000000001</v>
      </c>
      <c r="D1029" s="78">
        <v>16450</v>
      </c>
      <c r="E1029" s="78">
        <v>0.56000000000000005</v>
      </c>
      <c r="F1029" s="42">
        <v>0</v>
      </c>
      <c r="G1029" s="42">
        <f t="shared" si="15"/>
        <v>0.56000000000000005</v>
      </c>
      <c r="H1029" s="2" t="s">
        <v>84</v>
      </c>
    </row>
    <row r="1030" spans="1:8">
      <c r="A1030" s="62" t="s">
        <v>1137</v>
      </c>
      <c r="B1030" s="78">
        <v>-143516</v>
      </c>
      <c r="C1030" s="78">
        <v>383851</v>
      </c>
      <c r="D1030" s="78">
        <v>240335</v>
      </c>
      <c r="E1030" s="78"/>
      <c r="F1030" s="42">
        <v>0</v>
      </c>
      <c r="G1030" s="42">
        <f t="shared" si="15"/>
        <v>0</v>
      </c>
      <c r="H1030" s="2" t="str">
        <f>VLOOKUP(A1030,'TB JULY'!A:H,8,0)</f>
        <v>Not Applicable</v>
      </c>
    </row>
    <row r="1031" spans="1:8">
      <c r="A1031" s="62" t="s">
        <v>1346</v>
      </c>
      <c r="B1031" s="78"/>
      <c r="C1031" s="78">
        <v>191000</v>
      </c>
      <c r="D1031" s="78">
        <v>191000</v>
      </c>
      <c r="E1031" s="78"/>
      <c r="F1031" s="42">
        <v>0</v>
      </c>
      <c r="G1031" s="42">
        <f t="shared" ref="G1031:G1094" si="16">E1031+F1031</f>
        <v>0</v>
      </c>
      <c r="H1031" s="2" t="str">
        <f>VLOOKUP(A1031,'TB JULY'!A:H,8,0)</f>
        <v>Not Applicable</v>
      </c>
    </row>
    <row r="1032" spans="1:8">
      <c r="A1032" s="62" t="s">
        <v>1204</v>
      </c>
      <c r="B1032" s="78"/>
      <c r="C1032" s="78">
        <v>162600</v>
      </c>
      <c r="D1032" s="78">
        <v>162600</v>
      </c>
      <c r="E1032" s="78"/>
      <c r="F1032" s="42">
        <v>0</v>
      </c>
      <c r="G1032" s="42">
        <f t="shared" si="16"/>
        <v>0</v>
      </c>
      <c r="H1032" s="2" t="str">
        <f>VLOOKUP(A1032,'TB JULY'!A:H,8,0)</f>
        <v>Not Applicable</v>
      </c>
    </row>
    <row r="1033" spans="1:8">
      <c r="A1033" s="62" t="s">
        <v>1025</v>
      </c>
      <c r="B1033" s="78">
        <v>-61234</v>
      </c>
      <c r="C1033" s="78">
        <v>193604</v>
      </c>
      <c r="D1033" s="78">
        <v>132370</v>
      </c>
      <c r="E1033" s="78"/>
      <c r="F1033" s="42">
        <v>0</v>
      </c>
      <c r="G1033" s="42">
        <f t="shared" si="16"/>
        <v>0</v>
      </c>
      <c r="H1033" s="2" t="str">
        <f>VLOOKUP(A1033,'TB JULY'!A:H,8,0)</f>
        <v>Not Applicable</v>
      </c>
    </row>
    <row r="1034" spans="1:8">
      <c r="A1034" s="62" t="s">
        <v>1539</v>
      </c>
      <c r="B1034" s="78"/>
      <c r="C1034" s="78">
        <v>1046302</v>
      </c>
      <c r="D1034" s="78">
        <v>1046302.2</v>
      </c>
      <c r="E1034" s="78">
        <v>-0.2</v>
      </c>
      <c r="F1034" s="42">
        <v>0</v>
      </c>
      <c r="G1034" s="42">
        <f t="shared" si="16"/>
        <v>-0.2</v>
      </c>
      <c r="H1034" s="2" t="str">
        <f>VLOOKUP(A1034,'TB JULY'!A:H,8,0)</f>
        <v>Not Applicable</v>
      </c>
    </row>
    <row r="1035" spans="1:8">
      <c r="A1035" s="62" t="s">
        <v>477</v>
      </c>
      <c r="B1035" s="78"/>
      <c r="C1035" s="78">
        <v>112500</v>
      </c>
      <c r="D1035" s="78">
        <v>112500</v>
      </c>
      <c r="E1035" s="78"/>
      <c r="F1035" s="42">
        <v>0</v>
      </c>
      <c r="G1035" s="42">
        <f t="shared" si="16"/>
        <v>0</v>
      </c>
      <c r="H1035" s="2" t="str">
        <f>VLOOKUP(A1035,'TB JULY'!A:H,8,0)</f>
        <v>Not Applicable</v>
      </c>
    </row>
    <row r="1036" spans="1:8">
      <c r="A1036" s="62" t="s">
        <v>465</v>
      </c>
      <c r="B1036" s="78">
        <v>90000</v>
      </c>
      <c r="C1036" s="78"/>
      <c r="D1036" s="78"/>
      <c r="E1036" s="78">
        <v>90000</v>
      </c>
      <c r="F1036" s="42">
        <v>0</v>
      </c>
      <c r="G1036" s="42">
        <f t="shared" si="16"/>
        <v>90000</v>
      </c>
      <c r="H1036" s="2" t="str">
        <f>VLOOKUP(A1036,'TB JULY'!A:H,8,0)</f>
        <v>Not Applicable</v>
      </c>
    </row>
    <row r="1037" spans="1:8">
      <c r="A1037" s="62" t="s">
        <v>1584</v>
      </c>
      <c r="B1037" s="78"/>
      <c r="C1037" s="78"/>
      <c r="D1037" s="78"/>
      <c r="E1037" s="78"/>
      <c r="F1037" s="42">
        <v>0</v>
      </c>
      <c r="G1037" s="42">
        <f t="shared" si="16"/>
        <v>0</v>
      </c>
      <c r="H1037" s="2" t="str">
        <f>VLOOKUP(A1037,'TB JULY'!A:H,8,0)</f>
        <v>Not Applicable</v>
      </c>
    </row>
    <row r="1038" spans="1:8">
      <c r="A1038" s="62" t="s">
        <v>469</v>
      </c>
      <c r="B1038" s="78">
        <v>-19750</v>
      </c>
      <c r="C1038" s="78"/>
      <c r="D1038" s="78"/>
      <c r="E1038" s="78">
        <v>-19750</v>
      </c>
      <c r="F1038" s="42">
        <v>0</v>
      </c>
      <c r="G1038" s="42">
        <f t="shared" si="16"/>
        <v>-19750</v>
      </c>
      <c r="H1038" s="2" t="str">
        <f>VLOOKUP(A1038,'TB JULY'!A:H,8,0)</f>
        <v>Not Applicable</v>
      </c>
    </row>
    <row r="1039" spans="1:8">
      <c r="A1039" s="62" t="s">
        <v>471</v>
      </c>
      <c r="B1039" s="78">
        <v>-32040.76</v>
      </c>
      <c r="C1039" s="78"/>
      <c r="D1039" s="78"/>
      <c r="E1039" s="78">
        <v>-32040.76</v>
      </c>
      <c r="F1039" s="42">
        <v>0</v>
      </c>
      <c r="G1039" s="42">
        <f t="shared" si="16"/>
        <v>-32040.76</v>
      </c>
      <c r="H1039" s="2" t="str">
        <f>VLOOKUP(A1039,'TB JULY'!A:H,8,0)</f>
        <v>Not Applicable</v>
      </c>
    </row>
    <row r="1040" spans="1:8">
      <c r="A1040" s="62" t="s">
        <v>472</v>
      </c>
      <c r="B1040" s="78">
        <v>-31962</v>
      </c>
      <c r="C1040" s="78">
        <v>175068</v>
      </c>
      <c r="D1040" s="78">
        <v>179396</v>
      </c>
      <c r="E1040" s="78">
        <v>-36290</v>
      </c>
      <c r="F1040" s="42">
        <v>0</v>
      </c>
      <c r="G1040" s="42">
        <f t="shared" si="16"/>
        <v>-36290</v>
      </c>
      <c r="H1040" s="2" t="str">
        <f>VLOOKUP(A1040,'TB JULY'!A:H,8,0)</f>
        <v>Not Applicable</v>
      </c>
    </row>
    <row r="1041" spans="1:8">
      <c r="A1041" s="62" t="s">
        <v>464</v>
      </c>
      <c r="B1041" s="78">
        <v>-0.24</v>
      </c>
      <c r="C1041" s="78"/>
      <c r="D1041" s="78"/>
      <c r="E1041" s="78">
        <v>-0.24</v>
      </c>
      <c r="F1041" s="42">
        <v>0</v>
      </c>
      <c r="G1041" s="42">
        <f t="shared" si="16"/>
        <v>-0.24</v>
      </c>
      <c r="H1041" s="2" t="str">
        <f>VLOOKUP(A1041,'TB JULY'!A:H,8,0)</f>
        <v>Not Applicable</v>
      </c>
    </row>
    <row r="1042" spans="1:8">
      <c r="A1042" s="62" t="s">
        <v>1206</v>
      </c>
      <c r="B1042" s="78">
        <v>-0.38</v>
      </c>
      <c r="C1042" s="78"/>
      <c r="D1042" s="78"/>
      <c r="E1042" s="78">
        <v>-0.38</v>
      </c>
      <c r="F1042" s="42">
        <v>0</v>
      </c>
      <c r="G1042" s="42">
        <f t="shared" si="16"/>
        <v>-0.38</v>
      </c>
      <c r="H1042" s="2" t="str">
        <f>VLOOKUP(A1042,'TB JULY'!A:H,8,0)</f>
        <v>Not Applicable</v>
      </c>
    </row>
    <row r="1043" spans="1:8">
      <c r="A1043" s="62" t="s">
        <v>1172</v>
      </c>
      <c r="B1043" s="78">
        <v>-9769</v>
      </c>
      <c r="C1043" s="78">
        <v>49349</v>
      </c>
      <c r="D1043" s="78">
        <v>59118</v>
      </c>
      <c r="E1043" s="78">
        <v>-19538</v>
      </c>
      <c r="F1043" s="42">
        <v>0</v>
      </c>
      <c r="G1043" s="42">
        <f t="shared" si="16"/>
        <v>-19538</v>
      </c>
      <c r="H1043" s="2" t="str">
        <f>VLOOKUP(A1043,'TB JULY'!A:H,8,0)</f>
        <v>Not Applicable</v>
      </c>
    </row>
    <row r="1044" spans="1:8">
      <c r="A1044" s="62" t="s">
        <v>456</v>
      </c>
      <c r="B1044" s="78"/>
      <c r="C1044" s="78">
        <v>310400</v>
      </c>
      <c r="D1044" s="78">
        <v>310400</v>
      </c>
      <c r="E1044" s="78"/>
      <c r="F1044" s="42">
        <v>0</v>
      </c>
      <c r="G1044" s="42">
        <f t="shared" si="16"/>
        <v>0</v>
      </c>
      <c r="H1044" s="2" t="str">
        <f>VLOOKUP(A1044,'TB JULY'!A:H,8,0)</f>
        <v>Not Applicable</v>
      </c>
    </row>
    <row r="1045" spans="1:8">
      <c r="A1045" s="62" t="s">
        <v>447</v>
      </c>
      <c r="B1045" s="78">
        <v>-573637.34</v>
      </c>
      <c r="C1045" s="78">
        <v>1964327.34</v>
      </c>
      <c r="D1045" s="78">
        <v>1370707</v>
      </c>
      <c r="E1045" s="78">
        <v>19983</v>
      </c>
      <c r="F1045" s="42">
        <v>0</v>
      </c>
      <c r="G1045" s="42">
        <f t="shared" si="16"/>
        <v>19983</v>
      </c>
      <c r="H1045" s="2" t="str">
        <f>VLOOKUP(A1045,'TB JULY'!A:H,8,0)</f>
        <v>Not Applicable</v>
      </c>
    </row>
    <row r="1046" spans="1:8">
      <c r="A1046" s="62" t="s">
        <v>436</v>
      </c>
      <c r="B1046" s="78">
        <v>-218</v>
      </c>
      <c r="C1046" s="78"/>
      <c r="D1046" s="78"/>
      <c r="E1046" s="78">
        <v>-218</v>
      </c>
      <c r="F1046" s="42">
        <v>0</v>
      </c>
      <c r="G1046" s="42">
        <f t="shared" si="16"/>
        <v>-218</v>
      </c>
      <c r="H1046" s="2" t="str">
        <f>VLOOKUP(A1046,'TB JULY'!A:H,8,0)</f>
        <v>Not Applicable</v>
      </c>
    </row>
    <row r="1047" spans="1:8">
      <c r="A1047" s="62" t="s">
        <v>1207</v>
      </c>
      <c r="B1047" s="78">
        <v>68</v>
      </c>
      <c r="C1047" s="78"/>
      <c r="D1047" s="78"/>
      <c r="E1047" s="78">
        <v>68</v>
      </c>
      <c r="F1047" s="42">
        <v>0</v>
      </c>
      <c r="G1047" s="42">
        <f t="shared" si="16"/>
        <v>68</v>
      </c>
      <c r="H1047" s="2" t="str">
        <f>VLOOKUP(A1047,'TB JULY'!A:H,8,0)</f>
        <v>Not Applicable</v>
      </c>
    </row>
    <row r="1048" spans="1:8">
      <c r="A1048" s="62" t="s">
        <v>1274</v>
      </c>
      <c r="B1048" s="78">
        <v>-499</v>
      </c>
      <c r="C1048" s="78">
        <v>60461</v>
      </c>
      <c r="D1048" s="78">
        <v>60950</v>
      </c>
      <c r="E1048" s="78">
        <v>-988</v>
      </c>
      <c r="F1048" s="42">
        <v>0</v>
      </c>
      <c r="G1048" s="42">
        <f t="shared" si="16"/>
        <v>-988</v>
      </c>
      <c r="H1048" s="2" t="str">
        <f>VLOOKUP(A1048,'TB JULY'!A:H,8,0)</f>
        <v>Not Applicable</v>
      </c>
    </row>
    <row r="1049" spans="1:8">
      <c r="A1049" s="62" t="s">
        <v>426</v>
      </c>
      <c r="B1049" s="78">
        <v>-31669</v>
      </c>
      <c r="C1049" s="78">
        <v>11817</v>
      </c>
      <c r="D1049" s="78"/>
      <c r="E1049" s="78">
        <v>-19852</v>
      </c>
      <c r="F1049" s="42">
        <v>0</v>
      </c>
      <c r="G1049" s="42">
        <f t="shared" si="16"/>
        <v>-19852</v>
      </c>
      <c r="H1049" s="2" t="str">
        <f>VLOOKUP(A1049,'TB JULY'!A:H,8,0)</f>
        <v>Not Applicable</v>
      </c>
    </row>
    <row r="1050" spans="1:8">
      <c r="A1050" s="62" t="s">
        <v>428</v>
      </c>
      <c r="B1050" s="78"/>
      <c r="C1050" s="78">
        <v>38500</v>
      </c>
      <c r="D1050" s="78">
        <v>38500</v>
      </c>
      <c r="E1050" s="78"/>
      <c r="F1050" s="42">
        <v>0</v>
      </c>
      <c r="G1050" s="42">
        <f t="shared" si="16"/>
        <v>0</v>
      </c>
      <c r="H1050" s="2" t="str">
        <f>VLOOKUP(A1050,'TB JULY'!A:H,8,0)</f>
        <v>Not Applicable</v>
      </c>
    </row>
    <row r="1051" spans="1:8">
      <c r="A1051" s="62" t="s">
        <v>924</v>
      </c>
      <c r="B1051" s="78">
        <v>-2000</v>
      </c>
      <c r="C1051" s="78">
        <v>144250</v>
      </c>
      <c r="D1051" s="78">
        <v>144250</v>
      </c>
      <c r="E1051" s="78">
        <v>-2000</v>
      </c>
      <c r="F1051" s="42">
        <v>0</v>
      </c>
      <c r="G1051" s="42">
        <f t="shared" si="16"/>
        <v>-2000</v>
      </c>
      <c r="H1051" s="2" t="str">
        <f>VLOOKUP(A1051,'TB JULY'!A:H,8,0)</f>
        <v>Not Applicable</v>
      </c>
    </row>
    <row r="1052" spans="1:8">
      <c r="A1052" s="62" t="s">
        <v>1381</v>
      </c>
      <c r="B1052" s="78"/>
      <c r="C1052" s="78"/>
      <c r="D1052" s="78"/>
      <c r="E1052" s="78"/>
      <c r="F1052" s="42">
        <v>0</v>
      </c>
      <c r="G1052" s="42">
        <f t="shared" si="16"/>
        <v>0</v>
      </c>
      <c r="H1052" s="2" t="str">
        <f>VLOOKUP(A1052,'TB JULY'!A:H,8,0)</f>
        <v>Not Applicable</v>
      </c>
    </row>
    <row r="1053" spans="1:8">
      <c r="A1053" s="62" t="s">
        <v>425</v>
      </c>
      <c r="B1053" s="78">
        <v>-242915</v>
      </c>
      <c r="C1053" s="78">
        <v>2944812</v>
      </c>
      <c r="D1053" s="78">
        <v>2606728</v>
      </c>
      <c r="E1053" s="78">
        <v>95169</v>
      </c>
      <c r="F1053" s="42">
        <v>0</v>
      </c>
      <c r="G1053" s="42">
        <f t="shared" si="16"/>
        <v>95169</v>
      </c>
      <c r="H1053" s="2" t="str">
        <f>VLOOKUP(A1053,'TB JULY'!A:H,8,0)</f>
        <v>Not Applicable</v>
      </c>
    </row>
    <row r="1054" spans="1:8">
      <c r="A1054" s="62" t="s">
        <v>417</v>
      </c>
      <c r="B1054" s="78">
        <v>-204507</v>
      </c>
      <c r="C1054" s="78">
        <v>204507</v>
      </c>
      <c r="D1054" s="78"/>
      <c r="E1054" s="78"/>
      <c r="F1054" s="42">
        <v>0</v>
      </c>
      <c r="G1054" s="42">
        <f t="shared" si="16"/>
        <v>0</v>
      </c>
      <c r="H1054" s="2" t="str">
        <f>VLOOKUP(A1054,'TB JULY'!A:H,8,0)</f>
        <v>Not Applicable</v>
      </c>
    </row>
    <row r="1055" spans="1:8">
      <c r="A1055" s="62" t="s">
        <v>885</v>
      </c>
      <c r="B1055" s="78"/>
      <c r="C1055" s="78">
        <v>756957</v>
      </c>
      <c r="D1055" s="78">
        <v>913774</v>
      </c>
      <c r="E1055" s="78">
        <v>-156817</v>
      </c>
      <c r="F1055" s="42">
        <v>0</v>
      </c>
      <c r="G1055" s="42">
        <f t="shared" si="16"/>
        <v>-156817</v>
      </c>
      <c r="H1055" s="2" t="str">
        <f>VLOOKUP(A1055,'TB JULY'!A:H,8,0)</f>
        <v>Not Applicable</v>
      </c>
    </row>
    <row r="1056" spans="1:8">
      <c r="A1056" s="62" t="s">
        <v>1012</v>
      </c>
      <c r="B1056" s="78">
        <v>-0.93</v>
      </c>
      <c r="C1056" s="78">
        <v>422527</v>
      </c>
      <c r="D1056" s="78">
        <v>422527</v>
      </c>
      <c r="E1056" s="78">
        <v>-0.93</v>
      </c>
      <c r="F1056" s="42">
        <v>0</v>
      </c>
      <c r="G1056" s="42">
        <f t="shared" si="16"/>
        <v>-0.93</v>
      </c>
      <c r="H1056" s="2" t="str">
        <f>VLOOKUP(A1056,'TB JULY'!A:H,8,0)</f>
        <v>Not Applicable</v>
      </c>
    </row>
    <row r="1057" spans="1:8">
      <c r="A1057" s="62" t="s">
        <v>403</v>
      </c>
      <c r="B1057" s="78">
        <v>-19994</v>
      </c>
      <c r="C1057" s="78"/>
      <c r="D1057" s="78"/>
      <c r="E1057" s="78">
        <v>-19994</v>
      </c>
      <c r="F1057" s="42">
        <v>0</v>
      </c>
      <c r="G1057" s="42">
        <f t="shared" si="16"/>
        <v>-19994</v>
      </c>
      <c r="H1057" s="2" t="str">
        <f>VLOOKUP(A1057,'TB JULY'!A:H,8,0)</f>
        <v>Not Applicable</v>
      </c>
    </row>
    <row r="1058" spans="1:8">
      <c r="A1058" s="62" t="s">
        <v>864</v>
      </c>
      <c r="B1058" s="78"/>
      <c r="C1058" s="78">
        <v>36123</v>
      </c>
      <c r="D1058" s="78">
        <v>36123</v>
      </c>
      <c r="E1058" s="78"/>
      <c r="F1058" s="42">
        <v>0</v>
      </c>
      <c r="G1058" s="42">
        <f t="shared" si="16"/>
        <v>0</v>
      </c>
      <c r="H1058" s="2" t="s">
        <v>84</v>
      </c>
    </row>
    <row r="1059" spans="1:8">
      <c r="A1059" s="62" t="s">
        <v>393</v>
      </c>
      <c r="B1059" s="78">
        <v>-2631534.48</v>
      </c>
      <c r="C1059" s="78">
        <v>10777511</v>
      </c>
      <c r="D1059" s="78">
        <v>7918232</v>
      </c>
      <c r="E1059" s="78">
        <v>227744.52</v>
      </c>
      <c r="F1059" s="42">
        <v>0</v>
      </c>
      <c r="G1059" s="42">
        <f t="shared" si="16"/>
        <v>227744.52</v>
      </c>
      <c r="H1059" s="2" t="str">
        <f>VLOOKUP(A1059,'TB JULY'!A:H,8,0)</f>
        <v>Not Applicable</v>
      </c>
    </row>
    <row r="1060" spans="1:8">
      <c r="A1060" s="62" t="s">
        <v>1208</v>
      </c>
      <c r="B1060" s="78">
        <v>-435305</v>
      </c>
      <c r="C1060" s="78">
        <v>911368</v>
      </c>
      <c r="D1060" s="78">
        <v>476062</v>
      </c>
      <c r="E1060" s="78">
        <v>1</v>
      </c>
      <c r="F1060" s="42">
        <v>0</v>
      </c>
      <c r="G1060" s="42">
        <f t="shared" si="16"/>
        <v>1</v>
      </c>
      <c r="H1060" s="2" t="str">
        <f>VLOOKUP(A1060,'TB JULY'!A:H,8,0)</f>
        <v>Not Applicable</v>
      </c>
    </row>
    <row r="1061" spans="1:8">
      <c r="A1061" s="62" t="s">
        <v>1302</v>
      </c>
      <c r="B1061" s="78"/>
      <c r="C1061" s="78">
        <v>37438</v>
      </c>
      <c r="D1061" s="78">
        <v>37437</v>
      </c>
      <c r="E1061" s="78">
        <v>1</v>
      </c>
      <c r="F1061" s="42">
        <v>0</v>
      </c>
      <c r="G1061" s="42">
        <f t="shared" si="16"/>
        <v>1</v>
      </c>
      <c r="H1061" s="2" t="s">
        <v>84</v>
      </c>
    </row>
    <row r="1062" spans="1:8">
      <c r="A1062" s="62" t="s">
        <v>1209</v>
      </c>
      <c r="B1062" s="78">
        <v>128</v>
      </c>
      <c r="C1062" s="78">
        <v>29155</v>
      </c>
      <c r="D1062" s="78">
        <v>28910</v>
      </c>
      <c r="E1062" s="78">
        <v>373</v>
      </c>
      <c r="F1062" s="42">
        <v>0</v>
      </c>
      <c r="G1062" s="42">
        <f t="shared" si="16"/>
        <v>373</v>
      </c>
      <c r="H1062" s="2" t="str">
        <f>VLOOKUP(A1062,'TB JULY'!A:H,8,0)</f>
        <v>Not Applicable</v>
      </c>
    </row>
    <row r="1063" spans="1:8">
      <c r="A1063" s="62" t="s">
        <v>376</v>
      </c>
      <c r="B1063" s="78">
        <v>254386.12</v>
      </c>
      <c r="C1063" s="78">
        <v>14063427.130000001</v>
      </c>
      <c r="D1063" s="78">
        <v>14063430</v>
      </c>
      <c r="E1063" s="78">
        <v>254383.25</v>
      </c>
      <c r="F1063" s="42">
        <v>0</v>
      </c>
      <c r="G1063" s="42">
        <f t="shared" si="16"/>
        <v>254383.25</v>
      </c>
      <c r="H1063" s="2" t="str">
        <f>VLOOKUP(A1063,'TB JULY'!A:H,8,0)</f>
        <v>Not Applicable</v>
      </c>
    </row>
    <row r="1064" spans="1:8">
      <c r="A1064" s="62" t="s">
        <v>906</v>
      </c>
      <c r="B1064" s="78">
        <v>-1.66</v>
      </c>
      <c r="C1064" s="78">
        <v>4861</v>
      </c>
      <c r="D1064" s="78">
        <v>4861.1099999999997</v>
      </c>
      <c r="E1064" s="78">
        <v>-1.77</v>
      </c>
      <c r="F1064" s="42">
        <v>0</v>
      </c>
      <c r="G1064" s="42">
        <f t="shared" si="16"/>
        <v>-1.77</v>
      </c>
      <c r="H1064" s="2" t="str">
        <f>VLOOKUP(A1064,'TB JULY'!A:H,8,0)</f>
        <v>Not Applicable</v>
      </c>
    </row>
    <row r="1065" spans="1:8">
      <c r="A1065" s="62" t="s">
        <v>1347</v>
      </c>
      <c r="B1065" s="78"/>
      <c r="C1065" s="78">
        <v>91600</v>
      </c>
      <c r="D1065" s="78">
        <v>91600</v>
      </c>
      <c r="E1065" s="78"/>
      <c r="F1065" s="42">
        <v>0</v>
      </c>
      <c r="G1065" s="42">
        <f t="shared" si="16"/>
        <v>0</v>
      </c>
      <c r="H1065" s="2" t="str">
        <f>VLOOKUP(A1065,'TB JULY'!A:H,8,0)</f>
        <v>Not Applicable</v>
      </c>
    </row>
    <row r="1066" spans="1:8">
      <c r="A1066" s="62" t="s">
        <v>379</v>
      </c>
      <c r="B1066" s="78">
        <v>288419</v>
      </c>
      <c r="C1066" s="78"/>
      <c r="D1066" s="78"/>
      <c r="E1066" s="78">
        <v>288419</v>
      </c>
      <c r="F1066" s="42">
        <v>0</v>
      </c>
      <c r="G1066" s="42">
        <f t="shared" si="16"/>
        <v>288419</v>
      </c>
      <c r="H1066" s="2" t="str">
        <f>VLOOKUP(A1066,'TB JULY'!A:H,8,0)</f>
        <v>Not Applicable</v>
      </c>
    </row>
    <row r="1067" spans="1:8">
      <c r="A1067" s="62" t="s">
        <v>1023</v>
      </c>
      <c r="B1067" s="78"/>
      <c r="C1067" s="78">
        <v>12386</v>
      </c>
      <c r="D1067" s="78">
        <v>12386</v>
      </c>
      <c r="E1067" s="78"/>
      <c r="F1067" s="42">
        <v>0</v>
      </c>
      <c r="G1067" s="42">
        <f t="shared" si="16"/>
        <v>0</v>
      </c>
      <c r="H1067" s="2" t="str">
        <f>VLOOKUP(A1067,'TB JULY'!A:H,8,0)</f>
        <v>Not Applicable</v>
      </c>
    </row>
    <row r="1068" spans="1:8">
      <c r="A1068" s="62" t="s">
        <v>1494</v>
      </c>
      <c r="B1068" s="78"/>
      <c r="C1068" s="78">
        <v>38000</v>
      </c>
      <c r="D1068" s="78">
        <v>38000</v>
      </c>
      <c r="E1068" s="78"/>
      <c r="F1068" s="42">
        <v>0</v>
      </c>
      <c r="G1068" s="42">
        <f t="shared" si="16"/>
        <v>0</v>
      </c>
      <c r="H1068" s="2" t="str">
        <f>VLOOKUP(A1068,'TB JULY'!A:H,8,0)</f>
        <v>Not Applicable</v>
      </c>
    </row>
    <row r="1069" spans="1:8">
      <c r="A1069" s="62" t="s">
        <v>1626</v>
      </c>
      <c r="B1069" s="78"/>
      <c r="C1069" s="78">
        <v>190027</v>
      </c>
      <c r="D1069" s="78">
        <v>140028</v>
      </c>
      <c r="E1069" s="78">
        <v>49999</v>
      </c>
      <c r="F1069" s="42">
        <v>0</v>
      </c>
      <c r="G1069" s="42">
        <f t="shared" si="16"/>
        <v>49999</v>
      </c>
      <c r="H1069" s="2" t="str">
        <f>VLOOKUP(A1069,'TB JULY'!A:H,8,0)</f>
        <v>Not Applicable</v>
      </c>
    </row>
    <row r="1070" spans="1:8">
      <c r="A1070" s="62" t="s">
        <v>1276</v>
      </c>
      <c r="B1070" s="78"/>
      <c r="C1070" s="78">
        <v>478000</v>
      </c>
      <c r="D1070" s="78">
        <v>478000</v>
      </c>
      <c r="E1070" s="78"/>
      <c r="F1070" s="42">
        <v>0</v>
      </c>
      <c r="G1070" s="42">
        <f t="shared" si="16"/>
        <v>0</v>
      </c>
      <c r="H1070" s="2" t="str">
        <f>VLOOKUP(A1070,'TB JULY'!A:H,8,0)</f>
        <v>Not Applicable</v>
      </c>
    </row>
    <row r="1071" spans="1:8">
      <c r="A1071" s="62" t="s">
        <v>373</v>
      </c>
      <c r="B1071" s="78">
        <v>-514654.86</v>
      </c>
      <c r="C1071" s="78">
        <v>3423136</v>
      </c>
      <c r="D1071" s="78">
        <v>2836771</v>
      </c>
      <c r="E1071" s="78">
        <v>71710.14</v>
      </c>
      <c r="F1071" s="42">
        <v>0</v>
      </c>
      <c r="G1071" s="42">
        <f t="shared" si="16"/>
        <v>71710.14</v>
      </c>
      <c r="H1071" s="2" t="str">
        <f>VLOOKUP(A1071,'TB JULY'!A:H,8,0)</f>
        <v>Not Applicable</v>
      </c>
    </row>
    <row r="1072" spans="1:8">
      <c r="A1072" s="62" t="s">
        <v>374</v>
      </c>
      <c r="B1072" s="78"/>
      <c r="C1072" s="78">
        <v>58036</v>
      </c>
      <c r="D1072" s="78">
        <v>58036</v>
      </c>
      <c r="E1072" s="78"/>
      <c r="F1072" s="42">
        <v>0</v>
      </c>
      <c r="G1072" s="42">
        <f t="shared" si="16"/>
        <v>0</v>
      </c>
      <c r="H1072" s="2" t="str">
        <f>VLOOKUP(A1072,'TB JULY'!A:H,8,0)</f>
        <v>Not Applicable</v>
      </c>
    </row>
    <row r="1073" spans="1:8">
      <c r="A1073" s="62" t="s">
        <v>375</v>
      </c>
      <c r="B1073" s="78">
        <v>0.37</v>
      </c>
      <c r="C1073" s="78"/>
      <c r="D1073" s="78"/>
      <c r="E1073" s="78">
        <v>0.37</v>
      </c>
      <c r="F1073" s="42">
        <v>0</v>
      </c>
      <c r="G1073" s="42">
        <f t="shared" si="16"/>
        <v>0.37</v>
      </c>
      <c r="H1073" s="2" t="str">
        <f>VLOOKUP(A1073,'TB JULY'!A:H,8,0)</f>
        <v>Not Applicable</v>
      </c>
    </row>
    <row r="1074" spans="1:8">
      <c r="A1074" s="62" t="s">
        <v>369</v>
      </c>
      <c r="B1074" s="78"/>
      <c r="C1074" s="78"/>
      <c r="D1074" s="78"/>
      <c r="E1074" s="78"/>
      <c r="F1074" s="42">
        <v>0</v>
      </c>
      <c r="G1074" s="42">
        <f t="shared" si="16"/>
        <v>0</v>
      </c>
      <c r="H1074" s="2" t="str">
        <f>VLOOKUP(A1074,'TB JULY'!A:H,8,0)</f>
        <v>Not Applicable</v>
      </c>
    </row>
    <row r="1075" spans="1:8">
      <c r="A1075" s="62" t="s">
        <v>1627</v>
      </c>
      <c r="B1075" s="78"/>
      <c r="C1075" s="78">
        <v>36000</v>
      </c>
      <c r="D1075" s="78">
        <v>36000</v>
      </c>
      <c r="E1075" s="78"/>
      <c r="F1075" s="42">
        <v>0</v>
      </c>
      <c r="G1075" s="42">
        <f t="shared" si="16"/>
        <v>0</v>
      </c>
      <c r="H1075" s="2" t="str">
        <f>VLOOKUP(A1075,'TB JULY'!A:H,8,0)</f>
        <v>Not Applicable</v>
      </c>
    </row>
    <row r="1076" spans="1:8">
      <c r="A1076" s="62" t="s">
        <v>1628</v>
      </c>
      <c r="B1076" s="78"/>
      <c r="C1076" s="78">
        <v>12921464.220000001</v>
      </c>
      <c r="D1076" s="78">
        <v>12921464.220000001</v>
      </c>
      <c r="E1076" s="78"/>
      <c r="F1076" s="42">
        <v>0</v>
      </c>
      <c r="G1076" s="42">
        <f t="shared" si="16"/>
        <v>0</v>
      </c>
      <c r="H1076" s="2" t="str">
        <f>VLOOKUP(A1076,'TB JULY'!A:H,8,0)</f>
        <v>Not Applicable</v>
      </c>
    </row>
    <row r="1077" spans="1:8">
      <c r="A1077" s="62" t="s">
        <v>702</v>
      </c>
      <c r="B1077" s="78">
        <v>48858560.479999997</v>
      </c>
      <c r="C1077" s="78"/>
      <c r="D1077" s="78"/>
      <c r="E1077" s="78">
        <v>48858560.479999997</v>
      </c>
      <c r="F1077" s="42">
        <v>0</v>
      </c>
      <c r="G1077" s="42">
        <f t="shared" si="16"/>
        <v>48858560.479999997</v>
      </c>
      <c r="H1077" s="2" t="str">
        <f>VLOOKUP(A1077,'TB JULY'!A:H,8,0)</f>
        <v>Not Applicable</v>
      </c>
    </row>
    <row r="1078" spans="1:8">
      <c r="A1078" s="62" t="s">
        <v>1210</v>
      </c>
      <c r="B1078" s="78">
        <v>-593752</v>
      </c>
      <c r="C1078" s="78"/>
      <c r="D1078" s="78">
        <v>371095</v>
      </c>
      <c r="E1078" s="78">
        <v>-964847</v>
      </c>
      <c r="F1078" s="42">
        <v>0</v>
      </c>
      <c r="G1078" s="42">
        <f t="shared" si="16"/>
        <v>-964847</v>
      </c>
      <c r="H1078" s="2" t="str">
        <f>VLOOKUP(A1078,'TB JULY'!A:H,8,0)</f>
        <v>Not Applicable</v>
      </c>
    </row>
    <row r="1079" spans="1:8">
      <c r="A1079" s="62" t="s">
        <v>703</v>
      </c>
      <c r="B1079" s="78">
        <v>3176949</v>
      </c>
      <c r="C1079" s="78"/>
      <c r="D1079" s="78"/>
      <c r="E1079" s="78">
        <v>3176949</v>
      </c>
      <c r="F1079" s="42">
        <v>0</v>
      </c>
      <c r="G1079" s="42">
        <f t="shared" si="16"/>
        <v>3176949</v>
      </c>
      <c r="H1079" s="2" t="str">
        <f>VLOOKUP(A1079,'TB JULY'!A:H,8,0)</f>
        <v>Not Applicable</v>
      </c>
    </row>
    <row r="1080" spans="1:8">
      <c r="A1080" s="62" t="s">
        <v>704</v>
      </c>
      <c r="B1080" s="78">
        <v>-279498594.20999998</v>
      </c>
      <c r="C1080" s="78">
        <v>207462912.53999999</v>
      </c>
      <c r="D1080" s="78">
        <v>67563353.609999999</v>
      </c>
      <c r="E1080" s="78">
        <v>-139599035.28</v>
      </c>
      <c r="F1080" s="42">
        <v>0</v>
      </c>
      <c r="G1080" s="42">
        <f t="shared" si="16"/>
        <v>-139599035.28</v>
      </c>
      <c r="H1080" s="2" t="str">
        <f>VLOOKUP(A1080,'TB JULY'!A:H,8,0)</f>
        <v>Not Applicable</v>
      </c>
    </row>
    <row r="1081" spans="1:8">
      <c r="A1081" s="62" t="s">
        <v>695</v>
      </c>
      <c r="B1081" s="78">
        <v>95441710.870000005</v>
      </c>
      <c r="C1081" s="78"/>
      <c r="D1081" s="78"/>
      <c r="E1081" s="78">
        <v>95441710.870000005</v>
      </c>
      <c r="F1081" s="42">
        <v>0</v>
      </c>
      <c r="G1081" s="42">
        <f t="shared" si="16"/>
        <v>95441710.870000005</v>
      </c>
      <c r="H1081" s="2" t="str">
        <f>VLOOKUP(A1081,'TB JULY'!A:H,8,0)</f>
        <v>Not Applicable</v>
      </c>
    </row>
    <row r="1082" spans="1:8">
      <c r="A1082" s="62" t="s">
        <v>689</v>
      </c>
      <c r="B1082" s="78">
        <v>1052208056.48</v>
      </c>
      <c r="C1082" s="78">
        <v>313069973</v>
      </c>
      <c r="D1082" s="78"/>
      <c r="E1082" s="78">
        <v>1365278029.48</v>
      </c>
      <c r="F1082" s="42">
        <v>0</v>
      </c>
      <c r="G1082" s="42">
        <f t="shared" si="16"/>
        <v>1365278029.48</v>
      </c>
      <c r="H1082" s="2" t="str">
        <f>VLOOKUP(A1082,'TB JULY'!A:H,8,0)</f>
        <v>Not Applicable</v>
      </c>
    </row>
    <row r="1083" spans="1:8">
      <c r="A1083" s="62" t="s">
        <v>690</v>
      </c>
      <c r="B1083" s="78">
        <v>805380592</v>
      </c>
      <c r="C1083" s="78"/>
      <c r="D1083" s="78"/>
      <c r="E1083" s="78">
        <v>805380592</v>
      </c>
      <c r="F1083" s="42">
        <v>0</v>
      </c>
      <c r="G1083" s="42">
        <f t="shared" si="16"/>
        <v>805380592</v>
      </c>
      <c r="H1083" s="2" t="str">
        <f>VLOOKUP(A1083,'TB JULY'!A:H,8,0)</f>
        <v>Not Applicable</v>
      </c>
    </row>
    <row r="1084" spans="1:8">
      <c r="A1084" s="62" t="s">
        <v>691</v>
      </c>
      <c r="B1084" s="78">
        <v>371618907.70999998</v>
      </c>
      <c r="C1084" s="78"/>
      <c r="D1084" s="78"/>
      <c r="E1084" s="78">
        <v>371618907.70999998</v>
      </c>
      <c r="F1084" s="42">
        <v>0</v>
      </c>
      <c r="G1084" s="42">
        <f t="shared" si="16"/>
        <v>371618907.70999998</v>
      </c>
      <c r="H1084" s="2" t="str">
        <f>VLOOKUP(A1084,'TB JULY'!A:H,8,0)</f>
        <v>Not Applicable</v>
      </c>
    </row>
    <row r="1085" spans="1:8">
      <c r="A1085" s="62" t="s">
        <v>692</v>
      </c>
      <c r="B1085" s="78">
        <v>180922430</v>
      </c>
      <c r="C1085" s="78"/>
      <c r="D1085" s="78"/>
      <c r="E1085" s="78">
        <v>180922430</v>
      </c>
      <c r="F1085" s="42">
        <v>0</v>
      </c>
      <c r="G1085" s="42">
        <f t="shared" si="16"/>
        <v>180922430</v>
      </c>
      <c r="H1085" s="2" t="str">
        <f>VLOOKUP(A1085,'TB JULY'!A:H,8,0)</f>
        <v>Not Applicable</v>
      </c>
    </row>
    <row r="1086" spans="1:8">
      <c r="A1086" s="62" t="s">
        <v>1073</v>
      </c>
      <c r="B1086" s="78">
        <v>-4259112</v>
      </c>
      <c r="C1086" s="78">
        <v>243466</v>
      </c>
      <c r="D1086" s="78"/>
      <c r="E1086" s="78">
        <v>-4015646</v>
      </c>
      <c r="F1086" s="42">
        <v>0</v>
      </c>
      <c r="G1086" s="42">
        <f t="shared" si="16"/>
        <v>-4015646</v>
      </c>
      <c r="H1086" s="2" t="str">
        <f>VLOOKUP(A1086,'TB JULY'!A:H,8,0)</f>
        <v>Not Applicable</v>
      </c>
    </row>
    <row r="1087" spans="1:8">
      <c r="A1087" s="62" t="s">
        <v>605</v>
      </c>
      <c r="B1087" s="78"/>
      <c r="C1087" s="78"/>
      <c r="D1087" s="78"/>
      <c r="E1087" s="78"/>
      <c r="F1087" s="42">
        <v>0</v>
      </c>
      <c r="G1087" s="42">
        <f t="shared" si="16"/>
        <v>0</v>
      </c>
      <c r="H1087" s="2" t="str">
        <f>VLOOKUP(A1087,'TB JULY'!A:H,8,0)</f>
        <v>Not Applicable</v>
      </c>
    </row>
    <row r="1088" spans="1:8">
      <c r="A1088" s="62" t="s">
        <v>606</v>
      </c>
      <c r="B1088" s="78"/>
      <c r="C1088" s="78"/>
      <c r="D1088" s="78"/>
      <c r="E1088" s="78"/>
      <c r="F1088" s="42">
        <v>0</v>
      </c>
      <c r="G1088" s="42">
        <f t="shared" si="16"/>
        <v>0</v>
      </c>
      <c r="H1088" s="2" t="str">
        <f>VLOOKUP(A1088,'TB JULY'!A:H,8,0)</f>
        <v>Not Applicable</v>
      </c>
    </row>
    <row r="1089" spans="1:8">
      <c r="A1089" s="62" t="s">
        <v>607</v>
      </c>
      <c r="B1089" s="78">
        <v>-61818.42</v>
      </c>
      <c r="C1089" s="78">
        <v>61818.42</v>
      </c>
      <c r="D1089" s="78"/>
      <c r="E1089" s="78"/>
      <c r="F1089" s="42">
        <v>0</v>
      </c>
      <c r="G1089" s="42">
        <f t="shared" si="16"/>
        <v>0</v>
      </c>
      <c r="H1089" s="2" t="str">
        <f>VLOOKUP(A1089,'TB JULY'!A:H,8,0)</f>
        <v>Not Applicable</v>
      </c>
    </row>
    <row r="1090" spans="1:8">
      <c r="A1090" s="62" t="s">
        <v>608</v>
      </c>
      <c r="B1090" s="78"/>
      <c r="C1090" s="78"/>
      <c r="D1090" s="78"/>
      <c r="E1090" s="78"/>
      <c r="F1090" s="42">
        <v>0</v>
      </c>
      <c r="G1090" s="42">
        <f t="shared" si="16"/>
        <v>0</v>
      </c>
      <c r="H1090" s="2" t="str">
        <f>VLOOKUP(A1090,'TB JULY'!A:H,8,0)</f>
        <v>Not Applicable</v>
      </c>
    </row>
    <row r="1091" spans="1:8">
      <c r="A1091" s="62" t="s">
        <v>1074</v>
      </c>
      <c r="B1091" s="78">
        <v>185980265.36000001</v>
      </c>
      <c r="C1091" s="78"/>
      <c r="D1091" s="78"/>
      <c r="E1091" s="78">
        <v>185980265.36000001</v>
      </c>
      <c r="F1091" s="42">
        <v>0</v>
      </c>
      <c r="G1091" s="42">
        <f t="shared" si="16"/>
        <v>185980265.36000001</v>
      </c>
      <c r="H1091" s="2" t="str">
        <f>VLOOKUP(A1091,'TB JULY'!A:H,8,0)</f>
        <v>Not Applicable</v>
      </c>
    </row>
    <row r="1092" spans="1:8">
      <c r="A1092" s="62" t="s">
        <v>993</v>
      </c>
      <c r="B1092" s="78">
        <v>895564656.16999996</v>
      </c>
      <c r="C1092" s="78"/>
      <c r="D1092" s="78"/>
      <c r="E1092" s="78">
        <v>895564656.16999996</v>
      </c>
      <c r="F1092" s="42">
        <v>0</v>
      </c>
      <c r="G1092" s="42">
        <f t="shared" si="16"/>
        <v>895564656.16999996</v>
      </c>
      <c r="H1092" s="2" t="str">
        <f>VLOOKUP(A1092,'TB JULY'!A:H,8,0)</f>
        <v>Not Applicable</v>
      </c>
    </row>
    <row r="1093" spans="1:8">
      <c r="A1093" s="62" t="s">
        <v>693</v>
      </c>
      <c r="B1093" s="78">
        <v>5323173.38</v>
      </c>
      <c r="C1093" s="78"/>
      <c r="D1093" s="78"/>
      <c r="E1093" s="78">
        <v>5323173.38</v>
      </c>
      <c r="F1093" s="42">
        <v>0</v>
      </c>
      <c r="G1093" s="42">
        <f t="shared" si="16"/>
        <v>5323173.38</v>
      </c>
      <c r="H1093" s="2" t="str">
        <f>VLOOKUP(A1093,'TB JULY'!A:H,8,0)</f>
        <v>Not Applicable</v>
      </c>
    </row>
    <row r="1094" spans="1:8">
      <c r="A1094" s="62" t="s">
        <v>694</v>
      </c>
      <c r="B1094" s="78">
        <v>30832921.030000001</v>
      </c>
      <c r="C1094" s="78"/>
      <c r="D1094" s="78"/>
      <c r="E1094" s="78">
        <v>30832921.030000001</v>
      </c>
      <c r="F1094" s="42">
        <v>0</v>
      </c>
      <c r="G1094" s="42">
        <f t="shared" si="16"/>
        <v>30832921.030000001</v>
      </c>
      <c r="H1094" s="2" t="str">
        <f>VLOOKUP(A1094,'TB JULY'!A:H,8,0)</f>
        <v>Not Applicable</v>
      </c>
    </row>
    <row r="1095" spans="1:8">
      <c r="A1095" s="62" t="s">
        <v>684</v>
      </c>
      <c r="B1095" s="78">
        <v>-47620869.340000004</v>
      </c>
      <c r="C1095" s="78">
        <v>22691990.170000002</v>
      </c>
      <c r="D1095" s="78">
        <v>22859166</v>
      </c>
      <c r="E1095" s="78">
        <v>-47788045.170000002</v>
      </c>
      <c r="F1095" s="42">
        <v>0</v>
      </c>
      <c r="G1095" s="42">
        <f t="shared" ref="G1095:G1158" si="17">E1095+F1095</f>
        <v>-47788045.170000002</v>
      </c>
      <c r="H1095" s="2" t="str">
        <f>VLOOKUP(A1095,'TB JULY'!A:H,8,0)</f>
        <v>Not Applicable</v>
      </c>
    </row>
    <row r="1096" spans="1:8">
      <c r="A1096" s="62" t="s">
        <v>685</v>
      </c>
      <c r="B1096" s="78"/>
      <c r="C1096" s="78"/>
      <c r="D1096" s="78"/>
      <c r="E1096" s="78"/>
      <c r="F1096" s="42">
        <v>0</v>
      </c>
      <c r="G1096" s="42">
        <f t="shared" si="17"/>
        <v>0</v>
      </c>
      <c r="H1096" s="2" t="str">
        <f>VLOOKUP(A1096,'TB JULY'!A:H,8,0)</f>
        <v>Not Applicable</v>
      </c>
    </row>
    <row r="1097" spans="1:8">
      <c r="A1097" s="62" t="s">
        <v>686</v>
      </c>
      <c r="B1097" s="78"/>
      <c r="C1097" s="78"/>
      <c r="D1097" s="78"/>
      <c r="E1097" s="78"/>
      <c r="F1097" s="42">
        <v>0</v>
      </c>
      <c r="G1097" s="42">
        <f t="shared" si="17"/>
        <v>0</v>
      </c>
      <c r="H1097" s="2" t="str">
        <f>VLOOKUP(A1097,'TB JULY'!A:H,8,0)</f>
        <v>Not Applicable</v>
      </c>
    </row>
    <row r="1098" spans="1:8">
      <c r="A1098" s="62" t="s">
        <v>443</v>
      </c>
      <c r="B1098" s="78"/>
      <c r="C1098" s="78">
        <v>9746659.3000000007</v>
      </c>
      <c r="D1098" s="78">
        <v>12352040.859999999</v>
      </c>
      <c r="E1098" s="78">
        <v>-2605381.56</v>
      </c>
      <c r="F1098" s="42">
        <v>0</v>
      </c>
      <c r="G1098" s="42">
        <f t="shared" si="17"/>
        <v>-2605381.56</v>
      </c>
      <c r="H1098" s="2" t="str">
        <f>VLOOKUP(A1098,'TB JULY'!A:H,8,0)</f>
        <v>Not Applicable</v>
      </c>
    </row>
    <row r="1099" spans="1:8">
      <c r="A1099" s="62" t="s">
        <v>444</v>
      </c>
      <c r="B1099" s="78"/>
      <c r="C1099" s="78">
        <v>3972056.67</v>
      </c>
      <c r="D1099" s="78">
        <v>16199967.970000001</v>
      </c>
      <c r="E1099" s="78">
        <v>-12227911.300000001</v>
      </c>
      <c r="F1099" s="42">
        <v>0</v>
      </c>
      <c r="G1099" s="42">
        <f t="shared" si="17"/>
        <v>-12227911.300000001</v>
      </c>
      <c r="H1099" s="2" t="str">
        <f>VLOOKUP(A1099,'TB JULY'!A:H,8,0)</f>
        <v>Not Applicable</v>
      </c>
    </row>
    <row r="1100" spans="1:8">
      <c r="A1100" s="62" t="s">
        <v>1014</v>
      </c>
      <c r="B1100" s="78">
        <v>-10682927.6</v>
      </c>
      <c r="C1100" s="78">
        <v>27405705.039999999</v>
      </c>
      <c r="D1100" s="78">
        <v>16722777.439999999</v>
      </c>
      <c r="E1100" s="78"/>
      <c r="F1100" s="42">
        <v>0</v>
      </c>
      <c r="G1100" s="42">
        <f t="shared" si="17"/>
        <v>0</v>
      </c>
      <c r="H1100" s="2" t="str">
        <f>VLOOKUP(A1100,'TB JULY'!A:H,8,0)</f>
        <v>Not Applicable</v>
      </c>
    </row>
    <row r="1101" spans="1:8">
      <c r="A1101" s="62" t="s">
        <v>445</v>
      </c>
      <c r="B1101" s="78">
        <v>-3270891.23</v>
      </c>
      <c r="C1101" s="78"/>
      <c r="D1101" s="78"/>
      <c r="E1101" s="78">
        <v>-3270891.23</v>
      </c>
      <c r="F1101" s="42">
        <v>0</v>
      </c>
      <c r="G1101" s="42">
        <f t="shared" si="17"/>
        <v>-3270891.23</v>
      </c>
      <c r="H1101" s="2" t="str">
        <f>VLOOKUP(A1101,'TB JULY'!A:H,8,0)</f>
        <v>Not Applicable</v>
      </c>
    </row>
    <row r="1102" spans="1:8">
      <c r="A1102" s="62" t="s">
        <v>446</v>
      </c>
      <c r="B1102" s="78">
        <v>12143287.42</v>
      </c>
      <c r="C1102" s="78"/>
      <c r="D1102" s="78"/>
      <c r="E1102" s="78">
        <v>12143287.42</v>
      </c>
      <c r="F1102" s="42">
        <v>0</v>
      </c>
      <c r="G1102" s="42">
        <f t="shared" si="17"/>
        <v>12143287.42</v>
      </c>
      <c r="H1102" s="2" t="str">
        <f>VLOOKUP(A1102,'TB JULY'!A:H,8,0)</f>
        <v>Not Applicable</v>
      </c>
    </row>
    <row r="1103" spans="1:8">
      <c r="A1103" s="62" t="s">
        <v>1540</v>
      </c>
      <c r="B1103" s="78"/>
      <c r="C1103" s="78"/>
      <c r="D1103" s="78"/>
      <c r="E1103" s="78"/>
      <c r="F1103" s="42">
        <v>0</v>
      </c>
      <c r="G1103" s="42">
        <f t="shared" si="17"/>
        <v>0</v>
      </c>
      <c r="H1103" s="2" t="str">
        <f>VLOOKUP(A1103,'TB JULY'!A:H,8,0)</f>
        <v>Not Applicable</v>
      </c>
    </row>
    <row r="1104" spans="1:8">
      <c r="A1104" s="62" t="s">
        <v>1024</v>
      </c>
      <c r="B1104" s="78">
        <v>-40751393.149999999</v>
      </c>
      <c r="C1104" s="78">
        <v>64143503.950000003</v>
      </c>
      <c r="D1104" s="78">
        <v>70002393.170000002</v>
      </c>
      <c r="E1104" s="78">
        <v>-46610282.369999997</v>
      </c>
      <c r="F1104" s="42">
        <v>0</v>
      </c>
      <c r="G1104" s="42">
        <f t="shared" si="17"/>
        <v>-46610282.369999997</v>
      </c>
      <c r="H1104" s="2" t="str">
        <f>VLOOKUP(A1104,'TB JULY'!A:H,8,0)</f>
        <v>Not Applicable</v>
      </c>
    </row>
    <row r="1105" spans="1:8">
      <c r="A1105" s="62" t="s">
        <v>503</v>
      </c>
      <c r="B1105" s="78">
        <v>64703271.210000001</v>
      </c>
      <c r="C1105" s="78"/>
      <c r="D1105" s="78"/>
      <c r="E1105" s="78">
        <v>64703271.210000001</v>
      </c>
      <c r="F1105" s="42">
        <v>0</v>
      </c>
      <c r="G1105" s="42">
        <f t="shared" si="17"/>
        <v>64703271.210000001</v>
      </c>
      <c r="H1105" s="2" t="str">
        <f>VLOOKUP(A1105,'TB JULY'!A:H,8,0)</f>
        <v>Not Applicable</v>
      </c>
    </row>
    <row r="1106" spans="1:8">
      <c r="A1106" s="62" t="s">
        <v>496</v>
      </c>
      <c r="B1106" s="78">
        <v>-6438533</v>
      </c>
      <c r="C1106" s="78"/>
      <c r="D1106" s="78"/>
      <c r="E1106" s="78">
        <v>-6438533</v>
      </c>
      <c r="F1106" s="42">
        <v>0</v>
      </c>
      <c r="G1106" s="42">
        <f t="shared" si="17"/>
        <v>-6438533</v>
      </c>
      <c r="H1106" s="2" t="str">
        <f>VLOOKUP(A1106,'TB JULY'!A:H,8,0)</f>
        <v>Not Applicable</v>
      </c>
    </row>
    <row r="1107" spans="1:8">
      <c r="A1107" s="62" t="s">
        <v>488</v>
      </c>
      <c r="B1107" s="78">
        <v>-173498418.13</v>
      </c>
      <c r="C1107" s="78"/>
      <c r="D1107" s="78"/>
      <c r="E1107" s="78">
        <v>-173498418.13</v>
      </c>
      <c r="F1107" s="42">
        <v>0</v>
      </c>
      <c r="G1107" s="42">
        <f t="shared" si="17"/>
        <v>-173498418.13</v>
      </c>
      <c r="H1107" s="2" t="str">
        <f>VLOOKUP(A1107,'TB JULY'!A:H,8,0)</f>
        <v>Not Applicable</v>
      </c>
    </row>
    <row r="1108" spans="1:8">
      <c r="A1108" s="62" t="s">
        <v>489</v>
      </c>
      <c r="B1108" s="78">
        <v>-683479.05</v>
      </c>
      <c r="C1108" s="78">
        <v>651344.05000000005</v>
      </c>
      <c r="D1108" s="78"/>
      <c r="E1108" s="78">
        <v>-32135</v>
      </c>
      <c r="F1108" s="42">
        <v>0</v>
      </c>
      <c r="G1108" s="42">
        <f t="shared" si="17"/>
        <v>-32135</v>
      </c>
      <c r="H1108" s="2" t="str">
        <f>VLOOKUP(A1108,'TB JULY'!A:H,8,0)</f>
        <v>Not Applicable</v>
      </c>
    </row>
    <row r="1109" spans="1:8">
      <c r="A1109" s="62" t="s">
        <v>490</v>
      </c>
      <c r="B1109" s="78">
        <v>162669</v>
      </c>
      <c r="C1109" s="78"/>
      <c r="D1109" s="78"/>
      <c r="E1109" s="78">
        <v>162669</v>
      </c>
      <c r="F1109" s="42">
        <v>0</v>
      </c>
      <c r="G1109" s="42">
        <f t="shared" si="17"/>
        <v>162669</v>
      </c>
      <c r="H1109" s="2" t="str">
        <f>VLOOKUP(A1109,'TB JULY'!A:H,8,0)</f>
        <v>Not Applicable</v>
      </c>
    </row>
    <row r="1110" spans="1:8">
      <c r="A1110" s="62" t="s">
        <v>491</v>
      </c>
      <c r="B1110" s="78">
        <v>-10188.9</v>
      </c>
      <c r="C1110" s="78"/>
      <c r="D1110" s="78"/>
      <c r="E1110" s="78">
        <v>-10188.9</v>
      </c>
      <c r="F1110" s="42">
        <v>0</v>
      </c>
      <c r="G1110" s="42">
        <f t="shared" si="17"/>
        <v>-10188.9</v>
      </c>
      <c r="H1110" s="2" t="str">
        <f>VLOOKUP(A1110,'TB JULY'!A:H,8,0)</f>
        <v>Not Applicable</v>
      </c>
    </row>
    <row r="1111" spans="1:8">
      <c r="A1111" s="62" t="s">
        <v>492</v>
      </c>
      <c r="B1111" s="78">
        <v>-1425427</v>
      </c>
      <c r="C1111" s="78"/>
      <c r="D1111" s="78"/>
      <c r="E1111" s="78">
        <v>-1425427</v>
      </c>
      <c r="F1111" s="42">
        <v>0</v>
      </c>
      <c r="G1111" s="42">
        <f t="shared" si="17"/>
        <v>-1425427</v>
      </c>
      <c r="H1111" s="2" t="str">
        <f>VLOOKUP(A1111,'TB JULY'!A:H,8,0)</f>
        <v>Not Applicable</v>
      </c>
    </row>
    <row r="1112" spans="1:8">
      <c r="A1112" s="62" t="s">
        <v>751</v>
      </c>
      <c r="B1112" s="78"/>
      <c r="C1112" s="78"/>
      <c r="D1112" s="78">
        <v>57013073.060000002</v>
      </c>
      <c r="E1112" s="78">
        <v>-57013073.060000002</v>
      </c>
      <c r="F1112" s="42">
        <v>0</v>
      </c>
      <c r="G1112" s="42">
        <f t="shared" si="17"/>
        <v>-57013073.060000002</v>
      </c>
      <c r="H1112" s="2" t="str">
        <f>VLOOKUP(A1112,'TB JULY'!A:H,8,0)</f>
        <v>Sale of Finished Goods</v>
      </c>
    </row>
    <row r="1113" spans="1:8">
      <c r="A1113" s="62" t="s">
        <v>749</v>
      </c>
      <c r="B1113" s="78"/>
      <c r="C1113" s="78"/>
      <c r="D1113" s="78">
        <v>3970108</v>
      </c>
      <c r="E1113" s="78">
        <v>-3970108</v>
      </c>
      <c r="F1113" s="42">
        <v>0</v>
      </c>
      <c r="G1113" s="42">
        <f t="shared" si="17"/>
        <v>-3970108</v>
      </c>
      <c r="H1113" s="2" t="str">
        <f>VLOOKUP(A1113,'TB JULY'!A:H,8,0)</f>
        <v>Sale of Finished Goods</v>
      </c>
    </row>
    <row r="1114" spans="1:8">
      <c r="A1114" s="62" t="s">
        <v>752</v>
      </c>
      <c r="B1114" s="78"/>
      <c r="C1114" s="78">
        <v>176400</v>
      </c>
      <c r="D1114" s="78">
        <v>316646527.37</v>
      </c>
      <c r="E1114" s="78">
        <v>-316470127.37</v>
      </c>
      <c r="F1114" s="42">
        <v>0</v>
      </c>
      <c r="G1114" s="42">
        <f t="shared" si="17"/>
        <v>-316470127.37</v>
      </c>
      <c r="H1114" s="2" t="str">
        <f>VLOOKUP(A1114,'TB JULY'!A:H,8,0)</f>
        <v>Sale of Finished Goods</v>
      </c>
    </row>
    <row r="1115" spans="1:8">
      <c r="A1115" s="62" t="s">
        <v>1656</v>
      </c>
      <c r="B1115" s="78"/>
      <c r="C1115" s="78">
        <v>35250</v>
      </c>
      <c r="D1115" s="78"/>
      <c r="E1115" s="78">
        <v>35250</v>
      </c>
      <c r="F1115" s="42">
        <v>0</v>
      </c>
      <c r="G1115" s="42">
        <f t="shared" si="17"/>
        <v>35250</v>
      </c>
      <c r="H1115" s="8" t="s">
        <v>4</v>
      </c>
    </row>
    <row r="1116" spans="1:8">
      <c r="A1116" s="62" t="s">
        <v>747</v>
      </c>
      <c r="B1116" s="78"/>
      <c r="C1116" s="78"/>
      <c r="D1116" s="78">
        <v>187374002.94</v>
      </c>
      <c r="E1116" s="78">
        <v>-187374002.94</v>
      </c>
      <c r="F1116" s="42">
        <v>0</v>
      </c>
      <c r="G1116" s="42">
        <f t="shared" si="17"/>
        <v>-187374002.94</v>
      </c>
      <c r="H1116" s="2" t="str">
        <f>VLOOKUP(A1116,'TB JULY'!A:H,8,0)</f>
        <v>Sale of Finished Goods</v>
      </c>
    </row>
    <row r="1117" spans="1:8">
      <c r="A1117" s="62" t="s">
        <v>945</v>
      </c>
      <c r="B1117" s="78"/>
      <c r="C1117" s="78">
        <v>4552024.13</v>
      </c>
      <c r="D1117" s="78">
        <v>40480901.770000003</v>
      </c>
      <c r="E1117" s="78">
        <v>-35928877.640000001</v>
      </c>
      <c r="F1117" s="42">
        <v>0</v>
      </c>
      <c r="G1117" s="42">
        <f t="shared" si="17"/>
        <v>-35928877.640000001</v>
      </c>
      <c r="H1117" s="2" t="str">
        <f>VLOOKUP(A1117,'TB JULY'!A:H,8,0)</f>
        <v>Sale of finished goods</v>
      </c>
    </row>
    <row r="1118" spans="1:8">
      <c r="A1118" s="62" t="s">
        <v>746</v>
      </c>
      <c r="B1118" s="78"/>
      <c r="C1118" s="78"/>
      <c r="D1118" s="78">
        <v>36076449.090000004</v>
      </c>
      <c r="E1118" s="78">
        <v>-36076449.090000004</v>
      </c>
      <c r="F1118" s="42">
        <v>0</v>
      </c>
      <c r="G1118" s="42">
        <f t="shared" si="17"/>
        <v>-36076449.090000004</v>
      </c>
      <c r="H1118" s="2" t="str">
        <f>VLOOKUP(A1118,'TB JULY'!A:H,8,0)</f>
        <v>Income from Jobwork charges</v>
      </c>
    </row>
    <row r="1119" spans="1:8">
      <c r="A1119" s="62" t="s">
        <v>743</v>
      </c>
      <c r="B1119" s="78"/>
      <c r="C1119" s="78"/>
      <c r="D1119" s="78">
        <v>60291582.590000004</v>
      </c>
      <c r="E1119" s="78">
        <v>-60291582.590000004</v>
      </c>
      <c r="F1119" s="42">
        <v>0</v>
      </c>
      <c r="G1119" s="42">
        <f t="shared" si="17"/>
        <v>-60291582.590000004</v>
      </c>
      <c r="H1119" s="2" t="str">
        <f>VLOOKUP(A1119,'TB JULY'!A:H,8,0)</f>
        <v>Sale of Finished Goods</v>
      </c>
    </row>
    <row r="1120" spans="1:8">
      <c r="A1120" s="62" t="s">
        <v>932</v>
      </c>
      <c r="B1120" s="78"/>
      <c r="C1120" s="78"/>
      <c r="D1120" s="78">
        <v>6574821.0599999996</v>
      </c>
      <c r="E1120" s="78">
        <v>-6574821.0599999996</v>
      </c>
      <c r="F1120" s="42">
        <v>0</v>
      </c>
      <c r="G1120" s="42">
        <f t="shared" si="17"/>
        <v>-6574821.0599999996</v>
      </c>
      <c r="H1120" s="2" t="str">
        <f>VLOOKUP(A1120,'TB JULY'!A:H,8,0)</f>
        <v>Sale of traded goods</v>
      </c>
    </row>
    <row r="1121" spans="1:8">
      <c r="A1121" s="62" t="s">
        <v>1108</v>
      </c>
      <c r="B1121" s="78"/>
      <c r="C1121" s="78"/>
      <c r="D1121" s="78">
        <v>1901670.15</v>
      </c>
      <c r="E1121" s="78">
        <v>-1901670.15</v>
      </c>
      <c r="F1121" s="42">
        <v>0</v>
      </c>
      <c r="G1121" s="42">
        <f t="shared" si="17"/>
        <v>-1901670.15</v>
      </c>
      <c r="H1121" s="2" t="str">
        <f>VLOOKUP(A1121,'TB JULY'!A:H,8,0)</f>
        <v>Sale of traded goods</v>
      </c>
    </row>
    <row r="1122" spans="1:8">
      <c r="A1122" s="62" t="s">
        <v>1107</v>
      </c>
      <c r="B1122" s="78"/>
      <c r="C1122" s="78"/>
      <c r="D1122" s="78">
        <v>2370670.6</v>
      </c>
      <c r="E1122" s="78">
        <v>-2370670.6</v>
      </c>
      <c r="F1122" s="42">
        <v>0</v>
      </c>
      <c r="G1122" s="42">
        <f t="shared" si="17"/>
        <v>-2370670.6</v>
      </c>
      <c r="H1122" s="2" t="str">
        <f>VLOOKUP(A1122,'TB JULY'!A:H,8,0)</f>
        <v>Sale of traded goods</v>
      </c>
    </row>
    <row r="1123" spans="1:8">
      <c r="A1123" s="62" t="s">
        <v>753</v>
      </c>
      <c r="B1123" s="78"/>
      <c r="C1123" s="78"/>
      <c r="D1123" s="78">
        <v>43855195.609999999</v>
      </c>
      <c r="E1123" s="78">
        <v>-43855195.609999999</v>
      </c>
      <c r="F1123" s="42">
        <v>0</v>
      </c>
      <c r="G1123" s="42">
        <f t="shared" si="17"/>
        <v>-43855195.609999999</v>
      </c>
      <c r="H1123" s="2" t="str">
        <f>VLOOKUP(A1123,'TB JULY'!A:H,8,0)</f>
        <v>Sale of traded goods</v>
      </c>
    </row>
    <row r="1124" spans="1:8">
      <c r="A1124" s="62" t="s">
        <v>20</v>
      </c>
      <c r="B1124" s="78"/>
      <c r="C1124" s="78"/>
      <c r="D1124" s="78">
        <v>452420</v>
      </c>
      <c r="E1124" s="78">
        <v>-452420</v>
      </c>
      <c r="F1124" s="42">
        <v>0</v>
      </c>
      <c r="G1124" s="42">
        <f t="shared" si="17"/>
        <v>-452420</v>
      </c>
      <c r="H1124" s="2" t="str">
        <f>VLOOKUP(A1124,'TB JULY'!A:H,8,0)</f>
        <v>Sales - Waste &amp; Scrape</v>
      </c>
    </row>
    <row r="1125" spans="1:8">
      <c r="A1125" s="62" t="s">
        <v>745</v>
      </c>
      <c r="B1125" s="78"/>
      <c r="C1125" s="78"/>
      <c r="D1125" s="78">
        <v>6574783</v>
      </c>
      <c r="E1125" s="78">
        <v>-6574783</v>
      </c>
      <c r="F1125" s="42">
        <v>0</v>
      </c>
      <c r="G1125" s="42">
        <f t="shared" si="17"/>
        <v>-6574783</v>
      </c>
      <c r="H1125" s="2" t="str">
        <f>VLOOKUP(A1125,'TB JULY'!A:H,8,0)</f>
        <v>Wind mill income</v>
      </c>
    </row>
    <row r="1126" spans="1:8">
      <c r="A1126" s="62" t="s">
        <v>1657</v>
      </c>
      <c r="B1126" s="78"/>
      <c r="C1126" s="78"/>
      <c r="D1126" s="78">
        <v>3200</v>
      </c>
      <c r="E1126" s="78">
        <v>-3200</v>
      </c>
      <c r="F1126" s="42">
        <v>0</v>
      </c>
      <c r="G1126" s="42">
        <f t="shared" si="17"/>
        <v>-3200</v>
      </c>
      <c r="H1126" s="8" t="s">
        <v>84</v>
      </c>
    </row>
    <row r="1127" spans="1:8">
      <c r="A1127" s="62" t="s">
        <v>742</v>
      </c>
      <c r="B1127" s="78"/>
      <c r="C1127" s="78">
        <v>1733.06</v>
      </c>
      <c r="D1127" s="78">
        <v>318910.34000000003</v>
      </c>
      <c r="E1127" s="78">
        <v>-317177.28000000003</v>
      </c>
      <c r="F1127" s="42">
        <v>0</v>
      </c>
      <c r="G1127" s="42">
        <f t="shared" si="17"/>
        <v>-317177.28000000003</v>
      </c>
      <c r="H1127" s="2" t="str">
        <f>VLOOKUP(A1127,'TB JULY'!A:H,8,0)</f>
        <v>Not Applicable</v>
      </c>
    </row>
    <row r="1128" spans="1:8">
      <c r="A1128" s="62" t="s">
        <v>828</v>
      </c>
      <c r="B1128" s="78"/>
      <c r="C1128" s="78">
        <v>165397.1</v>
      </c>
      <c r="D1128" s="78">
        <v>5819663.0099999998</v>
      </c>
      <c r="E1128" s="78">
        <v>-5654265.9100000001</v>
      </c>
      <c r="F1128" s="42">
        <v>0</v>
      </c>
      <c r="G1128" s="42">
        <f t="shared" si="17"/>
        <v>-5654265.9100000001</v>
      </c>
      <c r="H1128" s="2" t="str">
        <f>VLOOKUP(A1128,'TB JULY'!A:H,8,0)</f>
        <v>Add: Purchase expenses</v>
      </c>
    </row>
    <row r="1129" spans="1:8">
      <c r="A1129" s="62" t="s">
        <v>780</v>
      </c>
      <c r="B1129" s="78"/>
      <c r="C1129" s="78">
        <v>894</v>
      </c>
      <c r="D1129" s="78"/>
      <c r="E1129" s="78">
        <v>894</v>
      </c>
      <c r="F1129" s="42">
        <v>0</v>
      </c>
      <c r="G1129" s="42">
        <f t="shared" si="17"/>
        <v>894</v>
      </c>
      <c r="H1129" s="2" t="str">
        <f>VLOOKUP(A1129,'TB JULY'!A:H,8,0)</f>
        <v>Add: Purchase expenses</v>
      </c>
    </row>
    <row r="1130" spans="1:8">
      <c r="A1130" s="62" t="s">
        <v>764</v>
      </c>
      <c r="B1130" s="78"/>
      <c r="C1130" s="78">
        <v>490.64</v>
      </c>
      <c r="D1130" s="78">
        <v>85.09</v>
      </c>
      <c r="E1130" s="78">
        <v>405.55</v>
      </c>
      <c r="F1130" s="42">
        <v>0</v>
      </c>
      <c r="G1130" s="42">
        <f t="shared" si="17"/>
        <v>405.55</v>
      </c>
      <c r="H1130" s="2" t="str">
        <f>VLOOKUP(A1130,'TB JULY'!A:H,8,0)</f>
        <v>Add: Purchase expenses</v>
      </c>
    </row>
    <row r="1131" spans="1:8">
      <c r="A1131" s="62" t="s">
        <v>823</v>
      </c>
      <c r="B1131" s="78"/>
      <c r="C1131" s="78">
        <v>66534.399999999994</v>
      </c>
      <c r="D1131" s="78">
        <v>36014</v>
      </c>
      <c r="E1131" s="78">
        <v>30520.400000000001</v>
      </c>
      <c r="F1131" s="42">
        <v>0</v>
      </c>
      <c r="G1131" s="42">
        <f t="shared" si="17"/>
        <v>30520.400000000001</v>
      </c>
      <c r="H1131" s="2" t="str">
        <f>VLOOKUP(A1131,'TB JULY'!A:H,8,0)</f>
        <v>Add: Purchase expenses</v>
      </c>
    </row>
    <row r="1132" spans="1:8">
      <c r="A1132" s="62" t="s">
        <v>808</v>
      </c>
      <c r="B1132" s="78"/>
      <c r="C1132" s="78">
        <v>560244</v>
      </c>
      <c r="D1132" s="78"/>
      <c r="E1132" s="78">
        <v>560244</v>
      </c>
      <c r="F1132" s="42">
        <v>0</v>
      </c>
      <c r="G1132" s="42">
        <f t="shared" si="17"/>
        <v>560244</v>
      </c>
      <c r="H1132" s="2" t="str">
        <f>VLOOKUP(A1132,'TB JULY'!A:H,8,0)</f>
        <v>Add: Purchase expenses</v>
      </c>
    </row>
    <row r="1133" spans="1:8">
      <c r="A1133" s="62" t="s">
        <v>809</v>
      </c>
      <c r="B1133" s="78"/>
      <c r="C1133" s="78">
        <v>405339.83</v>
      </c>
      <c r="D1133" s="78">
        <v>16500</v>
      </c>
      <c r="E1133" s="78">
        <v>388839.83</v>
      </c>
      <c r="F1133" s="42">
        <v>0</v>
      </c>
      <c r="G1133" s="42">
        <f t="shared" si="17"/>
        <v>388839.83</v>
      </c>
      <c r="H1133" s="2" t="str">
        <f>VLOOKUP(A1133,'TB JULY'!A:H,8,0)</f>
        <v>Add: Purchase expenses</v>
      </c>
    </row>
    <row r="1134" spans="1:8">
      <c r="A1134" s="62" t="s">
        <v>1303</v>
      </c>
      <c r="B1134" s="78"/>
      <c r="C1134" s="78"/>
      <c r="D1134" s="78">
        <v>277930</v>
      </c>
      <c r="E1134" s="78">
        <v>-277930</v>
      </c>
      <c r="F1134" s="42">
        <v>0</v>
      </c>
      <c r="G1134" s="42">
        <f t="shared" si="17"/>
        <v>-277930</v>
      </c>
      <c r="H1134" s="2" t="str">
        <f>VLOOKUP(A1134,'TB JULY'!A:H,8,0)</f>
        <v>Add: Purchase expenses</v>
      </c>
    </row>
    <row r="1135" spans="1:8">
      <c r="A1135" s="62" t="s">
        <v>825</v>
      </c>
      <c r="B1135" s="78"/>
      <c r="C1135" s="78">
        <v>496308.71</v>
      </c>
      <c r="D1135" s="78"/>
      <c r="E1135" s="78">
        <v>496308.71</v>
      </c>
      <c r="F1135" s="42">
        <v>0</v>
      </c>
      <c r="G1135" s="42">
        <f t="shared" si="17"/>
        <v>496308.71</v>
      </c>
      <c r="H1135" s="2" t="str">
        <f>VLOOKUP(A1135,'TB JULY'!A:H,8,0)</f>
        <v>Add: Purchase of Stores, Spares &amp; Consumables</v>
      </c>
    </row>
    <row r="1136" spans="1:8">
      <c r="A1136" s="62" t="s">
        <v>833</v>
      </c>
      <c r="B1136" s="78"/>
      <c r="C1136" s="78">
        <v>362184</v>
      </c>
      <c r="D1136" s="78"/>
      <c r="E1136" s="78">
        <v>362184</v>
      </c>
      <c r="F1136" s="42">
        <v>0</v>
      </c>
      <c r="G1136" s="42">
        <f t="shared" si="17"/>
        <v>362184</v>
      </c>
      <c r="H1136" s="2" t="str">
        <f>VLOOKUP(A1136,'TB JULY'!A:H,8,0)</f>
        <v>Other Administrative Expenses</v>
      </c>
    </row>
    <row r="1137" spans="1:8">
      <c r="A1137" s="62" t="s">
        <v>806</v>
      </c>
      <c r="B1137" s="78"/>
      <c r="C1137" s="78">
        <v>73554</v>
      </c>
      <c r="D1137" s="78"/>
      <c r="E1137" s="78">
        <v>73554</v>
      </c>
      <c r="F1137" s="42">
        <v>0</v>
      </c>
      <c r="G1137" s="42">
        <f t="shared" si="17"/>
        <v>73554</v>
      </c>
      <c r="H1137" s="2" t="str">
        <f>VLOOKUP(A1137,'TB JULY'!A:H,8,0)</f>
        <v>Other Administrative Expenses</v>
      </c>
    </row>
    <row r="1138" spans="1:8">
      <c r="A1138" s="62" t="s">
        <v>800</v>
      </c>
      <c r="B1138" s="78"/>
      <c r="C1138" s="78">
        <v>34874942.200000003</v>
      </c>
      <c r="D1138" s="78"/>
      <c r="E1138" s="78">
        <v>34874942.200000003</v>
      </c>
      <c r="F1138" s="42">
        <v>12681078</v>
      </c>
      <c r="G1138" s="42">
        <f t="shared" si="17"/>
        <v>47556020.200000003</v>
      </c>
      <c r="H1138" s="2" t="str">
        <f>VLOOKUP(A1138,'TB JULY'!A:H,8,0)</f>
        <v>Labour charges</v>
      </c>
    </row>
    <row r="1139" spans="1:8">
      <c r="A1139" s="62" t="s">
        <v>785</v>
      </c>
      <c r="B1139" s="78"/>
      <c r="C1139" s="78">
        <v>20451633</v>
      </c>
      <c r="D1139" s="78"/>
      <c r="E1139" s="78">
        <v>20451633</v>
      </c>
      <c r="F1139" s="42">
        <v>0</v>
      </c>
      <c r="G1139" s="42">
        <f t="shared" si="17"/>
        <v>20451633</v>
      </c>
      <c r="H1139" s="2" t="str">
        <f>VLOOKUP(A1139,'TB JULY'!A:H,8,0)</f>
        <v>Power and fuel</v>
      </c>
    </row>
    <row r="1140" spans="1:8">
      <c r="A1140" s="62" t="s">
        <v>762</v>
      </c>
      <c r="B1140" s="78"/>
      <c r="C1140" s="78">
        <v>1863600</v>
      </c>
      <c r="D1140" s="78"/>
      <c r="E1140" s="78">
        <v>1863600</v>
      </c>
      <c r="F1140" s="42">
        <v>0</v>
      </c>
      <c r="G1140" s="42">
        <f t="shared" si="17"/>
        <v>1863600</v>
      </c>
      <c r="H1140" s="2" t="str">
        <f>VLOOKUP(A1140,'TB JULY'!A:H,8,0)</f>
        <v>Other Administrative Expenses</v>
      </c>
    </row>
    <row r="1141" spans="1:8">
      <c r="A1141" s="62" t="s">
        <v>1049</v>
      </c>
      <c r="B1141" s="78"/>
      <c r="C1141" s="78">
        <v>840000</v>
      </c>
      <c r="D1141" s="78"/>
      <c r="E1141" s="78">
        <v>840000</v>
      </c>
      <c r="F1141" s="42">
        <v>0</v>
      </c>
      <c r="G1141" s="42">
        <f t="shared" si="17"/>
        <v>840000</v>
      </c>
      <c r="H1141" s="2" t="str">
        <f>VLOOKUP(A1141,'TB JULY'!A:H,8,0)</f>
        <v>Other Administrative Expenses</v>
      </c>
    </row>
    <row r="1142" spans="1:8">
      <c r="A1142" s="62" t="s">
        <v>1629</v>
      </c>
      <c r="B1142" s="78"/>
      <c r="C1142" s="78">
        <v>4800</v>
      </c>
      <c r="D1142" s="78"/>
      <c r="E1142" s="78">
        <v>4800</v>
      </c>
      <c r="F1142" s="42">
        <v>0</v>
      </c>
      <c r="G1142" s="42">
        <f t="shared" si="17"/>
        <v>4800</v>
      </c>
      <c r="H1142" s="2" t="str">
        <f>VLOOKUP(A1142,'TB JULY'!A:H,8,0)</f>
        <v>Freight Outward and C &amp; F Charges</v>
      </c>
    </row>
    <row r="1143" spans="1:8">
      <c r="A1143" s="62" t="s">
        <v>799</v>
      </c>
      <c r="B1143" s="78"/>
      <c r="C1143" s="78">
        <v>14844378.220000001</v>
      </c>
      <c r="D1143" s="78"/>
      <c r="E1143" s="78">
        <v>14844378.220000001</v>
      </c>
      <c r="F1143" s="42">
        <v>0</v>
      </c>
      <c r="G1143" s="42">
        <f t="shared" si="17"/>
        <v>14844378.220000001</v>
      </c>
      <c r="H1143" s="2" t="str">
        <f>VLOOKUP(A1143,'TB JULY'!A:H,8,0)</f>
        <v xml:space="preserve">Jobwork charges </v>
      </c>
    </row>
    <row r="1144" spans="1:8">
      <c r="A1144" s="62" t="s">
        <v>803</v>
      </c>
      <c r="B1144" s="78"/>
      <c r="C1144" s="78">
        <v>325978</v>
      </c>
      <c r="D1144" s="78"/>
      <c r="E1144" s="78">
        <v>325978</v>
      </c>
      <c r="F1144" s="42">
        <v>104888</v>
      </c>
      <c r="G1144" s="42">
        <f t="shared" si="17"/>
        <v>430866</v>
      </c>
      <c r="H1144" s="2" t="str">
        <f>VLOOKUP(A1144,'TB JULY'!A:H,8,0)</f>
        <v>Freight Outward and C &amp; F Charges</v>
      </c>
    </row>
    <row r="1145" spans="1:8">
      <c r="A1145" s="62" t="s">
        <v>789</v>
      </c>
      <c r="B1145" s="78"/>
      <c r="C1145" s="78">
        <v>62100</v>
      </c>
      <c r="D1145" s="78"/>
      <c r="E1145" s="78">
        <v>62100</v>
      </c>
      <c r="F1145" s="42">
        <v>0</v>
      </c>
      <c r="G1145" s="42">
        <f t="shared" si="17"/>
        <v>62100</v>
      </c>
      <c r="H1145" s="2" t="str">
        <f>VLOOKUP(A1145,'TB JULY'!A:H,8,0)</f>
        <v>Other Manufacturing Expenses</v>
      </c>
    </row>
    <row r="1146" spans="1:8">
      <c r="A1146" s="62" t="s">
        <v>791</v>
      </c>
      <c r="B1146" s="78"/>
      <c r="C1146" s="78">
        <v>324625</v>
      </c>
      <c r="D1146" s="78"/>
      <c r="E1146" s="78">
        <v>324625</v>
      </c>
      <c r="F1146" s="42">
        <v>0</v>
      </c>
      <c r="G1146" s="42">
        <f t="shared" si="17"/>
        <v>324625</v>
      </c>
      <c r="H1146" s="2" t="str">
        <f>VLOOKUP(A1146,'TB JULY'!A:H,8,0)</f>
        <v>Other Administrative Expenses</v>
      </c>
    </row>
    <row r="1147" spans="1:8">
      <c r="A1147" s="62" t="s">
        <v>792</v>
      </c>
      <c r="B1147" s="78"/>
      <c r="C1147" s="78">
        <v>144250</v>
      </c>
      <c r="D1147" s="78"/>
      <c r="E1147" s="78">
        <v>144250</v>
      </c>
      <c r="F1147" s="42">
        <v>0</v>
      </c>
      <c r="G1147" s="42">
        <f t="shared" si="17"/>
        <v>144250</v>
      </c>
      <c r="H1147" s="2" t="str">
        <f>VLOOKUP(A1147,'TB JULY'!A:H,8,0)</f>
        <v>Other Manufacturing Expenses</v>
      </c>
    </row>
    <row r="1148" spans="1:8">
      <c r="A1148" s="62" t="s">
        <v>761</v>
      </c>
      <c r="B1148" s="78"/>
      <c r="C1148" s="78">
        <v>1216652</v>
      </c>
      <c r="D1148" s="78"/>
      <c r="E1148" s="78">
        <v>1216652</v>
      </c>
      <c r="F1148" s="42">
        <v>0</v>
      </c>
      <c r="G1148" s="42">
        <f t="shared" si="17"/>
        <v>1216652</v>
      </c>
      <c r="H1148" s="2" t="str">
        <f>VLOOKUP(A1148,'TB JULY'!A:H,8,0)</f>
        <v>Other Manufacturing Expenses</v>
      </c>
    </row>
    <row r="1149" spans="1:8">
      <c r="A1149" s="62" t="s">
        <v>819</v>
      </c>
      <c r="B1149" s="78"/>
      <c r="C1149" s="78">
        <v>44928</v>
      </c>
      <c r="D1149" s="78"/>
      <c r="E1149" s="78">
        <v>44928</v>
      </c>
      <c r="F1149" s="42">
        <v>0</v>
      </c>
      <c r="G1149" s="42">
        <f t="shared" si="17"/>
        <v>44928</v>
      </c>
      <c r="H1149" s="2" t="str">
        <f>VLOOKUP(A1149,'TB JULY'!A:H,8,0)</f>
        <v>Add: Purchase of packing materials</v>
      </c>
    </row>
    <row r="1150" spans="1:8">
      <c r="A1150" s="62" t="s">
        <v>820</v>
      </c>
      <c r="B1150" s="78"/>
      <c r="C1150" s="78">
        <v>117222551.56</v>
      </c>
      <c r="D1150" s="78"/>
      <c r="E1150" s="78">
        <v>117222551.56</v>
      </c>
      <c r="F1150" s="42">
        <v>0</v>
      </c>
      <c r="G1150" s="42">
        <f t="shared" si="17"/>
        <v>117222551.56</v>
      </c>
      <c r="H1150" s="2" t="str">
        <f>VLOOKUP(A1150,'TB JULY'!A:H,8,0)</f>
        <v>Add: Purchase of raw materials</v>
      </c>
    </row>
    <row r="1151" spans="1:8">
      <c r="A1151" s="62" t="s">
        <v>821</v>
      </c>
      <c r="B1151" s="78"/>
      <c r="C1151" s="78">
        <v>38052.32</v>
      </c>
      <c r="D1151" s="78"/>
      <c r="E1151" s="78">
        <v>38052.32</v>
      </c>
      <c r="F1151" s="42">
        <v>0</v>
      </c>
      <c r="G1151" s="42">
        <f t="shared" si="17"/>
        <v>38052.32</v>
      </c>
      <c r="H1151" s="2" t="str">
        <f>VLOOKUP(A1151,'TB JULY'!A:H,8,0)</f>
        <v>Add: Purchase of Stores, Spares &amp; Consumables</v>
      </c>
    </row>
    <row r="1152" spans="1:8">
      <c r="A1152" s="62" t="s">
        <v>966</v>
      </c>
      <c r="B1152" s="78"/>
      <c r="C1152" s="78">
        <v>32596</v>
      </c>
      <c r="D1152" s="78"/>
      <c r="E1152" s="78">
        <v>32596</v>
      </c>
      <c r="F1152" s="42">
        <v>0</v>
      </c>
      <c r="G1152" s="42">
        <f t="shared" si="17"/>
        <v>32596</v>
      </c>
      <c r="H1152" s="2" t="str">
        <f>VLOOKUP(A1152,'TB JULY'!A:H,8,0)</f>
        <v>Add: Purchase of Stores, Spares &amp; Consumables</v>
      </c>
    </row>
    <row r="1153" spans="1:8">
      <c r="A1153" s="62" t="s">
        <v>769</v>
      </c>
      <c r="B1153" s="78"/>
      <c r="C1153" s="78">
        <v>10959500</v>
      </c>
      <c r="D1153" s="78"/>
      <c r="E1153" s="78">
        <v>10959500</v>
      </c>
      <c r="F1153" s="42">
        <v>0</v>
      </c>
      <c r="G1153" s="42">
        <f t="shared" si="17"/>
        <v>10959500</v>
      </c>
      <c r="H1153" s="2" t="str">
        <f>VLOOKUP(A1153,'TB JULY'!A:H,8,0)</f>
        <v>Add: Purchase of raw materials</v>
      </c>
    </row>
    <row r="1154" spans="1:8">
      <c r="A1154" s="62" t="s">
        <v>767</v>
      </c>
      <c r="B1154" s="78"/>
      <c r="C1154" s="78">
        <v>1500</v>
      </c>
      <c r="D1154" s="78"/>
      <c r="E1154" s="78">
        <v>1500</v>
      </c>
      <c r="F1154" s="42">
        <v>0</v>
      </c>
      <c r="G1154" s="42">
        <f t="shared" si="17"/>
        <v>1500</v>
      </c>
      <c r="H1154" s="2" t="str">
        <f>VLOOKUP(A1154,'TB JULY'!A:H,8,0)</f>
        <v>Add: Purchase of packing materials</v>
      </c>
    </row>
    <row r="1155" spans="1:8">
      <c r="A1155" s="62" t="s">
        <v>772</v>
      </c>
      <c r="B1155" s="78"/>
      <c r="C1155" s="78">
        <v>4725704.05</v>
      </c>
      <c r="D1155" s="78"/>
      <c r="E1155" s="78">
        <v>4725704.05</v>
      </c>
      <c r="F1155" s="42">
        <v>0</v>
      </c>
      <c r="G1155" s="42">
        <f t="shared" si="17"/>
        <v>4725704.05</v>
      </c>
      <c r="H1155" s="2" t="str">
        <f>VLOOKUP(A1155,'TB JULY'!A:H,8,0)</f>
        <v>Add: Purchase of packing materials</v>
      </c>
    </row>
    <row r="1156" spans="1:8">
      <c r="A1156" s="62" t="s">
        <v>766</v>
      </c>
      <c r="B1156" s="78"/>
      <c r="C1156" s="78">
        <v>19124322.899999999</v>
      </c>
      <c r="D1156" s="78">
        <v>38000</v>
      </c>
      <c r="E1156" s="78">
        <v>19086322.899999999</v>
      </c>
      <c r="F1156" s="42">
        <v>0</v>
      </c>
      <c r="G1156" s="42">
        <f t="shared" si="17"/>
        <v>19086322.899999999</v>
      </c>
      <c r="H1156" s="2" t="str">
        <f>VLOOKUP(A1156,'TB JULY'!A:H,8,0)</f>
        <v>Add: Purchase of raw materials</v>
      </c>
    </row>
    <row r="1157" spans="1:8">
      <c r="A1157" s="62" t="s">
        <v>771</v>
      </c>
      <c r="B1157" s="78"/>
      <c r="C1157" s="78">
        <v>327250300.38999999</v>
      </c>
      <c r="D1157" s="78"/>
      <c r="E1157" s="78">
        <v>327250300.38999999</v>
      </c>
      <c r="F1157" s="42">
        <v>0</v>
      </c>
      <c r="G1157" s="42">
        <f t="shared" si="17"/>
        <v>327250300.38999999</v>
      </c>
      <c r="H1157" s="2" t="str">
        <f>VLOOKUP(A1157,'TB JULY'!A:H,8,0)</f>
        <v>Add: Purchase of raw materials</v>
      </c>
    </row>
    <row r="1158" spans="1:8">
      <c r="A1158" s="62" t="s">
        <v>765</v>
      </c>
      <c r="B1158" s="78"/>
      <c r="C1158" s="78">
        <v>24345</v>
      </c>
      <c r="D1158" s="78"/>
      <c r="E1158" s="78">
        <v>24345</v>
      </c>
      <c r="F1158" s="42">
        <v>0</v>
      </c>
      <c r="G1158" s="42">
        <f t="shared" si="17"/>
        <v>24345</v>
      </c>
      <c r="H1158" s="2" t="str">
        <f>VLOOKUP(A1158,'TB JULY'!A:H,8,0)</f>
        <v>Add: Purchase of Stores, Spares &amp; Consumables</v>
      </c>
    </row>
    <row r="1159" spans="1:8">
      <c r="A1159" s="62" t="s">
        <v>768</v>
      </c>
      <c r="B1159" s="78"/>
      <c r="C1159" s="78">
        <v>1347629.64</v>
      </c>
      <c r="D1159" s="78"/>
      <c r="E1159" s="78">
        <v>1347629.64</v>
      </c>
      <c r="F1159" s="42">
        <v>0</v>
      </c>
      <c r="G1159" s="42">
        <f t="shared" ref="G1159:G1222" si="18">E1159+F1159</f>
        <v>1347629.64</v>
      </c>
      <c r="H1159" s="2" t="str">
        <f>VLOOKUP(A1159,'TB JULY'!A:H,8,0)</f>
        <v>Add: Purchase of Stores, Spares &amp; Consumables</v>
      </c>
    </row>
    <row r="1160" spans="1:8">
      <c r="A1160" s="62" t="s">
        <v>773</v>
      </c>
      <c r="B1160" s="78"/>
      <c r="C1160" s="78">
        <v>11042197.02</v>
      </c>
      <c r="D1160" s="78">
        <v>21584</v>
      </c>
      <c r="E1160" s="78">
        <v>11020613.02</v>
      </c>
      <c r="F1160" s="42">
        <v>0</v>
      </c>
      <c r="G1160" s="42">
        <f t="shared" si="18"/>
        <v>11020613.02</v>
      </c>
      <c r="H1160" s="2" t="str">
        <f>VLOOKUP(A1160,'TB JULY'!A:H,8,0)</f>
        <v>Add: Purchase of Stores, Spares &amp; Consumables</v>
      </c>
    </row>
    <row r="1161" spans="1:8">
      <c r="A1161" s="62" t="s">
        <v>770</v>
      </c>
      <c r="B1161" s="78"/>
      <c r="C1161" s="78">
        <v>42105650</v>
      </c>
      <c r="D1161" s="78"/>
      <c r="E1161" s="78">
        <v>42105650</v>
      </c>
      <c r="F1161" s="42">
        <v>0</v>
      </c>
      <c r="G1161" s="42">
        <f t="shared" si="18"/>
        <v>42105650</v>
      </c>
      <c r="H1161" s="2" t="str">
        <f>VLOOKUP(A1161,'TB JULY'!A:H,8,0)</f>
        <v>Add: Purchase of raw materials</v>
      </c>
    </row>
    <row r="1162" spans="1:8">
      <c r="A1162" s="62" t="s">
        <v>827</v>
      </c>
      <c r="B1162" s="78"/>
      <c r="C1162" s="78">
        <v>321127</v>
      </c>
      <c r="D1162" s="78"/>
      <c r="E1162" s="78">
        <v>321127</v>
      </c>
      <c r="F1162" s="42">
        <v>0</v>
      </c>
      <c r="G1162" s="42">
        <f t="shared" si="18"/>
        <v>321127</v>
      </c>
      <c r="H1162" s="2" t="str">
        <f>VLOOKUP(A1162,'TB JULY'!A:H,8,0)</f>
        <v>Conveyance, vehicle running and traveling expenses</v>
      </c>
    </row>
    <row r="1163" spans="1:8">
      <c r="A1163" s="62" t="s">
        <v>1305</v>
      </c>
      <c r="B1163" s="78"/>
      <c r="C1163" s="78">
        <v>361214</v>
      </c>
      <c r="D1163" s="78"/>
      <c r="E1163" s="78">
        <v>361214</v>
      </c>
      <c r="F1163" s="42">
        <v>0</v>
      </c>
      <c r="G1163" s="42">
        <f t="shared" si="18"/>
        <v>361214</v>
      </c>
      <c r="H1163" s="2" t="str">
        <f>VLOOKUP(A1163,'TB JULY'!A:H,8,0)</f>
        <v>Other Administrative Expenses</v>
      </c>
    </row>
    <row r="1164" spans="1:8">
      <c r="A1164" s="62" t="s">
        <v>1630</v>
      </c>
      <c r="B1164" s="78"/>
      <c r="C1164" s="78">
        <v>242600</v>
      </c>
      <c r="D1164" s="78"/>
      <c r="E1164" s="78">
        <v>242600</v>
      </c>
      <c r="F1164" s="42">
        <v>0</v>
      </c>
      <c r="G1164" s="42">
        <f t="shared" si="18"/>
        <v>242600</v>
      </c>
      <c r="H1164" s="2" t="str">
        <f>VLOOKUP(A1164,'TB JULY'!A:H,8,0)</f>
        <v>Other Administrative Expenses</v>
      </c>
    </row>
    <row r="1165" spans="1:8">
      <c r="A1165" s="62" t="s">
        <v>832</v>
      </c>
      <c r="B1165" s="78"/>
      <c r="C1165" s="78">
        <v>4536067</v>
      </c>
      <c r="D1165" s="78"/>
      <c r="E1165" s="78">
        <v>4536067</v>
      </c>
      <c r="F1165" s="42">
        <v>0</v>
      </c>
      <c r="G1165" s="42">
        <f t="shared" si="18"/>
        <v>4536067</v>
      </c>
      <c r="H1165" s="2" t="str">
        <f>VLOOKUP(A1165,'TB JULY'!A:H,8,0)</f>
        <v>Other Administrative Expenses</v>
      </c>
    </row>
    <row r="1166" spans="1:8">
      <c r="A1166" s="62" t="s">
        <v>816</v>
      </c>
      <c r="B1166" s="78"/>
      <c r="C1166" s="78">
        <v>2008560.2</v>
      </c>
      <c r="D1166" s="78"/>
      <c r="E1166" s="78">
        <v>2008560.2</v>
      </c>
      <c r="F1166" s="42">
        <v>310000</v>
      </c>
      <c r="G1166" s="42">
        <f t="shared" si="18"/>
        <v>2318560.2000000002</v>
      </c>
      <c r="H1166" s="2" t="str">
        <f>VLOOKUP(A1166,'TB JULY'!A:H,8,0)</f>
        <v>Other Manufacturing Expenses</v>
      </c>
    </row>
    <row r="1167" spans="1:8">
      <c r="A1167" s="62" t="s">
        <v>793</v>
      </c>
      <c r="B1167" s="78"/>
      <c r="C1167" s="78">
        <v>57582.04</v>
      </c>
      <c r="D1167" s="78"/>
      <c r="E1167" s="78">
        <v>57582.04</v>
      </c>
      <c r="F1167" s="42">
        <v>0</v>
      </c>
      <c r="G1167" s="42">
        <f t="shared" si="18"/>
        <v>57582.04</v>
      </c>
      <c r="H1167" s="2" t="str">
        <f>VLOOKUP(A1167,'TB JULY'!A:H,8,0)</f>
        <v>Insurance</v>
      </c>
    </row>
    <row r="1168" spans="1:8">
      <c r="A1168" s="62" t="s">
        <v>1306</v>
      </c>
      <c r="B1168" s="78"/>
      <c r="C1168" s="78">
        <v>4000</v>
      </c>
      <c r="D1168" s="78"/>
      <c r="E1168" s="78">
        <v>4000</v>
      </c>
      <c r="F1168" s="42">
        <v>0</v>
      </c>
      <c r="G1168" s="42">
        <f t="shared" si="18"/>
        <v>4000</v>
      </c>
      <c r="H1168" s="2" t="str">
        <f>VLOOKUP(A1168,'TB JULY'!A:H,8,0)</f>
        <v>Other Administrative Expenses</v>
      </c>
    </row>
    <row r="1169" spans="1:8">
      <c r="A1169" s="62" t="s">
        <v>805</v>
      </c>
      <c r="B1169" s="78"/>
      <c r="C1169" s="78">
        <v>716773.58</v>
      </c>
      <c r="D1169" s="78"/>
      <c r="E1169" s="78">
        <v>716773.58</v>
      </c>
      <c r="F1169" s="42">
        <v>0</v>
      </c>
      <c r="G1169" s="42">
        <f t="shared" si="18"/>
        <v>716773.58</v>
      </c>
      <c r="H1169" s="2" t="str">
        <f>VLOOKUP(A1169,'TB JULY'!A:H,8,0)</f>
        <v>Other Administrative Expenses</v>
      </c>
    </row>
    <row r="1170" spans="1:8">
      <c r="A1170" s="62" t="s">
        <v>776</v>
      </c>
      <c r="B1170" s="78"/>
      <c r="C1170" s="78">
        <v>19151.54</v>
      </c>
      <c r="D1170" s="78"/>
      <c r="E1170" s="78">
        <v>19151.54</v>
      </c>
      <c r="F1170" s="42">
        <v>0</v>
      </c>
      <c r="G1170" s="42">
        <f t="shared" si="18"/>
        <v>19151.54</v>
      </c>
      <c r="H1170" s="2" t="str">
        <f>VLOOKUP(A1170,'TB JULY'!A:H,8,0)</f>
        <v>Other Administrative Expenses</v>
      </c>
    </row>
    <row r="1171" spans="1:8">
      <c r="A1171" s="62" t="s">
        <v>783</v>
      </c>
      <c r="B1171" s="78"/>
      <c r="C1171" s="78">
        <v>11835</v>
      </c>
      <c r="D1171" s="78"/>
      <c r="E1171" s="78">
        <v>11835</v>
      </c>
      <c r="F1171" s="42">
        <v>0</v>
      </c>
      <c r="G1171" s="42">
        <f t="shared" si="18"/>
        <v>11835</v>
      </c>
      <c r="H1171" s="2" t="str">
        <f>VLOOKUP(A1171,'TB JULY'!A:H,8,0)</f>
        <v>Conveyance, vehicle running and traveling expenses</v>
      </c>
    </row>
    <row r="1172" spans="1:8">
      <c r="A1172" s="62" t="s">
        <v>784</v>
      </c>
      <c r="B1172" s="78"/>
      <c r="C1172" s="78">
        <v>17170.400000000001</v>
      </c>
      <c r="D1172" s="78"/>
      <c r="E1172" s="78">
        <v>17170.400000000001</v>
      </c>
      <c r="F1172" s="42">
        <v>0</v>
      </c>
      <c r="G1172" s="42">
        <f t="shared" si="18"/>
        <v>17170.400000000001</v>
      </c>
      <c r="H1172" s="2" t="str">
        <f>VLOOKUP(A1172,'TB JULY'!A:H,8,0)</f>
        <v>Other Administrative Expenses</v>
      </c>
    </row>
    <row r="1173" spans="1:8">
      <c r="A1173" s="62" t="s">
        <v>786</v>
      </c>
      <c r="B1173" s="78"/>
      <c r="C1173" s="78">
        <v>329808.96000000002</v>
      </c>
      <c r="D1173" s="78"/>
      <c r="E1173" s="78">
        <v>329808.96000000002</v>
      </c>
      <c r="F1173" s="42">
        <v>0</v>
      </c>
      <c r="G1173" s="42">
        <f t="shared" si="18"/>
        <v>329808.96000000002</v>
      </c>
      <c r="H1173" s="2" t="str">
        <f>VLOOKUP(A1173,'TB JULY'!A:H,8,0)</f>
        <v>Other Administrative Expenses</v>
      </c>
    </row>
    <row r="1174" spans="1:8">
      <c r="A1174" s="62" t="s">
        <v>763</v>
      </c>
      <c r="B1174" s="78"/>
      <c r="C1174" s="78">
        <v>18.32</v>
      </c>
      <c r="D1174" s="78">
        <v>12.23</v>
      </c>
      <c r="E1174" s="78">
        <v>6.09</v>
      </c>
      <c r="F1174" s="42">
        <v>0</v>
      </c>
      <c r="G1174" s="42">
        <f t="shared" si="18"/>
        <v>6.09</v>
      </c>
      <c r="H1174" s="2" t="str">
        <f>VLOOKUP(A1174,'TB JULY'!A:H,8,0)</f>
        <v>Not Applicable</v>
      </c>
    </row>
    <row r="1175" spans="1:8">
      <c r="A1175" s="62" t="s">
        <v>755</v>
      </c>
      <c r="B1175" s="78"/>
      <c r="C1175" s="78">
        <v>856128</v>
      </c>
      <c r="D1175" s="78"/>
      <c r="E1175" s="78">
        <v>856128</v>
      </c>
      <c r="F1175" s="42">
        <v>241548</v>
      </c>
      <c r="G1175" s="42">
        <f t="shared" si="18"/>
        <v>1097676</v>
      </c>
      <c r="H1175" s="2" t="str">
        <f>VLOOKUP(A1175,'TB JULY'!A:H,8,0)</f>
        <v>Other Administrative Expenses</v>
      </c>
    </row>
    <row r="1176" spans="1:8">
      <c r="A1176" s="62" t="s">
        <v>1007</v>
      </c>
      <c r="B1176" s="78"/>
      <c r="C1176" s="78">
        <v>750</v>
      </c>
      <c r="D1176" s="78"/>
      <c r="E1176" s="78">
        <v>750</v>
      </c>
      <c r="F1176" s="42">
        <v>0</v>
      </c>
      <c r="G1176" s="42">
        <f t="shared" si="18"/>
        <v>750</v>
      </c>
      <c r="H1176" s="2" t="str">
        <f>VLOOKUP(A1176,'TB JULY'!A:H,8,0)</f>
        <v>Other Administrative Expenses</v>
      </c>
    </row>
    <row r="1177" spans="1:8">
      <c r="A1177" s="62" t="s">
        <v>756</v>
      </c>
      <c r="B1177" s="78"/>
      <c r="C1177" s="78">
        <v>427951.02</v>
      </c>
      <c r="D1177" s="78"/>
      <c r="E1177" s="78">
        <v>427951.02</v>
      </c>
      <c r="F1177" s="42">
        <v>0</v>
      </c>
      <c r="G1177" s="42">
        <f t="shared" si="18"/>
        <v>427951.02</v>
      </c>
      <c r="H1177" s="2" t="str">
        <f>VLOOKUP(A1177,'TB JULY'!A:H,8,0)</f>
        <v>Other Administrative Expenses</v>
      </c>
    </row>
    <row r="1178" spans="1:8">
      <c r="A1178" s="62" t="s">
        <v>757</v>
      </c>
      <c r="B1178" s="78"/>
      <c r="C1178" s="78">
        <v>48360.2</v>
      </c>
      <c r="D1178" s="78"/>
      <c r="E1178" s="78">
        <v>48360.2</v>
      </c>
      <c r="F1178" s="42">
        <v>0</v>
      </c>
      <c r="G1178" s="42">
        <f t="shared" si="18"/>
        <v>48360.2</v>
      </c>
      <c r="H1178" s="2" t="str">
        <f>VLOOKUP(A1178,'TB JULY'!A:H,8,0)</f>
        <v>Other Administrative Expenses</v>
      </c>
    </row>
    <row r="1179" spans="1:8">
      <c r="A1179" s="62" t="s">
        <v>758</v>
      </c>
      <c r="B1179" s="78"/>
      <c r="C1179" s="78">
        <v>48374</v>
      </c>
      <c r="D1179" s="78"/>
      <c r="E1179" s="78">
        <v>48374</v>
      </c>
      <c r="F1179" s="42">
        <v>0</v>
      </c>
      <c r="G1179" s="42">
        <f t="shared" si="18"/>
        <v>48374</v>
      </c>
      <c r="H1179" s="2" t="str">
        <f>VLOOKUP(A1179,'TB JULY'!A:H,8,0)</f>
        <v>Other Administrative Expenses</v>
      </c>
    </row>
    <row r="1180" spans="1:8">
      <c r="A1180" s="62" t="s">
        <v>759</v>
      </c>
      <c r="B1180" s="78"/>
      <c r="C1180" s="78">
        <v>40566.839999999997</v>
      </c>
      <c r="D1180" s="78"/>
      <c r="E1180" s="78">
        <v>40566.839999999997</v>
      </c>
      <c r="F1180" s="42">
        <v>0</v>
      </c>
      <c r="G1180" s="42">
        <f t="shared" si="18"/>
        <v>40566.839999999997</v>
      </c>
      <c r="H1180" s="2" t="str">
        <f>VLOOKUP(A1180,'TB JULY'!A:H,8,0)</f>
        <v>Conveyance, vehicle running and traveling expenses</v>
      </c>
    </row>
    <row r="1181" spans="1:8">
      <c r="A1181" s="62" t="s">
        <v>760</v>
      </c>
      <c r="B1181" s="78"/>
      <c r="C1181" s="78">
        <v>166653.4</v>
      </c>
      <c r="D1181" s="78"/>
      <c r="E1181" s="78">
        <v>166653.4</v>
      </c>
      <c r="F1181" s="42">
        <v>0</v>
      </c>
      <c r="G1181" s="42">
        <f t="shared" si="18"/>
        <v>166653.4</v>
      </c>
      <c r="H1181" s="2" t="str">
        <f>VLOOKUP(A1181,'TB JULY'!A:H,8,0)</f>
        <v>Other Administrative Expenses</v>
      </c>
    </row>
    <row r="1182" spans="1:8">
      <c r="A1182" s="62" t="s">
        <v>790</v>
      </c>
      <c r="B1182" s="78"/>
      <c r="C1182" s="78">
        <v>880000</v>
      </c>
      <c r="D1182" s="78"/>
      <c r="E1182" s="78">
        <v>880000</v>
      </c>
      <c r="F1182" s="42">
        <v>0</v>
      </c>
      <c r="G1182" s="42">
        <f t="shared" si="18"/>
        <v>880000</v>
      </c>
      <c r="H1182" s="2" t="str">
        <f>VLOOKUP(A1182,'TB JULY'!A:H,8,0)</f>
        <v>Conveyance, vehicle running and traveling expenses</v>
      </c>
    </row>
    <row r="1183" spans="1:8">
      <c r="A1183" s="62" t="s">
        <v>874</v>
      </c>
      <c r="B1183" s="78"/>
      <c r="C1183" s="78">
        <v>1526000</v>
      </c>
      <c r="D1183" s="78"/>
      <c r="E1183" s="78">
        <v>1526000</v>
      </c>
      <c r="F1183" s="42">
        <v>0</v>
      </c>
      <c r="G1183" s="42">
        <f t="shared" si="18"/>
        <v>1526000</v>
      </c>
      <c r="H1183" s="2" t="str">
        <f>VLOOKUP(A1183,'TB JULY'!A:H,8,0)</f>
        <v>Conveyance, vehicle running and traveling expenses</v>
      </c>
    </row>
    <row r="1184" spans="1:8">
      <c r="A1184" s="62" t="s">
        <v>781</v>
      </c>
      <c r="B1184" s="78"/>
      <c r="C1184" s="78">
        <v>61324</v>
      </c>
      <c r="D1184" s="78"/>
      <c r="E1184" s="78">
        <v>61324</v>
      </c>
      <c r="F1184" s="42">
        <v>0</v>
      </c>
      <c r="G1184" s="42">
        <f t="shared" si="18"/>
        <v>61324</v>
      </c>
      <c r="H1184" s="2" t="str">
        <f>VLOOKUP(A1184,'TB JULY'!A:H,8,0)</f>
        <v>Contribution to provident and other funds</v>
      </c>
    </row>
    <row r="1185" spans="1:8">
      <c r="A1185" s="62" t="s">
        <v>782</v>
      </c>
      <c r="B1185" s="78"/>
      <c r="C1185" s="78">
        <v>1533144</v>
      </c>
      <c r="D1185" s="78"/>
      <c r="E1185" s="78">
        <v>1533144</v>
      </c>
      <c r="F1185" s="42">
        <v>0</v>
      </c>
      <c r="G1185" s="42">
        <f t="shared" si="18"/>
        <v>1533144</v>
      </c>
      <c r="H1185" s="2" t="str">
        <f>VLOOKUP(A1185,'TB JULY'!A:H,8,0)</f>
        <v>Contribution to provident and other funds</v>
      </c>
    </row>
    <row r="1186" spans="1:8">
      <c r="A1186" s="62" t="s">
        <v>842</v>
      </c>
      <c r="B1186" s="78"/>
      <c r="C1186" s="78">
        <v>175575</v>
      </c>
      <c r="D1186" s="78"/>
      <c r="E1186" s="78">
        <v>175575</v>
      </c>
      <c r="F1186" s="42">
        <v>0</v>
      </c>
      <c r="G1186" s="42">
        <f t="shared" si="18"/>
        <v>175575</v>
      </c>
      <c r="H1186" s="2" t="str">
        <f>VLOOKUP(A1186,'TB JULY'!A:H,8,0)</f>
        <v xml:space="preserve">Salaries, wages and  bonus </v>
      </c>
    </row>
    <row r="1187" spans="1:8">
      <c r="A1187" s="62" t="s">
        <v>843</v>
      </c>
      <c r="B1187" s="78"/>
      <c r="C1187" s="78">
        <v>4699464</v>
      </c>
      <c r="D1187" s="78"/>
      <c r="E1187" s="78">
        <v>4699464</v>
      </c>
      <c r="F1187" s="42">
        <v>0</v>
      </c>
      <c r="G1187" s="42">
        <f t="shared" si="18"/>
        <v>4699464</v>
      </c>
      <c r="H1187" s="2" t="str">
        <f>VLOOKUP(A1187,'TB JULY'!A:H,8,0)</f>
        <v xml:space="preserve">Salaries, wages and  bonus </v>
      </c>
    </row>
    <row r="1188" spans="1:8">
      <c r="A1188" s="62" t="s">
        <v>844</v>
      </c>
      <c r="B1188" s="78"/>
      <c r="C1188" s="78">
        <v>201034</v>
      </c>
      <c r="D1188" s="78"/>
      <c r="E1188" s="78">
        <v>201034</v>
      </c>
      <c r="F1188" s="42">
        <v>0</v>
      </c>
      <c r="G1188" s="42">
        <f t="shared" si="18"/>
        <v>201034</v>
      </c>
      <c r="H1188" s="2" t="str">
        <f>VLOOKUP(A1188,'TB JULY'!A:H,8,0)</f>
        <v xml:space="preserve">Salaries, wages and  bonus </v>
      </c>
    </row>
    <row r="1189" spans="1:8">
      <c r="A1189" s="62" t="s">
        <v>845</v>
      </c>
      <c r="B1189" s="78"/>
      <c r="C1189" s="78">
        <v>60000</v>
      </c>
      <c r="D1189" s="78"/>
      <c r="E1189" s="78">
        <v>60000</v>
      </c>
      <c r="F1189" s="42">
        <v>0</v>
      </c>
      <c r="G1189" s="42">
        <f t="shared" si="18"/>
        <v>60000</v>
      </c>
      <c r="H1189" s="2" t="str">
        <f>VLOOKUP(A1189,'TB JULY'!A:H,8,0)</f>
        <v xml:space="preserve">Salaries, wages and  bonus </v>
      </c>
    </row>
    <row r="1190" spans="1:8">
      <c r="A1190" s="62" t="s">
        <v>846</v>
      </c>
      <c r="B1190" s="78"/>
      <c r="C1190" s="78">
        <v>9024018</v>
      </c>
      <c r="D1190" s="78"/>
      <c r="E1190" s="78">
        <v>9024018</v>
      </c>
      <c r="F1190" s="42">
        <v>0</v>
      </c>
      <c r="G1190" s="42">
        <f t="shared" si="18"/>
        <v>9024018</v>
      </c>
      <c r="H1190" s="2" t="str">
        <f>VLOOKUP(A1190,'TB JULY'!A:H,8,0)</f>
        <v xml:space="preserve">Salaries, wages and  bonus </v>
      </c>
    </row>
    <row r="1191" spans="1:8">
      <c r="A1191" s="62" t="s">
        <v>847</v>
      </c>
      <c r="B1191" s="78"/>
      <c r="C1191" s="78">
        <v>518203</v>
      </c>
      <c r="D1191" s="78"/>
      <c r="E1191" s="78">
        <v>518203</v>
      </c>
      <c r="F1191" s="42">
        <v>0</v>
      </c>
      <c r="G1191" s="42">
        <f t="shared" si="18"/>
        <v>518203</v>
      </c>
      <c r="H1191" s="2" t="str">
        <f>VLOOKUP(A1191,'TB JULY'!A:H,8,0)</f>
        <v xml:space="preserve">Salaries, wages and  bonus </v>
      </c>
    </row>
    <row r="1192" spans="1:8">
      <c r="A1192" s="62" t="s">
        <v>848</v>
      </c>
      <c r="B1192" s="78"/>
      <c r="C1192" s="78">
        <v>125923</v>
      </c>
      <c r="D1192" s="78"/>
      <c r="E1192" s="78">
        <v>125923</v>
      </c>
      <c r="F1192" s="42">
        <v>0</v>
      </c>
      <c r="G1192" s="42">
        <f t="shared" si="18"/>
        <v>125923</v>
      </c>
      <c r="H1192" s="2" t="str">
        <f>VLOOKUP(A1192,'TB JULY'!A:H,8,0)</f>
        <v xml:space="preserve">Salaries, wages and  bonus </v>
      </c>
    </row>
    <row r="1193" spans="1:8">
      <c r="A1193" s="62" t="s">
        <v>849</v>
      </c>
      <c r="B1193" s="78"/>
      <c r="C1193" s="78">
        <v>374266</v>
      </c>
      <c r="D1193" s="78"/>
      <c r="E1193" s="78">
        <v>374266</v>
      </c>
      <c r="F1193" s="42">
        <v>0</v>
      </c>
      <c r="G1193" s="42">
        <f t="shared" si="18"/>
        <v>374266</v>
      </c>
      <c r="H1193" s="2" t="str">
        <f>VLOOKUP(A1193,'TB JULY'!A:H,8,0)</f>
        <v xml:space="preserve">Salaries, wages and  bonus </v>
      </c>
    </row>
    <row r="1194" spans="1:8">
      <c r="A1194" s="62" t="s">
        <v>850</v>
      </c>
      <c r="B1194" s="78"/>
      <c r="C1194" s="78">
        <v>2166913</v>
      </c>
      <c r="D1194" s="78"/>
      <c r="E1194" s="78">
        <v>2166913</v>
      </c>
      <c r="F1194" s="42">
        <v>0</v>
      </c>
      <c r="G1194" s="42">
        <f t="shared" si="18"/>
        <v>2166913</v>
      </c>
      <c r="H1194" s="2" t="str">
        <f>VLOOKUP(A1194,'TB JULY'!A:H,8,0)</f>
        <v xml:space="preserve">Salaries, wages and  bonus </v>
      </c>
    </row>
    <row r="1195" spans="1:8">
      <c r="A1195" s="62" t="s">
        <v>851</v>
      </c>
      <c r="B1195" s="78"/>
      <c r="C1195" s="78">
        <v>310675</v>
      </c>
      <c r="D1195" s="78"/>
      <c r="E1195" s="78">
        <v>310675</v>
      </c>
      <c r="F1195" s="42">
        <v>0</v>
      </c>
      <c r="G1195" s="42">
        <f t="shared" si="18"/>
        <v>310675</v>
      </c>
      <c r="H1195" s="2" t="str">
        <f>VLOOKUP(A1195,'TB JULY'!A:H,8,0)</f>
        <v xml:space="preserve">Salaries, wages and  bonus </v>
      </c>
    </row>
    <row r="1196" spans="1:8">
      <c r="A1196" s="62" t="s">
        <v>852</v>
      </c>
      <c r="B1196" s="78"/>
      <c r="C1196" s="78">
        <v>295245</v>
      </c>
      <c r="D1196" s="78"/>
      <c r="E1196" s="78">
        <v>295245</v>
      </c>
      <c r="F1196" s="42">
        <v>0</v>
      </c>
      <c r="G1196" s="42">
        <f t="shared" si="18"/>
        <v>295245</v>
      </c>
      <c r="H1196" s="2" t="str">
        <f>VLOOKUP(A1196,'TB JULY'!A:H,8,0)</f>
        <v xml:space="preserve">Salaries, wages and  bonus </v>
      </c>
    </row>
    <row r="1197" spans="1:8">
      <c r="A1197" s="62" t="s">
        <v>853</v>
      </c>
      <c r="B1197" s="78"/>
      <c r="C1197" s="78">
        <v>3141072</v>
      </c>
      <c r="D1197" s="78"/>
      <c r="E1197" s="78">
        <v>3141072</v>
      </c>
      <c r="F1197" s="42">
        <v>0</v>
      </c>
      <c r="G1197" s="42">
        <f t="shared" si="18"/>
        <v>3141072</v>
      </c>
      <c r="H1197" s="2" t="str">
        <f>VLOOKUP(A1197,'TB JULY'!A:H,8,0)</f>
        <v xml:space="preserve">Salaries, wages and  bonus </v>
      </c>
    </row>
    <row r="1198" spans="1:8">
      <c r="A1198" s="62" t="s">
        <v>839</v>
      </c>
      <c r="B1198" s="78"/>
      <c r="C1198" s="78">
        <v>318600</v>
      </c>
      <c r="D1198" s="78"/>
      <c r="E1198" s="78">
        <v>318600</v>
      </c>
      <c r="F1198" s="42">
        <v>0</v>
      </c>
      <c r="G1198" s="42">
        <f t="shared" si="18"/>
        <v>318600</v>
      </c>
      <c r="H1198" s="2" t="str">
        <f>VLOOKUP(A1198,'TB JULY'!A:H,8,0)</f>
        <v xml:space="preserve">Salaries, wages and  bonus </v>
      </c>
    </row>
    <row r="1199" spans="1:8">
      <c r="A1199" s="62" t="s">
        <v>840</v>
      </c>
      <c r="B1199" s="78"/>
      <c r="C1199" s="78">
        <v>32445</v>
      </c>
      <c r="D1199" s="78"/>
      <c r="E1199" s="78">
        <v>32445</v>
      </c>
      <c r="F1199" s="42">
        <v>0</v>
      </c>
      <c r="G1199" s="42">
        <f t="shared" si="18"/>
        <v>32445</v>
      </c>
      <c r="H1199" s="2" t="str">
        <f>VLOOKUP(A1199,'TB JULY'!A:H,8,0)</f>
        <v xml:space="preserve">Salaries, wages and  bonus </v>
      </c>
    </row>
    <row r="1200" spans="1:8">
      <c r="A1200" s="62" t="s">
        <v>817</v>
      </c>
      <c r="B1200" s="78"/>
      <c r="C1200" s="78">
        <v>4505721</v>
      </c>
      <c r="D1200" s="78"/>
      <c r="E1200" s="78">
        <v>4505721</v>
      </c>
      <c r="F1200" s="42">
        <v>0</v>
      </c>
      <c r="G1200" s="42">
        <f t="shared" si="18"/>
        <v>4505721</v>
      </c>
      <c r="H1200" s="2" t="str">
        <f>VLOOKUP(A1200,'TB JULY'!A:H,8,0)</f>
        <v xml:space="preserve">Salaries, wages and  bonus </v>
      </c>
    </row>
    <row r="1201" spans="1:8">
      <c r="A1201" s="62" t="s">
        <v>801</v>
      </c>
      <c r="B1201" s="78"/>
      <c r="C1201" s="78">
        <v>47020</v>
      </c>
      <c r="D1201" s="78"/>
      <c r="E1201" s="78">
        <v>47020</v>
      </c>
      <c r="F1201" s="42">
        <v>0</v>
      </c>
      <c r="G1201" s="42">
        <f t="shared" si="18"/>
        <v>47020</v>
      </c>
      <c r="H1201" s="2" t="str">
        <f>VLOOKUP(A1201,'TB JULY'!A:H,8,0)</f>
        <v xml:space="preserve">Salaries, wages and  bonus </v>
      </c>
    </row>
    <row r="1202" spans="1:8">
      <c r="A1202" s="62" t="s">
        <v>779</v>
      </c>
      <c r="B1202" s="78"/>
      <c r="C1202" s="78"/>
      <c r="D1202" s="78">
        <v>319030</v>
      </c>
      <c r="E1202" s="78">
        <v>-319030</v>
      </c>
      <c r="F1202" s="42">
        <v>0</v>
      </c>
      <c r="G1202" s="42">
        <f t="shared" si="18"/>
        <v>-319030</v>
      </c>
      <c r="H1202" s="2" t="str">
        <f>VLOOKUP(A1202,'TB JULY'!A:H,8,0)</f>
        <v xml:space="preserve">Salaries, wages and  bonus </v>
      </c>
    </row>
    <row r="1203" spans="1:8">
      <c r="A1203" s="62" t="s">
        <v>754</v>
      </c>
      <c r="B1203" s="78"/>
      <c r="C1203" s="78">
        <v>12644925</v>
      </c>
      <c r="D1203" s="78"/>
      <c r="E1203" s="78">
        <v>12644925</v>
      </c>
      <c r="F1203" s="42">
        <v>11769965</v>
      </c>
      <c r="G1203" s="42">
        <f t="shared" si="18"/>
        <v>24414890</v>
      </c>
      <c r="H1203" s="2" t="str">
        <f>VLOOKUP(A1203,'TB JULY'!A:H,8,0)</f>
        <v xml:space="preserve">Salaries, wages and  bonus </v>
      </c>
    </row>
    <row r="1204" spans="1:8">
      <c r="A1204" s="62" t="s">
        <v>787</v>
      </c>
      <c r="B1204" s="78"/>
      <c r="C1204" s="78">
        <v>85093</v>
      </c>
      <c r="D1204" s="78"/>
      <c r="E1204" s="78">
        <v>85093</v>
      </c>
      <c r="F1204" s="42">
        <v>0</v>
      </c>
      <c r="G1204" s="42">
        <f t="shared" si="18"/>
        <v>85093</v>
      </c>
      <c r="H1204" s="2" t="str">
        <f>VLOOKUP(A1204,'TB JULY'!A:H,8,0)</f>
        <v>Staff welfare expenses</v>
      </c>
    </row>
    <row r="1205" spans="1:8">
      <c r="A1205" s="62" t="s">
        <v>822</v>
      </c>
      <c r="B1205" s="78"/>
      <c r="C1205" s="78">
        <v>1531055.2</v>
      </c>
      <c r="D1205" s="78">
        <v>340960</v>
      </c>
      <c r="E1205" s="78">
        <v>1190095.2</v>
      </c>
      <c r="F1205" s="42">
        <v>0</v>
      </c>
      <c r="G1205" s="42">
        <f t="shared" si="18"/>
        <v>1190095.2</v>
      </c>
      <c r="H1205" s="2" t="str">
        <f>VLOOKUP(A1205,'TB JULY'!A:H,8,0)</f>
        <v>Staff welfare expenses</v>
      </c>
    </row>
    <row r="1206" spans="1:8">
      <c r="A1206" s="62" t="s">
        <v>1155</v>
      </c>
      <c r="B1206" s="78"/>
      <c r="C1206" s="78">
        <v>7920</v>
      </c>
      <c r="D1206" s="78"/>
      <c r="E1206" s="78">
        <v>7920</v>
      </c>
      <c r="F1206" s="42">
        <v>0</v>
      </c>
      <c r="G1206" s="42">
        <f t="shared" si="18"/>
        <v>7920</v>
      </c>
      <c r="H1206" s="2" t="str">
        <f>VLOOKUP(A1206,'TB JULY'!A:H,8,0)</f>
        <v xml:space="preserve">Salaries, wages and  bonus </v>
      </c>
    </row>
    <row r="1207" spans="1:8">
      <c r="A1207" s="62" t="s">
        <v>804</v>
      </c>
      <c r="B1207" s="78"/>
      <c r="C1207" s="78">
        <v>45061</v>
      </c>
      <c r="D1207" s="78"/>
      <c r="E1207" s="78">
        <v>45061</v>
      </c>
      <c r="F1207" s="42">
        <v>0</v>
      </c>
      <c r="G1207" s="42">
        <f t="shared" si="18"/>
        <v>45061</v>
      </c>
      <c r="H1207" s="2" t="str">
        <f>VLOOKUP(A1207,'TB JULY'!A:H,8,0)</f>
        <v>Staff welfare expenses</v>
      </c>
    </row>
    <row r="1208" spans="1:8">
      <c r="A1208" s="62" t="s">
        <v>835</v>
      </c>
      <c r="B1208" s="78"/>
      <c r="C1208" s="78">
        <v>268967.87</v>
      </c>
      <c r="D1208" s="78"/>
      <c r="E1208" s="78">
        <v>268967.87</v>
      </c>
      <c r="F1208" s="42">
        <v>0</v>
      </c>
      <c r="G1208" s="42">
        <f t="shared" si="18"/>
        <v>268967.87</v>
      </c>
      <c r="H1208" s="2" t="str">
        <f>VLOOKUP(A1208,'TB JULY'!A:H,8,0)</f>
        <v>Not Applicable</v>
      </c>
    </row>
    <row r="1209" spans="1:8">
      <c r="A1209" s="62" t="s">
        <v>838</v>
      </c>
      <c r="B1209" s="78"/>
      <c r="C1209" s="78">
        <v>200872.5</v>
      </c>
      <c r="D1209" s="78"/>
      <c r="E1209" s="78">
        <v>200872.5</v>
      </c>
      <c r="F1209" s="42">
        <v>0</v>
      </c>
      <c r="G1209" s="42">
        <f t="shared" si="18"/>
        <v>200872.5</v>
      </c>
      <c r="H1209" s="2" t="str">
        <f>VLOOKUP(A1209,'TB JULY'!A:H,8,0)</f>
        <v>Not Applicable</v>
      </c>
    </row>
    <row r="1210" spans="1:8">
      <c r="A1210" s="62" t="s">
        <v>831</v>
      </c>
      <c r="B1210" s="78"/>
      <c r="C1210" s="78">
        <v>92990.76</v>
      </c>
      <c r="D1210" s="78">
        <v>24191756</v>
      </c>
      <c r="E1210" s="78">
        <v>-24098765.239999998</v>
      </c>
      <c r="F1210" s="42">
        <v>0</v>
      </c>
      <c r="G1210" s="42">
        <f t="shared" si="18"/>
        <v>-24098765.239999998</v>
      </c>
      <c r="H1210" s="2" t="str">
        <f>VLOOKUP(A1210,'TB JULY'!A:H,8,0)</f>
        <v>Exchange Rate Difference</v>
      </c>
    </row>
    <row r="1211" spans="1:8">
      <c r="A1211" s="62" t="s">
        <v>798</v>
      </c>
      <c r="B1211" s="78"/>
      <c r="C1211" s="78">
        <v>132535.57999999999</v>
      </c>
      <c r="D1211" s="78">
        <v>4325</v>
      </c>
      <c r="E1211" s="78">
        <v>128210.58</v>
      </c>
      <c r="F1211" s="42">
        <v>0</v>
      </c>
      <c r="G1211" s="42">
        <f t="shared" si="18"/>
        <v>128210.58</v>
      </c>
      <c r="H1211" s="2" t="str">
        <f>VLOOKUP(A1211,'TB JULY'!A:H,8,0)</f>
        <v>Not Applicable</v>
      </c>
    </row>
    <row r="1212" spans="1:8">
      <c r="A1212" s="62" t="s">
        <v>807</v>
      </c>
      <c r="B1212" s="78"/>
      <c r="C1212" s="78">
        <v>1633147.9</v>
      </c>
      <c r="D1212" s="78">
        <v>1774.26</v>
      </c>
      <c r="E1212" s="78">
        <v>1631373.64</v>
      </c>
      <c r="F1212" s="42">
        <v>0</v>
      </c>
      <c r="G1212" s="42">
        <f t="shared" si="18"/>
        <v>1631373.64</v>
      </c>
      <c r="H1212" s="2" t="str">
        <f>VLOOKUP(A1212,'TB JULY'!A:H,8,0)</f>
        <v>Not Applicable</v>
      </c>
    </row>
    <row r="1213" spans="1:8">
      <c r="A1213" s="62" t="s">
        <v>796</v>
      </c>
      <c r="B1213" s="78"/>
      <c r="C1213" s="78">
        <v>2961732.72</v>
      </c>
      <c r="D1213" s="78">
        <v>1294143.1299999999</v>
      </c>
      <c r="E1213" s="78">
        <v>1667589.59</v>
      </c>
      <c r="F1213" s="42">
        <v>0</v>
      </c>
      <c r="G1213" s="42">
        <f t="shared" si="18"/>
        <v>1667589.59</v>
      </c>
      <c r="H1213" s="2" t="str">
        <f>VLOOKUP(A1213,'TB JULY'!A:H,8,0)</f>
        <v>Not Applicable</v>
      </c>
    </row>
    <row r="1214" spans="1:8">
      <c r="A1214" s="62" t="s">
        <v>797</v>
      </c>
      <c r="B1214" s="78"/>
      <c r="C1214" s="78">
        <v>235378.21</v>
      </c>
      <c r="D1214" s="78"/>
      <c r="E1214" s="78">
        <v>235378.21</v>
      </c>
      <c r="F1214" s="42">
        <v>0</v>
      </c>
      <c r="G1214" s="42">
        <f t="shared" si="18"/>
        <v>235378.21</v>
      </c>
      <c r="H1214" s="2" t="str">
        <f>VLOOKUP(A1214,'TB JULY'!A:H,8,0)</f>
        <v>Other Administrative Expenses</v>
      </c>
    </row>
    <row r="1215" spans="1:8">
      <c r="A1215" s="62" t="s">
        <v>1588</v>
      </c>
      <c r="B1215" s="78"/>
      <c r="C1215" s="78">
        <v>600</v>
      </c>
      <c r="D1215" s="78"/>
      <c r="E1215" s="78">
        <v>600</v>
      </c>
      <c r="F1215" s="42">
        <v>0</v>
      </c>
      <c r="G1215" s="42">
        <f t="shared" si="18"/>
        <v>600</v>
      </c>
      <c r="H1215" s="2" t="str">
        <f>VLOOKUP(A1215,'TB JULY'!A:H,8,0)</f>
        <v>Not Applicable</v>
      </c>
    </row>
    <row r="1216" spans="1:8">
      <c r="A1216" s="62" t="s">
        <v>788</v>
      </c>
      <c r="B1216" s="78"/>
      <c r="C1216" s="78">
        <v>63970</v>
      </c>
      <c r="D1216" s="78"/>
      <c r="E1216" s="78">
        <v>63970</v>
      </c>
      <c r="F1216" s="42">
        <v>0</v>
      </c>
      <c r="G1216" s="42">
        <f t="shared" si="18"/>
        <v>63970</v>
      </c>
      <c r="H1216" s="8" t="s">
        <v>72</v>
      </c>
    </row>
    <row r="1217" spans="1:8">
      <c r="A1217" s="62" t="s">
        <v>795</v>
      </c>
      <c r="B1217" s="78"/>
      <c r="C1217" s="78">
        <v>451727</v>
      </c>
      <c r="D1217" s="78"/>
      <c r="E1217" s="78">
        <v>451727</v>
      </c>
      <c r="F1217" s="42">
        <v>0</v>
      </c>
      <c r="G1217" s="42">
        <f t="shared" si="18"/>
        <v>451727</v>
      </c>
      <c r="H1217" s="2" t="str">
        <f>VLOOKUP(A1217,'TB JULY'!A:H,8,0)</f>
        <v>Insurance</v>
      </c>
    </row>
    <row r="1218" spans="1:8">
      <c r="A1218" s="62" t="s">
        <v>802</v>
      </c>
      <c r="B1218" s="78"/>
      <c r="C1218" s="78">
        <v>2200</v>
      </c>
      <c r="D1218" s="78"/>
      <c r="E1218" s="78">
        <v>2200</v>
      </c>
      <c r="F1218" s="42">
        <v>0</v>
      </c>
      <c r="G1218" s="42">
        <f t="shared" si="18"/>
        <v>2200</v>
      </c>
      <c r="H1218" s="2" t="str">
        <f>VLOOKUP(A1218,'TB JULY'!A:H,8,0)</f>
        <v>Other Administrative Expenses</v>
      </c>
    </row>
    <row r="1219" spans="1:8">
      <c r="A1219" s="62" t="s">
        <v>775</v>
      </c>
      <c r="B1219" s="78"/>
      <c r="C1219" s="78">
        <v>339496.7</v>
      </c>
      <c r="D1219" s="78"/>
      <c r="E1219" s="78">
        <v>339496.7</v>
      </c>
      <c r="F1219" s="42">
        <v>0</v>
      </c>
      <c r="G1219" s="42">
        <f t="shared" si="18"/>
        <v>339496.7</v>
      </c>
      <c r="H1219" s="2" t="str">
        <f>VLOOKUP(A1219,'TB JULY'!A:H,8,0)</f>
        <v>Other Administrative Expenses</v>
      </c>
    </row>
    <row r="1220" spans="1:8">
      <c r="A1220" s="62" t="s">
        <v>834</v>
      </c>
      <c r="B1220" s="78"/>
      <c r="C1220" s="78">
        <v>6076.74</v>
      </c>
      <c r="D1220" s="78">
        <v>204507</v>
      </c>
      <c r="E1220" s="78">
        <v>-198430.26</v>
      </c>
      <c r="F1220" s="42">
        <v>0</v>
      </c>
      <c r="G1220" s="42">
        <f t="shared" si="18"/>
        <v>-198430.26</v>
      </c>
      <c r="H1220" s="2" t="str">
        <f>VLOOKUP(A1220,'TB JULY'!A:H,8,0)</f>
        <v>Other Administrative Expenses</v>
      </c>
    </row>
    <row r="1221" spans="1:8">
      <c r="A1221" s="62" t="s">
        <v>824</v>
      </c>
      <c r="B1221" s="78"/>
      <c r="C1221" s="78">
        <v>3092217.05</v>
      </c>
      <c r="D1221" s="78">
        <v>1062</v>
      </c>
      <c r="E1221" s="78">
        <v>3091155.05</v>
      </c>
      <c r="F1221" s="42">
        <v>0</v>
      </c>
      <c r="G1221" s="42">
        <f t="shared" si="18"/>
        <v>3091155.05</v>
      </c>
      <c r="H1221" s="2" t="str">
        <f>VLOOKUP(A1221,'TB JULY'!A:H,8,0)</f>
        <v>Freight Outward and C &amp; F Charges</v>
      </c>
    </row>
    <row r="1222" spans="1:8">
      <c r="A1222" s="62" t="s">
        <v>1079</v>
      </c>
      <c r="B1222" s="78"/>
      <c r="C1222" s="78">
        <v>46999.5</v>
      </c>
      <c r="D1222" s="78"/>
      <c r="E1222" s="78">
        <v>46999.5</v>
      </c>
      <c r="F1222" s="42">
        <v>0</v>
      </c>
      <c r="G1222" s="42">
        <f t="shared" si="18"/>
        <v>46999.5</v>
      </c>
      <c r="H1222" s="2" t="str">
        <f>VLOOKUP(A1222,'TB JULY'!A:H,8,0)</f>
        <v>Freight Outward and C &amp; F Charges</v>
      </c>
    </row>
    <row r="1223" spans="1:8">
      <c r="A1223" s="62" t="s">
        <v>829</v>
      </c>
      <c r="B1223" s="78"/>
      <c r="C1223" s="78">
        <v>4115529.46</v>
      </c>
      <c r="D1223" s="78">
        <v>10.53</v>
      </c>
      <c r="E1223" s="78">
        <v>4115518.93</v>
      </c>
      <c r="F1223" s="42">
        <v>0</v>
      </c>
      <c r="G1223" s="42">
        <f t="shared" ref="G1223:G1232" si="19">E1223+F1223</f>
        <v>4115518.93</v>
      </c>
      <c r="H1223" s="2" t="str">
        <f>VLOOKUP(A1223,'TB JULY'!A:H,8,0)</f>
        <v>Sale of finished goods</v>
      </c>
    </row>
    <row r="1224" spans="1:8">
      <c r="A1224" s="62" t="s">
        <v>933</v>
      </c>
      <c r="B1224" s="78"/>
      <c r="C1224" s="78">
        <v>31229.200000000001</v>
      </c>
      <c r="D1224" s="78">
        <v>13216</v>
      </c>
      <c r="E1224" s="78">
        <v>18013.2</v>
      </c>
      <c r="F1224" s="42">
        <v>0</v>
      </c>
      <c r="G1224" s="42">
        <f t="shared" si="19"/>
        <v>18013.2</v>
      </c>
      <c r="H1224" s="2" t="str">
        <f>VLOOKUP(A1224,'TB JULY'!A:H,8,0)</f>
        <v>Other Administrative Expenses</v>
      </c>
    </row>
    <row r="1225" spans="1:8">
      <c r="A1225" s="62" t="s">
        <v>810</v>
      </c>
      <c r="B1225" s="78"/>
      <c r="C1225" s="78">
        <v>300415.5</v>
      </c>
      <c r="D1225" s="78">
        <v>13033332.83</v>
      </c>
      <c r="E1225" s="78">
        <v>-12732917.33</v>
      </c>
      <c r="F1225" s="42">
        <v>0</v>
      </c>
      <c r="G1225" s="42">
        <f t="shared" si="19"/>
        <v>-12732917.33</v>
      </c>
      <c r="H1225" s="2" t="str">
        <f>VLOOKUP(A1225,'TB JULY'!A:H,8,0)</f>
        <v>Freight Outward and C &amp; F Charges</v>
      </c>
    </row>
    <row r="1226" spans="1:8">
      <c r="A1226" s="62" t="s">
        <v>811</v>
      </c>
      <c r="B1226" s="78"/>
      <c r="C1226" s="78">
        <v>12910</v>
      </c>
      <c r="D1226" s="78"/>
      <c r="E1226" s="78">
        <v>12910</v>
      </c>
      <c r="F1226" s="42">
        <v>0</v>
      </c>
      <c r="G1226" s="42">
        <f t="shared" si="19"/>
        <v>12910</v>
      </c>
      <c r="H1226" s="2" t="str">
        <f>VLOOKUP(A1226,'TB JULY'!A:H,8,0)</f>
        <v>Freight Outward and C &amp; F Charges</v>
      </c>
    </row>
    <row r="1227" spans="1:8">
      <c r="A1227" s="62" t="s">
        <v>812</v>
      </c>
      <c r="B1227" s="78"/>
      <c r="C1227" s="78">
        <v>12215665.93</v>
      </c>
      <c r="D1227" s="78">
        <v>86761</v>
      </c>
      <c r="E1227" s="78">
        <v>12128904.93</v>
      </c>
      <c r="F1227" s="42">
        <v>1000000</v>
      </c>
      <c r="G1227" s="42">
        <f t="shared" si="19"/>
        <v>13128904.93</v>
      </c>
      <c r="H1227" s="2" t="str">
        <f>VLOOKUP(A1227,'TB JULY'!A:H,8,0)</f>
        <v>Freight Outward and C &amp; F Charges</v>
      </c>
    </row>
    <row r="1228" spans="1:8">
      <c r="A1228" s="62" t="s">
        <v>813</v>
      </c>
      <c r="B1228" s="78"/>
      <c r="C1228" s="78">
        <v>2045100</v>
      </c>
      <c r="D1228" s="78">
        <v>114000</v>
      </c>
      <c r="E1228" s="78">
        <v>1931100</v>
      </c>
      <c r="F1228" s="42">
        <v>0</v>
      </c>
      <c r="G1228" s="42">
        <f t="shared" si="19"/>
        <v>1931100</v>
      </c>
      <c r="H1228" s="2" t="str">
        <f>VLOOKUP(A1228,'TB JULY'!A:H,8,0)</f>
        <v>Freight Outward and C &amp; F Charges</v>
      </c>
    </row>
    <row r="1229" spans="1:8">
      <c r="A1229" s="62" t="s">
        <v>814</v>
      </c>
      <c r="B1229" s="78"/>
      <c r="C1229" s="78">
        <v>42900</v>
      </c>
      <c r="D1229" s="78"/>
      <c r="E1229" s="78">
        <v>42900</v>
      </c>
      <c r="F1229" s="42">
        <v>0</v>
      </c>
      <c r="G1229" s="42">
        <f t="shared" si="19"/>
        <v>42900</v>
      </c>
      <c r="H1229" s="2" t="str">
        <f>VLOOKUP(A1229,'TB JULY'!A:H,8,0)</f>
        <v>Other Administrative Expenses</v>
      </c>
    </row>
    <row r="1230" spans="1:8">
      <c r="A1230" s="62" t="s">
        <v>1541</v>
      </c>
      <c r="B1230" s="78"/>
      <c r="C1230" s="78">
        <v>167909.91</v>
      </c>
      <c r="D1230" s="78"/>
      <c r="E1230" s="78">
        <v>167909.91</v>
      </c>
      <c r="F1230" s="42">
        <v>0</v>
      </c>
      <c r="G1230" s="42">
        <f t="shared" si="19"/>
        <v>167909.91</v>
      </c>
      <c r="H1230" s="2" t="str">
        <f>VLOOKUP(A1230,'TB JULY'!A:H,8,0)</f>
        <v>Other Administrative Expenses</v>
      </c>
    </row>
    <row r="1231" spans="1:8">
      <c r="A1231" s="62" t="s">
        <v>794</v>
      </c>
      <c r="B1231" s="78"/>
      <c r="C1231" s="78"/>
      <c r="D1231" s="78">
        <v>49583.03</v>
      </c>
      <c r="E1231" s="78">
        <v>-49583.03</v>
      </c>
      <c r="F1231" s="42">
        <v>0</v>
      </c>
      <c r="G1231" s="42">
        <f t="shared" si="19"/>
        <v>-49583.03</v>
      </c>
      <c r="H1231" s="2" t="str">
        <f>VLOOKUP(A1231,'TB JULY'!A:H,8,0)</f>
        <v>Insurance</v>
      </c>
    </row>
    <row r="1232" spans="1:8">
      <c r="A1232" s="62" t="s">
        <v>854</v>
      </c>
      <c r="B1232" s="78">
        <v>-737698452.02999997</v>
      </c>
      <c r="C1232" s="78"/>
      <c r="D1232" s="78">
        <v>0.12</v>
      </c>
      <c r="E1232" s="78">
        <v>-737698452.14999998</v>
      </c>
      <c r="F1232" s="42">
        <v>0</v>
      </c>
      <c r="G1232" s="42">
        <f t="shared" si="19"/>
        <v>-737698452.14999998</v>
      </c>
      <c r="H1232" s="2" t="str">
        <f>VLOOKUP(A1232,'TB JULY'!A:H,8,0)</f>
        <v>Not Applicable</v>
      </c>
    </row>
    <row r="1233" spans="1:8">
      <c r="A1233" s="79" t="s">
        <v>1495</v>
      </c>
      <c r="B1233" s="96">
        <f>SUBTOTAL(9,B6:B1232)</f>
        <v>1.0728836059570313E-6</v>
      </c>
      <c r="C1233" s="96">
        <f t="shared" ref="C1233:G1233" si="20">SUBTOTAL(9,C6:C1232)</f>
        <v>3236630680.1999998</v>
      </c>
      <c r="D1233" s="96">
        <f t="shared" si="20"/>
        <v>3236630680.2000027</v>
      </c>
      <c r="E1233" s="96">
        <f t="shared" si="20"/>
        <v>1.9073486328125E-6</v>
      </c>
      <c r="F1233" s="96">
        <f t="shared" si="20"/>
        <v>26107479</v>
      </c>
      <c r="G1233" s="96">
        <f t="shared" si="20"/>
        <v>26107479.000001907</v>
      </c>
      <c r="H1233" s="2"/>
    </row>
  </sheetData>
  <mergeCells count="2"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EBIDTA</vt:lpstr>
      <vt:lpstr>Stock Sheet</vt:lpstr>
      <vt:lpstr>MASTER 26 27</vt:lpstr>
      <vt:lpstr>TB April</vt:lpstr>
      <vt:lpstr>TB MAy</vt:lpstr>
      <vt:lpstr>TB JUNE</vt:lpstr>
      <vt:lpstr>TB JULY</vt:lpstr>
      <vt:lpstr>TB AUG</vt:lpstr>
      <vt:lpstr>EBIDTA!Print_Area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admin</cp:lastModifiedBy>
  <cp:lastPrinted>2024-09-18T08:58:01Z</cp:lastPrinted>
  <dcterms:created xsi:type="dcterms:W3CDTF">2023-12-09T11:19:00Z</dcterms:created>
  <dcterms:modified xsi:type="dcterms:W3CDTF">2026-09-09T05:42:46Z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C529DB684D0943819D53C9716DF32E55_12</vt:lpwstr>
  </property>
  <property fmtid="{D5CDD505-2E9C-101B-9397-08002B2CF9AE}" pid="3" name="KSOProductBuildVer">
    <vt:lpwstr>1033-12.2.0.13359</vt:lpwstr>
  </property>
</Properties>
</file>