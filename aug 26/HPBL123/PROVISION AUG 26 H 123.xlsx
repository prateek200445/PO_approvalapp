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CP\Downloads\"/>
    </mc:Choice>
  </mc:AlternateContent>
  <bookViews>
    <workbookView xWindow="0" yWindow="0" windowWidth="1536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B24" i="1" s="1"/>
  <c r="O23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G5" i="1"/>
  <c r="H5" i="1" s="1"/>
  <c r="F5" i="1"/>
  <c r="B5" i="1"/>
  <c r="B4" i="1"/>
  <c r="B3" i="1"/>
  <c r="B2" i="1"/>
  <c r="J6" i="1" l="1"/>
  <c r="I5" i="1"/>
  <c r="J5" i="1" s="1"/>
</calcChain>
</file>

<file path=xl/sharedStrings.xml><?xml version="1.0" encoding="utf-8"?>
<sst xmlns="http://schemas.openxmlformats.org/spreadsheetml/2006/main" count="58" uniqueCount="57">
  <si>
    <t>Particular</t>
  </si>
  <si>
    <t>unit-1</t>
  </si>
  <si>
    <t>unit-2</t>
  </si>
  <si>
    <t xml:space="preserve"> </t>
  </si>
  <si>
    <t>Weaving Contractor APPROX</t>
  </si>
  <si>
    <t>Internal Transportation Expense / Reimbursement</t>
  </si>
  <si>
    <t>Freight Inward Expense (RCM)</t>
  </si>
  <si>
    <t>* Fortune</t>
  </si>
  <si>
    <t>Loading &amp; Unloading Expense</t>
  </si>
  <si>
    <t>Units</t>
  </si>
  <si>
    <t>Base</t>
  </si>
  <si>
    <t>Ele Duty</t>
  </si>
  <si>
    <t>Toal Rate</t>
  </si>
  <si>
    <t xml:space="preserve">15.05.24 </t>
  </si>
  <si>
    <t>Total Units</t>
  </si>
  <si>
    <t>Power Expense</t>
  </si>
  <si>
    <t>CONTRACTORS</t>
  </si>
  <si>
    <t>Petrol &amp; Diesel Expense - Other Vehicles</t>
  </si>
  <si>
    <t>Label Units</t>
  </si>
  <si>
    <t>SR.</t>
  </si>
  <si>
    <t>NAME</t>
  </si>
  <si>
    <t>AMOUNT</t>
  </si>
  <si>
    <t>Postage &amp; Courier Expense</t>
  </si>
  <si>
    <t>SRADDHA ENTERPRISE</t>
  </si>
  <si>
    <t>Printing &amp; Stationery Expense</t>
  </si>
  <si>
    <t>P K ENTERPRISE</t>
  </si>
  <si>
    <t>Security Expenses</t>
  </si>
  <si>
    <t>JAY ENTERPRISE -1</t>
  </si>
  <si>
    <t>Repairs &amp; Maintenance Exp - Plant &amp; Machinery</t>
  </si>
  <si>
    <t>JAY ENTERPRISE -2</t>
  </si>
  <si>
    <t>P.F. Contribution - Employer</t>
  </si>
  <si>
    <t>SANTOSH KUMAR KHARWAR</t>
  </si>
  <si>
    <t>Employers Contribution to ESI</t>
  </si>
  <si>
    <t>SHREE BALAJI ENTETPRISE</t>
  </si>
  <si>
    <t>Salaries Expense</t>
  </si>
  <si>
    <t>SHREE BALAJI ENTETPRISE L &amp; U</t>
  </si>
  <si>
    <t>Staff Welfare Expense</t>
  </si>
  <si>
    <t>SIDDHI SECURITY FORCE</t>
  </si>
  <si>
    <t>Canteen Expense - Factory</t>
  </si>
  <si>
    <t>SIDDHI SECURITY FORCE UNIT-3</t>
  </si>
  <si>
    <t>Conveyance Expense</t>
  </si>
  <si>
    <t>SUDARSHAN SUKHLA</t>
  </si>
  <si>
    <t>Medical Expense</t>
  </si>
  <si>
    <t>JASWANT SINGH</t>
  </si>
  <si>
    <t>Testing Charges</t>
  </si>
  <si>
    <t>Rathod Sohanbhai Dhanajibhai</t>
  </si>
  <si>
    <t>Professional &amp; Consultancy Fees</t>
  </si>
  <si>
    <t>ADINATH CONSULTANCY</t>
  </si>
  <si>
    <t>Freight Outward Expense (RCM)</t>
  </si>
  <si>
    <t>P R ENTERPRISE</t>
  </si>
  <si>
    <t>Freight Outward Expense (With GST)</t>
  </si>
  <si>
    <t>Shree shyam Enterprise</t>
  </si>
  <si>
    <t>Jobwork Charges</t>
  </si>
  <si>
    <t>RAJNISH KUMAR FINISHING WORKS</t>
  </si>
  <si>
    <t>Labour Charges</t>
  </si>
  <si>
    <t>TOTAL</t>
  </si>
  <si>
    <t>HCP PLASTENE BULKPACK LIMITED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</si>
</sst>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2" borderId="1" xfId="2" applyFont="1" applyFill="1" applyBorder="1" applyAlignment="1">
      <alignment horizontal="center" vertical="center"/>
    </xf>
    <xf numFmtId="164" fontId="0" fillId="0" borderId="0" xfId="1" applyNumberFormat="1" applyFont="1" applyAlignment="1"/>
    <xf numFmtId="43" fontId="0" fillId="0" borderId="0" xfId="1" applyFont="1" applyAlignment="1"/>
    <xf numFmtId="0" fontId="0" fillId="3" borderId="0" xfId="0" applyFill="1"/>
    <xf numFmtId="0" fontId="2" fillId="2" borderId="1" xfId="2" applyFont="1" applyFill="1" applyBorder="1" applyAlignment="1">
      <alignment vertical="center"/>
    </xf>
    <xf numFmtId="0" fontId="1" fillId="2" borderId="1" xfId="2" applyFill="1" applyBorder="1"/>
    <xf numFmtId="164" fontId="4" fillId="0" borderId="1" xfId="1" applyNumberFormat="1" applyFont="1" applyFill="1" applyBorder="1" applyAlignment="1">
      <alignment horizontal="center" vertical="center"/>
    </xf>
    <xf numFmtId="0" fontId="1" fillId="2" borderId="1" xfId="2" applyFill="1" applyBorder="1" applyAlignment="1">
      <alignment vertical="center"/>
    </xf>
    <xf numFmtId="0" fontId="0" fillId="2" borderId="1" xfId="2" applyFont="1" applyFill="1" applyBorder="1"/>
    <xf numFmtId="164" fontId="0" fillId="2" borderId="1" xfId="1" applyNumberFormat="1" applyFont="1" applyFill="1" applyBorder="1" applyAlignment="1">
      <alignment vertical="center"/>
    </xf>
    <xf numFmtId="0" fontId="2" fillId="2" borderId="1" xfId="2" applyFont="1" applyFill="1" applyBorder="1"/>
    <xf numFmtId="164" fontId="2" fillId="0" borderId="1" xfId="0" applyNumberFormat="1" applyFont="1" applyBorder="1"/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D15" sqref="D15"/>
    </sheetView>
  </sheetViews>
  <sheetFormatPr defaultColWidth="10.42578125" defaultRowHeight="15" x14ac:dyDescent="0.25"/>
  <cols>
    <col min="1" max="1" width="47" bestFit="1" customWidth="1"/>
    <col min="2" max="3" width="11.5703125" bestFit="1" customWidth="1"/>
    <col min="4" max="4" width="9.85546875" bestFit="1" customWidth="1"/>
    <col min="5" max="5" width="9.140625" customWidth="1"/>
    <col min="6" max="6" width="9.85546875" bestFit="1" customWidth="1"/>
    <col min="7" max="7" width="6.42578125" bestFit="1" customWidth="1"/>
    <col min="8" max="8" width="8.42578125" bestFit="1" customWidth="1"/>
    <col min="9" max="10" width="9.42578125" bestFit="1" customWidth="1"/>
    <col min="11" max="11" width="11.5703125" bestFit="1" customWidth="1"/>
    <col min="13" max="13" width="4.140625" bestFit="1" customWidth="1"/>
    <col min="14" max="14" width="33.85546875" bestFit="1" customWidth="1"/>
    <col min="15" max="15" width="11.85546875" bestFit="1" customWidth="1"/>
  </cols>
  <sheetData>
    <row r="1" spans="1:15" x14ac:dyDescent="0.25">
      <c r="A1" s="1" t="s">
        <v>0</v>
      </c>
      <c r="B1" s="2">
        <v>46235</v>
      </c>
      <c r="C1" s="2" t="s">
        <v>1</v>
      </c>
      <c r="D1" s="2" t="s">
        <v>2</v>
      </c>
      <c r="E1" s="3"/>
      <c r="F1" s="4" t="s">
        <v>3</v>
      </c>
      <c r="N1" s="5" t="s">
        <v>4</v>
      </c>
    </row>
    <row r="2" spans="1:15" x14ac:dyDescent="0.25">
      <c r="A2" s="6" t="s">
        <v>5</v>
      </c>
      <c r="B2" s="7">
        <f>SUM(C2+D2)</f>
        <v>27889</v>
      </c>
      <c r="C2" s="7">
        <v>22889</v>
      </c>
      <c r="D2" s="7">
        <v>5000</v>
      </c>
      <c r="E2" s="8"/>
    </row>
    <row r="3" spans="1:15" x14ac:dyDescent="0.25">
      <c r="A3" s="6" t="s">
        <v>6</v>
      </c>
      <c r="B3" s="7">
        <f t="shared" ref="B3:B23" si="0">SUM(C3+D3)</f>
        <v>63783</v>
      </c>
      <c r="C3" s="7">
        <v>63783</v>
      </c>
      <c r="D3" s="7">
        <v>0</v>
      </c>
      <c r="E3" s="8"/>
      <c r="F3" s="9" t="s">
        <v>7</v>
      </c>
      <c r="M3" s="10"/>
      <c r="N3" s="10"/>
      <c r="O3" s="10"/>
    </row>
    <row r="4" spans="1:15" x14ac:dyDescent="0.25">
      <c r="A4" s="6" t="s">
        <v>8</v>
      </c>
      <c r="B4" s="7">
        <f t="shared" si="0"/>
        <v>3940</v>
      </c>
      <c r="C4" s="7">
        <v>3940</v>
      </c>
      <c r="D4" s="7">
        <v>0</v>
      </c>
      <c r="E4" s="8"/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M4" s="11" t="s">
        <v>56</v>
      </c>
      <c r="N4" s="11"/>
      <c r="O4" s="11"/>
    </row>
    <row r="5" spans="1:15" x14ac:dyDescent="0.25">
      <c r="A5" s="6" t="s">
        <v>15</v>
      </c>
      <c r="B5" s="7">
        <f t="shared" si="0"/>
        <v>9235435</v>
      </c>
      <c r="C5" s="7">
        <v>9235435</v>
      </c>
      <c r="D5" s="7">
        <v>0</v>
      </c>
      <c r="E5" s="8"/>
      <c r="F5" s="12">
        <f>+K5</f>
        <v>0</v>
      </c>
      <c r="G5" s="13">
        <f>3482732.88/433575</f>
        <v>8.0325961598339379</v>
      </c>
      <c r="H5" s="13">
        <f>+G5*0.15</f>
        <v>1.2048894239750907</v>
      </c>
      <c r="I5" s="13">
        <f>+G5+H5</f>
        <v>9.2374855838090291</v>
      </c>
      <c r="J5" s="12">
        <f>+I5*K5</f>
        <v>0</v>
      </c>
      <c r="K5" s="14"/>
      <c r="M5" s="11" t="s">
        <v>16</v>
      </c>
      <c r="N5" s="11"/>
      <c r="O5" s="11"/>
    </row>
    <row r="6" spans="1:15" x14ac:dyDescent="0.25">
      <c r="A6" s="6" t="s">
        <v>17</v>
      </c>
      <c r="B6" s="7">
        <f t="shared" si="0"/>
        <v>0</v>
      </c>
      <c r="C6" s="7">
        <v>0</v>
      </c>
      <c r="D6" s="7">
        <v>0</v>
      </c>
      <c r="E6" s="8"/>
      <c r="J6" s="12" t="e">
        <f>+(F5-#REF!)*I5</f>
        <v>#REF!</v>
      </c>
      <c r="K6" s="9" t="s">
        <v>18</v>
      </c>
      <c r="M6" s="15" t="s">
        <v>19</v>
      </c>
      <c r="N6" s="15" t="s">
        <v>20</v>
      </c>
      <c r="O6" s="15" t="s">
        <v>21</v>
      </c>
    </row>
    <row r="7" spans="1:15" x14ac:dyDescent="0.25">
      <c r="A7" s="6" t="s">
        <v>22</v>
      </c>
      <c r="B7" s="7">
        <f t="shared" si="0"/>
        <v>10038</v>
      </c>
      <c r="C7" s="7">
        <v>5373</v>
      </c>
      <c r="D7" s="7">
        <v>4665</v>
      </c>
      <c r="E7" s="8"/>
      <c r="M7" s="16">
        <v>1</v>
      </c>
      <c r="N7" s="16" t="s">
        <v>23</v>
      </c>
      <c r="O7" s="17">
        <v>380000</v>
      </c>
    </row>
    <row r="8" spans="1:15" x14ac:dyDescent="0.25">
      <c r="A8" s="6" t="s">
        <v>24</v>
      </c>
      <c r="B8" s="7">
        <f t="shared" si="0"/>
        <v>9018</v>
      </c>
      <c r="C8" s="7">
        <v>9018</v>
      </c>
      <c r="D8" s="7">
        <v>0</v>
      </c>
      <c r="E8" s="8"/>
      <c r="M8" s="18">
        <v>2</v>
      </c>
      <c r="N8" s="19" t="s">
        <v>25</v>
      </c>
      <c r="O8" s="17">
        <v>450000</v>
      </c>
    </row>
    <row r="9" spans="1:15" x14ac:dyDescent="0.25">
      <c r="A9" s="6" t="s">
        <v>26</v>
      </c>
      <c r="B9" s="7">
        <f t="shared" si="0"/>
        <v>124000</v>
      </c>
      <c r="C9" s="7">
        <v>124000</v>
      </c>
      <c r="D9" s="7">
        <v>0</v>
      </c>
      <c r="E9" s="8"/>
      <c r="M9" s="16">
        <v>3</v>
      </c>
      <c r="N9" s="16" t="s">
        <v>27</v>
      </c>
      <c r="O9" s="17">
        <v>700000</v>
      </c>
    </row>
    <row r="10" spans="1:15" x14ac:dyDescent="0.25">
      <c r="A10" s="6" t="s">
        <v>28</v>
      </c>
      <c r="B10" s="7">
        <f t="shared" si="0"/>
        <v>121726</v>
      </c>
      <c r="C10" s="7">
        <v>121726</v>
      </c>
      <c r="D10" s="7">
        <v>0</v>
      </c>
      <c r="E10" s="8"/>
      <c r="M10" s="18">
        <v>4</v>
      </c>
      <c r="N10" s="16" t="s">
        <v>29</v>
      </c>
      <c r="O10" s="17">
        <v>50000</v>
      </c>
    </row>
    <row r="11" spans="1:15" x14ac:dyDescent="0.25">
      <c r="A11" s="6" t="s">
        <v>30</v>
      </c>
      <c r="B11" s="7">
        <f t="shared" si="0"/>
        <v>213575</v>
      </c>
      <c r="C11" s="7">
        <v>207488</v>
      </c>
      <c r="D11" s="7">
        <v>6087</v>
      </c>
      <c r="E11" s="8"/>
      <c r="F11" s="4"/>
      <c r="M11" s="16">
        <v>5</v>
      </c>
      <c r="N11" s="19" t="s">
        <v>31</v>
      </c>
      <c r="O11" s="17">
        <v>0</v>
      </c>
    </row>
    <row r="12" spans="1:15" x14ac:dyDescent="0.25">
      <c r="A12" s="6" t="s">
        <v>32</v>
      </c>
      <c r="B12" s="7">
        <f t="shared" si="0"/>
        <v>19219</v>
      </c>
      <c r="C12" s="7">
        <v>18296</v>
      </c>
      <c r="D12" s="7">
        <v>923</v>
      </c>
      <c r="E12" s="8"/>
      <c r="F12" s="4"/>
      <c r="H12" s="4"/>
      <c r="M12" s="18">
        <v>6</v>
      </c>
      <c r="N12" s="16" t="s">
        <v>33</v>
      </c>
      <c r="O12" s="17">
        <v>500000</v>
      </c>
    </row>
    <row r="13" spans="1:15" x14ac:dyDescent="0.25">
      <c r="A13" s="6" t="s">
        <v>34</v>
      </c>
      <c r="B13" s="7">
        <f t="shared" si="0"/>
        <v>4543463</v>
      </c>
      <c r="C13" s="7">
        <v>4148544</v>
      </c>
      <c r="D13" s="7">
        <v>394919</v>
      </c>
      <c r="E13" s="8"/>
      <c r="F13" s="4"/>
      <c r="H13" s="4"/>
      <c r="M13" s="16">
        <v>7</v>
      </c>
      <c r="N13" s="16" t="s">
        <v>35</v>
      </c>
      <c r="O13" s="17">
        <v>250000</v>
      </c>
    </row>
    <row r="14" spans="1:15" x14ac:dyDescent="0.25">
      <c r="A14" s="6" t="s">
        <v>36</v>
      </c>
      <c r="B14" s="7">
        <f t="shared" si="0"/>
        <v>9855</v>
      </c>
      <c r="C14" s="7">
        <v>9855</v>
      </c>
      <c r="D14" s="7">
        <v>0</v>
      </c>
      <c r="E14" s="8"/>
      <c r="F14" s="4"/>
      <c r="H14" s="4"/>
      <c r="M14" s="18">
        <v>8</v>
      </c>
      <c r="N14" s="19" t="s">
        <v>37</v>
      </c>
      <c r="O14" s="17">
        <v>124000</v>
      </c>
    </row>
    <row r="15" spans="1:15" x14ac:dyDescent="0.25">
      <c r="A15" s="6" t="s">
        <v>38</v>
      </c>
      <c r="B15" s="7">
        <f t="shared" si="0"/>
        <v>223104</v>
      </c>
      <c r="C15" s="7">
        <v>223104</v>
      </c>
      <c r="D15" s="7">
        <v>0</v>
      </c>
      <c r="E15" s="8"/>
      <c r="F15" s="4"/>
      <c r="H15" s="4"/>
      <c r="M15" s="16">
        <v>9</v>
      </c>
      <c r="N15" s="19" t="s">
        <v>39</v>
      </c>
      <c r="O15" s="20">
        <v>30000</v>
      </c>
    </row>
    <row r="16" spans="1:15" x14ac:dyDescent="0.25">
      <c r="A16" s="6" t="s">
        <v>40</v>
      </c>
      <c r="B16" s="7">
        <f t="shared" si="0"/>
        <v>5334</v>
      </c>
      <c r="C16" s="7">
        <v>3334</v>
      </c>
      <c r="D16" s="7">
        <v>2000</v>
      </c>
      <c r="E16" s="8"/>
      <c r="F16" s="4"/>
      <c r="H16" s="4"/>
      <c r="M16" s="18">
        <v>10</v>
      </c>
      <c r="N16" s="16" t="s">
        <v>41</v>
      </c>
      <c r="O16" s="17">
        <v>135000</v>
      </c>
    </row>
    <row r="17" spans="1:15" x14ac:dyDescent="0.25">
      <c r="A17" s="6" t="s">
        <v>42</v>
      </c>
      <c r="B17" s="7">
        <f t="shared" si="0"/>
        <v>22800</v>
      </c>
      <c r="C17" s="7">
        <v>22800</v>
      </c>
      <c r="D17" s="7">
        <v>0</v>
      </c>
      <c r="E17" s="8"/>
      <c r="F17" s="4"/>
      <c r="H17" s="4"/>
      <c r="M17" s="16">
        <v>11</v>
      </c>
      <c r="N17" s="16" t="s">
        <v>43</v>
      </c>
      <c r="O17" s="17">
        <v>120000</v>
      </c>
    </row>
    <row r="18" spans="1:15" x14ac:dyDescent="0.25">
      <c r="A18" s="6" t="s">
        <v>44</v>
      </c>
      <c r="B18" s="7">
        <f t="shared" si="0"/>
        <v>0</v>
      </c>
      <c r="C18" s="7">
        <v>0</v>
      </c>
      <c r="D18" s="7">
        <v>0</v>
      </c>
      <c r="E18" s="8"/>
      <c r="F18" s="4"/>
      <c r="H18" s="4"/>
      <c r="M18" s="18">
        <v>12</v>
      </c>
      <c r="N18" s="19" t="s">
        <v>45</v>
      </c>
      <c r="O18" s="20">
        <v>110000</v>
      </c>
    </row>
    <row r="19" spans="1:15" x14ac:dyDescent="0.25">
      <c r="A19" s="6" t="s">
        <v>46</v>
      </c>
      <c r="B19" s="7">
        <f t="shared" si="0"/>
        <v>692735</v>
      </c>
      <c r="C19" s="7">
        <v>642735</v>
      </c>
      <c r="D19" s="7">
        <v>50000</v>
      </c>
      <c r="E19" s="8"/>
      <c r="F19" s="4"/>
      <c r="H19" s="4"/>
      <c r="M19" s="16">
        <v>13</v>
      </c>
      <c r="N19" s="16" t="s">
        <v>47</v>
      </c>
      <c r="O19" s="20">
        <v>5000</v>
      </c>
    </row>
    <row r="20" spans="1:15" x14ac:dyDescent="0.25">
      <c r="A20" s="6" t="s">
        <v>48</v>
      </c>
      <c r="B20" s="7">
        <f t="shared" si="0"/>
        <v>415300</v>
      </c>
      <c r="C20" s="7">
        <v>415300</v>
      </c>
      <c r="D20" s="7">
        <v>0</v>
      </c>
      <c r="E20" s="8"/>
      <c r="F20" s="4"/>
      <c r="M20" s="18">
        <v>14</v>
      </c>
      <c r="N20" s="19" t="s">
        <v>49</v>
      </c>
      <c r="O20" s="17">
        <v>0</v>
      </c>
    </row>
    <row r="21" spans="1:15" x14ac:dyDescent="0.25">
      <c r="A21" s="6" t="s">
        <v>50</v>
      </c>
      <c r="B21" s="7">
        <f t="shared" si="0"/>
        <v>3886324</v>
      </c>
      <c r="C21" s="7">
        <v>3886324</v>
      </c>
      <c r="D21" s="7">
        <v>0</v>
      </c>
      <c r="E21" s="8"/>
      <c r="F21" s="4"/>
      <c r="M21" s="18">
        <v>15</v>
      </c>
      <c r="N21" s="19" t="s">
        <v>51</v>
      </c>
      <c r="O21" s="17">
        <v>250000</v>
      </c>
    </row>
    <row r="22" spans="1:15" x14ac:dyDescent="0.25">
      <c r="A22" s="6" t="s">
        <v>52</v>
      </c>
      <c r="B22" s="7">
        <f t="shared" si="0"/>
        <v>20185416</v>
      </c>
      <c r="C22" s="7">
        <v>20156616</v>
      </c>
      <c r="D22" s="7">
        <v>28800</v>
      </c>
      <c r="E22" s="8"/>
      <c r="F22" s="4"/>
      <c r="M22" s="16">
        <v>16</v>
      </c>
      <c r="N22" s="19" t="s">
        <v>53</v>
      </c>
      <c r="O22" s="17">
        <v>380000</v>
      </c>
    </row>
    <row r="23" spans="1:15" x14ac:dyDescent="0.25">
      <c r="A23" s="6" t="s">
        <v>54</v>
      </c>
      <c r="B23" s="7">
        <f t="shared" si="0"/>
        <v>3347982</v>
      </c>
      <c r="C23" s="7">
        <v>3297476</v>
      </c>
      <c r="D23" s="7">
        <v>50506</v>
      </c>
      <c r="E23" s="8"/>
      <c r="F23" s="4"/>
      <c r="M23" s="16"/>
      <c r="N23" s="21" t="s">
        <v>55</v>
      </c>
      <c r="O23" s="22">
        <f>SUM(O7:O22)</f>
        <v>3484000</v>
      </c>
    </row>
    <row r="24" spans="1:15" x14ac:dyDescent="0.25">
      <c r="A24" s="1" t="s">
        <v>55</v>
      </c>
      <c r="B24" s="23">
        <f>SUM(C24:D24)</f>
        <v>43160936</v>
      </c>
      <c r="C24" s="23">
        <f>SUM(C2:C23)</f>
        <v>42618036</v>
      </c>
      <c r="D24" s="23">
        <f>SUM(D2:D23)</f>
        <v>542900</v>
      </c>
      <c r="E24" s="24"/>
      <c r="F24" s="4"/>
    </row>
  </sheetData>
  <mergeCells count="2">
    <mergeCell ref="M4:O4"/>
    <mergeCell ref="M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HCP</dc:creator>
  <cp:lastModifiedBy>HCP</cp:lastModifiedBy>
  <dcterms:created xsi:type="dcterms:W3CDTF">2026-09-10T08:09:40Z</dcterms:created>
  <dcterms:modified xsi:type="dcterms:W3CDTF">2026-09-10T08:35:00Z</dcterms:modified>
</cp:coreProperties>
</file>